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B079451DA17A563DB52A23E171C9A8E2BA13D4C8" xr6:coauthVersionLast="47" xr6:coauthVersionMax="47" xr10:uidLastSave="{00000000-0000-0000-0000-000000000000}"/>
  <bookViews>
    <workbookView xWindow="0" yWindow="0" windowWidth="23040" windowHeight="9204" xr2:uid="{00000000-000D-0000-FFFF-FFFF00000000}"/>
  </bookViews>
  <sheets>
    <sheet name="STOK LİSTESİ FİYATLI" sheetId="1" r:id="rId1"/>
    <sheet name="Sayfa1" sheetId="2" r:id="rId2"/>
  </sheets>
  <definedNames>
    <definedName name="_xlnm._FilterDatabase" localSheetId="0" hidden="1">'STOK LİSTESİ FİYATLI'!$A$1:$R$6398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7" i="1" l="1"/>
  <c r="L393" i="1"/>
  <c r="L392" i="1"/>
  <c r="L391" i="1"/>
  <c r="L301" i="1"/>
  <c r="L300" i="1"/>
  <c r="L292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37" i="1"/>
  <c r="L6247" i="1"/>
  <c r="L286" i="1"/>
  <c r="P286" i="1"/>
  <c r="W286" i="1"/>
  <c r="X286" i="1"/>
  <c r="Q286" i="1"/>
  <c r="R286" i="1"/>
  <c r="L287" i="1"/>
  <c r="P287" i="1"/>
  <c r="W287" i="1"/>
  <c r="X287" i="1"/>
  <c r="Q287" i="1"/>
  <c r="R287" i="1"/>
  <c r="L303" i="1"/>
  <c r="P303" i="1"/>
  <c r="W303" i="1"/>
  <c r="X303" i="1"/>
  <c r="Q303" i="1"/>
  <c r="R303" i="1"/>
  <c r="L304" i="1"/>
  <c r="P304" i="1"/>
  <c r="W304" i="1"/>
  <c r="X304" i="1"/>
  <c r="Q304" i="1"/>
  <c r="R304" i="1"/>
  <c r="L305" i="1"/>
  <c r="P305" i="1"/>
  <c r="W305" i="1"/>
  <c r="X305" i="1"/>
  <c r="Q305" i="1"/>
  <c r="R305" i="1"/>
  <c r="L306" i="1"/>
  <c r="P306" i="1"/>
  <c r="W306" i="1"/>
  <c r="X306" i="1"/>
  <c r="Q306" i="1"/>
  <c r="R306" i="1"/>
  <c r="L307" i="1"/>
  <c r="P307" i="1"/>
  <c r="W307" i="1"/>
  <c r="X307" i="1"/>
  <c r="Q307" i="1"/>
  <c r="R307" i="1"/>
  <c r="L308" i="1"/>
  <c r="P308" i="1"/>
  <c r="W308" i="1"/>
  <c r="X308" i="1"/>
  <c r="Q308" i="1"/>
  <c r="R308" i="1"/>
  <c r="L309" i="1"/>
  <c r="P309" i="1"/>
  <c r="W309" i="1"/>
  <c r="X309" i="1"/>
  <c r="Q309" i="1"/>
  <c r="R309" i="1"/>
  <c r="L310" i="1"/>
  <c r="P310" i="1"/>
  <c r="W310" i="1"/>
  <c r="X310" i="1"/>
  <c r="Q310" i="1"/>
  <c r="R310" i="1"/>
  <c r="L4429" i="1"/>
  <c r="L4744" i="1"/>
  <c r="L4745" i="1"/>
  <c r="L4746" i="1"/>
  <c r="L4747" i="1"/>
  <c r="L4748" i="1"/>
  <c r="L4749" i="1"/>
  <c r="L4750" i="1"/>
  <c r="L4751" i="1"/>
  <c r="L4752" i="1"/>
  <c r="L4777" i="1"/>
  <c r="L4626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872" i="1"/>
  <c r="L4113" i="1"/>
  <c r="L4863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6374" i="1"/>
  <c r="L6346" i="1"/>
  <c r="L6283" i="1"/>
  <c r="L6030" i="1"/>
  <c r="L6021" i="1"/>
  <c r="L5929" i="1"/>
  <c r="L5930" i="1"/>
  <c r="L5940" i="1"/>
  <c r="L5961" i="1"/>
  <c r="L5969" i="1"/>
  <c r="L5970" i="1"/>
  <c r="L5977" i="1"/>
  <c r="L5980" i="1"/>
  <c r="L5991" i="1"/>
  <c r="L5997" i="1"/>
  <c r="L6005" i="1"/>
  <c r="L6013" i="1"/>
  <c r="L6022" i="1"/>
  <c r="L6033" i="1"/>
  <c r="L6047" i="1"/>
  <c r="L6038" i="1"/>
  <c r="L6037" i="1"/>
  <c r="L6035" i="1"/>
  <c r="L6036" i="1"/>
  <c r="L6034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066" i="1"/>
  <c r="L6335" i="1"/>
  <c r="L6336" i="1"/>
  <c r="L6337" i="1"/>
  <c r="L6338" i="1"/>
  <c r="L6339" i="1"/>
  <c r="L6340" i="1"/>
  <c r="L6341" i="1"/>
  <c r="L6342" i="1"/>
  <c r="L6343" i="1"/>
  <c r="L6344" i="1"/>
  <c r="L6345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5971" i="1"/>
  <c r="L5972" i="1"/>
  <c r="L5973" i="1"/>
  <c r="L5974" i="1"/>
  <c r="L5975" i="1"/>
  <c r="L5976" i="1"/>
  <c r="L5978" i="1"/>
  <c r="L5979" i="1"/>
  <c r="L5981" i="1"/>
  <c r="L5982" i="1"/>
  <c r="L5983" i="1"/>
  <c r="L5984" i="1"/>
  <c r="L5985" i="1"/>
  <c r="L5986" i="1"/>
  <c r="L5987" i="1"/>
  <c r="L5988" i="1"/>
  <c r="L5989" i="1"/>
  <c r="L5990" i="1"/>
  <c r="L5992" i="1"/>
  <c r="L5993" i="1"/>
  <c r="L5994" i="1"/>
  <c r="L5995" i="1"/>
  <c r="L5996" i="1"/>
  <c r="L5998" i="1"/>
  <c r="L5999" i="1"/>
  <c r="L6000" i="1"/>
  <c r="L6001" i="1"/>
  <c r="L6002" i="1"/>
  <c r="L6003" i="1"/>
  <c r="L6004" i="1"/>
  <c r="L6006" i="1"/>
  <c r="L6007" i="1"/>
  <c r="L6008" i="1"/>
  <c r="L6009" i="1"/>
  <c r="L6010" i="1"/>
  <c r="L6011" i="1"/>
  <c r="L6012" i="1"/>
  <c r="L6014" i="1"/>
  <c r="L6015" i="1"/>
  <c r="L6016" i="1"/>
  <c r="L6017" i="1"/>
  <c r="L6018" i="1"/>
  <c r="L6019" i="1"/>
  <c r="L6020" i="1"/>
  <c r="L6023" i="1"/>
  <c r="L6024" i="1"/>
  <c r="L6025" i="1"/>
  <c r="L6026" i="1"/>
  <c r="L6027" i="1"/>
  <c r="L6028" i="1"/>
  <c r="L6029" i="1"/>
  <c r="L6031" i="1"/>
  <c r="L6032" i="1"/>
  <c r="L6039" i="1"/>
  <c r="L6040" i="1"/>
  <c r="L6041" i="1"/>
  <c r="L6042" i="1"/>
  <c r="L6043" i="1"/>
  <c r="L6044" i="1"/>
  <c r="L6045" i="1"/>
  <c r="L6046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5933" i="1"/>
  <c r="L5934" i="1"/>
  <c r="L5935" i="1"/>
  <c r="L5936" i="1"/>
  <c r="L5937" i="1"/>
  <c r="L5938" i="1"/>
  <c r="L5939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2" i="1"/>
  <c r="L5963" i="1"/>
  <c r="L5964" i="1"/>
  <c r="L5965" i="1"/>
  <c r="L5966" i="1"/>
  <c r="L5967" i="1"/>
  <c r="L5968" i="1"/>
  <c r="L5924" i="1"/>
  <c r="L5925" i="1"/>
  <c r="L5926" i="1"/>
  <c r="L5927" i="1"/>
  <c r="L5928" i="1"/>
  <c r="L5931" i="1"/>
  <c r="L5932" i="1"/>
  <c r="L5923" i="1"/>
  <c r="L5922" i="1"/>
  <c r="L5208" i="1"/>
  <c r="L5207" i="1"/>
  <c r="L5216" i="1"/>
  <c r="L5215" i="1"/>
  <c r="L5214" i="1"/>
  <c r="L5213" i="1"/>
  <c r="L5212" i="1"/>
  <c r="L5211" i="1"/>
  <c r="L5210" i="1"/>
  <c r="L5209" i="1"/>
  <c r="L6172" i="1"/>
  <c r="L6242" i="1"/>
  <c r="L6243" i="1"/>
  <c r="L6244" i="1"/>
  <c r="L6245" i="1"/>
  <c r="L6246" i="1"/>
  <c r="L6241" i="1"/>
  <c r="L6240" i="1"/>
  <c r="L6239" i="1"/>
  <c r="L6238" i="1"/>
  <c r="L6234" i="1"/>
  <c r="L6229" i="1"/>
  <c r="L6227" i="1"/>
  <c r="L6226" i="1"/>
  <c r="L6225" i="1"/>
  <c r="L6224" i="1"/>
  <c r="L6214" i="1"/>
  <c r="L6215" i="1"/>
  <c r="L6216" i="1"/>
  <c r="L6217" i="1"/>
  <c r="L6218" i="1"/>
  <c r="L6219" i="1"/>
  <c r="L6220" i="1"/>
  <c r="L6221" i="1"/>
  <c r="L6222" i="1"/>
  <c r="L6223" i="1"/>
  <c r="L6213" i="1"/>
  <c r="L6200" i="1"/>
  <c r="L6198" i="1"/>
  <c r="L6191" i="1"/>
  <c r="L6192" i="1"/>
  <c r="L6193" i="1"/>
  <c r="L6194" i="1"/>
  <c r="L6195" i="1"/>
  <c r="L6190" i="1"/>
  <c r="L6183" i="1"/>
  <c r="L6174" i="1"/>
  <c r="L6175" i="1"/>
  <c r="L6176" i="1"/>
  <c r="L6177" i="1"/>
  <c r="L6178" i="1"/>
  <c r="L6173" i="1"/>
  <c r="L997" i="1"/>
  <c r="L6163" i="1"/>
  <c r="L6228" i="1"/>
  <c r="L6230" i="1"/>
  <c r="L6231" i="1"/>
  <c r="L6232" i="1"/>
  <c r="L6233" i="1"/>
  <c r="L6235" i="1"/>
  <c r="L6236" i="1"/>
  <c r="L6237" i="1"/>
  <c r="L6212" i="1"/>
  <c r="L6211" i="1"/>
  <c r="L6210" i="1"/>
  <c r="L6209" i="1"/>
  <c r="L6197" i="1"/>
  <c r="L6199" i="1"/>
  <c r="L6201" i="1"/>
  <c r="L6202" i="1"/>
  <c r="L6203" i="1"/>
  <c r="L6204" i="1"/>
  <c r="L6205" i="1"/>
  <c r="L6206" i="1"/>
  <c r="L6207" i="1"/>
  <c r="L6208" i="1"/>
  <c r="L6196" i="1"/>
  <c r="L6180" i="1"/>
  <c r="L6181" i="1"/>
  <c r="L6182" i="1"/>
  <c r="L6184" i="1"/>
  <c r="L6185" i="1"/>
  <c r="L6186" i="1"/>
  <c r="L6187" i="1"/>
  <c r="L6188" i="1"/>
  <c r="L6189" i="1"/>
  <c r="L6179" i="1"/>
  <c r="L6171" i="1"/>
  <c r="L6170" i="1"/>
  <c r="L1061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2" i="1"/>
  <c r="L1063" i="1"/>
  <c r="L1064" i="1"/>
  <c r="L1065" i="1"/>
  <c r="L6168" i="1"/>
  <c r="L6169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047" i="1"/>
  <c r="L1048" i="1"/>
  <c r="L1046" i="1"/>
  <c r="L1045" i="1"/>
  <c r="L1044" i="1"/>
  <c r="L1043" i="1"/>
  <c r="L6166" i="1"/>
  <c r="L6167" i="1"/>
  <c r="L1042" i="1"/>
  <c r="L1041" i="1"/>
  <c r="L1040" i="1"/>
  <c r="L1039" i="1"/>
  <c r="L1038" i="1"/>
  <c r="L1037" i="1"/>
  <c r="L1036" i="1"/>
  <c r="L6165" i="1"/>
  <c r="L1032" i="1"/>
  <c r="L1016" i="1"/>
  <c r="L6164" i="1"/>
  <c r="L1004" i="1"/>
  <c r="L984" i="1"/>
  <c r="L6162" i="1"/>
  <c r="L6161" i="1"/>
  <c r="L6160" i="1"/>
  <c r="L583" i="1"/>
  <c r="L584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477" i="1"/>
  <c r="V285" i="1"/>
  <c r="V284" i="1"/>
  <c r="V283" i="1"/>
  <c r="V282" i="1"/>
  <c r="V281" i="1"/>
  <c r="V280" i="1"/>
  <c r="V279" i="1"/>
  <c r="V278" i="1"/>
  <c r="L5206" i="1"/>
  <c r="L5205" i="1"/>
  <c r="L5204" i="1"/>
  <c r="L520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170" i="1"/>
  <c r="L5171" i="1"/>
  <c r="L5172" i="1"/>
  <c r="L5173" i="1"/>
  <c r="L5086" i="1"/>
  <c r="L5111" i="1"/>
  <c r="L5120" i="1"/>
  <c r="L5145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2" i="1"/>
  <c r="L5113" i="1"/>
  <c r="L5114" i="1"/>
  <c r="L5115" i="1"/>
  <c r="L5116" i="1"/>
  <c r="L5117" i="1"/>
  <c r="L5118" i="1"/>
  <c r="L5119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7" i="1"/>
  <c r="L5062" i="1"/>
  <c r="L5061" i="1"/>
  <c r="L5053" i="1"/>
  <c r="L5054" i="1"/>
  <c r="L5055" i="1"/>
  <c r="L5056" i="1"/>
  <c r="L5057" i="1"/>
  <c r="L5058" i="1"/>
  <c r="L5059" i="1"/>
  <c r="L5060" i="1"/>
  <c r="L5052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35" i="1"/>
  <c r="L5024" i="1"/>
  <c r="L5025" i="1"/>
  <c r="L5026" i="1"/>
  <c r="L5027" i="1"/>
  <c r="L5028" i="1"/>
  <c r="L5029" i="1"/>
  <c r="L5030" i="1"/>
  <c r="L5031" i="1"/>
  <c r="L5032" i="1"/>
  <c r="L5033" i="1"/>
  <c r="L5034" i="1"/>
  <c r="L5023" i="1"/>
  <c r="L5022" i="1"/>
  <c r="L5011" i="1"/>
  <c r="L5012" i="1"/>
  <c r="L5013" i="1"/>
  <c r="L5014" i="1"/>
  <c r="L5015" i="1"/>
  <c r="L5016" i="1"/>
  <c r="L5017" i="1"/>
  <c r="L5018" i="1"/>
  <c r="L5019" i="1"/>
  <c r="L5020" i="1"/>
  <c r="L5021" i="1"/>
  <c r="L5010" i="1"/>
  <c r="L5009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4985" i="1"/>
  <c r="L4984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60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36" i="1"/>
  <c r="L4935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11" i="1"/>
  <c r="L4910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886" i="1"/>
  <c r="L4885" i="1"/>
  <c r="L4874" i="1"/>
  <c r="L4875" i="1"/>
  <c r="L4876" i="1"/>
  <c r="L4877" i="1"/>
  <c r="L4878" i="1"/>
  <c r="L4879" i="1"/>
  <c r="L4880" i="1"/>
  <c r="L4881" i="1"/>
  <c r="L4882" i="1"/>
  <c r="L4883" i="1"/>
  <c r="L4884" i="1"/>
  <c r="L4873" i="1"/>
  <c r="L4864" i="1"/>
  <c r="L4865" i="1"/>
  <c r="L4866" i="1"/>
  <c r="L4867" i="1"/>
  <c r="L4868" i="1"/>
  <c r="L4869" i="1"/>
  <c r="L4870" i="1"/>
  <c r="L4871" i="1"/>
  <c r="L4830" i="1"/>
  <c r="L4831" i="1"/>
  <c r="L4832" i="1"/>
  <c r="L4833" i="1"/>
  <c r="L4834" i="1"/>
  <c r="L4835" i="1"/>
  <c r="L4836" i="1"/>
  <c r="L4837" i="1"/>
  <c r="L4829" i="1"/>
  <c r="L4821" i="1"/>
  <c r="L4822" i="1"/>
  <c r="L4823" i="1"/>
  <c r="L4824" i="1"/>
  <c r="L4825" i="1"/>
  <c r="L4826" i="1"/>
  <c r="L4827" i="1"/>
  <c r="L4828" i="1"/>
  <c r="L4820" i="1"/>
  <c r="L4813" i="1"/>
  <c r="L4814" i="1"/>
  <c r="L4815" i="1"/>
  <c r="L4816" i="1"/>
  <c r="L4817" i="1"/>
  <c r="L4818" i="1"/>
  <c r="L4819" i="1"/>
  <c r="L4812" i="1"/>
  <c r="L4146" i="1"/>
  <c r="L4811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787" i="1"/>
  <c r="L4786" i="1"/>
  <c r="L4778" i="1"/>
  <c r="L4779" i="1"/>
  <c r="L4780" i="1"/>
  <c r="L4781" i="1"/>
  <c r="L4782" i="1"/>
  <c r="L4783" i="1"/>
  <c r="L4784" i="1"/>
  <c r="L4785" i="1"/>
  <c r="L4743" i="1"/>
  <c r="L4742" i="1"/>
  <c r="L4741" i="1"/>
  <c r="L4391" i="1"/>
  <c r="L6159" i="1"/>
  <c r="L6158" i="1"/>
  <c r="L6157" i="1"/>
  <c r="L6156" i="1"/>
  <c r="L6155" i="1"/>
  <c r="L6154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V3952" i="1"/>
  <c r="W3952" i="1"/>
  <c r="X3952" i="1"/>
  <c r="V3953" i="1"/>
  <c r="W3953" i="1"/>
  <c r="X3953" i="1"/>
  <c r="V3954" i="1"/>
  <c r="W3954" i="1"/>
  <c r="X3954" i="1"/>
  <c r="V3955" i="1"/>
  <c r="W3955" i="1"/>
  <c r="X3955" i="1"/>
  <c r="V3956" i="1"/>
  <c r="W3956" i="1"/>
  <c r="X3956" i="1"/>
  <c r="V3957" i="1"/>
  <c r="W3957" i="1"/>
  <c r="X3957" i="1"/>
  <c r="V3958" i="1"/>
  <c r="W3958" i="1"/>
  <c r="X3958" i="1"/>
  <c r="V3959" i="1"/>
  <c r="W3959" i="1"/>
  <c r="X3959" i="1"/>
  <c r="V3960" i="1"/>
  <c r="W3960" i="1"/>
  <c r="X3960" i="1"/>
  <c r="V3961" i="1"/>
  <c r="W3961" i="1"/>
  <c r="X3961" i="1"/>
  <c r="V3962" i="1"/>
  <c r="W3962" i="1"/>
  <c r="X3962" i="1"/>
  <c r="V3963" i="1"/>
  <c r="W3963" i="1"/>
  <c r="X3963" i="1"/>
  <c r="V3964" i="1"/>
  <c r="W3964" i="1"/>
  <c r="X3964" i="1"/>
  <c r="V3965" i="1"/>
  <c r="W3965" i="1"/>
  <c r="X3965" i="1"/>
  <c r="V3966" i="1"/>
  <c r="W3966" i="1"/>
  <c r="X3966" i="1"/>
  <c r="V3967" i="1"/>
  <c r="W3967" i="1"/>
  <c r="X3967" i="1"/>
  <c r="V3968" i="1"/>
  <c r="W3968" i="1"/>
  <c r="X3968" i="1"/>
  <c r="V3969" i="1"/>
  <c r="W3969" i="1"/>
  <c r="X3969" i="1"/>
  <c r="V3970" i="1"/>
  <c r="W3970" i="1"/>
  <c r="X3970" i="1"/>
  <c r="V3971" i="1"/>
  <c r="W3971" i="1"/>
  <c r="X3971" i="1"/>
  <c r="V3972" i="1"/>
  <c r="W3972" i="1"/>
  <c r="X3972" i="1"/>
  <c r="V3973" i="1"/>
  <c r="W3973" i="1"/>
  <c r="X3973" i="1"/>
  <c r="V3974" i="1"/>
  <c r="W3974" i="1"/>
  <c r="X3974" i="1"/>
  <c r="V3975" i="1"/>
  <c r="W3975" i="1"/>
  <c r="X3975" i="1"/>
  <c r="V3976" i="1"/>
  <c r="W3976" i="1"/>
  <c r="X3976" i="1"/>
  <c r="V3977" i="1"/>
  <c r="W3977" i="1"/>
  <c r="X3977" i="1"/>
  <c r="V3978" i="1"/>
  <c r="W3978" i="1"/>
  <c r="X3978" i="1"/>
  <c r="V3979" i="1"/>
  <c r="W3979" i="1"/>
  <c r="X3979" i="1"/>
  <c r="V3980" i="1"/>
  <c r="W3980" i="1"/>
  <c r="X3980" i="1"/>
  <c r="V3981" i="1"/>
  <c r="W3981" i="1"/>
  <c r="X3981" i="1"/>
  <c r="V3982" i="1"/>
  <c r="W3982" i="1"/>
  <c r="X3982" i="1"/>
  <c r="V3983" i="1"/>
  <c r="W3983" i="1"/>
  <c r="X3983" i="1"/>
  <c r="V3984" i="1"/>
  <c r="W3984" i="1"/>
  <c r="X3984" i="1"/>
  <c r="V3985" i="1"/>
  <c r="W3985" i="1"/>
  <c r="X3985" i="1"/>
  <c r="V3986" i="1"/>
  <c r="W3986" i="1"/>
  <c r="X3986" i="1"/>
  <c r="V3987" i="1"/>
  <c r="W3987" i="1"/>
  <c r="X3987" i="1"/>
  <c r="V3988" i="1"/>
  <c r="W3988" i="1"/>
  <c r="X3988" i="1"/>
  <c r="V3989" i="1"/>
  <c r="W3989" i="1"/>
  <c r="X3989" i="1"/>
  <c r="V3990" i="1"/>
  <c r="W3990" i="1"/>
  <c r="X3990" i="1"/>
  <c r="V3991" i="1"/>
  <c r="W3991" i="1"/>
  <c r="X3991" i="1"/>
  <c r="V3992" i="1"/>
  <c r="W3992" i="1"/>
  <c r="X3992" i="1"/>
  <c r="V3993" i="1"/>
  <c r="W3993" i="1"/>
  <c r="X3993" i="1"/>
  <c r="V3994" i="1"/>
  <c r="W3994" i="1"/>
  <c r="X3994" i="1"/>
  <c r="V3995" i="1"/>
  <c r="W3995" i="1"/>
  <c r="X3995" i="1"/>
  <c r="V3996" i="1"/>
  <c r="W3996" i="1"/>
  <c r="X3996" i="1"/>
  <c r="V3997" i="1"/>
  <c r="W3997" i="1"/>
  <c r="X3997" i="1"/>
  <c r="V3998" i="1"/>
  <c r="W3998" i="1"/>
  <c r="X3998" i="1"/>
  <c r="V3999" i="1"/>
  <c r="W3999" i="1"/>
  <c r="X3999" i="1"/>
  <c r="V4000" i="1"/>
  <c r="W4000" i="1"/>
  <c r="X4000" i="1"/>
  <c r="V4001" i="1"/>
  <c r="W4001" i="1"/>
  <c r="X4001" i="1"/>
  <c r="V4002" i="1"/>
  <c r="W4002" i="1"/>
  <c r="X4002" i="1"/>
  <c r="V4003" i="1"/>
  <c r="W4003" i="1"/>
  <c r="X4003" i="1"/>
  <c r="V4004" i="1"/>
  <c r="W4004" i="1"/>
  <c r="X4004" i="1"/>
  <c r="V4005" i="1"/>
  <c r="W4005" i="1"/>
  <c r="X4005" i="1"/>
  <c r="V4006" i="1"/>
  <c r="W4006" i="1"/>
  <c r="X4006" i="1"/>
  <c r="V4007" i="1"/>
  <c r="W4007" i="1"/>
  <c r="X4007" i="1"/>
  <c r="V4008" i="1"/>
  <c r="W4008" i="1"/>
  <c r="X4008" i="1"/>
  <c r="V4009" i="1"/>
  <c r="W4009" i="1"/>
  <c r="X4009" i="1"/>
  <c r="V4010" i="1"/>
  <c r="W4010" i="1"/>
  <c r="X4010" i="1"/>
  <c r="V4011" i="1"/>
  <c r="W4011" i="1"/>
  <c r="X4011" i="1"/>
  <c r="V4012" i="1"/>
  <c r="W4012" i="1"/>
  <c r="X4012" i="1"/>
  <c r="V4013" i="1"/>
  <c r="W4013" i="1"/>
  <c r="X4013" i="1"/>
  <c r="V4014" i="1"/>
  <c r="W4014" i="1"/>
  <c r="X4014" i="1"/>
  <c r="V4015" i="1"/>
  <c r="W4015" i="1"/>
  <c r="X4015" i="1"/>
  <c r="V4016" i="1"/>
  <c r="W4016" i="1"/>
  <c r="X4016" i="1"/>
  <c r="V4017" i="1"/>
  <c r="W4017" i="1"/>
  <c r="X4017" i="1"/>
  <c r="V4018" i="1"/>
  <c r="W4018" i="1"/>
  <c r="X4018" i="1"/>
  <c r="V4019" i="1"/>
  <c r="W4019" i="1"/>
  <c r="X4019" i="1"/>
  <c r="V4020" i="1"/>
  <c r="W4020" i="1"/>
  <c r="X4020" i="1"/>
  <c r="V4021" i="1"/>
  <c r="W4021" i="1"/>
  <c r="X4021" i="1"/>
  <c r="V4022" i="1"/>
  <c r="W4022" i="1"/>
  <c r="X4022" i="1"/>
  <c r="V4023" i="1"/>
  <c r="W4023" i="1"/>
  <c r="X4023" i="1"/>
  <c r="V4024" i="1"/>
  <c r="W4024" i="1"/>
  <c r="X4024" i="1"/>
  <c r="V4025" i="1"/>
  <c r="W4025" i="1"/>
  <c r="X4025" i="1"/>
  <c r="V4026" i="1"/>
  <c r="W4026" i="1"/>
  <c r="X4026" i="1"/>
  <c r="V4027" i="1"/>
  <c r="W4027" i="1"/>
  <c r="X4027" i="1"/>
  <c r="V4028" i="1"/>
  <c r="W4028" i="1"/>
  <c r="X4028" i="1"/>
  <c r="V4029" i="1"/>
  <c r="W4029" i="1"/>
  <c r="X4029" i="1"/>
  <c r="V4030" i="1"/>
  <c r="W4030" i="1"/>
  <c r="X4030" i="1"/>
  <c r="V4031" i="1"/>
  <c r="W4031" i="1"/>
  <c r="X4031" i="1"/>
  <c r="V4032" i="1"/>
  <c r="W4032" i="1"/>
  <c r="X4032" i="1"/>
  <c r="V4033" i="1"/>
  <c r="W4033" i="1"/>
  <c r="X4033" i="1"/>
  <c r="V4034" i="1"/>
  <c r="W4034" i="1"/>
  <c r="X4034" i="1"/>
  <c r="V4035" i="1"/>
  <c r="W4035" i="1"/>
  <c r="X4035" i="1"/>
  <c r="V4036" i="1"/>
  <c r="W4036" i="1"/>
  <c r="X4036" i="1"/>
  <c r="V4037" i="1"/>
  <c r="W4037" i="1"/>
  <c r="X4037" i="1"/>
  <c r="V4038" i="1"/>
  <c r="W4038" i="1"/>
  <c r="X4038" i="1"/>
  <c r="V4039" i="1"/>
  <c r="W4039" i="1"/>
  <c r="X4039" i="1"/>
  <c r="V4040" i="1"/>
  <c r="W4040" i="1"/>
  <c r="X4040" i="1"/>
  <c r="V4041" i="1"/>
  <c r="W4041" i="1"/>
  <c r="X4041" i="1"/>
  <c r="V4042" i="1"/>
  <c r="W4042" i="1"/>
  <c r="X4042" i="1"/>
  <c r="V4043" i="1"/>
  <c r="W4043" i="1"/>
  <c r="X4043" i="1"/>
  <c r="V4044" i="1"/>
  <c r="W4044" i="1"/>
  <c r="X4044" i="1"/>
  <c r="V4045" i="1"/>
  <c r="W4045" i="1"/>
  <c r="X4045" i="1"/>
  <c r="V4046" i="1"/>
  <c r="W4046" i="1"/>
  <c r="X4046" i="1"/>
  <c r="V4047" i="1"/>
  <c r="W4047" i="1"/>
  <c r="X4047" i="1"/>
  <c r="V4048" i="1"/>
  <c r="W4048" i="1"/>
  <c r="X4048" i="1"/>
  <c r="V4049" i="1"/>
  <c r="W4049" i="1"/>
  <c r="X4049" i="1"/>
  <c r="V4050" i="1"/>
  <c r="W4050" i="1"/>
  <c r="X4050" i="1"/>
  <c r="V4051" i="1"/>
  <c r="W4051" i="1"/>
  <c r="X4051" i="1"/>
  <c r="V4052" i="1"/>
  <c r="W4052" i="1"/>
  <c r="X4052" i="1"/>
  <c r="V4053" i="1"/>
  <c r="W4053" i="1"/>
  <c r="X4053" i="1"/>
  <c r="V4054" i="1"/>
  <c r="W4054" i="1"/>
  <c r="X4054" i="1"/>
  <c r="V4055" i="1"/>
  <c r="W4055" i="1"/>
  <c r="X4055" i="1"/>
  <c r="V4056" i="1"/>
  <c r="W4056" i="1"/>
  <c r="X4056" i="1"/>
  <c r="V4057" i="1"/>
  <c r="W4057" i="1"/>
  <c r="X4057" i="1"/>
  <c r="V4058" i="1"/>
  <c r="W4058" i="1"/>
  <c r="X4058" i="1"/>
  <c r="V4059" i="1"/>
  <c r="W4059" i="1"/>
  <c r="X4059" i="1"/>
  <c r="V4060" i="1"/>
  <c r="W4060" i="1"/>
  <c r="X4060" i="1"/>
  <c r="V4061" i="1"/>
  <c r="W4061" i="1"/>
  <c r="X4061" i="1"/>
  <c r="V4062" i="1"/>
  <c r="W4062" i="1"/>
  <c r="X4062" i="1"/>
  <c r="V4063" i="1"/>
  <c r="W4063" i="1"/>
  <c r="X4063" i="1"/>
  <c r="V4064" i="1"/>
  <c r="W4064" i="1"/>
  <c r="X4064" i="1"/>
  <c r="V4065" i="1"/>
  <c r="W4065" i="1"/>
  <c r="X4065" i="1"/>
  <c r="V4066" i="1"/>
  <c r="W4066" i="1"/>
  <c r="X4066" i="1"/>
  <c r="V4067" i="1"/>
  <c r="W4067" i="1"/>
  <c r="X4067" i="1"/>
  <c r="V4068" i="1"/>
  <c r="W4068" i="1"/>
  <c r="X4068" i="1"/>
  <c r="V4069" i="1"/>
  <c r="W4069" i="1"/>
  <c r="X4069" i="1"/>
  <c r="V4070" i="1"/>
  <c r="W4070" i="1"/>
  <c r="X4070" i="1"/>
  <c r="V4071" i="1"/>
  <c r="W4071" i="1"/>
  <c r="X4071" i="1"/>
  <c r="V4072" i="1"/>
  <c r="W4072" i="1"/>
  <c r="X4072" i="1"/>
  <c r="V4073" i="1"/>
  <c r="W4073" i="1"/>
  <c r="X4073" i="1"/>
  <c r="V4074" i="1"/>
  <c r="W4074" i="1"/>
  <c r="X4074" i="1"/>
  <c r="V3951" i="1"/>
  <c r="W3951" i="1"/>
  <c r="X3951" i="1"/>
  <c r="V642" i="1"/>
  <c r="W642" i="1"/>
  <c r="X642" i="1"/>
  <c r="V643" i="1"/>
  <c r="W643" i="1"/>
  <c r="X643" i="1"/>
  <c r="V644" i="1"/>
  <c r="W644" i="1"/>
  <c r="X644" i="1"/>
  <c r="V645" i="1"/>
  <c r="W645" i="1"/>
  <c r="X645" i="1"/>
  <c r="V646" i="1"/>
  <c r="W646" i="1"/>
  <c r="X646" i="1"/>
  <c r="V647" i="1"/>
  <c r="W647" i="1"/>
  <c r="X647" i="1"/>
  <c r="V648" i="1"/>
  <c r="W648" i="1"/>
  <c r="X648" i="1"/>
  <c r="V649" i="1"/>
  <c r="W649" i="1"/>
  <c r="X649" i="1"/>
  <c r="V650" i="1"/>
  <c r="W650" i="1"/>
  <c r="X650" i="1"/>
  <c r="V651" i="1"/>
  <c r="W651" i="1"/>
  <c r="X651" i="1"/>
  <c r="V652" i="1"/>
  <c r="W652" i="1"/>
  <c r="X652" i="1"/>
  <c r="V653" i="1"/>
  <c r="W653" i="1"/>
  <c r="X653" i="1"/>
  <c r="V654" i="1"/>
  <c r="W654" i="1"/>
  <c r="X654" i="1"/>
  <c r="V655" i="1"/>
  <c r="W655" i="1"/>
  <c r="X655" i="1"/>
  <c r="V656" i="1"/>
  <c r="W656" i="1"/>
  <c r="X656" i="1"/>
  <c r="V657" i="1"/>
  <c r="W657" i="1"/>
  <c r="X657" i="1"/>
  <c r="V658" i="1"/>
  <c r="W658" i="1"/>
  <c r="X658" i="1"/>
  <c r="V659" i="1"/>
  <c r="W659" i="1"/>
  <c r="X659" i="1"/>
  <c r="V660" i="1"/>
  <c r="W660" i="1"/>
  <c r="X660" i="1"/>
  <c r="V661" i="1"/>
  <c r="W661" i="1"/>
  <c r="X661" i="1"/>
  <c r="V662" i="1"/>
  <c r="W662" i="1"/>
  <c r="X662" i="1"/>
  <c r="V663" i="1"/>
  <c r="W663" i="1"/>
  <c r="X663" i="1"/>
  <c r="V664" i="1"/>
  <c r="W664" i="1"/>
  <c r="X664" i="1"/>
  <c r="V665" i="1"/>
  <c r="W665" i="1"/>
  <c r="X665" i="1"/>
  <c r="V666" i="1"/>
  <c r="W666" i="1"/>
  <c r="X666" i="1"/>
  <c r="V667" i="1"/>
  <c r="W667" i="1"/>
  <c r="X667" i="1"/>
  <c r="V668" i="1"/>
  <c r="W668" i="1"/>
  <c r="X668" i="1"/>
  <c r="V669" i="1"/>
  <c r="W669" i="1"/>
  <c r="X669" i="1"/>
  <c r="V670" i="1"/>
  <c r="W670" i="1"/>
  <c r="X670" i="1"/>
  <c r="V671" i="1"/>
  <c r="W671" i="1"/>
  <c r="X671" i="1"/>
  <c r="V672" i="1"/>
  <c r="W672" i="1"/>
  <c r="X672" i="1"/>
  <c r="V673" i="1"/>
  <c r="W673" i="1"/>
  <c r="X673" i="1"/>
  <c r="V674" i="1"/>
  <c r="W674" i="1"/>
  <c r="X674" i="1"/>
  <c r="V675" i="1"/>
  <c r="W675" i="1"/>
  <c r="X675" i="1"/>
  <c r="V676" i="1"/>
  <c r="W676" i="1"/>
  <c r="X676" i="1"/>
  <c r="V677" i="1"/>
  <c r="W677" i="1"/>
  <c r="X677" i="1"/>
  <c r="V678" i="1"/>
  <c r="W678" i="1"/>
  <c r="X678" i="1"/>
  <c r="V679" i="1"/>
  <c r="W679" i="1"/>
  <c r="X679" i="1"/>
  <c r="V680" i="1"/>
  <c r="W680" i="1"/>
  <c r="X680" i="1"/>
  <c r="V681" i="1"/>
  <c r="W681" i="1"/>
  <c r="X681" i="1"/>
  <c r="V682" i="1"/>
  <c r="W682" i="1"/>
  <c r="X682" i="1"/>
  <c r="V683" i="1"/>
  <c r="W683" i="1"/>
  <c r="X683" i="1"/>
  <c r="V684" i="1"/>
  <c r="W684" i="1"/>
  <c r="X684" i="1"/>
  <c r="V685" i="1"/>
  <c r="W685" i="1"/>
  <c r="X685" i="1"/>
  <c r="V686" i="1"/>
  <c r="W686" i="1"/>
  <c r="X686" i="1"/>
  <c r="V687" i="1"/>
  <c r="W687" i="1"/>
  <c r="X687" i="1"/>
  <c r="V688" i="1"/>
  <c r="W688" i="1"/>
  <c r="X688" i="1"/>
  <c r="V689" i="1"/>
  <c r="W689" i="1"/>
  <c r="X689" i="1"/>
  <c r="V690" i="1"/>
  <c r="W690" i="1"/>
  <c r="X690" i="1"/>
  <c r="V691" i="1"/>
  <c r="W691" i="1"/>
  <c r="X691" i="1"/>
  <c r="V692" i="1"/>
  <c r="W692" i="1"/>
  <c r="X692" i="1"/>
  <c r="V693" i="1"/>
  <c r="W693" i="1"/>
  <c r="X693" i="1"/>
  <c r="V694" i="1"/>
  <c r="W694" i="1"/>
  <c r="X694" i="1"/>
  <c r="V695" i="1"/>
  <c r="W695" i="1"/>
  <c r="X695" i="1"/>
  <c r="V724" i="1"/>
  <c r="W724" i="1"/>
  <c r="X724" i="1"/>
  <c r="V725" i="1"/>
  <c r="W725" i="1"/>
  <c r="X725" i="1"/>
  <c r="V726" i="1"/>
  <c r="W726" i="1"/>
  <c r="X726" i="1"/>
  <c r="V727" i="1"/>
  <c r="W727" i="1"/>
  <c r="X727" i="1"/>
  <c r="V728" i="1"/>
  <c r="W728" i="1"/>
  <c r="X728" i="1"/>
  <c r="V729" i="1"/>
  <c r="W729" i="1"/>
  <c r="X729" i="1"/>
  <c r="V730" i="1"/>
  <c r="W730" i="1"/>
  <c r="X730" i="1"/>
  <c r="V731" i="1"/>
  <c r="W731" i="1"/>
  <c r="X731" i="1"/>
  <c r="V732" i="1"/>
  <c r="W732" i="1"/>
  <c r="X732" i="1"/>
  <c r="V733" i="1"/>
  <c r="W733" i="1"/>
  <c r="X733" i="1"/>
  <c r="V734" i="1"/>
  <c r="W734" i="1"/>
  <c r="X734" i="1"/>
  <c r="V735" i="1"/>
  <c r="W735" i="1"/>
  <c r="X735" i="1"/>
  <c r="V736" i="1"/>
  <c r="W736" i="1"/>
  <c r="X736" i="1"/>
  <c r="V737" i="1"/>
  <c r="W737" i="1"/>
  <c r="X737" i="1"/>
  <c r="V738" i="1"/>
  <c r="W738" i="1"/>
  <c r="X738" i="1"/>
  <c r="V739" i="1"/>
  <c r="W739" i="1"/>
  <c r="X739" i="1"/>
  <c r="V740" i="1"/>
  <c r="W740" i="1"/>
  <c r="X740" i="1"/>
  <c r="V741" i="1"/>
  <c r="W741" i="1"/>
  <c r="X741" i="1"/>
  <c r="V742" i="1"/>
  <c r="W742" i="1"/>
  <c r="X742" i="1"/>
  <c r="V743" i="1"/>
  <c r="W743" i="1"/>
  <c r="X743" i="1"/>
  <c r="V744" i="1"/>
  <c r="W744" i="1"/>
  <c r="X744" i="1"/>
  <c r="V745" i="1"/>
  <c r="W745" i="1"/>
  <c r="X745" i="1"/>
  <c r="V746" i="1"/>
  <c r="W746" i="1"/>
  <c r="X746" i="1"/>
  <c r="V747" i="1"/>
  <c r="W747" i="1"/>
  <c r="X747" i="1"/>
  <c r="V748" i="1"/>
  <c r="W748" i="1"/>
  <c r="X748" i="1"/>
  <c r="V749" i="1"/>
  <c r="W749" i="1"/>
  <c r="X749" i="1"/>
  <c r="V750" i="1"/>
  <c r="W750" i="1"/>
  <c r="X750" i="1"/>
  <c r="V751" i="1"/>
  <c r="W751" i="1"/>
  <c r="X751" i="1"/>
  <c r="V752" i="1"/>
  <c r="W752" i="1"/>
  <c r="X752" i="1"/>
  <c r="V817" i="1"/>
  <c r="W817" i="1"/>
  <c r="X817" i="1"/>
  <c r="V818" i="1"/>
  <c r="W818" i="1"/>
  <c r="X818" i="1"/>
  <c r="V819" i="1"/>
  <c r="W819" i="1"/>
  <c r="X819" i="1"/>
  <c r="V820" i="1"/>
  <c r="W820" i="1"/>
  <c r="X820" i="1"/>
  <c r="V821" i="1"/>
  <c r="W821" i="1"/>
  <c r="X821" i="1"/>
  <c r="V822" i="1"/>
  <c r="W822" i="1"/>
  <c r="X822" i="1"/>
  <c r="V823" i="1"/>
  <c r="W823" i="1"/>
  <c r="X823" i="1"/>
  <c r="V824" i="1"/>
  <c r="W824" i="1"/>
  <c r="X824" i="1"/>
  <c r="V825" i="1"/>
  <c r="W825" i="1"/>
  <c r="X825" i="1"/>
  <c r="V826" i="1"/>
  <c r="W826" i="1"/>
  <c r="X826" i="1"/>
  <c r="V827" i="1"/>
  <c r="W827" i="1"/>
  <c r="X827" i="1"/>
  <c r="V828" i="1"/>
  <c r="W828" i="1"/>
  <c r="X828" i="1"/>
  <c r="V829" i="1"/>
  <c r="W829" i="1"/>
  <c r="X829" i="1"/>
  <c r="V830" i="1"/>
  <c r="W830" i="1"/>
  <c r="X830" i="1"/>
  <c r="V831" i="1"/>
  <c r="W831" i="1"/>
  <c r="X831" i="1"/>
  <c r="V832" i="1"/>
  <c r="W832" i="1"/>
  <c r="X832" i="1"/>
  <c r="V833" i="1"/>
  <c r="W833" i="1"/>
  <c r="X833" i="1"/>
  <c r="V834" i="1"/>
  <c r="W834" i="1"/>
  <c r="X834" i="1"/>
  <c r="V835" i="1"/>
  <c r="W835" i="1"/>
  <c r="X835" i="1"/>
  <c r="V836" i="1"/>
  <c r="W836" i="1"/>
  <c r="X836" i="1"/>
  <c r="V837" i="1"/>
  <c r="W837" i="1"/>
  <c r="X837" i="1"/>
  <c r="V838" i="1"/>
  <c r="W838" i="1"/>
  <c r="X838" i="1"/>
  <c r="V839" i="1"/>
  <c r="W839" i="1"/>
  <c r="X839" i="1"/>
  <c r="V840" i="1"/>
  <c r="W840" i="1"/>
  <c r="X840" i="1"/>
  <c r="V841" i="1"/>
  <c r="W841" i="1"/>
  <c r="X841" i="1"/>
  <c r="V842" i="1"/>
  <c r="W842" i="1"/>
  <c r="X842" i="1"/>
  <c r="V843" i="1"/>
  <c r="W843" i="1"/>
  <c r="X843" i="1"/>
  <c r="V844" i="1"/>
  <c r="W844" i="1"/>
  <c r="X844" i="1"/>
  <c r="V845" i="1"/>
  <c r="W845" i="1"/>
  <c r="X845" i="1"/>
  <c r="V1252" i="1"/>
  <c r="W1252" i="1"/>
  <c r="X1252" i="1"/>
  <c r="V1251" i="1"/>
  <c r="W1251" i="1"/>
  <c r="X1251" i="1"/>
  <c r="V1250" i="1"/>
  <c r="W1250" i="1"/>
  <c r="X1250" i="1"/>
  <c r="V1249" i="1"/>
  <c r="W1249" i="1"/>
  <c r="X1249" i="1"/>
  <c r="V1248" i="1"/>
  <c r="W1248" i="1"/>
  <c r="X1248" i="1"/>
  <c r="V1247" i="1"/>
  <c r="W1247" i="1"/>
  <c r="X1247" i="1"/>
  <c r="V1246" i="1"/>
  <c r="W1246" i="1"/>
  <c r="X1246" i="1"/>
  <c r="V1245" i="1"/>
  <c r="W1245" i="1"/>
  <c r="X1245" i="1"/>
  <c r="V1244" i="1"/>
  <c r="W1244" i="1"/>
  <c r="X1244" i="1"/>
  <c r="V1243" i="1"/>
  <c r="W1243" i="1"/>
  <c r="X1243" i="1"/>
  <c r="V1242" i="1"/>
  <c r="W1242" i="1"/>
  <c r="X1242" i="1"/>
  <c r="V1241" i="1"/>
  <c r="W1241" i="1"/>
  <c r="X1241" i="1"/>
  <c r="V1240" i="1"/>
  <c r="W1240" i="1"/>
  <c r="X1240" i="1"/>
  <c r="V1239" i="1"/>
  <c r="W1239" i="1"/>
  <c r="X1239" i="1"/>
  <c r="V1238" i="1"/>
  <c r="W1238" i="1"/>
  <c r="X1238" i="1"/>
  <c r="V1237" i="1"/>
  <c r="W1237" i="1"/>
  <c r="X1237" i="1"/>
  <c r="V1236" i="1"/>
  <c r="W1236" i="1"/>
  <c r="X1236" i="1"/>
  <c r="V1235" i="1"/>
  <c r="W1235" i="1"/>
  <c r="X1235" i="1"/>
  <c r="V1234" i="1"/>
  <c r="W1234" i="1"/>
  <c r="X1234" i="1"/>
  <c r="V788" i="1"/>
  <c r="W788" i="1"/>
  <c r="X788" i="1"/>
  <c r="V787" i="1"/>
  <c r="W787" i="1"/>
  <c r="X787" i="1"/>
  <c r="V786" i="1"/>
  <c r="W786" i="1"/>
  <c r="X786" i="1"/>
  <c r="V785" i="1"/>
  <c r="W785" i="1"/>
  <c r="X785" i="1"/>
  <c r="V784" i="1"/>
  <c r="W784" i="1"/>
  <c r="X784" i="1"/>
  <c r="V783" i="1"/>
  <c r="W783" i="1"/>
  <c r="X783" i="1"/>
  <c r="V782" i="1"/>
  <c r="W782" i="1"/>
  <c r="X782" i="1"/>
  <c r="V781" i="1"/>
  <c r="W781" i="1"/>
  <c r="X781" i="1"/>
  <c r="V780" i="1"/>
  <c r="W780" i="1"/>
  <c r="X780" i="1"/>
  <c r="V887" i="1"/>
  <c r="W887" i="1"/>
  <c r="X887" i="1"/>
  <c r="V886" i="1"/>
  <c r="W886" i="1"/>
  <c r="X886" i="1"/>
  <c r="V885" i="1"/>
  <c r="W885" i="1"/>
  <c r="X885" i="1"/>
  <c r="V884" i="1"/>
  <c r="W884" i="1"/>
  <c r="X884" i="1"/>
  <c r="V883" i="1"/>
  <c r="W883" i="1"/>
  <c r="X883" i="1"/>
  <c r="V882" i="1"/>
  <c r="W882" i="1"/>
  <c r="X882" i="1"/>
  <c r="V889" i="1"/>
  <c r="W889" i="1"/>
  <c r="X889" i="1"/>
  <c r="V890" i="1"/>
  <c r="W890" i="1"/>
  <c r="X890" i="1"/>
  <c r="V891" i="1"/>
  <c r="W891" i="1"/>
  <c r="X891" i="1"/>
  <c r="V892" i="1"/>
  <c r="W892" i="1"/>
  <c r="X892" i="1"/>
  <c r="V893" i="1"/>
  <c r="W893" i="1"/>
  <c r="X893" i="1"/>
  <c r="V894" i="1"/>
  <c r="W894" i="1"/>
  <c r="X894" i="1"/>
  <c r="V895" i="1"/>
  <c r="W895" i="1"/>
  <c r="X895" i="1"/>
  <c r="V896" i="1"/>
  <c r="W896" i="1"/>
  <c r="X896" i="1"/>
  <c r="V897" i="1"/>
  <c r="W897" i="1"/>
  <c r="X897" i="1"/>
  <c r="V898" i="1"/>
  <c r="W898" i="1"/>
  <c r="X898" i="1"/>
  <c r="V899" i="1"/>
  <c r="W899" i="1"/>
  <c r="X899" i="1"/>
  <c r="V900" i="1"/>
  <c r="W900" i="1"/>
  <c r="X900" i="1"/>
  <c r="V901" i="1"/>
  <c r="W901" i="1"/>
  <c r="X901" i="1"/>
  <c r="V902" i="1"/>
  <c r="W902" i="1"/>
  <c r="X902" i="1"/>
  <c r="V903" i="1"/>
  <c r="W903" i="1"/>
  <c r="X903" i="1"/>
  <c r="V904" i="1"/>
  <c r="W904" i="1"/>
  <c r="X904" i="1"/>
  <c r="V905" i="1"/>
  <c r="W905" i="1"/>
  <c r="X905" i="1"/>
  <c r="V906" i="1"/>
  <c r="W906" i="1"/>
  <c r="X906" i="1"/>
  <c r="V907" i="1"/>
  <c r="W907" i="1"/>
  <c r="X907" i="1"/>
  <c r="V908" i="1"/>
  <c r="W908" i="1"/>
  <c r="X908" i="1"/>
  <c r="V909" i="1"/>
  <c r="W909" i="1"/>
  <c r="X909" i="1"/>
  <c r="V910" i="1"/>
  <c r="W910" i="1"/>
  <c r="X910" i="1"/>
  <c r="V911" i="1"/>
  <c r="W911" i="1"/>
  <c r="X911" i="1"/>
  <c r="V912" i="1"/>
  <c r="W912" i="1"/>
  <c r="X912" i="1"/>
  <c r="V913" i="1"/>
  <c r="W913" i="1"/>
  <c r="X913" i="1"/>
  <c r="V914" i="1"/>
  <c r="W914" i="1"/>
  <c r="X914" i="1"/>
  <c r="V915" i="1"/>
  <c r="W915" i="1"/>
  <c r="X915" i="1"/>
  <c r="V916" i="1"/>
  <c r="W916" i="1"/>
  <c r="X916" i="1"/>
  <c r="V917" i="1"/>
  <c r="W917" i="1"/>
  <c r="X917" i="1"/>
  <c r="V918" i="1"/>
  <c r="W918" i="1"/>
  <c r="X918" i="1"/>
  <c r="V919" i="1"/>
  <c r="W919" i="1"/>
  <c r="X919" i="1"/>
  <c r="V920" i="1"/>
  <c r="W920" i="1"/>
  <c r="X920" i="1"/>
  <c r="V921" i="1"/>
  <c r="W921" i="1"/>
  <c r="X921" i="1"/>
  <c r="V922" i="1"/>
  <c r="W922" i="1"/>
  <c r="X922" i="1"/>
  <c r="V923" i="1"/>
  <c r="W923" i="1"/>
  <c r="X923" i="1"/>
  <c r="V924" i="1"/>
  <c r="W924" i="1"/>
  <c r="X924" i="1"/>
  <c r="V925" i="1"/>
  <c r="W925" i="1"/>
  <c r="X925" i="1"/>
  <c r="V926" i="1"/>
  <c r="W926" i="1"/>
  <c r="X926" i="1"/>
  <c r="V927" i="1"/>
  <c r="W927" i="1"/>
  <c r="X927" i="1"/>
  <c r="V928" i="1"/>
  <c r="W928" i="1"/>
  <c r="X928" i="1"/>
  <c r="V929" i="1"/>
  <c r="W929" i="1"/>
  <c r="X929" i="1"/>
  <c r="V930" i="1"/>
  <c r="W930" i="1"/>
  <c r="X930" i="1"/>
  <c r="V931" i="1"/>
  <c r="W931" i="1"/>
  <c r="X931" i="1"/>
  <c r="V932" i="1"/>
  <c r="W932" i="1"/>
  <c r="X932" i="1"/>
  <c r="V933" i="1"/>
  <c r="W933" i="1"/>
  <c r="X933" i="1"/>
  <c r="V934" i="1"/>
  <c r="W934" i="1"/>
  <c r="X934" i="1"/>
  <c r="V935" i="1"/>
  <c r="W935" i="1"/>
  <c r="X935" i="1"/>
  <c r="V936" i="1"/>
  <c r="W936" i="1"/>
  <c r="X936" i="1"/>
  <c r="V937" i="1"/>
  <c r="W937" i="1"/>
  <c r="X937" i="1"/>
  <c r="V938" i="1"/>
  <c r="W938" i="1"/>
  <c r="X938" i="1"/>
  <c r="V939" i="1"/>
  <c r="W939" i="1"/>
  <c r="X939" i="1"/>
  <c r="V940" i="1"/>
  <c r="W940" i="1"/>
  <c r="X940" i="1"/>
  <c r="V941" i="1"/>
  <c r="W941" i="1"/>
  <c r="X941" i="1"/>
  <c r="V942" i="1"/>
  <c r="W942" i="1"/>
  <c r="X942" i="1"/>
  <c r="V943" i="1"/>
  <c r="W943" i="1"/>
  <c r="X943" i="1"/>
  <c r="V944" i="1"/>
  <c r="W944" i="1"/>
  <c r="X944" i="1"/>
  <c r="V945" i="1"/>
  <c r="W945" i="1"/>
  <c r="X945" i="1"/>
  <c r="V946" i="1"/>
  <c r="W946" i="1"/>
  <c r="X946" i="1"/>
  <c r="V947" i="1"/>
  <c r="W947" i="1"/>
  <c r="X947" i="1"/>
  <c r="V948" i="1"/>
  <c r="W948" i="1"/>
  <c r="X948" i="1"/>
  <c r="V949" i="1"/>
  <c r="W949" i="1"/>
  <c r="X949" i="1"/>
  <c r="V950" i="1"/>
  <c r="W950" i="1"/>
  <c r="X950" i="1"/>
  <c r="V951" i="1"/>
  <c r="W951" i="1"/>
  <c r="X951" i="1"/>
  <c r="V952" i="1"/>
  <c r="W952" i="1"/>
  <c r="X952" i="1"/>
  <c r="V953" i="1"/>
  <c r="W953" i="1"/>
  <c r="X953" i="1"/>
  <c r="V954" i="1"/>
  <c r="W954" i="1"/>
  <c r="X954" i="1"/>
  <c r="V955" i="1"/>
  <c r="W955" i="1"/>
  <c r="X955" i="1"/>
  <c r="V956" i="1"/>
  <c r="W956" i="1"/>
  <c r="X956" i="1"/>
  <c r="V957" i="1"/>
  <c r="W957" i="1"/>
  <c r="X957" i="1"/>
  <c r="V958" i="1"/>
  <c r="W958" i="1"/>
  <c r="X958" i="1"/>
  <c r="V959" i="1"/>
  <c r="W959" i="1"/>
  <c r="X959" i="1"/>
  <c r="V960" i="1"/>
  <c r="W960" i="1"/>
  <c r="X960" i="1"/>
  <c r="V961" i="1"/>
  <c r="W961" i="1"/>
  <c r="X961" i="1"/>
  <c r="V962" i="1"/>
  <c r="W962" i="1"/>
  <c r="X962" i="1"/>
  <c r="V963" i="1"/>
  <c r="W963" i="1"/>
  <c r="X963" i="1"/>
  <c r="V964" i="1"/>
  <c r="W964" i="1"/>
  <c r="X964" i="1"/>
  <c r="V965" i="1"/>
  <c r="W965" i="1"/>
  <c r="X965" i="1"/>
  <c r="V966" i="1"/>
  <c r="W966" i="1"/>
  <c r="X966" i="1"/>
  <c r="V967" i="1"/>
  <c r="W967" i="1"/>
  <c r="X967" i="1"/>
  <c r="V968" i="1"/>
  <c r="W968" i="1"/>
  <c r="X968" i="1"/>
  <c r="V969" i="1"/>
  <c r="W969" i="1"/>
  <c r="X969" i="1"/>
  <c r="V970" i="1"/>
  <c r="W970" i="1"/>
  <c r="X970" i="1"/>
  <c r="V971" i="1"/>
  <c r="W971" i="1"/>
  <c r="X971" i="1"/>
  <c r="V972" i="1"/>
  <c r="W972" i="1"/>
  <c r="X972" i="1"/>
  <c r="V973" i="1"/>
  <c r="W973" i="1"/>
  <c r="X973" i="1"/>
  <c r="V974" i="1"/>
  <c r="W974" i="1"/>
  <c r="X974" i="1"/>
  <c r="V975" i="1"/>
  <c r="W975" i="1"/>
  <c r="X975" i="1"/>
  <c r="V976" i="1"/>
  <c r="W976" i="1"/>
  <c r="X976" i="1"/>
  <c r="V977" i="1"/>
  <c r="W977" i="1"/>
  <c r="X977" i="1"/>
  <c r="V978" i="1"/>
  <c r="W978" i="1"/>
  <c r="X978" i="1"/>
  <c r="V979" i="1"/>
  <c r="W979" i="1"/>
  <c r="X979" i="1"/>
  <c r="V980" i="1"/>
  <c r="W980" i="1"/>
  <c r="X980" i="1"/>
  <c r="V981" i="1"/>
  <c r="W981" i="1"/>
  <c r="X981" i="1"/>
  <c r="V982" i="1"/>
  <c r="W982" i="1"/>
  <c r="X982" i="1"/>
  <c r="V983" i="1"/>
  <c r="W983" i="1"/>
  <c r="X983" i="1"/>
  <c r="V984" i="1"/>
  <c r="W984" i="1"/>
  <c r="X984" i="1"/>
  <c r="V985" i="1"/>
  <c r="W985" i="1"/>
  <c r="X985" i="1"/>
  <c r="V986" i="1"/>
  <c r="W986" i="1"/>
  <c r="X986" i="1"/>
  <c r="V987" i="1"/>
  <c r="W987" i="1"/>
  <c r="X987" i="1"/>
  <c r="V988" i="1"/>
  <c r="W988" i="1"/>
  <c r="X988" i="1"/>
  <c r="V989" i="1"/>
  <c r="W989" i="1"/>
  <c r="X989" i="1"/>
  <c r="V990" i="1"/>
  <c r="W990" i="1"/>
  <c r="X990" i="1"/>
  <c r="V991" i="1"/>
  <c r="W991" i="1"/>
  <c r="X991" i="1"/>
  <c r="V888" i="1"/>
  <c r="W888" i="1"/>
  <c r="X888" i="1"/>
  <c r="P544" i="1"/>
  <c r="Q544" i="1"/>
  <c r="R544" i="1"/>
  <c r="P545" i="1"/>
  <c r="Q545" i="1"/>
  <c r="R545" i="1"/>
  <c r="P546" i="1"/>
  <c r="Q546" i="1"/>
  <c r="R546" i="1"/>
  <c r="P547" i="1"/>
  <c r="Q547" i="1"/>
  <c r="R547" i="1"/>
  <c r="P548" i="1"/>
  <c r="W548" i="1"/>
  <c r="X548" i="1"/>
  <c r="Q548" i="1"/>
  <c r="R548" i="1"/>
  <c r="P549" i="1"/>
  <c r="Q549" i="1"/>
  <c r="R549" i="1"/>
  <c r="P550" i="1"/>
  <c r="Q550" i="1"/>
  <c r="R550" i="1"/>
  <c r="P551" i="1"/>
  <c r="Q551" i="1"/>
  <c r="R551" i="1"/>
  <c r="P552" i="1"/>
  <c r="Q552" i="1"/>
  <c r="R552" i="1"/>
  <c r="P553" i="1"/>
  <c r="Q553" i="1"/>
  <c r="R553" i="1"/>
  <c r="P554" i="1"/>
  <c r="W554" i="1"/>
  <c r="X554" i="1"/>
  <c r="Q554" i="1"/>
  <c r="R554" i="1"/>
  <c r="P555" i="1"/>
  <c r="Q555" i="1"/>
  <c r="R555" i="1"/>
  <c r="V1039" i="1"/>
  <c r="W1039" i="1"/>
  <c r="V1040" i="1"/>
  <c r="W1040" i="1"/>
  <c r="V1041" i="1"/>
  <c r="W1041" i="1"/>
  <c r="V1042" i="1"/>
  <c r="W1042" i="1"/>
  <c r="V1043" i="1"/>
  <c r="W1043" i="1"/>
  <c r="V1044" i="1"/>
  <c r="W1044" i="1"/>
  <c r="V1045" i="1"/>
  <c r="W1045" i="1"/>
  <c r="V1046" i="1"/>
  <c r="W1046" i="1"/>
  <c r="V1047" i="1"/>
  <c r="W1047" i="1"/>
  <c r="V1048" i="1"/>
  <c r="W1048" i="1"/>
  <c r="V1049" i="1"/>
  <c r="W1049" i="1"/>
  <c r="V1050" i="1"/>
  <c r="W1050" i="1"/>
  <c r="V1051" i="1"/>
  <c r="W1051" i="1"/>
  <c r="V1052" i="1"/>
  <c r="W1052" i="1"/>
  <c r="V1053" i="1"/>
  <c r="W1053" i="1"/>
  <c r="V1054" i="1"/>
  <c r="W1054" i="1"/>
  <c r="V1055" i="1"/>
  <c r="W1055" i="1"/>
  <c r="V1056" i="1"/>
  <c r="W1056" i="1"/>
  <c r="V1057" i="1"/>
  <c r="W1057" i="1"/>
  <c r="V1058" i="1"/>
  <c r="W1058" i="1"/>
  <c r="V1059" i="1"/>
  <c r="W1059" i="1"/>
  <c r="V1060" i="1"/>
  <c r="W1060" i="1"/>
  <c r="V1061" i="1"/>
  <c r="W1061" i="1"/>
  <c r="V1062" i="1"/>
  <c r="W1062" i="1"/>
  <c r="V1063" i="1"/>
  <c r="W1063" i="1"/>
  <c r="V1064" i="1"/>
  <c r="W1064" i="1"/>
  <c r="V1065" i="1"/>
  <c r="W1065" i="1"/>
  <c r="V1066" i="1"/>
  <c r="W1066" i="1"/>
  <c r="V1067" i="1"/>
  <c r="W1067" i="1"/>
  <c r="V1068" i="1"/>
  <c r="W1068" i="1"/>
  <c r="V1069" i="1"/>
  <c r="W1069" i="1"/>
  <c r="V1070" i="1"/>
  <c r="W1070" i="1"/>
  <c r="V1071" i="1"/>
  <c r="W1071" i="1"/>
  <c r="V1072" i="1"/>
  <c r="W1072" i="1"/>
  <c r="V1073" i="1"/>
  <c r="W1073" i="1"/>
  <c r="V1074" i="1"/>
  <c r="W1074" i="1"/>
  <c r="V1075" i="1"/>
  <c r="W1075" i="1"/>
  <c r="V1076" i="1"/>
  <c r="W1076" i="1"/>
  <c r="V1077" i="1"/>
  <c r="W1077" i="1"/>
  <c r="V1078" i="1"/>
  <c r="W1078" i="1"/>
  <c r="V1079" i="1"/>
  <c r="W1079" i="1"/>
  <c r="V1080" i="1"/>
  <c r="W1080" i="1"/>
  <c r="V1081" i="1"/>
  <c r="W1081" i="1"/>
  <c r="V1082" i="1"/>
  <c r="W1082" i="1"/>
  <c r="V1083" i="1"/>
  <c r="W1083" i="1"/>
  <c r="V1084" i="1"/>
  <c r="W1084" i="1"/>
  <c r="V1085" i="1"/>
  <c r="W1085" i="1"/>
  <c r="V1086" i="1"/>
  <c r="W1086" i="1"/>
  <c r="V1087" i="1"/>
  <c r="W1087" i="1"/>
  <c r="V1088" i="1"/>
  <c r="W1088" i="1"/>
  <c r="V1089" i="1"/>
  <c r="W1089" i="1"/>
  <c r="V1090" i="1"/>
  <c r="W1090" i="1"/>
  <c r="V1091" i="1"/>
  <c r="W1091" i="1"/>
  <c r="V1092" i="1"/>
  <c r="W1092" i="1"/>
  <c r="V1093" i="1"/>
  <c r="W1093" i="1"/>
  <c r="V1094" i="1"/>
  <c r="W1094" i="1"/>
  <c r="V1095" i="1"/>
  <c r="W1095" i="1"/>
  <c r="V1096" i="1"/>
  <c r="W1096" i="1"/>
  <c r="V1097" i="1"/>
  <c r="W1097" i="1"/>
  <c r="V1098" i="1"/>
  <c r="W1098" i="1"/>
  <c r="V1099" i="1"/>
  <c r="W1099" i="1"/>
  <c r="V1038" i="1"/>
  <c r="W1038" i="1"/>
  <c r="V600" i="1"/>
  <c r="W600" i="1"/>
  <c r="V601" i="1"/>
  <c r="W601" i="1"/>
  <c r="V602" i="1"/>
  <c r="W602" i="1"/>
  <c r="V603" i="1"/>
  <c r="W603" i="1"/>
  <c r="V604" i="1"/>
  <c r="W604" i="1"/>
  <c r="V605" i="1"/>
  <c r="W605" i="1"/>
  <c r="V606" i="1"/>
  <c r="W606" i="1"/>
  <c r="V607" i="1"/>
  <c r="W607" i="1"/>
  <c r="V608" i="1"/>
  <c r="W608" i="1"/>
  <c r="V609" i="1"/>
  <c r="W609" i="1"/>
  <c r="V610" i="1"/>
  <c r="W610" i="1"/>
  <c r="V611" i="1"/>
  <c r="W611" i="1"/>
  <c r="V612" i="1"/>
  <c r="W612" i="1"/>
  <c r="V613" i="1"/>
  <c r="W613" i="1"/>
  <c r="V753" i="1"/>
  <c r="W753" i="1"/>
  <c r="V754" i="1"/>
  <c r="W754" i="1"/>
  <c r="V755" i="1"/>
  <c r="W755" i="1"/>
  <c r="V756" i="1"/>
  <c r="W756" i="1"/>
  <c r="V757" i="1"/>
  <c r="W757" i="1"/>
  <c r="V758" i="1"/>
  <c r="W758" i="1"/>
  <c r="V759" i="1"/>
  <c r="W759" i="1"/>
  <c r="V760" i="1"/>
  <c r="W760" i="1"/>
  <c r="V761" i="1"/>
  <c r="W761" i="1"/>
  <c r="V762" i="1"/>
  <c r="W762" i="1"/>
  <c r="V763" i="1"/>
  <c r="W763" i="1"/>
  <c r="V764" i="1"/>
  <c r="W764" i="1"/>
  <c r="V765" i="1"/>
  <c r="W765" i="1"/>
  <c r="V766" i="1"/>
  <c r="W766" i="1"/>
  <c r="V767" i="1"/>
  <c r="W767" i="1"/>
  <c r="V768" i="1"/>
  <c r="W768" i="1"/>
  <c r="V769" i="1"/>
  <c r="W769" i="1"/>
  <c r="V770" i="1"/>
  <c r="W770" i="1"/>
  <c r="V771" i="1"/>
  <c r="W771" i="1"/>
  <c r="V772" i="1"/>
  <c r="W772" i="1"/>
  <c r="V773" i="1"/>
  <c r="W773" i="1"/>
  <c r="V774" i="1"/>
  <c r="W774" i="1"/>
  <c r="V775" i="1"/>
  <c r="W775" i="1"/>
  <c r="V776" i="1"/>
  <c r="W776" i="1"/>
  <c r="V777" i="1"/>
  <c r="W777" i="1"/>
  <c r="V778" i="1"/>
  <c r="W778" i="1"/>
  <c r="V779" i="1"/>
  <c r="W779" i="1"/>
  <c r="V5092" i="1"/>
  <c r="W5092" i="1"/>
  <c r="V5093" i="1"/>
  <c r="W5093" i="1"/>
  <c r="V5094" i="1"/>
  <c r="W5094" i="1"/>
  <c r="V5095" i="1"/>
  <c r="W5095" i="1"/>
  <c r="V5096" i="1"/>
  <c r="W5096" i="1"/>
  <c r="V5097" i="1"/>
  <c r="W5097" i="1"/>
  <c r="V5098" i="1"/>
  <c r="W5098" i="1"/>
  <c r="V5099" i="1"/>
  <c r="W5099" i="1"/>
  <c r="V5100" i="1"/>
  <c r="W5100" i="1"/>
  <c r="V5101" i="1"/>
  <c r="W5101" i="1"/>
  <c r="V5102" i="1"/>
  <c r="W5102" i="1"/>
  <c r="V5103" i="1"/>
  <c r="W5103" i="1"/>
  <c r="V5104" i="1"/>
  <c r="W5104" i="1"/>
  <c r="V5105" i="1"/>
  <c r="W5105" i="1"/>
  <c r="V5106" i="1"/>
  <c r="W5106" i="1"/>
  <c r="V5107" i="1"/>
  <c r="W5107" i="1"/>
  <c r="V5108" i="1"/>
  <c r="W5108" i="1"/>
  <c r="V5109" i="1"/>
  <c r="W5109" i="1"/>
  <c r="V5110" i="1"/>
  <c r="W5110" i="1"/>
  <c r="V5111" i="1"/>
  <c r="W5111" i="1"/>
  <c r="V5112" i="1"/>
  <c r="W5112" i="1"/>
  <c r="V5113" i="1"/>
  <c r="W5113" i="1"/>
  <c r="V5114" i="1"/>
  <c r="W5114" i="1"/>
  <c r="V5115" i="1"/>
  <c r="W5115" i="1"/>
  <c r="V5116" i="1"/>
  <c r="W5116" i="1"/>
  <c r="V5117" i="1"/>
  <c r="W5117" i="1"/>
  <c r="V5118" i="1"/>
  <c r="W5118" i="1"/>
  <c r="V5119" i="1"/>
  <c r="W5119" i="1"/>
  <c r="V5120" i="1"/>
  <c r="W5120" i="1"/>
  <c r="V5121" i="1"/>
  <c r="W5121" i="1"/>
  <c r="V5122" i="1"/>
  <c r="W5122" i="1"/>
  <c r="V5123" i="1"/>
  <c r="W5123" i="1"/>
  <c r="V5124" i="1"/>
  <c r="W5124" i="1"/>
  <c r="V5125" i="1"/>
  <c r="W5125" i="1"/>
  <c r="V5126" i="1"/>
  <c r="W5126" i="1"/>
  <c r="V5127" i="1"/>
  <c r="W5127" i="1"/>
  <c r="V5128" i="1"/>
  <c r="W5128" i="1"/>
  <c r="V5129" i="1"/>
  <c r="W5129" i="1"/>
  <c r="V5130" i="1"/>
  <c r="W5130" i="1"/>
  <c r="V5131" i="1"/>
  <c r="W5131" i="1"/>
  <c r="V5132" i="1"/>
  <c r="W5132" i="1"/>
  <c r="V5133" i="1"/>
  <c r="W5133" i="1"/>
  <c r="V5134" i="1"/>
  <c r="W5134" i="1"/>
  <c r="V5135" i="1"/>
  <c r="W5135" i="1"/>
  <c r="V5136" i="1"/>
  <c r="W5136" i="1"/>
  <c r="V5137" i="1"/>
  <c r="W5137" i="1"/>
  <c r="V5138" i="1"/>
  <c r="W5138" i="1"/>
  <c r="V5139" i="1"/>
  <c r="W5139" i="1"/>
  <c r="V5140" i="1"/>
  <c r="W5140" i="1"/>
  <c r="V5141" i="1"/>
  <c r="W5141" i="1"/>
  <c r="V5142" i="1"/>
  <c r="W5142" i="1"/>
  <c r="V5143" i="1"/>
  <c r="W5143" i="1"/>
  <c r="V5144" i="1"/>
  <c r="W5144" i="1"/>
  <c r="V5145" i="1"/>
  <c r="W5145" i="1"/>
  <c r="V5146" i="1"/>
  <c r="W5146" i="1"/>
  <c r="V5147" i="1"/>
  <c r="W5147" i="1"/>
  <c r="V5148" i="1"/>
  <c r="W5148" i="1"/>
  <c r="V5149" i="1"/>
  <c r="W5149" i="1"/>
  <c r="V5150" i="1"/>
  <c r="W5150" i="1"/>
  <c r="V5151" i="1"/>
  <c r="W5151" i="1"/>
  <c r="V5152" i="1"/>
  <c r="W5152" i="1"/>
  <c r="V5153" i="1"/>
  <c r="W5153" i="1"/>
  <c r="V5154" i="1"/>
  <c r="W5154" i="1"/>
  <c r="V5155" i="1"/>
  <c r="W5155" i="1"/>
  <c r="V5156" i="1"/>
  <c r="W5156" i="1"/>
  <c r="V5157" i="1"/>
  <c r="W5157" i="1"/>
  <c r="V5158" i="1"/>
  <c r="W5158" i="1"/>
  <c r="V5159" i="1"/>
  <c r="W5159" i="1"/>
  <c r="V5160" i="1"/>
  <c r="W5160" i="1"/>
  <c r="V5161" i="1"/>
  <c r="W5161" i="1"/>
  <c r="V5162" i="1"/>
  <c r="W5162" i="1"/>
  <c r="V5163" i="1"/>
  <c r="W5163" i="1"/>
  <c r="V5164" i="1"/>
  <c r="W5164" i="1"/>
  <c r="V5165" i="1"/>
  <c r="W5165" i="1"/>
  <c r="V5166" i="1"/>
  <c r="W5166" i="1"/>
  <c r="V5167" i="1"/>
  <c r="W5167" i="1"/>
  <c r="V5168" i="1"/>
  <c r="W5168" i="1"/>
  <c r="V5169" i="1"/>
  <c r="W5169" i="1"/>
  <c r="V5170" i="1"/>
  <c r="W5170" i="1"/>
  <c r="V5171" i="1"/>
  <c r="W5171" i="1"/>
  <c r="V5172" i="1"/>
  <c r="W5172" i="1"/>
  <c r="V5173" i="1"/>
  <c r="W5173" i="1"/>
  <c r="V5174" i="1"/>
  <c r="W5174" i="1"/>
  <c r="V5175" i="1"/>
  <c r="W5175" i="1"/>
  <c r="V5176" i="1"/>
  <c r="W5176" i="1"/>
  <c r="V5177" i="1"/>
  <c r="W5177" i="1"/>
  <c r="V5178" i="1"/>
  <c r="W5178" i="1"/>
  <c r="V5179" i="1"/>
  <c r="W5179" i="1"/>
  <c r="V5180" i="1"/>
  <c r="W5180" i="1"/>
  <c r="V5181" i="1"/>
  <c r="W5181" i="1"/>
  <c r="V5182" i="1"/>
  <c r="W5182" i="1"/>
  <c r="V5183" i="1"/>
  <c r="W5183" i="1"/>
  <c r="V5184" i="1"/>
  <c r="W5184" i="1"/>
  <c r="V5185" i="1"/>
  <c r="W5185" i="1"/>
  <c r="V5186" i="1"/>
  <c r="W5186" i="1"/>
  <c r="V5187" i="1"/>
  <c r="W5187" i="1"/>
  <c r="V5188" i="1"/>
  <c r="W5188" i="1"/>
  <c r="V5189" i="1"/>
  <c r="W5189" i="1"/>
  <c r="V5190" i="1"/>
  <c r="W5190" i="1"/>
  <c r="V5191" i="1"/>
  <c r="W5191" i="1"/>
  <c r="V5192" i="1"/>
  <c r="W5192" i="1"/>
  <c r="V5193" i="1"/>
  <c r="W5193" i="1"/>
  <c r="V5194" i="1"/>
  <c r="W5194" i="1"/>
  <c r="V5195" i="1"/>
  <c r="W5195" i="1"/>
  <c r="V5196" i="1"/>
  <c r="W5196" i="1"/>
  <c r="V5197" i="1"/>
  <c r="W5197" i="1"/>
  <c r="V5198" i="1"/>
  <c r="W5198" i="1"/>
  <c r="V5199" i="1"/>
  <c r="W5199" i="1"/>
  <c r="V5200" i="1"/>
  <c r="W5200" i="1"/>
  <c r="V5201" i="1"/>
  <c r="W5201" i="1"/>
  <c r="V5202" i="1"/>
  <c r="W5202" i="1"/>
  <c r="V5203" i="1"/>
  <c r="W5203" i="1"/>
  <c r="V5204" i="1"/>
  <c r="W5204" i="1"/>
  <c r="V5205" i="1"/>
  <c r="W5205" i="1"/>
  <c r="V5206" i="1"/>
  <c r="W5206" i="1"/>
  <c r="V5207" i="1"/>
  <c r="W5207" i="1"/>
  <c r="V5208" i="1"/>
  <c r="W5208" i="1"/>
  <c r="V5209" i="1"/>
  <c r="W5209" i="1"/>
  <c r="V5210" i="1"/>
  <c r="W5210" i="1"/>
  <c r="V5211" i="1"/>
  <c r="W5211" i="1"/>
  <c r="V5212" i="1"/>
  <c r="W5212" i="1"/>
  <c r="V5213" i="1"/>
  <c r="W5213" i="1"/>
  <c r="V5214" i="1"/>
  <c r="W5214" i="1"/>
  <c r="V5215" i="1"/>
  <c r="W5215" i="1"/>
  <c r="V5216" i="1"/>
  <c r="W5216" i="1"/>
  <c r="V585" i="1"/>
  <c r="W585" i="1"/>
  <c r="V586" i="1"/>
  <c r="W586" i="1"/>
  <c r="V587" i="1"/>
  <c r="W587" i="1"/>
  <c r="V588" i="1"/>
  <c r="W588" i="1"/>
  <c r="V589" i="1"/>
  <c r="W589" i="1"/>
  <c r="V590" i="1"/>
  <c r="W590" i="1"/>
  <c r="V591" i="1"/>
  <c r="W591" i="1"/>
  <c r="V592" i="1"/>
  <c r="W592" i="1"/>
  <c r="V593" i="1"/>
  <c r="W593" i="1"/>
  <c r="V594" i="1"/>
  <c r="W594" i="1"/>
  <c r="V595" i="1"/>
  <c r="W595" i="1"/>
  <c r="V596" i="1"/>
  <c r="W596" i="1"/>
  <c r="V597" i="1"/>
  <c r="W597" i="1"/>
  <c r="V598" i="1"/>
  <c r="W598" i="1"/>
  <c r="V599" i="1"/>
  <c r="W599" i="1"/>
  <c r="V5091" i="1"/>
  <c r="W5091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09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66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" i="1"/>
  <c r="V1474" i="1"/>
  <c r="W1474" i="1"/>
  <c r="V1475" i="1"/>
  <c r="W1475" i="1"/>
  <c r="V1476" i="1"/>
  <c r="W1476" i="1"/>
  <c r="V1477" i="1"/>
  <c r="W1477" i="1"/>
  <c r="V1478" i="1"/>
  <c r="W1478" i="1"/>
  <c r="V1479" i="1"/>
  <c r="W1479" i="1"/>
  <c r="V1480" i="1"/>
  <c r="W1480" i="1"/>
  <c r="V1481" i="1"/>
  <c r="W1481" i="1"/>
  <c r="V1482" i="1"/>
  <c r="W1482" i="1"/>
  <c r="V1483" i="1"/>
  <c r="W1483" i="1"/>
  <c r="V1484" i="1"/>
  <c r="W1484" i="1"/>
  <c r="V1485" i="1"/>
  <c r="W1485" i="1"/>
  <c r="V1486" i="1"/>
  <c r="W1486" i="1"/>
  <c r="V1487" i="1"/>
  <c r="W1487" i="1"/>
  <c r="V1488" i="1"/>
  <c r="W1488" i="1"/>
  <c r="V1489" i="1"/>
  <c r="W1489" i="1"/>
  <c r="V1490" i="1"/>
  <c r="W1490" i="1"/>
  <c r="V1491" i="1"/>
  <c r="W1491" i="1"/>
  <c r="V1492" i="1"/>
  <c r="W1492" i="1"/>
  <c r="V1493" i="1"/>
  <c r="W1493" i="1"/>
  <c r="V1494" i="1"/>
  <c r="W1494" i="1"/>
  <c r="V1495" i="1"/>
  <c r="W1495" i="1"/>
  <c r="V1496" i="1"/>
  <c r="W1496" i="1"/>
  <c r="V1497" i="1"/>
  <c r="W1497" i="1"/>
  <c r="V1498" i="1"/>
  <c r="W1498" i="1"/>
  <c r="V1499" i="1"/>
  <c r="W1499" i="1"/>
  <c r="V1500" i="1"/>
  <c r="W1500" i="1"/>
  <c r="V1501" i="1"/>
  <c r="W1501" i="1"/>
  <c r="V1502" i="1"/>
  <c r="W1502" i="1"/>
  <c r="V1503" i="1"/>
  <c r="W1503" i="1"/>
  <c r="V1504" i="1"/>
  <c r="W1504" i="1"/>
  <c r="V1505" i="1"/>
  <c r="W1505" i="1"/>
  <c r="V1506" i="1"/>
  <c r="W1506" i="1"/>
  <c r="V1507" i="1"/>
  <c r="W1507" i="1"/>
  <c r="V1508" i="1"/>
  <c r="W1508" i="1"/>
  <c r="V1509" i="1"/>
  <c r="W1509" i="1"/>
  <c r="V1510" i="1"/>
  <c r="W1510" i="1"/>
  <c r="V1511" i="1"/>
  <c r="W1511" i="1"/>
  <c r="V1512" i="1"/>
  <c r="W1512" i="1"/>
  <c r="V1513" i="1"/>
  <c r="W1513" i="1"/>
  <c r="V1514" i="1"/>
  <c r="W1514" i="1"/>
  <c r="V1515" i="1"/>
  <c r="W1515" i="1"/>
  <c r="V1516" i="1"/>
  <c r="W1516" i="1"/>
  <c r="V1517" i="1"/>
  <c r="W1517" i="1"/>
  <c r="V1518" i="1"/>
  <c r="W1518" i="1"/>
  <c r="V1519" i="1"/>
  <c r="W1519" i="1"/>
  <c r="V1520" i="1"/>
  <c r="W1520" i="1"/>
  <c r="V1521" i="1"/>
  <c r="W1521" i="1"/>
  <c r="V1522" i="1"/>
  <c r="W1522" i="1"/>
  <c r="V1523" i="1"/>
  <c r="W1523" i="1"/>
  <c r="V1524" i="1"/>
  <c r="W1524" i="1"/>
  <c r="V1525" i="1"/>
  <c r="W1525" i="1"/>
  <c r="V1526" i="1"/>
  <c r="W1526" i="1"/>
  <c r="V1527" i="1"/>
  <c r="W1527" i="1"/>
  <c r="V1528" i="1"/>
  <c r="W1528" i="1"/>
  <c r="V1529" i="1"/>
  <c r="W1529" i="1"/>
  <c r="V1530" i="1"/>
  <c r="W1530" i="1"/>
  <c r="V1531" i="1"/>
  <c r="W1531" i="1"/>
  <c r="V1532" i="1"/>
  <c r="W1532" i="1"/>
  <c r="V1533" i="1"/>
  <c r="W1533" i="1"/>
  <c r="V1534" i="1"/>
  <c r="W1534" i="1"/>
  <c r="V1535" i="1"/>
  <c r="W1535" i="1"/>
  <c r="V1536" i="1"/>
  <c r="W1536" i="1"/>
  <c r="V1537" i="1"/>
  <c r="W1537" i="1"/>
  <c r="V1538" i="1"/>
  <c r="W1538" i="1"/>
  <c r="V1539" i="1"/>
  <c r="W1539" i="1"/>
  <c r="V1540" i="1"/>
  <c r="W1540" i="1"/>
  <c r="V1541" i="1"/>
  <c r="W1541" i="1"/>
  <c r="V1542" i="1"/>
  <c r="W1542" i="1"/>
  <c r="V1543" i="1"/>
  <c r="W1543" i="1"/>
  <c r="V1544" i="1"/>
  <c r="W1544" i="1"/>
  <c r="V1545" i="1"/>
  <c r="W1545" i="1"/>
  <c r="V1546" i="1"/>
  <c r="W1546" i="1"/>
  <c r="V1547" i="1"/>
  <c r="W1547" i="1"/>
  <c r="V1548" i="1"/>
  <c r="W1548" i="1"/>
  <c r="V1549" i="1"/>
  <c r="W1549" i="1"/>
  <c r="V1550" i="1"/>
  <c r="W1550" i="1"/>
  <c r="V1551" i="1"/>
  <c r="W1551" i="1"/>
  <c r="V1552" i="1"/>
  <c r="W1552" i="1"/>
  <c r="V1553" i="1"/>
  <c r="W1553" i="1"/>
  <c r="V1554" i="1"/>
  <c r="W1554" i="1"/>
  <c r="V1555" i="1"/>
  <c r="W1555" i="1"/>
  <c r="V1556" i="1"/>
  <c r="W1556" i="1"/>
  <c r="V1557" i="1"/>
  <c r="W1557" i="1"/>
  <c r="V1558" i="1"/>
  <c r="W1558" i="1"/>
  <c r="V1559" i="1"/>
  <c r="W1559" i="1"/>
  <c r="V1560" i="1"/>
  <c r="W1560" i="1"/>
  <c r="V1561" i="1"/>
  <c r="W1561" i="1"/>
  <c r="V1562" i="1"/>
  <c r="W1562" i="1"/>
  <c r="V1563" i="1"/>
  <c r="W1563" i="1"/>
  <c r="V1564" i="1"/>
  <c r="W1564" i="1"/>
  <c r="V1565" i="1"/>
  <c r="W1565" i="1"/>
  <c r="V1566" i="1"/>
  <c r="W1566" i="1"/>
  <c r="V1567" i="1"/>
  <c r="W1567" i="1"/>
  <c r="V1568" i="1"/>
  <c r="W1568" i="1"/>
  <c r="V1569" i="1"/>
  <c r="W1569" i="1"/>
  <c r="V1570" i="1"/>
  <c r="W1570" i="1"/>
  <c r="V1571" i="1"/>
  <c r="W1571" i="1"/>
  <c r="V1572" i="1"/>
  <c r="W1572" i="1"/>
  <c r="V1573" i="1"/>
  <c r="W1573" i="1"/>
  <c r="V1574" i="1"/>
  <c r="W1574" i="1"/>
  <c r="V1575" i="1"/>
  <c r="W1575" i="1"/>
  <c r="V1576" i="1"/>
  <c r="W1576" i="1"/>
  <c r="V1577" i="1"/>
  <c r="W1577" i="1"/>
  <c r="V1578" i="1"/>
  <c r="W1578" i="1"/>
  <c r="V1579" i="1"/>
  <c r="W1579" i="1"/>
  <c r="V1580" i="1"/>
  <c r="W1580" i="1"/>
  <c r="V1581" i="1"/>
  <c r="W1581" i="1"/>
  <c r="V1582" i="1"/>
  <c r="W1582" i="1"/>
  <c r="V1583" i="1"/>
  <c r="W1583" i="1"/>
  <c r="V1584" i="1"/>
  <c r="W1584" i="1"/>
  <c r="V1585" i="1"/>
  <c r="W1585" i="1"/>
  <c r="V1586" i="1"/>
  <c r="W1586" i="1"/>
  <c r="V1587" i="1"/>
  <c r="W1587" i="1"/>
  <c r="V1588" i="1"/>
  <c r="W1588" i="1"/>
  <c r="V1589" i="1"/>
  <c r="W1589" i="1"/>
  <c r="V1590" i="1"/>
  <c r="W1590" i="1"/>
  <c r="V1591" i="1"/>
  <c r="W1591" i="1"/>
  <c r="V1592" i="1"/>
  <c r="W1592" i="1"/>
  <c r="V1593" i="1"/>
  <c r="W1593" i="1"/>
  <c r="V1594" i="1"/>
  <c r="W1594" i="1"/>
  <c r="V1595" i="1"/>
  <c r="W1595" i="1"/>
  <c r="V1596" i="1"/>
  <c r="W1596" i="1"/>
  <c r="V1597" i="1"/>
  <c r="W1597" i="1"/>
  <c r="V1598" i="1"/>
  <c r="W1598" i="1"/>
  <c r="V1599" i="1"/>
  <c r="W1599" i="1"/>
  <c r="V1600" i="1"/>
  <c r="W1600" i="1"/>
  <c r="V1601" i="1"/>
  <c r="W1601" i="1"/>
  <c r="V1602" i="1"/>
  <c r="W1602" i="1"/>
  <c r="V1603" i="1"/>
  <c r="W1603" i="1"/>
  <c r="V1604" i="1"/>
  <c r="W1604" i="1"/>
  <c r="V1605" i="1"/>
  <c r="W1605" i="1"/>
  <c r="V1606" i="1"/>
  <c r="W1606" i="1"/>
  <c r="V1607" i="1"/>
  <c r="W1607" i="1"/>
  <c r="V1608" i="1"/>
  <c r="W1608" i="1"/>
  <c r="V1609" i="1"/>
  <c r="W1609" i="1"/>
  <c r="V1610" i="1"/>
  <c r="W1610" i="1"/>
  <c r="V1611" i="1"/>
  <c r="W1611" i="1"/>
  <c r="V1612" i="1"/>
  <c r="W1612" i="1"/>
  <c r="V1613" i="1"/>
  <c r="W1613" i="1"/>
  <c r="V1614" i="1"/>
  <c r="W1614" i="1"/>
  <c r="V1615" i="1"/>
  <c r="W1615" i="1"/>
  <c r="V1616" i="1"/>
  <c r="W1616" i="1"/>
  <c r="V1617" i="1"/>
  <c r="W1617" i="1"/>
  <c r="V1618" i="1"/>
  <c r="W1618" i="1"/>
  <c r="V1619" i="1"/>
  <c r="W1619" i="1"/>
  <c r="V1620" i="1"/>
  <c r="W1620" i="1"/>
  <c r="V1621" i="1"/>
  <c r="W1621" i="1"/>
  <c r="V1622" i="1"/>
  <c r="W1622" i="1"/>
  <c r="V1623" i="1"/>
  <c r="W1623" i="1"/>
  <c r="V1624" i="1"/>
  <c r="W1624" i="1"/>
  <c r="V1625" i="1"/>
  <c r="W1625" i="1"/>
  <c r="V1626" i="1"/>
  <c r="W1626" i="1"/>
  <c r="V1627" i="1"/>
  <c r="W1627" i="1"/>
  <c r="V1628" i="1"/>
  <c r="W1628" i="1"/>
  <c r="V1629" i="1"/>
  <c r="W1629" i="1"/>
  <c r="V1630" i="1"/>
  <c r="W1630" i="1"/>
  <c r="V1631" i="1"/>
  <c r="W1631" i="1"/>
  <c r="V1632" i="1"/>
  <c r="W1632" i="1"/>
  <c r="V1633" i="1"/>
  <c r="W1633" i="1"/>
  <c r="V1634" i="1"/>
  <c r="W1634" i="1"/>
  <c r="V1635" i="1"/>
  <c r="W1635" i="1"/>
  <c r="V1636" i="1"/>
  <c r="W1636" i="1"/>
  <c r="V1637" i="1"/>
  <c r="W1637" i="1"/>
  <c r="V1638" i="1"/>
  <c r="W1638" i="1"/>
  <c r="V1639" i="1"/>
  <c r="W1639" i="1"/>
  <c r="V1640" i="1"/>
  <c r="W1640" i="1"/>
  <c r="V1641" i="1"/>
  <c r="W1641" i="1"/>
  <c r="V1642" i="1"/>
  <c r="W1642" i="1"/>
  <c r="V1643" i="1"/>
  <c r="W1643" i="1"/>
  <c r="V1644" i="1"/>
  <c r="W1644" i="1"/>
  <c r="V1645" i="1"/>
  <c r="W1645" i="1"/>
  <c r="V1646" i="1"/>
  <c r="W1646" i="1"/>
  <c r="V1647" i="1"/>
  <c r="W1647" i="1"/>
  <c r="V1648" i="1"/>
  <c r="W1648" i="1"/>
  <c r="V1649" i="1"/>
  <c r="W1649" i="1"/>
  <c r="V1650" i="1"/>
  <c r="W1650" i="1"/>
  <c r="V1651" i="1"/>
  <c r="W1651" i="1"/>
  <c r="V1652" i="1"/>
  <c r="W1652" i="1"/>
  <c r="V1653" i="1"/>
  <c r="W1653" i="1"/>
  <c r="V1654" i="1"/>
  <c r="W1654" i="1"/>
  <c r="V1655" i="1"/>
  <c r="W1655" i="1"/>
  <c r="V1656" i="1"/>
  <c r="W1656" i="1"/>
  <c r="V1657" i="1"/>
  <c r="W1657" i="1"/>
  <c r="V1658" i="1"/>
  <c r="W1658" i="1"/>
  <c r="V1659" i="1"/>
  <c r="W1659" i="1"/>
  <c r="V1660" i="1"/>
  <c r="W1660" i="1"/>
  <c r="V1661" i="1"/>
  <c r="W1661" i="1"/>
  <c r="V1662" i="1"/>
  <c r="W1662" i="1"/>
  <c r="V1663" i="1"/>
  <c r="W1663" i="1"/>
  <c r="V1664" i="1"/>
  <c r="W1664" i="1"/>
  <c r="V1665" i="1"/>
  <c r="W1665" i="1"/>
  <c r="V1666" i="1"/>
  <c r="W1666" i="1"/>
  <c r="V1667" i="1"/>
  <c r="W1667" i="1"/>
  <c r="V1668" i="1"/>
  <c r="W1668" i="1"/>
  <c r="V1669" i="1"/>
  <c r="W1669" i="1"/>
  <c r="V1670" i="1"/>
  <c r="W1670" i="1"/>
  <c r="V1671" i="1"/>
  <c r="W1671" i="1"/>
  <c r="V1672" i="1"/>
  <c r="W1672" i="1"/>
  <c r="V1673" i="1"/>
  <c r="W1673" i="1"/>
  <c r="V1674" i="1"/>
  <c r="W1674" i="1"/>
  <c r="V1675" i="1"/>
  <c r="W1675" i="1"/>
  <c r="V1676" i="1"/>
  <c r="W1676" i="1"/>
  <c r="V1677" i="1"/>
  <c r="W1677" i="1"/>
  <c r="V1678" i="1"/>
  <c r="W1678" i="1"/>
  <c r="V1679" i="1"/>
  <c r="W1679" i="1"/>
  <c r="V1680" i="1"/>
  <c r="W1680" i="1"/>
  <c r="V1681" i="1"/>
  <c r="W1681" i="1"/>
  <c r="V1682" i="1"/>
  <c r="W1682" i="1"/>
  <c r="V1683" i="1"/>
  <c r="W1683" i="1"/>
  <c r="V1684" i="1"/>
  <c r="W1684" i="1"/>
  <c r="V1685" i="1"/>
  <c r="W1685" i="1"/>
  <c r="V1686" i="1"/>
  <c r="W1686" i="1"/>
  <c r="V1687" i="1"/>
  <c r="W1687" i="1"/>
  <c r="V1688" i="1"/>
  <c r="W1688" i="1"/>
  <c r="V1689" i="1"/>
  <c r="W1689" i="1"/>
  <c r="V1690" i="1"/>
  <c r="W1690" i="1"/>
  <c r="V1691" i="1"/>
  <c r="W1691" i="1"/>
  <c r="V1692" i="1"/>
  <c r="W1692" i="1"/>
  <c r="V1693" i="1"/>
  <c r="W1693" i="1"/>
  <c r="V1694" i="1"/>
  <c r="W1694" i="1"/>
  <c r="V1695" i="1"/>
  <c r="W1695" i="1"/>
  <c r="V1696" i="1"/>
  <c r="W1696" i="1"/>
  <c r="V1697" i="1"/>
  <c r="W1697" i="1"/>
  <c r="V1698" i="1"/>
  <c r="W1698" i="1"/>
  <c r="V1699" i="1"/>
  <c r="W1699" i="1"/>
  <c r="V1700" i="1"/>
  <c r="W1700" i="1"/>
  <c r="V1701" i="1"/>
  <c r="W1701" i="1"/>
  <c r="V1702" i="1"/>
  <c r="W1702" i="1"/>
  <c r="V1703" i="1"/>
  <c r="W1703" i="1"/>
  <c r="V1704" i="1"/>
  <c r="W1704" i="1"/>
  <c r="V1705" i="1"/>
  <c r="W1705" i="1"/>
  <c r="V1706" i="1"/>
  <c r="W1706" i="1"/>
  <c r="V1707" i="1"/>
  <c r="W1707" i="1"/>
  <c r="V1708" i="1"/>
  <c r="W1708" i="1"/>
  <c r="V1709" i="1"/>
  <c r="W1709" i="1"/>
  <c r="V1710" i="1"/>
  <c r="W1710" i="1"/>
  <c r="V1711" i="1"/>
  <c r="W1711" i="1"/>
  <c r="V1712" i="1"/>
  <c r="W1712" i="1"/>
  <c r="V1713" i="1"/>
  <c r="W1713" i="1"/>
  <c r="V1714" i="1"/>
  <c r="W1714" i="1"/>
  <c r="V1715" i="1"/>
  <c r="W1715" i="1"/>
  <c r="V1716" i="1"/>
  <c r="W1716" i="1"/>
  <c r="V1717" i="1"/>
  <c r="W1717" i="1"/>
  <c r="V1718" i="1"/>
  <c r="W1718" i="1"/>
  <c r="V1719" i="1"/>
  <c r="W1719" i="1"/>
  <c r="V1720" i="1"/>
  <c r="W1720" i="1"/>
  <c r="V1721" i="1"/>
  <c r="W1721" i="1"/>
  <c r="V1722" i="1"/>
  <c r="W1722" i="1"/>
  <c r="V1723" i="1"/>
  <c r="W1723" i="1"/>
  <c r="V1724" i="1"/>
  <c r="W1724" i="1"/>
  <c r="V1725" i="1"/>
  <c r="W1725" i="1"/>
  <c r="V1726" i="1"/>
  <c r="W1726" i="1"/>
  <c r="V1727" i="1"/>
  <c r="W1727" i="1"/>
  <c r="V1728" i="1"/>
  <c r="W1728" i="1"/>
  <c r="V1729" i="1"/>
  <c r="W1729" i="1"/>
  <c r="V1730" i="1"/>
  <c r="W1730" i="1"/>
  <c r="V1731" i="1"/>
  <c r="W1731" i="1"/>
  <c r="V1732" i="1"/>
  <c r="W1732" i="1"/>
  <c r="V1733" i="1"/>
  <c r="W1733" i="1"/>
  <c r="V1734" i="1"/>
  <c r="W1734" i="1"/>
  <c r="V1735" i="1"/>
  <c r="W1735" i="1"/>
  <c r="V1736" i="1"/>
  <c r="W1736" i="1"/>
  <c r="V1737" i="1"/>
  <c r="W1737" i="1"/>
  <c r="V1738" i="1"/>
  <c r="W1738" i="1"/>
  <c r="V1739" i="1"/>
  <c r="W1739" i="1"/>
  <c r="V1740" i="1"/>
  <c r="W1740" i="1"/>
  <c r="V1741" i="1"/>
  <c r="W1741" i="1"/>
  <c r="V1742" i="1"/>
  <c r="W1742" i="1"/>
  <c r="V1743" i="1"/>
  <c r="W1743" i="1"/>
  <c r="V1744" i="1"/>
  <c r="W1744" i="1"/>
  <c r="V1745" i="1"/>
  <c r="W1745" i="1"/>
  <c r="V1746" i="1"/>
  <c r="W1746" i="1"/>
  <c r="V1747" i="1"/>
  <c r="W1747" i="1"/>
  <c r="V1748" i="1"/>
  <c r="W1748" i="1"/>
  <c r="V1749" i="1"/>
  <c r="W1749" i="1"/>
  <c r="V1750" i="1"/>
  <c r="W1750" i="1"/>
  <c r="V1751" i="1"/>
  <c r="W1751" i="1"/>
  <c r="V1752" i="1"/>
  <c r="W1752" i="1"/>
  <c r="V1753" i="1"/>
  <c r="W1753" i="1"/>
  <c r="V1754" i="1"/>
  <c r="W1754" i="1"/>
  <c r="V1755" i="1"/>
  <c r="W1755" i="1"/>
  <c r="V1756" i="1"/>
  <c r="W1756" i="1"/>
  <c r="V1757" i="1"/>
  <c r="W1757" i="1"/>
  <c r="V1758" i="1"/>
  <c r="W1758" i="1"/>
  <c r="V1759" i="1"/>
  <c r="W1759" i="1"/>
  <c r="V1760" i="1"/>
  <c r="W1760" i="1"/>
  <c r="V1761" i="1"/>
  <c r="W1761" i="1"/>
  <c r="V1762" i="1"/>
  <c r="W1762" i="1"/>
  <c r="V1763" i="1"/>
  <c r="W1763" i="1"/>
  <c r="V1764" i="1"/>
  <c r="W1764" i="1"/>
  <c r="V1765" i="1"/>
  <c r="W1765" i="1"/>
  <c r="V1766" i="1"/>
  <c r="W1766" i="1"/>
  <c r="V1767" i="1"/>
  <c r="W1767" i="1"/>
  <c r="V1768" i="1"/>
  <c r="W1768" i="1"/>
  <c r="V1769" i="1"/>
  <c r="W1769" i="1"/>
  <c r="V1770" i="1"/>
  <c r="W1770" i="1"/>
  <c r="V1771" i="1"/>
  <c r="W1771" i="1"/>
  <c r="V1772" i="1"/>
  <c r="W1772" i="1"/>
  <c r="V1773" i="1"/>
  <c r="W1773" i="1"/>
  <c r="V1774" i="1"/>
  <c r="W1774" i="1"/>
  <c r="V1775" i="1"/>
  <c r="W1775" i="1"/>
  <c r="V1776" i="1"/>
  <c r="W1776" i="1"/>
  <c r="V1777" i="1"/>
  <c r="W1777" i="1"/>
  <c r="V1778" i="1"/>
  <c r="W1778" i="1"/>
  <c r="V1779" i="1"/>
  <c r="W1779" i="1"/>
  <c r="V1780" i="1"/>
  <c r="W1780" i="1"/>
  <c r="V1781" i="1"/>
  <c r="W1781" i="1"/>
  <c r="V1782" i="1"/>
  <c r="W1782" i="1"/>
  <c r="V1783" i="1"/>
  <c r="W1783" i="1"/>
  <c r="V1784" i="1"/>
  <c r="W1784" i="1"/>
  <c r="V1785" i="1"/>
  <c r="W1785" i="1"/>
  <c r="V1786" i="1"/>
  <c r="W1786" i="1"/>
  <c r="V1787" i="1"/>
  <c r="W1787" i="1"/>
  <c r="V1788" i="1"/>
  <c r="W1788" i="1"/>
  <c r="V1789" i="1"/>
  <c r="W1789" i="1"/>
  <c r="V1790" i="1"/>
  <c r="W1790" i="1"/>
  <c r="V1791" i="1"/>
  <c r="W1791" i="1"/>
  <c r="V1792" i="1"/>
  <c r="W1792" i="1"/>
  <c r="V1793" i="1"/>
  <c r="W1793" i="1"/>
  <c r="V1794" i="1"/>
  <c r="W1794" i="1"/>
  <c r="V1795" i="1"/>
  <c r="W1795" i="1"/>
  <c r="V1796" i="1"/>
  <c r="W1796" i="1"/>
  <c r="V1797" i="1"/>
  <c r="W1797" i="1"/>
  <c r="V1798" i="1"/>
  <c r="W1798" i="1"/>
  <c r="V1799" i="1"/>
  <c r="W1799" i="1"/>
  <c r="V1800" i="1"/>
  <c r="W1800" i="1"/>
  <c r="V1801" i="1"/>
  <c r="W1801" i="1"/>
  <c r="V1802" i="1"/>
  <c r="W1802" i="1"/>
  <c r="V1803" i="1"/>
  <c r="W1803" i="1"/>
  <c r="V1804" i="1"/>
  <c r="W1804" i="1"/>
  <c r="V1805" i="1"/>
  <c r="W1805" i="1"/>
  <c r="V1806" i="1"/>
  <c r="W1806" i="1"/>
  <c r="V1807" i="1"/>
  <c r="W1807" i="1"/>
  <c r="V1808" i="1"/>
  <c r="W1808" i="1"/>
  <c r="V1809" i="1"/>
  <c r="W1809" i="1"/>
  <c r="V1810" i="1"/>
  <c r="W1810" i="1"/>
  <c r="V1811" i="1"/>
  <c r="W1811" i="1"/>
  <c r="V1812" i="1"/>
  <c r="W1812" i="1"/>
  <c r="V1813" i="1"/>
  <c r="W1813" i="1"/>
  <c r="V1814" i="1"/>
  <c r="W1814" i="1"/>
  <c r="V1815" i="1"/>
  <c r="W1815" i="1"/>
  <c r="V1816" i="1"/>
  <c r="W1816" i="1"/>
  <c r="V1817" i="1"/>
  <c r="W1817" i="1"/>
  <c r="V1818" i="1"/>
  <c r="W1818" i="1"/>
  <c r="V1819" i="1"/>
  <c r="W1819" i="1"/>
  <c r="V1820" i="1"/>
  <c r="W1820" i="1"/>
  <c r="V1821" i="1"/>
  <c r="W1821" i="1"/>
  <c r="V1822" i="1"/>
  <c r="W1822" i="1"/>
  <c r="V1823" i="1"/>
  <c r="W1823" i="1"/>
  <c r="V1824" i="1"/>
  <c r="W1824" i="1"/>
  <c r="V1825" i="1"/>
  <c r="W1825" i="1"/>
  <c r="V1826" i="1"/>
  <c r="W1826" i="1"/>
  <c r="V1827" i="1"/>
  <c r="W1827" i="1"/>
  <c r="V1828" i="1"/>
  <c r="W1828" i="1"/>
  <c r="V1829" i="1"/>
  <c r="W1829" i="1"/>
  <c r="V1830" i="1"/>
  <c r="W1830" i="1"/>
  <c r="V1831" i="1"/>
  <c r="W1831" i="1"/>
  <c r="V1832" i="1"/>
  <c r="W1832" i="1"/>
  <c r="V1833" i="1"/>
  <c r="W1833" i="1"/>
  <c r="V1834" i="1"/>
  <c r="W1834" i="1"/>
  <c r="V1835" i="1"/>
  <c r="W1835" i="1"/>
  <c r="V1836" i="1"/>
  <c r="W1836" i="1"/>
  <c r="V1837" i="1"/>
  <c r="W1837" i="1"/>
  <c r="V1838" i="1"/>
  <c r="W1838" i="1"/>
  <c r="V1839" i="1"/>
  <c r="W1839" i="1"/>
  <c r="V1840" i="1"/>
  <c r="W1840" i="1"/>
  <c r="V1841" i="1"/>
  <c r="W1841" i="1"/>
  <c r="V1842" i="1"/>
  <c r="W1842" i="1"/>
  <c r="V1843" i="1"/>
  <c r="W1843" i="1"/>
  <c r="V1844" i="1"/>
  <c r="W1844" i="1"/>
  <c r="V1845" i="1"/>
  <c r="W1845" i="1"/>
  <c r="V1846" i="1"/>
  <c r="W1846" i="1"/>
  <c r="V1847" i="1"/>
  <c r="W1847" i="1"/>
  <c r="V1848" i="1"/>
  <c r="W1848" i="1"/>
  <c r="V1849" i="1"/>
  <c r="W1849" i="1"/>
  <c r="V1850" i="1"/>
  <c r="W1850" i="1"/>
  <c r="V1851" i="1"/>
  <c r="W1851" i="1"/>
  <c r="V1852" i="1"/>
  <c r="W1852" i="1"/>
  <c r="V1853" i="1"/>
  <c r="W1853" i="1"/>
  <c r="V1854" i="1"/>
  <c r="W1854" i="1"/>
  <c r="V1855" i="1"/>
  <c r="W1855" i="1"/>
  <c r="V1856" i="1"/>
  <c r="W1856" i="1"/>
  <c r="V1857" i="1"/>
  <c r="W1857" i="1"/>
  <c r="V1858" i="1"/>
  <c r="W1858" i="1"/>
  <c r="V1859" i="1"/>
  <c r="W1859" i="1"/>
  <c r="V1860" i="1"/>
  <c r="W1860" i="1"/>
  <c r="V1861" i="1"/>
  <c r="W1861" i="1"/>
  <c r="V1862" i="1"/>
  <c r="W1862" i="1"/>
  <c r="V1863" i="1"/>
  <c r="W1863" i="1"/>
  <c r="V1864" i="1"/>
  <c r="W1864" i="1"/>
  <c r="V1865" i="1"/>
  <c r="W1865" i="1"/>
  <c r="V1866" i="1"/>
  <c r="W1866" i="1"/>
  <c r="V1867" i="1"/>
  <c r="W1867" i="1"/>
  <c r="V1868" i="1"/>
  <c r="W1868" i="1"/>
  <c r="V1869" i="1"/>
  <c r="W1869" i="1"/>
  <c r="V1870" i="1"/>
  <c r="W1870" i="1"/>
  <c r="V1871" i="1"/>
  <c r="W1871" i="1"/>
  <c r="V1872" i="1"/>
  <c r="W1872" i="1"/>
  <c r="V1873" i="1"/>
  <c r="W1873" i="1"/>
  <c r="V1874" i="1"/>
  <c r="W1874" i="1"/>
  <c r="V1875" i="1"/>
  <c r="W1875" i="1"/>
  <c r="V1876" i="1"/>
  <c r="W1876" i="1"/>
  <c r="V1877" i="1"/>
  <c r="W1877" i="1"/>
  <c r="V1878" i="1"/>
  <c r="W1878" i="1"/>
  <c r="V1879" i="1"/>
  <c r="W1879" i="1"/>
  <c r="V1880" i="1"/>
  <c r="W1880" i="1"/>
  <c r="V1881" i="1"/>
  <c r="W1881" i="1"/>
  <c r="V1882" i="1"/>
  <c r="W1882" i="1"/>
  <c r="V1883" i="1"/>
  <c r="W1883" i="1"/>
  <c r="V1884" i="1"/>
  <c r="W1884" i="1"/>
  <c r="V1885" i="1"/>
  <c r="W1885" i="1"/>
  <c r="V1886" i="1"/>
  <c r="W1886" i="1"/>
  <c r="V1887" i="1"/>
  <c r="W1887" i="1"/>
  <c r="V1888" i="1"/>
  <c r="W1888" i="1"/>
  <c r="V1889" i="1"/>
  <c r="W1889" i="1"/>
  <c r="V1890" i="1"/>
  <c r="W1890" i="1"/>
  <c r="V1891" i="1"/>
  <c r="W1891" i="1"/>
  <c r="V1892" i="1"/>
  <c r="W1892" i="1"/>
  <c r="V1893" i="1"/>
  <c r="W1893" i="1"/>
  <c r="V1894" i="1"/>
  <c r="W1894" i="1"/>
  <c r="V1895" i="1"/>
  <c r="W1895" i="1"/>
  <c r="V1896" i="1"/>
  <c r="W1896" i="1"/>
  <c r="V1897" i="1"/>
  <c r="W1897" i="1"/>
  <c r="V1898" i="1"/>
  <c r="W1898" i="1"/>
  <c r="V1899" i="1"/>
  <c r="W1899" i="1"/>
  <c r="V1900" i="1"/>
  <c r="W1900" i="1"/>
  <c r="V1901" i="1"/>
  <c r="W1901" i="1"/>
  <c r="V1902" i="1"/>
  <c r="W1902" i="1"/>
  <c r="V1903" i="1"/>
  <c r="W1903" i="1"/>
  <c r="V1904" i="1"/>
  <c r="W1904" i="1"/>
  <c r="V1905" i="1"/>
  <c r="W1905" i="1"/>
  <c r="V1906" i="1"/>
  <c r="W1906" i="1"/>
  <c r="V1907" i="1"/>
  <c r="W1907" i="1"/>
  <c r="V1908" i="1"/>
  <c r="W1908" i="1"/>
  <c r="V1909" i="1"/>
  <c r="W1909" i="1"/>
  <c r="V1910" i="1"/>
  <c r="W1910" i="1"/>
  <c r="V1911" i="1"/>
  <c r="W1911" i="1"/>
  <c r="V1912" i="1"/>
  <c r="W1912" i="1"/>
  <c r="V1913" i="1"/>
  <c r="W1913" i="1"/>
  <c r="V1914" i="1"/>
  <c r="W1914" i="1"/>
  <c r="V1915" i="1"/>
  <c r="W1915" i="1"/>
  <c r="V1916" i="1"/>
  <c r="W1916" i="1"/>
  <c r="V1917" i="1"/>
  <c r="W1917" i="1"/>
  <c r="V1918" i="1"/>
  <c r="W1918" i="1"/>
  <c r="V1919" i="1"/>
  <c r="W1919" i="1"/>
  <c r="V1920" i="1"/>
  <c r="W1920" i="1"/>
  <c r="V1921" i="1"/>
  <c r="W1921" i="1"/>
  <c r="V1922" i="1"/>
  <c r="W1922" i="1"/>
  <c r="V1923" i="1"/>
  <c r="W1923" i="1"/>
  <c r="V1924" i="1"/>
  <c r="W1924" i="1"/>
  <c r="V1925" i="1"/>
  <c r="W1925" i="1"/>
  <c r="V1926" i="1"/>
  <c r="W1926" i="1"/>
  <c r="V1927" i="1"/>
  <c r="W1927" i="1"/>
  <c r="V1928" i="1"/>
  <c r="W1928" i="1"/>
  <c r="V1929" i="1"/>
  <c r="W1929" i="1"/>
  <c r="V1930" i="1"/>
  <c r="W1930" i="1"/>
  <c r="V1931" i="1"/>
  <c r="W1931" i="1"/>
  <c r="V1932" i="1"/>
  <c r="W1932" i="1"/>
  <c r="V1933" i="1"/>
  <c r="W1933" i="1"/>
  <c r="V1934" i="1"/>
  <c r="W1934" i="1"/>
  <c r="V1935" i="1"/>
  <c r="W1935" i="1"/>
  <c r="V1936" i="1"/>
  <c r="W1936" i="1"/>
  <c r="V1937" i="1"/>
  <c r="W1937" i="1"/>
  <c r="V1938" i="1"/>
  <c r="W1938" i="1"/>
  <c r="V1939" i="1"/>
  <c r="W1939" i="1"/>
  <c r="V1940" i="1"/>
  <c r="W1940" i="1"/>
  <c r="V1941" i="1"/>
  <c r="W1941" i="1"/>
  <c r="V1942" i="1"/>
  <c r="W1942" i="1"/>
  <c r="V1943" i="1"/>
  <c r="W1943" i="1"/>
  <c r="V1944" i="1"/>
  <c r="W1944" i="1"/>
  <c r="V1945" i="1"/>
  <c r="W1945" i="1"/>
  <c r="V1946" i="1"/>
  <c r="W1946" i="1"/>
  <c r="V1947" i="1"/>
  <c r="W1947" i="1"/>
  <c r="V1948" i="1"/>
  <c r="W1948" i="1"/>
  <c r="V1949" i="1"/>
  <c r="W1949" i="1"/>
  <c r="V1950" i="1"/>
  <c r="W1950" i="1"/>
  <c r="V1951" i="1"/>
  <c r="W1951" i="1"/>
  <c r="V1952" i="1"/>
  <c r="W1952" i="1"/>
  <c r="V1953" i="1"/>
  <c r="W1953" i="1"/>
  <c r="V1954" i="1"/>
  <c r="W1954" i="1"/>
  <c r="V1955" i="1"/>
  <c r="W1955" i="1"/>
  <c r="V1956" i="1"/>
  <c r="W1956" i="1"/>
  <c r="V1957" i="1"/>
  <c r="W1957" i="1"/>
  <c r="V1958" i="1"/>
  <c r="W1958" i="1"/>
  <c r="V1959" i="1"/>
  <c r="W1959" i="1"/>
  <c r="V1960" i="1"/>
  <c r="W1960" i="1"/>
  <c r="V1961" i="1"/>
  <c r="W1961" i="1"/>
  <c r="V1962" i="1"/>
  <c r="W1962" i="1"/>
  <c r="V1963" i="1"/>
  <c r="W1963" i="1"/>
  <c r="V1964" i="1"/>
  <c r="W1964" i="1"/>
  <c r="V1965" i="1"/>
  <c r="W1965" i="1"/>
  <c r="V1966" i="1"/>
  <c r="W1966" i="1"/>
  <c r="V1967" i="1"/>
  <c r="W1967" i="1"/>
  <c r="V1968" i="1"/>
  <c r="W1968" i="1"/>
  <c r="V1969" i="1"/>
  <c r="W1969" i="1"/>
  <c r="V1970" i="1"/>
  <c r="W1970" i="1"/>
  <c r="V1971" i="1"/>
  <c r="W1971" i="1"/>
  <c r="V1972" i="1"/>
  <c r="W1972" i="1"/>
  <c r="V1973" i="1"/>
  <c r="W1973" i="1"/>
  <c r="V1974" i="1"/>
  <c r="W1974" i="1"/>
  <c r="V1975" i="1"/>
  <c r="W1975" i="1"/>
  <c r="V1976" i="1"/>
  <c r="W1976" i="1"/>
  <c r="V1977" i="1"/>
  <c r="W1977" i="1"/>
  <c r="V1978" i="1"/>
  <c r="W1978" i="1"/>
  <c r="V1979" i="1"/>
  <c r="W1979" i="1"/>
  <c r="V1980" i="1"/>
  <c r="W1980" i="1"/>
  <c r="V1981" i="1"/>
  <c r="W1981" i="1"/>
  <c r="V1982" i="1"/>
  <c r="W1982" i="1"/>
  <c r="V1983" i="1"/>
  <c r="W1983" i="1"/>
  <c r="V1984" i="1"/>
  <c r="W1984" i="1"/>
  <c r="V1985" i="1"/>
  <c r="W1985" i="1"/>
  <c r="V1986" i="1"/>
  <c r="W1986" i="1"/>
  <c r="V1987" i="1"/>
  <c r="W1987" i="1"/>
  <c r="V1988" i="1"/>
  <c r="W1988" i="1"/>
  <c r="V1989" i="1"/>
  <c r="W1989" i="1"/>
  <c r="V1990" i="1"/>
  <c r="W1990" i="1"/>
  <c r="V1991" i="1"/>
  <c r="W1991" i="1"/>
  <c r="V1992" i="1"/>
  <c r="W1992" i="1"/>
  <c r="V1993" i="1"/>
  <c r="W1993" i="1"/>
  <c r="V1994" i="1"/>
  <c r="W1994" i="1"/>
  <c r="V1995" i="1"/>
  <c r="W1995" i="1"/>
  <c r="V1996" i="1"/>
  <c r="W1996" i="1"/>
  <c r="V1997" i="1"/>
  <c r="W1997" i="1"/>
  <c r="V1998" i="1"/>
  <c r="W1998" i="1"/>
  <c r="V1999" i="1"/>
  <c r="W1999" i="1"/>
  <c r="V2000" i="1"/>
  <c r="W2000" i="1"/>
  <c r="V2001" i="1"/>
  <c r="W2001" i="1"/>
  <c r="V2002" i="1"/>
  <c r="W2002" i="1"/>
  <c r="V2003" i="1"/>
  <c r="W2003" i="1"/>
  <c r="V2004" i="1"/>
  <c r="W2004" i="1"/>
  <c r="V2005" i="1"/>
  <c r="W2005" i="1"/>
  <c r="V2006" i="1"/>
  <c r="W2006" i="1"/>
  <c r="V2007" i="1"/>
  <c r="W2007" i="1"/>
  <c r="V2008" i="1"/>
  <c r="W2008" i="1"/>
  <c r="V2009" i="1"/>
  <c r="W2009" i="1"/>
  <c r="V2010" i="1"/>
  <c r="W2010" i="1"/>
  <c r="V2011" i="1"/>
  <c r="W2011" i="1"/>
  <c r="V2012" i="1"/>
  <c r="W2012" i="1"/>
  <c r="V2013" i="1"/>
  <c r="W2013" i="1"/>
  <c r="V2014" i="1"/>
  <c r="W2014" i="1"/>
  <c r="V2015" i="1"/>
  <c r="W2015" i="1"/>
  <c r="V2016" i="1"/>
  <c r="W2016" i="1"/>
  <c r="V2017" i="1"/>
  <c r="W2017" i="1"/>
  <c r="V2018" i="1"/>
  <c r="W2018" i="1"/>
  <c r="V2019" i="1"/>
  <c r="W2019" i="1"/>
  <c r="V2020" i="1"/>
  <c r="W2020" i="1"/>
  <c r="V2021" i="1"/>
  <c r="W2021" i="1"/>
  <c r="V2022" i="1"/>
  <c r="W2022" i="1"/>
  <c r="V2023" i="1"/>
  <c r="W2023" i="1"/>
  <c r="V2024" i="1"/>
  <c r="W2024" i="1"/>
  <c r="V2025" i="1"/>
  <c r="W2025" i="1"/>
  <c r="V2026" i="1"/>
  <c r="W2026" i="1"/>
  <c r="V2027" i="1"/>
  <c r="W2027" i="1"/>
  <c r="V2028" i="1"/>
  <c r="W2028" i="1"/>
  <c r="V2029" i="1"/>
  <c r="W2029" i="1"/>
  <c r="V2030" i="1"/>
  <c r="W2030" i="1"/>
  <c r="V2031" i="1"/>
  <c r="W2031" i="1"/>
  <c r="V2032" i="1"/>
  <c r="W2032" i="1"/>
  <c r="V2033" i="1"/>
  <c r="W2033" i="1"/>
  <c r="V2034" i="1"/>
  <c r="W2034" i="1"/>
  <c r="V2035" i="1"/>
  <c r="W2035" i="1"/>
  <c r="V2036" i="1"/>
  <c r="W2036" i="1"/>
  <c r="V2062" i="1"/>
  <c r="W2062" i="1"/>
  <c r="V2063" i="1"/>
  <c r="W2063" i="1"/>
  <c r="V2064" i="1"/>
  <c r="W2064" i="1"/>
  <c r="V2065" i="1"/>
  <c r="W2065" i="1"/>
  <c r="V2066" i="1"/>
  <c r="W2066" i="1"/>
  <c r="V2067" i="1"/>
  <c r="W2067" i="1"/>
  <c r="V2068" i="1"/>
  <c r="W2068" i="1"/>
  <c r="V2069" i="1"/>
  <c r="W2069" i="1"/>
  <c r="V2070" i="1"/>
  <c r="W2070" i="1"/>
  <c r="V2071" i="1"/>
  <c r="W2071" i="1"/>
  <c r="V2072" i="1"/>
  <c r="W2072" i="1"/>
  <c r="V2073" i="1"/>
  <c r="W2073" i="1"/>
  <c r="V2074" i="1"/>
  <c r="W2074" i="1"/>
  <c r="V2075" i="1"/>
  <c r="W2075" i="1"/>
  <c r="V2076" i="1"/>
  <c r="W2076" i="1"/>
  <c r="V2077" i="1"/>
  <c r="W2077" i="1"/>
  <c r="V2078" i="1"/>
  <c r="W2078" i="1"/>
  <c r="V2079" i="1"/>
  <c r="W2079" i="1"/>
  <c r="V2080" i="1"/>
  <c r="W2080" i="1"/>
  <c r="V2081" i="1"/>
  <c r="W2081" i="1"/>
  <c r="V2082" i="1"/>
  <c r="W2082" i="1"/>
  <c r="V2083" i="1"/>
  <c r="W2083" i="1"/>
  <c r="V2084" i="1"/>
  <c r="W2084" i="1"/>
  <c r="V2085" i="1"/>
  <c r="W2085" i="1"/>
  <c r="V2086" i="1"/>
  <c r="W2086" i="1"/>
  <c r="V2087" i="1"/>
  <c r="W2087" i="1"/>
  <c r="V2088" i="1"/>
  <c r="W2088" i="1"/>
  <c r="V2089" i="1"/>
  <c r="W2089" i="1"/>
  <c r="V2090" i="1"/>
  <c r="W2090" i="1"/>
  <c r="V2091" i="1"/>
  <c r="W2091" i="1"/>
  <c r="V2092" i="1"/>
  <c r="W2092" i="1"/>
  <c r="V2093" i="1"/>
  <c r="W2093" i="1"/>
  <c r="V2094" i="1"/>
  <c r="W2094" i="1"/>
  <c r="V2095" i="1"/>
  <c r="W2095" i="1"/>
  <c r="V2096" i="1"/>
  <c r="W2096" i="1"/>
  <c r="V2097" i="1"/>
  <c r="W2097" i="1"/>
  <c r="V2098" i="1"/>
  <c r="W2098" i="1"/>
  <c r="V2099" i="1"/>
  <c r="W2099" i="1"/>
  <c r="V2100" i="1"/>
  <c r="W2100" i="1"/>
  <c r="V2101" i="1"/>
  <c r="W2101" i="1"/>
  <c r="V2102" i="1"/>
  <c r="W2102" i="1"/>
  <c r="V2103" i="1"/>
  <c r="W2103" i="1"/>
  <c r="V2104" i="1"/>
  <c r="W2104" i="1"/>
  <c r="V2105" i="1"/>
  <c r="W2105" i="1"/>
  <c r="V2106" i="1"/>
  <c r="W2106" i="1"/>
  <c r="V2107" i="1"/>
  <c r="W2107" i="1"/>
  <c r="V2108" i="1"/>
  <c r="W2108" i="1"/>
  <c r="V2109" i="1"/>
  <c r="W2109" i="1"/>
  <c r="V2110" i="1"/>
  <c r="W2110" i="1"/>
  <c r="V2111" i="1"/>
  <c r="W2111" i="1"/>
  <c r="V2112" i="1"/>
  <c r="W2112" i="1"/>
  <c r="V2113" i="1"/>
  <c r="W2113" i="1"/>
  <c r="V2114" i="1"/>
  <c r="W2114" i="1"/>
  <c r="V2115" i="1"/>
  <c r="W2115" i="1"/>
  <c r="V2116" i="1"/>
  <c r="W2116" i="1"/>
  <c r="V2117" i="1"/>
  <c r="W2117" i="1"/>
  <c r="V2118" i="1"/>
  <c r="W2118" i="1"/>
  <c r="V2119" i="1"/>
  <c r="W2119" i="1"/>
  <c r="V2120" i="1"/>
  <c r="W2120" i="1"/>
  <c r="V2121" i="1"/>
  <c r="W2121" i="1"/>
  <c r="V2122" i="1"/>
  <c r="W2122" i="1"/>
  <c r="V2123" i="1"/>
  <c r="W2123" i="1"/>
  <c r="V2124" i="1"/>
  <c r="W2124" i="1"/>
  <c r="V2125" i="1"/>
  <c r="W2125" i="1"/>
  <c r="V2126" i="1"/>
  <c r="W2126" i="1"/>
  <c r="V2127" i="1"/>
  <c r="W2127" i="1"/>
  <c r="V2128" i="1"/>
  <c r="W2128" i="1"/>
  <c r="V2129" i="1"/>
  <c r="W2129" i="1"/>
  <c r="V2130" i="1"/>
  <c r="W2130" i="1"/>
  <c r="V2131" i="1"/>
  <c r="W2131" i="1"/>
  <c r="V2132" i="1"/>
  <c r="W2132" i="1"/>
  <c r="V2133" i="1"/>
  <c r="W2133" i="1"/>
  <c r="V2134" i="1"/>
  <c r="W2134" i="1"/>
  <c r="V2135" i="1"/>
  <c r="W2135" i="1"/>
  <c r="V2136" i="1"/>
  <c r="W2136" i="1"/>
  <c r="V2137" i="1"/>
  <c r="W2137" i="1"/>
  <c r="V2138" i="1"/>
  <c r="W2138" i="1"/>
  <c r="V2139" i="1"/>
  <c r="W2139" i="1"/>
  <c r="V2140" i="1"/>
  <c r="W2140" i="1"/>
  <c r="V2141" i="1"/>
  <c r="W2141" i="1"/>
  <c r="V2142" i="1"/>
  <c r="W2142" i="1"/>
  <c r="V2143" i="1"/>
  <c r="W2143" i="1"/>
  <c r="V2144" i="1"/>
  <c r="W2144" i="1"/>
  <c r="V2145" i="1"/>
  <c r="W2145" i="1"/>
  <c r="V2146" i="1"/>
  <c r="W2146" i="1"/>
  <c r="V2147" i="1"/>
  <c r="W2147" i="1"/>
  <c r="V2148" i="1"/>
  <c r="W2148" i="1"/>
  <c r="V2149" i="1"/>
  <c r="W2149" i="1"/>
  <c r="V2150" i="1"/>
  <c r="W2150" i="1"/>
  <c r="V2151" i="1"/>
  <c r="W2151" i="1"/>
  <c r="V2152" i="1"/>
  <c r="W2152" i="1"/>
  <c r="V2153" i="1"/>
  <c r="W2153" i="1"/>
  <c r="V2154" i="1"/>
  <c r="W2154" i="1"/>
  <c r="V2155" i="1"/>
  <c r="W2155" i="1"/>
  <c r="V2156" i="1"/>
  <c r="W2156" i="1"/>
  <c r="V2157" i="1"/>
  <c r="W2157" i="1"/>
  <c r="V2158" i="1"/>
  <c r="W2158" i="1"/>
  <c r="V2159" i="1"/>
  <c r="W2159" i="1"/>
  <c r="V2160" i="1"/>
  <c r="W2160" i="1"/>
  <c r="V2161" i="1"/>
  <c r="W2161" i="1"/>
  <c r="V2162" i="1"/>
  <c r="W2162" i="1"/>
  <c r="V2163" i="1"/>
  <c r="W2163" i="1"/>
  <c r="V2164" i="1"/>
  <c r="W2164" i="1"/>
  <c r="V2165" i="1"/>
  <c r="W2165" i="1"/>
  <c r="V2166" i="1"/>
  <c r="W2166" i="1"/>
  <c r="V2167" i="1"/>
  <c r="W2167" i="1"/>
  <c r="V2168" i="1"/>
  <c r="W2168" i="1"/>
  <c r="V2169" i="1"/>
  <c r="W2169" i="1"/>
  <c r="V2170" i="1"/>
  <c r="W2170" i="1"/>
  <c r="V2171" i="1"/>
  <c r="W2171" i="1"/>
  <c r="V2172" i="1"/>
  <c r="W2172" i="1"/>
  <c r="V2173" i="1"/>
  <c r="W2173" i="1"/>
  <c r="V2174" i="1"/>
  <c r="W2174" i="1"/>
  <c r="V2175" i="1"/>
  <c r="W2175" i="1"/>
  <c r="V2176" i="1"/>
  <c r="W2176" i="1"/>
  <c r="V2177" i="1"/>
  <c r="W2177" i="1"/>
  <c r="V2178" i="1"/>
  <c r="W2178" i="1"/>
  <c r="V2179" i="1"/>
  <c r="W2179" i="1"/>
  <c r="V2180" i="1"/>
  <c r="W2180" i="1"/>
  <c r="V2181" i="1"/>
  <c r="W2181" i="1"/>
  <c r="V2182" i="1"/>
  <c r="W2182" i="1"/>
  <c r="V2183" i="1"/>
  <c r="W2183" i="1"/>
  <c r="V2184" i="1"/>
  <c r="W2184" i="1"/>
  <c r="V2185" i="1"/>
  <c r="W2185" i="1"/>
  <c r="V2186" i="1"/>
  <c r="W2186" i="1"/>
  <c r="V2187" i="1"/>
  <c r="W2187" i="1"/>
  <c r="V2188" i="1"/>
  <c r="W2188" i="1"/>
  <c r="V2189" i="1"/>
  <c r="W2189" i="1"/>
  <c r="V2190" i="1"/>
  <c r="W2190" i="1"/>
  <c r="V2191" i="1"/>
  <c r="W2191" i="1"/>
  <c r="V2192" i="1"/>
  <c r="W2192" i="1"/>
  <c r="V2193" i="1"/>
  <c r="W2193" i="1"/>
  <c r="V2194" i="1"/>
  <c r="W2194" i="1"/>
  <c r="V2195" i="1"/>
  <c r="W2195" i="1"/>
  <c r="V2196" i="1"/>
  <c r="W2196" i="1"/>
  <c r="V2197" i="1"/>
  <c r="W2197" i="1"/>
  <c r="V2198" i="1"/>
  <c r="W2198" i="1"/>
  <c r="V2199" i="1"/>
  <c r="W2199" i="1"/>
  <c r="V2200" i="1"/>
  <c r="W2200" i="1"/>
  <c r="V2201" i="1"/>
  <c r="W2201" i="1"/>
  <c r="V2202" i="1"/>
  <c r="W2202" i="1"/>
  <c r="V2203" i="1"/>
  <c r="W2203" i="1"/>
  <c r="V2204" i="1"/>
  <c r="W2204" i="1"/>
  <c r="V2205" i="1"/>
  <c r="W2205" i="1"/>
  <c r="V2206" i="1"/>
  <c r="W2206" i="1"/>
  <c r="V2207" i="1"/>
  <c r="W2207" i="1"/>
  <c r="V2208" i="1"/>
  <c r="W2208" i="1"/>
  <c r="V2209" i="1"/>
  <c r="W2209" i="1"/>
  <c r="V2210" i="1"/>
  <c r="W2210" i="1"/>
  <c r="V2211" i="1"/>
  <c r="W2211" i="1"/>
  <c r="V2212" i="1"/>
  <c r="W2212" i="1"/>
  <c r="V2213" i="1"/>
  <c r="W2213" i="1"/>
  <c r="V2214" i="1"/>
  <c r="W2214" i="1"/>
  <c r="V2215" i="1"/>
  <c r="W2215" i="1"/>
  <c r="V2216" i="1"/>
  <c r="W2216" i="1"/>
  <c r="V2217" i="1"/>
  <c r="W2217" i="1"/>
  <c r="V2218" i="1"/>
  <c r="W2218" i="1"/>
  <c r="V2219" i="1"/>
  <c r="W2219" i="1"/>
  <c r="V2220" i="1"/>
  <c r="W2220" i="1"/>
  <c r="V2221" i="1"/>
  <c r="W2221" i="1"/>
  <c r="V2222" i="1"/>
  <c r="W2222" i="1"/>
  <c r="V2223" i="1"/>
  <c r="W2223" i="1"/>
  <c r="V2224" i="1"/>
  <c r="W2224" i="1"/>
  <c r="V2225" i="1"/>
  <c r="W2225" i="1"/>
  <c r="V2226" i="1"/>
  <c r="W2226" i="1"/>
  <c r="V2227" i="1"/>
  <c r="W2227" i="1"/>
  <c r="V2228" i="1"/>
  <c r="W2228" i="1"/>
  <c r="V2229" i="1"/>
  <c r="W2229" i="1"/>
  <c r="V2230" i="1"/>
  <c r="W2230" i="1"/>
  <c r="V2231" i="1"/>
  <c r="W2231" i="1"/>
  <c r="V2232" i="1"/>
  <c r="W2232" i="1"/>
  <c r="V2233" i="1"/>
  <c r="W2233" i="1"/>
  <c r="V2234" i="1"/>
  <c r="W2234" i="1"/>
  <c r="V2235" i="1"/>
  <c r="W2235" i="1"/>
  <c r="V2236" i="1"/>
  <c r="W2236" i="1"/>
  <c r="V2237" i="1"/>
  <c r="W2237" i="1"/>
  <c r="V2238" i="1"/>
  <c r="W2238" i="1"/>
  <c r="V2239" i="1"/>
  <c r="W2239" i="1"/>
  <c r="V2240" i="1"/>
  <c r="W2240" i="1"/>
  <c r="V2241" i="1"/>
  <c r="W2241" i="1"/>
  <c r="V2267" i="1"/>
  <c r="W2267" i="1"/>
  <c r="V2268" i="1"/>
  <c r="W2268" i="1"/>
  <c r="V2269" i="1"/>
  <c r="W2269" i="1"/>
  <c r="V2270" i="1"/>
  <c r="W2270" i="1"/>
  <c r="V2271" i="1"/>
  <c r="W2271" i="1"/>
  <c r="V2272" i="1"/>
  <c r="W2272" i="1"/>
  <c r="V2273" i="1"/>
  <c r="W2273" i="1"/>
  <c r="V2274" i="1"/>
  <c r="W2274" i="1"/>
  <c r="V2275" i="1"/>
  <c r="W2275" i="1"/>
  <c r="V2276" i="1"/>
  <c r="W2276" i="1"/>
  <c r="V2277" i="1"/>
  <c r="W2277" i="1"/>
  <c r="V2278" i="1"/>
  <c r="W2278" i="1"/>
  <c r="V2279" i="1"/>
  <c r="W2279" i="1"/>
  <c r="V2280" i="1"/>
  <c r="W2280" i="1"/>
  <c r="V2281" i="1"/>
  <c r="W2281" i="1"/>
  <c r="V2282" i="1"/>
  <c r="W2282" i="1"/>
  <c r="V2283" i="1"/>
  <c r="W2283" i="1"/>
  <c r="V2284" i="1"/>
  <c r="W2284" i="1"/>
  <c r="V2285" i="1"/>
  <c r="W2285" i="1"/>
  <c r="V2286" i="1"/>
  <c r="W2286" i="1"/>
  <c r="V2287" i="1"/>
  <c r="W2287" i="1"/>
  <c r="V2288" i="1"/>
  <c r="W2288" i="1"/>
  <c r="V2289" i="1"/>
  <c r="W2289" i="1"/>
  <c r="V2290" i="1"/>
  <c r="W2290" i="1"/>
  <c r="V2291" i="1"/>
  <c r="W2291" i="1"/>
  <c r="V2292" i="1"/>
  <c r="W2292" i="1"/>
  <c r="V2293" i="1"/>
  <c r="W2293" i="1"/>
  <c r="V2294" i="1"/>
  <c r="W2294" i="1"/>
  <c r="V2295" i="1"/>
  <c r="W2295" i="1"/>
  <c r="V2296" i="1"/>
  <c r="W2296" i="1"/>
  <c r="V2297" i="1"/>
  <c r="W2297" i="1"/>
  <c r="V2298" i="1"/>
  <c r="W2298" i="1"/>
  <c r="V2299" i="1"/>
  <c r="W2299" i="1"/>
  <c r="V2300" i="1"/>
  <c r="W2300" i="1"/>
  <c r="V2301" i="1"/>
  <c r="W2301" i="1"/>
  <c r="V2302" i="1"/>
  <c r="W2302" i="1"/>
  <c r="V2303" i="1"/>
  <c r="W2303" i="1"/>
  <c r="V2304" i="1"/>
  <c r="W2304" i="1"/>
  <c r="V2305" i="1"/>
  <c r="W2305" i="1"/>
  <c r="V2306" i="1"/>
  <c r="W2306" i="1"/>
  <c r="V2307" i="1"/>
  <c r="W2307" i="1"/>
  <c r="V2308" i="1"/>
  <c r="W2308" i="1"/>
  <c r="V2309" i="1"/>
  <c r="W2309" i="1"/>
  <c r="V2310" i="1"/>
  <c r="W2310" i="1"/>
  <c r="V2311" i="1"/>
  <c r="W2311" i="1"/>
  <c r="V2312" i="1"/>
  <c r="W2312" i="1"/>
  <c r="V2313" i="1"/>
  <c r="W2313" i="1"/>
  <c r="V2314" i="1"/>
  <c r="W2314" i="1"/>
  <c r="V2315" i="1"/>
  <c r="W2315" i="1"/>
  <c r="V2316" i="1"/>
  <c r="W2316" i="1"/>
  <c r="V2317" i="1"/>
  <c r="W2317" i="1"/>
  <c r="V2318" i="1"/>
  <c r="W2318" i="1"/>
  <c r="V2319" i="1"/>
  <c r="W2319" i="1"/>
  <c r="V2320" i="1"/>
  <c r="W2320" i="1"/>
  <c r="V2321" i="1"/>
  <c r="W2321" i="1"/>
  <c r="V2322" i="1"/>
  <c r="W2322" i="1"/>
  <c r="V2323" i="1"/>
  <c r="W2323" i="1"/>
  <c r="V2324" i="1"/>
  <c r="W2324" i="1"/>
  <c r="V2325" i="1"/>
  <c r="W2325" i="1"/>
  <c r="V2326" i="1"/>
  <c r="W2326" i="1"/>
  <c r="V2327" i="1"/>
  <c r="W2327" i="1"/>
  <c r="V2328" i="1"/>
  <c r="W2328" i="1"/>
  <c r="V2329" i="1"/>
  <c r="W2329" i="1"/>
  <c r="V2330" i="1"/>
  <c r="W2330" i="1"/>
  <c r="V2331" i="1"/>
  <c r="W2331" i="1"/>
  <c r="V2332" i="1"/>
  <c r="W2332" i="1"/>
  <c r="V2333" i="1"/>
  <c r="W2333" i="1"/>
  <c r="V2334" i="1"/>
  <c r="W2334" i="1"/>
  <c r="V2335" i="1"/>
  <c r="W2335" i="1"/>
  <c r="V2336" i="1"/>
  <c r="W2336" i="1"/>
  <c r="V2337" i="1"/>
  <c r="W2337" i="1"/>
  <c r="V2338" i="1"/>
  <c r="W2338" i="1"/>
  <c r="V2339" i="1"/>
  <c r="W2339" i="1"/>
  <c r="V2340" i="1"/>
  <c r="W2340" i="1"/>
  <c r="V2341" i="1"/>
  <c r="W2341" i="1"/>
  <c r="V2342" i="1"/>
  <c r="W2342" i="1"/>
  <c r="V2343" i="1"/>
  <c r="W2343" i="1"/>
  <c r="V2344" i="1"/>
  <c r="W2344" i="1"/>
  <c r="V2345" i="1"/>
  <c r="W2345" i="1"/>
  <c r="V2346" i="1"/>
  <c r="W2346" i="1"/>
  <c r="V2347" i="1"/>
  <c r="W2347" i="1"/>
  <c r="V2348" i="1"/>
  <c r="W2348" i="1"/>
  <c r="V2349" i="1"/>
  <c r="W2349" i="1"/>
  <c r="V2350" i="1"/>
  <c r="W2350" i="1"/>
  <c r="V2351" i="1"/>
  <c r="W2351" i="1"/>
  <c r="V2352" i="1"/>
  <c r="W2352" i="1"/>
  <c r="V2353" i="1"/>
  <c r="W2353" i="1"/>
  <c r="V2354" i="1"/>
  <c r="W2354" i="1"/>
  <c r="V2355" i="1"/>
  <c r="W2355" i="1"/>
  <c r="V2356" i="1"/>
  <c r="W2356" i="1"/>
  <c r="V2357" i="1"/>
  <c r="W2357" i="1"/>
  <c r="V2358" i="1"/>
  <c r="W2358" i="1"/>
  <c r="V2359" i="1"/>
  <c r="W2359" i="1"/>
  <c r="V2360" i="1"/>
  <c r="W2360" i="1"/>
  <c r="V2361" i="1"/>
  <c r="W2361" i="1"/>
  <c r="V2362" i="1"/>
  <c r="W2362" i="1"/>
  <c r="V2363" i="1"/>
  <c r="W2363" i="1"/>
  <c r="V2364" i="1"/>
  <c r="W2364" i="1"/>
  <c r="V2365" i="1"/>
  <c r="W2365" i="1"/>
  <c r="V2366" i="1"/>
  <c r="W2366" i="1"/>
  <c r="V2367" i="1"/>
  <c r="W2367" i="1"/>
  <c r="V2368" i="1"/>
  <c r="W2368" i="1"/>
  <c r="V2369" i="1"/>
  <c r="W2369" i="1"/>
  <c r="V2370" i="1"/>
  <c r="W2370" i="1"/>
  <c r="V2371" i="1"/>
  <c r="W2371" i="1"/>
  <c r="V2372" i="1"/>
  <c r="W2372" i="1"/>
  <c r="V2373" i="1"/>
  <c r="W2373" i="1"/>
  <c r="V2374" i="1"/>
  <c r="W2374" i="1"/>
  <c r="V2375" i="1"/>
  <c r="W2375" i="1"/>
  <c r="V2376" i="1"/>
  <c r="W2376" i="1"/>
  <c r="V2377" i="1"/>
  <c r="W2377" i="1"/>
  <c r="V2378" i="1"/>
  <c r="W2378" i="1"/>
  <c r="V2379" i="1"/>
  <c r="W2379" i="1"/>
  <c r="V2380" i="1"/>
  <c r="W2380" i="1"/>
  <c r="V2381" i="1"/>
  <c r="W2381" i="1"/>
  <c r="V2382" i="1"/>
  <c r="W2382" i="1"/>
  <c r="V2383" i="1"/>
  <c r="W2383" i="1"/>
  <c r="V2384" i="1"/>
  <c r="W2384" i="1"/>
  <c r="V2385" i="1"/>
  <c r="W2385" i="1"/>
  <c r="V2386" i="1"/>
  <c r="W2386" i="1"/>
  <c r="V2387" i="1"/>
  <c r="W2387" i="1"/>
  <c r="V2388" i="1"/>
  <c r="W2388" i="1"/>
  <c r="V2389" i="1"/>
  <c r="W2389" i="1"/>
  <c r="V2390" i="1"/>
  <c r="W2390" i="1"/>
  <c r="V2391" i="1"/>
  <c r="W2391" i="1"/>
  <c r="V2392" i="1"/>
  <c r="W2392" i="1"/>
  <c r="V2393" i="1"/>
  <c r="W2393" i="1"/>
  <c r="V2394" i="1"/>
  <c r="W2394" i="1"/>
  <c r="V2395" i="1"/>
  <c r="W2395" i="1"/>
  <c r="V2396" i="1"/>
  <c r="W2396" i="1"/>
  <c r="V2397" i="1"/>
  <c r="W2397" i="1"/>
  <c r="V2398" i="1"/>
  <c r="W2398" i="1"/>
  <c r="V2399" i="1"/>
  <c r="W2399" i="1"/>
  <c r="V2400" i="1"/>
  <c r="W2400" i="1"/>
  <c r="V2401" i="1"/>
  <c r="W2401" i="1"/>
  <c r="V2402" i="1"/>
  <c r="W2402" i="1"/>
  <c r="V2403" i="1"/>
  <c r="W2403" i="1"/>
  <c r="V2404" i="1"/>
  <c r="W2404" i="1"/>
  <c r="V2405" i="1"/>
  <c r="W2405" i="1"/>
  <c r="V2406" i="1"/>
  <c r="W2406" i="1"/>
  <c r="V2407" i="1"/>
  <c r="W2407" i="1"/>
  <c r="V2408" i="1"/>
  <c r="W2408" i="1"/>
  <c r="V2409" i="1"/>
  <c r="W2409" i="1"/>
  <c r="V2410" i="1"/>
  <c r="W2410" i="1"/>
  <c r="V2411" i="1"/>
  <c r="W2411" i="1"/>
  <c r="V2412" i="1"/>
  <c r="W2412" i="1"/>
  <c r="V2413" i="1"/>
  <c r="W2413" i="1"/>
  <c r="V2414" i="1"/>
  <c r="W2414" i="1"/>
  <c r="V2415" i="1"/>
  <c r="W2415" i="1"/>
  <c r="V2416" i="1"/>
  <c r="W2416" i="1"/>
  <c r="V2417" i="1"/>
  <c r="W2417" i="1"/>
  <c r="V2443" i="1"/>
  <c r="W2443" i="1"/>
  <c r="V1473" i="1"/>
  <c r="W147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" i="1"/>
  <c r="W551" i="1"/>
  <c r="X551" i="1"/>
  <c r="W545" i="1"/>
  <c r="X545" i="1"/>
  <c r="W547" i="1"/>
  <c r="X547" i="1"/>
  <c r="W552" i="1"/>
  <c r="X552" i="1"/>
  <c r="W546" i="1"/>
  <c r="X546" i="1"/>
  <c r="W550" i="1"/>
  <c r="X550" i="1"/>
  <c r="W544" i="1"/>
  <c r="X544" i="1"/>
  <c r="W553" i="1"/>
  <c r="X553" i="1"/>
  <c r="W555" i="1"/>
  <c r="X555" i="1"/>
  <c r="W549" i="1"/>
  <c r="X549" i="1"/>
  <c r="L684" i="1"/>
  <c r="L598" i="1"/>
  <c r="L597" i="1"/>
  <c r="L5524" i="1"/>
  <c r="L547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41" i="1"/>
  <c r="L936" i="1"/>
  <c r="L937" i="1"/>
  <c r="L938" i="1"/>
  <c r="L939" i="1"/>
  <c r="L940" i="1"/>
  <c r="L935" i="1"/>
  <c r="L934" i="1"/>
  <c r="L933" i="1"/>
  <c r="L932" i="1"/>
  <c r="L931" i="1"/>
  <c r="L930" i="1"/>
  <c r="L929" i="1"/>
  <c r="L3684" i="1"/>
  <c r="L3685" i="1"/>
  <c r="L3686" i="1"/>
  <c r="L3687" i="1"/>
  <c r="L3688" i="1"/>
  <c r="L3689" i="1"/>
  <c r="L3690" i="1"/>
  <c r="L3691" i="1"/>
  <c r="L3692" i="1"/>
  <c r="L3683" i="1"/>
  <c r="L3682" i="1"/>
  <c r="L3681" i="1"/>
  <c r="L3680" i="1"/>
  <c r="L3654" i="1"/>
  <c r="L3605" i="1"/>
  <c r="L3620" i="1"/>
  <c r="L3656" i="1"/>
  <c r="L3647" i="1"/>
  <c r="L3574" i="1"/>
  <c r="L3602" i="1"/>
  <c r="L3598" i="1"/>
  <c r="L3599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1946" i="1"/>
  <c r="L1635" i="1"/>
  <c r="L1585" i="1"/>
  <c r="L1197" i="1"/>
  <c r="L1198" i="1"/>
  <c r="L1199" i="1"/>
  <c r="Q5765" i="1"/>
  <c r="R5765" i="1"/>
  <c r="Q5766" i="1"/>
  <c r="R5766" i="1"/>
  <c r="Q5767" i="1"/>
  <c r="R5767" i="1"/>
  <c r="Q5768" i="1"/>
  <c r="R5768" i="1"/>
  <c r="Q5769" i="1"/>
  <c r="R5769" i="1"/>
  <c r="Q5770" i="1"/>
  <c r="R5770" i="1"/>
  <c r="Q5771" i="1"/>
  <c r="R5771" i="1"/>
  <c r="Q5772" i="1"/>
  <c r="R5772" i="1"/>
  <c r="Q5773" i="1"/>
  <c r="R5773" i="1"/>
  <c r="Q5774" i="1"/>
  <c r="R5774" i="1"/>
  <c r="Q5775" i="1"/>
  <c r="R5775" i="1"/>
  <c r="Q5776" i="1"/>
  <c r="R5776" i="1"/>
  <c r="Q5777" i="1"/>
  <c r="R5777" i="1"/>
  <c r="Q5778" i="1"/>
  <c r="R5778" i="1"/>
  <c r="Q5779" i="1"/>
  <c r="R5779" i="1"/>
  <c r="Q5780" i="1"/>
  <c r="R5780" i="1"/>
  <c r="Q5781" i="1"/>
  <c r="R5781" i="1"/>
  <c r="Q5782" i="1"/>
  <c r="R5782" i="1"/>
  <c r="Q5783" i="1"/>
  <c r="R5783" i="1"/>
  <c r="Q5784" i="1"/>
  <c r="R5784" i="1"/>
  <c r="Q5785" i="1"/>
  <c r="R5785" i="1"/>
  <c r="Q5786" i="1"/>
  <c r="R5786" i="1"/>
  <c r="Q5787" i="1"/>
  <c r="R5787" i="1"/>
  <c r="Q5788" i="1"/>
  <c r="R5788" i="1"/>
  <c r="Q5789" i="1"/>
  <c r="R5789" i="1"/>
  <c r="Q5790" i="1"/>
  <c r="R5790" i="1"/>
  <c r="Q5791" i="1"/>
  <c r="R5791" i="1"/>
  <c r="Q5792" i="1"/>
  <c r="R5792" i="1"/>
  <c r="Q5793" i="1"/>
  <c r="R5793" i="1"/>
  <c r="Q5794" i="1"/>
  <c r="R5794" i="1"/>
  <c r="Q5795" i="1"/>
  <c r="R5795" i="1"/>
  <c r="Q5796" i="1"/>
  <c r="R5796" i="1"/>
  <c r="Q5797" i="1"/>
  <c r="R5797" i="1"/>
  <c r="Q5798" i="1"/>
  <c r="R5798" i="1"/>
  <c r="Q5799" i="1"/>
  <c r="R5799" i="1"/>
  <c r="Q5800" i="1"/>
  <c r="R5800" i="1"/>
  <c r="Q5801" i="1"/>
  <c r="R5801" i="1"/>
  <c r="Q5802" i="1"/>
  <c r="R5802" i="1"/>
  <c r="Q5803" i="1"/>
  <c r="R5803" i="1"/>
  <c r="Q5804" i="1"/>
  <c r="R5804" i="1"/>
  <c r="Q5805" i="1"/>
  <c r="R5805" i="1"/>
  <c r="Q5806" i="1"/>
  <c r="R5806" i="1"/>
  <c r="Q5807" i="1"/>
  <c r="R5807" i="1"/>
  <c r="Q5808" i="1"/>
  <c r="R5808" i="1"/>
  <c r="Q5809" i="1"/>
  <c r="R5809" i="1"/>
  <c r="Q5810" i="1"/>
  <c r="R5810" i="1"/>
  <c r="Q5811" i="1"/>
  <c r="R5811" i="1"/>
  <c r="Q5812" i="1"/>
  <c r="R5812" i="1"/>
  <c r="Q5813" i="1"/>
  <c r="R5813" i="1"/>
  <c r="Q5814" i="1"/>
  <c r="R5814" i="1"/>
  <c r="Q5815" i="1"/>
  <c r="R5815" i="1"/>
  <c r="Q5816" i="1"/>
  <c r="R5816" i="1"/>
  <c r="Q5817" i="1"/>
  <c r="R5817" i="1"/>
  <c r="Q5818" i="1"/>
  <c r="R5818" i="1"/>
  <c r="Q5819" i="1"/>
  <c r="R5819" i="1"/>
  <c r="Q5820" i="1"/>
  <c r="R5820" i="1"/>
  <c r="Q5821" i="1"/>
  <c r="R5821" i="1"/>
  <c r="Q5822" i="1"/>
  <c r="R5822" i="1"/>
  <c r="Q5823" i="1"/>
  <c r="R5823" i="1"/>
  <c r="Q5824" i="1"/>
  <c r="R5824" i="1"/>
  <c r="Q5825" i="1"/>
  <c r="R5825" i="1"/>
  <c r="Q5826" i="1"/>
  <c r="R5826" i="1"/>
  <c r="Q5827" i="1"/>
  <c r="R5827" i="1"/>
  <c r="Q5828" i="1"/>
  <c r="R5828" i="1"/>
  <c r="Q5829" i="1"/>
  <c r="R5829" i="1"/>
  <c r="Q5830" i="1"/>
  <c r="R5830" i="1"/>
  <c r="Q5831" i="1"/>
  <c r="R5831" i="1"/>
  <c r="Q5832" i="1"/>
  <c r="R5832" i="1"/>
  <c r="Q5833" i="1"/>
  <c r="R5833" i="1"/>
  <c r="Q5834" i="1"/>
  <c r="R5834" i="1"/>
  <c r="Q5835" i="1"/>
  <c r="R5835" i="1"/>
  <c r="Q5836" i="1"/>
  <c r="R5836" i="1"/>
  <c r="Q5837" i="1"/>
  <c r="R5837" i="1"/>
  <c r="Q5838" i="1"/>
  <c r="R5838" i="1"/>
  <c r="Q5839" i="1"/>
  <c r="R5839" i="1"/>
  <c r="Q5840" i="1"/>
  <c r="R5840" i="1"/>
  <c r="Q5841" i="1"/>
  <c r="R5841" i="1"/>
  <c r="Q5842" i="1"/>
  <c r="R5842" i="1"/>
  <c r="Q5843" i="1"/>
  <c r="R5843" i="1"/>
  <c r="Q5844" i="1"/>
  <c r="R5844" i="1"/>
  <c r="Q5845" i="1"/>
  <c r="R5845" i="1"/>
  <c r="Q5846" i="1"/>
  <c r="R5846" i="1"/>
  <c r="Q5847" i="1"/>
  <c r="R5847" i="1"/>
  <c r="Q5848" i="1"/>
  <c r="R5848" i="1"/>
  <c r="Q5849" i="1"/>
  <c r="R5849" i="1"/>
  <c r="Q5850" i="1"/>
  <c r="R5850" i="1"/>
  <c r="Q5851" i="1"/>
  <c r="R5851" i="1"/>
  <c r="Q5852" i="1"/>
  <c r="R5852" i="1"/>
  <c r="Q5853" i="1"/>
  <c r="R5853" i="1"/>
  <c r="Q5854" i="1"/>
  <c r="R5854" i="1"/>
  <c r="Q5855" i="1"/>
  <c r="R5855" i="1"/>
  <c r="Q5856" i="1"/>
  <c r="R5856" i="1"/>
  <c r="Q5857" i="1"/>
  <c r="R5857" i="1"/>
  <c r="Q5858" i="1"/>
  <c r="R5858" i="1"/>
  <c r="Q5859" i="1"/>
  <c r="R5859" i="1"/>
  <c r="Q5860" i="1"/>
  <c r="R5860" i="1"/>
  <c r="Q5861" i="1"/>
  <c r="R5861" i="1"/>
  <c r="Q5862" i="1"/>
  <c r="R5862" i="1"/>
  <c r="Q5863" i="1"/>
  <c r="R5863" i="1"/>
  <c r="Q5864" i="1"/>
  <c r="R5864" i="1"/>
  <c r="Q5865" i="1"/>
  <c r="R5865" i="1"/>
  <c r="Q5866" i="1"/>
  <c r="R5866" i="1"/>
  <c r="Q5867" i="1"/>
  <c r="R5867" i="1"/>
  <c r="Q5868" i="1"/>
  <c r="R5868" i="1"/>
  <c r="Q5869" i="1"/>
  <c r="R5869" i="1"/>
  <c r="Q5870" i="1"/>
  <c r="R5870" i="1"/>
  <c r="Q5871" i="1"/>
  <c r="R5871" i="1"/>
  <c r="Q5872" i="1"/>
  <c r="R5872" i="1"/>
  <c r="Q5873" i="1"/>
  <c r="R5873" i="1"/>
  <c r="Q5874" i="1"/>
  <c r="R5874" i="1"/>
  <c r="Q5875" i="1"/>
  <c r="R5875" i="1"/>
  <c r="Q5876" i="1"/>
  <c r="R5876" i="1"/>
  <c r="Q5877" i="1"/>
  <c r="R5877" i="1"/>
  <c r="Q5878" i="1"/>
  <c r="R5878" i="1"/>
  <c r="Q5879" i="1"/>
  <c r="R5879" i="1"/>
  <c r="Q5880" i="1"/>
  <c r="R5880" i="1"/>
  <c r="Q5881" i="1"/>
  <c r="R5881" i="1"/>
  <c r="Q5882" i="1"/>
  <c r="R5882" i="1"/>
  <c r="Q5883" i="1"/>
  <c r="R5883" i="1"/>
  <c r="Q5884" i="1"/>
  <c r="R5884" i="1"/>
  <c r="Q5885" i="1"/>
  <c r="R5885" i="1"/>
  <c r="Q5886" i="1"/>
  <c r="R5886" i="1"/>
  <c r="Q5887" i="1"/>
  <c r="R5887" i="1"/>
  <c r="Q5888" i="1"/>
  <c r="R5888" i="1"/>
  <c r="Q5889" i="1"/>
  <c r="R5889" i="1"/>
  <c r="Q5890" i="1"/>
  <c r="R5890" i="1"/>
  <c r="Q5891" i="1"/>
  <c r="R5891" i="1"/>
  <c r="Q5892" i="1"/>
  <c r="R5892" i="1"/>
  <c r="Q5893" i="1"/>
  <c r="R5893" i="1"/>
  <c r="Q5894" i="1"/>
  <c r="R5894" i="1"/>
  <c r="Q5895" i="1"/>
  <c r="R5895" i="1"/>
  <c r="Q5896" i="1"/>
  <c r="R5896" i="1"/>
  <c r="Q5897" i="1"/>
  <c r="R5897" i="1"/>
  <c r="Q5898" i="1"/>
  <c r="R5898" i="1"/>
  <c r="Q5899" i="1"/>
  <c r="R5899" i="1"/>
  <c r="Q5900" i="1"/>
  <c r="R5900" i="1"/>
  <c r="Q5901" i="1"/>
  <c r="R5901" i="1"/>
  <c r="Q5902" i="1"/>
  <c r="R5902" i="1"/>
  <c r="Q5903" i="1"/>
  <c r="R5903" i="1"/>
  <c r="Q5904" i="1"/>
  <c r="R5904" i="1"/>
  <c r="Q5905" i="1"/>
  <c r="R5905" i="1"/>
  <c r="Q5906" i="1"/>
  <c r="R5906" i="1"/>
  <c r="Q5907" i="1"/>
  <c r="R5907" i="1"/>
  <c r="Q5908" i="1"/>
  <c r="R5908" i="1"/>
  <c r="Q5909" i="1"/>
  <c r="R5909" i="1"/>
  <c r="Q5910" i="1"/>
  <c r="R5910" i="1"/>
  <c r="Q5911" i="1"/>
  <c r="R5911" i="1"/>
  <c r="Q5912" i="1"/>
  <c r="R5912" i="1"/>
  <c r="Q5913" i="1"/>
  <c r="R5913" i="1"/>
  <c r="Q5914" i="1"/>
  <c r="R5914" i="1"/>
  <c r="Q5915" i="1"/>
  <c r="R5915" i="1"/>
  <c r="Q5916" i="1"/>
  <c r="R5916" i="1"/>
  <c r="Q5917" i="1"/>
  <c r="R5917" i="1"/>
  <c r="Q5918" i="1"/>
  <c r="R5918" i="1"/>
  <c r="Q5919" i="1"/>
  <c r="R5919" i="1"/>
  <c r="Q5920" i="1"/>
  <c r="R5920" i="1"/>
  <c r="Q5921" i="1"/>
  <c r="R5921" i="1"/>
  <c r="Q5922" i="1"/>
  <c r="R5922" i="1"/>
  <c r="Q5763" i="1"/>
  <c r="R5763" i="1"/>
  <c r="Q5764" i="1"/>
  <c r="R5764" i="1"/>
  <c r="P5763" i="1"/>
  <c r="P5764" i="1"/>
  <c r="P5765" i="1"/>
  <c r="P5766" i="1"/>
  <c r="P5767" i="1"/>
  <c r="P5768" i="1"/>
  <c r="P5769" i="1"/>
  <c r="P5770" i="1"/>
  <c r="P5771" i="1"/>
  <c r="P5772" i="1"/>
  <c r="P5773" i="1"/>
  <c r="W5543" i="1"/>
  <c r="P5774" i="1"/>
  <c r="W5544" i="1"/>
  <c r="P5775" i="1"/>
  <c r="W5545" i="1"/>
  <c r="P5776" i="1"/>
  <c r="W5546" i="1"/>
  <c r="P5777" i="1"/>
  <c r="W5547" i="1"/>
  <c r="P5778" i="1"/>
  <c r="W5548" i="1"/>
  <c r="P5779" i="1"/>
  <c r="W5549" i="1"/>
  <c r="P5780" i="1"/>
  <c r="W5551" i="1"/>
  <c r="P5781" i="1"/>
  <c r="W5552" i="1"/>
  <c r="P5782" i="1"/>
  <c r="W5553" i="1"/>
  <c r="P5783" i="1"/>
  <c r="W5554" i="1"/>
  <c r="P5784" i="1"/>
  <c r="W5555" i="1"/>
  <c r="P5785" i="1"/>
  <c r="W5556" i="1"/>
  <c r="P5786" i="1"/>
  <c r="W5557" i="1"/>
  <c r="P5787" i="1"/>
  <c r="W5558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762" i="1"/>
  <c r="Q5762" i="1"/>
  <c r="R5762" i="1"/>
  <c r="L5879" i="1"/>
  <c r="L5852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798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Q5559" i="1"/>
  <c r="R5559" i="1"/>
  <c r="Q5560" i="1"/>
  <c r="R5560" i="1"/>
  <c r="Q5561" i="1"/>
  <c r="R5561" i="1"/>
  <c r="Q5562" i="1"/>
  <c r="R5562" i="1"/>
  <c r="Q5563" i="1"/>
  <c r="R5563" i="1"/>
  <c r="Q5564" i="1"/>
  <c r="R5564" i="1"/>
  <c r="Q5565" i="1"/>
  <c r="R5565" i="1"/>
  <c r="Q5566" i="1"/>
  <c r="R5566" i="1"/>
  <c r="Q5567" i="1"/>
  <c r="R5567" i="1"/>
  <c r="Q5568" i="1"/>
  <c r="R5568" i="1"/>
  <c r="Q5569" i="1"/>
  <c r="R5569" i="1"/>
  <c r="Q5570" i="1"/>
  <c r="R5570" i="1"/>
  <c r="Q5571" i="1"/>
  <c r="R5571" i="1"/>
  <c r="Q5572" i="1"/>
  <c r="R5572" i="1"/>
  <c r="Q5573" i="1"/>
  <c r="R5573" i="1"/>
  <c r="Q5574" i="1"/>
  <c r="R5574" i="1"/>
  <c r="Q5575" i="1"/>
  <c r="R5575" i="1"/>
  <c r="Q5576" i="1"/>
  <c r="R5576" i="1"/>
  <c r="Q5577" i="1"/>
  <c r="R5577" i="1"/>
  <c r="Q5578" i="1"/>
  <c r="R5578" i="1"/>
  <c r="Q5579" i="1"/>
  <c r="R5579" i="1"/>
  <c r="Q5580" i="1"/>
  <c r="R5580" i="1"/>
  <c r="Q5581" i="1"/>
  <c r="R5581" i="1"/>
  <c r="Q5582" i="1"/>
  <c r="R5582" i="1"/>
  <c r="Q5583" i="1"/>
  <c r="R5583" i="1"/>
  <c r="Q5584" i="1"/>
  <c r="R5584" i="1"/>
  <c r="Q5585" i="1"/>
  <c r="R5585" i="1"/>
  <c r="Q5586" i="1"/>
  <c r="R5586" i="1"/>
  <c r="Q5587" i="1"/>
  <c r="R5587" i="1"/>
  <c r="Q5588" i="1"/>
  <c r="R5588" i="1"/>
  <c r="Q5589" i="1"/>
  <c r="R5589" i="1"/>
  <c r="Q5590" i="1"/>
  <c r="R5590" i="1"/>
  <c r="Q5591" i="1"/>
  <c r="R5591" i="1"/>
  <c r="Q5592" i="1"/>
  <c r="R5592" i="1"/>
  <c r="Q5593" i="1"/>
  <c r="R5593" i="1"/>
  <c r="Q5594" i="1"/>
  <c r="R5594" i="1"/>
  <c r="Q5595" i="1"/>
  <c r="R5595" i="1"/>
  <c r="Q5596" i="1"/>
  <c r="R5596" i="1"/>
  <c r="Q5597" i="1"/>
  <c r="R5597" i="1"/>
  <c r="Q5598" i="1"/>
  <c r="R5598" i="1"/>
  <c r="Q5599" i="1"/>
  <c r="R5599" i="1"/>
  <c r="Q5600" i="1"/>
  <c r="R5600" i="1"/>
  <c r="Q5601" i="1"/>
  <c r="R5601" i="1"/>
  <c r="Q5602" i="1"/>
  <c r="R5602" i="1"/>
  <c r="Q5603" i="1"/>
  <c r="R5603" i="1"/>
  <c r="Q5604" i="1"/>
  <c r="R5604" i="1"/>
  <c r="Q5605" i="1"/>
  <c r="R5605" i="1"/>
  <c r="Q5606" i="1"/>
  <c r="R5606" i="1"/>
  <c r="Q5607" i="1"/>
  <c r="R5607" i="1"/>
  <c r="Q5608" i="1"/>
  <c r="R5608" i="1"/>
  <c r="Q5609" i="1"/>
  <c r="R5609" i="1"/>
  <c r="Q5610" i="1"/>
  <c r="R5610" i="1"/>
  <c r="Q5611" i="1"/>
  <c r="R5611" i="1"/>
  <c r="Q5612" i="1"/>
  <c r="R5612" i="1"/>
  <c r="Q5613" i="1"/>
  <c r="R5613" i="1"/>
  <c r="Q5614" i="1"/>
  <c r="R5614" i="1"/>
  <c r="Q5615" i="1"/>
  <c r="R5615" i="1"/>
  <c r="Q5616" i="1"/>
  <c r="R5616" i="1"/>
  <c r="Q5617" i="1"/>
  <c r="R5617" i="1"/>
  <c r="Q5618" i="1"/>
  <c r="R5618" i="1"/>
  <c r="Q5619" i="1"/>
  <c r="R5619" i="1"/>
  <c r="Q5620" i="1"/>
  <c r="R5620" i="1"/>
  <c r="Q5621" i="1"/>
  <c r="R5621" i="1"/>
  <c r="Q5622" i="1"/>
  <c r="R5622" i="1"/>
  <c r="Q5623" i="1"/>
  <c r="R5623" i="1"/>
  <c r="Q5624" i="1"/>
  <c r="R5624" i="1"/>
  <c r="Q5625" i="1"/>
  <c r="R5625" i="1"/>
  <c r="Q5626" i="1"/>
  <c r="R5626" i="1"/>
  <c r="Q5627" i="1"/>
  <c r="R5627" i="1"/>
  <c r="Q5628" i="1"/>
  <c r="R5628" i="1"/>
  <c r="Q5629" i="1"/>
  <c r="R5629" i="1"/>
  <c r="Q5630" i="1"/>
  <c r="R5630" i="1"/>
  <c r="Q5631" i="1"/>
  <c r="R5631" i="1"/>
  <c r="Q5632" i="1"/>
  <c r="R5632" i="1"/>
  <c r="Q5633" i="1"/>
  <c r="R5633" i="1"/>
  <c r="Q5634" i="1"/>
  <c r="R5634" i="1"/>
  <c r="Q5635" i="1"/>
  <c r="R5635" i="1"/>
  <c r="Q5636" i="1"/>
  <c r="R5636" i="1"/>
  <c r="Q5637" i="1"/>
  <c r="R5637" i="1"/>
  <c r="Q5638" i="1"/>
  <c r="R5638" i="1"/>
  <c r="Q5639" i="1"/>
  <c r="R5639" i="1"/>
  <c r="Q5640" i="1"/>
  <c r="R5640" i="1"/>
  <c r="Q5641" i="1"/>
  <c r="R5641" i="1"/>
  <c r="Q5642" i="1"/>
  <c r="R5642" i="1"/>
  <c r="Q5643" i="1"/>
  <c r="R5643" i="1"/>
  <c r="Q5644" i="1"/>
  <c r="R5644" i="1"/>
  <c r="Q5645" i="1"/>
  <c r="R5645" i="1"/>
  <c r="Q5646" i="1"/>
  <c r="R5646" i="1"/>
  <c r="Q5647" i="1"/>
  <c r="R5647" i="1"/>
  <c r="Q5648" i="1"/>
  <c r="R5648" i="1"/>
  <c r="Q5649" i="1"/>
  <c r="R5649" i="1"/>
  <c r="Q5650" i="1"/>
  <c r="R5650" i="1"/>
  <c r="Q5651" i="1"/>
  <c r="R5651" i="1"/>
  <c r="Q5652" i="1"/>
  <c r="R5652" i="1"/>
  <c r="Q5653" i="1"/>
  <c r="R5653" i="1"/>
  <c r="Q5654" i="1"/>
  <c r="R5654" i="1"/>
  <c r="Q5655" i="1"/>
  <c r="R5655" i="1"/>
  <c r="Q5656" i="1"/>
  <c r="R5656" i="1"/>
  <c r="Q5657" i="1"/>
  <c r="R5657" i="1"/>
  <c r="Q5658" i="1"/>
  <c r="R5658" i="1"/>
  <c r="Q5659" i="1"/>
  <c r="R5659" i="1"/>
  <c r="Q5660" i="1"/>
  <c r="R5660" i="1"/>
  <c r="Q5661" i="1"/>
  <c r="R5661" i="1"/>
  <c r="Q5662" i="1"/>
  <c r="R5662" i="1"/>
  <c r="Q5663" i="1"/>
  <c r="R5663" i="1"/>
  <c r="Q5664" i="1"/>
  <c r="R5664" i="1"/>
  <c r="Q5665" i="1"/>
  <c r="R5665" i="1"/>
  <c r="Q5666" i="1"/>
  <c r="R5666" i="1"/>
  <c r="Q5667" i="1"/>
  <c r="R5667" i="1"/>
  <c r="Q5668" i="1"/>
  <c r="R5668" i="1"/>
  <c r="Q5669" i="1"/>
  <c r="R5669" i="1"/>
  <c r="Q5670" i="1"/>
  <c r="R5670" i="1"/>
  <c r="Q5671" i="1"/>
  <c r="R5671" i="1"/>
  <c r="Q5672" i="1"/>
  <c r="R5672" i="1"/>
  <c r="Q5673" i="1"/>
  <c r="R5673" i="1"/>
  <c r="Q5674" i="1"/>
  <c r="R5674" i="1"/>
  <c r="Q5675" i="1"/>
  <c r="R5675" i="1"/>
  <c r="Q5676" i="1"/>
  <c r="R5676" i="1"/>
  <c r="Q5677" i="1"/>
  <c r="R5677" i="1"/>
  <c r="Q5678" i="1"/>
  <c r="R5678" i="1"/>
  <c r="Q5679" i="1"/>
  <c r="R5679" i="1"/>
  <c r="Q5680" i="1"/>
  <c r="R5680" i="1"/>
  <c r="Q5681" i="1"/>
  <c r="R5681" i="1"/>
  <c r="Q5682" i="1"/>
  <c r="R5682" i="1"/>
  <c r="Q5683" i="1"/>
  <c r="R5683" i="1"/>
  <c r="Q5684" i="1"/>
  <c r="R5684" i="1"/>
  <c r="Q5685" i="1"/>
  <c r="R5685" i="1"/>
  <c r="Q5686" i="1"/>
  <c r="R5686" i="1"/>
  <c r="Q5687" i="1"/>
  <c r="R5687" i="1"/>
  <c r="Q5688" i="1"/>
  <c r="R5688" i="1"/>
  <c r="Q5689" i="1"/>
  <c r="R5689" i="1"/>
  <c r="Q5690" i="1"/>
  <c r="R5690" i="1"/>
  <c r="Q5691" i="1"/>
  <c r="R5691" i="1"/>
  <c r="Q5692" i="1"/>
  <c r="R5692" i="1"/>
  <c r="Q5693" i="1"/>
  <c r="R5693" i="1"/>
  <c r="Q5694" i="1"/>
  <c r="R5694" i="1"/>
  <c r="Q5695" i="1"/>
  <c r="R5695" i="1"/>
  <c r="Q5696" i="1"/>
  <c r="R5696" i="1"/>
  <c r="Q5697" i="1"/>
  <c r="R5697" i="1"/>
  <c r="Q5698" i="1"/>
  <c r="R5698" i="1"/>
  <c r="Q5699" i="1"/>
  <c r="R5699" i="1"/>
  <c r="Q5700" i="1"/>
  <c r="R5700" i="1"/>
  <c r="Q5701" i="1"/>
  <c r="R5701" i="1"/>
  <c r="Q5702" i="1"/>
  <c r="R5702" i="1"/>
  <c r="Q5703" i="1"/>
  <c r="R5703" i="1"/>
  <c r="Q5704" i="1"/>
  <c r="R5704" i="1"/>
  <c r="Q5705" i="1"/>
  <c r="R5705" i="1"/>
  <c r="Q5706" i="1"/>
  <c r="R5706" i="1"/>
  <c r="Q5707" i="1"/>
  <c r="R5707" i="1"/>
  <c r="Q5708" i="1"/>
  <c r="R5708" i="1"/>
  <c r="Q5709" i="1"/>
  <c r="R5709" i="1"/>
  <c r="Q5710" i="1"/>
  <c r="R5710" i="1"/>
  <c r="Q5711" i="1"/>
  <c r="R5711" i="1"/>
  <c r="Q5712" i="1"/>
  <c r="R5712" i="1"/>
  <c r="Q5713" i="1"/>
  <c r="R5713" i="1"/>
  <c r="Q5714" i="1"/>
  <c r="R5714" i="1"/>
  <c r="Q5715" i="1"/>
  <c r="R5715" i="1"/>
  <c r="Q5716" i="1"/>
  <c r="R5716" i="1"/>
  <c r="Q5717" i="1"/>
  <c r="R5717" i="1"/>
  <c r="Q5718" i="1"/>
  <c r="R5718" i="1"/>
  <c r="Q5719" i="1"/>
  <c r="R5719" i="1"/>
  <c r="Q5720" i="1"/>
  <c r="R5720" i="1"/>
  <c r="Q5721" i="1"/>
  <c r="R5721" i="1"/>
  <c r="Q5722" i="1"/>
  <c r="R5722" i="1"/>
  <c r="Q5723" i="1"/>
  <c r="R5723" i="1"/>
  <c r="Q5724" i="1"/>
  <c r="R5724" i="1"/>
  <c r="Q5725" i="1"/>
  <c r="R5725" i="1"/>
  <c r="Q5726" i="1"/>
  <c r="R5726" i="1"/>
  <c r="Q5727" i="1"/>
  <c r="R5727" i="1"/>
  <c r="Q5728" i="1"/>
  <c r="R5728" i="1"/>
  <c r="Q5729" i="1"/>
  <c r="R5729" i="1"/>
  <c r="Q5730" i="1"/>
  <c r="R5730" i="1"/>
  <c r="Q5731" i="1"/>
  <c r="R5731" i="1"/>
  <c r="Q5732" i="1"/>
  <c r="R5732" i="1"/>
  <c r="Q5733" i="1"/>
  <c r="R5733" i="1"/>
  <c r="Q5734" i="1"/>
  <c r="R5734" i="1"/>
  <c r="Q5735" i="1"/>
  <c r="R5735" i="1"/>
  <c r="Q5736" i="1"/>
  <c r="R5736" i="1"/>
  <c r="Q5737" i="1"/>
  <c r="R5737" i="1"/>
  <c r="Q5738" i="1"/>
  <c r="R5738" i="1"/>
  <c r="Q5739" i="1"/>
  <c r="R5739" i="1"/>
  <c r="Q5740" i="1"/>
  <c r="R5740" i="1"/>
  <c r="Q5741" i="1"/>
  <c r="R5741" i="1"/>
  <c r="Q5742" i="1"/>
  <c r="R5742" i="1"/>
  <c r="Q5743" i="1"/>
  <c r="R5743" i="1"/>
  <c r="Q5744" i="1"/>
  <c r="R5744" i="1"/>
  <c r="Q5745" i="1"/>
  <c r="R5745" i="1"/>
  <c r="Q5746" i="1"/>
  <c r="R5746" i="1"/>
  <c r="Q5747" i="1"/>
  <c r="R5747" i="1"/>
  <c r="Q5748" i="1"/>
  <c r="R5748" i="1"/>
  <c r="Q5749" i="1"/>
  <c r="R5749" i="1"/>
  <c r="Q5750" i="1"/>
  <c r="R5750" i="1"/>
  <c r="Q5751" i="1"/>
  <c r="R5751" i="1"/>
  <c r="Q5752" i="1"/>
  <c r="R5752" i="1"/>
  <c r="Q5753" i="1"/>
  <c r="R5753" i="1"/>
  <c r="Q5754" i="1"/>
  <c r="R5754" i="1"/>
  <c r="Q5755" i="1"/>
  <c r="R5755" i="1"/>
  <c r="Q5756" i="1"/>
  <c r="R5756" i="1"/>
  <c r="Q5757" i="1"/>
  <c r="R5757" i="1"/>
  <c r="Q5758" i="1"/>
  <c r="R5758" i="1"/>
  <c r="Q5759" i="1"/>
  <c r="R5759" i="1"/>
  <c r="Q5760" i="1"/>
  <c r="R5760" i="1"/>
  <c r="Q5761" i="1"/>
  <c r="R5761" i="1"/>
  <c r="P5559" i="1"/>
  <c r="W5559" i="1"/>
  <c r="P5560" i="1"/>
  <c r="W5560" i="1"/>
  <c r="P5561" i="1"/>
  <c r="W5561" i="1"/>
  <c r="P5562" i="1"/>
  <c r="W5562" i="1"/>
  <c r="P5563" i="1"/>
  <c r="W5563" i="1"/>
  <c r="P5564" i="1"/>
  <c r="W5564" i="1"/>
  <c r="P5565" i="1"/>
  <c r="W5565" i="1"/>
  <c r="P5566" i="1"/>
  <c r="W5566" i="1"/>
  <c r="P5567" i="1"/>
  <c r="W5567" i="1"/>
  <c r="P5568" i="1"/>
  <c r="W5568" i="1"/>
  <c r="P5569" i="1"/>
  <c r="W5569" i="1"/>
  <c r="P5570" i="1"/>
  <c r="W5570" i="1"/>
  <c r="P5571" i="1"/>
  <c r="W5571" i="1"/>
  <c r="P5572" i="1"/>
  <c r="W5572" i="1"/>
  <c r="P5573" i="1"/>
  <c r="W5573" i="1"/>
  <c r="P5574" i="1"/>
  <c r="W5574" i="1"/>
  <c r="P5575" i="1"/>
  <c r="W5575" i="1"/>
  <c r="P5576" i="1"/>
  <c r="W5576" i="1"/>
  <c r="P5577" i="1"/>
  <c r="W5577" i="1"/>
  <c r="P5578" i="1"/>
  <c r="W5578" i="1"/>
  <c r="P5579" i="1"/>
  <c r="W5579" i="1"/>
  <c r="P5580" i="1"/>
  <c r="W5580" i="1"/>
  <c r="P5581" i="1"/>
  <c r="W5581" i="1"/>
  <c r="P5582" i="1"/>
  <c r="W5582" i="1"/>
  <c r="P5583" i="1"/>
  <c r="W5583" i="1"/>
  <c r="P5584" i="1"/>
  <c r="W5584" i="1"/>
  <c r="P5585" i="1"/>
  <c r="W5585" i="1"/>
  <c r="P5586" i="1"/>
  <c r="W5586" i="1"/>
  <c r="P5587" i="1"/>
  <c r="W5587" i="1"/>
  <c r="P5588" i="1"/>
  <c r="W5588" i="1"/>
  <c r="P5589" i="1"/>
  <c r="W5589" i="1"/>
  <c r="P5590" i="1"/>
  <c r="W5590" i="1"/>
  <c r="P5591" i="1"/>
  <c r="W5591" i="1"/>
  <c r="P5592" i="1"/>
  <c r="W5592" i="1"/>
  <c r="P5593" i="1"/>
  <c r="W5593" i="1"/>
  <c r="P5594" i="1"/>
  <c r="W5594" i="1"/>
  <c r="P5595" i="1"/>
  <c r="W5595" i="1"/>
  <c r="P5596" i="1"/>
  <c r="W5596" i="1"/>
  <c r="P5597" i="1"/>
  <c r="W5597" i="1"/>
  <c r="P5598" i="1"/>
  <c r="W5598" i="1"/>
  <c r="P5599" i="1"/>
  <c r="W5599" i="1"/>
  <c r="P5600" i="1"/>
  <c r="W5600" i="1"/>
  <c r="P5601" i="1"/>
  <c r="W5601" i="1"/>
  <c r="P5602" i="1"/>
  <c r="W5602" i="1"/>
  <c r="P5603" i="1"/>
  <c r="W5603" i="1"/>
  <c r="P5604" i="1"/>
  <c r="W5604" i="1"/>
  <c r="P5605" i="1"/>
  <c r="W5605" i="1"/>
  <c r="P5606" i="1"/>
  <c r="W5606" i="1"/>
  <c r="P5607" i="1"/>
  <c r="W5607" i="1"/>
  <c r="P5608" i="1"/>
  <c r="W5608" i="1"/>
  <c r="P5609" i="1"/>
  <c r="W5609" i="1"/>
  <c r="P5610" i="1"/>
  <c r="W5610" i="1"/>
  <c r="P5611" i="1"/>
  <c r="W5611" i="1"/>
  <c r="P5612" i="1"/>
  <c r="W5612" i="1"/>
  <c r="P5613" i="1"/>
  <c r="W5613" i="1"/>
  <c r="P5614" i="1"/>
  <c r="W5614" i="1"/>
  <c r="P5615" i="1"/>
  <c r="W5615" i="1"/>
  <c r="P5616" i="1"/>
  <c r="W5616" i="1"/>
  <c r="P5617" i="1"/>
  <c r="W5617" i="1"/>
  <c r="P5618" i="1"/>
  <c r="W5618" i="1"/>
  <c r="P5619" i="1"/>
  <c r="W5619" i="1"/>
  <c r="P5620" i="1"/>
  <c r="W5620" i="1"/>
  <c r="P5621" i="1"/>
  <c r="W5621" i="1"/>
  <c r="P5622" i="1"/>
  <c r="W5622" i="1"/>
  <c r="P5623" i="1"/>
  <c r="W5623" i="1"/>
  <c r="P5624" i="1"/>
  <c r="W5624" i="1"/>
  <c r="P5625" i="1"/>
  <c r="W5625" i="1"/>
  <c r="P5626" i="1"/>
  <c r="W5626" i="1"/>
  <c r="P5627" i="1"/>
  <c r="W5627" i="1"/>
  <c r="P5628" i="1"/>
  <c r="W5628" i="1"/>
  <c r="P5629" i="1"/>
  <c r="W5629" i="1"/>
  <c r="P5630" i="1"/>
  <c r="W5630" i="1"/>
  <c r="P5631" i="1"/>
  <c r="W5631" i="1"/>
  <c r="P5632" i="1"/>
  <c r="W5632" i="1"/>
  <c r="P5633" i="1"/>
  <c r="W5633" i="1"/>
  <c r="P5634" i="1"/>
  <c r="W5634" i="1"/>
  <c r="P5635" i="1"/>
  <c r="W5635" i="1"/>
  <c r="P5636" i="1"/>
  <c r="W5636" i="1"/>
  <c r="P5637" i="1"/>
  <c r="W5637" i="1"/>
  <c r="P5638" i="1"/>
  <c r="W5638" i="1"/>
  <c r="P5639" i="1"/>
  <c r="W5639" i="1"/>
  <c r="P5640" i="1"/>
  <c r="W5640" i="1"/>
  <c r="P5641" i="1"/>
  <c r="W5641" i="1"/>
  <c r="P5642" i="1"/>
  <c r="W5642" i="1"/>
  <c r="P5643" i="1"/>
  <c r="W5643" i="1"/>
  <c r="P5644" i="1"/>
  <c r="W5644" i="1"/>
  <c r="P5645" i="1"/>
  <c r="W5645" i="1"/>
  <c r="P5646" i="1"/>
  <c r="W5646" i="1"/>
  <c r="P5647" i="1"/>
  <c r="W5647" i="1"/>
  <c r="P5648" i="1"/>
  <c r="W5648" i="1"/>
  <c r="P5649" i="1"/>
  <c r="W5649" i="1"/>
  <c r="P5650" i="1"/>
  <c r="W5650" i="1"/>
  <c r="P5651" i="1"/>
  <c r="W5651" i="1"/>
  <c r="P5652" i="1"/>
  <c r="W5652" i="1"/>
  <c r="P5653" i="1"/>
  <c r="W5653" i="1"/>
  <c r="P5654" i="1"/>
  <c r="W5654" i="1"/>
  <c r="P5655" i="1"/>
  <c r="W5655" i="1"/>
  <c r="P5656" i="1"/>
  <c r="W5656" i="1"/>
  <c r="P5657" i="1"/>
  <c r="W5657" i="1"/>
  <c r="P5658" i="1"/>
  <c r="W5658" i="1"/>
  <c r="P5659" i="1"/>
  <c r="W5659" i="1"/>
  <c r="P5660" i="1"/>
  <c r="W5660" i="1"/>
  <c r="P5661" i="1"/>
  <c r="W5661" i="1"/>
  <c r="P5662" i="1"/>
  <c r="W5662" i="1"/>
  <c r="P5663" i="1"/>
  <c r="W5663" i="1"/>
  <c r="P5664" i="1"/>
  <c r="W5664" i="1"/>
  <c r="P5665" i="1"/>
  <c r="W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559" i="1"/>
  <c r="L5560" i="1"/>
  <c r="L5561" i="1"/>
  <c r="L556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W278" i="1"/>
  <c r="X278" i="1"/>
  <c r="P279" i="1"/>
  <c r="P280" i="1"/>
  <c r="W280" i="1"/>
  <c r="X280" i="1"/>
  <c r="P281" i="1"/>
  <c r="P282" i="1"/>
  <c r="P283" i="1"/>
  <c r="P284" i="1"/>
  <c r="P285" i="1"/>
  <c r="W285" i="1"/>
  <c r="X285" i="1"/>
  <c r="P288" i="1"/>
  <c r="P289" i="1"/>
  <c r="P290" i="1"/>
  <c r="P291" i="1"/>
  <c r="P293" i="1"/>
  <c r="W293" i="1"/>
  <c r="X293" i="1"/>
  <c r="P294" i="1"/>
  <c r="P295" i="1"/>
  <c r="W295" i="1"/>
  <c r="X295" i="1"/>
  <c r="P296" i="1"/>
  <c r="P297" i="1"/>
  <c r="P298" i="1"/>
  <c r="P299" i="1"/>
  <c r="P302" i="1"/>
  <c r="P311" i="1"/>
  <c r="P312" i="1"/>
  <c r="P313" i="1"/>
  <c r="P314" i="1"/>
  <c r="P315" i="1"/>
  <c r="P316" i="1"/>
  <c r="P317" i="1"/>
  <c r="P318" i="1"/>
  <c r="P319" i="1"/>
  <c r="W319" i="1"/>
  <c r="X319" i="1"/>
  <c r="P320" i="1"/>
  <c r="P321" i="1"/>
  <c r="W321" i="1"/>
  <c r="X321" i="1"/>
  <c r="P322" i="1"/>
  <c r="P323" i="1"/>
  <c r="P324" i="1"/>
  <c r="P325" i="1"/>
  <c r="P326" i="1"/>
  <c r="P327" i="1"/>
  <c r="P328" i="1"/>
  <c r="P329" i="1"/>
  <c r="P330" i="1"/>
  <c r="P331" i="1"/>
  <c r="W331" i="1"/>
  <c r="X331" i="1"/>
  <c r="P332" i="1"/>
  <c r="P333" i="1"/>
  <c r="W333" i="1"/>
  <c r="X333" i="1"/>
  <c r="P334" i="1"/>
  <c r="P335" i="1"/>
  <c r="P336" i="1"/>
  <c r="P337" i="1"/>
  <c r="P338" i="1"/>
  <c r="P339" i="1"/>
  <c r="P340" i="1"/>
  <c r="P341" i="1"/>
  <c r="P342" i="1"/>
  <c r="P343" i="1"/>
  <c r="W343" i="1"/>
  <c r="X343" i="1"/>
  <c r="P344" i="1"/>
  <c r="P345" i="1"/>
  <c r="W345" i="1"/>
  <c r="X345" i="1"/>
  <c r="P346" i="1"/>
  <c r="P347" i="1"/>
  <c r="P348" i="1"/>
  <c r="P349" i="1"/>
  <c r="P350" i="1"/>
  <c r="P351" i="1"/>
  <c r="P352" i="1"/>
  <c r="P353" i="1"/>
  <c r="P354" i="1"/>
  <c r="P355" i="1"/>
  <c r="W355" i="1"/>
  <c r="X355" i="1"/>
  <c r="P356" i="1"/>
  <c r="P357" i="1"/>
  <c r="W357" i="1"/>
  <c r="X357" i="1"/>
  <c r="P358" i="1"/>
  <c r="P359" i="1"/>
  <c r="P360" i="1"/>
  <c r="P361" i="1"/>
  <c r="P362" i="1"/>
  <c r="P363" i="1"/>
  <c r="P364" i="1"/>
  <c r="P365" i="1"/>
  <c r="P366" i="1"/>
  <c r="P367" i="1"/>
  <c r="W367" i="1"/>
  <c r="X367" i="1"/>
  <c r="P368" i="1"/>
  <c r="P369" i="1"/>
  <c r="W369" i="1"/>
  <c r="X369" i="1"/>
  <c r="P370" i="1"/>
  <c r="P371" i="1"/>
  <c r="P372" i="1"/>
  <c r="P373" i="1"/>
  <c r="P374" i="1"/>
  <c r="P375" i="1"/>
  <c r="P376" i="1"/>
  <c r="P377" i="1"/>
  <c r="P378" i="1"/>
  <c r="P379" i="1"/>
  <c r="W379" i="1"/>
  <c r="X379" i="1"/>
  <c r="P380" i="1"/>
  <c r="P381" i="1"/>
  <c r="W381" i="1"/>
  <c r="X381" i="1"/>
  <c r="P382" i="1"/>
  <c r="P383" i="1"/>
  <c r="P384" i="1"/>
  <c r="P385" i="1"/>
  <c r="P386" i="1"/>
  <c r="P387" i="1"/>
  <c r="P388" i="1"/>
  <c r="P389" i="1"/>
  <c r="P390" i="1"/>
  <c r="P394" i="1"/>
  <c r="W394" i="1"/>
  <c r="X394" i="1"/>
  <c r="P395" i="1"/>
  <c r="P396" i="1"/>
  <c r="W396" i="1"/>
  <c r="X396" i="1"/>
  <c r="P397" i="1"/>
  <c r="P398" i="1"/>
  <c r="P399" i="1"/>
  <c r="P400" i="1"/>
  <c r="P401" i="1"/>
  <c r="P402" i="1"/>
  <c r="P403" i="1"/>
  <c r="P404" i="1"/>
  <c r="P405" i="1"/>
  <c r="P406" i="1"/>
  <c r="W406" i="1"/>
  <c r="X406" i="1"/>
  <c r="P407" i="1"/>
  <c r="P408" i="1"/>
  <c r="W408" i="1"/>
  <c r="X408" i="1"/>
  <c r="P409" i="1"/>
  <c r="P410" i="1"/>
  <c r="P411" i="1"/>
  <c r="P412" i="1"/>
  <c r="P413" i="1"/>
  <c r="P414" i="1"/>
  <c r="P415" i="1"/>
  <c r="P416" i="1"/>
  <c r="P418" i="1"/>
  <c r="P419" i="1"/>
  <c r="W419" i="1"/>
  <c r="X419" i="1"/>
  <c r="P420" i="1"/>
  <c r="P421" i="1"/>
  <c r="W421" i="1"/>
  <c r="X421" i="1"/>
  <c r="P422" i="1"/>
  <c r="P423" i="1"/>
  <c r="P424" i="1"/>
  <c r="P425" i="1"/>
  <c r="P426" i="1"/>
  <c r="P427" i="1"/>
  <c r="P428" i="1"/>
  <c r="P429" i="1"/>
  <c r="P430" i="1"/>
  <c r="P431" i="1"/>
  <c r="W431" i="1"/>
  <c r="X431" i="1"/>
  <c r="P432" i="1"/>
  <c r="P433" i="1"/>
  <c r="W433" i="1"/>
  <c r="X433" i="1"/>
  <c r="P434" i="1"/>
  <c r="P435" i="1"/>
  <c r="P436" i="1"/>
  <c r="P437" i="1"/>
  <c r="P438" i="1"/>
  <c r="P439" i="1"/>
  <c r="P440" i="1"/>
  <c r="P441" i="1"/>
  <c r="P442" i="1"/>
  <c r="P443" i="1"/>
  <c r="W443" i="1"/>
  <c r="X443" i="1"/>
  <c r="P444" i="1"/>
  <c r="P445" i="1"/>
  <c r="W445" i="1"/>
  <c r="X445" i="1"/>
  <c r="P446" i="1"/>
  <c r="P447" i="1"/>
  <c r="P448" i="1"/>
  <c r="P449" i="1"/>
  <c r="P450" i="1"/>
  <c r="P451" i="1"/>
  <c r="P452" i="1"/>
  <c r="P453" i="1"/>
  <c r="P454" i="1"/>
  <c r="P455" i="1"/>
  <c r="W455" i="1"/>
  <c r="X455" i="1"/>
  <c r="P456" i="1"/>
  <c r="P457" i="1"/>
  <c r="W457" i="1"/>
  <c r="X457" i="1"/>
  <c r="P458" i="1"/>
  <c r="P459" i="1"/>
  <c r="P460" i="1"/>
  <c r="P461" i="1"/>
  <c r="P462" i="1"/>
  <c r="P463" i="1"/>
  <c r="P464" i="1"/>
  <c r="P465" i="1"/>
  <c r="P466" i="1"/>
  <c r="P467" i="1"/>
  <c r="W467" i="1"/>
  <c r="X467" i="1"/>
  <c r="P468" i="1"/>
  <c r="P469" i="1"/>
  <c r="W469" i="1"/>
  <c r="X469" i="1"/>
  <c r="P470" i="1"/>
  <c r="P471" i="1"/>
  <c r="P472" i="1"/>
  <c r="P473" i="1"/>
  <c r="P474" i="1"/>
  <c r="P475" i="1"/>
  <c r="P476" i="1"/>
  <c r="P477" i="1"/>
  <c r="P478" i="1"/>
  <c r="P479" i="1"/>
  <c r="W479" i="1"/>
  <c r="X479" i="1"/>
  <c r="P480" i="1"/>
  <c r="P481" i="1"/>
  <c r="W481" i="1"/>
  <c r="X481" i="1"/>
  <c r="P482" i="1"/>
  <c r="P483" i="1"/>
  <c r="P484" i="1"/>
  <c r="P485" i="1"/>
  <c r="P486" i="1"/>
  <c r="P487" i="1"/>
  <c r="P488" i="1"/>
  <c r="P489" i="1"/>
  <c r="P490" i="1"/>
  <c r="W490" i="1"/>
  <c r="X490" i="1"/>
  <c r="P491" i="1"/>
  <c r="P492" i="1"/>
  <c r="W492" i="1"/>
  <c r="X492" i="1"/>
  <c r="P493" i="1"/>
  <c r="P494" i="1"/>
  <c r="W494" i="1"/>
  <c r="X494" i="1"/>
  <c r="P495" i="1"/>
  <c r="P496" i="1"/>
  <c r="P497" i="1"/>
  <c r="P498" i="1"/>
  <c r="P499" i="1"/>
  <c r="P500" i="1"/>
  <c r="P501" i="1"/>
  <c r="P502" i="1"/>
  <c r="W502" i="1"/>
  <c r="X502" i="1"/>
  <c r="P503" i="1"/>
  <c r="P504" i="1"/>
  <c r="W504" i="1"/>
  <c r="X504" i="1"/>
  <c r="P505" i="1"/>
  <c r="P506" i="1"/>
  <c r="W506" i="1"/>
  <c r="X506" i="1"/>
  <c r="P507" i="1"/>
  <c r="P508" i="1"/>
  <c r="P509" i="1"/>
  <c r="P510" i="1"/>
  <c r="P511" i="1"/>
  <c r="P512" i="1"/>
  <c r="P513" i="1"/>
  <c r="P514" i="1"/>
  <c r="W514" i="1"/>
  <c r="X514" i="1"/>
  <c r="P515" i="1"/>
  <c r="P516" i="1"/>
  <c r="W516" i="1"/>
  <c r="X516" i="1"/>
  <c r="P517" i="1"/>
  <c r="P518" i="1"/>
  <c r="W518" i="1"/>
  <c r="X518" i="1"/>
  <c r="P519" i="1"/>
  <c r="P520" i="1"/>
  <c r="P521" i="1"/>
  <c r="P522" i="1"/>
  <c r="P523" i="1"/>
  <c r="P524" i="1"/>
  <c r="P525" i="1"/>
  <c r="P526" i="1"/>
  <c r="W526" i="1"/>
  <c r="X526" i="1"/>
  <c r="P527" i="1"/>
  <c r="P528" i="1"/>
  <c r="W528" i="1"/>
  <c r="X528" i="1"/>
  <c r="P529" i="1"/>
  <c r="P530" i="1"/>
  <c r="W530" i="1"/>
  <c r="X530" i="1"/>
  <c r="P531" i="1"/>
  <c r="P532" i="1"/>
  <c r="P533" i="1"/>
  <c r="P534" i="1"/>
  <c r="P535" i="1"/>
  <c r="P536" i="1"/>
  <c r="P537" i="1"/>
  <c r="P538" i="1"/>
  <c r="W538" i="1"/>
  <c r="X538" i="1"/>
  <c r="P539" i="1"/>
  <c r="P540" i="1"/>
  <c r="W540" i="1"/>
  <c r="X540" i="1"/>
  <c r="P541" i="1"/>
  <c r="P542" i="1"/>
  <c r="W542" i="1"/>
  <c r="X542" i="1"/>
  <c r="P543" i="1"/>
  <c r="W543" i="1"/>
  <c r="X543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5" i="1"/>
  <c r="P686" i="1"/>
  <c r="P687" i="1"/>
  <c r="P688" i="1"/>
  <c r="P689" i="1"/>
  <c r="P690" i="1"/>
  <c r="P691" i="1"/>
  <c r="P692" i="1"/>
  <c r="P693" i="1"/>
  <c r="P694" i="1"/>
  <c r="P695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9" i="1"/>
  <c r="P3600" i="1"/>
  <c r="P3601" i="1"/>
  <c r="P3603" i="1"/>
  <c r="P3604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8" i="1"/>
  <c r="P3649" i="1"/>
  <c r="P3650" i="1"/>
  <c r="P3651" i="1"/>
  <c r="P3652" i="1"/>
  <c r="P3653" i="1"/>
  <c r="P3655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5238" i="1"/>
  <c r="W5238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5295" i="1"/>
  <c r="W5295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5307" i="1"/>
  <c r="W5307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5319" i="1"/>
  <c r="W5319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5331" i="1"/>
  <c r="W5331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5343" i="1"/>
  <c r="W5343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5355" i="1"/>
  <c r="W5355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5367" i="1"/>
  <c r="W5367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5379" i="1"/>
  <c r="W5379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5391" i="1"/>
  <c r="W5391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5403" i="1"/>
  <c r="W5403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5415" i="1"/>
  <c r="W5415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W5872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W5884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W5896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W5908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W5920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W5932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W5969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W5981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W5993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W6005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W6017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W6029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W6041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W6053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W6065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W6077" i="1"/>
  <c r="P5217" i="1"/>
  <c r="W4931" i="1"/>
  <c r="P5218" i="1"/>
  <c r="W4932" i="1"/>
  <c r="P5219" i="1"/>
  <c r="W4933" i="1"/>
  <c r="P5220" i="1"/>
  <c r="W4934" i="1"/>
  <c r="P5221" i="1"/>
  <c r="W4935" i="1"/>
  <c r="P5222" i="1"/>
  <c r="W4936" i="1"/>
  <c r="P5223" i="1"/>
  <c r="W4937" i="1"/>
  <c r="P5224" i="1"/>
  <c r="W4938" i="1"/>
  <c r="P5225" i="1"/>
  <c r="W4939" i="1"/>
  <c r="P5226" i="1"/>
  <c r="W4940" i="1"/>
  <c r="P5227" i="1"/>
  <c r="W4941" i="1"/>
  <c r="P5228" i="1"/>
  <c r="W4942" i="1"/>
  <c r="P5229" i="1"/>
  <c r="W4943" i="1"/>
  <c r="P5230" i="1"/>
  <c r="W4944" i="1"/>
  <c r="P5231" i="1"/>
  <c r="W4945" i="1"/>
  <c r="P5232" i="1"/>
  <c r="W4946" i="1"/>
  <c r="P5233" i="1"/>
  <c r="W4947" i="1"/>
  <c r="P5234" i="1"/>
  <c r="W4948" i="1"/>
  <c r="P5235" i="1"/>
  <c r="W4949" i="1"/>
  <c r="P5236" i="1"/>
  <c r="W4950" i="1"/>
  <c r="P5237" i="1"/>
  <c r="W4951" i="1"/>
  <c r="W4952" i="1"/>
  <c r="P5239" i="1"/>
  <c r="W4953" i="1"/>
  <c r="P5240" i="1"/>
  <c r="W4954" i="1"/>
  <c r="P5241" i="1"/>
  <c r="W4955" i="1"/>
  <c r="P5242" i="1"/>
  <c r="W4956" i="1"/>
  <c r="P5243" i="1"/>
  <c r="W4957" i="1"/>
  <c r="P5244" i="1"/>
  <c r="W4958" i="1"/>
  <c r="P5245" i="1"/>
  <c r="W4959" i="1"/>
  <c r="P5246" i="1"/>
  <c r="W4960" i="1"/>
  <c r="P5247" i="1"/>
  <c r="W4961" i="1"/>
  <c r="P5248" i="1"/>
  <c r="W4962" i="1"/>
  <c r="P5249" i="1"/>
  <c r="W4963" i="1"/>
  <c r="P5250" i="1"/>
  <c r="W4964" i="1"/>
  <c r="P5251" i="1"/>
  <c r="W4965" i="1"/>
  <c r="P5252" i="1"/>
  <c r="W4966" i="1"/>
  <c r="P5253" i="1"/>
  <c r="W4967" i="1"/>
  <c r="P5254" i="1"/>
  <c r="W4968" i="1"/>
  <c r="P5255" i="1"/>
  <c r="W4969" i="1"/>
  <c r="P5256" i="1"/>
  <c r="W4970" i="1"/>
  <c r="P5257" i="1"/>
  <c r="W4971" i="1"/>
  <c r="P5258" i="1"/>
  <c r="W4972" i="1"/>
  <c r="P5259" i="1"/>
  <c r="W4973" i="1"/>
  <c r="P5260" i="1"/>
  <c r="W4974" i="1"/>
  <c r="P5261" i="1"/>
  <c r="W4975" i="1"/>
  <c r="P5262" i="1"/>
  <c r="W4976" i="1"/>
  <c r="P5263" i="1"/>
  <c r="W4977" i="1"/>
  <c r="P5264" i="1"/>
  <c r="W4978" i="1"/>
  <c r="P5265" i="1"/>
  <c r="W4979" i="1"/>
  <c r="P5266" i="1"/>
  <c r="W4980" i="1"/>
  <c r="P5267" i="1"/>
  <c r="W4981" i="1"/>
  <c r="P5268" i="1"/>
  <c r="W4982" i="1"/>
  <c r="P5269" i="1"/>
  <c r="W4983" i="1"/>
  <c r="P5270" i="1"/>
  <c r="W4984" i="1"/>
  <c r="P5271" i="1"/>
  <c r="W4985" i="1"/>
  <c r="P5272" i="1"/>
  <c r="W4986" i="1"/>
  <c r="P5273" i="1"/>
  <c r="W4987" i="1"/>
  <c r="P5274" i="1"/>
  <c r="W4988" i="1"/>
  <c r="P5275" i="1"/>
  <c r="W4989" i="1"/>
  <c r="P5276" i="1"/>
  <c r="W4990" i="1"/>
  <c r="P5277" i="1"/>
  <c r="W4991" i="1"/>
  <c r="P5278" i="1"/>
  <c r="W4992" i="1"/>
  <c r="P5279" i="1"/>
  <c r="W4993" i="1"/>
  <c r="P5280" i="1"/>
  <c r="W4994" i="1"/>
  <c r="P5281" i="1"/>
  <c r="W4995" i="1"/>
  <c r="P5282" i="1"/>
  <c r="W4996" i="1"/>
  <c r="P5283" i="1"/>
  <c r="W4997" i="1"/>
  <c r="P5284" i="1"/>
  <c r="W4998" i="1"/>
  <c r="P5285" i="1"/>
  <c r="W4999" i="1"/>
  <c r="P5286" i="1"/>
  <c r="W5000" i="1"/>
  <c r="P5287" i="1"/>
  <c r="W5001" i="1"/>
  <c r="P5288" i="1"/>
  <c r="W5002" i="1"/>
  <c r="P5289" i="1"/>
  <c r="W5003" i="1"/>
  <c r="P5290" i="1"/>
  <c r="W5004" i="1"/>
  <c r="P5291" i="1"/>
  <c r="W5005" i="1"/>
  <c r="P5292" i="1"/>
  <c r="W5006" i="1"/>
  <c r="P5293" i="1"/>
  <c r="W5007" i="1"/>
  <c r="P5294" i="1"/>
  <c r="W5008" i="1"/>
  <c r="W5009" i="1"/>
  <c r="P5296" i="1"/>
  <c r="W5010" i="1"/>
  <c r="P5297" i="1"/>
  <c r="W5011" i="1"/>
  <c r="P5298" i="1"/>
  <c r="W5012" i="1"/>
  <c r="P5299" i="1"/>
  <c r="W5013" i="1"/>
  <c r="P5300" i="1"/>
  <c r="W5014" i="1"/>
  <c r="P5301" i="1"/>
  <c r="W5015" i="1"/>
  <c r="P5302" i="1"/>
  <c r="W5016" i="1"/>
  <c r="P5303" i="1"/>
  <c r="W5017" i="1"/>
  <c r="P5304" i="1"/>
  <c r="W5018" i="1"/>
  <c r="P5305" i="1"/>
  <c r="W5019" i="1"/>
  <c r="P5306" i="1"/>
  <c r="W5020" i="1"/>
  <c r="W5021" i="1"/>
  <c r="P5308" i="1"/>
  <c r="W5022" i="1"/>
  <c r="P5309" i="1"/>
  <c r="W5023" i="1"/>
  <c r="P5310" i="1"/>
  <c r="W5024" i="1"/>
  <c r="P5311" i="1"/>
  <c r="W5025" i="1"/>
  <c r="P5312" i="1"/>
  <c r="W5026" i="1"/>
  <c r="P5313" i="1"/>
  <c r="W5027" i="1"/>
  <c r="P5314" i="1"/>
  <c r="W5028" i="1"/>
  <c r="P5315" i="1"/>
  <c r="W5029" i="1"/>
  <c r="P5316" i="1"/>
  <c r="W5030" i="1"/>
  <c r="P5317" i="1"/>
  <c r="W5031" i="1"/>
  <c r="P5318" i="1"/>
  <c r="W5032" i="1"/>
  <c r="W5033" i="1"/>
  <c r="P5320" i="1"/>
  <c r="W5034" i="1"/>
  <c r="P5321" i="1"/>
  <c r="W5035" i="1"/>
  <c r="P5322" i="1"/>
  <c r="W5036" i="1"/>
  <c r="P5323" i="1"/>
  <c r="W5037" i="1"/>
  <c r="P5324" i="1"/>
  <c r="W5038" i="1"/>
  <c r="P5325" i="1"/>
  <c r="W5039" i="1"/>
  <c r="P5326" i="1"/>
  <c r="W5040" i="1"/>
  <c r="P5327" i="1"/>
  <c r="W5041" i="1"/>
  <c r="P5328" i="1"/>
  <c r="W5042" i="1"/>
  <c r="P5329" i="1"/>
  <c r="W5043" i="1"/>
  <c r="P5330" i="1"/>
  <c r="W5044" i="1"/>
  <c r="W5045" i="1"/>
  <c r="P5332" i="1"/>
  <c r="W5046" i="1"/>
  <c r="P5333" i="1"/>
  <c r="W5047" i="1"/>
  <c r="P5334" i="1"/>
  <c r="W5048" i="1"/>
  <c r="P5335" i="1"/>
  <c r="W5049" i="1"/>
  <c r="P5336" i="1"/>
  <c r="W5050" i="1"/>
  <c r="P5337" i="1"/>
  <c r="W5051" i="1"/>
  <c r="P5338" i="1"/>
  <c r="W5052" i="1"/>
  <c r="P5339" i="1"/>
  <c r="W5053" i="1"/>
  <c r="P5340" i="1"/>
  <c r="W5054" i="1"/>
  <c r="P5341" i="1"/>
  <c r="W5055" i="1"/>
  <c r="P5342" i="1"/>
  <c r="W5056" i="1"/>
  <c r="W5057" i="1"/>
  <c r="P5344" i="1"/>
  <c r="W5058" i="1"/>
  <c r="P5345" i="1"/>
  <c r="W5059" i="1"/>
  <c r="P5346" i="1"/>
  <c r="W5060" i="1"/>
  <c r="P5347" i="1"/>
  <c r="W5061" i="1"/>
  <c r="P5348" i="1"/>
  <c r="W5062" i="1"/>
  <c r="P5349" i="1"/>
  <c r="W5063" i="1"/>
  <c r="P5350" i="1"/>
  <c r="W5064" i="1"/>
  <c r="P5351" i="1"/>
  <c r="W5065" i="1"/>
  <c r="P5352" i="1"/>
  <c r="W5066" i="1"/>
  <c r="P5353" i="1"/>
  <c r="W5067" i="1"/>
  <c r="P5354" i="1"/>
  <c r="W5068" i="1"/>
  <c r="W5069" i="1"/>
  <c r="P5356" i="1"/>
  <c r="W5070" i="1"/>
  <c r="P5357" i="1"/>
  <c r="W5071" i="1"/>
  <c r="P5358" i="1"/>
  <c r="W5072" i="1"/>
  <c r="P5359" i="1"/>
  <c r="W5073" i="1"/>
  <c r="P5360" i="1"/>
  <c r="W5074" i="1"/>
  <c r="P5361" i="1"/>
  <c r="W5075" i="1"/>
  <c r="P5362" i="1"/>
  <c r="W5076" i="1"/>
  <c r="P5363" i="1"/>
  <c r="W5077" i="1"/>
  <c r="P5364" i="1"/>
  <c r="W5078" i="1"/>
  <c r="P5365" i="1"/>
  <c r="W5079" i="1"/>
  <c r="P5366" i="1"/>
  <c r="W5080" i="1"/>
  <c r="W5081" i="1"/>
  <c r="P5368" i="1"/>
  <c r="W5082" i="1"/>
  <c r="P5369" i="1"/>
  <c r="W5083" i="1"/>
  <c r="P5370" i="1"/>
  <c r="W5084" i="1"/>
  <c r="P5371" i="1"/>
  <c r="W5085" i="1"/>
  <c r="P5372" i="1"/>
  <c r="W5086" i="1"/>
  <c r="P5373" i="1"/>
  <c r="W5087" i="1"/>
  <c r="P5374" i="1"/>
  <c r="W5088" i="1"/>
  <c r="P5375" i="1"/>
  <c r="W5089" i="1"/>
  <c r="P5376" i="1"/>
  <c r="W5090" i="1"/>
  <c r="P5377" i="1"/>
  <c r="P5378" i="1"/>
  <c r="P5380" i="1"/>
  <c r="P5381" i="1"/>
  <c r="P5382" i="1"/>
  <c r="P5383" i="1"/>
  <c r="P5384" i="1"/>
  <c r="P5385" i="1"/>
  <c r="P5386" i="1"/>
  <c r="P5387" i="1"/>
  <c r="P5388" i="1"/>
  <c r="P5389" i="1"/>
  <c r="P5390" i="1"/>
  <c r="P5392" i="1"/>
  <c r="P5393" i="1"/>
  <c r="P5394" i="1"/>
  <c r="P5395" i="1"/>
  <c r="P5396" i="1"/>
  <c r="P5397" i="1"/>
  <c r="P5398" i="1"/>
  <c r="P5399" i="1"/>
  <c r="P5400" i="1"/>
  <c r="P5401" i="1"/>
  <c r="P5402" i="1"/>
  <c r="P5404" i="1"/>
  <c r="P5405" i="1"/>
  <c r="P5406" i="1"/>
  <c r="P5407" i="1"/>
  <c r="P5408" i="1"/>
  <c r="P5409" i="1"/>
  <c r="P5410" i="1"/>
  <c r="P5411" i="1"/>
  <c r="P5412" i="1"/>
  <c r="P5413" i="1"/>
  <c r="P5414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W5532" i="1"/>
  <c r="P5533" i="1"/>
  <c r="W5533" i="1"/>
  <c r="P5534" i="1"/>
  <c r="W5534" i="1"/>
  <c r="P5535" i="1"/>
  <c r="W5535" i="1"/>
  <c r="P5536" i="1"/>
  <c r="W5536" i="1"/>
  <c r="P5537" i="1"/>
  <c r="W5537" i="1"/>
  <c r="P5538" i="1"/>
  <c r="W5538" i="1"/>
  <c r="P5539" i="1"/>
  <c r="W5539" i="1"/>
  <c r="P5540" i="1"/>
  <c r="W5540" i="1"/>
  <c r="P5541" i="1"/>
  <c r="W5541" i="1"/>
  <c r="P5542" i="1"/>
  <c r="W5542" i="1"/>
  <c r="P696" i="1"/>
  <c r="W696" i="1"/>
  <c r="P697" i="1"/>
  <c r="W697" i="1"/>
  <c r="P698" i="1"/>
  <c r="W698" i="1"/>
  <c r="P699" i="1"/>
  <c r="W699" i="1"/>
  <c r="P700" i="1"/>
  <c r="W700" i="1"/>
  <c r="P701" i="1"/>
  <c r="W701" i="1"/>
  <c r="P702" i="1"/>
  <c r="W702" i="1"/>
  <c r="P703" i="1"/>
  <c r="W703" i="1"/>
  <c r="P704" i="1"/>
  <c r="W704" i="1"/>
  <c r="P705" i="1"/>
  <c r="W705" i="1"/>
  <c r="P706" i="1"/>
  <c r="W706" i="1"/>
  <c r="P707" i="1"/>
  <c r="W707" i="1"/>
  <c r="P708" i="1"/>
  <c r="W708" i="1"/>
  <c r="P709" i="1"/>
  <c r="W709" i="1"/>
  <c r="P710" i="1"/>
  <c r="W710" i="1"/>
  <c r="P711" i="1"/>
  <c r="W711" i="1"/>
  <c r="P712" i="1"/>
  <c r="W712" i="1"/>
  <c r="P713" i="1"/>
  <c r="W713" i="1"/>
  <c r="P714" i="1"/>
  <c r="W714" i="1"/>
  <c r="P715" i="1"/>
  <c r="W715" i="1"/>
  <c r="P716" i="1"/>
  <c r="W716" i="1"/>
  <c r="P717" i="1"/>
  <c r="W717" i="1"/>
  <c r="P718" i="1"/>
  <c r="W718" i="1"/>
  <c r="P719" i="1"/>
  <c r="W719" i="1"/>
  <c r="P720" i="1"/>
  <c r="W720" i="1"/>
  <c r="P721" i="1"/>
  <c r="W721" i="1"/>
  <c r="P722" i="1"/>
  <c r="W722" i="1"/>
  <c r="P723" i="1"/>
  <c r="W723" i="1"/>
  <c r="P2" i="1"/>
  <c r="W5284" i="1"/>
  <c r="W5272" i="1"/>
  <c r="W5260" i="1"/>
  <c r="W5248" i="1"/>
  <c r="W5236" i="1"/>
  <c r="W5224" i="1"/>
  <c r="W4739" i="1"/>
  <c r="W4715" i="1"/>
  <c r="W4703" i="1"/>
  <c r="W4691" i="1"/>
  <c r="W4679" i="1"/>
  <c r="W6075" i="1"/>
  <c r="W6063" i="1"/>
  <c r="W6051" i="1"/>
  <c r="W6039" i="1"/>
  <c r="W6027" i="1"/>
  <c r="W6015" i="1"/>
  <c r="W6003" i="1"/>
  <c r="W5991" i="1"/>
  <c r="W5979" i="1"/>
  <c r="W5967" i="1"/>
  <c r="W4727" i="1"/>
  <c r="W4667" i="1"/>
  <c r="W4655" i="1"/>
  <c r="W4643" i="1"/>
  <c r="W4631" i="1"/>
  <c r="W4619" i="1"/>
  <c r="W4607" i="1"/>
  <c r="W4595" i="1"/>
  <c r="W4583" i="1"/>
  <c r="W4571" i="1"/>
  <c r="W4559" i="1"/>
  <c r="W4547" i="1"/>
  <c r="W4535" i="1"/>
  <c r="W4523" i="1"/>
  <c r="W4511" i="1"/>
  <c r="W4499" i="1"/>
  <c r="W4487" i="1"/>
  <c r="W4475" i="1"/>
  <c r="W4463" i="1"/>
  <c r="W4451" i="1"/>
  <c r="W4439" i="1"/>
  <c r="W4427" i="1"/>
  <c r="W4415" i="1"/>
  <c r="W4403" i="1"/>
  <c r="W4391" i="1"/>
  <c r="W4379" i="1"/>
  <c r="W4367" i="1"/>
  <c r="W4355" i="1"/>
  <c r="W4343" i="1"/>
  <c r="W4331" i="1"/>
  <c r="W4319" i="1"/>
  <c r="W4307" i="1"/>
  <c r="W4295" i="1"/>
  <c r="W4283" i="1"/>
  <c r="W4271" i="1"/>
  <c r="W4259" i="1"/>
  <c r="W4247" i="1"/>
  <c r="W4235" i="1"/>
  <c r="W4223" i="1"/>
  <c r="W4211" i="1"/>
  <c r="W4199" i="1"/>
  <c r="W4187" i="1"/>
  <c r="W4637" i="1"/>
  <c r="W4625" i="1"/>
  <c r="W4613" i="1"/>
  <c r="W4601" i="1"/>
  <c r="W4589" i="1"/>
  <c r="W5278" i="1"/>
  <c r="W5266" i="1"/>
  <c r="W5254" i="1"/>
  <c r="W5242" i="1"/>
  <c r="W5230" i="1"/>
  <c r="W5218" i="1"/>
  <c r="W4709" i="1"/>
  <c r="W4697" i="1"/>
  <c r="W4685" i="1"/>
  <c r="W4673" i="1"/>
  <c r="W4661" i="1"/>
  <c r="W4649" i="1"/>
  <c r="W4577" i="1"/>
  <c r="W4565" i="1"/>
  <c r="W4553" i="1"/>
  <c r="W4541" i="1"/>
  <c r="W4529" i="1"/>
  <c r="W4517" i="1"/>
  <c r="W4505" i="1"/>
  <c r="W4493" i="1"/>
  <c r="W4481" i="1"/>
  <c r="W4469" i="1"/>
  <c r="W4457" i="1"/>
  <c r="W4445" i="1"/>
  <c r="W4433" i="1"/>
  <c r="W4421" i="1"/>
  <c r="W4409" i="1"/>
  <c r="W4397" i="1"/>
  <c r="W4385" i="1"/>
  <c r="W4373" i="1"/>
  <c r="W4361" i="1"/>
  <c r="W4349" i="1"/>
  <c r="W4337" i="1"/>
  <c r="W4325" i="1"/>
  <c r="W4313" i="1"/>
  <c r="W4301" i="1"/>
  <c r="W4289" i="1"/>
  <c r="W4277" i="1"/>
  <c r="W4265" i="1"/>
  <c r="W4253" i="1"/>
  <c r="W4241" i="1"/>
  <c r="W4229" i="1"/>
  <c r="W4217" i="1"/>
  <c r="W4205" i="1"/>
  <c r="W4193" i="1"/>
  <c r="W4181" i="1"/>
  <c r="W5921" i="1"/>
  <c r="W5909" i="1"/>
  <c r="W5897" i="1"/>
  <c r="W5885" i="1"/>
  <c r="W5873" i="1"/>
  <c r="W5416" i="1"/>
  <c r="W5404" i="1"/>
  <c r="W5392" i="1"/>
  <c r="W5380" i="1"/>
  <c r="W5368" i="1"/>
  <c r="W5356" i="1"/>
  <c r="W5344" i="1"/>
  <c r="W5332" i="1"/>
  <c r="W5320" i="1"/>
  <c r="W5308" i="1"/>
  <c r="W5296" i="1"/>
  <c r="W6057" i="1"/>
  <c r="W6069" i="1"/>
  <c r="W6009" i="1"/>
  <c r="W5961" i="1"/>
  <c r="W5888" i="1"/>
  <c r="W5395" i="1"/>
  <c r="W5335" i="1"/>
  <c r="W6021" i="1"/>
  <c r="W5985" i="1"/>
  <c r="W5900" i="1"/>
  <c r="W5407" i="1"/>
  <c r="W5359" i="1"/>
  <c r="W5311" i="1"/>
  <c r="W6068" i="1"/>
  <c r="W6056" i="1"/>
  <c r="W6044" i="1"/>
  <c r="W6032" i="1"/>
  <c r="W6020" i="1"/>
  <c r="W6008" i="1"/>
  <c r="W5996" i="1"/>
  <c r="W5984" i="1"/>
  <c r="W5972" i="1"/>
  <c r="W5935" i="1"/>
  <c r="W5923" i="1"/>
  <c r="W5911" i="1"/>
  <c r="W5899" i="1"/>
  <c r="W5887" i="1"/>
  <c r="W5875" i="1"/>
  <c r="W5418" i="1"/>
  <c r="W5406" i="1"/>
  <c r="W5394" i="1"/>
  <c r="W5382" i="1"/>
  <c r="W5370" i="1"/>
  <c r="W5358" i="1"/>
  <c r="W5346" i="1"/>
  <c r="W5334" i="1"/>
  <c r="W5322" i="1"/>
  <c r="W5310" i="1"/>
  <c r="W5298" i="1"/>
  <c r="W5277" i="1"/>
  <c r="W5265" i="1"/>
  <c r="W5253" i="1"/>
  <c r="W5241" i="1"/>
  <c r="W5229" i="1"/>
  <c r="W5217" i="1"/>
  <c r="W4732" i="1"/>
  <c r="W4720" i="1"/>
  <c r="W4708" i="1"/>
  <c r="W4696" i="1"/>
  <c r="W4684" i="1"/>
  <c r="W4672" i="1"/>
  <c r="W4660" i="1"/>
  <c r="W4648" i="1"/>
  <c r="W4636" i="1"/>
  <c r="W4624" i="1"/>
  <c r="W4612" i="1"/>
  <c r="W4600" i="1"/>
  <c r="W4588" i="1"/>
  <c r="W4576" i="1"/>
  <c r="W4564" i="1"/>
  <c r="W4552" i="1"/>
  <c r="W4540" i="1"/>
  <c r="W4528" i="1"/>
  <c r="W4516" i="1"/>
  <c r="W4504" i="1"/>
  <c r="W4492" i="1"/>
  <c r="W4480" i="1"/>
  <c r="W4468" i="1"/>
  <c r="W4456" i="1"/>
  <c r="W4444" i="1"/>
  <c r="W4432" i="1"/>
  <c r="W4420" i="1"/>
  <c r="W4408" i="1"/>
  <c r="W4396" i="1"/>
  <c r="W4384" i="1"/>
  <c r="W4372" i="1"/>
  <c r="W4360" i="1"/>
  <c r="W4348" i="1"/>
  <c r="W4336" i="1"/>
  <c r="W4324" i="1"/>
  <c r="W4312" i="1"/>
  <c r="W4300" i="1"/>
  <c r="W4288" i="1"/>
  <c r="W4276" i="1"/>
  <c r="W4264" i="1"/>
  <c r="W4252" i="1"/>
  <c r="W4240" i="1"/>
  <c r="W4228" i="1"/>
  <c r="W4216" i="1"/>
  <c r="W4204" i="1"/>
  <c r="W4192" i="1"/>
  <c r="W4180" i="1"/>
  <c r="W6033" i="1"/>
  <c r="W5973" i="1"/>
  <c r="W5912" i="1"/>
  <c r="W5419" i="1"/>
  <c r="W5371" i="1"/>
  <c r="W5323" i="1"/>
  <c r="W6067" i="1"/>
  <c r="W6055" i="1"/>
  <c r="W6043" i="1"/>
  <c r="W6031" i="1"/>
  <c r="W6019" i="1"/>
  <c r="W6007" i="1"/>
  <c r="W5995" i="1"/>
  <c r="W5983" i="1"/>
  <c r="W5971" i="1"/>
  <c r="W5934" i="1"/>
  <c r="W5922" i="1"/>
  <c r="W5910" i="1"/>
  <c r="W5898" i="1"/>
  <c r="W5886" i="1"/>
  <c r="W5874" i="1"/>
  <c r="W5417" i="1"/>
  <c r="W5405" i="1"/>
  <c r="W5393" i="1"/>
  <c r="W5381" i="1"/>
  <c r="W5369" i="1"/>
  <c r="W5357" i="1"/>
  <c r="W5345" i="1"/>
  <c r="W5333" i="1"/>
  <c r="W5321" i="1"/>
  <c r="W5309" i="1"/>
  <c r="W5297" i="1"/>
  <c r="W5276" i="1"/>
  <c r="W5264" i="1"/>
  <c r="W5252" i="1"/>
  <c r="W5240" i="1"/>
  <c r="W5228" i="1"/>
  <c r="W4743" i="1"/>
  <c r="W4731" i="1"/>
  <c r="W4719" i="1"/>
  <c r="W4707" i="1"/>
  <c r="W4695" i="1"/>
  <c r="W4683" i="1"/>
  <c r="W4671" i="1"/>
  <c r="W4659" i="1"/>
  <c r="W4647" i="1"/>
  <c r="W4635" i="1"/>
  <c r="W4623" i="1"/>
  <c r="W4611" i="1"/>
  <c r="W4599" i="1"/>
  <c r="W4575" i="1"/>
  <c r="W4563" i="1"/>
  <c r="W4551" i="1"/>
  <c r="W4539" i="1"/>
  <c r="W4527" i="1"/>
  <c r="W4515" i="1"/>
  <c r="W4503" i="1"/>
  <c r="W4491" i="1"/>
  <c r="W4479" i="1"/>
  <c r="W4467" i="1"/>
  <c r="W4455" i="1"/>
  <c r="W4443" i="1"/>
  <c r="W4431" i="1"/>
  <c r="W4419" i="1"/>
  <c r="W4407" i="1"/>
  <c r="W4395" i="1"/>
  <c r="W4383" i="1"/>
  <c r="W4371" i="1"/>
  <c r="W4359" i="1"/>
  <c r="W4347" i="1"/>
  <c r="W4335" i="1"/>
  <c r="W4323" i="1"/>
  <c r="W4311" i="1"/>
  <c r="W4299" i="1"/>
  <c r="W4287" i="1"/>
  <c r="W4275" i="1"/>
  <c r="W4263" i="1"/>
  <c r="W4251" i="1"/>
  <c r="W4239" i="1"/>
  <c r="W4227" i="1"/>
  <c r="W4215" i="1"/>
  <c r="W4203" i="1"/>
  <c r="W4191" i="1"/>
  <c r="W4179" i="1"/>
  <c r="W6045" i="1"/>
  <c r="W5997" i="1"/>
  <c r="W5924" i="1"/>
  <c r="W5876" i="1"/>
  <c r="W5383" i="1"/>
  <c r="W5347" i="1"/>
  <c r="W5299" i="1"/>
  <c r="W6066" i="1"/>
  <c r="W6054" i="1"/>
  <c r="W6042" i="1"/>
  <c r="W6030" i="1"/>
  <c r="W6018" i="1"/>
  <c r="W6006" i="1"/>
  <c r="W5994" i="1"/>
  <c r="W5982" i="1"/>
  <c r="W5970" i="1"/>
  <c r="W5933" i="1"/>
  <c r="W5275" i="1"/>
  <c r="W5263" i="1"/>
  <c r="W5251" i="1"/>
  <c r="W5239" i="1"/>
  <c r="W5227" i="1"/>
  <c r="W4742" i="1"/>
  <c r="W4730" i="1"/>
  <c r="W4718" i="1"/>
  <c r="W4706" i="1"/>
  <c r="W4694" i="1"/>
  <c r="W4682" i="1"/>
  <c r="W4670" i="1"/>
  <c r="W4658" i="1"/>
  <c r="W4646" i="1"/>
  <c r="W4634" i="1"/>
  <c r="W4622" i="1"/>
  <c r="W4610" i="1"/>
  <c r="W4598" i="1"/>
  <c r="W4586" i="1"/>
  <c r="W4574" i="1"/>
  <c r="W4562" i="1"/>
  <c r="W4550" i="1"/>
  <c r="W4538" i="1"/>
  <c r="W4526" i="1"/>
  <c r="W4514" i="1"/>
  <c r="W4502" i="1"/>
  <c r="W4490" i="1"/>
  <c r="W4478" i="1"/>
  <c r="W4466" i="1"/>
  <c r="W4454" i="1"/>
  <c r="W4442" i="1"/>
  <c r="W4430" i="1"/>
  <c r="W4418" i="1"/>
  <c r="W4406" i="1"/>
  <c r="W4394" i="1"/>
  <c r="W4382" i="1"/>
  <c r="W4370" i="1"/>
  <c r="W4358" i="1"/>
  <c r="W4346" i="1"/>
  <c r="W4334" i="1"/>
  <c r="W4322" i="1"/>
  <c r="W4310" i="1"/>
  <c r="W4298" i="1"/>
  <c r="W4286" i="1"/>
  <c r="W4274" i="1"/>
  <c r="W4262" i="1"/>
  <c r="W4250" i="1"/>
  <c r="W4238" i="1"/>
  <c r="W4226" i="1"/>
  <c r="W4214" i="1"/>
  <c r="W4202" i="1"/>
  <c r="W4190" i="1"/>
  <c r="W4178" i="1"/>
  <c r="W5918" i="1"/>
  <c r="W5882" i="1"/>
  <c r="W5389" i="1"/>
  <c r="W5341" i="1"/>
  <c r="W5305" i="1"/>
  <c r="W5894" i="1"/>
  <c r="W5401" i="1"/>
  <c r="W5365" i="1"/>
  <c r="W5317" i="1"/>
  <c r="W5930" i="1"/>
  <c r="W5870" i="1"/>
  <c r="W5377" i="1"/>
  <c r="W5329" i="1"/>
  <c r="W5906" i="1"/>
  <c r="W5413" i="1"/>
  <c r="W5353" i="1"/>
  <c r="W520" i="1"/>
  <c r="X520" i="1"/>
  <c r="W473" i="1"/>
  <c r="X473" i="1"/>
  <c r="W437" i="1"/>
  <c r="X437" i="1"/>
  <c r="W385" i="1"/>
  <c r="X385" i="1"/>
  <c r="W325" i="1"/>
  <c r="X325" i="1"/>
  <c r="W6074" i="1"/>
  <c r="W6062" i="1"/>
  <c r="W6050" i="1"/>
  <c r="W6038" i="1"/>
  <c r="W6026" i="1"/>
  <c r="W6014" i="1"/>
  <c r="W6002" i="1"/>
  <c r="W5990" i="1"/>
  <c r="W5978" i="1"/>
  <c r="W5966" i="1"/>
  <c r="W532" i="1"/>
  <c r="X532" i="1"/>
  <c r="W496" i="1"/>
  <c r="X496" i="1"/>
  <c r="W461" i="1"/>
  <c r="X461" i="1"/>
  <c r="W412" i="1"/>
  <c r="X412" i="1"/>
  <c r="W349" i="1"/>
  <c r="X349" i="1"/>
  <c r="W299" i="1"/>
  <c r="X299" i="1"/>
  <c r="W471" i="1"/>
  <c r="X471" i="1"/>
  <c r="W459" i="1"/>
  <c r="X459" i="1"/>
  <c r="W447" i="1"/>
  <c r="X447" i="1"/>
  <c r="W435" i="1"/>
  <c r="X435" i="1"/>
  <c r="W423" i="1"/>
  <c r="X423" i="1"/>
  <c r="W410" i="1"/>
  <c r="X410" i="1"/>
  <c r="W398" i="1"/>
  <c r="X398" i="1"/>
  <c r="W383" i="1"/>
  <c r="X383" i="1"/>
  <c r="W371" i="1"/>
  <c r="X371" i="1"/>
  <c r="W359" i="1"/>
  <c r="X359" i="1"/>
  <c r="W347" i="1"/>
  <c r="X347" i="1"/>
  <c r="W335" i="1"/>
  <c r="X335" i="1"/>
  <c r="W323" i="1"/>
  <c r="X323" i="1"/>
  <c r="W311" i="1"/>
  <c r="X311" i="1"/>
  <c r="W297" i="1"/>
  <c r="X297" i="1"/>
  <c r="W282" i="1"/>
  <c r="X282" i="1"/>
  <c r="W508" i="1"/>
  <c r="X508" i="1"/>
  <c r="W449" i="1"/>
  <c r="X449" i="1"/>
  <c r="W400" i="1"/>
  <c r="X400" i="1"/>
  <c r="W361" i="1"/>
  <c r="X361" i="1"/>
  <c r="W313" i="1"/>
  <c r="X313" i="1"/>
  <c r="W484" i="1"/>
  <c r="X484" i="1"/>
  <c r="W425" i="1"/>
  <c r="X425" i="1"/>
  <c r="W373" i="1"/>
  <c r="X373" i="1"/>
  <c r="W337" i="1"/>
  <c r="X337" i="1"/>
  <c r="W284" i="1"/>
  <c r="X284" i="1"/>
  <c r="W525" i="1"/>
  <c r="X525" i="1"/>
  <c r="W390" i="1"/>
  <c r="X390" i="1"/>
  <c r="W535" i="1"/>
  <c r="X535" i="1"/>
  <c r="W523" i="1"/>
  <c r="X523" i="1"/>
  <c r="W511" i="1"/>
  <c r="X511" i="1"/>
  <c r="W499" i="1"/>
  <c r="X499" i="1"/>
  <c r="W487" i="1"/>
  <c r="X487" i="1"/>
  <c r="W476" i="1"/>
  <c r="X476" i="1"/>
  <c r="W464" i="1"/>
  <c r="X464" i="1"/>
  <c r="W452" i="1"/>
  <c r="X452" i="1"/>
  <c r="W440" i="1"/>
  <c r="X440" i="1"/>
  <c r="W428" i="1"/>
  <c r="X428" i="1"/>
  <c r="W415" i="1"/>
  <c r="X415" i="1"/>
  <c r="W403" i="1"/>
  <c r="X403" i="1"/>
  <c r="W388" i="1"/>
  <c r="X388" i="1"/>
  <c r="W376" i="1"/>
  <c r="X376" i="1"/>
  <c r="W364" i="1"/>
  <c r="X364" i="1"/>
  <c r="W352" i="1"/>
  <c r="X352" i="1"/>
  <c r="W340" i="1"/>
  <c r="X340" i="1"/>
  <c r="W328" i="1"/>
  <c r="X328" i="1"/>
  <c r="W316" i="1"/>
  <c r="X316" i="1"/>
  <c r="W289" i="1"/>
  <c r="X289" i="1"/>
  <c r="W5274" i="1"/>
  <c r="W5262" i="1"/>
  <c r="W5250" i="1"/>
  <c r="W5226" i="1"/>
  <c r="W501" i="1"/>
  <c r="X501" i="1"/>
  <c r="W453" i="1"/>
  <c r="X453" i="1"/>
  <c r="W365" i="1"/>
  <c r="X365" i="1"/>
  <c r="W290" i="1"/>
  <c r="X290" i="1"/>
  <c r="W4733" i="1"/>
  <c r="W478" i="1"/>
  <c r="X478" i="1"/>
  <c r="W500" i="1"/>
  <c r="X500" i="1"/>
  <c r="W429" i="1"/>
  <c r="X429" i="1"/>
  <c r="W341" i="1"/>
  <c r="X341" i="1"/>
  <c r="W4721" i="1"/>
  <c r="W489" i="1"/>
  <c r="X489" i="1"/>
  <c r="W4587" i="1"/>
  <c r="W465" i="1"/>
  <c r="X465" i="1"/>
  <c r="W389" i="1"/>
  <c r="X389" i="1"/>
  <c r="W454" i="1"/>
  <c r="X454" i="1"/>
  <c r="W488" i="1"/>
  <c r="X488" i="1"/>
  <c r="W416" i="1"/>
  <c r="X416" i="1"/>
  <c r="W329" i="1"/>
  <c r="X329" i="1"/>
  <c r="W537" i="1"/>
  <c r="X537" i="1"/>
  <c r="W513" i="1"/>
  <c r="X513" i="1"/>
  <c r="W466" i="1"/>
  <c r="X466" i="1"/>
  <c r="W442" i="1"/>
  <c r="X442" i="1"/>
  <c r="W430" i="1"/>
  <c r="X430" i="1"/>
  <c r="W418" i="1"/>
  <c r="X418" i="1"/>
  <c r="W405" i="1"/>
  <c r="X405" i="1"/>
  <c r="W378" i="1"/>
  <c r="X378" i="1"/>
  <c r="W366" i="1"/>
  <c r="X366" i="1"/>
  <c r="W354" i="1"/>
  <c r="X354" i="1"/>
  <c r="W342" i="1"/>
  <c r="X342" i="1"/>
  <c r="W330" i="1"/>
  <c r="X330" i="1"/>
  <c r="W318" i="1"/>
  <c r="X318" i="1"/>
  <c r="W291" i="1"/>
  <c r="X291" i="1"/>
  <c r="W536" i="1"/>
  <c r="X536" i="1"/>
  <c r="W524" i="1"/>
  <c r="X524" i="1"/>
  <c r="W512" i="1"/>
  <c r="X512" i="1"/>
  <c r="W477" i="1"/>
  <c r="X477" i="1"/>
  <c r="W441" i="1"/>
  <c r="X441" i="1"/>
  <c r="W404" i="1"/>
  <c r="X404" i="1"/>
  <c r="W377" i="1"/>
  <c r="X377" i="1"/>
  <c r="W353" i="1"/>
  <c r="X353" i="1"/>
  <c r="W317" i="1"/>
  <c r="X317" i="1"/>
  <c r="W4741" i="1"/>
  <c r="W4729" i="1"/>
  <c r="W4717" i="1"/>
  <c r="W4705" i="1"/>
  <c r="W4693" i="1"/>
  <c r="W4681" i="1"/>
  <c r="W4669" i="1"/>
  <c r="W4657" i="1"/>
  <c r="W4645" i="1"/>
  <c r="W4633" i="1"/>
  <c r="W4621" i="1"/>
  <c r="W4609" i="1"/>
  <c r="W4597" i="1"/>
  <c r="W4585" i="1"/>
  <c r="W4573" i="1"/>
  <c r="W4561" i="1"/>
  <c r="W4549" i="1"/>
  <c r="W4537" i="1"/>
  <c r="W4525" i="1"/>
  <c r="W4513" i="1"/>
  <c r="W4501" i="1"/>
  <c r="W4489" i="1"/>
  <c r="W4477" i="1"/>
  <c r="W4465" i="1"/>
  <c r="W4453" i="1"/>
  <c r="W4441" i="1"/>
  <c r="W4429" i="1"/>
  <c r="W4417" i="1"/>
  <c r="W4405" i="1"/>
  <c r="W4393" i="1"/>
  <c r="W4381" i="1"/>
  <c r="W4369" i="1"/>
  <c r="W4357" i="1"/>
  <c r="W4345" i="1"/>
  <c r="W4333" i="1"/>
  <c r="W4321" i="1"/>
  <c r="W4309" i="1"/>
  <c r="W4297" i="1"/>
  <c r="W4285" i="1"/>
  <c r="W4273" i="1"/>
  <c r="W4261" i="1"/>
  <c r="W4249" i="1"/>
  <c r="W4237" i="1"/>
  <c r="W4225" i="1"/>
  <c r="W4213" i="1"/>
  <c r="W4201" i="1"/>
  <c r="W4189" i="1"/>
  <c r="W4177" i="1"/>
  <c r="W534" i="1"/>
  <c r="X534" i="1"/>
  <c r="W522" i="1"/>
  <c r="X522" i="1"/>
  <c r="W510" i="1"/>
  <c r="X510" i="1"/>
  <c r="W498" i="1"/>
  <c r="X498" i="1"/>
  <c r="W486" i="1"/>
  <c r="X486" i="1"/>
  <c r="W475" i="1"/>
  <c r="X475" i="1"/>
  <c r="W463" i="1"/>
  <c r="X463" i="1"/>
  <c r="W451" i="1"/>
  <c r="X451" i="1"/>
  <c r="W439" i="1"/>
  <c r="X439" i="1"/>
  <c r="W427" i="1"/>
  <c r="X427" i="1"/>
  <c r="W414" i="1"/>
  <c r="X414" i="1"/>
  <c r="W402" i="1"/>
  <c r="X402" i="1"/>
  <c r="W387" i="1"/>
  <c r="X387" i="1"/>
  <c r="W375" i="1"/>
  <c r="X375" i="1"/>
  <c r="W363" i="1"/>
  <c r="X363" i="1"/>
  <c r="W351" i="1"/>
  <c r="X351" i="1"/>
  <c r="W339" i="1"/>
  <c r="X339" i="1"/>
  <c r="W327" i="1"/>
  <c r="X327" i="1"/>
  <c r="W315" i="1"/>
  <c r="X315" i="1"/>
  <c r="W288" i="1"/>
  <c r="X288" i="1"/>
  <c r="W6076" i="1"/>
  <c r="W6064" i="1"/>
  <c r="W6052" i="1"/>
  <c r="W6040" i="1"/>
  <c r="W6028" i="1"/>
  <c r="W6016" i="1"/>
  <c r="W6004" i="1"/>
  <c r="W5992" i="1"/>
  <c r="W5980" i="1"/>
  <c r="W5968" i="1"/>
  <c r="W5931" i="1"/>
  <c r="W5919" i="1"/>
  <c r="W5907" i="1"/>
  <c r="W5895" i="1"/>
  <c r="W5883" i="1"/>
  <c r="W5871" i="1"/>
  <c r="W5414" i="1"/>
  <c r="W5929" i="1"/>
  <c r="W5917" i="1"/>
  <c r="W5905" i="1"/>
  <c r="W5893" i="1"/>
  <c r="W5881" i="1"/>
  <c r="W5869" i="1"/>
  <c r="W5412" i="1"/>
  <c r="W5400" i="1"/>
  <c r="W5388" i="1"/>
  <c r="W5376" i="1"/>
  <c r="W5364" i="1"/>
  <c r="W5352" i="1"/>
  <c r="W5340" i="1"/>
  <c r="W5328" i="1"/>
  <c r="W5316" i="1"/>
  <c r="W6073" i="1"/>
  <c r="W6061" i="1"/>
  <c r="W6049" i="1"/>
  <c r="W6037" i="1"/>
  <c r="W6025" i="1"/>
  <c r="W6013" i="1"/>
  <c r="W6001" i="1"/>
  <c r="W5989" i="1"/>
  <c r="W5977" i="1"/>
  <c r="W5965" i="1"/>
  <c r="W5928" i="1"/>
  <c r="W5916" i="1"/>
  <c r="W5904" i="1"/>
  <c r="W5892" i="1"/>
  <c r="W5880" i="1"/>
  <c r="W5868" i="1"/>
  <c r="W5411" i="1"/>
  <c r="W5399" i="1"/>
  <c r="W5387" i="1"/>
  <c r="W5375" i="1"/>
  <c r="W5363" i="1"/>
  <c r="W5351" i="1"/>
  <c r="W5339" i="1"/>
  <c r="W5327" i="1"/>
  <c r="W6072" i="1"/>
  <c r="W6060" i="1"/>
  <c r="W6048" i="1"/>
  <c r="W6036" i="1"/>
  <c r="W6024" i="1"/>
  <c r="W6012" i="1"/>
  <c r="W6000" i="1"/>
  <c r="W5988" i="1"/>
  <c r="W5976" i="1"/>
  <c r="W5964" i="1"/>
  <c r="W5927" i="1"/>
  <c r="W5915" i="1"/>
  <c r="W5903" i="1"/>
  <c r="W5891" i="1"/>
  <c r="W5879" i="1"/>
  <c r="W5867" i="1"/>
  <c r="W5410" i="1"/>
  <c r="W5398" i="1"/>
  <c r="W5386" i="1"/>
  <c r="W5374" i="1"/>
  <c r="W5362" i="1"/>
  <c r="W5350" i="1"/>
  <c r="W5338" i="1"/>
  <c r="W5326" i="1"/>
  <c r="W6071" i="1"/>
  <c r="W6059" i="1"/>
  <c r="W6047" i="1"/>
  <c r="W6035" i="1"/>
  <c r="W6023" i="1"/>
  <c r="W6011" i="1"/>
  <c r="W5999" i="1"/>
  <c r="W5987" i="1"/>
  <c r="W5975" i="1"/>
  <c r="W5963" i="1"/>
  <c r="W5926" i="1"/>
  <c r="W5914" i="1"/>
  <c r="W5902" i="1"/>
  <c r="W5890" i="1"/>
  <c r="W5878" i="1"/>
  <c r="W5421" i="1"/>
  <c r="W5409" i="1"/>
  <c r="W5397" i="1"/>
  <c r="W5385" i="1"/>
  <c r="W5373" i="1"/>
  <c r="W5361" i="1"/>
  <c r="W5349" i="1"/>
  <c r="W5337" i="1"/>
  <c r="W5325" i="1"/>
  <c r="W6070" i="1"/>
  <c r="W6058" i="1"/>
  <c r="W6046" i="1"/>
  <c r="W6034" i="1"/>
  <c r="W6022" i="1"/>
  <c r="W6010" i="1"/>
  <c r="W5998" i="1"/>
  <c r="W5986" i="1"/>
  <c r="W5974" i="1"/>
  <c r="W5962" i="1"/>
  <c r="W5925" i="1"/>
  <c r="W5913" i="1"/>
  <c r="W5901" i="1"/>
  <c r="W5889" i="1"/>
  <c r="W5877" i="1"/>
  <c r="W5420" i="1"/>
  <c r="W5402" i="1"/>
  <c r="W5390" i="1"/>
  <c r="W5378" i="1"/>
  <c r="W5366" i="1"/>
  <c r="W5354" i="1"/>
  <c r="W5342" i="1"/>
  <c r="W5330" i="1"/>
  <c r="W5318" i="1"/>
  <c r="W5306" i="1"/>
  <c r="W5294" i="1"/>
  <c r="W5273" i="1"/>
  <c r="W5261" i="1"/>
  <c r="W5249" i="1"/>
  <c r="W5237" i="1"/>
  <c r="W5225" i="1"/>
  <c r="W4740" i="1"/>
  <c r="W4728" i="1"/>
  <c r="W4716" i="1"/>
  <c r="W4704" i="1"/>
  <c r="W4692" i="1"/>
  <c r="W4680" i="1"/>
  <c r="W4668" i="1"/>
  <c r="W4656" i="1"/>
  <c r="W4644" i="1"/>
  <c r="W4632" i="1"/>
  <c r="W4620" i="1"/>
  <c r="W4608" i="1"/>
  <c r="W4596" i="1"/>
  <c r="W4584" i="1"/>
  <c r="W4572" i="1"/>
  <c r="W4560" i="1"/>
  <c r="W4548" i="1"/>
  <c r="W4536" i="1"/>
  <c r="W4524" i="1"/>
  <c r="W4512" i="1"/>
  <c r="W4500" i="1"/>
  <c r="W4488" i="1"/>
  <c r="W4476" i="1"/>
  <c r="W4464" i="1"/>
  <c r="W4452" i="1"/>
  <c r="W4440" i="1"/>
  <c r="W4428" i="1"/>
  <c r="W4416" i="1"/>
  <c r="W4404" i="1"/>
  <c r="W4392" i="1"/>
  <c r="W4380" i="1"/>
  <c r="W4368" i="1"/>
  <c r="W4356" i="1"/>
  <c r="W4344" i="1"/>
  <c r="W4332" i="1"/>
  <c r="W4320" i="1"/>
  <c r="W4308" i="1"/>
  <c r="W4296" i="1"/>
  <c r="W4284" i="1"/>
  <c r="W4272" i="1"/>
  <c r="W4260" i="1"/>
  <c r="W4248" i="1"/>
  <c r="W4236" i="1"/>
  <c r="W4224" i="1"/>
  <c r="W4212" i="1"/>
  <c r="W4200" i="1"/>
  <c r="W4188" i="1"/>
  <c r="W533" i="1"/>
  <c r="X533" i="1"/>
  <c r="W521" i="1"/>
  <c r="X521" i="1"/>
  <c r="W509" i="1"/>
  <c r="X509" i="1"/>
  <c r="W497" i="1"/>
  <c r="X497" i="1"/>
  <c r="W485" i="1"/>
  <c r="X485" i="1"/>
  <c r="W474" i="1"/>
  <c r="X474" i="1"/>
  <c r="W462" i="1"/>
  <c r="X462" i="1"/>
  <c r="W450" i="1"/>
  <c r="X450" i="1"/>
  <c r="W438" i="1"/>
  <c r="X438" i="1"/>
  <c r="W426" i="1"/>
  <c r="X426" i="1"/>
  <c r="W413" i="1"/>
  <c r="X413" i="1"/>
  <c r="W401" i="1"/>
  <c r="X401" i="1"/>
  <c r="W386" i="1"/>
  <c r="X386" i="1"/>
  <c r="W374" i="1"/>
  <c r="X374" i="1"/>
  <c r="W362" i="1"/>
  <c r="X362" i="1"/>
  <c r="W350" i="1"/>
  <c r="X350" i="1"/>
  <c r="W338" i="1"/>
  <c r="X338" i="1"/>
  <c r="W326" i="1"/>
  <c r="X326" i="1"/>
  <c r="W314" i="1"/>
  <c r="X314" i="1"/>
  <c r="W302" i="1"/>
  <c r="X302" i="1"/>
  <c r="W5304" i="1"/>
  <c r="W5283" i="1"/>
  <c r="W5271" i="1"/>
  <c r="W5259" i="1"/>
  <c r="W5247" i="1"/>
  <c r="W5235" i="1"/>
  <c r="W5223" i="1"/>
  <c r="W4738" i="1"/>
  <c r="W4726" i="1"/>
  <c r="W4714" i="1"/>
  <c r="W4702" i="1"/>
  <c r="W4690" i="1"/>
  <c r="W4678" i="1"/>
  <c r="W4666" i="1"/>
  <c r="W4654" i="1"/>
  <c r="W4642" i="1"/>
  <c r="W4630" i="1"/>
  <c r="W4618" i="1"/>
  <c r="W4606" i="1"/>
  <c r="W4594" i="1"/>
  <c r="W4582" i="1"/>
  <c r="W4570" i="1"/>
  <c r="W4558" i="1"/>
  <c r="W4546" i="1"/>
  <c r="W4534" i="1"/>
  <c r="W4522" i="1"/>
  <c r="W4510" i="1"/>
  <c r="W4498" i="1"/>
  <c r="W4486" i="1"/>
  <c r="W4474" i="1"/>
  <c r="W4462" i="1"/>
  <c r="W4450" i="1"/>
  <c r="W4438" i="1"/>
  <c r="W4426" i="1"/>
  <c r="W4414" i="1"/>
  <c r="W4402" i="1"/>
  <c r="W4390" i="1"/>
  <c r="W4378" i="1"/>
  <c r="W4366" i="1"/>
  <c r="W4354" i="1"/>
  <c r="W4342" i="1"/>
  <c r="W4330" i="1"/>
  <c r="W4318" i="1"/>
  <c r="W4306" i="1"/>
  <c r="W4294" i="1"/>
  <c r="W4282" i="1"/>
  <c r="W4270" i="1"/>
  <c r="W4258" i="1"/>
  <c r="W4246" i="1"/>
  <c r="W4234" i="1"/>
  <c r="W4222" i="1"/>
  <c r="W4210" i="1"/>
  <c r="W4198" i="1"/>
  <c r="W4186" i="1"/>
  <c r="W531" i="1"/>
  <c r="X531" i="1"/>
  <c r="W519" i="1"/>
  <c r="X519" i="1"/>
  <c r="W507" i="1"/>
  <c r="X507" i="1"/>
  <c r="W495" i="1"/>
  <c r="X495" i="1"/>
  <c r="W483" i="1"/>
  <c r="X483" i="1"/>
  <c r="W472" i="1"/>
  <c r="X472" i="1"/>
  <c r="W460" i="1"/>
  <c r="X460" i="1"/>
  <c r="W448" i="1"/>
  <c r="X448" i="1"/>
  <c r="W436" i="1"/>
  <c r="X436" i="1"/>
  <c r="W424" i="1"/>
  <c r="X424" i="1"/>
  <c r="W411" i="1"/>
  <c r="X411" i="1"/>
  <c r="W399" i="1"/>
  <c r="X399" i="1"/>
  <c r="W384" i="1"/>
  <c r="X384" i="1"/>
  <c r="W372" i="1"/>
  <c r="X372" i="1"/>
  <c r="W360" i="1"/>
  <c r="X360" i="1"/>
  <c r="W348" i="1"/>
  <c r="X348" i="1"/>
  <c r="W336" i="1"/>
  <c r="X336" i="1"/>
  <c r="W324" i="1"/>
  <c r="X324" i="1"/>
  <c r="W312" i="1"/>
  <c r="X312" i="1"/>
  <c r="W298" i="1"/>
  <c r="X298" i="1"/>
  <c r="W283" i="1"/>
  <c r="X283" i="1"/>
  <c r="W5315" i="1"/>
  <c r="W5303" i="1"/>
  <c r="W5282" i="1"/>
  <c r="W5270" i="1"/>
  <c r="W5258" i="1"/>
  <c r="W5246" i="1"/>
  <c r="W5234" i="1"/>
  <c r="W5222" i="1"/>
  <c r="W4737" i="1"/>
  <c r="W4725" i="1"/>
  <c r="W4713" i="1"/>
  <c r="W4701" i="1"/>
  <c r="W4689" i="1"/>
  <c r="W4677" i="1"/>
  <c r="W4665" i="1"/>
  <c r="W4653" i="1"/>
  <c r="W4641" i="1"/>
  <c r="W4629" i="1"/>
  <c r="W4617" i="1"/>
  <c r="W4605" i="1"/>
  <c r="W4593" i="1"/>
  <c r="W4581" i="1"/>
  <c r="W4569" i="1"/>
  <c r="W4557" i="1"/>
  <c r="W4545" i="1"/>
  <c r="W4533" i="1"/>
  <c r="W4521" i="1"/>
  <c r="W4509" i="1"/>
  <c r="W4497" i="1"/>
  <c r="W4485" i="1"/>
  <c r="W4473" i="1"/>
  <c r="W4461" i="1"/>
  <c r="W4449" i="1"/>
  <c r="W4437" i="1"/>
  <c r="W4425" i="1"/>
  <c r="W4413" i="1"/>
  <c r="W4401" i="1"/>
  <c r="W4389" i="1"/>
  <c r="W4377" i="1"/>
  <c r="W4365" i="1"/>
  <c r="W4353" i="1"/>
  <c r="W4341" i="1"/>
  <c r="W4329" i="1"/>
  <c r="W4317" i="1"/>
  <c r="W4305" i="1"/>
  <c r="W4293" i="1"/>
  <c r="W4281" i="1"/>
  <c r="W4269" i="1"/>
  <c r="W4257" i="1"/>
  <c r="W4245" i="1"/>
  <c r="W4233" i="1"/>
  <c r="W4221" i="1"/>
  <c r="W4209" i="1"/>
  <c r="W4197" i="1"/>
  <c r="W4185" i="1"/>
  <c r="W5314" i="1"/>
  <c r="W5302" i="1"/>
  <c r="W5281" i="1"/>
  <c r="W5269" i="1"/>
  <c r="W5257" i="1"/>
  <c r="W5245" i="1"/>
  <c r="W5233" i="1"/>
  <c r="W5221" i="1"/>
  <c r="W4736" i="1"/>
  <c r="W4724" i="1"/>
  <c r="W4712" i="1"/>
  <c r="W4700" i="1"/>
  <c r="W4688" i="1"/>
  <c r="W4676" i="1"/>
  <c r="W4664" i="1"/>
  <c r="W4652" i="1"/>
  <c r="W4640" i="1"/>
  <c r="W4628" i="1"/>
  <c r="W4616" i="1"/>
  <c r="W4604" i="1"/>
  <c r="W4592" i="1"/>
  <c r="W4580" i="1"/>
  <c r="W4568" i="1"/>
  <c r="W4556" i="1"/>
  <c r="W4544" i="1"/>
  <c r="W4532" i="1"/>
  <c r="W4520" i="1"/>
  <c r="W4508" i="1"/>
  <c r="W4496" i="1"/>
  <c r="W4484" i="1"/>
  <c r="W4472" i="1"/>
  <c r="W4460" i="1"/>
  <c r="W4448" i="1"/>
  <c r="W4436" i="1"/>
  <c r="W4424" i="1"/>
  <c r="W4412" i="1"/>
  <c r="W4400" i="1"/>
  <c r="W4388" i="1"/>
  <c r="W4376" i="1"/>
  <c r="W4364" i="1"/>
  <c r="W4352" i="1"/>
  <c r="W4340" i="1"/>
  <c r="W4328" i="1"/>
  <c r="W4316" i="1"/>
  <c r="W4304" i="1"/>
  <c r="W4292" i="1"/>
  <c r="W4280" i="1"/>
  <c r="W4268" i="1"/>
  <c r="W4256" i="1"/>
  <c r="W4244" i="1"/>
  <c r="W4232" i="1"/>
  <c r="W4220" i="1"/>
  <c r="W4208" i="1"/>
  <c r="W4196" i="1"/>
  <c r="W4184" i="1"/>
  <c r="W541" i="1"/>
  <c r="X541" i="1"/>
  <c r="W529" i="1"/>
  <c r="X529" i="1"/>
  <c r="W517" i="1"/>
  <c r="X517" i="1"/>
  <c r="W505" i="1"/>
  <c r="X505" i="1"/>
  <c r="W493" i="1"/>
  <c r="X493" i="1"/>
  <c r="W482" i="1"/>
  <c r="X482" i="1"/>
  <c r="W470" i="1"/>
  <c r="X470" i="1"/>
  <c r="W458" i="1"/>
  <c r="X458" i="1"/>
  <c r="W446" i="1"/>
  <c r="X446" i="1"/>
  <c r="W434" i="1"/>
  <c r="X434" i="1"/>
  <c r="W422" i="1"/>
  <c r="X422" i="1"/>
  <c r="W409" i="1"/>
  <c r="X409" i="1"/>
  <c r="W397" i="1"/>
  <c r="X397" i="1"/>
  <c r="W382" i="1"/>
  <c r="X382" i="1"/>
  <c r="W370" i="1"/>
  <c r="X370" i="1"/>
  <c r="W358" i="1"/>
  <c r="X358" i="1"/>
  <c r="W346" i="1"/>
  <c r="X346" i="1"/>
  <c r="W334" i="1"/>
  <c r="X334" i="1"/>
  <c r="W322" i="1"/>
  <c r="X322" i="1"/>
  <c r="W296" i="1"/>
  <c r="X296" i="1"/>
  <c r="W281" i="1"/>
  <c r="X281" i="1"/>
  <c r="W5313" i="1"/>
  <c r="W5301" i="1"/>
  <c r="W5280" i="1"/>
  <c r="W5268" i="1"/>
  <c r="W5256" i="1"/>
  <c r="W5244" i="1"/>
  <c r="W5232" i="1"/>
  <c r="W5220" i="1"/>
  <c r="W4735" i="1"/>
  <c r="W4723" i="1"/>
  <c r="W4711" i="1"/>
  <c r="W4699" i="1"/>
  <c r="W4687" i="1"/>
  <c r="W4675" i="1"/>
  <c r="W4663" i="1"/>
  <c r="W4651" i="1"/>
  <c r="W4639" i="1"/>
  <c r="W4627" i="1"/>
  <c r="W4615" i="1"/>
  <c r="W4603" i="1"/>
  <c r="W4591" i="1"/>
  <c r="W4579" i="1"/>
  <c r="W4567" i="1"/>
  <c r="W4555" i="1"/>
  <c r="W4543" i="1"/>
  <c r="W4531" i="1"/>
  <c r="W4519" i="1"/>
  <c r="W4507" i="1"/>
  <c r="W4495" i="1"/>
  <c r="W4483" i="1"/>
  <c r="W4471" i="1"/>
  <c r="W4459" i="1"/>
  <c r="W4447" i="1"/>
  <c r="W4435" i="1"/>
  <c r="W4423" i="1"/>
  <c r="W4411" i="1"/>
  <c r="W4399" i="1"/>
  <c r="W4387" i="1"/>
  <c r="W4375" i="1"/>
  <c r="W4363" i="1"/>
  <c r="W4351" i="1"/>
  <c r="W4339" i="1"/>
  <c r="W4327" i="1"/>
  <c r="W4315" i="1"/>
  <c r="W4303" i="1"/>
  <c r="W4291" i="1"/>
  <c r="W4279" i="1"/>
  <c r="W4267" i="1"/>
  <c r="W4255" i="1"/>
  <c r="W4243" i="1"/>
  <c r="W4231" i="1"/>
  <c r="W4219" i="1"/>
  <c r="W4207" i="1"/>
  <c r="W4195" i="1"/>
  <c r="W4183" i="1"/>
  <c r="W5408" i="1"/>
  <c r="W5396" i="1"/>
  <c r="W5384" i="1"/>
  <c r="W5372" i="1"/>
  <c r="W5360" i="1"/>
  <c r="W5348" i="1"/>
  <c r="W5336" i="1"/>
  <c r="W5324" i="1"/>
  <c r="W5312" i="1"/>
  <c r="W5300" i="1"/>
  <c r="W5279" i="1"/>
  <c r="W5267" i="1"/>
  <c r="W5255" i="1"/>
  <c r="W5243" i="1"/>
  <c r="W5231" i="1"/>
  <c r="W5219" i="1"/>
  <c r="W4734" i="1"/>
  <c r="W4722" i="1"/>
  <c r="W4710" i="1"/>
  <c r="W4698" i="1"/>
  <c r="W4686" i="1"/>
  <c r="W4674" i="1"/>
  <c r="W4662" i="1"/>
  <c r="W4650" i="1"/>
  <c r="W4638" i="1"/>
  <c r="W4626" i="1"/>
  <c r="W4614" i="1"/>
  <c r="W4602" i="1"/>
  <c r="W4590" i="1"/>
  <c r="W4578" i="1"/>
  <c r="W4566" i="1"/>
  <c r="W4554" i="1"/>
  <c r="W4542" i="1"/>
  <c r="W4530" i="1"/>
  <c r="W4518" i="1"/>
  <c r="W4506" i="1"/>
  <c r="W4494" i="1"/>
  <c r="W4482" i="1"/>
  <c r="W4470" i="1"/>
  <c r="W4458" i="1"/>
  <c r="W4446" i="1"/>
  <c r="W4434" i="1"/>
  <c r="W4422" i="1"/>
  <c r="W4410" i="1"/>
  <c r="W4398" i="1"/>
  <c r="W4386" i="1"/>
  <c r="W4374" i="1"/>
  <c r="W4362" i="1"/>
  <c r="W4350" i="1"/>
  <c r="W4338" i="1"/>
  <c r="W4326" i="1"/>
  <c r="W4314" i="1"/>
  <c r="W4302" i="1"/>
  <c r="W4290" i="1"/>
  <c r="W4278" i="1"/>
  <c r="W4266" i="1"/>
  <c r="W4254" i="1"/>
  <c r="W4242" i="1"/>
  <c r="W4230" i="1"/>
  <c r="W4218" i="1"/>
  <c r="W4206" i="1"/>
  <c r="W4194" i="1"/>
  <c r="W4182" i="1"/>
  <c r="W539" i="1"/>
  <c r="X539" i="1"/>
  <c r="W527" i="1"/>
  <c r="X527" i="1"/>
  <c r="W515" i="1"/>
  <c r="X515" i="1"/>
  <c r="W503" i="1"/>
  <c r="X503" i="1"/>
  <c r="W491" i="1"/>
  <c r="X491" i="1"/>
  <c r="W480" i="1"/>
  <c r="X480" i="1"/>
  <c r="W468" i="1"/>
  <c r="X468" i="1"/>
  <c r="W456" i="1"/>
  <c r="X456" i="1"/>
  <c r="W444" i="1"/>
  <c r="X444" i="1"/>
  <c r="W432" i="1"/>
  <c r="X432" i="1"/>
  <c r="W420" i="1"/>
  <c r="X420" i="1"/>
  <c r="W407" i="1"/>
  <c r="X407" i="1"/>
  <c r="W395" i="1"/>
  <c r="X395" i="1"/>
  <c r="W380" i="1"/>
  <c r="X380" i="1"/>
  <c r="W368" i="1"/>
  <c r="X368" i="1"/>
  <c r="W356" i="1"/>
  <c r="X356" i="1"/>
  <c r="W344" i="1"/>
  <c r="X344" i="1"/>
  <c r="W332" i="1"/>
  <c r="X332" i="1"/>
  <c r="W320" i="1"/>
  <c r="X320" i="1"/>
  <c r="W294" i="1"/>
  <c r="X294" i="1"/>
  <c r="W279" i="1"/>
  <c r="X279" i="1"/>
  <c r="L718" i="1"/>
  <c r="L717" i="1"/>
  <c r="L716" i="1"/>
  <c r="L715" i="1"/>
  <c r="L710" i="1"/>
  <c r="L709" i="1"/>
  <c r="L708" i="1"/>
  <c r="L707" i="1"/>
  <c r="L706" i="1"/>
  <c r="L701" i="1"/>
  <c r="L700" i="1"/>
  <c r="L699" i="1"/>
  <c r="L698" i="1"/>
  <c r="L5539" i="1"/>
  <c r="L5538" i="1"/>
  <c r="L5537" i="1"/>
  <c r="L5536" i="1"/>
  <c r="L5535" i="1"/>
  <c r="L5534" i="1"/>
  <c r="L5533" i="1"/>
  <c r="L5526" i="1"/>
  <c r="L5525" i="1"/>
  <c r="L5523" i="1"/>
  <c r="L5522" i="1"/>
  <c r="L5521" i="1"/>
  <c r="L5515" i="1"/>
  <c r="L5514" i="1"/>
  <c r="L5513" i="1"/>
  <c r="L5512" i="1"/>
  <c r="L5511" i="1"/>
  <c r="L5510" i="1"/>
  <c r="L5509" i="1"/>
  <c r="L5503" i="1"/>
  <c r="L5502" i="1"/>
  <c r="L5500" i="1"/>
  <c r="L5499" i="1"/>
  <c r="L5498" i="1"/>
  <c r="L5497" i="1"/>
  <c r="L5491" i="1"/>
  <c r="L5490" i="1"/>
  <c r="L5489" i="1"/>
  <c r="L5488" i="1"/>
  <c r="L5487" i="1"/>
  <c r="L5486" i="1"/>
  <c r="L5485" i="1"/>
  <c r="L5476" i="1"/>
  <c r="L5475" i="1"/>
  <c r="L5474" i="1"/>
  <c r="L5473" i="1"/>
  <c r="L5467" i="1"/>
  <c r="L5466" i="1"/>
  <c r="L5465" i="1"/>
  <c r="L5464" i="1"/>
  <c r="L5463" i="1"/>
  <c r="L5462" i="1"/>
  <c r="L5455" i="1"/>
  <c r="L5454" i="1"/>
  <c r="L5453" i="1"/>
  <c r="L5452" i="1"/>
  <c r="L5451" i="1"/>
  <c r="L5450" i="1"/>
  <c r="L5444" i="1"/>
  <c r="L5443" i="1"/>
  <c r="L5442" i="1"/>
  <c r="L5441" i="1"/>
  <c r="L5440" i="1"/>
  <c r="L5439" i="1"/>
  <c r="L5438" i="1"/>
  <c r="L5432" i="1"/>
  <c r="L5431" i="1"/>
  <c r="L5430" i="1"/>
  <c r="L5429" i="1"/>
  <c r="L5428" i="1"/>
  <c r="L5427" i="1"/>
  <c r="L5426" i="1"/>
  <c r="L5420" i="1"/>
  <c r="L5419" i="1"/>
  <c r="L5418" i="1"/>
  <c r="L5417" i="1"/>
  <c r="L5416" i="1"/>
  <c r="L5415" i="1"/>
  <c r="L5414" i="1"/>
  <c r="L5408" i="1"/>
  <c r="L5407" i="1"/>
  <c r="L5406" i="1"/>
  <c r="L5405" i="1"/>
  <c r="L5404" i="1"/>
  <c r="L5403" i="1"/>
  <c r="L5402" i="1"/>
  <c r="L5396" i="1"/>
  <c r="L5395" i="1"/>
  <c r="L5394" i="1"/>
  <c r="L5393" i="1"/>
  <c r="L5392" i="1"/>
  <c r="L5391" i="1"/>
  <c r="L5390" i="1"/>
  <c r="L5383" i="1"/>
  <c r="L5382" i="1"/>
  <c r="L5381" i="1"/>
  <c r="L5380" i="1"/>
  <c r="L5379" i="1"/>
  <c r="L5378" i="1"/>
  <c r="L5371" i="1"/>
  <c r="L5370" i="1"/>
  <c r="L5369" i="1"/>
  <c r="L5368" i="1"/>
  <c r="L5367" i="1"/>
  <c r="L5366" i="1"/>
  <c r="L5360" i="1"/>
  <c r="L5359" i="1"/>
  <c r="L5358" i="1"/>
  <c r="L5356" i="1"/>
  <c r="L5354" i="1"/>
  <c r="L5347" i="1"/>
  <c r="L5346" i="1"/>
  <c r="L5345" i="1"/>
  <c r="L5344" i="1"/>
  <c r="L5343" i="1"/>
  <c r="L5342" i="1"/>
  <c r="L5336" i="1"/>
  <c r="L5335" i="1"/>
  <c r="L5334" i="1"/>
  <c r="L5333" i="1"/>
  <c r="L5332" i="1"/>
  <c r="L5331" i="1"/>
  <c r="L5330" i="1"/>
  <c r="L5324" i="1"/>
  <c r="L5323" i="1"/>
  <c r="L5322" i="1"/>
  <c r="L5321" i="1"/>
  <c r="L5320" i="1"/>
  <c r="L5319" i="1"/>
  <c r="L5318" i="1"/>
  <c r="L5312" i="1"/>
  <c r="L5311" i="1"/>
  <c r="L5310" i="1"/>
  <c r="L5309" i="1"/>
  <c r="L5308" i="1"/>
  <c r="L5307" i="1"/>
  <c r="L5306" i="1"/>
  <c r="L5300" i="1"/>
  <c r="L5299" i="1"/>
  <c r="L5298" i="1"/>
  <c r="L5297" i="1"/>
  <c r="L5296" i="1"/>
  <c r="L5295" i="1"/>
  <c r="L5294" i="1"/>
  <c r="L5288" i="1"/>
  <c r="L5286" i="1"/>
  <c r="L5285" i="1"/>
  <c r="L5284" i="1"/>
  <c r="L5283" i="1"/>
  <c r="L5282" i="1"/>
  <c r="L5276" i="1"/>
  <c r="L5275" i="1"/>
  <c r="L5274" i="1"/>
  <c r="L5273" i="1"/>
  <c r="L5272" i="1"/>
  <c r="L5271" i="1"/>
  <c r="L5270" i="1"/>
  <c r="L5264" i="1"/>
  <c r="L5263" i="1"/>
  <c r="L5261" i="1"/>
  <c r="L5260" i="1"/>
  <c r="L5259" i="1"/>
  <c r="L5258" i="1"/>
  <c r="L5252" i="1"/>
  <c r="L5251" i="1"/>
  <c r="L5250" i="1"/>
  <c r="L5249" i="1"/>
  <c r="L5248" i="1"/>
  <c r="L5247" i="1"/>
  <c r="L5246" i="1"/>
  <c r="L5240" i="1"/>
  <c r="L5239" i="1"/>
  <c r="L5237" i="1"/>
  <c r="L5236" i="1"/>
  <c r="L5235" i="1"/>
  <c r="L5234" i="1"/>
  <c r="L5228" i="1"/>
  <c r="L5227" i="1"/>
  <c r="L5226" i="1"/>
  <c r="L5225" i="1"/>
  <c r="L5224" i="1"/>
  <c r="L5223" i="1"/>
  <c r="L5222" i="1"/>
  <c r="L4736" i="1"/>
  <c r="L4735" i="1"/>
  <c r="L4734" i="1"/>
  <c r="L4733" i="1"/>
  <c r="L4732" i="1"/>
  <c r="L4731" i="1"/>
  <c r="L4730" i="1"/>
  <c r="L4729" i="1"/>
  <c r="L4728" i="1"/>
  <c r="L4727" i="1"/>
  <c r="L4726" i="1"/>
  <c r="L4720" i="1"/>
  <c r="L4719" i="1"/>
  <c r="L4718" i="1"/>
  <c r="L4717" i="1"/>
  <c r="L4716" i="1"/>
  <c r="L4715" i="1"/>
  <c r="L4714" i="1"/>
  <c r="L4708" i="1"/>
  <c r="L4707" i="1"/>
  <c r="L4706" i="1"/>
  <c r="L4705" i="1"/>
  <c r="L4704" i="1"/>
  <c r="L4703" i="1"/>
  <c r="L4702" i="1"/>
  <c r="L4700" i="1"/>
  <c r="L4699" i="1"/>
  <c r="L4698" i="1"/>
  <c r="L4688" i="1"/>
  <c r="L4687" i="1"/>
  <c r="L4686" i="1"/>
  <c r="L4685" i="1"/>
  <c r="L4684" i="1"/>
  <c r="L4683" i="1"/>
  <c r="L4682" i="1"/>
  <c r="L4676" i="1"/>
  <c r="L4675" i="1"/>
  <c r="L4674" i="1"/>
  <c r="L4673" i="1"/>
  <c r="L4672" i="1"/>
  <c r="L4671" i="1"/>
  <c r="L4665" i="1"/>
  <c r="L4664" i="1"/>
  <c r="L4663" i="1"/>
  <c r="L4662" i="1"/>
  <c r="L4661" i="1"/>
  <c r="L4660" i="1"/>
  <c r="L4659" i="1"/>
  <c r="L4653" i="1"/>
  <c r="L4652" i="1"/>
  <c r="L4651" i="1"/>
  <c r="L4645" i="1"/>
  <c r="L4644" i="1"/>
  <c r="L4643" i="1"/>
  <c r="L4642" i="1"/>
  <c r="L4641" i="1"/>
  <c r="L4640" i="1"/>
  <c r="L4639" i="1"/>
  <c r="L4633" i="1"/>
  <c r="L4631" i="1"/>
  <c r="L4630" i="1"/>
  <c r="L4629" i="1"/>
  <c r="L4628" i="1"/>
  <c r="L4627" i="1"/>
  <c r="L4621" i="1"/>
  <c r="L4620" i="1"/>
  <c r="L4619" i="1"/>
  <c r="L4618" i="1"/>
  <c r="L4617" i="1"/>
  <c r="L4616" i="1"/>
  <c r="L4615" i="1"/>
  <c r="L4605" i="1"/>
  <c r="L4604" i="1"/>
  <c r="L4603" i="1"/>
  <c r="L4602" i="1"/>
  <c r="L4601" i="1"/>
  <c r="L4599" i="1"/>
  <c r="L4590" i="1"/>
  <c r="L4589" i="1"/>
  <c r="L4588" i="1"/>
  <c r="L4587" i="1"/>
  <c r="L4586" i="1"/>
  <c r="L4585" i="1"/>
  <c r="L4584" i="1"/>
  <c r="L4578" i="1"/>
  <c r="L4577" i="1"/>
  <c r="L4576" i="1"/>
  <c r="L4575" i="1"/>
  <c r="L4574" i="1"/>
  <c r="L4573" i="1"/>
  <c r="L4572" i="1"/>
  <c r="L4566" i="1"/>
  <c r="L4565" i="1"/>
  <c r="L4564" i="1"/>
  <c r="L4563" i="1"/>
  <c r="L4558" i="1"/>
  <c r="L4557" i="1"/>
  <c r="L4556" i="1"/>
  <c r="L4554" i="1"/>
  <c r="L4553" i="1"/>
  <c r="L4552" i="1"/>
  <c r="L4551" i="1"/>
  <c r="L4550" i="1"/>
  <c r="L4544" i="1"/>
  <c r="L4543" i="1"/>
  <c r="L4542" i="1"/>
  <c r="L4541" i="1"/>
  <c r="L4540" i="1"/>
  <c r="L4539" i="1"/>
  <c r="L4538" i="1"/>
  <c r="L4532" i="1"/>
  <c r="L4531" i="1"/>
  <c r="L4530" i="1"/>
  <c r="L4529" i="1"/>
  <c r="L4528" i="1"/>
  <c r="L4527" i="1"/>
  <c r="L4526" i="1"/>
  <c r="L4520" i="1"/>
  <c r="L4519" i="1"/>
  <c r="L4518" i="1"/>
  <c r="L4517" i="1"/>
  <c r="L4516" i="1"/>
  <c r="L4515" i="1"/>
  <c r="L4514" i="1"/>
  <c r="L4508" i="1"/>
  <c r="L4507" i="1"/>
  <c r="L4506" i="1"/>
  <c r="L4505" i="1"/>
  <c r="L4504" i="1"/>
  <c r="L4503" i="1"/>
  <c r="L4502" i="1"/>
  <c r="L4496" i="1"/>
  <c r="L4495" i="1"/>
  <c r="L4494" i="1"/>
  <c r="L4493" i="1"/>
  <c r="L4492" i="1"/>
  <c r="L4491" i="1"/>
  <c r="L4490" i="1"/>
  <c r="L4484" i="1"/>
  <c r="L4483" i="1"/>
  <c r="L4482" i="1"/>
  <c r="L4481" i="1"/>
  <c r="L4480" i="1"/>
  <c r="L4479" i="1"/>
  <c r="L4478" i="1"/>
  <c r="L4471" i="1"/>
  <c r="L4470" i="1"/>
  <c r="L4469" i="1"/>
  <c r="L4468" i="1"/>
  <c r="L4467" i="1"/>
  <c r="L4466" i="1"/>
  <c r="L4457" i="1"/>
  <c r="L4456" i="1"/>
  <c r="L4455" i="1"/>
  <c r="L4450" i="1"/>
  <c r="L4449" i="1"/>
  <c r="L4448" i="1"/>
  <c r="L4447" i="1"/>
  <c r="L4446" i="1"/>
  <c r="L4445" i="1"/>
  <c r="L4444" i="1"/>
  <c r="L4438" i="1"/>
  <c r="L4437" i="1"/>
  <c r="L4436" i="1"/>
  <c r="L4435" i="1"/>
  <c r="L4434" i="1"/>
  <c r="L4433" i="1"/>
  <c r="L4432" i="1"/>
  <c r="L4425" i="1"/>
  <c r="L4420" i="1"/>
  <c r="L4419" i="1"/>
  <c r="L4418" i="1"/>
  <c r="L4417" i="1"/>
  <c r="L4415" i="1"/>
  <c r="L4414" i="1"/>
  <c r="L4413" i="1"/>
  <c r="L4412" i="1"/>
  <c r="L4411" i="1"/>
  <c r="L4410" i="1"/>
  <c r="L4409" i="1"/>
  <c r="L4403" i="1"/>
  <c r="L4402" i="1"/>
  <c r="L4401" i="1"/>
  <c r="L4400" i="1"/>
  <c r="L4399" i="1"/>
  <c r="L4398" i="1"/>
  <c r="L4397" i="1"/>
  <c r="L4389" i="1"/>
  <c r="L4387" i="1"/>
  <c r="L4386" i="1"/>
  <c r="L4385" i="1"/>
  <c r="L4379" i="1"/>
  <c r="L4377" i="1"/>
  <c r="L4376" i="1"/>
  <c r="L4375" i="1"/>
  <c r="L4374" i="1"/>
  <c r="L4373" i="1"/>
  <c r="L4367" i="1"/>
  <c r="L4365" i="1"/>
  <c r="L4364" i="1"/>
  <c r="L4363" i="1"/>
  <c r="L4362" i="1"/>
  <c r="L4361" i="1"/>
  <c r="L4358" i="1"/>
  <c r="L4357" i="1"/>
  <c r="L4356" i="1"/>
  <c r="L4355" i="1"/>
  <c r="L4350" i="1"/>
  <c r="L4349" i="1"/>
  <c r="L4343" i="1"/>
  <c r="L4342" i="1"/>
  <c r="L4341" i="1"/>
  <c r="L4340" i="1"/>
  <c r="L4339" i="1"/>
  <c r="L4338" i="1"/>
  <c r="L4337" i="1"/>
  <c r="L4331" i="1"/>
  <c r="L4330" i="1"/>
  <c r="L4329" i="1"/>
  <c r="L4328" i="1"/>
  <c r="L4327" i="1"/>
  <c r="L4326" i="1"/>
  <c r="L4325" i="1"/>
  <c r="L4320" i="1"/>
  <c r="L4319" i="1"/>
  <c r="L4318" i="1"/>
  <c r="L4317" i="1"/>
  <c r="L4315" i="1"/>
  <c r="L4314" i="1"/>
  <c r="L4313" i="1"/>
  <c r="L4307" i="1"/>
  <c r="L4306" i="1"/>
  <c r="L4305" i="1"/>
  <c r="L4304" i="1"/>
  <c r="L4303" i="1"/>
  <c r="L4302" i="1"/>
  <c r="L4301" i="1"/>
  <c r="L4295" i="1"/>
  <c r="L4294" i="1"/>
  <c r="L4293" i="1"/>
  <c r="L4292" i="1"/>
  <c r="L4291" i="1"/>
  <c r="L4290" i="1"/>
  <c r="L4289" i="1"/>
  <c r="L4282" i="1"/>
  <c r="L4281" i="1"/>
  <c r="L4275" i="1"/>
  <c r="L4273" i="1"/>
  <c r="L4267" i="1"/>
  <c r="L4266" i="1"/>
  <c r="L4265" i="1"/>
  <c r="L4264" i="1"/>
  <c r="L4263" i="1"/>
  <c r="L4262" i="1"/>
  <c r="L4261" i="1"/>
  <c r="L4254" i="1"/>
  <c r="L4252" i="1"/>
  <c r="L4251" i="1"/>
  <c r="L4250" i="1"/>
  <c r="L4249" i="1"/>
  <c r="L4242" i="1"/>
  <c r="L4239" i="1"/>
  <c r="L4238" i="1"/>
  <c r="L4237" i="1"/>
  <c r="L4236" i="1"/>
  <c r="L4233" i="1"/>
  <c r="L4227" i="1"/>
  <c r="L4226" i="1"/>
  <c r="L4225" i="1"/>
  <c r="L4224" i="1"/>
  <c r="L4223" i="1"/>
  <c r="L4222" i="1"/>
  <c r="L4221" i="1"/>
  <c r="L4215" i="1"/>
  <c r="L4214" i="1"/>
  <c r="L4213" i="1"/>
  <c r="L4212" i="1"/>
  <c r="L4211" i="1"/>
  <c r="L4210" i="1"/>
  <c r="L4209" i="1"/>
  <c r="L4203" i="1"/>
  <c r="L4202" i="1"/>
  <c r="L4201" i="1"/>
  <c r="L4200" i="1"/>
  <c r="L4199" i="1"/>
  <c r="L4198" i="1"/>
  <c r="L4197" i="1"/>
  <c r="L4191" i="1"/>
  <c r="L4190" i="1"/>
  <c r="L4189" i="1"/>
  <c r="L4188" i="1"/>
  <c r="L4187" i="1"/>
  <c r="L4186" i="1"/>
  <c r="L4185" i="1"/>
  <c r="L4179" i="1"/>
  <c r="L4178" i="1"/>
  <c r="L4177" i="1"/>
  <c r="L4176" i="1"/>
  <c r="L4175" i="1"/>
  <c r="L4174" i="1"/>
  <c r="L4173" i="1"/>
  <c r="L4167" i="1"/>
  <c r="L4166" i="1"/>
  <c r="L4165" i="1"/>
  <c r="L4164" i="1"/>
  <c r="L4163" i="1"/>
  <c r="L4162" i="1"/>
  <c r="L4161" i="1"/>
  <c r="L4160" i="1"/>
  <c r="L4159" i="1"/>
  <c r="L4158" i="1"/>
  <c r="L4157" i="1"/>
  <c r="L4153" i="1"/>
  <c r="L4152" i="1"/>
  <c r="L4147" i="1"/>
  <c r="L4140" i="1"/>
  <c r="L4139" i="1"/>
  <c r="L4138" i="1"/>
  <c r="L4137" i="1"/>
  <c r="L4136" i="1"/>
  <c r="L4135" i="1"/>
  <c r="L4134" i="1"/>
  <c r="L4124" i="1"/>
  <c r="L4123" i="1"/>
  <c r="L4122" i="1"/>
  <c r="L4121" i="1"/>
  <c r="L4120" i="1"/>
  <c r="L4119" i="1"/>
  <c r="L4118" i="1"/>
  <c r="L4108" i="1"/>
  <c r="L4107" i="1"/>
  <c r="L4106" i="1"/>
  <c r="L4105" i="1"/>
  <c r="L4104" i="1"/>
  <c r="L4103" i="1"/>
  <c r="L4102" i="1"/>
  <c r="L4096" i="1"/>
  <c r="L4095" i="1"/>
  <c r="L4094" i="1"/>
  <c r="L4093" i="1"/>
  <c r="L4092" i="1"/>
  <c r="L4091" i="1"/>
  <c r="L4090" i="1"/>
  <c r="L4083" i="1"/>
  <c r="L4082" i="1"/>
  <c r="L4081" i="1"/>
  <c r="L4080" i="1"/>
  <c r="L4079" i="1"/>
  <c r="L4072" i="1"/>
  <c r="L4070" i="1"/>
  <c r="L4069" i="1"/>
  <c r="L4068" i="1"/>
  <c r="L4067" i="1"/>
  <c r="L4059" i="1"/>
  <c r="L4058" i="1"/>
  <c r="L4057" i="1"/>
  <c r="L4056" i="1"/>
  <c r="L4055" i="1"/>
  <c r="L4048" i="1"/>
  <c r="L4047" i="1"/>
  <c r="L4046" i="1"/>
  <c r="L4045" i="1"/>
  <c r="L4044" i="1"/>
  <c r="L4043" i="1"/>
  <c r="L4037" i="1"/>
  <c r="L4036" i="1"/>
  <c r="L4035" i="1"/>
  <c r="L4033" i="1"/>
  <c r="L4032" i="1"/>
  <c r="L4031" i="1"/>
  <c r="L4025" i="1"/>
  <c r="L4024" i="1"/>
  <c r="L4023" i="1"/>
  <c r="L4022" i="1"/>
  <c r="L4021" i="1"/>
  <c r="L4020" i="1"/>
  <c r="L4019" i="1"/>
  <c r="L4013" i="1"/>
  <c r="L4012" i="1"/>
  <c r="L4011" i="1"/>
  <c r="L4010" i="1"/>
  <c r="L4009" i="1"/>
  <c r="L4008" i="1"/>
  <c r="L4001" i="1"/>
  <c r="L3998" i="1"/>
  <c r="L3997" i="1"/>
  <c r="L3996" i="1"/>
  <c r="L3990" i="1"/>
  <c r="L3989" i="1"/>
  <c r="L3988" i="1"/>
  <c r="L3987" i="1"/>
  <c r="L3986" i="1"/>
  <c r="L3985" i="1"/>
  <c r="L3984" i="1"/>
  <c r="L3978" i="1"/>
  <c r="L3977" i="1"/>
  <c r="L3976" i="1"/>
  <c r="L3975" i="1"/>
  <c r="L3974" i="1"/>
  <c r="L3973" i="1"/>
  <c r="L3972" i="1"/>
  <c r="L3966" i="1"/>
  <c r="L3965" i="1"/>
  <c r="L3964" i="1"/>
  <c r="L3963" i="1"/>
  <c r="L3962" i="1"/>
  <c r="L3961" i="1"/>
  <c r="L3960" i="1"/>
  <c r="L3957" i="1"/>
  <c r="L3956" i="1"/>
  <c r="L3955" i="1"/>
  <c r="L3954" i="1"/>
  <c r="L3953" i="1"/>
  <c r="L3952" i="1"/>
  <c r="L3948" i="1"/>
  <c r="L3947" i="1"/>
  <c r="L3946" i="1"/>
  <c r="L3945" i="1"/>
  <c r="L3944" i="1"/>
  <c r="L3938" i="1"/>
  <c r="L3937" i="1"/>
  <c r="L3936" i="1"/>
  <c r="L3935" i="1"/>
  <c r="L3934" i="1"/>
  <c r="L3933" i="1"/>
  <c r="L3932" i="1"/>
  <c r="L3926" i="1"/>
  <c r="L3925" i="1"/>
  <c r="L3924" i="1"/>
  <c r="L3921" i="1"/>
  <c r="L3920" i="1"/>
  <c r="L3914" i="1"/>
  <c r="L3913" i="1"/>
  <c r="L3912" i="1"/>
  <c r="L3911" i="1"/>
  <c r="L3910" i="1"/>
  <c r="L3909" i="1"/>
  <c r="L3908" i="1"/>
  <c r="L3902" i="1"/>
  <c r="L3901" i="1"/>
  <c r="L3900" i="1"/>
  <c r="L3899" i="1"/>
  <c r="L3898" i="1"/>
  <c r="L3897" i="1"/>
  <c r="L3896" i="1"/>
  <c r="L3890" i="1"/>
  <c r="L3889" i="1"/>
  <c r="L3888" i="1"/>
  <c r="L3887" i="1"/>
  <c r="L3886" i="1"/>
  <c r="L3885" i="1"/>
  <c r="L3884" i="1"/>
  <c r="L3878" i="1"/>
  <c r="L3876" i="1"/>
  <c r="L3875" i="1"/>
  <c r="L3874" i="1"/>
  <c r="L3873" i="1"/>
  <c r="L3872" i="1"/>
  <c r="L3867" i="1"/>
  <c r="L3866" i="1"/>
  <c r="L3865" i="1"/>
  <c r="L3864" i="1"/>
  <c r="L3863" i="1"/>
  <c r="L3862" i="1"/>
  <c r="L3861" i="1"/>
  <c r="L3855" i="1"/>
  <c r="L3853" i="1"/>
  <c r="L3852" i="1"/>
  <c r="L3851" i="1"/>
  <c r="L3850" i="1"/>
  <c r="L3849" i="1"/>
  <c r="L3843" i="1"/>
  <c r="L3842" i="1"/>
  <c r="L3841" i="1"/>
  <c r="L3840" i="1"/>
  <c r="L3839" i="1"/>
  <c r="L3838" i="1"/>
  <c r="L3837" i="1"/>
  <c r="L3830" i="1"/>
  <c r="L3829" i="1"/>
  <c r="L3828" i="1"/>
  <c r="L3827" i="1"/>
  <c r="L3826" i="1"/>
  <c r="L3825" i="1"/>
  <c r="L3819" i="1"/>
  <c r="L3818" i="1"/>
  <c r="L3817" i="1"/>
  <c r="L3816" i="1"/>
  <c r="L3815" i="1"/>
  <c r="L3814" i="1"/>
  <c r="L3813" i="1"/>
  <c r="L3807" i="1"/>
  <c r="L3806" i="1"/>
  <c r="L3805" i="1"/>
  <c r="L3804" i="1"/>
  <c r="L3803" i="1"/>
  <c r="L3801" i="1"/>
  <c r="L3795" i="1"/>
  <c r="L3794" i="1"/>
  <c r="L3793" i="1"/>
  <c r="L3792" i="1"/>
  <c r="L3786" i="1"/>
  <c r="L3785" i="1"/>
  <c r="L3784" i="1"/>
  <c r="L3783" i="1"/>
  <c r="L3782" i="1"/>
  <c r="L3781" i="1"/>
  <c r="L3780" i="1"/>
  <c r="L3774" i="1"/>
  <c r="L3773" i="1"/>
  <c r="L3772" i="1"/>
  <c r="L3771" i="1"/>
  <c r="L3770" i="1"/>
  <c r="L3769" i="1"/>
  <c r="L3768" i="1"/>
  <c r="L3762" i="1"/>
  <c r="L3761" i="1"/>
  <c r="L3760" i="1"/>
  <c r="L3759" i="1"/>
  <c r="L3758" i="1"/>
  <c r="L3757" i="1"/>
  <c r="L3756" i="1"/>
  <c r="L3750" i="1"/>
  <c r="L3749" i="1"/>
  <c r="L3748" i="1"/>
  <c r="L3747" i="1"/>
  <c r="L3746" i="1"/>
  <c r="L3745" i="1"/>
  <c r="L3744" i="1"/>
  <c r="L3737" i="1"/>
  <c r="L3736" i="1"/>
  <c r="L3735" i="1"/>
  <c r="L3734" i="1"/>
  <c r="L3733" i="1"/>
  <c r="L3732" i="1"/>
  <c r="L3724" i="1"/>
  <c r="L3723" i="1"/>
  <c r="L3721" i="1"/>
  <c r="L3720" i="1"/>
  <c r="L3714" i="1"/>
  <c r="L3713" i="1"/>
  <c r="L3712" i="1"/>
  <c r="L3711" i="1"/>
  <c r="L3710" i="1"/>
  <c r="L3709" i="1"/>
  <c r="L3708" i="1"/>
  <c r="L3702" i="1"/>
  <c r="L3701" i="1"/>
  <c r="L3700" i="1"/>
  <c r="L3699" i="1"/>
  <c r="L3698" i="1"/>
  <c r="L3697" i="1"/>
  <c r="L3696" i="1"/>
  <c r="L3677" i="1"/>
  <c r="L3676" i="1"/>
  <c r="L3675" i="1"/>
  <c r="L3674" i="1"/>
  <c r="L3673" i="1"/>
  <c r="L3672" i="1"/>
  <c r="L3671" i="1"/>
  <c r="L3665" i="1"/>
  <c r="L3664" i="1"/>
  <c r="L3663" i="1"/>
  <c r="L3662" i="1"/>
  <c r="L3661" i="1"/>
  <c r="L3660" i="1"/>
  <c r="L3659" i="1"/>
  <c r="L3651" i="1"/>
  <c r="L3649" i="1"/>
  <c r="L3648" i="1"/>
  <c r="L3646" i="1"/>
  <c r="L3645" i="1"/>
  <c r="L3644" i="1"/>
  <c r="L3638" i="1"/>
  <c r="L3637" i="1"/>
  <c r="L3636" i="1"/>
  <c r="L3635" i="1"/>
  <c r="L3634" i="1"/>
  <c r="L3633" i="1"/>
  <c r="L3632" i="1"/>
  <c r="L3624" i="1"/>
  <c r="L3623" i="1"/>
  <c r="L3622" i="1"/>
  <c r="L3621" i="1"/>
  <c r="L3619" i="1"/>
  <c r="L3613" i="1"/>
  <c r="L3612" i="1"/>
  <c r="L3611" i="1"/>
  <c r="L3610" i="1"/>
  <c r="L3609" i="1"/>
  <c r="L3608" i="1"/>
  <c r="L3607" i="1"/>
  <c r="L3597" i="1"/>
  <c r="L3596" i="1"/>
  <c r="L3595" i="1"/>
  <c r="L3594" i="1"/>
  <c r="L3593" i="1"/>
  <c r="L3592" i="1"/>
  <c r="L3586" i="1"/>
  <c r="L3585" i="1"/>
  <c r="L3584" i="1"/>
  <c r="L3583" i="1"/>
  <c r="L3582" i="1"/>
  <c r="L3581" i="1"/>
  <c r="L3580" i="1"/>
  <c r="L3572" i="1"/>
  <c r="L3571" i="1"/>
  <c r="L3568" i="1"/>
  <c r="L3561" i="1"/>
  <c r="L3560" i="1"/>
  <c r="L3557" i="1"/>
  <c r="L3556" i="1"/>
  <c r="L3555" i="1"/>
  <c r="L3548" i="1"/>
  <c r="L3547" i="1"/>
  <c r="L3546" i="1"/>
  <c r="L3545" i="1"/>
  <c r="L3544" i="1"/>
  <c r="L3543" i="1"/>
  <c r="L3537" i="1"/>
  <c r="L3536" i="1"/>
  <c r="L3535" i="1"/>
  <c r="L3534" i="1"/>
  <c r="L3532" i="1"/>
  <c r="L3531" i="1"/>
  <c r="L3525" i="1"/>
  <c r="L3524" i="1"/>
  <c r="L3523" i="1"/>
  <c r="L3522" i="1"/>
  <c r="L3521" i="1"/>
  <c r="L3520" i="1"/>
  <c r="L3519" i="1"/>
  <c r="L3513" i="1"/>
  <c r="L3512" i="1"/>
  <c r="L3511" i="1"/>
  <c r="L3510" i="1"/>
  <c r="L3509" i="1"/>
  <c r="L3508" i="1"/>
  <c r="L3507" i="1"/>
  <c r="L3500" i="1"/>
  <c r="L3499" i="1"/>
  <c r="L3498" i="1"/>
  <c r="L3497" i="1"/>
  <c r="L3496" i="1"/>
  <c r="L3495" i="1"/>
  <c r="L3489" i="1"/>
  <c r="L3488" i="1"/>
  <c r="L3487" i="1"/>
  <c r="L3486" i="1"/>
  <c r="L3485" i="1"/>
  <c r="L3484" i="1"/>
  <c r="L3483" i="1"/>
  <c r="L3477" i="1"/>
  <c r="L3476" i="1"/>
  <c r="L3474" i="1"/>
  <c r="L3473" i="1"/>
  <c r="L3472" i="1"/>
  <c r="L3471" i="1"/>
  <c r="L3464" i="1"/>
  <c r="L3463" i="1"/>
  <c r="L3462" i="1"/>
  <c r="L3461" i="1"/>
  <c r="L3460" i="1"/>
  <c r="L3459" i="1"/>
  <c r="L3452" i="1"/>
  <c r="L3451" i="1"/>
  <c r="L3450" i="1"/>
  <c r="L3449" i="1"/>
  <c r="L3448" i="1"/>
  <c r="L3447" i="1"/>
  <c r="L3441" i="1"/>
  <c r="L3440" i="1"/>
  <c r="L3439" i="1"/>
  <c r="L3438" i="1"/>
  <c r="L3437" i="1"/>
  <c r="L3436" i="1"/>
  <c r="L3435" i="1"/>
  <c r="L3429" i="1"/>
  <c r="L3427" i="1"/>
  <c r="L3426" i="1"/>
  <c r="L3424" i="1"/>
  <c r="L3423" i="1"/>
  <c r="L3417" i="1"/>
  <c r="L3416" i="1"/>
  <c r="L3415" i="1"/>
  <c r="L3414" i="1"/>
  <c r="L3413" i="1"/>
  <c r="L3412" i="1"/>
  <c r="L3411" i="1"/>
  <c r="L3405" i="1"/>
  <c r="L3404" i="1"/>
  <c r="L3402" i="1"/>
  <c r="L3401" i="1"/>
  <c r="L3400" i="1"/>
  <c r="L3399" i="1"/>
  <c r="L3393" i="1"/>
  <c r="L3392" i="1"/>
  <c r="L3391" i="1"/>
  <c r="L3390" i="1"/>
  <c r="L3389" i="1"/>
  <c r="L3388" i="1"/>
  <c r="L3387" i="1"/>
  <c r="L3381" i="1"/>
  <c r="L3380" i="1"/>
  <c r="L3379" i="1"/>
  <c r="L3378" i="1"/>
  <c r="L3377" i="1"/>
  <c r="L3376" i="1"/>
  <c r="L3375" i="1"/>
  <c r="L3369" i="1"/>
  <c r="L3368" i="1"/>
  <c r="L3367" i="1"/>
  <c r="L3366" i="1"/>
  <c r="L3365" i="1"/>
  <c r="L3364" i="1"/>
  <c r="L3363" i="1"/>
  <c r="L3357" i="1"/>
  <c r="L3356" i="1"/>
  <c r="L3355" i="1"/>
  <c r="L3354" i="1"/>
  <c r="L3353" i="1"/>
  <c r="L3352" i="1"/>
  <c r="L3351" i="1"/>
  <c r="L3345" i="1"/>
  <c r="L3344" i="1"/>
  <c r="L3343" i="1"/>
  <c r="L3342" i="1"/>
  <c r="L3341" i="1"/>
  <c r="L3340" i="1"/>
  <c r="L3339" i="1"/>
  <c r="L3333" i="1"/>
  <c r="L3332" i="1"/>
  <c r="L3331" i="1"/>
  <c r="L3330" i="1"/>
  <c r="L3329" i="1"/>
  <c r="L3328" i="1"/>
  <c r="L3327" i="1"/>
  <c r="L3319" i="1"/>
  <c r="L3318" i="1"/>
  <c r="L3317" i="1"/>
  <c r="L3316" i="1"/>
  <c r="L3315" i="1"/>
  <c r="L3309" i="1"/>
  <c r="L3308" i="1"/>
  <c r="L3307" i="1"/>
  <c r="L3306" i="1"/>
  <c r="L3305" i="1"/>
  <c r="L3304" i="1"/>
  <c r="L3303" i="1"/>
  <c r="L3297" i="1"/>
  <c r="L3296" i="1"/>
  <c r="L3295" i="1"/>
  <c r="L3294" i="1"/>
  <c r="L3292" i="1"/>
  <c r="L3291" i="1"/>
  <c r="L3285" i="1"/>
  <c r="L3284" i="1"/>
  <c r="L3283" i="1"/>
  <c r="L3282" i="1"/>
  <c r="L3281" i="1"/>
  <c r="L3280" i="1"/>
  <c r="L3279" i="1"/>
  <c r="L3273" i="1"/>
  <c r="L3272" i="1"/>
  <c r="L3271" i="1"/>
  <c r="L3270" i="1"/>
  <c r="L3269" i="1"/>
  <c r="L3268" i="1"/>
  <c r="L3267" i="1"/>
  <c r="L3261" i="1"/>
  <c r="L3259" i="1"/>
  <c r="L3258" i="1"/>
  <c r="L3257" i="1"/>
  <c r="L3256" i="1"/>
  <c r="L3255" i="1"/>
  <c r="L3249" i="1"/>
  <c r="L3248" i="1"/>
  <c r="L3247" i="1"/>
  <c r="L3246" i="1"/>
  <c r="L3245" i="1"/>
  <c r="L3244" i="1"/>
  <c r="L3243" i="1"/>
  <c r="L3237" i="1"/>
  <c r="L3236" i="1"/>
  <c r="L3235" i="1"/>
  <c r="L3234" i="1"/>
  <c r="L3233" i="1"/>
  <c r="L3232" i="1"/>
  <c r="L3231" i="1"/>
  <c r="L3225" i="1"/>
  <c r="L3224" i="1"/>
  <c r="L3223" i="1"/>
  <c r="L3222" i="1"/>
  <c r="L3221" i="1"/>
  <c r="L3220" i="1"/>
  <c r="L3219" i="1"/>
  <c r="L3212" i="1"/>
  <c r="L3211" i="1"/>
  <c r="L3209" i="1"/>
  <c r="L3208" i="1"/>
  <c r="L3207" i="1"/>
  <c r="L3200" i="1"/>
  <c r="L3199" i="1"/>
  <c r="L3198" i="1"/>
  <c r="L3197" i="1"/>
  <c r="L3196" i="1"/>
  <c r="L3195" i="1"/>
  <c r="L3189" i="1"/>
  <c r="L3188" i="1"/>
  <c r="L3187" i="1"/>
  <c r="L3186" i="1"/>
  <c r="L3185" i="1"/>
  <c r="L3184" i="1"/>
  <c r="L3183" i="1"/>
  <c r="L3176" i="1"/>
  <c r="L3175" i="1"/>
  <c r="L3174" i="1"/>
  <c r="L3173" i="1"/>
  <c r="L3172" i="1"/>
  <c r="L3171" i="1"/>
  <c r="L3165" i="1"/>
  <c r="L3163" i="1"/>
  <c r="L3162" i="1"/>
  <c r="L3161" i="1"/>
  <c r="L3160" i="1"/>
  <c r="L3159" i="1"/>
  <c r="L3153" i="1"/>
  <c r="L3152" i="1"/>
  <c r="L3151" i="1"/>
  <c r="L3150" i="1"/>
  <c r="L3149" i="1"/>
  <c r="L3148" i="1"/>
  <c r="L3147" i="1"/>
  <c r="L3141" i="1"/>
  <c r="L3140" i="1"/>
  <c r="L3139" i="1"/>
  <c r="L3138" i="1"/>
  <c r="L3137" i="1"/>
  <c r="L3136" i="1"/>
  <c r="L3135" i="1"/>
  <c r="L3129" i="1"/>
  <c r="L3128" i="1"/>
  <c r="L3127" i="1"/>
  <c r="L3126" i="1"/>
  <c r="L3125" i="1"/>
  <c r="L3124" i="1"/>
  <c r="L3123" i="1"/>
  <c r="L3117" i="1"/>
  <c r="L3116" i="1"/>
  <c r="L3115" i="1"/>
  <c r="L3114" i="1"/>
  <c r="L3113" i="1"/>
  <c r="L3112" i="1"/>
  <c r="L3111" i="1"/>
  <c r="L3104" i="1"/>
  <c r="L3099" i="1"/>
  <c r="L3093" i="1"/>
  <c r="L3092" i="1"/>
  <c r="L3091" i="1"/>
  <c r="L3090" i="1"/>
  <c r="L3089" i="1"/>
  <c r="L3088" i="1"/>
  <c r="L3087" i="1"/>
  <c r="L3081" i="1"/>
  <c r="L3080" i="1"/>
  <c r="L3079" i="1"/>
  <c r="L3078" i="1"/>
  <c r="L3077" i="1"/>
  <c r="L3076" i="1"/>
  <c r="L3075" i="1"/>
  <c r="L3069" i="1"/>
  <c r="L3068" i="1"/>
  <c r="L3067" i="1"/>
  <c r="L3066" i="1"/>
  <c r="L3065" i="1"/>
  <c r="L3064" i="1"/>
  <c r="L3063" i="1"/>
  <c r="L3057" i="1"/>
  <c r="L3056" i="1"/>
  <c r="L3055" i="1"/>
  <c r="L3054" i="1"/>
  <c r="L3053" i="1"/>
  <c r="L3052" i="1"/>
  <c r="L3051" i="1"/>
  <c r="L3045" i="1"/>
  <c r="L3044" i="1"/>
  <c r="L3043" i="1"/>
  <c r="L3042" i="1"/>
  <c r="L3041" i="1"/>
  <c r="L3040" i="1"/>
  <c r="L3039" i="1"/>
  <c r="L3032" i="1"/>
  <c r="L3031" i="1"/>
  <c r="L3030" i="1"/>
  <c r="L3029" i="1"/>
  <c r="L3028" i="1"/>
  <c r="L3027" i="1"/>
  <c r="L3020" i="1"/>
  <c r="L3019" i="1"/>
  <c r="L3018" i="1"/>
  <c r="L3017" i="1"/>
  <c r="L3016" i="1"/>
  <c r="L3015" i="1"/>
  <c r="L3009" i="1"/>
  <c r="L3008" i="1"/>
  <c r="L3007" i="1"/>
  <c r="L3006" i="1"/>
  <c r="L3005" i="1"/>
  <c r="L3004" i="1"/>
  <c r="L3003" i="1"/>
  <c r="L2996" i="1"/>
  <c r="L2995" i="1"/>
  <c r="L2994" i="1"/>
  <c r="L2993" i="1"/>
  <c r="L2992" i="1"/>
  <c r="L2991" i="1"/>
  <c r="L2985" i="1"/>
  <c r="L2982" i="1"/>
  <c r="L2981" i="1"/>
  <c r="L2980" i="1"/>
  <c r="L2979" i="1"/>
  <c r="L2973" i="1"/>
  <c r="L2972" i="1"/>
  <c r="L2971" i="1"/>
  <c r="L2970" i="1"/>
  <c r="L2969" i="1"/>
  <c r="L2968" i="1"/>
  <c r="L2967" i="1"/>
  <c r="L2961" i="1"/>
  <c r="L2960" i="1"/>
  <c r="L2959" i="1"/>
  <c r="L2957" i="1"/>
  <c r="L2956" i="1"/>
  <c r="L2955" i="1"/>
  <c r="L2949" i="1"/>
  <c r="L2947" i="1"/>
  <c r="L2946" i="1"/>
  <c r="L2944" i="1"/>
  <c r="L2943" i="1"/>
  <c r="L2937" i="1"/>
  <c r="L2936" i="1"/>
  <c r="L2935" i="1"/>
  <c r="L2934" i="1"/>
  <c r="L2933" i="1"/>
  <c r="L2932" i="1"/>
  <c r="L2931" i="1"/>
  <c r="L2924" i="1"/>
  <c r="L2923" i="1"/>
  <c r="L2922" i="1"/>
  <c r="L2921" i="1"/>
  <c r="L2920" i="1"/>
  <c r="L2919" i="1"/>
  <c r="L2913" i="1"/>
  <c r="L2909" i="1"/>
  <c r="L2908" i="1"/>
  <c r="L2907" i="1"/>
  <c r="L2899" i="1"/>
  <c r="L2898" i="1"/>
  <c r="L2897" i="1"/>
  <c r="L2896" i="1"/>
  <c r="L2895" i="1"/>
  <c r="L2889" i="1"/>
  <c r="L2888" i="1"/>
  <c r="L2887" i="1"/>
  <c r="L2886" i="1"/>
  <c r="L2885" i="1"/>
  <c r="L2884" i="1"/>
  <c r="L2883" i="1"/>
  <c r="L2877" i="1"/>
  <c r="L2876" i="1"/>
  <c r="L2875" i="1"/>
  <c r="L2874" i="1"/>
  <c r="L2873" i="1"/>
  <c r="L2872" i="1"/>
  <c r="L2871" i="1"/>
  <c r="L2865" i="1"/>
  <c r="L2864" i="1"/>
  <c r="L2863" i="1"/>
  <c r="L2862" i="1"/>
  <c r="L2861" i="1"/>
  <c r="L2860" i="1"/>
  <c r="L2859" i="1"/>
  <c r="L2853" i="1"/>
  <c r="L2852" i="1"/>
  <c r="L2851" i="1"/>
  <c r="L2850" i="1"/>
  <c r="L2849" i="1"/>
  <c r="L2848" i="1"/>
  <c r="L2847" i="1"/>
  <c r="L2841" i="1"/>
  <c r="L2840" i="1"/>
  <c r="L2839" i="1"/>
  <c r="L2838" i="1"/>
  <c r="L2837" i="1"/>
  <c r="L2836" i="1"/>
  <c r="L2835" i="1"/>
  <c r="L2826" i="1"/>
  <c r="L2825" i="1"/>
  <c r="L2824" i="1"/>
  <c r="L2823" i="1"/>
  <c r="L2817" i="1"/>
  <c r="L2816" i="1"/>
  <c r="L2815" i="1"/>
  <c r="L2814" i="1"/>
  <c r="L2813" i="1"/>
  <c r="L2812" i="1"/>
  <c r="L2811" i="1"/>
  <c r="L2805" i="1"/>
  <c r="L2804" i="1"/>
  <c r="L2803" i="1"/>
  <c r="L2802" i="1"/>
  <c r="L2801" i="1"/>
  <c r="L2800" i="1"/>
  <c r="L2799" i="1"/>
  <c r="L2793" i="1"/>
  <c r="L2792" i="1"/>
  <c r="L2791" i="1"/>
  <c r="L2790" i="1"/>
  <c r="L2789" i="1"/>
  <c r="L2788" i="1"/>
  <c r="L2787" i="1"/>
  <c r="L2781" i="1"/>
  <c r="L2780" i="1"/>
  <c r="L2779" i="1"/>
  <c r="L2778" i="1"/>
  <c r="L2777" i="1"/>
  <c r="L2776" i="1"/>
  <c r="L2775" i="1"/>
  <c r="L2769" i="1"/>
  <c r="L2768" i="1"/>
  <c r="L2767" i="1"/>
  <c r="L2766" i="1"/>
  <c r="L2765" i="1"/>
  <c r="L2764" i="1"/>
  <c r="L2763" i="1"/>
  <c r="L2757" i="1"/>
  <c r="L2756" i="1"/>
  <c r="L2755" i="1"/>
  <c r="L2754" i="1"/>
  <c r="L2751" i="1"/>
  <c r="L2745" i="1"/>
  <c r="L2744" i="1"/>
  <c r="L2743" i="1"/>
  <c r="L2742" i="1"/>
  <c r="L2741" i="1"/>
  <c r="L2740" i="1"/>
  <c r="L2739" i="1"/>
  <c r="L2733" i="1"/>
  <c r="L2732" i="1"/>
  <c r="L2731" i="1"/>
  <c r="L2730" i="1"/>
  <c r="L2729" i="1"/>
  <c r="L2728" i="1"/>
  <c r="L2727" i="1"/>
  <c r="L2721" i="1"/>
  <c r="L2720" i="1"/>
  <c r="L2719" i="1"/>
  <c r="L2718" i="1"/>
  <c r="L2717" i="1"/>
  <c r="L2716" i="1"/>
  <c r="L2715" i="1"/>
  <c r="L2708" i="1"/>
  <c r="L2707" i="1"/>
  <c r="L2706" i="1"/>
  <c r="L2705" i="1"/>
  <c r="L2704" i="1"/>
  <c r="L2703" i="1"/>
  <c r="L2696" i="1"/>
  <c r="L2695" i="1"/>
  <c r="L2694" i="1"/>
  <c r="L2693" i="1"/>
  <c r="L2692" i="1"/>
  <c r="L2691" i="1"/>
  <c r="L2685" i="1"/>
  <c r="L2684" i="1"/>
  <c r="L2683" i="1"/>
  <c r="L2682" i="1"/>
  <c r="L2681" i="1"/>
  <c r="L2680" i="1"/>
  <c r="L2679" i="1"/>
  <c r="L2673" i="1"/>
  <c r="L2672" i="1"/>
  <c r="L2671" i="1"/>
  <c r="L2670" i="1"/>
  <c r="L2669" i="1"/>
  <c r="L2667" i="1"/>
  <c r="L2661" i="1"/>
  <c r="L2660" i="1"/>
  <c r="L2659" i="1"/>
  <c r="L2658" i="1"/>
  <c r="L2657" i="1"/>
  <c r="L2656" i="1"/>
  <c r="L2655" i="1"/>
  <c r="L2649" i="1"/>
  <c r="L2648" i="1"/>
  <c r="L2647" i="1"/>
  <c r="L2646" i="1"/>
  <c r="L2645" i="1"/>
  <c r="L2644" i="1"/>
  <c r="L2643" i="1"/>
  <c r="L2637" i="1"/>
  <c r="L2636" i="1"/>
  <c r="L2635" i="1"/>
  <c r="L2634" i="1"/>
  <c r="L2633" i="1"/>
  <c r="L2632" i="1"/>
  <c r="L2631" i="1"/>
  <c r="L2625" i="1"/>
  <c r="L2624" i="1"/>
  <c r="L2623" i="1"/>
  <c r="L2622" i="1"/>
  <c r="L2621" i="1"/>
  <c r="L2620" i="1"/>
  <c r="L2619" i="1"/>
  <c r="L2612" i="1"/>
  <c r="L2611" i="1"/>
  <c r="L2608" i="1"/>
  <c r="L2607" i="1"/>
  <c r="L2601" i="1"/>
  <c r="L2600" i="1"/>
  <c r="L2599" i="1"/>
  <c r="L2596" i="1"/>
  <c r="L2595" i="1"/>
  <c r="L2589" i="1"/>
  <c r="L2588" i="1"/>
  <c r="L2587" i="1"/>
  <c r="L2586" i="1"/>
  <c r="L2585" i="1"/>
  <c r="L2584" i="1"/>
  <c r="L2583" i="1"/>
  <c r="L2577" i="1"/>
  <c r="L2576" i="1"/>
  <c r="L2575" i="1"/>
  <c r="L2574" i="1"/>
  <c r="L2573" i="1"/>
  <c r="L2572" i="1"/>
  <c r="L2571" i="1"/>
  <c r="L2564" i="1"/>
  <c r="L2563" i="1"/>
  <c r="L2562" i="1"/>
  <c r="L2561" i="1"/>
  <c r="L2560" i="1"/>
  <c r="L2559" i="1"/>
  <c r="L2553" i="1"/>
  <c r="L2552" i="1"/>
  <c r="L2551" i="1"/>
  <c r="L2550" i="1"/>
  <c r="L2549" i="1"/>
  <c r="L2548" i="1"/>
  <c r="L2547" i="1"/>
  <c r="L2541" i="1"/>
  <c r="L2540" i="1"/>
  <c r="L2539" i="1"/>
  <c r="L2538" i="1"/>
  <c r="L2537" i="1"/>
  <c r="L2536" i="1"/>
  <c r="L2535" i="1"/>
  <c r="L2527" i="1"/>
  <c r="L2523" i="1"/>
  <c r="L2517" i="1"/>
  <c r="L2516" i="1"/>
  <c r="L2515" i="1"/>
  <c r="L2513" i="1"/>
  <c r="L2512" i="1"/>
  <c r="L2511" i="1"/>
  <c r="L2505" i="1"/>
  <c r="L2504" i="1"/>
  <c r="L2503" i="1"/>
  <c r="L2502" i="1"/>
  <c r="L2501" i="1"/>
  <c r="L2500" i="1"/>
  <c r="L2499" i="1"/>
  <c r="L2493" i="1"/>
  <c r="L2492" i="1"/>
  <c r="L2491" i="1"/>
  <c r="L2490" i="1"/>
  <c r="L2489" i="1"/>
  <c r="L2488" i="1"/>
  <c r="L2487" i="1"/>
  <c r="L2481" i="1"/>
  <c r="L2480" i="1"/>
  <c r="L2479" i="1"/>
  <c r="L2478" i="1"/>
  <c r="L2477" i="1"/>
  <c r="L2476" i="1"/>
  <c r="L2475" i="1"/>
  <c r="L2468" i="1"/>
  <c r="L2467" i="1"/>
  <c r="L2466" i="1"/>
  <c r="L2465" i="1"/>
  <c r="L2464" i="1"/>
  <c r="L2463" i="1"/>
  <c r="L2457" i="1"/>
  <c r="L2456" i="1"/>
  <c r="L2455" i="1"/>
  <c r="L2454" i="1"/>
  <c r="L2453" i="1"/>
  <c r="L2451" i="1"/>
  <c r="L2445" i="1"/>
  <c r="L2444" i="1"/>
  <c r="L2443" i="1"/>
  <c r="L2442" i="1"/>
  <c r="L2441" i="1"/>
  <c r="L2440" i="1"/>
  <c r="L2439" i="1"/>
  <c r="L2433" i="1"/>
  <c r="L2432" i="1"/>
  <c r="L2431" i="1"/>
  <c r="L2430" i="1"/>
  <c r="L2429" i="1"/>
  <c r="L2428" i="1"/>
  <c r="L2427" i="1"/>
  <c r="L2421" i="1"/>
  <c r="L2420" i="1"/>
  <c r="L2419" i="1"/>
  <c r="L2418" i="1"/>
  <c r="L2417" i="1"/>
  <c r="L2416" i="1"/>
  <c r="L2415" i="1"/>
  <c r="L2409" i="1"/>
  <c r="L2408" i="1"/>
  <c r="L2407" i="1"/>
  <c r="L2406" i="1"/>
  <c r="L2405" i="1"/>
  <c r="L2404" i="1"/>
  <c r="L2403" i="1"/>
  <c r="L2391" i="1"/>
  <c r="L2385" i="1"/>
  <c r="L2384" i="1"/>
  <c r="L2383" i="1"/>
  <c r="L2382" i="1"/>
  <c r="L2381" i="1"/>
  <c r="L2380" i="1"/>
  <c r="L2379" i="1"/>
  <c r="L2372" i="1"/>
  <c r="L2371" i="1"/>
  <c r="L2370" i="1"/>
  <c r="L2369" i="1"/>
  <c r="L2368" i="1"/>
  <c r="L2367" i="1"/>
  <c r="L2361" i="1"/>
  <c r="L2360" i="1"/>
  <c r="L2359" i="1"/>
  <c r="L2358" i="1"/>
  <c r="L2357" i="1"/>
  <c r="L2356" i="1"/>
  <c r="L2355" i="1"/>
  <c r="L2349" i="1"/>
  <c r="L2348" i="1"/>
  <c r="L2347" i="1"/>
  <c r="L2346" i="1"/>
  <c r="L2345" i="1"/>
  <c r="L2344" i="1"/>
  <c r="L2343" i="1"/>
  <c r="L2336" i="1"/>
  <c r="L2335" i="1"/>
  <c r="L2334" i="1"/>
  <c r="L2333" i="1"/>
  <c r="L2332" i="1"/>
  <c r="L2331" i="1"/>
  <c r="L2325" i="1"/>
  <c r="L2324" i="1"/>
  <c r="L2323" i="1"/>
  <c r="L2322" i="1"/>
  <c r="L2321" i="1"/>
  <c r="L2320" i="1"/>
  <c r="L2319" i="1"/>
  <c r="L2310" i="1"/>
  <c r="L2309" i="1"/>
  <c r="L2307" i="1"/>
  <c r="L2301" i="1"/>
  <c r="L2300" i="1"/>
  <c r="L2299" i="1"/>
  <c r="L2298" i="1"/>
  <c r="L2297" i="1"/>
  <c r="L2296" i="1"/>
  <c r="L2295" i="1"/>
  <c r="L2289" i="1"/>
  <c r="L2288" i="1"/>
  <c r="L2287" i="1"/>
  <c r="L2286" i="1"/>
  <c r="L2285" i="1"/>
  <c r="L2284" i="1"/>
  <c r="L2283" i="1"/>
  <c r="L2277" i="1"/>
  <c r="L2276" i="1"/>
  <c r="L2275" i="1"/>
  <c r="L2274" i="1"/>
  <c r="L2273" i="1"/>
  <c r="L2272" i="1"/>
  <c r="L2271" i="1"/>
  <c r="L2262" i="1"/>
  <c r="L2261" i="1"/>
  <c r="L2260" i="1"/>
  <c r="L2259" i="1"/>
  <c r="L2250" i="1"/>
  <c r="L2249" i="1"/>
  <c r="L2248" i="1"/>
  <c r="L2247" i="1"/>
  <c r="L2241" i="1"/>
  <c r="L2240" i="1"/>
  <c r="L2239" i="1"/>
  <c r="L2238" i="1"/>
  <c r="L2237" i="1"/>
  <c r="L2236" i="1"/>
  <c r="L2235" i="1"/>
  <c r="L2229" i="1"/>
  <c r="L2228" i="1"/>
  <c r="L2224" i="1"/>
  <c r="L2223" i="1"/>
  <c r="L2217" i="1"/>
  <c r="L2216" i="1"/>
  <c r="L2215" i="1"/>
  <c r="L2214" i="1"/>
  <c r="L2213" i="1"/>
  <c r="L2212" i="1"/>
  <c r="L2211" i="1"/>
  <c r="L2205" i="1"/>
  <c r="L2204" i="1"/>
  <c r="L2203" i="1"/>
  <c r="L2202" i="1"/>
  <c r="L2201" i="1"/>
  <c r="L2200" i="1"/>
  <c r="L2199" i="1"/>
  <c r="L2193" i="1"/>
  <c r="L2192" i="1"/>
  <c r="L2191" i="1"/>
  <c r="L2190" i="1"/>
  <c r="L2189" i="1"/>
  <c r="L2188" i="1"/>
  <c r="L2187" i="1"/>
  <c r="L2180" i="1"/>
  <c r="L2178" i="1"/>
  <c r="L2177" i="1"/>
  <c r="L2176" i="1"/>
  <c r="L2175" i="1"/>
  <c r="L2169" i="1"/>
  <c r="L2168" i="1"/>
  <c r="L2167" i="1"/>
  <c r="L2166" i="1"/>
  <c r="L2165" i="1"/>
  <c r="L2164" i="1"/>
  <c r="L2163" i="1"/>
  <c r="L2157" i="1"/>
  <c r="L2155" i="1"/>
  <c r="L2154" i="1"/>
  <c r="L2153" i="1"/>
  <c r="L2152" i="1"/>
  <c r="L2151" i="1"/>
  <c r="L2144" i="1"/>
  <c r="L2143" i="1"/>
  <c r="L2142" i="1"/>
  <c r="L2141" i="1"/>
  <c r="L2140" i="1"/>
  <c r="L2139" i="1"/>
  <c r="L2133" i="1"/>
  <c r="L2132" i="1"/>
  <c r="L2131" i="1"/>
  <c r="L2130" i="1"/>
  <c r="L2129" i="1"/>
  <c r="L2128" i="1"/>
  <c r="L2127" i="1"/>
  <c r="L2121" i="1"/>
  <c r="L2120" i="1"/>
  <c r="L2118" i="1"/>
  <c r="L2117" i="1"/>
  <c r="L2116" i="1"/>
  <c r="L2115" i="1"/>
  <c r="L2109" i="1"/>
  <c r="L2108" i="1"/>
  <c r="L2107" i="1"/>
  <c r="L2106" i="1"/>
  <c r="L2105" i="1"/>
  <c r="L2104" i="1"/>
  <c r="L2103" i="1"/>
  <c r="L2097" i="1"/>
  <c r="L2096" i="1"/>
  <c r="L2094" i="1"/>
  <c r="L2093" i="1"/>
  <c r="L2092" i="1"/>
  <c r="L2091" i="1"/>
  <c r="L2085" i="1"/>
  <c r="L2084" i="1"/>
  <c r="L2081" i="1"/>
  <c r="L2080" i="1"/>
  <c r="L2079" i="1"/>
  <c r="L2073" i="1"/>
  <c r="L2072" i="1"/>
  <c r="L2071" i="1"/>
  <c r="L2070" i="1"/>
  <c r="L2069" i="1"/>
  <c r="L2068" i="1"/>
  <c r="L2067" i="1"/>
  <c r="L1944" i="1"/>
  <c r="L1943" i="1"/>
  <c r="L1942" i="1"/>
  <c r="L1941" i="1"/>
  <c r="L1940" i="1"/>
  <c r="L1939" i="1"/>
  <c r="L1932" i="1"/>
  <c r="L1931" i="1"/>
  <c r="L1930" i="1"/>
  <c r="L1929" i="1"/>
  <c r="L1928" i="1"/>
  <c r="L1927" i="1"/>
  <c r="L1921" i="1"/>
  <c r="L1920" i="1"/>
  <c r="L1919" i="1"/>
  <c r="L1918" i="1"/>
  <c r="L1917" i="1"/>
  <c r="L1916" i="1"/>
  <c r="L1915" i="1"/>
  <c r="L1909" i="1"/>
  <c r="L1908" i="1"/>
  <c r="L1907" i="1"/>
  <c r="L1906" i="1"/>
  <c r="L1905" i="1"/>
  <c r="L1904" i="1"/>
  <c r="L1903" i="1"/>
  <c r="L1897" i="1"/>
  <c r="L1895" i="1"/>
  <c r="L1894" i="1"/>
  <c r="L1893" i="1"/>
  <c r="L1892" i="1"/>
  <c r="L1891" i="1"/>
  <c r="L1885" i="1"/>
  <c r="L1884" i="1"/>
  <c r="L1883" i="1"/>
  <c r="L1882" i="1"/>
  <c r="L1881" i="1"/>
  <c r="L1880" i="1"/>
  <c r="L1879" i="1"/>
  <c r="L1873" i="1"/>
  <c r="L1872" i="1"/>
  <c r="L1871" i="1"/>
  <c r="L1870" i="1"/>
  <c r="L1869" i="1"/>
  <c r="L1868" i="1"/>
  <c r="L1867" i="1"/>
  <c r="L1861" i="1"/>
  <c r="L1856" i="1"/>
  <c r="L1855" i="1"/>
  <c r="L1849" i="1"/>
  <c r="L1848" i="1"/>
  <c r="L1847" i="1"/>
  <c r="L1846" i="1"/>
  <c r="L1845" i="1"/>
  <c r="L1844" i="1"/>
  <c r="L1843" i="1"/>
  <c r="L1835" i="1"/>
  <c r="L1834" i="1"/>
  <c r="L1833" i="1"/>
  <c r="L1832" i="1"/>
  <c r="L1831" i="1"/>
  <c r="L1825" i="1"/>
  <c r="L1824" i="1"/>
  <c r="L1823" i="1"/>
  <c r="L1822" i="1"/>
  <c r="L1821" i="1"/>
  <c r="L1820" i="1"/>
  <c r="L1819" i="1"/>
  <c r="L1813" i="1"/>
  <c r="L1811" i="1"/>
  <c r="L1810" i="1"/>
  <c r="L1809" i="1"/>
  <c r="L1808" i="1"/>
  <c r="L1807" i="1"/>
  <c r="L1801" i="1"/>
  <c r="L1797" i="1"/>
  <c r="L1789" i="1"/>
  <c r="L1788" i="1"/>
  <c r="L1787" i="1"/>
  <c r="L1786" i="1"/>
  <c r="L1785" i="1"/>
  <c r="L1784" i="1"/>
  <c r="L1783" i="1"/>
  <c r="L1777" i="1"/>
  <c r="L1776" i="1"/>
  <c r="L1775" i="1"/>
  <c r="L1774" i="1"/>
  <c r="L1773" i="1"/>
  <c r="L1772" i="1"/>
  <c r="L1771" i="1"/>
  <c r="L1765" i="1"/>
  <c r="L1764" i="1"/>
  <c r="L1763" i="1"/>
  <c r="L1762" i="1"/>
  <c r="L1761" i="1"/>
  <c r="L1760" i="1"/>
  <c r="L1759" i="1"/>
  <c r="L1753" i="1"/>
  <c r="L1747" i="1"/>
  <c r="L1741" i="1"/>
  <c r="L1740" i="1"/>
  <c r="L1736" i="1"/>
  <c r="L1735" i="1"/>
  <c r="L1729" i="1"/>
  <c r="L1727" i="1"/>
  <c r="L1725" i="1"/>
  <c r="L1724" i="1"/>
  <c r="L1723" i="1"/>
  <c r="L1717" i="1"/>
  <c r="L1716" i="1"/>
  <c r="L1715" i="1"/>
  <c r="L1714" i="1"/>
  <c r="L1713" i="1"/>
  <c r="L1712" i="1"/>
  <c r="L1711" i="1"/>
  <c r="L1705" i="1"/>
  <c r="L1704" i="1"/>
  <c r="L1703" i="1"/>
  <c r="L1702" i="1"/>
  <c r="L1701" i="1"/>
  <c r="L1700" i="1"/>
  <c r="L1699" i="1"/>
  <c r="L1691" i="1"/>
  <c r="L1690" i="1"/>
  <c r="L1689" i="1"/>
  <c r="L1688" i="1"/>
  <c r="L1687" i="1"/>
  <c r="L1681" i="1"/>
  <c r="L1680" i="1"/>
  <c r="L1679" i="1"/>
  <c r="L1678" i="1"/>
  <c r="L1677" i="1"/>
  <c r="L1676" i="1"/>
  <c r="L1675" i="1"/>
  <c r="L1669" i="1"/>
  <c r="L1668" i="1"/>
  <c r="L1667" i="1"/>
  <c r="L1666" i="1"/>
  <c r="L1665" i="1"/>
  <c r="L1664" i="1"/>
  <c r="L1663" i="1"/>
  <c r="L1655" i="1"/>
  <c r="L1654" i="1"/>
  <c r="L1653" i="1"/>
  <c r="L1652" i="1"/>
  <c r="L1651" i="1"/>
  <c r="L1645" i="1"/>
  <c r="L1644" i="1"/>
  <c r="L1643" i="1"/>
  <c r="L1641" i="1"/>
  <c r="L1640" i="1"/>
  <c r="L1639" i="1"/>
  <c r="L1633" i="1"/>
  <c r="L1632" i="1"/>
  <c r="L1631" i="1"/>
  <c r="L1630" i="1"/>
  <c r="L1629" i="1"/>
  <c r="L1628" i="1"/>
  <c r="L1627" i="1"/>
  <c r="L1621" i="1"/>
  <c r="L1620" i="1"/>
  <c r="L1619" i="1"/>
  <c r="L1618" i="1"/>
  <c r="L1617" i="1"/>
  <c r="L1616" i="1"/>
  <c r="L1615" i="1"/>
  <c r="L1604" i="1"/>
  <c r="L1603" i="1"/>
  <c r="L1597" i="1"/>
  <c r="L1596" i="1"/>
  <c r="L1595" i="1"/>
  <c r="L1594" i="1"/>
  <c r="L1593" i="1"/>
  <c r="L1592" i="1"/>
  <c r="L1591" i="1"/>
  <c r="L1584" i="1"/>
  <c r="L1583" i="1"/>
  <c r="L1582" i="1"/>
  <c r="L1581" i="1"/>
  <c r="L1580" i="1"/>
  <c r="L1579" i="1"/>
  <c r="L1573" i="1"/>
  <c r="L1572" i="1"/>
  <c r="L1571" i="1"/>
  <c r="L1570" i="1"/>
  <c r="L1569" i="1"/>
  <c r="L1568" i="1"/>
  <c r="L1567" i="1"/>
  <c r="L1561" i="1"/>
  <c r="L1560" i="1"/>
  <c r="L1559" i="1"/>
  <c r="L1555" i="1"/>
  <c r="L1549" i="1"/>
  <c r="L1548" i="1"/>
  <c r="L1547" i="1"/>
  <c r="L1546" i="1"/>
  <c r="L1545" i="1"/>
  <c r="L1544" i="1"/>
  <c r="L1543" i="1"/>
  <c r="L1537" i="1"/>
  <c r="L1536" i="1"/>
  <c r="L1535" i="1"/>
  <c r="L1534" i="1"/>
  <c r="L1533" i="1"/>
  <c r="L1532" i="1"/>
  <c r="L1531" i="1"/>
  <c r="L1522" i="1"/>
  <c r="L1521" i="1"/>
  <c r="L1520" i="1"/>
  <c r="L1519" i="1"/>
  <c r="L1513" i="1"/>
  <c r="L1512" i="1"/>
  <c r="L1511" i="1"/>
  <c r="L1510" i="1"/>
  <c r="L1509" i="1"/>
  <c r="L1508" i="1"/>
  <c r="L1507" i="1"/>
  <c r="L1501" i="1"/>
  <c r="L1500" i="1"/>
  <c r="L1499" i="1"/>
  <c r="L1498" i="1"/>
  <c r="L1495" i="1"/>
  <c r="L1489" i="1"/>
  <c r="L1488" i="1"/>
  <c r="L1487" i="1"/>
  <c r="L1486" i="1"/>
  <c r="L1485" i="1"/>
  <c r="L1484" i="1"/>
  <c r="L1483" i="1"/>
  <c r="L1477" i="1"/>
  <c r="L1476" i="1"/>
  <c r="L1475" i="1"/>
  <c r="L1474" i="1"/>
  <c r="L1473" i="1"/>
  <c r="L1472" i="1"/>
  <c r="L1471" i="1"/>
  <c r="L1465" i="1"/>
  <c r="L1459" i="1"/>
  <c r="L1453" i="1"/>
  <c r="L1452" i="1"/>
  <c r="L1451" i="1"/>
  <c r="L1450" i="1"/>
  <c r="L1449" i="1"/>
  <c r="L1448" i="1"/>
  <c r="L1447" i="1"/>
  <c r="L1441" i="1"/>
  <c r="L1439" i="1"/>
  <c r="L1437" i="1"/>
  <c r="L1436" i="1"/>
  <c r="L1435" i="1"/>
  <c r="L1428" i="1"/>
  <c r="L1427" i="1"/>
  <c r="L1425" i="1"/>
  <c r="L1424" i="1"/>
  <c r="L1423" i="1"/>
  <c r="L1417" i="1"/>
  <c r="L1416" i="1"/>
  <c r="L1415" i="1"/>
  <c r="L1414" i="1"/>
  <c r="L1413" i="1"/>
  <c r="L1412" i="1"/>
  <c r="L1411" i="1"/>
  <c r="L1405" i="1"/>
  <c r="L1402" i="1"/>
  <c r="L1401" i="1"/>
  <c r="L1400" i="1"/>
  <c r="L1399" i="1"/>
  <c r="L1393" i="1"/>
  <c r="L1392" i="1"/>
  <c r="L1391" i="1"/>
  <c r="L1390" i="1"/>
  <c r="L1389" i="1"/>
  <c r="L1388" i="1"/>
  <c r="L1387" i="1"/>
  <c r="L1381" i="1"/>
  <c r="L1379" i="1"/>
  <c r="L1378" i="1"/>
  <c r="L1377" i="1"/>
  <c r="L1376" i="1"/>
  <c r="L1375" i="1"/>
  <c r="L1369" i="1"/>
  <c r="L1368" i="1"/>
  <c r="L1365" i="1"/>
  <c r="L1364" i="1"/>
  <c r="L1363" i="1"/>
  <c r="L1357" i="1"/>
  <c r="L1356" i="1"/>
  <c r="L1355" i="1"/>
  <c r="L1353" i="1"/>
  <c r="L1351" i="1"/>
  <c r="L1345" i="1"/>
  <c r="L1344" i="1"/>
  <c r="L1343" i="1"/>
  <c r="L1342" i="1"/>
  <c r="L1341" i="1"/>
  <c r="L1340" i="1"/>
  <c r="L1339" i="1"/>
  <c r="L1333" i="1"/>
  <c r="L1332" i="1"/>
  <c r="L1331" i="1"/>
  <c r="L1330" i="1"/>
  <c r="L1329" i="1"/>
  <c r="L1328" i="1"/>
  <c r="L1327" i="1"/>
  <c r="L1315" i="1"/>
  <c r="L1309" i="1"/>
  <c r="L1308" i="1"/>
  <c r="L1307" i="1"/>
  <c r="L1306" i="1"/>
  <c r="L1305" i="1"/>
  <c r="L1304" i="1"/>
  <c r="L1303" i="1"/>
  <c r="L1296" i="1"/>
  <c r="L1295" i="1"/>
  <c r="L1294" i="1"/>
  <c r="L1293" i="1"/>
  <c r="L1292" i="1"/>
  <c r="L1291" i="1"/>
  <c r="L1285" i="1"/>
  <c r="L1284" i="1"/>
  <c r="L1283" i="1"/>
  <c r="L1282" i="1"/>
  <c r="L1281" i="1"/>
  <c r="L1280" i="1"/>
  <c r="L1279" i="1"/>
  <c r="L1273" i="1"/>
  <c r="L1272" i="1"/>
  <c r="L1271" i="1"/>
  <c r="L1270" i="1"/>
  <c r="L1269" i="1"/>
  <c r="L1268" i="1"/>
  <c r="L1267" i="1"/>
  <c r="L1260" i="1"/>
  <c r="L1257" i="1"/>
  <c r="L1256" i="1"/>
  <c r="L1255" i="1"/>
  <c r="L1248" i="1"/>
  <c r="L1247" i="1"/>
  <c r="L1246" i="1"/>
  <c r="L1245" i="1"/>
  <c r="L1244" i="1"/>
  <c r="L1243" i="1"/>
  <c r="L1237" i="1"/>
  <c r="L1236" i="1"/>
  <c r="L1235" i="1"/>
  <c r="L1234" i="1"/>
  <c r="L1233" i="1"/>
  <c r="L1232" i="1"/>
  <c r="L1231" i="1"/>
  <c r="L1224" i="1"/>
  <c r="L1219" i="1"/>
  <c r="L1213" i="1"/>
  <c r="L1212" i="1"/>
  <c r="L1211" i="1"/>
  <c r="L1210" i="1"/>
  <c r="L1209" i="1"/>
  <c r="L1208" i="1"/>
  <c r="L1207" i="1"/>
  <c r="L1201" i="1"/>
  <c r="L1200" i="1"/>
  <c r="L1195" i="1"/>
  <c r="L1194" i="1"/>
  <c r="L1193" i="1"/>
  <c r="L1192" i="1"/>
  <c r="L1186" i="1"/>
  <c r="L1185" i="1"/>
  <c r="L1184" i="1"/>
  <c r="L1183" i="1"/>
  <c r="L1182" i="1"/>
  <c r="L1181" i="1"/>
  <c r="L1180" i="1"/>
  <c r="L1174" i="1"/>
  <c r="L1173" i="1"/>
  <c r="L1172" i="1"/>
  <c r="L1171" i="1"/>
  <c r="L1170" i="1"/>
  <c r="L1169" i="1"/>
  <c r="L1168" i="1"/>
  <c r="L1162" i="1"/>
  <c r="L1161" i="1"/>
  <c r="L1160" i="1"/>
  <c r="L1159" i="1"/>
  <c r="L1158" i="1"/>
  <c r="L1157" i="1"/>
  <c r="L1156" i="1"/>
  <c r="L1148" i="1"/>
  <c r="L1147" i="1"/>
  <c r="L1146" i="1"/>
  <c r="L1145" i="1"/>
  <c r="L1144" i="1"/>
  <c r="L1031" i="1"/>
  <c r="L1030" i="1"/>
  <c r="L1029" i="1"/>
  <c r="L1027" i="1"/>
  <c r="L1021" i="1"/>
  <c r="L1020" i="1"/>
  <c r="L1019" i="1"/>
  <c r="L1018" i="1"/>
  <c r="L1017" i="1"/>
  <c r="L1012" i="1"/>
  <c r="L1010" i="1"/>
  <c r="L1009" i="1"/>
  <c r="L1008" i="1"/>
  <c r="L1007" i="1"/>
  <c r="L1002" i="1"/>
  <c r="L1001" i="1"/>
  <c r="L1000" i="1"/>
  <c r="L999" i="1"/>
  <c r="L998" i="1"/>
  <c r="L992" i="1"/>
  <c r="L991" i="1"/>
  <c r="L990" i="1"/>
  <c r="L988" i="1"/>
  <c r="L987" i="1"/>
  <c r="L982" i="1"/>
  <c r="L981" i="1"/>
  <c r="L980" i="1"/>
  <c r="L979" i="1"/>
  <c r="L978" i="1"/>
  <c r="L977" i="1"/>
  <c r="L970" i="1"/>
  <c r="L969" i="1"/>
  <c r="L968" i="1"/>
  <c r="L967" i="1"/>
  <c r="L958" i="1"/>
  <c r="L957" i="1"/>
  <c r="L955" i="1"/>
  <c r="L950" i="1"/>
  <c r="L947" i="1"/>
  <c r="L946" i="1"/>
  <c r="L945" i="1"/>
  <c r="L914" i="1"/>
  <c r="L912" i="1"/>
  <c r="L911" i="1"/>
  <c r="L910" i="1"/>
  <c r="L909" i="1"/>
  <c r="L908" i="1"/>
  <c r="L901" i="1"/>
  <c r="L900" i="1"/>
  <c r="L899" i="1"/>
  <c r="L898" i="1"/>
  <c r="L897" i="1"/>
  <c r="L896" i="1"/>
  <c r="L890" i="1"/>
  <c r="L889" i="1"/>
  <c r="L887" i="1"/>
  <c r="L886" i="1"/>
  <c r="L885" i="1"/>
  <c r="L884" i="1"/>
  <c r="L877" i="1"/>
  <c r="L876" i="1"/>
  <c r="L874" i="1"/>
  <c r="L873" i="1"/>
  <c r="L872" i="1"/>
  <c r="L865" i="1"/>
  <c r="L864" i="1"/>
  <c r="L863" i="1"/>
  <c r="L862" i="1"/>
  <c r="L861" i="1"/>
  <c r="L860" i="1"/>
  <c r="L852" i="1"/>
  <c r="L851" i="1"/>
  <c r="L850" i="1"/>
  <c r="L849" i="1"/>
  <c r="L848" i="1"/>
  <c r="L841" i="1"/>
  <c r="L840" i="1"/>
  <c r="L839" i="1"/>
  <c r="L838" i="1"/>
  <c r="L837" i="1"/>
  <c r="L836" i="1"/>
  <c r="L830" i="1"/>
  <c r="L829" i="1"/>
  <c r="L828" i="1"/>
  <c r="L827" i="1"/>
  <c r="L826" i="1"/>
  <c r="L825" i="1"/>
  <c r="L824" i="1"/>
  <c r="L817" i="1"/>
  <c r="L816" i="1"/>
  <c r="L815" i="1"/>
  <c r="L814" i="1"/>
  <c r="L813" i="1"/>
  <c r="L812" i="1"/>
  <c r="L804" i="1"/>
  <c r="L803" i="1"/>
  <c r="L801" i="1"/>
  <c r="L800" i="1"/>
  <c r="L794" i="1"/>
  <c r="L793" i="1"/>
  <c r="L791" i="1"/>
  <c r="L790" i="1"/>
  <c r="L789" i="1"/>
  <c r="L788" i="1"/>
  <c r="L782" i="1"/>
  <c r="L781" i="1"/>
  <c r="L780" i="1"/>
  <c r="L779" i="1"/>
  <c r="L778" i="1"/>
  <c r="L777" i="1"/>
  <c r="L776" i="1"/>
  <c r="L769" i="1"/>
  <c r="L768" i="1"/>
  <c r="L767" i="1"/>
  <c r="L766" i="1"/>
  <c r="L765" i="1"/>
  <c r="L764" i="1"/>
  <c r="L755" i="1"/>
  <c r="L754" i="1"/>
  <c r="L753" i="1"/>
  <c r="L752" i="1"/>
  <c r="L746" i="1"/>
  <c r="L745" i="1"/>
  <c r="L744" i="1"/>
  <c r="L743" i="1"/>
  <c r="L742" i="1"/>
  <c r="L741" i="1"/>
  <c r="L740" i="1"/>
  <c r="L728" i="1"/>
  <c r="L695" i="1"/>
  <c r="L694" i="1"/>
  <c r="L693" i="1"/>
  <c r="L691" i="1"/>
  <c r="L690" i="1"/>
  <c r="L683" i="1"/>
  <c r="L682" i="1"/>
  <c r="L681" i="1"/>
  <c r="L680" i="1"/>
  <c r="L679" i="1"/>
  <c r="L678" i="1"/>
  <c r="L677" i="1"/>
  <c r="L671" i="1"/>
  <c r="L670" i="1"/>
  <c r="L669" i="1"/>
  <c r="L668" i="1"/>
  <c r="L667" i="1"/>
  <c r="L666" i="1"/>
  <c r="L665" i="1"/>
  <c r="L659" i="1"/>
  <c r="L658" i="1"/>
  <c r="L656" i="1"/>
  <c r="L655" i="1"/>
  <c r="L654" i="1"/>
  <c r="L653" i="1"/>
  <c r="L645" i="1"/>
  <c r="L644" i="1"/>
  <c r="L643" i="1"/>
  <c r="L642" i="1"/>
  <c r="L641" i="1"/>
  <c r="L635" i="1"/>
  <c r="L634" i="1"/>
  <c r="L633" i="1"/>
  <c r="L632" i="1"/>
  <c r="L631" i="1"/>
  <c r="L630" i="1"/>
  <c r="L629" i="1"/>
  <c r="L619" i="1"/>
  <c r="L618" i="1"/>
  <c r="L617" i="1"/>
  <c r="L611" i="1"/>
  <c r="L610" i="1"/>
  <c r="L609" i="1"/>
  <c r="L608" i="1"/>
  <c r="L607" i="1"/>
  <c r="L606" i="1"/>
  <c r="L605" i="1"/>
  <c r="L596" i="1"/>
  <c r="L595" i="1"/>
  <c r="L594" i="1"/>
  <c r="L593" i="1"/>
  <c r="L592" i="1"/>
  <c r="L586" i="1"/>
  <c r="L585" i="1"/>
  <c r="L541" i="1"/>
  <c r="L539" i="1"/>
  <c r="L531" i="1"/>
  <c r="L530" i="1"/>
  <c r="L529" i="1"/>
  <c r="L528" i="1"/>
  <c r="L527" i="1"/>
  <c r="L521" i="1"/>
  <c r="L520" i="1"/>
  <c r="L519" i="1"/>
  <c r="L518" i="1"/>
  <c r="L517" i="1"/>
  <c r="L516" i="1"/>
  <c r="L515" i="1"/>
  <c r="L506" i="1"/>
  <c r="L505" i="1"/>
  <c r="L503" i="1"/>
  <c r="L497" i="1"/>
  <c r="L496" i="1"/>
  <c r="L495" i="1"/>
  <c r="L494" i="1"/>
  <c r="L493" i="1"/>
  <c r="L492" i="1"/>
  <c r="L491" i="1"/>
  <c r="L484" i="1"/>
  <c r="L478" i="1"/>
  <c r="L472" i="1"/>
  <c r="L471" i="1"/>
  <c r="L470" i="1"/>
  <c r="L469" i="1"/>
  <c r="L468" i="1"/>
  <c r="L467" i="1"/>
  <c r="L466" i="1"/>
  <c r="L460" i="1"/>
  <c r="L459" i="1"/>
  <c r="L458" i="1"/>
  <c r="L457" i="1"/>
  <c r="L456" i="1"/>
  <c r="L455" i="1"/>
  <c r="L454" i="1"/>
  <c r="L446" i="1"/>
  <c r="L445" i="1"/>
  <c r="L443" i="1"/>
  <c r="L442" i="1"/>
  <c r="L436" i="1"/>
  <c r="L435" i="1"/>
  <c r="L433" i="1"/>
  <c r="L432" i="1"/>
  <c r="L431" i="1"/>
  <c r="L430" i="1"/>
  <c r="L423" i="1"/>
  <c r="L422" i="1"/>
  <c r="L421" i="1"/>
  <c r="L420" i="1"/>
  <c r="L419" i="1"/>
  <c r="L418" i="1"/>
  <c r="L411" i="1"/>
  <c r="L410" i="1"/>
  <c r="L408" i="1"/>
  <c r="L407" i="1"/>
  <c r="L406" i="1"/>
  <c r="L405" i="1"/>
  <c r="L399" i="1"/>
  <c r="L398" i="1"/>
  <c r="L397" i="1"/>
  <c r="L395" i="1"/>
  <c r="L394" i="1"/>
  <c r="L390" i="1"/>
  <c r="L384" i="1"/>
  <c r="L383" i="1"/>
  <c r="L382" i="1"/>
  <c r="L381" i="1"/>
  <c r="L380" i="1"/>
  <c r="L379" i="1"/>
  <c r="L378" i="1"/>
  <c r="L366" i="1"/>
  <c r="L360" i="1"/>
  <c r="L359" i="1"/>
  <c r="L358" i="1"/>
  <c r="L357" i="1"/>
  <c r="L355" i="1"/>
  <c r="L354" i="1"/>
  <c r="L347" i="1"/>
  <c r="L346" i="1"/>
  <c r="L345" i="1"/>
  <c r="L344" i="1"/>
  <c r="L343" i="1"/>
  <c r="L342" i="1"/>
  <c r="L334" i="1"/>
  <c r="L333" i="1"/>
  <c r="L332" i="1"/>
  <c r="L331" i="1"/>
  <c r="L330" i="1"/>
  <c r="L321" i="1"/>
  <c r="L320" i="1"/>
  <c r="L319" i="1"/>
  <c r="L318" i="1"/>
  <c r="L312" i="1"/>
  <c r="L311" i="1"/>
  <c r="L291" i="1"/>
  <c r="L281" i="1"/>
  <c r="L280" i="1"/>
  <c r="L279" i="1"/>
  <c r="L278" i="1"/>
  <c r="L277" i="1"/>
  <c r="L265" i="1"/>
  <c r="L258" i="1"/>
  <c r="L257" i="1"/>
  <c r="L256" i="1"/>
  <c r="L255" i="1"/>
  <c r="L254" i="1"/>
  <c r="L253" i="1"/>
  <c r="L245" i="1"/>
  <c r="L244" i="1"/>
  <c r="L243" i="1"/>
  <c r="L242" i="1"/>
  <c r="L241" i="1"/>
  <c r="L235" i="1"/>
  <c r="L232" i="1"/>
  <c r="L231" i="1"/>
  <c r="L230" i="1"/>
  <c r="L229" i="1"/>
  <c r="L222" i="1"/>
  <c r="L221" i="1"/>
  <c r="L220" i="1"/>
  <c r="L219" i="1"/>
  <c r="L218" i="1"/>
  <c r="L217" i="1"/>
  <c r="L211" i="1"/>
  <c r="L207" i="1"/>
  <c r="L206" i="1"/>
  <c r="L205" i="1"/>
  <c r="L198" i="1"/>
  <c r="L197" i="1"/>
  <c r="L196" i="1"/>
  <c r="L195" i="1"/>
  <c r="L194" i="1"/>
  <c r="L193" i="1"/>
  <c r="L184" i="1"/>
  <c r="L183" i="1"/>
  <c r="L181" i="1"/>
  <c r="L174" i="1"/>
  <c r="L173" i="1"/>
  <c r="L172" i="1"/>
  <c r="L171" i="1"/>
  <c r="L170" i="1"/>
  <c r="L169" i="1"/>
  <c r="L163" i="1"/>
  <c r="L162" i="1"/>
  <c r="L161" i="1"/>
  <c r="L160" i="1"/>
  <c r="L159" i="1"/>
  <c r="L158" i="1"/>
  <c r="L157" i="1"/>
  <c r="L146" i="1"/>
  <c r="L145" i="1"/>
  <c r="L139" i="1"/>
  <c r="L138" i="1"/>
  <c r="L137" i="1"/>
  <c r="L136" i="1"/>
  <c r="L135" i="1"/>
  <c r="L134" i="1"/>
  <c r="L133" i="1"/>
  <c r="L126" i="1"/>
  <c r="L124" i="1"/>
  <c r="L123" i="1"/>
  <c r="L122" i="1"/>
  <c r="L121" i="1"/>
  <c r="L112" i="1"/>
  <c r="L111" i="1"/>
  <c r="L110" i="1"/>
  <c r="L109" i="1"/>
  <c r="L103" i="1"/>
  <c r="L102" i="1"/>
  <c r="L101" i="1"/>
  <c r="L100" i="1"/>
  <c r="L99" i="1"/>
  <c r="L98" i="1"/>
  <c r="L97" i="1"/>
  <c r="L86" i="1"/>
  <c r="L85" i="1"/>
  <c r="L79" i="1"/>
  <c r="L78" i="1"/>
  <c r="L77" i="1"/>
  <c r="L76" i="1"/>
  <c r="L75" i="1"/>
  <c r="L74" i="1"/>
  <c r="L73" i="1"/>
  <c r="L61" i="1"/>
  <c r="L55" i="1"/>
  <c r="L54" i="1"/>
  <c r="L53" i="1"/>
  <c r="L52" i="1"/>
  <c r="L51" i="1"/>
  <c r="L50" i="1"/>
  <c r="L49" i="1"/>
  <c r="L44" i="1"/>
  <c r="L43" i="1"/>
  <c r="L42" i="1"/>
  <c r="L41" i="1"/>
  <c r="L40" i="1"/>
  <c r="L39" i="1"/>
  <c r="L33" i="1"/>
  <c r="L32" i="1"/>
  <c r="L31" i="1"/>
  <c r="L30" i="1"/>
  <c r="L29" i="1"/>
  <c r="L28" i="1"/>
  <c r="L27" i="1"/>
  <c r="L21" i="1"/>
  <c r="L19" i="1"/>
  <c r="L15" i="1"/>
  <c r="L9" i="1"/>
  <c r="L8" i="1"/>
  <c r="L7" i="1"/>
  <c r="L6" i="1"/>
  <c r="L5" i="1"/>
  <c r="L4" i="1"/>
  <c r="L3" i="1"/>
  <c r="L5540" i="1"/>
  <c r="L5528" i="1"/>
  <c r="L5516" i="1"/>
  <c r="L5504" i="1"/>
  <c r="L5501" i="1"/>
  <c r="L5492" i="1"/>
  <c r="L5480" i="1"/>
  <c r="L5468" i="1"/>
  <c r="L5348" i="1"/>
  <c r="L5287" i="1"/>
  <c r="L5262" i="1"/>
  <c r="L5238" i="1"/>
  <c r="L4460" i="1"/>
  <c r="L4459" i="1"/>
  <c r="L4458" i="1"/>
  <c r="L4427" i="1"/>
  <c r="L4426" i="1"/>
  <c r="L4378" i="1"/>
  <c r="L4351" i="1"/>
  <c r="L4235" i="1"/>
  <c r="L4154" i="1"/>
  <c r="L4151" i="1"/>
  <c r="L4061" i="1"/>
  <c r="L4060" i="1"/>
  <c r="L4049" i="1"/>
  <c r="L4034" i="1"/>
  <c r="L3923" i="1"/>
  <c r="L3922" i="1"/>
  <c r="L3854" i="1"/>
  <c r="L3802" i="1"/>
  <c r="L3738" i="1"/>
  <c r="L3726" i="1"/>
  <c r="L3722" i="1"/>
  <c r="L3626" i="1"/>
  <c r="L3625" i="1"/>
  <c r="L3573" i="1"/>
  <c r="L3570" i="1"/>
  <c r="L3569" i="1"/>
  <c r="L3567" i="1"/>
  <c r="L3475" i="1"/>
  <c r="L3428" i="1"/>
  <c r="L3425" i="1"/>
  <c r="L3403" i="1"/>
  <c r="L3321" i="1"/>
  <c r="L3320" i="1"/>
  <c r="L3293" i="1"/>
  <c r="L3213" i="1"/>
  <c r="L3210" i="1"/>
  <c r="L3201" i="1"/>
  <c r="L3103" i="1"/>
  <c r="L3102" i="1"/>
  <c r="L3101" i="1"/>
  <c r="L3100" i="1"/>
  <c r="L3021" i="1"/>
  <c r="L2983" i="1"/>
  <c r="L2925" i="1"/>
  <c r="L2912" i="1"/>
  <c r="L2911" i="1"/>
  <c r="L2910" i="1"/>
  <c r="L2829" i="1"/>
  <c r="L2828" i="1"/>
  <c r="L2827" i="1"/>
  <c r="L2753" i="1"/>
  <c r="L2752" i="1"/>
  <c r="L2697" i="1"/>
  <c r="L2668" i="1"/>
  <c r="L2613" i="1"/>
  <c r="L2610" i="1"/>
  <c r="L2609" i="1"/>
  <c r="L2598" i="1"/>
  <c r="L2597" i="1"/>
  <c r="L2529" i="1"/>
  <c r="L2514" i="1"/>
  <c r="L2469" i="1"/>
  <c r="L2452" i="1"/>
  <c r="L2397" i="1"/>
  <c r="L2396" i="1"/>
  <c r="L2395" i="1"/>
  <c r="L2394" i="1"/>
  <c r="L2393" i="1"/>
  <c r="L2392" i="1"/>
  <c r="L2313" i="1"/>
  <c r="L2312" i="1"/>
  <c r="L2311" i="1"/>
  <c r="L2308" i="1"/>
  <c r="L2265" i="1"/>
  <c r="L2253" i="1"/>
  <c r="L2252" i="1"/>
  <c r="L2251" i="1"/>
  <c r="L2227" i="1"/>
  <c r="L2226" i="1"/>
  <c r="L2225" i="1"/>
  <c r="L2181" i="1"/>
  <c r="L2145" i="1"/>
  <c r="L2083" i="1"/>
  <c r="L2082" i="1"/>
  <c r="L1933" i="1"/>
  <c r="L1896" i="1"/>
  <c r="L1860" i="1"/>
  <c r="L1859" i="1"/>
  <c r="L1858" i="1"/>
  <c r="L1857" i="1"/>
  <c r="L1837" i="1"/>
  <c r="L1800" i="1"/>
  <c r="L1799" i="1"/>
  <c r="L1796" i="1"/>
  <c r="L1795" i="1"/>
  <c r="L1751" i="1"/>
  <c r="L1750" i="1"/>
  <c r="L1749" i="1"/>
  <c r="L1748" i="1"/>
  <c r="L1693" i="1"/>
  <c r="L1692" i="1"/>
  <c r="L1657" i="1"/>
  <c r="L1656" i="1"/>
  <c r="L1642" i="1"/>
  <c r="L1609" i="1"/>
  <c r="L1607" i="1"/>
  <c r="L1606" i="1"/>
  <c r="L1605" i="1"/>
  <c r="L1558" i="1"/>
  <c r="L1557" i="1"/>
  <c r="L1556" i="1"/>
  <c r="L1524" i="1"/>
  <c r="L1523" i="1"/>
  <c r="L1497" i="1"/>
  <c r="L1496" i="1"/>
  <c r="L1464" i="1"/>
  <c r="L1463" i="1"/>
  <c r="L1462" i="1"/>
  <c r="L1461" i="1"/>
  <c r="L1460" i="1"/>
  <c r="L1429" i="1"/>
  <c r="L1404" i="1"/>
  <c r="L1403" i="1"/>
  <c r="L1367" i="1"/>
  <c r="L1366" i="1"/>
  <c r="L1354" i="1"/>
  <c r="L1352" i="1"/>
  <c r="L1321" i="1"/>
  <c r="L1320" i="1"/>
  <c r="L1319" i="1"/>
  <c r="L1318" i="1"/>
  <c r="L1317" i="1"/>
  <c r="L1316" i="1"/>
  <c r="L1261" i="1"/>
  <c r="L1259" i="1"/>
  <c r="L1258" i="1"/>
  <c r="L1225" i="1"/>
  <c r="L1196" i="1"/>
  <c r="L1149" i="1"/>
  <c r="L1028" i="1"/>
  <c r="L989" i="1"/>
  <c r="L971" i="1"/>
  <c r="L961" i="1"/>
  <c r="L960" i="1"/>
  <c r="L959" i="1"/>
  <c r="L956" i="1"/>
  <c r="L888" i="1"/>
  <c r="L853" i="1"/>
  <c r="L842" i="1"/>
  <c r="L806" i="1"/>
  <c r="L805" i="1"/>
  <c r="L802" i="1"/>
  <c r="L770" i="1"/>
  <c r="L758" i="1"/>
  <c r="L757" i="1"/>
  <c r="L756" i="1"/>
  <c r="L734" i="1"/>
  <c r="L733" i="1"/>
  <c r="L732" i="1"/>
  <c r="L731" i="1"/>
  <c r="L730" i="1"/>
  <c r="L729" i="1"/>
  <c r="L692" i="1"/>
  <c r="L657" i="1"/>
  <c r="L647" i="1"/>
  <c r="L646" i="1"/>
  <c r="L622" i="1"/>
  <c r="L621" i="1"/>
  <c r="L620" i="1"/>
  <c r="L543" i="1"/>
  <c r="L542" i="1"/>
  <c r="L540" i="1"/>
  <c r="L509" i="1"/>
  <c r="L508" i="1"/>
  <c r="L507" i="1"/>
  <c r="L504" i="1"/>
  <c r="L485" i="1"/>
  <c r="L482" i="1"/>
  <c r="L480" i="1"/>
  <c r="L479" i="1"/>
  <c r="L448" i="1"/>
  <c r="L447" i="1"/>
  <c r="L444" i="1"/>
  <c r="L396" i="1"/>
  <c r="L371" i="1"/>
  <c r="L370" i="1"/>
  <c r="L369" i="1"/>
  <c r="L368" i="1"/>
  <c r="L367" i="1"/>
  <c r="L356" i="1"/>
  <c r="L336" i="1"/>
  <c r="L335" i="1"/>
  <c r="L325" i="1"/>
  <c r="L324" i="1"/>
  <c r="L323" i="1"/>
  <c r="L322" i="1"/>
  <c r="L299" i="1"/>
  <c r="L298" i="1"/>
  <c r="L297" i="1"/>
  <c r="L296" i="1"/>
  <c r="L295" i="1"/>
  <c r="L293" i="1"/>
  <c r="L272" i="1"/>
  <c r="L271" i="1"/>
  <c r="L270" i="1"/>
  <c r="L269" i="1"/>
  <c r="L268" i="1"/>
  <c r="L267" i="1"/>
  <c r="L266" i="1"/>
  <c r="L248" i="1"/>
  <c r="L247" i="1"/>
  <c r="L234" i="1"/>
  <c r="L233" i="1"/>
  <c r="L224" i="1"/>
  <c r="L210" i="1"/>
  <c r="L209" i="1"/>
  <c r="L208" i="1"/>
  <c r="L200" i="1"/>
  <c r="L187" i="1"/>
  <c r="L186" i="1"/>
  <c r="L185" i="1"/>
  <c r="L182" i="1"/>
  <c r="L150" i="1"/>
  <c r="L149" i="1"/>
  <c r="L148" i="1"/>
  <c r="L147" i="1"/>
  <c r="L116" i="1"/>
  <c r="L115" i="1"/>
  <c r="L114" i="1"/>
  <c r="L113" i="1"/>
  <c r="L92" i="1"/>
  <c r="L91" i="1"/>
  <c r="L90" i="1"/>
  <c r="L87" i="1"/>
  <c r="L68" i="1"/>
  <c r="L67" i="1"/>
  <c r="L66" i="1"/>
  <c r="L65" i="1"/>
  <c r="L62" i="1"/>
  <c r="L18" i="1"/>
  <c r="L17" i="1"/>
  <c r="L16" i="1"/>
  <c r="L5456" i="1"/>
  <c r="L5384" i="1"/>
  <c r="L5372" i="1"/>
  <c r="L5357" i="1"/>
  <c r="L5355" i="1"/>
  <c r="L4632" i="1"/>
  <c r="L4600" i="1"/>
  <c r="L4593" i="1"/>
  <c r="L4366" i="1"/>
  <c r="L4283" i="1"/>
  <c r="L4274" i="1"/>
  <c r="L4253" i="1"/>
  <c r="L4084" i="1"/>
  <c r="L4002" i="1"/>
  <c r="L4000" i="1"/>
  <c r="L3999" i="1"/>
  <c r="L3877" i="1"/>
  <c r="L3725" i="1"/>
  <c r="L3650" i="1"/>
  <c r="L3559" i="1"/>
  <c r="L3558" i="1"/>
  <c r="L3533" i="1"/>
  <c r="L3465" i="1"/>
  <c r="L3260" i="1"/>
  <c r="L3177" i="1"/>
  <c r="L3164" i="1"/>
  <c r="L2997" i="1"/>
  <c r="L2984" i="1"/>
  <c r="L2948" i="1"/>
  <c r="L2945" i="1"/>
  <c r="L2901" i="1"/>
  <c r="L2900" i="1"/>
  <c r="L2528" i="1"/>
  <c r="L2526" i="1"/>
  <c r="L2525" i="1"/>
  <c r="L2524" i="1"/>
  <c r="L2264" i="1"/>
  <c r="L2263" i="1"/>
  <c r="L2179" i="1"/>
  <c r="L2119" i="1"/>
  <c r="L2095" i="1"/>
  <c r="L1836" i="1"/>
  <c r="L1812" i="1"/>
  <c r="L1739" i="1"/>
  <c r="L1738" i="1"/>
  <c r="L1737" i="1"/>
  <c r="L1440" i="1"/>
  <c r="L1438" i="1"/>
  <c r="L1426" i="1"/>
  <c r="L1380" i="1"/>
  <c r="L1249" i="1"/>
  <c r="L1223" i="1"/>
  <c r="L1222" i="1"/>
  <c r="L1221" i="1"/>
  <c r="L1220" i="1"/>
  <c r="L1011" i="1"/>
  <c r="L949" i="1"/>
  <c r="L948" i="1"/>
  <c r="L913" i="1"/>
  <c r="L533" i="1"/>
  <c r="L532" i="1"/>
  <c r="L481" i="1"/>
  <c r="L434" i="1"/>
  <c r="L294" i="1"/>
  <c r="L282" i="1"/>
  <c r="L246" i="1"/>
  <c r="L125" i="1"/>
  <c r="L89" i="1"/>
  <c r="L88" i="1"/>
  <c r="L64" i="1"/>
  <c r="L63" i="1"/>
  <c r="L720" i="1"/>
  <c r="L712" i="1"/>
  <c r="L5519" i="1"/>
  <c r="L5518" i="1"/>
  <c r="L5507" i="1"/>
  <c r="L5495" i="1"/>
  <c r="L5482" i="1"/>
  <c r="L5470" i="1"/>
  <c r="L5446" i="1"/>
  <c r="L5423" i="1"/>
  <c r="L5398" i="1"/>
  <c r="L5362" i="1"/>
  <c r="L5339" i="1"/>
  <c r="L5290" i="1"/>
  <c r="L5279" i="1"/>
  <c r="L5278" i="1"/>
  <c r="L5267" i="1"/>
  <c r="L5266" i="1"/>
  <c r="L5255" i="1"/>
  <c r="L5230" i="1"/>
  <c r="L4738" i="1"/>
  <c r="L4723" i="1"/>
  <c r="L4656" i="1"/>
  <c r="L4648" i="1"/>
  <c r="L4647" i="1"/>
  <c r="L4636" i="1"/>
  <c r="L4612" i="1"/>
  <c r="L4608" i="1"/>
  <c r="L4595" i="1"/>
  <c r="L4592" i="1"/>
  <c r="L4581" i="1"/>
  <c r="L4580" i="1"/>
  <c r="L4522" i="1"/>
  <c r="L4499" i="1"/>
  <c r="L4487" i="1"/>
  <c r="L4472" i="1"/>
  <c r="L4453" i="1"/>
  <c r="L4441" i="1"/>
  <c r="L4421" i="1"/>
  <c r="L4405" i="1"/>
  <c r="L4390" i="1"/>
  <c r="L4388" i="1"/>
  <c r="L4369" i="1"/>
  <c r="L4345" i="1"/>
  <c r="L4333" i="1"/>
  <c r="L4310" i="1"/>
  <c r="L4298" i="1"/>
  <c r="L4277" i="1"/>
  <c r="L4269" i="1"/>
  <c r="L4257" i="1"/>
  <c r="L4243" i="1"/>
  <c r="L4234" i="1"/>
  <c r="L4217" i="1"/>
  <c r="L4194" i="1"/>
  <c r="L4169" i="1"/>
  <c r="L4150" i="1"/>
  <c r="L4099" i="1"/>
  <c r="L4073" i="1"/>
  <c r="L4071" i="1"/>
  <c r="L4063" i="1"/>
  <c r="L4052" i="1"/>
  <c r="L4028" i="1"/>
  <c r="L3993" i="1"/>
  <c r="L3917" i="1"/>
  <c r="L3904" i="1"/>
  <c r="L3846" i="1"/>
  <c r="L3834" i="1"/>
  <c r="L3831" i="1"/>
  <c r="L3810" i="1"/>
  <c r="L3798" i="1"/>
  <c r="L3729" i="1"/>
  <c r="L3577" i="1"/>
  <c r="L3549" i="1"/>
  <c r="L3540" i="1"/>
  <c r="L3384" i="1"/>
  <c r="L3105" i="1"/>
  <c r="L3033" i="1"/>
  <c r="L2958" i="1"/>
  <c r="L2831" i="1"/>
  <c r="L2819" i="1"/>
  <c r="L2795" i="1"/>
  <c r="L2759" i="1"/>
  <c r="L2747" i="1"/>
  <c r="L2735" i="1"/>
  <c r="L2723" i="1"/>
  <c r="L2639" i="1"/>
  <c r="L2615" i="1"/>
  <c r="L2567" i="1"/>
  <c r="L2565" i="1"/>
  <c r="L2543" i="1"/>
  <c r="L2519" i="1"/>
  <c r="L2471" i="1"/>
  <c r="L2435" i="1"/>
  <c r="L2399" i="1"/>
  <c r="L2375" i="1"/>
  <c r="L2373" i="1"/>
  <c r="L2351" i="1"/>
  <c r="L2337" i="1"/>
  <c r="L2327" i="1"/>
  <c r="L2303" i="1"/>
  <c r="L2279" i="1"/>
  <c r="L2255" i="1"/>
  <c r="L2231" i="1"/>
  <c r="L2207" i="1"/>
  <c r="L2195" i="1"/>
  <c r="L2171" i="1"/>
  <c r="L2156" i="1"/>
  <c r="L2087" i="1"/>
  <c r="L2075" i="1"/>
  <c r="L2063" i="1"/>
  <c r="L1945" i="1"/>
  <c r="L1911" i="1"/>
  <c r="L1899" i="1"/>
  <c r="L1863" i="1"/>
  <c r="L1851" i="1"/>
  <c r="L1839" i="1"/>
  <c r="L1827" i="1"/>
  <c r="L1815" i="1"/>
  <c r="L1779" i="1"/>
  <c r="L1767" i="1"/>
  <c r="L1752" i="1"/>
  <c r="L1743" i="1"/>
  <c r="L1728" i="1"/>
  <c r="L1726" i="1"/>
  <c r="L1719" i="1"/>
  <c r="L1297" i="1"/>
  <c r="L878" i="1"/>
  <c r="L875" i="1"/>
  <c r="L866" i="1"/>
  <c r="L818" i="1"/>
  <c r="L792" i="1"/>
  <c r="Q723" i="1"/>
  <c r="R723" i="1"/>
  <c r="L723" i="1"/>
  <c r="Q722" i="1"/>
  <c r="R722" i="1"/>
  <c r="L722" i="1"/>
  <c r="Q721" i="1"/>
  <c r="R721" i="1"/>
  <c r="L721" i="1"/>
  <c r="Q720" i="1"/>
  <c r="R720" i="1"/>
  <c r="Q719" i="1"/>
  <c r="R719" i="1"/>
  <c r="L719" i="1"/>
  <c r="Q718" i="1"/>
  <c r="R718" i="1"/>
  <c r="Q717" i="1"/>
  <c r="R717" i="1"/>
  <c r="Q716" i="1"/>
  <c r="R716" i="1"/>
  <c r="Q715" i="1"/>
  <c r="R715" i="1"/>
  <c r="Q714" i="1"/>
  <c r="R714" i="1"/>
  <c r="L714" i="1"/>
  <c r="Q713" i="1"/>
  <c r="R713" i="1"/>
  <c r="L713" i="1"/>
  <c r="Q712" i="1"/>
  <c r="R712" i="1"/>
  <c r="Q711" i="1"/>
  <c r="R711" i="1"/>
  <c r="L711" i="1"/>
  <c r="Q710" i="1"/>
  <c r="R710" i="1"/>
  <c r="Q709" i="1"/>
  <c r="R709" i="1"/>
  <c r="Q708" i="1"/>
  <c r="R708" i="1"/>
  <c r="Q707" i="1"/>
  <c r="R707" i="1"/>
  <c r="Q706" i="1"/>
  <c r="R706" i="1"/>
  <c r="Q705" i="1"/>
  <c r="R705" i="1"/>
  <c r="L705" i="1"/>
  <c r="Q704" i="1"/>
  <c r="R704" i="1"/>
  <c r="L704" i="1"/>
  <c r="Q703" i="1"/>
  <c r="R703" i="1"/>
  <c r="L703" i="1"/>
  <c r="Q702" i="1"/>
  <c r="R702" i="1"/>
  <c r="L702" i="1"/>
  <c r="Q701" i="1"/>
  <c r="R701" i="1"/>
  <c r="Q700" i="1"/>
  <c r="R700" i="1"/>
  <c r="Q699" i="1"/>
  <c r="R699" i="1"/>
  <c r="Q698" i="1"/>
  <c r="R698" i="1"/>
  <c r="Q697" i="1"/>
  <c r="R697" i="1"/>
  <c r="L697" i="1"/>
  <c r="Q696" i="1"/>
  <c r="R696" i="1"/>
  <c r="L696" i="1"/>
  <c r="Q5542" i="1"/>
  <c r="R5542" i="1"/>
  <c r="L5542" i="1"/>
  <c r="Q5541" i="1"/>
  <c r="R5541" i="1"/>
  <c r="L5541" i="1"/>
  <c r="Q5540" i="1"/>
  <c r="R5540" i="1"/>
  <c r="Q5539" i="1"/>
  <c r="R5539" i="1"/>
  <c r="Q5538" i="1"/>
  <c r="R5538" i="1"/>
  <c r="Q5537" i="1"/>
  <c r="R5537" i="1"/>
  <c r="Q5536" i="1"/>
  <c r="R5536" i="1"/>
  <c r="Q5535" i="1"/>
  <c r="R5535" i="1"/>
  <c r="Q5534" i="1"/>
  <c r="R5534" i="1"/>
  <c r="Q5533" i="1"/>
  <c r="R5533" i="1"/>
  <c r="Q5532" i="1"/>
  <c r="R5532" i="1"/>
  <c r="L5532" i="1"/>
  <c r="Q5531" i="1"/>
  <c r="R5531" i="1"/>
  <c r="L5531" i="1"/>
  <c r="Q5530" i="1"/>
  <c r="R5530" i="1"/>
  <c r="L5530" i="1"/>
  <c r="Q5529" i="1"/>
  <c r="R5529" i="1"/>
  <c r="L5529" i="1"/>
  <c r="Q5528" i="1"/>
  <c r="R5528" i="1"/>
  <c r="Q5527" i="1"/>
  <c r="R5527" i="1"/>
  <c r="Q5526" i="1"/>
  <c r="R5526" i="1"/>
  <c r="Q5525" i="1"/>
  <c r="R5525" i="1"/>
  <c r="Q5524" i="1"/>
  <c r="R5524" i="1"/>
  <c r="Q5523" i="1"/>
  <c r="R5523" i="1"/>
  <c r="Q5522" i="1"/>
  <c r="R5522" i="1"/>
  <c r="Q5521" i="1"/>
  <c r="R5521" i="1"/>
  <c r="Q5520" i="1"/>
  <c r="R5520" i="1"/>
  <c r="L5520" i="1"/>
  <c r="Q5519" i="1"/>
  <c r="R5519" i="1"/>
  <c r="Q5518" i="1"/>
  <c r="R5518" i="1"/>
  <c r="Q5517" i="1"/>
  <c r="R5517" i="1"/>
  <c r="L5517" i="1"/>
  <c r="Q5516" i="1"/>
  <c r="R5516" i="1"/>
  <c r="Q5515" i="1"/>
  <c r="R5515" i="1"/>
  <c r="Q5514" i="1"/>
  <c r="R5514" i="1"/>
  <c r="Q5513" i="1"/>
  <c r="R5513" i="1"/>
  <c r="Q5512" i="1"/>
  <c r="R5512" i="1"/>
  <c r="Q5511" i="1"/>
  <c r="R5511" i="1"/>
  <c r="Q5510" i="1"/>
  <c r="R5510" i="1"/>
  <c r="Q5509" i="1"/>
  <c r="R5509" i="1"/>
  <c r="Q5508" i="1"/>
  <c r="R5508" i="1"/>
  <c r="L5508" i="1"/>
  <c r="Q5507" i="1"/>
  <c r="R5507" i="1"/>
  <c r="Q5506" i="1"/>
  <c r="R5506" i="1"/>
  <c r="L5506" i="1"/>
  <c r="Q5505" i="1"/>
  <c r="R5505" i="1"/>
  <c r="L5505" i="1"/>
  <c r="Q5504" i="1"/>
  <c r="R5504" i="1"/>
  <c r="Q5503" i="1"/>
  <c r="R5503" i="1"/>
  <c r="Q5502" i="1"/>
  <c r="R5502" i="1"/>
  <c r="Q5501" i="1"/>
  <c r="R5501" i="1"/>
  <c r="Q5500" i="1"/>
  <c r="R5500" i="1"/>
  <c r="Q5499" i="1"/>
  <c r="R5499" i="1"/>
  <c r="Q5498" i="1"/>
  <c r="R5498" i="1"/>
  <c r="Q5497" i="1"/>
  <c r="R5497" i="1"/>
  <c r="Q5496" i="1"/>
  <c r="R5496" i="1"/>
  <c r="L5496" i="1"/>
  <c r="Q5495" i="1"/>
  <c r="R5495" i="1"/>
  <c r="Q5494" i="1"/>
  <c r="R5494" i="1"/>
  <c r="L5494" i="1"/>
  <c r="Q5493" i="1"/>
  <c r="R5493" i="1"/>
  <c r="L5493" i="1"/>
  <c r="Q5492" i="1"/>
  <c r="R5492" i="1"/>
  <c r="Q5491" i="1"/>
  <c r="R5491" i="1"/>
  <c r="Q5490" i="1"/>
  <c r="R5490" i="1"/>
  <c r="Q5489" i="1"/>
  <c r="R5489" i="1"/>
  <c r="Q5488" i="1"/>
  <c r="R5488" i="1"/>
  <c r="Q5487" i="1"/>
  <c r="R5487" i="1"/>
  <c r="Q5486" i="1"/>
  <c r="R5486" i="1"/>
  <c r="Q5485" i="1"/>
  <c r="R5485" i="1"/>
  <c r="Q5484" i="1"/>
  <c r="R5484" i="1"/>
  <c r="L5484" i="1"/>
  <c r="Q5483" i="1"/>
  <c r="R5483" i="1"/>
  <c r="L5483" i="1"/>
  <c r="Q5482" i="1"/>
  <c r="R5482" i="1"/>
  <c r="Q5481" i="1"/>
  <c r="R5481" i="1"/>
  <c r="L5481" i="1"/>
  <c r="Q5480" i="1"/>
  <c r="R5480" i="1"/>
  <c r="Q5479" i="1"/>
  <c r="R5479" i="1"/>
  <c r="Q5478" i="1"/>
  <c r="R5478" i="1"/>
  <c r="Q5477" i="1"/>
  <c r="R5477" i="1"/>
  <c r="Q5476" i="1"/>
  <c r="R5476" i="1"/>
  <c r="Q5475" i="1"/>
  <c r="R5475" i="1"/>
  <c r="Q5474" i="1"/>
  <c r="R5474" i="1"/>
  <c r="Q5473" i="1"/>
  <c r="R5473" i="1"/>
  <c r="Q5472" i="1"/>
  <c r="R5472" i="1"/>
  <c r="L5472" i="1"/>
  <c r="Q5471" i="1"/>
  <c r="R5471" i="1"/>
  <c r="L5471" i="1"/>
  <c r="Q5470" i="1"/>
  <c r="R5470" i="1"/>
  <c r="Q5469" i="1"/>
  <c r="R5469" i="1"/>
  <c r="L5469" i="1"/>
  <c r="Q5468" i="1"/>
  <c r="R5468" i="1"/>
  <c r="Q5467" i="1"/>
  <c r="R5467" i="1"/>
  <c r="Q5466" i="1"/>
  <c r="R5466" i="1"/>
  <c r="Q5465" i="1"/>
  <c r="R5465" i="1"/>
  <c r="Q5464" i="1"/>
  <c r="R5464" i="1"/>
  <c r="Q5463" i="1"/>
  <c r="R5463" i="1"/>
  <c r="Q5462" i="1"/>
  <c r="R5462" i="1"/>
  <c r="Q5461" i="1"/>
  <c r="R5461" i="1"/>
  <c r="L5461" i="1"/>
  <c r="Q5460" i="1"/>
  <c r="R5460" i="1"/>
  <c r="L5460" i="1"/>
  <c r="Q5459" i="1"/>
  <c r="R5459" i="1"/>
  <c r="L5459" i="1"/>
  <c r="Q5458" i="1"/>
  <c r="R5458" i="1"/>
  <c r="L5458" i="1"/>
  <c r="Q5457" i="1"/>
  <c r="R5457" i="1"/>
  <c r="L5457" i="1"/>
  <c r="Q5456" i="1"/>
  <c r="R5456" i="1"/>
  <c r="Q5455" i="1"/>
  <c r="R5455" i="1"/>
  <c r="Q5454" i="1"/>
  <c r="R5454" i="1"/>
  <c r="Q5453" i="1"/>
  <c r="R5453" i="1"/>
  <c r="Q5452" i="1"/>
  <c r="R5452" i="1"/>
  <c r="Q5451" i="1"/>
  <c r="R5451" i="1"/>
  <c r="Q5450" i="1"/>
  <c r="R5450" i="1"/>
  <c r="Q5449" i="1"/>
  <c r="R5449" i="1"/>
  <c r="L5449" i="1"/>
  <c r="Q5448" i="1"/>
  <c r="R5448" i="1"/>
  <c r="L5448" i="1"/>
  <c r="Q5447" i="1"/>
  <c r="R5447" i="1"/>
  <c r="L5447" i="1"/>
  <c r="Q5446" i="1"/>
  <c r="R5446" i="1"/>
  <c r="Q5445" i="1"/>
  <c r="R5445" i="1"/>
  <c r="L5445" i="1"/>
  <c r="Q5444" i="1"/>
  <c r="R5444" i="1"/>
  <c r="Q5443" i="1"/>
  <c r="R5443" i="1"/>
  <c r="Q5442" i="1"/>
  <c r="R5442" i="1"/>
  <c r="Q5441" i="1"/>
  <c r="R5441" i="1"/>
  <c r="Q5440" i="1"/>
  <c r="R5440" i="1"/>
  <c r="Q5439" i="1"/>
  <c r="R5439" i="1"/>
  <c r="Q5438" i="1"/>
  <c r="R5438" i="1"/>
  <c r="Q5437" i="1"/>
  <c r="R5437" i="1"/>
  <c r="L5437" i="1"/>
  <c r="Q5436" i="1"/>
  <c r="R5436" i="1"/>
  <c r="L5436" i="1"/>
  <c r="Q5435" i="1"/>
  <c r="R5435" i="1"/>
  <c r="L5435" i="1"/>
  <c r="Q5434" i="1"/>
  <c r="R5434" i="1"/>
  <c r="L5434" i="1"/>
  <c r="Q5433" i="1"/>
  <c r="R5433" i="1"/>
  <c r="L5433" i="1"/>
  <c r="Q5432" i="1"/>
  <c r="R5432" i="1"/>
  <c r="Q5431" i="1"/>
  <c r="R5431" i="1"/>
  <c r="Q5430" i="1"/>
  <c r="R5430" i="1"/>
  <c r="Q5429" i="1"/>
  <c r="R5429" i="1"/>
  <c r="Q5428" i="1"/>
  <c r="R5428" i="1"/>
  <c r="Q5427" i="1"/>
  <c r="R5427" i="1"/>
  <c r="Q5426" i="1"/>
  <c r="R5426" i="1"/>
  <c r="Q5425" i="1"/>
  <c r="R5425" i="1"/>
  <c r="L5425" i="1"/>
  <c r="Q5424" i="1"/>
  <c r="R5424" i="1"/>
  <c r="L5424" i="1"/>
  <c r="Q5423" i="1"/>
  <c r="R5423" i="1"/>
  <c r="Q5422" i="1"/>
  <c r="R5422" i="1"/>
  <c r="L5422" i="1"/>
  <c r="Q5421" i="1"/>
  <c r="R5421" i="1"/>
  <c r="L5421" i="1"/>
  <c r="Q5420" i="1"/>
  <c r="R5420" i="1"/>
  <c r="Q5419" i="1"/>
  <c r="R5419" i="1"/>
  <c r="Q5418" i="1"/>
  <c r="R5418" i="1"/>
  <c r="Q5417" i="1"/>
  <c r="R5417" i="1"/>
  <c r="Q5416" i="1"/>
  <c r="R5416" i="1"/>
  <c r="Q5415" i="1"/>
  <c r="R5415" i="1"/>
  <c r="Q5414" i="1"/>
  <c r="R5414" i="1"/>
  <c r="Q5413" i="1"/>
  <c r="R5413" i="1"/>
  <c r="L5413" i="1"/>
  <c r="Q5412" i="1"/>
  <c r="R5412" i="1"/>
  <c r="L5412" i="1"/>
  <c r="Q5411" i="1"/>
  <c r="R5411" i="1"/>
  <c r="L5411" i="1"/>
  <c r="Q5410" i="1"/>
  <c r="R5410" i="1"/>
  <c r="L5410" i="1"/>
  <c r="Q5409" i="1"/>
  <c r="R5409" i="1"/>
  <c r="L5409" i="1"/>
  <c r="Q5408" i="1"/>
  <c r="R5408" i="1"/>
  <c r="Q5407" i="1"/>
  <c r="R5407" i="1"/>
  <c r="Q5406" i="1"/>
  <c r="R5406" i="1"/>
  <c r="Q5405" i="1"/>
  <c r="R5405" i="1"/>
  <c r="Q5404" i="1"/>
  <c r="R5404" i="1"/>
  <c r="Q5403" i="1"/>
  <c r="R5403" i="1"/>
  <c r="Q5402" i="1"/>
  <c r="R5402" i="1"/>
  <c r="Q5401" i="1"/>
  <c r="R5401" i="1"/>
  <c r="L5401" i="1"/>
  <c r="Q5400" i="1"/>
  <c r="R5400" i="1"/>
  <c r="L5400" i="1"/>
  <c r="Q5399" i="1"/>
  <c r="R5399" i="1"/>
  <c r="L5399" i="1"/>
  <c r="Q5398" i="1"/>
  <c r="R5398" i="1"/>
  <c r="Q5397" i="1"/>
  <c r="R5397" i="1"/>
  <c r="L5397" i="1"/>
  <c r="Q5396" i="1"/>
  <c r="R5396" i="1"/>
  <c r="Q5395" i="1"/>
  <c r="R5395" i="1"/>
  <c r="Q5394" i="1"/>
  <c r="R5394" i="1"/>
  <c r="Q5393" i="1"/>
  <c r="R5393" i="1"/>
  <c r="Q5392" i="1"/>
  <c r="R5392" i="1"/>
  <c r="Q5391" i="1"/>
  <c r="R5391" i="1"/>
  <c r="Q5390" i="1"/>
  <c r="R5390" i="1"/>
  <c r="Q5389" i="1"/>
  <c r="R5389" i="1"/>
  <c r="L5389" i="1"/>
  <c r="Q5388" i="1"/>
  <c r="R5388" i="1"/>
  <c r="L5388" i="1"/>
  <c r="Q5387" i="1"/>
  <c r="R5387" i="1"/>
  <c r="L5387" i="1"/>
  <c r="Q5386" i="1"/>
  <c r="R5386" i="1"/>
  <c r="L5386" i="1"/>
  <c r="Q5385" i="1"/>
  <c r="R5385" i="1"/>
  <c r="L5385" i="1"/>
  <c r="Q5384" i="1"/>
  <c r="R5384" i="1"/>
  <c r="Q5383" i="1"/>
  <c r="R5383" i="1"/>
  <c r="Q5382" i="1"/>
  <c r="R5382" i="1"/>
  <c r="Q5381" i="1"/>
  <c r="R5381" i="1"/>
  <c r="Q5380" i="1"/>
  <c r="R5380" i="1"/>
  <c r="Q5379" i="1"/>
  <c r="R5379" i="1"/>
  <c r="Q5378" i="1"/>
  <c r="R5378" i="1"/>
  <c r="Q5377" i="1"/>
  <c r="R5377" i="1"/>
  <c r="L5377" i="1"/>
  <c r="Q5376" i="1"/>
  <c r="R5376" i="1"/>
  <c r="L5376" i="1"/>
  <c r="J5376" i="1"/>
  <c r="Q5375" i="1"/>
  <c r="R5375" i="1"/>
  <c r="L5375" i="1"/>
  <c r="J5375" i="1"/>
  <c r="Q5374" i="1"/>
  <c r="R5374" i="1"/>
  <c r="L5374" i="1"/>
  <c r="J5374" i="1"/>
  <c r="Q5373" i="1"/>
  <c r="R5373" i="1"/>
  <c r="L5373" i="1"/>
  <c r="J5373" i="1"/>
  <c r="Q5372" i="1"/>
  <c r="R5372" i="1"/>
  <c r="J5372" i="1"/>
  <c r="Q5371" i="1"/>
  <c r="R5371" i="1"/>
  <c r="J5371" i="1"/>
  <c r="Q5370" i="1"/>
  <c r="R5370" i="1"/>
  <c r="J5370" i="1"/>
  <c r="Q5369" i="1"/>
  <c r="R5369" i="1"/>
  <c r="J5369" i="1"/>
  <c r="Q5368" i="1"/>
  <c r="R5368" i="1"/>
  <c r="J5368" i="1"/>
  <c r="Q5367" i="1"/>
  <c r="R5367" i="1"/>
  <c r="J5367" i="1"/>
  <c r="Q5366" i="1"/>
  <c r="R5366" i="1"/>
  <c r="J5366" i="1"/>
  <c r="Q5365" i="1"/>
  <c r="R5365" i="1"/>
  <c r="L5365" i="1"/>
  <c r="J5365" i="1"/>
  <c r="Q5364" i="1"/>
  <c r="R5364" i="1"/>
  <c r="L5364" i="1"/>
  <c r="J5364" i="1"/>
  <c r="Q5363" i="1"/>
  <c r="R5363" i="1"/>
  <c r="L5363" i="1"/>
  <c r="J5363" i="1"/>
  <c r="Q5362" i="1"/>
  <c r="R5362" i="1"/>
  <c r="J5362" i="1"/>
  <c r="Q5361" i="1"/>
  <c r="R5361" i="1"/>
  <c r="L5361" i="1"/>
  <c r="J5361" i="1"/>
  <c r="Q5360" i="1"/>
  <c r="R5360" i="1"/>
  <c r="J5360" i="1"/>
  <c r="Q5359" i="1"/>
  <c r="R5359" i="1"/>
  <c r="J5359" i="1"/>
  <c r="Q5358" i="1"/>
  <c r="R5358" i="1"/>
  <c r="J5358" i="1"/>
  <c r="Q5357" i="1"/>
  <c r="R5357" i="1"/>
  <c r="J5357" i="1"/>
  <c r="Q5356" i="1"/>
  <c r="R5356" i="1"/>
  <c r="J5356" i="1"/>
  <c r="Q5355" i="1"/>
  <c r="R5355" i="1"/>
  <c r="J5355" i="1"/>
  <c r="Q5354" i="1"/>
  <c r="R5354" i="1"/>
  <c r="J5354" i="1"/>
  <c r="Q5353" i="1"/>
  <c r="R5353" i="1"/>
  <c r="L5353" i="1"/>
  <c r="J5353" i="1"/>
  <c r="Q5352" i="1"/>
  <c r="R5352" i="1"/>
  <c r="L5352" i="1"/>
  <c r="J5352" i="1"/>
  <c r="Q5351" i="1"/>
  <c r="R5351" i="1"/>
  <c r="L5351" i="1"/>
  <c r="J5351" i="1"/>
  <c r="Q5350" i="1"/>
  <c r="R5350" i="1"/>
  <c r="L5350" i="1"/>
  <c r="J5350" i="1"/>
  <c r="Q5349" i="1"/>
  <c r="R5349" i="1"/>
  <c r="L5349" i="1"/>
  <c r="J5349" i="1"/>
  <c r="Q5348" i="1"/>
  <c r="R5348" i="1"/>
  <c r="J5348" i="1"/>
  <c r="Q5347" i="1"/>
  <c r="R5347" i="1"/>
  <c r="J5347" i="1"/>
  <c r="Q5346" i="1"/>
  <c r="R5346" i="1"/>
  <c r="J5346" i="1"/>
  <c r="Q5345" i="1"/>
  <c r="R5345" i="1"/>
  <c r="J5345" i="1"/>
  <c r="Q5344" i="1"/>
  <c r="R5344" i="1"/>
  <c r="J5344" i="1"/>
  <c r="Q5343" i="1"/>
  <c r="R5343" i="1"/>
  <c r="J5343" i="1"/>
  <c r="Q5342" i="1"/>
  <c r="R5342" i="1"/>
  <c r="J5342" i="1"/>
  <c r="Q5341" i="1"/>
  <c r="R5341" i="1"/>
  <c r="L5341" i="1"/>
  <c r="J5341" i="1"/>
  <c r="Q5340" i="1"/>
  <c r="R5340" i="1"/>
  <c r="L5340" i="1"/>
  <c r="J5340" i="1"/>
  <c r="Q5339" i="1"/>
  <c r="R5339" i="1"/>
  <c r="J5339" i="1"/>
  <c r="Q5338" i="1"/>
  <c r="R5338" i="1"/>
  <c r="L5338" i="1"/>
  <c r="J5338" i="1"/>
  <c r="Q5337" i="1"/>
  <c r="R5337" i="1"/>
  <c r="L5337" i="1"/>
  <c r="J5337" i="1"/>
  <c r="Q5336" i="1"/>
  <c r="R5336" i="1"/>
  <c r="J5336" i="1"/>
  <c r="Q5335" i="1"/>
  <c r="R5335" i="1"/>
  <c r="J5335" i="1"/>
  <c r="Q5334" i="1"/>
  <c r="R5334" i="1"/>
  <c r="J5334" i="1"/>
  <c r="Q5333" i="1"/>
  <c r="R5333" i="1"/>
  <c r="J5333" i="1"/>
  <c r="Q5332" i="1"/>
  <c r="R5332" i="1"/>
  <c r="J5332" i="1"/>
  <c r="Q5331" i="1"/>
  <c r="R5331" i="1"/>
  <c r="J5331" i="1"/>
  <c r="Q5330" i="1"/>
  <c r="R5330" i="1"/>
  <c r="J5330" i="1"/>
  <c r="Q5329" i="1"/>
  <c r="R5329" i="1"/>
  <c r="L5329" i="1"/>
  <c r="J5329" i="1"/>
  <c r="Q5328" i="1"/>
  <c r="R5328" i="1"/>
  <c r="L5328" i="1"/>
  <c r="J5328" i="1"/>
  <c r="Q5327" i="1"/>
  <c r="R5327" i="1"/>
  <c r="L5327" i="1"/>
  <c r="J5327" i="1"/>
  <c r="Q5326" i="1"/>
  <c r="R5326" i="1"/>
  <c r="L5326" i="1"/>
  <c r="J5326" i="1"/>
  <c r="Q5325" i="1"/>
  <c r="R5325" i="1"/>
  <c r="L5325" i="1"/>
  <c r="J5325" i="1"/>
  <c r="Q5324" i="1"/>
  <c r="R5324" i="1"/>
  <c r="J5324" i="1"/>
  <c r="Q5323" i="1"/>
  <c r="R5323" i="1"/>
  <c r="J5323" i="1"/>
  <c r="Q5322" i="1"/>
  <c r="R5322" i="1"/>
  <c r="J5322" i="1"/>
  <c r="Q5321" i="1"/>
  <c r="R5321" i="1"/>
  <c r="J5321" i="1"/>
  <c r="Q5320" i="1"/>
  <c r="R5320" i="1"/>
  <c r="J5320" i="1"/>
  <c r="Q5319" i="1"/>
  <c r="R5319" i="1"/>
  <c r="J5319" i="1"/>
  <c r="Q5318" i="1"/>
  <c r="R5318" i="1"/>
  <c r="J5318" i="1"/>
  <c r="Q5317" i="1"/>
  <c r="R5317" i="1"/>
  <c r="L5317" i="1"/>
  <c r="J5317" i="1"/>
  <c r="Q5316" i="1"/>
  <c r="R5316" i="1"/>
  <c r="L5316" i="1"/>
  <c r="J5316" i="1"/>
  <c r="Q5315" i="1"/>
  <c r="R5315" i="1"/>
  <c r="L5315" i="1"/>
  <c r="J5315" i="1"/>
  <c r="Q5314" i="1"/>
  <c r="R5314" i="1"/>
  <c r="L5314" i="1"/>
  <c r="J5314" i="1"/>
  <c r="Q5313" i="1"/>
  <c r="R5313" i="1"/>
  <c r="L5313" i="1"/>
  <c r="J5313" i="1"/>
  <c r="Q5312" i="1"/>
  <c r="R5312" i="1"/>
  <c r="J5312" i="1"/>
  <c r="Q5311" i="1"/>
  <c r="R5311" i="1"/>
  <c r="J5311" i="1"/>
  <c r="Q5310" i="1"/>
  <c r="R5310" i="1"/>
  <c r="J5310" i="1"/>
  <c r="Q5309" i="1"/>
  <c r="R5309" i="1"/>
  <c r="J5309" i="1"/>
  <c r="Q5308" i="1"/>
  <c r="R5308" i="1"/>
  <c r="J5308" i="1"/>
  <c r="Q5307" i="1"/>
  <c r="R5307" i="1"/>
  <c r="J5307" i="1"/>
  <c r="Q5306" i="1"/>
  <c r="R5306" i="1"/>
  <c r="J5306" i="1"/>
  <c r="Q5305" i="1"/>
  <c r="R5305" i="1"/>
  <c r="L5305" i="1"/>
  <c r="J5305" i="1"/>
  <c r="Q5304" i="1"/>
  <c r="R5304" i="1"/>
  <c r="L5304" i="1"/>
  <c r="J5304" i="1"/>
  <c r="Q5303" i="1"/>
  <c r="R5303" i="1"/>
  <c r="L5303" i="1"/>
  <c r="J5303" i="1"/>
  <c r="Q5302" i="1"/>
  <c r="R5302" i="1"/>
  <c r="L5302" i="1"/>
  <c r="J5302" i="1"/>
  <c r="Q5301" i="1"/>
  <c r="R5301" i="1"/>
  <c r="L5301" i="1"/>
  <c r="J5301" i="1"/>
  <c r="Q5300" i="1"/>
  <c r="R5300" i="1"/>
  <c r="J5300" i="1"/>
  <c r="Q5299" i="1"/>
  <c r="R5299" i="1"/>
  <c r="J5299" i="1"/>
  <c r="Q5298" i="1"/>
  <c r="R5298" i="1"/>
  <c r="J5298" i="1"/>
  <c r="Q5297" i="1"/>
  <c r="R5297" i="1"/>
  <c r="J5297" i="1"/>
  <c r="Q5296" i="1"/>
  <c r="R5296" i="1"/>
  <c r="J5296" i="1"/>
  <c r="Q5295" i="1"/>
  <c r="R5295" i="1"/>
  <c r="J5295" i="1"/>
  <c r="Q5294" i="1"/>
  <c r="R5294" i="1"/>
  <c r="J5294" i="1"/>
  <c r="Q5293" i="1"/>
  <c r="R5293" i="1"/>
  <c r="L5293" i="1"/>
  <c r="J5293" i="1"/>
  <c r="Q5292" i="1"/>
  <c r="R5292" i="1"/>
  <c r="L5292" i="1"/>
  <c r="J5292" i="1"/>
  <c r="Q5291" i="1"/>
  <c r="R5291" i="1"/>
  <c r="L5291" i="1"/>
  <c r="J5291" i="1"/>
  <c r="Q5290" i="1"/>
  <c r="R5290" i="1"/>
  <c r="J5290" i="1"/>
  <c r="Q5289" i="1"/>
  <c r="R5289" i="1"/>
  <c r="L5289" i="1"/>
  <c r="J5289" i="1"/>
  <c r="Q5288" i="1"/>
  <c r="R5288" i="1"/>
  <c r="J5288" i="1"/>
  <c r="Q5287" i="1"/>
  <c r="R5287" i="1"/>
  <c r="J5287" i="1"/>
  <c r="Q5286" i="1"/>
  <c r="R5286" i="1"/>
  <c r="J5286" i="1"/>
  <c r="Q5285" i="1"/>
  <c r="R5285" i="1"/>
  <c r="J5285" i="1"/>
  <c r="Q5284" i="1"/>
  <c r="R5284" i="1"/>
  <c r="J5284" i="1"/>
  <c r="Q5283" i="1"/>
  <c r="R5283" i="1"/>
  <c r="J5283" i="1"/>
  <c r="Q5282" i="1"/>
  <c r="R5282" i="1"/>
  <c r="J5282" i="1"/>
  <c r="Q5281" i="1"/>
  <c r="R5281" i="1"/>
  <c r="L5281" i="1"/>
  <c r="J5281" i="1"/>
  <c r="Q5280" i="1"/>
  <c r="R5280" i="1"/>
  <c r="L5280" i="1"/>
  <c r="J5280" i="1"/>
  <c r="Q5279" i="1"/>
  <c r="R5279" i="1"/>
  <c r="J5279" i="1"/>
  <c r="Q5278" i="1"/>
  <c r="R5278" i="1"/>
  <c r="J5278" i="1"/>
  <c r="Q5277" i="1"/>
  <c r="R5277" i="1"/>
  <c r="L5277" i="1"/>
  <c r="J5277" i="1"/>
  <c r="Q5276" i="1"/>
  <c r="R5276" i="1"/>
  <c r="J5276" i="1"/>
  <c r="Q5275" i="1"/>
  <c r="R5275" i="1"/>
  <c r="J5275" i="1"/>
  <c r="Q5274" i="1"/>
  <c r="R5274" i="1"/>
  <c r="J5274" i="1"/>
  <c r="Q5273" i="1"/>
  <c r="R5273" i="1"/>
  <c r="J5273" i="1"/>
  <c r="Q5272" i="1"/>
  <c r="R5272" i="1"/>
  <c r="J5272" i="1"/>
  <c r="Q5271" i="1"/>
  <c r="R5271" i="1"/>
  <c r="J5271" i="1"/>
  <c r="Q5270" i="1"/>
  <c r="R5270" i="1"/>
  <c r="J5270" i="1"/>
  <c r="Q5269" i="1"/>
  <c r="R5269" i="1"/>
  <c r="L5269" i="1"/>
  <c r="J5269" i="1"/>
  <c r="Q5268" i="1"/>
  <c r="R5268" i="1"/>
  <c r="L5268" i="1"/>
  <c r="J5268" i="1"/>
  <c r="Q5267" i="1"/>
  <c r="R5267" i="1"/>
  <c r="J5267" i="1"/>
  <c r="Q5266" i="1"/>
  <c r="R5266" i="1"/>
  <c r="J5266" i="1"/>
  <c r="Q5265" i="1"/>
  <c r="R5265" i="1"/>
  <c r="L5265" i="1"/>
  <c r="J5265" i="1"/>
  <c r="Q5264" i="1"/>
  <c r="R5264" i="1"/>
  <c r="J5264" i="1"/>
  <c r="Q5263" i="1"/>
  <c r="R5263" i="1"/>
  <c r="J5263" i="1"/>
  <c r="Q5262" i="1"/>
  <c r="R5262" i="1"/>
  <c r="J5262" i="1"/>
  <c r="Q5261" i="1"/>
  <c r="R5261" i="1"/>
  <c r="J5261" i="1"/>
  <c r="Q5260" i="1"/>
  <c r="R5260" i="1"/>
  <c r="J5260" i="1"/>
  <c r="Q5259" i="1"/>
  <c r="R5259" i="1"/>
  <c r="J5259" i="1"/>
  <c r="Q5258" i="1"/>
  <c r="R5258" i="1"/>
  <c r="J5258" i="1"/>
  <c r="Q5257" i="1"/>
  <c r="R5257" i="1"/>
  <c r="L5257" i="1"/>
  <c r="J5257" i="1"/>
  <c r="Q5256" i="1"/>
  <c r="R5256" i="1"/>
  <c r="L5256" i="1"/>
  <c r="J5256" i="1"/>
  <c r="Q5255" i="1"/>
  <c r="R5255" i="1"/>
  <c r="J5255" i="1"/>
  <c r="Q5254" i="1"/>
  <c r="R5254" i="1"/>
  <c r="L5254" i="1"/>
  <c r="J5254" i="1"/>
  <c r="Q5253" i="1"/>
  <c r="R5253" i="1"/>
  <c r="L5253" i="1"/>
  <c r="J5253" i="1"/>
  <c r="Q5252" i="1"/>
  <c r="R5252" i="1"/>
  <c r="J5252" i="1"/>
  <c r="Q5251" i="1"/>
  <c r="R5251" i="1"/>
  <c r="J5251" i="1"/>
  <c r="Q5250" i="1"/>
  <c r="R5250" i="1"/>
  <c r="J5250" i="1"/>
  <c r="Q5249" i="1"/>
  <c r="R5249" i="1"/>
  <c r="J5249" i="1"/>
  <c r="Q5248" i="1"/>
  <c r="R5248" i="1"/>
  <c r="J5248" i="1"/>
  <c r="Q5247" i="1"/>
  <c r="R5247" i="1"/>
  <c r="J5247" i="1"/>
  <c r="Q5246" i="1"/>
  <c r="R5246" i="1"/>
  <c r="J5246" i="1"/>
  <c r="Q5245" i="1"/>
  <c r="R5245" i="1"/>
  <c r="L5245" i="1"/>
  <c r="J5245" i="1"/>
  <c r="Q5244" i="1"/>
  <c r="R5244" i="1"/>
  <c r="L5244" i="1"/>
  <c r="J5244" i="1"/>
  <c r="Q5243" i="1"/>
  <c r="R5243" i="1"/>
  <c r="L5243" i="1"/>
  <c r="J5243" i="1"/>
  <c r="Q5242" i="1"/>
  <c r="R5242" i="1"/>
  <c r="L5242" i="1"/>
  <c r="J5242" i="1"/>
  <c r="Q5241" i="1"/>
  <c r="R5241" i="1"/>
  <c r="L5241" i="1"/>
  <c r="J5241" i="1"/>
  <c r="Q5240" i="1"/>
  <c r="R5240" i="1"/>
  <c r="J5240" i="1"/>
  <c r="Q5239" i="1"/>
  <c r="R5239" i="1"/>
  <c r="J5239" i="1"/>
  <c r="Q5238" i="1"/>
  <c r="R5238" i="1"/>
  <c r="J5238" i="1"/>
  <c r="Q5237" i="1"/>
  <c r="R5237" i="1"/>
  <c r="J5237" i="1"/>
  <c r="Q5236" i="1"/>
  <c r="R5236" i="1"/>
  <c r="J5236" i="1"/>
  <c r="Q5235" i="1"/>
  <c r="R5235" i="1"/>
  <c r="J5235" i="1"/>
  <c r="Q5234" i="1"/>
  <c r="R5234" i="1"/>
  <c r="J5234" i="1"/>
  <c r="Q5233" i="1"/>
  <c r="R5233" i="1"/>
  <c r="L5233" i="1"/>
  <c r="J5233" i="1"/>
  <c r="Q5232" i="1"/>
  <c r="R5232" i="1"/>
  <c r="L5232" i="1"/>
  <c r="J5232" i="1"/>
  <c r="Q5231" i="1"/>
  <c r="R5231" i="1"/>
  <c r="L5231" i="1"/>
  <c r="J5231" i="1"/>
  <c r="Q5230" i="1"/>
  <c r="R5230" i="1"/>
  <c r="J5230" i="1"/>
  <c r="Q5229" i="1"/>
  <c r="R5229" i="1"/>
  <c r="L5229" i="1"/>
  <c r="J5229" i="1"/>
  <c r="Q5228" i="1"/>
  <c r="R5228" i="1"/>
  <c r="J5228" i="1"/>
  <c r="Q5227" i="1"/>
  <c r="R5227" i="1"/>
  <c r="J5227" i="1"/>
  <c r="Q5226" i="1"/>
  <c r="R5226" i="1"/>
  <c r="J5226" i="1"/>
  <c r="Q5225" i="1"/>
  <c r="R5225" i="1"/>
  <c r="J5225" i="1"/>
  <c r="Q5224" i="1"/>
  <c r="R5224" i="1"/>
  <c r="J5224" i="1"/>
  <c r="Q5223" i="1"/>
  <c r="R5223" i="1"/>
  <c r="J5223" i="1"/>
  <c r="Q5222" i="1"/>
  <c r="R5222" i="1"/>
  <c r="J5222" i="1"/>
  <c r="Q5221" i="1"/>
  <c r="R5221" i="1"/>
  <c r="L5221" i="1"/>
  <c r="J5221" i="1"/>
  <c r="Q5220" i="1"/>
  <c r="R5220" i="1"/>
  <c r="L5220" i="1"/>
  <c r="J5220" i="1"/>
  <c r="Q5219" i="1"/>
  <c r="R5219" i="1"/>
  <c r="L5219" i="1"/>
  <c r="J5219" i="1"/>
  <c r="Q5218" i="1"/>
  <c r="R5218" i="1"/>
  <c r="L5218" i="1"/>
  <c r="J5218" i="1"/>
  <c r="Q5217" i="1"/>
  <c r="R5217" i="1"/>
  <c r="L5217" i="1"/>
  <c r="J5217" i="1"/>
  <c r="Q4743" i="1"/>
  <c r="R4743" i="1"/>
  <c r="Q4742" i="1"/>
  <c r="R4742" i="1"/>
  <c r="Q4741" i="1"/>
  <c r="R4741" i="1"/>
  <c r="Q4740" i="1"/>
  <c r="R4740" i="1"/>
  <c r="L4740" i="1"/>
  <c r="Q4739" i="1"/>
  <c r="R4739" i="1"/>
  <c r="L4739" i="1"/>
  <c r="Q4738" i="1"/>
  <c r="R4738" i="1"/>
  <c r="Q4737" i="1"/>
  <c r="R4737" i="1"/>
  <c r="L4737" i="1"/>
  <c r="Q4736" i="1"/>
  <c r="R4736" i="1"/>
  <c r="Q4735" i="1"/>
  <c r="R4735" i="1"/>
  <c r="Q4734" i="1"/>
  <c r="R4734" i="1"/>
  <c r="Q4733" i="1"/>
  <c r="R4733" i="1"/>
  <c r="Q4732" i="1"/>
  <c r="R4732" i="1"/>
  <c r="Q4731" i="1"/>
  <c r="R4731" i="1"/>
  <c r="Q4730" i="1"/>
  <c r="R4730" i="1"/>
  <c r="Q4729" i="1"/>
  <c r="R4729" i="1"/>
  <c r="Q4728" i="1"/>
  <c r="R4728" i="1"/>
  <c r="Q4727" i="1"/>
  <c r="R4727" i="1"/>
  <c r="Q4726" i="1"/>
  <c r="R4726" i="1"/>
  <c r="Q4725" i="1"/>
  <c r="R4725" i="1"/>
  <c r="L4725" i="1"/>
  <c r="Q4724" i="1"/>
  <c r="R4724" i="1"/>
  <c r="L4724" i="1"/>
  <c r="Q4723" i="1"/>
  <c r="R4723" i="1"/>
  <c r="Q4722" i="1"/>
  <c r="R4722" i="1"/>
  <c r="L4722" i="1"/>
  <c r="Q4721" i="1"/>
  <c r="R4721" i="1"/>
  <c r="L4721" i="1"/>
  <c r="Q4720" i="1"/>
  <c r="R4720" i="1"/>
  <c r="Q4719" i="1"/>
  <c r="R4719" i="1"/>
  <c r="Q4718" i="1"/>
  <c r="R4718" i="1"/>
  <c r="Q4717" i="1"/>
  <c r="R4717" i="1"/>
  <c r="Q4716" i="1"/>
  <c r="R4716" i="1"/>
  <c r="Q4715" i="1"/>
  <c r="R4715" i="1"/>
  <c r="Q4714" i="1"/>
  <c r="R4714" i="1"/>
  <c r="Q4713" i="1"/>
  <c r="R4713" i="1"/>
  <c r="L4713" i="1"/>
  <c r="Q4712" i="1"/>
  <c r="R4712" i="1"/>
  <c r="L4712" i="1"/>
  <c r="Q4711" i="1"/>
  <c r="R4711" i="1"/>
  <c r="L4711" i="1"/>
  <c r="Q4710" i="1"/>
  <c r="R4710" i="1"/>
  <c r="L4710" i="1"/>
  <c r="Q4709" i="1"/>
  <c r="R4709" i="1"/>
  <c r="L4709" i="1"/>
  <c r="Q4708" i="1"/>
  <c r="R4708" i="1"/>
  <c r="Q4707" i="1"/>
  <c r="R4707" i="1"/>
  <c r="Q4706" i="1"/>
  <c r="R4706" i="1"/>
  <c r="Q4705" i="1"/>
  <c r="R4705" i="1"/>
  <c r="Q4704" i="1"/>
  <c r="R4704" i="1"/>
  <c r="Q4703" i="1"/>
  <c r="R4703" i="1"/>
  <c r="Q4702" i="1"/>
  <c r="R4702" i="1"/>
  <c r="Q4701" i="1"/>
  <c r="R4701" i="1"/>
  <c r="L4701" i="1"/>
  <c r="Q4700" i="1"/>
  <c r="R4700" i="1"/>
  <c r="Q4699" i="1"/>
  <c r="R4699" i="1"/>
  <c r="Q4698" i="1"/>
  <c r="R4698" i="1"/>
  <c r="Q4697" i="1"/>
  <c r="R4697" i="1"/>
  <c r="L4697" i="1"/>
  <c r="Q4696" i="1"/>
  <c r="R4696" i="1"/>
  <c r="L4696" i="1"/>
  <c r="Q4695" i="1"/>
  <c r="R4695" i="1"/>
  <c r="L4695" i="1"/>
  <c r="Q4694" i="1"/>
  <c r="R4694" i="1"/>
  <c r="L4694" i="1"/>
  <c r="Q4693" i="1"/>
  <c r="R4693" i="1"/>
  <c r="L4693" i="1"/>
  <c r="Q4692" i="1"/>
  <c r="R4692" i="1"/>
  <c r="L4692" i="1"/>
  <c r="Q4691" i="1"/>
  <c r="R4691" i="1"/>
  <c r="L4691" i="1"/>
  <c r="Q4690" i="1"/>
  <c r="R4690" i="1"/>
  <c r="L4690" i="1"/>
  <c r="Q4689" i="1"/>
  <c r="R4689" i="1"/>
  <c r="L4689" i="1"/>
  <c r="Q4688" i="1"/>
  <c r="R4688" i="1"/>
  <c r="Q4687" i="1"/>
  <c r="R4687" i="1"/>
  <c r="Q4686" i="1"/>
  <c r="R4686" i="1"/>
  <c r="Q4685" i="1"/>
  <c r="R4685" i="1"/>
  <c r="Q4684" i="1"/>
  <c r="R4684" i="1"/>
  <c r="Q4683" i="1"/>
  <c r="R4683" i="1"/>
  <c r="Q4682" i="1"/>
  <c r="R4682" i="1"/>
  <c r="Q4681" i="1"/>
  <c r="R4681" i="1"/>
  <c r="L4681" i="1"/>
  <c r="Q4680" i="1"/>
  <c r="R4680" i="1"/>
  <c r="L4680" i="1"/>
  <c r="Q4679" i="1"/>
  <c r="R4679" i="1"/>
  <c r="L4679" i="1"/>
  <c r="Q4678" i="1"/>
  <c r="R4678" i="1"/>
  <c r="L4678" i="1"/>
  <c r="Q4677" i="1"/>
  <c r="R4677" i="1"/>
  <c r="L4677" i="1"/>
  <c r="Q4676" i="1"/>
  <c r="R4676" i="1"/>
  <c r="Q4675" i="1"/>
  <c r="R4675" i="1"/>
  <c r="Q4674" i="1"/>
  <c r="R4674" i="1"/>
  <c r="Q4673" i="1"/>
  <c r="R4673" i="1"/>
  <c r="Q4672" i="1"/>
  <c r="R4672" i="1"/>
  <c r="Q4671" i="1"/>
  <c r="R4671" i="1"/>
  <c r="Q4670" i="1"/>
  <c r="R4670" i="1"/>
  <c r="L4670" i="1"/>
  <c r="Q4669" i="1"/>
  <c r="R4669" i="1"/>
  <c r="L4669" i="1"/>
  <c r="Q4668" i="1"/>
  <c r="R4668" i="1"/>
  <c r="L4668" i="1"/>
  <c r="Q4667" i="1"/>
  <c r="R4667" i="1"/>
  <c r="L4667" i="1"/>
  <c r="Q4666" i="1"/>
  <c r="R4666" i="1"/>
  <c r="L4666" i="1"/>
  <c r="Q4665" i="1"/>
  <c r="R4665" i="1"/>
  <c r="Q4664" i="1"/>
  <c r="R4664" i="1"/>
  <c r="Q4663" i="1"/>
  <c r="R4663" i="1"/>
  <c r="Q4662" i="1"/>
  <c r="R4662" i="1"/>
  <c r="Q4661" i="1"/>
  <c r="R4661" i="1"/>
  <c r="Q4660" i="1"/>
  <c r="R4660" i="1"/>
  <c r="Q4659" i="1"/>
  <c r="R4659" i="1"/>
  <c r="Q4658" i="1"/>
  <c r="R4658" i="1"/>
  <c r="L4658" i="1"/>
  <c r="Q4657" i="1"/>
  <c r="R4657" i="1"/>
  <c r="L4657" i="1"/>
  <c r="Q4656" i="1"/>
  <c r="R4656" i="1"/>
  <c r="Q4655" i="1"/>
  <c r="R4655" i="1"/>
  <c r="L4655" i="1"/>
  <c r="Q4654" i="1"/>
  <c r="R4654" i="1"/>
  <c r="L4654" i="1"/>
  <c r="Q4653" i="1"/>
  <c r="R4653" i="1"/>
  <c r="Q4652" i="1"/>
  <c r="R4652" i="1"/>
  <c r="Q4651" i="1"/>
  <c r="R4651" i="1"/>
  <c r="Q4650" i="1"/>
  <c r="R4650" i="1"/>
  <c r="L4650" i="1"/>
  <c r="Q4649" i="1"/>
  <c r="R4649" i="1"/>
  <c r="L4649" i="1"/>
  <c r="Q4648" i="1"/>
  <c r="R4648" i="1"/>
  <c r="Q4647" i="1"/>
  <c r="R4647" i="1"/>
  <c r="Q4646" i="1"/>
  <c r="R4646" i="1"/>
  <c r="L4646" i="1"/>
  <c r="Q4645" i="1"/>
  <c r="R4645" i="1"/>
  <c r="Q4644" i="1"/>
  <c r="R4644" i="1"/>
  <c r="Q4643" i="1"/>
  <c r="R4643" i="1"/>
  <c r="Q4642" i="1"/>
  <c r="R4642" i="1"/>
  <c r="Q4641" i="1"/>
  <c r="R4641" i="1"/>
  <c r="Q4640" i="1"/>
  <c r="R4640" i="1"/>
  <c r="Q4639" i="1"/>
  <c r="R4639" i="1"/>
  <c r="Q4638" i="1"/>
  <c r="R4638" i="1"/>
  <c r="L4638" i="1"/>
  <c r="Q4637" i="1"/>
  <c r="R4637" i="1"/>
  <c r="L4637" i="1"/>
  <c r="Q4636" i="1"/>
  <c r="R4636" i="1"/>
  <c r="Q4635" i="1"/>
  <c r="R4635" i="1"/>
  <c r="L4635" i="1"/>
  <c r="Q4634" i="1"/>
  <c r="R4634" i="1"/>
  <c r="L4634" i="1"/>
  <c r="Q4633" i="1"/>
  <c r="R4633" i="1"/>
  <c r="Q4632" i="1"/>
  <c r="R4632" i="1"/>
  <c r="Q4631" i="1"/>
  <c r="R4631" i="1"/>
  <c r="Q4630" i="1"/>
  <c r="R4630" i="1"/>
  <c r="Q4629" i="1"/>
  <c r="R4629" i="1"/>
  <c r="Q4628" i="1"/>
  <c r="R4628" i="1"/>
  <c r="Q4627" i="1"/>
  <c r="R4627" i="1"/>
  <c r="Q4626" i="1"/>
  <c r="R4626" i="1"/>
  <c r="Q4625" i="1"/>
  <c r="R4625" i="1"/>
  <c r="L4625" i="1"/>
  <c r="Q4624" i="1"/>
  <c r="R4624" i="1"/>
  <c r="L4624" i="1"/>
  <c r="Q4623" i="1"/>
  <c r="R4623" i="1"/>
  <c r="L4623" i="1"/>
  <c r="Q4622" i="1"/>
  <c r="R4622" i="1"/>
  <c r="L4622" i="1"/>
  <c r="Q4621" i="1"/>
  <c r="R4621" i="1"/>
  <c r="Q4620" i="1"/>
  <c r="R4620" i="1"/>
  <c r="Q4619" i="1"/>
  <c r="R4619" i="1"/>
  <c r="Q4618" i="1"/>
  <c r="R4618" i="1"/>
  <c r="Q4617" i="1"/>
  <c r="R4617" i="1"/>
  <c r="Q4616" i="1"/>
  <c r="R4616" i="1"/>
  <c r="Q4615" i="1"/>
  <c r="R4615" i="1"/>
  <c r="Q4614" i="1"/>
  <c r="R4614" i="1"/>
  <c r="L4614" i="1"/>
  <c r="Q4613" i="1"/>
  <c r="R4613" i="1"/>
  <c r="L4613" i="1"/>
  <c r="Q4612" i="1"/>
  <c r="R4612" i="1"/>
  <c r="Q4611" i="1"/>
  <c r="R4611" i="1"/>
  <c r="L4611" i="1"/>
  <c r="Q4610" i="1"/>
  <c r="R4610" i="1"/>
  <c r="L4610" i="1"/>
  <c r="Q4609" i="1"/>
  <c r="R4609" i="1"/>
  <c r="L4609" i="1"/>
  <c r="Q4608" i="1"/>
  <c r="R4608" i="1"/>
  <c r="Q4607" i="1"/>
  <c r="R4607" i="1"/>
  <c r="L4607" i="1"/>
  <c r="Q4606" i="1"/>
  <c r="R4606" i="1"/>
  <c r="L4606" i="1"/>
  <c r="Q4605" i="1"/>
  <c r="R4605" i="1"/>
  <c r="Q4604" i="1"/>
  <c r="R4604" i="1"/>
  <c r="Q4603" i="1"/>
  <c r="R4603" i="1"/>
  <c r="Q4602" i="1"/>
  <c r="R4602" i="1"/>
  <c r="Q4601" i="1"/>
  <c r="R4601" i="1"/>
  <c r="Q4600" i="1"/>
  <c r="R4600" i="1"/>
  <c r="Q4599" i="1"/>
  <c r="R4599" i="1"/>
  <c r="Q4598" i="1"/>
  <c r="R4598" i="1"/>
  <c r="L4598" i="1"/>
  <c r="Q4597" i="1"/>
  <c r="R4597" i="1"/>
  <c r="L4597" i="1"/>
  <c r="Q4596" i="1"/>
  <c r="R4596" i="1"/>
  <c r="L4596" i="1"/>
  <c r="Q4595" i="1"/>
  <c r="R4595" i="1"/>
  <c r="Q4594" i="1"/>
  <c r="R4594" i="1"/>
  <c r="L4594" i="1"/>
  <c r="Q4593" i="1"/>
  <c r="R4593" i="1"/>
  <c r="Q4592" i="1"/>
  <c r="R4592" i="1"/>
  <c r="Q4591" i="1"/>
  <c r="R4591" i="1"/>
  <c r="L4591" i="1"/>
  <c r="Q4590" i="1"/>
  <c r="R4590" i="1"/>
  <c r="Q4589" i="1"/>
  <c r="R4589" i="1"/>
  <c r="Q4588" i="1"/>
  <c r="R4588" i="1"/>
  <c r="Q4587" i="1"/>
  <c r="R4587" i="1"/>
  <c r="Q4586" i="1"/>
  <c r="R4586" i="1"/>
  <c r="Q4585" i="1"/>
  <c r="R4585" i="1"/>
  <c r="Q4584" i="1"/>
  <c r="R4584" i="1"/>
  <c r="Q4583" i="1"/>
  <c r="R4583" i="1"/>
  <c r="L4583" i="1"/>
  <c r="Q4582" i="1"/>
  <c r="R4582" i="1"/>
  <c r="L4582" i="1"/>
  <c r="Q4581" i="1"/>
  <c r="R4581" i="1"/>
  <c r="Q4580" i="1"/>
  <c r="R4580" i="1"/>
  <c r="Q4579" i="1"/>
  <c r="R4579" i="1"/>
  <c r="L4579" i="1"/>
  <c r="Q4578" i="1"/>
  <c r="R4578" i="1"/>
  <c r="Q4577" i="1"/>
  <c r="R4577" i="1"/>
  <c r="Q4576" i="1"/>
  <c r="R4576" i="1"/>
  <c r="Q4575" i="1"/>
  <c r="R4575" i="1"/>
  <c r="Q4574" i="1"/>
  <c r="R4574" i="1"/>
  <c r="Q4573" i="1"/>
  <c r="R4573" i="1"/>
  <c r="Q4572" i="1"/>
  <c r="R4572" i="1"/>
  <c r="Q4571" i="1"/>
  <c r="R4571" i="1"/>
  <c r="L4571" i="1"/>
  <c r="Q4570" i="1"/>
  <c r="R4570" i="1"/>
  <c r="L4570" i="1"/>
  <c r="Q4569" i="1"/>
  <c r="R4569" i="1"/>
  <c r="L4569" i="1"/>
  <c r="Q4568" i="1"/>
  <c r="R4568" i="1"/>
  <c r="L4568" i="1"/>
  <c r="Q4567" i="1"/>
  <c r="R4567" i="1"/>
  <c r="L4567" i="1"/>
  <c r="Q4566" i="1"/>
  <c r="R4566" i="1"/>
  <c r="Q4565" i="1"/>
  <c r="R4565" i="1"/>
  <c r="Q4564" i="1"/>
  <c r="R4564" i="1"/>
  <c r="Q4563" i="1"/>
  <c r="R4563" i="1"/>
  <c r="Q4562" i="1"/>
  <c r="R4562" i="1"/>
  <c r="L4562" i="1"/>
  <c r="Q4561" i="1"/>
  <c r="R4561" i="1"/>
  <c r="L4561" i="1"/>
  <c r="Q4560" i="1"/>
  <c r="R4560" i="1"/>
  <c r="L4560" i="1"/>
  <c r="Q4559" i="1"/>
  <c r="R4559" i="1"/>
  <c r="L4559" i="1"/>
  <c r="Q4558" i="1"/>
  <c r="R4558" i="1"/>
  <c r="Q4557" i="1"/>
  <c r="R4557" i="1"/>
  <c r="Q4556" i="1"/>
  <c r="R4556" i="1"/>
  <c r="Q4555" i="1"/>
  <c r="R4555" i="1"/>
  <c r="L4555" i="1"/>
  <c r="Q4554" i="1"/>
  <c r="R4554" i="1"/>
  <c r="Q4553" i="1"/>
  <c r="R4553" i="1"/>
  <c r="Q4552" i="1"/>
  <c r="R4552" i="1"/>
  <c r="Q4551" i="1"/>
  <c r="R4551" i="1"/>
  <c r="Q4550" i="1"/>
  <c r="R4550" i="1"/>
  <c r="Q4549" i="1"/>
  <c r="R4549" i="1"/>
  <c r="L4549" i="1"/>
  <c r="Q4548" i="1"/>
  <c r="R4548" i="1"/>
  <c r="L4548" i="1"/>
  <c r="Q4547" i="1"/>
  <c r="R4547" i="1"/>
  <c r="L4547" i="1"/>
  <c r="Q4546" i="1"/>
  <c r="R4546" i="1"/>
  <c r="L4546" i="1"/>
  <c r="Q4545" i="1"/>
  <c r="R4545" i="1"/>
  <c r="L4545" i="1"/>
  <c r="Q4544" i="1"/>
  <c r="R4544" i="1"/>
  <c r="Q4543" i="1"/>
  <c r="R4543" i="1"/>
  <c r="Q4542" i="1"/>
  <c r="R4542" i="1"/>
  <c r="Q4541" i="1"/>
  <c r="R4541" i="1"/>
  <c r="Q4540" i="1"/>
  <c r="R4540" i="1"/>
  <c r="Q4539" i="1"/>
  <c r="R4539" i="1"/>
  <c r="Q4538" i="1"/>
  <c r="R4538" i="1"/>
  <c r="Q4537" i="1"/>
  <c r="R4537" i="1"/>
  <c r="L4537" i="1"/>
  <c r="Q4536" i="1"/>
  <c r="R4536" i="1"/>
  <c r="L4536" i="1"/>
  <c r="Q4535" i="1"/>
  <c r="R4535" i="1"/>
  <c r="L4535" i="1"/>
  <c r="Q4534" i="1"/>
  <c r="R4534" i="1"/>
  <c r="L4534" i="1"/>
  <c r="Q4533" i="1"/>
  <c r="R4533" i="1"/>
  <c r="L4533" i="1"/>
  <c r="Q4532" i="1"/>
  <c r="R4532" i="1"/>
  <c r="Q4531" i="1"/>
  <c r="R4531" i="1"/>
  <c r="Q4530" i="1"/>
  <c r="R4530" i="1"/>
  <c r="Q4529" i="1"/>
  <c r="R4529" i="1"/>
  <c r="Q4528" i="1"/>
  <c r="R4528" i="1"/>
  <c r="Q4527" i="1"/>
  <c r="R4527" i="1"/>
  <c r="Q4526" i="1"/>
  <c r="R4526" i="1"/>
  <c r="Q4525" i="1"/>
  <c r="R4525" i="1"/>
  <c r="L4525" i="1"/>
  <c r="Q4524" i="1"/>
  <c r="R4524" i="1"/>
  <c r="L4524" i="1"/>
  <c r="Q4523" i="1"/>
  <c r="R4523" i="1"/>
  <c r="L4523" i="1"/>
  <c r="Q4522" i="1"/>
  <c r="R4522" i="1"/>
  <c r="Q4521" i="1"/>
  <c r="R4521" i="1"/>
  <c r="L4521" i="1"/>
  <c r="Q4520" i="1"/>
  <c r="R4520" i="1"/>
  <c r="Q4519" i="1"/>
  <c r="R4519" i="1"/>
  <c r="Q4518" i="1"/>
  <c r="R4518" i="1"/>
  <c r="Q4517" i="1"/>
  <c r="R4517" i="1"/>
  <c r="Q4516" i="1"/>
  <c r="R4516" i="1"/>
  <c r="Q4515" i="1"/>
  <c r="R4515" i="1"/>
  <c r="Q4514" i="1"/>
  <c r="R4514" i="1"/>
  <c r="Q4513" i="1"/>
  <c r="R4513" i="1"/>
  <c r="L4513" i="1"/>
  <c r="Q4512" i="1"/>
  <c r="R4512" i="1"/>
  <c r="L4512" i="1"/>
  <c r="Q4511" i="1"/>
  <c r="R4511" i="1"/>
  <c r="L4511" i="1"/>
  <c r="Q4510" i="1"/>
  <c r="R4510" i="1"/>
  <c r="L4510" i="1"/>
  <c r="Q4509" i="1"/>
  <c r="R4509" i="1"/>
  <c r="L4509" i="1"/>
  <c r="Q4508" i="1"/>
  <c r="R4508" i="1"/>
  <c r="Q4507" i="1"/>
  <c r="R4507" i="1"/>
  <c r="Q4506" i="1"/>
  <c r="R4506" i="1"/>
  <c r="Q4505" i="1"/>
  <c r="R4505" i="1"/>
  <c r="Q4504" i="1"/>
  <c r="R4504" i="1"/>
  <c r="Q4503" i="1"/>
  <c r="R4503" i="1"/>
  <c r="Q4502" i="1"/>
  <c r="R4502" i="1"/>
  <c r="Q4501" i="1"/>
  <c r="R4501" i="1"/>
  <c r="L4501" i="1"/>
  <c r="Q4500" i="1"/>
  <c r="R4500" i="1"/>
  <c r="L4500" i="1"/>
  <c r="Q4499" i="1"/>
  <c r="R4499" i="1"/>
  <c r="Q4498" i="1"/>
  <c r="R4498" i="1"/>
  <c r="L4498" i="1"/>
  <c r="Q4497" i="1"/>
  <c r="R4497" i="1"/>
  <c r="L4497" i="1"/>
  <c r="Q4496" i="1"/>
  <c r="R4496" i="1"/>
  <c r="Q4495" i="1"/>
  <c r="R4495" i="1"/>
  <c r="Q4494" i="1"/>
  <c r="R4494" i="1"/>
  <c r="Q4493" i="1"/>
  <c r="R4493" i="1"/>
  <c r="Q4492" i="1"/>
  <c r="R4492" i="1"/>
  <c r="Q4491" i="1"/>
  <c r="R4491" i="1"/>
  <c r="Q4490" i="1"/>
  <c r="R4490" i="1"/>
  <c r="Q4489" i="1"/>
  <c r="R4489" i="1"/>
  <c r="L4489" i="1"/>
  <c r="Q4488" i="1"/>
  <c r="R4488" i="1"/>
  <c r="L4488" i="1"/>
  <c r="Q4487" i="1"/>
  <c r="R4487" i="1"/>
  <c r="Q4486" i="1"/>
  <c r="R4486" i="1"/>
  <c r="L4486" i="1"/>
  <c r="Q4485" i="1"/>
  <c r="R4485" i="1"/>
  <c r="L4485" i="1"/>
  <c r="Q4484" i="1"/>
  <c r="R4484" i="1"/>
  <c r="Q4483" i="1"/>
  <c r="R4483" i="1"/>
  <c r="Q4482" i="1"/>
  <c r="R4482" i="1"/>
  <c r="Q4481" i="1"/>
  <c r="R4481" i="1"/>
  <c r="Q4480" i="1"/>
  <c r="R4480" i="1"/>
  <c r="Q4479" i="1"/>
  <c r="R4479" i="1"/>
  <c r="Q4478" i="1"/>
  <c r="R4478" i="1"/>
  <c r="Q4477" i="1"/>
  <c r="R4477" i="1"/>
  <c r="L4477" i="1"/>
  <c r="Q4476" i="1"/>
  <c r="R4476" i="1"/>
  <c r="L4476" i="1"/>
  <c r="Q4475" i="1"/>
  <c r="R4475" i="1"/>
  <c r="L4475" i="1"/>
  <c r="Q4474" i="1"/>
  <c r="R4474" i="1"/>
  <c r="L4474" i="1"/>
  <c r="Q4473" i="1"/>
  <c r="R4473" i="1"/>
  <c r="L4473" i="1"/>
  <c r="Q4472" i="1"/>
  <c r="R4472" i="1"/>
  <c r="Q4471" i="1"/>
  <c r="R4471" i="1"/>
  <c r="Q4470" i="1"/>
  <c r="R4470" i="1"/>
  <c r="Q4469" i="1"/>
  <c r="R4469" i="1"/>
  <c r="Q4468" i="1"/>
  <c r="R4468" i="1"/>
  <c r="Q4467" i="1"/>
  <c r="R4467" i="1"/>
  <c r="Q4466" i="1"/>
  <c r="R4466" i="1"/>
  <c r="Q4465" i="1"/>
  <c r="R4465" i="1"/>
  <c r="L4465" i="1"/>
  <c r="Q4464" i="1"/>
  <c r="R4464" i="1"/>
  <c r="L4464" i="1"/>
  <c r="Q4463" i="1"/>
  <c r="R4463" i="1"/>
  <c r="L4463" i="1"/>
  <c r="Q4462" i="1"/>
  <c r="R4462" i="1"/>
  <c r="L4462" i="1"/>
  <c r="Q4461" i="1"/>
  <c r="R4461" i="1"/>
  <c r="L4461" i="1"/>
  <c r="Q4460" i="1"/>
  <c r="R4460" i="1"/>
  <c r="Q4459" i="1"/>
  <c r="R4459" i="1"/>
  <c r="Q4458" i="1"/>
  <c r="R4458" i="1"/>
  <c r="Q4457" i="1"/>
  <c r="R4457" i="1"/>
  <c r="Q4456" i="1"/>
  <c r="R4456" i="1"/>
  <c r="Q4455" i="1"/>
  <c r="R4455" i="1"/>
  <c r="Q4454" i="1"/>
  <c r="R4454" i="1"/>
  <c r="L4454" i="1"/>
  <c r="Q4453" i="1"/>
  <c r="R4453" i="1"/>
  <c r="Q4452" i="1"/>
  <c r="R4452" i="1"/>
  <c r="L4452" i="1"/>
  <c r="Q4451" i="1"/>
  <c r="R4451" i="1"/>
  <c r="L4451" i="1"/>
  <c r="Q4450" i="1"/>
  <c r="R4450" i="1"/>
  <c r="Q4449" i="1"/>
  <c r="R4449" i="1"/>
  <c r="Q4448" i="1"/>
  <c r="R4448" i="1"/>
  <c r="Q4447" i="1"/>
  <c r="R4447" i="1"/>
  <c r="Q4446" i="1"/>
  <c r="R4446" i="1"/>
  <c r="Q4445" i="1"/>
  <c r="R4445" i="1"/>
  <c r="Q4444" i="1"/>
  <c r="R4444" i="1"/>
  <c r="Q4443" i="1"/>
  <c r="R4443" i="1"/>
  <c r="L4443" i="1"/>
  <c r="Q4442" i="1"/>
  <c r="R4442" i="1"/>
  <c r="L4442" i="1"/>
  <c r="Q4441" i="1"/>
  <c r="R4441" i="1"/>
  <c r="Q4440" i="1"/>
  <c r="R4440" i="1"/>
  <c r="L4440" i="1"/>
  <c r="Q4439" i="1"/>
  <c r="R4439" i="1"/>
  <c r="L4439" i="1"/>
  <c r="Q4438" i="1"/>
  <c r="R4438" i="1"/>
  <c r="Q4437" i="1"/>
  <c r="R4437" i="1"/>
  <c r="Q4436" i="1"/>
  <c r="R4436" i="1"/>
  <c r="Q4435" i="1"/>
  <c r="R4435" i="1"/>
  <c r="Q4434" i="1"/>
  <c r="R4434" i="1"/>
  <c r="Q4433" i="1"/>
  <c r="R4433" i="1"/>
  <c r="Q4432" i="1"/>
  <c r="R4432" i="1"/>
  <c r="Q4431" i="1"/>
  <c r="R4431" i="1"/>
  <c r="L4431" i="1"/>
  <c r="Q4430" i="1"/>
  <c r="R4430" i="1"/>
  <c r="L4430" i="1"/>
  <c r="Q4429" i="1"/>
  <c r="R4429" i="1"/>
  <c r="Q4428" i="1"/>
  <c r="R4428" i="1"/>
  <c r="L4428" i="1"/>
  <c r="Q4427" i="1"/>
  <c r="R4427" i="1"/>
  <c r="Q4426" i="1"/>
  <c r="R4426" i="1"/>
  <c r="Q4425" i="1"/>
  <c r="R4425" i="1"/>
  <c r="Q4424" i="1"/>
  <c r="R4424" i="1"/>
  <c r="L4424" i="1"/>
  <c r="Q4423" i="1"/>
  <c r="R4423" i="1"/>
  <c r="L4423" i="1"/>
  <c r="Q4422" i="1"/>
  <c r="R4422" i="1"/>
  <c r="L4422" i="1"/>
  <c r="Q4421" i="1"/>
  <c r="R4421" i="1"/>
  <c r="Q4420" i="1"/>
  <c r="R4420" i="1"/>
  <c r="Q4419" i="1"/>
  <c r="R4419" i="1"/>
  <c r="Q4418" i="1"/>
  <c r="R4418" i="1"/>
  <c r="Q4417" i="1"/>
  <c r="R4417" i="1"/>
  <c r="Q4416" i="1"/>
  <c r="R4416" i="1"/>
  <c r="L4416" i="1"/>
  <c r="Q4415" i="1"/>
  <c r="R4415" i="1"/>
  <c r="Q4414" i="1"/>
  <c r="R4414" i="1"/>
  <c r="Q4413" i="1"/>
  <c r="R4413" i="1"/>
  <c r="Q4412" i="1"/>
  <c r="R4412" i="1"/>
  <c r="Q4411" i="1"/>
  <c r="R4411" i="1"/>
  <c r="Q4410" i="1"/>
  <c r="R4410" i="1"/>
  <c r="Q4409" i="1"/>
  <c r="R4409" i="1"/>
  <c r="Q4408" i="1"/>
  <c r="R4408" i="1"/>
  <c r="L4408" i="1"/>
  <c r="Q4407" i="1"/>
  <c r="R4407" i="1"/>
  <c r="L4407" i="1"/>
  <c r="Q4406" i="1"/>
  <c r="R4406" i="1"/>
  <c r="L4406" i="1"/>
  <c r="Q4405" i="1"/>
  <c r="R4405" i="1"/>
  <c r="Q4404" i="1"/>
  <c r="R4404" i="1"/>
  <c r="L4404" i="1"/>
  <c r="Q4403" i="1"/>
  <c r="R4403" i="1"/>
  <c r="Q4402" i="1"/>
  <c r="R4402" i="1"/>
  <c r="Q4401" i="1"/>
  <c r="R4401" i="1"/>
  <c r="Q4400" i="1"/>
  <c r="R4400" i="1"/>
  <c r="Q4399" i="1"/>
  <c r="R4399" i="1"/>
  <c r="Q4398" i="1"/>
  <c r="R4398" i="1"/>
  <c r="Q4397" i="1"/>
  <c r="R4397" i="1"/>
  <c r="Q4396" i="1"/>
  <c r="R4396" i="1"/>
  <c r="L4396" i="1"/>
  <c r="Q4395" i="1"/>
  <c r="R4395" i="1"/>
  <c r="L4395" i="1"/>
  <c r="Q4394" i="1"/>
  <c r="R4394" i="1"/>
  <c r="L4394" i="1"/>
  <c r="Q4393" i="1"/>
  <c r="R4393" i="1"/>
  <c r="L4393" i="1"/>
  <c r="Q4392" i="1"/>
  <c r="R4392" i="1"/>
  <c r="L4392" i="1"/>
  <c r="Q4391" i="1"/>
  <c r="R4391" i="1"/>
  <c r="Q4390" i="1"/>
  <c r="R4390" i="1"/>
  <c r="Q4389" i="1"/>
  <c r="R4389" i="1"/>
  <c r="Q4388" i="1"/>
  <c r="R4388" i="1"/>
  <c r="Q4387" i="1"/>
  <c r="R4387" i="1"/>
  <c r="Q4386" i="1"/>
  <c r="R4386" i="1"/>
  <c r="Q4385" i="1"/>
  <c r="R4385" i="1"/>
  <c r="Q4384" i="1"/>
  <c r="R4384" i="1"/>
  <c r="L4384" i="1"/>
  <c r="Q4383" i="1"/>
  <c r="R4383" i="1"/>
  <c r="L4383" i="1"/>
  <c r="Q4382" i="1"/>
  <c r="R4382" i="1"/>
  <c r="L4382" i="1"/>
  <c r="Q4381" i="1"/>
  <c r="R4381" i="1"/>
  <c r="L4381" i="1"/>
  <c r="Q4380" i="1"/>
  <c r="R4380" i="1"/>
  <c r="L4380" i="1"/>
  <c r="Q4379" i="1"/>
  <c r="R4379" i="1"/>
  <c r="Q4378" i="1"/>
  <c r="R4378" i="1"/>
  <c r="Q4377" i="1"/>
  <c r="R4377" i="1"/>
  <c r="Q4376" i="1"/>
  <c r="R4376" i="1"/>
  <c r="Q4375" i="1"/>
  <c r="R4375" i="1"/>
  <c r="Q4374" i="1"/>
  <c r="R4374" i="1"/>
  <c r="Q4373" i="1"/>
  <c r="R4373" i="1"/>
  <c r="Q4372" i="1"/>
  <c r="R4372" i="1"/>
  <c r="L4372" i="1"/>
  <c r="Q4371" i="1"/>
  <c r="R4371" i="1"/>
  <c r="L4371" i="1"/>
  <c r="Q4370" i="1"/>
  <c r="R4370" i="1"/>
  <c r="L4370" i="1"/>
  <c r="Q4369" i="1"/>
  <c r="R4369" i="1"/>
  <c r="Q4368" i="1"/>
  <c r="R4368" i="1"/>
  <c r="L4368" i="1"/>
  <c r="Q4367" i="1"/>
  <c r="R4367" i="1"/>
  <c r="Q4366" i="1"/>
  <c r="R4366" i="1"/>
  <c r="Q4365" i="1"/>
  <c r="R4365" i="1"/>
  <c r="Q4364" i="1"/>
  <c r="R4364" i="1"/>
  <c r="Q4363" i="1"/>
  <c r="R4363" i="1"/>
  <c r="Q4362" i="1"/>
  <c r="R4362" i="1"/>
  <c r="Q4361" i="1"/>
  <c r="R4361" i="1"/>
  <c r="Q4360" i="1"/>
  <c r="R4360" i="1"/>
  <c r="L4360" i="1"/>
  <c r="Q4359" i="1"/>
  <c r="R4359" i="1"/>
  <c r="L4359" i="1"/>
  <c r="Q4358" i="1"/>
  <c r="R4358" i="1"/>
  <c r="Q4357" i="1"/>
  <c r="R4357" i="1"/>
  <c r="Q4356" i="1"/>
  <c r="R4356" i="1"/>
  <c r="Q4355" i="1"/>
  <c r="R4355" i="1"/>
  <c r="Q4354" i="1"/>
  <c r="R4354" i="1"/>
  <c r="L4354" i="1"/>
  <c r="Q4353" i="1"/>
  <c r="R4353" i="1"/>
  <c r="L4353" i="1"/>
  <c r="Q4352" i="1"/>
  <c r="R4352" i="1"/>
  <c r="L4352" i="1"/>
  <c r="Q4351" i="1"/>
  <c r="R4351" i="1"/>
  <c r="Q4350" i="1"/>
  <c r="R4350" i="1"/>
  <c r="Q4349" i="1"/>
  <c r="R4349" i="1"/>
  <c r="Q4348" i="1"/>
  <c r="R4348" i="1"/>
  <c r="L4348" i="1"/>
  <c r="Q4347" i="1"/>
  <c r="R4347" i="1"/>
  <c r="L4347" i="1"/>
  <c r="Q4346" i="1"/>
  <c r="R4346" i="1"/>
  <c r="L4346" i="1"/>
  <c r="Q4345" i="1"/>
  <c r="R4345" i="1"/>
  <c r="Q4344" i="1"/>
  <c r="R4344" i="1"/>
  <c r="L4344" i="1"/>
  <c r="Q4343" i="1"/>
  <c r="R4343" i="1"/>
  <c r="Q4342" i="1"/>
  <c r="R4342" i="1"/>
  <c r="Q4341" i="1"/>
  <c r="R4341" i="1"/>
  <c r="Q4340" i="1"/>
  <c r="R4340" i="1"/>
  <c r="Q4339" i="1"/>
  <c r="R4339" i="1"/>
  <c r="Q4338" i="1"/>
  <c r="R4338" i="1"/>
  <c r="Q4337" i="1"/>
  <c r="R4337" i="1"/>
  <c r="Q4336" i="1"/>
  <c r="R4336" i="1"/>
  <c r="L4336" i="1"/>
  <c r="Q4335" i="1"/>
  <c r="R4335" i="1"/>
  <c r="L4335" i="1"/>
  <c r="Q4334" i="1"/>
  <c r="R4334" i="1"/>
  <c r="L4334" i="1"/>
  <c r="Q4333" i="1"/>
  <c r="R4333" i="1"/>
  <c r="Q4332" i="1"/>
  <c r="R4332" i="1"/>
  <c r="L4332" i="1"/>
  <c r="Q4331" i="1"/>
  <c r="R4331" i="1"/>
  <c r="Q4330" i="1"/>
  <c r="R4330" i="1"/>
  <c r="Q4329" i="1"/>
  <c r="R4329" i="1"/>
  <c r="Q4328" i="1"/>
  <c r="R4328" i="1"/>
  <c r="Q4327" i="1"/>
  <c r="R4327" i="1"/>
  <c r="Q4326" i="1"/>
  <c r="R4326" i="1"/>
  <c r="Q4325" i="1"/>
  <c r="R4325" i="1"/>
  <c r="Q4324" i="1"/>
  <c r="R4324" i="1"/>
  <c r="L4324" i="1"/>
  <c r="Q4323" i="1"/>
  <c r="R4323" i="1"/>
  <c r="L4323" i="1"/>
  <c r="Q4322" i="1"/>
  <c r="R4322" i="1"/>
  <c r="L4322" i="1"/>
  <c r="Q4321" i="1"/>
  <c r="R4321" i="1"/>
  <c r="L4321" i="1"/>
  <c r="Q4320" i="1"/>
  <c r="R4320" i="1"/>
  <c r="Q4319" i="1"/>
  <c r="R4319" i="1"/>
  <c r="Q4318" i="1"/>
  <c r="R4318" i="1"/>
  <c r="Q4317" i="1"/>
  <c r="R4317" i="1"/>
  <c r="Q4316" i="1"/>
  <c r="R4316" i="1"/>
  <c r="L4316" i="1"/>
  <c r="Q4315" i="1"/>
  <c r="R4315" i="1"/>
  <c r="Q4314" i="1"/>
  <c r="R4314" i="1"/>
  <c r="Q4313" i="1"/>
  <c r="R4313" i="1"/>
  <c r="Q4312" i="1"/>
  <c r="R4312" i="1"/>
  <c r="L4312" i="1"/>
  <c r="Q4311" i="1"/>
  <c r="R4311" i="1"/>
  <c r="L4311" i="1"/>
  <c r="Q4310" i="1"/>
  <c r="R4310" i="1"/>
  <c r="Q4309" i="1"/>
  <c r="R4309" i="1"/>
  <c r="L4309" i="1"/>
  <c r="Q4308" i="1"/>
  <c r="R4308" i="1"/>
  <c r="L4308" i="1"/>
  <c r="Q4307" i="1"/>
  <c r="R4307" i="1"/>
  <c r="Q4306" i="1"/>
  <c r="R4306" i="1"/>
  <c r="Q4305" i="1"/>
  <c r="R4305" i="1"/>
  <c r="Q4304" i="1"/>
  <c r="R4304" i="1"/>
  <c r="Q4303" i="1"/>
  <c r="R4303" i="1"/>
  <c r="Q4302" i="1"/>
  <c r="R4302" i="1"/>
  <c r="Q4301" i="1"/>
  <c r="R4301" i="1"/>
  <c r="Q4300" i="1"/>
  <c r="R4300" i="1"/>
  <c r="L4300" i="1"/>
  <c r="Q4299" i="1"/>
  <c r="R4299" i="1"/>
  <c r="L4299" i="1"/>
  <c r="Q4298" i="1"/>
  <c r="R4298" i="1"/>
  <c r="Q4297" i="1"/>
  <c r="R4297" i="1"/>
  <c r="L4297" i="1"/>
  <c r="Q4296" i="1"/>
  <c r="R4296" i="1"/>
  <c r="L4296" i="1"/>
  <c r="Q4295" i="1"/>
  <c r="R4295" i="1"/>
  <c r="Q4294" i="1"/>
  <c r="R4294" i="1"/>
  <c r="Q4293" i="1"/>
  <c r="R4293" i="1"/>
  <c r="Q4292" i="1"/>
  <c r="R4292" i="1"/>
  <c r="Q4291" i="1"/>
  <c r="R4291" i="1"/>
  <c r="Q4290" i="1"/>
  <c r="R4290" i="1"/>
  <c r="Q4289" i="1"/>
  <c r="R4289" i="1"/>
  <c r="Q4288" i="1"/>
  <c r="R4288" i="1"/>
  <c r="L4288" i="1"/>
  <c r="Q4287" i="1"/>
  <c r="R4287" i="1"/>
  <c r="L4287" i="1"/>
  <c r="Q4286" i="1"/>
  <c r="R4286" i="1"/>
  <c r="L4286" i="1"/>
  <c r="Q4285" i="1"/>
  <c r="R4285" i="1"/>
  <c r="L4285" i="1"/>
  <c r="Q4284" i="1"/>
  <c r="R4284" i="1"/>
  <c r="L4284" i="1"/>
  <c r="Q4283" i="1"/>
  <c r="R4283" i="1"/>
  <c r="Q4282" i="1"/>
  <c r="R4282" i="1"/>
  <c r="Q4281" i="1"/>
  <c r="R4281" i="1"/>
  <c r="Q4280" i="1"/>
  <c r="R4280" i="1"/>
  <c r="L4280" i="1"/>
  <c r="Q4279" i="1"/>
  <c r="R4279" i="1"/>
  <c r="L4279" i="1"/>
  <c r="Q4278" i="1"/>
  <c r="R4278" i="1"/>
  <c r="L4278" i="1"/>
  <c r="Q4277" i="1"/>
  <c r="R4277" i="1"/>
  <c r="Q4276" i="1"/>
  <c r="R4276" i="1"/>
  <c r="L4276" i="1"/>
  <c r="Q4275" i="1"/>
  <c r="R4275" i="1"/>
  <c r="Q4274" i="1"/>
  <c r="R4274" i="1"/>
  <c r="Q4273" i="1"/>
  <c r="R4273" i="1"/>
  <c r="Q4272" i="1"/>
  <c r="R4272" i="1"/>
  <c r="L4272" i="1"/>
  <c r="Q4271" i="1"/>
  <c r="R4271" i="1"/>
  <c r="L4271" i="1"/>
  <c r="Q4270" i="1"/>
  <c r="R4270" i="1"/>
  <c r="L4270" i="1"/>
  <c r="Q4269" i="1"/>
  <c r="R4269" i="1"/>
  <c r="Q4268" i="1"/>
  <c r="R4268" i="1"/>
  <c r="L4268" i="1"/>
  <c r="Q4267" i="1"/>
  <c r="R4267" i="1"/>
  <c r="Q4266" i="1"/>
  <c r="R4266" i="1"/>
  <c r="Q4265" i="1"/>
  <c r="R4265" i="1"/>
  <c r="Q4264" i="1"/>
  <c r="R4264" i="1"/>
  <c r="Q4263" i="1"/>
  <c r="R4263" i="1"/>
  <c r="Q4262" i="1"/>
  <c r="R4262" i="1"/>
  <c r="Q4261" i="1"/>
  <c r="R4261" i="1"/>
  <c r="Q4260" i="1"/>
  <c r="R4260" i="1"/>
  <c r="L4260" i="1"/>
  <c r="Q4259" i="1"/>
  <c r="R4259" i="1"/>
  <c r="L4259" i="1"/>
  <c r="Q4258" i="1"/>
  <c r="R4258" i="1"/>
  <c r="L4258" i="1"/>
  <c r="Q4257" i="1"/>
  <c r="R4257" i="1"/>
  <c r="Q4256" i="1"/>
  <c r="R4256" i="1"/>
  <c r="L4256" i="1"/>
  <c r="Q4255" i="1"/>
  <c r="R4255" i="1"/>
  <c r="L4255" i="1"/>
  <c r="Q4254" i="1"/>
  <c r="R4254" i="1"/>
  <c r="Q4253" i="1"/>
  <c r="R4253" i="1"/>
  <c r="Q4252" i="1"/>
  <c r="R4252" i="1"/>
  <c r="Q4251" i="1"/>
  <c r="R4251" i="1"/>
  <c r="Q4250" i="1"/>
  <c r="R4250" i="1"/>
  <c r="Q4249" i="1"/>
  <c r="R4249" i="1"/>
  <c r="Q4248" i="1"/>
  <c r="R4248" i="1"/>
  <c r="L4248" i="1"/>
  <c r="Q4247" i="1"/>
  <c r="R4247" i="1"/>
  <c r="L4247" i="1"/>
  <c r="Q4246" i="1"/>
  <c r="R4246" i="1"/>
  <c r="L4246" i="1"/>
  <c r="Q4245" i="1"/>
  <c r="R4245" i="1"/>
  <c r="L4245" i="1"/>
  <c r="Q4244" i="1"/>
  <c r="R4244" i="1"/>
  <c r="L4244" i="1"/>
  <c r="Q4243" i="1"/>
  <c r="R4243" i="1"/>
  <c r="Q4242" i="1"/>
  <c r="R4242" i="1"/>
  <c r="Q4241" i="1"/>
  <c r="R4241" i="1"/>
  <c r="L4241" i="1"/>
  <c r="Q4240" i="1"/>
  <c r="R4240" i="1"/>
  <c r="L4240" i="1"/>
  <c r="Q4239" i="1"/>
  <c r="R4239" i="1"/>
  <c r="Q4238" i="1"/>
  <c r="R4238" i="1"/>
  <c r="Q4237" i="1"/>
  <c r="R4237" i="1"/>
  <c r="Q4236" i="1"/>
  <c r="R4236" i="1"/>
  <c r="Q4235" i="1"/>
  <c r="R4235" i="1"/>
  <c r="Q4234" i="1"/>
  <c r="R4234" i="1"/>
  <c r="Q4233" i="1"/>
  <c r="R4233" i="1"/>
  <c r="Q4232" i="1"/>
  <c r="R4232" i="1"/>
  <c r="L4232" i="1"/>
  <c r="Q4231" i="1"/>
  <c r="R4231" i="1"/>
  <c r="L4231" i="1"/>
  <c r="Q4230" i="1"/>
  <c r="R4230" i="1"/>
  <c r="L4230" i="1"/>
  <c r="Q4229" i="1"/>
  <c r="R4229" i="1"/>
  <c r="L4229" i="1"/>
  <c r="Q4228" i="1"/>
  <c r="R4228" i="1"/>
  <c r="L4228" i="1"/>
  <c r="Q4227" i="1"/>
  <c r="R4227" i="1"/>
  <c r="Q4226" i="1"/>
  <c r="R4226" i="1"/>
  <c r="Q4225" i="1"/>
  <c r="R4225" i="1"/>
  <c r="Q4224" i="1"/>
  <c r="R4224" i="1"/>
  <c r="Q4223" i="1"/>
  <c r="R4223" i="1"/>
  <c r="Q4222" i="1"/>
  <c r="R4222" i="1"/>
  <c r="Q4221" i="1"/>
  <c r="R4221" i="1"/>
  <c r="Q4220" i="1"/>
  <c r="R4220" i="1"/>
  <c r="L4220" i="1"/>
  <c r="Q4219" i="1"/>
  <c r="R4219" i="1"/>
  <c r="L4219" i="1"/>
  <c r="Q4218" i="1"/>
  <c r="R4218" i="1"/>
  <c r="L4218" i="1"/>
  <c r="Q4217" i="1"/>
  <c r="R4217" i="1"/>
  <c r="Q4216" i="1"/>
  <c r="R4216" i="1"/>
  <c r="L4216" i="1"/>
  <c r="Q4215" i="1"/>
  <c r="R4215" i="1"/>
  <c r="Q4214" i="1"/>
  <c r="R4214" i="1"/>
  <c r="Q4213" i="1"/>
  <c r="R4213" i="1"/>
  <c r="Q4212" i="1"/>
  <c r="R4212" i="1"/>
  <c r="Q4211" i="1"/>
  <c r="R4211" i="1"/>
  <c r="Q4210" i="1"/>
  <c r="R4210" i="1"/>
  <c r="Q4209" i="1"/>
  <c r="R4209" i="1"/>
  <c r="Q4208" i="1"/>
  <c r="R4208" i="1"/>
  <c r="L4208" i="1"/>
  <c r="Q4207" i="1"/>
  <c r="R4207" i="1"/>
  <c r="L4207" i="1"/>
  <c r="Q4206" i="1"/>
  <c r="R4206" i="1"/>
  <c r="L4206" i="1"/>
  <c r="Q4205" i="1"/>
  <c r="R4205" i="1"/>
  <c r="L4205" i="1"/>
  <c r="Q4204" i="1"/>
  <c r="R4204" i="1"/>
  <c r="L4204" i="1"/>
  <c r="Q4203" i="1"/>
  <c r="R4203" i="1"/>
  <c r="Q4202" i="1"/>
  <c r="R4202" i="1"/>
  <c r="Q4201" i="1"/>
  <c r="R4201" i="1"/>
  <c r="Q4200" i="1"/>
  <c r="R4200" i="1"/>
  <c r="Q4199" i="1"/>
  <c r="R4199" i="1"/>
  <c r="Q4198" i="1"/>
  <c r="R4198" i="1"/>
  <c r="Q4197" i="1"/>
  <c r="R4197" i="1"/>
  <c r="Q4196" i="1"/>
  <c r="R4196" i="1"/>
  <c r="L4196" i="1"/>
  <c r="Q4195" i="1"/>
  <c r="R4195" i="1"/>
  <c r="L4195" i="1"/>
  <c r="Q4194" i="1"/>
  <c r="R4194" i="1"/>
  <c r="Q4193" i="1"/>
  <c r="R4193" i="1"/>
  <c r="L4193" i="1"/>
  <c r="Q4192" i="1"/>
  <c r="R4192" i="1"/>
  <c r="L4192" i="1"/>
  <c r="Q4191" i="1"/>
  <c r="R4191" i="1"/>
  <c r="Q4190" i="1"/>
  <c r="R4190" i="1"/>
  <c r="Q4189" i="1"/>
  <c r="R4189" i="1"/>
  <c r="Q4188" i="1"/>
  <c r="R4188" i="1"/>
  <c r="Q4187" i="1"/>
  <c r="R4187" i="1"/>
  <c r="Q4186" i="1"/>
  <c r="R4186" i="1"/>
  <c r="Q4185" i="1"/>
  <c r="R4185" i="1"/>
  <c r="Q4184" i="1"/>
  <c r="R4184" i="1"/>
  <c r="L4184" i="1"/>
  <c r="Q4183" i="1"/>
  <c r="R4183" i="1"/>
  <c r="L4183" i="1"/>
  <c r="Q4182" i="1"/>
  <c r="R4182" i="1"/>
  <c r="L4182" i="1"/>
  <c r="Q4181" i="1"/>
  <c r="R4181" i="1"/>
  <c r="L4181" i="1"/>
  <c r="Q4180" i="1"/>
  <c r="R4180" i="1"/>
  <c r="L4180" i="1"/>
  <c r="Q4179" i="1"/>
  <c r="R4179" i="1"/>
  <c r="Q4178" i="1"/>
  <c r="R4178" i="1"/>
  <c r="Q4177" i="1"/>
  <c r="R4177" i="1"/>
  <c r="Q4176" i="1"/>
  <c r="R4176" i="1"/>
  <c r="Q4175" i="1"/>
  <c r="R4175" i="1"/>
  <c r="Q4174" i="1"/>
  <c r="R4174" i="1"/>
  <c r="Q4173" i="1"/>
  <c r="R4173" i="1"/>
  <c r="Q4172" i="1"/>
  <c r="R4172" i="1"/>
  <c r="L4172" i="1"/>
  <c r="Q4171" i="1"/>
  <c r="R4171" i="1"/>
  <c r="L4171" i="1"/>
  <c r="Q4170" i="1"/>
  <c r="R4170" i="1"/>
  <c r="L4170" i="1"/>
  <c r="Q4169" i="1"/>
  <c r="R4169" i="1"/>
  <c r="Q4168" i="1"/>
  <c r="R4168" i="1"/>
  <c r="L4168" i="1"/>
  <c r="Q4167" i="1"/>
  <c r="R4167" i="1"/>
  <c r="Q4166" i="1"/>
  <c r="R4166" i="1"/>
  <c r="Q4165" i="1"/>
  <c r="R4165" i="1"/>
  <c r="Q4164" i="1"/>
  <c r="R4164" i="1"/>
  <c r="Q4163" i="1"/>
  <c r="R4163" i="1"/>
  <c r="Q4162" i="1"/>
  <c r="R4162" i="1"/>
  <c r="Q4161" i="1"/>
  <c r="R4161" i="1"/>
  <c r="Q4160" i="1"/>
  <c r="R4160" i="1"/>
  <c r="Q4159" i="1"/>
  <c r="R4159" i="1"/>
  <c r="Q4158" i="1"/>
  <c r="R4158" i="1"/>
  <c r="Q4157" i="1"/>
  <c r="R4157" i="1"/>
  <c r="Q4156" i="1"/>
  <c r="R4156" i="1"/>
  <c r="L4156" i="1"/>
  <c r="Q4155" i="1"/>
  <c r="R4155" i="1"/>
  <c r="L4155" i="1"/>
  <c r="Q4154" i="1"/>
  <c r="R4154" i="1"/>
  <c r="Q4153" i="1"/>
  <c r="R4153" i="1"/>
  <c r="Q4152" i="1"/>
  <c r="R4152" i="1"/>
  <c r="Q4151" i="1"/>
  <c r="R4151" i="1"/>
  <c r="Q4150" i="1"/>
  <c r="R4150" i="1"/>
  <c r="Q4149" i="1"/>
  <c r="R4149" i="1"/>
  <c r="L4149" i="1"/>
  <c r="Q4148" i="1"/>
  <c r="R4148" i="1"/>
  <c r="L4148" i="1"/>
  <c r="Q4147" i="1"/>
  <c r="R4147" i="1"/>
  <c r="Q4146" i="1"/>
  <c r="R4146" i="1"/>
  <c r="Q4145" i="1"/>
  <c r="R4145" i="1"/>
  <c r="L4145" i="1"/>
  <c r="Q4144" i="1"/>
  <c r="R4144" i="1"/>
  <c r="L4144" i="1"/>
  <c r="Q4143" i="1"/>
  <c r="R4143" i="1"/>
  <c r="L4143" i="1"/>
  <c r="Q4142" i="1"/>
  <c r="R4142" i="1"/>
  <c r="L4142" i="1"/>
  <c r="Q4141" i="1"/>
  <c r="R4141" i="1"/>
  <c r="L4141" i="1"/>
  <c r="Q4140" i="1"/>
  <c r="R4140" i="1"/>
  <c r="Q4139" i="1"/>
  <c r="R4139" i="1"/>
  <c r="Q4138" i="1"/>
  <c r="R4138" i="1"/>
  <c r="Q4137" i="1"/>
  <c r="R4137" i="1"/>
  <c r="Q4136" i="1"/>
  <c r="R4136" i="1"/>
  <c r="Q4135" i="1"/>
  <c r="R4135" i="1"/>
  <c r="Q4134" i="1"/>
  <c r="R4134" i="1"/>
  <c r="Q4133" i="1"/>
  <c r="R4133" i="1"/>
  <c r="L4133" i="1"/>
  <c r="Q4132" i="1"/>
  <c r="R4132" i="1"/>
  <c r="L4132" i="1"/>
  <c r="Q4131" i="1"/>
  <c r="R4131" i="1"/>
  <c r="L4131" i="1"/>
  <c r="Q4130" i="1"/>
  <c r="R4130" i="1"/>
  <c r="L4130" i="1"/>
  <c r="Q4129" i="1"/>
  <c r="R4129" i="1"/>
  <c r="L4129" i="1"/>
  <c r="Q4128" i="1"/>
  <c r="R4128" i="1"/>
  <c r="L4128" i="1"/>
  <c r="Q4127" i="1"/>
  <c r="R4127" i="1"/>
  <c r="L4127" i="1"/>
  <c r="Q4126" i="1"/>
  <c r="R4126" i="1"/>
  <c r="L4126" i="1"/>
  <c r="Q4125" i="1"/>
  <c r="R4125" i="1"/>
  <c r="L4125" i="1"/>
  <c r="Q4124" i="1"/>
  <c r="R4124" i="1"/>
  <c r="Q4123" i="1"/>
  <c r="R4123" i="1"/>
  <c r="Q4122" i="1"/>
  <c r="R4122" i="1"/>
  <c r="Q4121" i="1"/>
  <c r="R4121" i="1"/>
  <c r="Q4120" i="1"/>
  <c r="R4120" i="1"/>
  <c r="Q4119" i="1"/>
  <c r="R4119" i="1"/>
  <c r="Q4118" i="1"/>
  <c r="R4118" i="1"/>
  <c r="Q4117" i="1"/>
  <c r="R4117" i="1"/>
  <c r="L4117" i="1"/>
  <c r="Q4116" i="1"/>
  <c r="R4116" i="1"/>
  <c r="L4116" i="1"/>
  <c r="Q4115" i="1"/>
  <c r="R4115" i="1"/>
  <c r="L4115" i="1"/>
  <c r="Q4114" i="1"/>
  <c r="R4114" i="1"/>
  <c r="L4114" i="1"/>
  <c r="Q4113" i="1"/>
  <c r="R4113" i="1"/>
  <c r="Q4112" i="1"/>
  <c r="R4112" i="1"/>
  <c r="L4112" i="1"/>
  <c r="Q4111" i="1"/>
  <c r="R4111" i="1"/>
  <c r="L4111" i="1"/>
  <c r="Q4110" i="1"/>
  <c r="R4110" i="1"/>
  <c r="L4110" i="1"/>
  <c r="Q4109" i="1"/>
  <c r="R4109" i="1"/>
  <c r="L4109" i="1"/>
  <c r="Q4108" i="1"/>
  <c r="R4108" i="1"/>
  <c r="Q4107" i="1"/>
  <c r="R4107" i="1"/>
  <c r="Q4106" i="1"/>
  <c r="R4106" i="1"/>
  <c r="Q4105" i="1"/>
  <c r="R4105" i="1"/>
  <c r="Q4104" i="1"/>
  <c r="R4104" i="1"/>
  <c r="Q4103" i="1"/>
  <c r="R4103" i="1"/>
  <c r="Q4102" i="1"/>
  <c r="R4102" i="1"/>
  <c r="Q4101" i="1"/>
  <c r="R4101" i="1"/>
  <c r="L4101" i="1"/>
  <c r="Q4100" i="1"/>
  <c r="R4100" i="1"/>
  <c r="L4100" i="1"/>
  <c r="Q4099" i="1"/>
  <c r="R4099" i="1"/>
  <c r="Q4098" i="1"/>
  <c r="R4098" i="1"/>
  <c r="L4098" i="1"/>
  <c r="Q4097" i="1"/>
  <c r="R4097" i="1"/>
  <c r="L4097" i="1"/>
  <c r="Q4096" i="1"/>
  <c r="R4096" i="1"/>
  <c r="Q4095" i="1"/>
  <c r="R4095" i="1"/>
  <c r="Q4094" i="1"/>
  <c r="R4094" i="1"/>
  <c r="Q4093" i="1"/>
  <c r="R4093" i="1"/>
  <c r="Q4092" i="1"/>
  <c r="R4092" i="1"/>
  <c r="Q4091" i="1"/>
  <c r="R4091" i="1"/>
  <c r="Q4090" i="1"/>
  <c r="R4090" i="1"/>
  <c r="Q4089" i="1"/>
  <c r="R4089" i="1"/>
  <c r="L4089" i="1"/>
  <c r="Q4088" i="1"/>
  <c r="R4088" i="1"/>
  <c r="L4088" i="1"/>
  <c r="Q4087" i="1"/>
  <c r="R4087" i="1"/>
  <c r="L4087" i="1"/>
  <c r="Q4086" i="1"/>
  <c r="R4086" i="1"/>
  <c r="L4086" i="1"/>
  <c r="Q4085" i="1"/>
  <c r="R4085" i="1"/>
  <c r="L4085" i="1"/>
  <c r="Q4084" i="1"/>
  <c r="R4084" i="1"/>
  <c r="Q4083" i="1"/>
  <c r="R4083" i="1"/>
  <c r="Q4082" i="1"/>
  <c r="R4082" i="1"/>
  <c r="Q4081" i="1"/>
  <c r="R4081" i="1"/>
  <c r="Q4080" i="1"/>
  <c r="R4080" i="1"/>
  <c r="Q4079" i="1"/>
  <c r="R4079" i="1"/>
  <c r="Q4078" i="1"/>
  <c r="R4078" i="1"/>
  <c r="L4078" i="1"/>
  <c r="Q4077" i="1"/>
  <c r="R4077" i="1"/>
  <c r="L4077" i="1"/>
  <c r="Q4076" i="1"/>
  <c r="R4076" i="1"/>
  <c r="L4076" i="1"/>
  <c r="Q4075" i="1"/>
  <c r="R4075" i="1"/>
  <c r="L4075" i="1"/>
  <c r="Q4074" i="1"/>
  <c r="R4074" i="1"/>
  <c r="L4074" i="1"/>
  <c r="Q4073" i="1"/>
  <c r="R4073" i="1"/>
  <c r="Q4072" i="1"/>
  <c r="R4072" i="1"/>
  <c r="Q4071" i="1"/>
  <c r="R4071" i="1"/>
  <c r="Q4070" i="1"/>
  <c r="R4070" i="1"/>
  <c r="Q4069" i="1"/>
  <c r="R4069" i="1"/>
  <c r="Q4068" i="1"/>
  <c r="R4068" i="1"/>
  <c r="Q4067" i="1"/>
  <c r="R4067" i="1"/>
  <c r="Q4066" i="1"/>
  <c r="R4066" i="1"/>
  <c r="L4066" i="1"/>
  <c r="Q4065" i="1"/>
  <c r="R4065" i="1"/>
  <c r="L4065" i="1"/>
  <c r="Q4064" i="1"/>
  <c r="R4064" i="1"/>
  <c r="L4064" i="1"/>
  <c r="Q4063" i="1"/>
  <c r="R4063" i="1"/>
  <c r="Q4062" i="1"/>
  <c r="R4062" i="1"/>
  <c r="L4062" i="1"/>
  <c r="Q4061" i="1"/>
  <c r="R4061" i="1"/>
  <c r="Q4060" i="1"/>
  <c r="R4060" i="1"/>
  <c r="Q4059" i="1"/>
  <c r="R4059" i="1"/>
  <c r="Q4058" i="1"/>
  <c r="R4058" i="1"/>
  <c r="Q4057" i="1"/>
  <c r="R4057" i="1"/>
  <c r="Q4056" i="1"/>
  <c r="R4056" i="1"/>
  <c r="Q4055" i="1"/>
  <c r="R4055" i="1"/>
  <c r="Q4054" i="1"/>
  <c r="R4054" i="1"/>
  <c r="L4054" i="1"/>
  <c r="Q4053" i="1"/>
  <c r="R4053" i="1"/>
  <c r="L4053" i="1"/>
  <c r="Q4052" i="1"/>
  <c r="R4052" i="1"/>
  <c r="Q4051" i="1"/>
  <c r="R4051" i="1"/>
  <c r="L4051" i="1"/>
  <c r="Q4050" i="1"/>
  <c r="R4050" i="1"/>
  <c r="L4050" i="1"/>
  <c r="Q4049" i="1"/>
  <c r="R4049" i="1"/>
  <c r="Q4048" i="1"/>
  <c r="R4048" i="1"/>
  <c r="Q4047" i="1"/>
  <c r="R4047" i="1"/>
  <c r="Q4046" i="1"/>
  <c r="R4046" i="1"/>
  <c r="Q4045" i="1"/>
  <c r="R4045" i="1"/>
  <c r="Q4044" i="1"/>
  <c r="R4044" i="1"/>
  <c r="Q4043" i="1"/>
  <c r="R4043" i="1"/>
  <c r="Q4042" i="1"/>
  <c r="R4042" i="1"/>
  <c r="L4042" i="1"/>
  <c r="Q4041" i="1"/>
  <c r="R4041" i="1"/>
  <c r="L4041" i="1"/>
  <c r="Q4040" i="1"/>
  <c r="R4040" i="1"/>
  <c r="L4040" i="1"/>
  <c r="Q4039" i="1"/>
  <c r="R4039" i="1"/>
  <c r="L4039" i="1"/>
  <c r="Q4038" i="1"/>
  <c r="R4038" i="1"/>
  <c r="L4038" i="1"/>
  <c r="Q4037" i="1"/>
  <c r="R4037" i="1"/>
  <c r="Q4036" i="1"/>
  <c r="R4036" i="1"/>
  <c r="Q4035" i="1"/>
  <c r="R4035" i="1"/>
  <c r="Q4034" i="1"/>
  <c r="R4034" i="1"/>
  <c r="Q4033" i="1"/>
  <c r="R4033" i="1"/>
  <c r="Q4032" i="1"/>
  <c r="R4032" i="1"/>
  <c r="Q4031" i="1"/>
  <c r="R4031" i="1"/>
  <c r="Q4030" i="1"/>
  <c r="R4030" i="1"/>
  <c r="L4030" i="1"/>
  <c r="Q4029" i="1"/>
  <c r="R4029" i="1"/>
  <c r="L4029" i="1"/>
  <c r="Q4028" i="1"/>
  <c r="R4028" i="1"/>
  <c r="Q4027" i="1"/>
  <c r="R4027" i="1"/>
  <c r="L4027" i="1"/>
  <c r="Q4026" i="1"/>
  <c r="R4026" i="1"/>
  <c r="L4026" i="1"/>
  <c r="Q4025" i="1"/>
  <c r="R4025" i="1"/>
  <c r="Q4024" i="1"/>
  <c r="R4024" i="1"/>
  <c r="Q4023" i="1"/>
  <c r="R4023" i="1"/>
  <c r="Q4022" i="1"/>
  <c r="R4022" i="1"/>
  <c r="Q4021" i="1"/>
  <c r="R4021" i="1"/>
  <c r="Q4020" i="1"/>
  <c r="R4020" i="1"/>
  <c r="Q4019" i="1"/>
  <c r="R4019" i="1"/>
  <c r="Q4018" i="1"/>
  <c r="R4018" i="1"/>
  <c r="L4018" i="1"/>
  <c r="Q4017" i="1"/>
  <c r="R4017" i="1"/>
  <c r="L4017" i="1"/>
  <c r="Q4016" i="1"/>
  <c r="R4016" i="1"/>
  <c r="L4016" i="1"/>
  <c r="Q4015" i="1"/>
  <c r="R4015" i="1"/>
  <c r="L4015" i="1"/>
  <c r="Q4014" i="1"/>
  <c r="R4014" i="1"/>
  <c r="L4014" i="1"/>
  <c r="Q4013" i="1"/>
  <c r="R4013" i="1"/>
  <c r="Q4012" i="1"/>
  <c r="R4012" i="1"/>
  <c r="Q4011" i="1"/>
  <c r="R4011" i="1"/>
  <c r="Q4010" i="1"/>
  <c r="R4010" i="1"/>
  <c r="Q4009" i="1"/>
  <c r="R4009" i="1"/>
  <c r="Q4008" i="1"/>
  <c r="R4008" i="1"/>
  <c r="Q4007" i="1"/>
  <c r="R4007" i="1"/>
  <c r="L4007" i="1"/>
  <c r="Q4006" i="1"/>
  <c r="R4006" i="1"/>
  <c r="L4006" i="1"/>
  <c r="Q4005" i="1"/>
  <c r="R4005" i="1"/>
  <c r="L4005" i="1"/>
  <c r="Q4004" i="1"/>
  <c r="R4004" i="1"/>
  <c r="L4004" i="1"/>
  <c r="Q4003" i="1"/>
  <c r="R4003" i="1"/>
  <c r="L4003" i="1"/>
  <c r="Q4002" i="1"/>
  <c r="R4002" i="1"/>
  <c r="Q4001" i="1"/>
  <c r="R4001" i="1"/>
  <c r="Q4000" i="1"/>
  <c r="R4000" i="1"/>
  <c r="Q3999" i="1"/>
  <c r="R3999" i="1"/>
  <c r="Q3998" i="1"/>
  <c r="R3998" i="1"/>
  <c r="Q3997" i="1"/>
  <c r="R3997" i="1"/>
  <c r="Q3996" i="1"/>
  <c r="R3996" i="1"/>
  <c r="Q3995" i="1"/>
  <c r="R3995" i="1"/>
  <c r="L3995" i="1"/>
  <c r="Q3994" i="1"/>
  <c r="R3994" i="1"/>
  <c r="L3994" i="1"/>
  <c r="Q3993" i="1"/>
  <c r="R3993" i="1"/>
  <c r="Q3992" i="1"/>
  <c r="R3992" i="1"/>
  <c r="L3992" i="1"/>
  <c r="Q3991" i="1"/>
  <c r="R3991" i="1"/>
  <c r="L3991" i="1"/>
  <c r="Q3990" i="1"/>
  <c r="R3990" i="1"/>
  <c r="Q3989" i="1"/>
  <c r="R3989" i="1"/>
  <c r="Q3988" i="1"/>
  <c r="R3988" i="1"/>
  <c r="Q3987" i="1"/>
  <c r="R3987" i="1"/>
  <c r="Q3986" i="1"/>
  <c r="R3986" i="1"/>
  <c r="Q3985" i="1"/>
  <c r="R3985" i="1"/>
  <c r="Q3984" i="1"/>
  <c r="R3984" i="1"/>
  <c r="Q3983" i="1"/>
  <c r="R3983" i="1"/>
  <c r="L3983" i="1"/>
  <c r="Q3982" i="1"/>
  <c r="R3982" i="1"/>
  <c r="L3982" i="1"/>
  <c r="Q3981" i="1"/>
  <c r="R3981" i="1"/>
  <c r="L3981" i="1"/>
  <c r="Q3980" i="1"/>
  <c r="R3980" i="1"/>
  <c r="L3980" i="1"/>
  <c r="Q3979" i="1"/>
  <c r="R3979" i="1"/>
  <c r="L3979" i="1"/>
  <c r="Q3978" i="1"/>
  <c r="R3978" i="1"/>
  <c r="Q3977" i="1"/>
  <c r="R3977" i="1"/>
  <c r="Q3976" i="1"/>
  <c r="R3976" i="1"/>
  <c r="Q3975" i="1"/>
  <c r="R3975" i="1"/>
  <c r="Q3974" i="1"/>
  <c r="R3974" i="1"/>
  <c r="Q3973" i="1"/>
  <c r="R3973" i="1"/>
  <c r="Q3972" i="1"/>
  <c r="R3972" i="1"/>
  <c r="Q3971" i="1"/>
  <c r="R3971" i="1"/>
  <c r="L3971" i="1"/>
  <c r="Q3970" i="1"/>
  <c r="R3970" i="1"/>
  <c r="L3970" i="1"/>
  <c r="Q3969" i="1"/>
  <c r="R3969" i="1"/>
  <c r="L3969" i="1"/>
  <c r="Q3968" i="1"/>
  <c r="R3968" i="1"/>
  <c r="L3968" i="1"/>
  <c r="Q3967" i="1"/>
  <c r="R3967" i="1"/>
  <c r="L3967" i="1"/>
  <c r="Q3966" i="1"/>
  <c r="R3966" i="1"/>
  <c r="Q3965" i="1"/>
  <c r="R3965" i="1"/>
  <c r="Q3964" i="1"/>
  <c r="R3964" i="1"/>
  <c r="Q3963" i="1"/>
  <c r="R3963" i="1"/>
  <c r="Q3962" i="1"/>
  <c r="R3962" i="1"/>
  <c r="Q3961" i="1"/>
  <c r="R3961" i="1"/>
  <c r="Q3960" i="1"/>
  <c r="R3960" i="1"/>
  <c r="Q3959" i="1"/>
  <c r="R3959" i="1"/>
  <c r="L3959" i="1"/>
  <c r="Q3958" i="1"/>
  <c r="R3958" i="1"/>
  <c r="L3958" i="1"/>
  <c r="Q3957" i="1"/>
  <c r="R3957" i="1"/>
  <c r="Q3956" i="1"/>
  <c r="R3956" i="1"/>
  <c r="Q3955" i="1"/>
  <c r="R3955" i="1"/>
  <c r="Q3954" i="1"/>
  <c r="R3954" i="1"/>
  <c r="Q3953" i="1"/>
  <c r="R3953" i="1"/>
  <c r="Q3952" i="1"/>
  <c r="R3952" i="1"/>
  <c r="Q3951" i="1"/>
  <c r="R3951" i="1"/>
  <c r="L3951" i="1"/>
  <c r="Q3950" i="1"/>
  <c r="R3950" i="1"/>
  <c r="L3950" i="1"/>
  <c r="Q3949" i="1"/>
  <c r="R3949" i="1"/>
  <c r="L3949" i="1"/>
  <c r="Q3948" i="1"/>
  <c r="R3948" i="1"/>
  <c r="Q3947" i="1"/>
  <c r="R3947" i="1"/>
  <c r="Q3946" i="1"/>
  <c r="R3946" i="1"/>
  <c r="Q3945" i="1"/>
  <c r="R3945" i="1"/>
  <c r="Q3944" i="1"/>
  <c r="R3944" i="1"/>
  <c r="Q3943" i="1"/>
  <c r="R3943" i="1"/>
  <c r="L3943" i="1"/>
  <c r="Q3942" i="1"/>
  <c r="R3942" i="1"/>
  <c r="L3942" i="1"/>
  <c r="Q3941" i="1"/>
  <c r="R3941" i="1"/>
  <c r="L3941" i="1"/>
  <c r="Q3940" i="1"/>
  <c r="R3940" i="1"/>
  <c r="L3940" i="1"/>
  <c r="Q3939" i="1"/>
  <c r="R3939" i="1"/>
  <c r="L3939" i="1"/>
  <c r="Q3938" i="1"/>
  <c r="R3938" i="1"/>
  <c r="Q3937" i="1"/>
  <c r="R3937" i="1"/>
  <c r="Q3936" i="1"/>
  <c r="R3936" i="1"/>
  <c r="Q3935" i="1"/>
  <c r="R3935" i="1"/>
  <c r="Q3934" i="1"/>
  <c r="R3934" i="1"/>
  <c r="Q3933" i="1"/>
  <c r="R3933" i="1"/>
  <c r="Q3932" i="1"/>
  <c r="R3932" i="1"/>
  <c r="Q3931" i="1"/>
  <c r="R3931" i="1"/>
  <c r="L3931" i="1"/>
  <c r="Q3930" i="1"/>
  <c r="R3930" i="1"/>
  <c r="L3930" i="1"/>
  <c r="Q3929" i="1"/>
  <c r="R3929" i="1"/>
  <c r="L3929" i="1"/>
  <c r="Q3928" i="1"/>
  <c r="R3928" i="1"/>
  <c r="L3928" i="1"/>
  <c r="Q3927" i="1"/>
  <c r="R3927" i="1"/>
  <c r="L3927" i="1"/>
  <c r="Q3926" i="1"/>
  <c r="R3926" i="1"/>
  <c r="Q3925" i="1"/>
  <c r="R3925" i="1"/>
  <c r="Q3924" i="1"/>
  <c r="R3924" i="1"/>
  <c r="Q3923" i="1"/>
  <c r="R3923" i="1"/>
  <c r="Q3922" i="1"/>
  <c r="R3922" i="1"/>
  <c r="Q3921" i="1"/>
  <c r="R3921" i="1"/>
  <c r="Q3920" i="1"/>
  <c r="R3920" i="1"/>
  <c r="Q3919" i="1"/>
  <c r="R3919" i="1"/>
  <c r="L3919" i="1"/>
  <c r="Q3918" i="1"/>
  <c r="R3918" i="1"/>
  <c r="L3918" i="1"/>
  <c r="Q3917" i="1"/>
  <c r="R3917" i="1"/>
  <c r="Q3916" i="1"/>
  <c r="R3916" i="1"/>
  <c r="L3916" i="1"/>
  <c r="Q3915" i="1"/>
  <c r="R3915" i="1"/>
  <c r="L3915" i="1"/>
  <c r="Q3914" i="1"/>
  <c r="R3914" i="1"/>
  <c r="Q3913" i="1"/>
  <c r="R3913" i="1"/>
  <c r="Q3912" i="1"/>
  <c r="R3912" i="1"/>
  <c r="Q3911" i="1"/>
  <c r="R3911" i="1"/>
  <c r="Q3910" i="1"/>
  <c r="R3910" i="1"/>
  <c r="Q3909" i="1"/>
  <c r="R3909" i="1"/>
  <c r="Q3908" i="1"/>
  <c r="R3908" i="1"/>
  <c r="Q3907" i="1"/>
  <c r="R3907" i="1"/>
  <c r="L3907" i="1"/>
  <c r="Q3906" i="1"/>
  <c r="R3906" i="1"/>
  <c r="L3906" i="1"/>
  <c r="Q3905" i="1"/>
  <c r="R3905" i="1"/>
  <c r="L3905" i="1"/>
  <c r="Q3904" i="1"/>
  <c r="R3904" i="1"/>
  <c r="Q3903" i="1"/>
  <c r="R3903" i="1"/>
  <c r="L3903" i="1"/>
  <c r="Q3902" i="1"/>
  <c r="R3902" i="1"/>
  <c r="Q3901" i="1"/>
  <c r="R3901" i="1"/>
  <c r="Q3900" i="1"/>
  <c r="R3900" i="1"/>
  <c r="Q3899" i="1"/>
  <c r="R3899" i="1"/>
  <c r="Q3898" i="1"/>
  <c r="R3898" i="1"/>
  <c r="Q3897" i="1"/>
  <c r="R3897" i="1"/>
  <c r="Q3896" i="1"/>
  <c r="R3896" i="1"/>
  <c r="Q3895" i="1"/>
  <c r="R3895" i="1"/>
  <c r="L3895" i="1"/>
  <c r="Q3894" i="1"/>
  <c r="R3894" i="1"/>
  <c r="L3894" i="1"/>
  <c r="Q3893" i="1"/>
  <c r="R3893" i="1"/>
  <c r="L3893" i="1"/>
  <c r="Q3892" i="1"/>
  <c r="R3892" i="1"/>
  <c r="L3892" i="1"/>
  <c r="Q3891" i="1"/>
  <c r="R3891" i="1"/>
  <c r="L3891" i="1"/>
  <c r="Q3890" i="1"/>
  <c r="R3890" i="1"/>
  <c r="Q3889" i="1"/>
  <c r="R3889" i="1"/>
  <c r="Q3888" i="1"/>
  <c r="R3888" i="1"/>
  <c r="Q3887" i="1"/>
  <c r="R3887" i="1"/>
  <c r="Q3886" i="1"/>
  <c r="R3886" i="1"/>
  <c r="Q3885" i="1"/>
  <c r="R3885" i="1"/>
  <c r="Q3884" i="1"/>
  <c r="R3884" i="1"/>
  <c r="Q3883" i="1"/>
  <c r="R3883" i="1"/>
  <c r="L3883" i="1"/>
  <c r="Q3882" i="1"/>
  <c r="R3882" i="1"/>
  <c r="L3882" i="1"/>
  <c r="Q3881" i="1"/>
  <c r="R3881" i="1"/>
  <c r="L3881" i="1"/>
  <c r="Q3880" i="1"/>
  <c r="R3880" i="1"/>
  <c r="L3880" i="1"/>
  <c r="Q3879" i="1"/>
  <c r="R3879" i="1"/>
  <c r="L3879" i="1"/>
  <c r="Q3878" i="1"/>
  <c r="R3878" i="1"/>
  <c r="Q3877" i="1"/>
  <c r="R3877" i="1"/>
  <c r="Q3876" i="1"/>
  <c r="R3876" i="1"/>
  <c r="Q3875" i="1"/>
  <c r="R3875" i="1"/>
  <c r="Q3874" i="1"/>
  <c r="R3874" i="1"/>
  <c r="Q3873" i="1"/>
  <c r="R3873" i="1"/>
  <c r="Q3872" i="1"/>
  <c r="R3872" i="1"/>
  <c r="Q3871" i="1"/>
  <c r="R3871" i="1"/>
  <c r="L3871" i="1"/>
  <c r="Q3870" i="1"/>
  <c r="R3870" i="1"/>
  <c r="L3870" i="1"/>
  <c r="Q3869" i="1"/>
  <c r="R3869" i="1"/>
  <c r="L3869" i="1"/>
  <c r="Q3868" i="1"/>
  <c r="R3868" i="1"/>
  <c r="L3868" i="1"/>
  <c r="Q3867" i="1"/>
  <c r="R3867" i="1"/>
  <c r="Q3866" i="1"/>
  <c r="R3866" i="1"/>
  <c r="Q3865" i="1"/>
  <c r="R3865" i="1"/>
  <c r="Q3864" i="1"/>
  <c r="R3864" i="1"/>
  <c r="Q3863" i="1"/>
  <c r="R3863" i="1"/>
  <c r="Q3862" i="1"/>
  <c r="R3862" i="1"/>
  <c r="Q3861" i="1"/>
  <c r="R3861" i="1"/>
  <c r="Q3860" i="1"/>
  <c r="R3860" i="1"/>
  <c r="L3860" i="1"/>
  <c r="Q3859" i="1"/>
  <c r="R3859" i="1"/>
  <c r="L3859" i="1"/>
  <c r="Q3858" i="1"/>
  <c r="R3858" i="1"/>
  <c r="L3858" i="1"/>
  <c r="Q3857" i="1"/>
  <c r="R3857" i="1"/>
  <c r="L3857" i="1"/>
  <c r="Q3856" i="1"/>
  <c r="R3856" i="1"/>
  <c r="L3856" i="1"/>
  <c r="Q3855" i="1"/>
  <c r="R3855" i="1"/>
  <c r="Q3854" i="1"/>
  <c r="R3854" i="1"/>
  <c r="Q3853" i="1"/>
  <c r="R3853" i="1"/>
  <c r="Q3852" i="1"/>
  <c r="R3852" i="1"/>
  <c r="Q3851" i="1"/>
  <c r="R3851" i="1"/>
  <c r="Q3850" i="1"/>
  <c r="R3850" i="1"/>
  <c r="Q3849" i="1"/>
  <c r="R3849" i="1"/>
  <c r="Q3848" i="1"/>
  <c r="R3848" i="1"/>
  <c r="L3848" i="1"/>
  <c r="Q3847" i="1"/>
  <c r="R3847" i="1"/>
  <c r="L3847" i="1"/>
  <c r="Q3846" i="1"/>
  <c r="R3846" i="1"/>
  <c r="Q3845" i="1"/>
  <c r="R3845" i="1"/>
  <c r="L3845" i="1"/>
  <c r="Q3844" i="1"/>
  <c r="R3844" i="1"/>
  <c r="L3844" i="1"/>
  <c r="Q3843" i="1"/>
  <c r="R3843" i="1"/>
  <c r="Q3842" i="1"/>
  <c r="R3842" i="1"/>
  <c r="Q3841" i="1"/>
  <c r="R3841" i="1"/>
  <c r="Q3840" i="1"/>
  <c r="R3840" i="1"/>
  <c r="Q3839" i="1"/>
  <c r="R3839" i="1"/>
  <c r="Q3838" i="1"/>
  <c r="R3838" i="1"/>
  <c r="Q3837" i="1"/>
  <c r="R3837" i="1"/>
  <c r="Q3836" i="1"/>
  <c r="R3836" i="1"/>
  <c r="L3836" i="1"/>
  <c r="Q3835" i="1"/>
  <c r="R3835" i="1"/>
  <c r="L3835" i="1"/>
  <c r="Q3834" i="1"/>
  <c r="R3834" i="1"/>
  <c r="Q3833" i="1"/>
  <c r="R3833" i="1"/>
  <c r="L3833" i="1"/>
  <c r="Q3832" i="1"/>
  <c r="R3832" i="1"/>
  <c r="L3832" i="1"/>
  <c r="Q3831" i="1"/>
  <c r="R3831" i="1"/>
  <c r="Q3830" i="1"/>
  <c r="R3830" i="1"/>
  <c r="Q3829" i="1"/>
  <c r="R3829" i="1"/>
  <c r="Q3828" i="1"/>
  <c r="R3828" i="1"/>
  <c r="Q3827" i="1"/>
  <c r="R3827" i="1"/>
  <c r="Q3826" i="1"/>
  <c r="R3826" i="1"/>
  <c r="Q3825" i="1"/>
  <c r="R3825" i="1"/>
  <c r="Q3824" i="1"/>
  <c r="R3824" i="1"/>
  <c r="L3824" i="1"/>
  <c r="Q3823" i="1"/>
  <c r="R3823" i="1"/>
  <c r="L3823" i="1"/>
  <c r="Q3822" i="1"/>
  <c r="R3822" i="1"/>
  <c r="L3822" i="1"/>
  <c r="Q3821" i="1"/>
  <c r="R3821" i="1"/>
  <c r="L3821" i="1"/>
  <c r="Q3820" i="1"/>
  <c r="R3820" i="1"/>
  <c r="L3820" i="1"/>
  <c r="Q3819" i="1"/>
  <c r="R3819" i="1"/>
  <c r="Q3818" i="1"/>
  <c r="R3818" i="1"/>
  <c r="Q3817" i="1"/>
  <c r="R3817" i="1"/>
  <c r="Q3816" i="1"/>
  <c r="R3816" i="1"/>
  <c r="Q3815" i="1"/>
  <c r="R3815" i="1"/>
  <c r="Q3814" i="1"/>
  <c r="R3814" i="1"/>
  <c r="Q3813" i="1"/>
  <c r="R3813" i="1"/>
  <c r="Q3812" i="1"/>
  <c r="R3812" i="1"/>
  <c r="L3812" i="1"/>
  <c r="Q3811" i="1"/>
  <c r="R3811" i="1"/>
  <c r="L3811" i="1"/>
  <c r="Q3810" i="1"/>
  <c r="R3810" i="1"/>
  <c r="Q3809" i="1"/>
  <c r="R3809" i="1"/>
  <c r="L3809" i="1"/>
  <c r="Q3808" i="1"/>
  <c r="R3808" i="1"/>
  <c r="L3808" i="1"/>
  <c r="Q3807" i="1"/>
  <c r="R3807" i="1"/>
  <c r="Q3806" i="1"/>
  <c r="R3806" i="1"/>
  <c r="Q3805" i="1"/>
  <c r="R3805" i="1"/>
  <c r="Q3804" i="1"/>
  <c r="R3804" i="1"/>
  <c r="Q3803" i="1"/>
  <c r="R3803" i="1"/>
  <c r="Q3802" i="1"/>
  <c r="R3802" i="1"/>
  <c r="Q3801" i="1"/>
  <c r="R3801" i="1"/>
  <c r="Q3800" i="1"/>
  <c r="R3800" i="1"/>
  <c r="L3800" i="1"/>
  <c r="Q3799" i="1"/>
  <c r="R3799" i="1"/>
  <c r="L3799" i="1"/>
  <c r="Q3798" i="1"/>
  <c r="R3798" i="1"/>
  <c r="Q3797" i="1"/>
  <c r="R3797" i="1"/>
  <c r="L3797" i="1"/>
  <c r="Q3796" i="1"/>
  <c r="R3796" i="1"/>
  <c r="L3796" i="1"/>
  <c r="Q3795" i="1"/>
  <c r="R3795" i="1"/>
  <c r="Q3794" i="1"/>
  <c r="R3794" i="1"/>
  <c r="Q3793" i="1"/>
  <c r="R3793" i="1"/>
  <c r="Q3792" i="1"/>
  <c r="R3792" i="1"/>
  <c r="Q3791" i="1"/>
  <c r="R3791" i="1"/>
  <c r="L3791" i="1"/>
  <c r="Q3790" i="1"/>
  <c r="R3790" i="1"/>
  <c r="L3790" i="1"/>
  <c r="Q3789" i="1"/>
  <c r="R3789" i="1"/>
  <c r="L3789" i="1"/>
  <c r="Q3788" i="1"/>
  <c r="R3788" i="1"/>
  <c r="L3788" i="1"/>
  <c r="Q3787" i="1"/>
  <c r="R3787" i="1"/>
  <c r="L3787" i="1"/>
  <c r="Q3786" i="1"/>
  <c r="R3786" i="1"/>
  <c r="Q3785" i="1"/>
  <c r="R3785" i="1"/>
  <c r="Q3784" i="1"/>
  <c r="R3784" i="1"/>
  <c r="Q3783" i="1"/>
  <c r="R3783" i="1"/>
  <c r="Q3782" i="1"/>
  <c r="R3782" i="1"/>
  <c r="Q3781" i="1"/>
  <c r="R3781" i="1"/>
  <c r="Q3780" i="1"/>
  <c r="R3780" i="1"/>
  <c r="Q3779" i="1"/>
  <c r="R3779" i="1"/>
  <c r="L3779" i="1"/>
  <c r="Q3778" i="1"/>
  <c r="R3778" i="1"/>
  <c r="L3778" i="1"/>
  <c r="Q3777" i="1"/>
  <c r="R3777" i="1"/>
  <c r="L3777" i="1"/>
  <c r="Q3776" i="1"/>
  <c r="R3776" i="1"/>
  <c r="L3776" i="1"/>
  <c r="Q3775" i="1"/>
  <c r="R3775" i="1"/>
  <c r="L3775" i="1"/>
  <c r="Q3774" i="1"/>
  <c r="R3774" i="1"/>
  <c r="Q3773" i="1"/>
  <c r="R3773" i="1"/>
  <c r="Q3772" i="1"/>
  <c r="R3772" i="1"/>
  <c r="Q3771" i="1"/>
  <c r="R3771" i="1"/>
  <c r="Q3770" i="1"/>
  <c r="R3770" i="1"/>
  <c r="Q3769" i="1"/>
  <c r="R3769" i="1"/>
  <c r="Q3768" i="1"/>
  <c r="R3768" i="1"/>
  <c r="Q3767" i="1"/>
  <c r="R3767" i="1"/>
  <c r="L3767" i="1"/>
  <c r="Q3766" i="1"/>
  <c r="R3766" i="1"/>
  <c r="L3766" i="1"/>
  <c r="Q3765" i="1"/>
  <c r="R3765" i="1"/>
  <c r="L3765" i="1"/>
  <c r="Q3764" i="1"/>
  <c r="R3764" i="1"/>
  <c r="L3764" i="1"/>
  <c r="Q3763" i="1"/>
  <c r="R3763" i="1"/>
  <c r="L3763" i="1"/>
  <c r="Q3762" i="1"/>
  <c r="R3762" i="1"/>
  <c r="Q3761" i="1"/>
  <c r="R3761" i="1"/>
  <c r="Q3760" i="1"/>
  <c r="R3760" i="1"/>
  <c r="Q3759" i="1"/>
  <c r="R3759" i="1"/>
  <c r="Q3758" i="1"/>
  <c r="R3758" i="1"/>
  <c r="Q3757" i="1"/>
  <c r="R3757" i="1"/>
  <c r="Q3756" i="1"/>
  <c r="R3756" i="1"/>
  <c r="Q3755" i="1"/>
  <c r="R3755" i="1"/>
  <c r="L3755" i="1"/>
  <c r="Q3754" i="1"/>
  <c r="R3754" i="1"/>
  <c r="L3754" i="1"/>
  <c r="Q3753" i="1"/>
  <c r="R3753" i="1"/>
  <c r="L3753" i="1"/>
  <c r="Q3752" i="1"/>
  <c r="R3752" i="1"/>
  <c r="L3752" i="1"/>
  <c r="Q3751" i="1"/>
  <c r="R3751" i="1"/>
  <c r="L3751" i="1"/>
  <c r="Q3750" i="1"/>
  <c r="R3750" i="1"/>
  <c r="Q3749" i="1"/>
  <c r="R3749" i="1"/>
  <c r="Q3748" i="1"/>
  <c r="R3748" i="1"/>
  <c r="Q3747" i="1"/>
  <c r="R3747" i="1"/>
  <c r="Q3746" i="1"/>
  <c r="R3746" i="1"/>
  <c r="Q3745" i="1"/>
  <c r="R3745" i="1"/>
  <c r="Q3744" i="1"/>
  <c r="R3744" i="1"/>
  <c r="Q3743" i="1"/>
  <c r="R3743" i="1"/>
  <c r="L3743" i="1"/>
  <c r="Q3742" i="1"/>
  <c r="R3742" i="1"/>
  <c r="L3742" i="1"/>
  <c r="Q3741" i="1"/>
  <c r="R3741" i="1"/>
  <c r="L3741" i="1"/>
  <c r="Q3740" i="1"/>
  <c r="R3740" i="1"/>
  <c r="L3740" i="1"/>
  <c r="Q3739" i="1"/>
  <c r="R3739" i="1"/>
  <c r="L3739" i="1"/>
  <c r="Q3738" i="1"/>
  <c r="R3738" i="1"/>
  <c r="Q3737" i="1"/>
  <c r="R3737" i="1"/>
  <c r="Q3736" i="1"/>
  <c r="R3736" i="1"/>
  <c r="Q3735" i="1"/>
  <c r="R3735" i="1"/>
  <c r="Q3734" i="1"/>
  <c r="R3734" i="1"/>
  <c r="Q3733" i="1"/>
  <c r="R3733" i="1"/>
  <c r="Q3732" i="1"/>
  <c r="R3732" i="1"/>
  <c r="Q3731" i="1"/>
  <c r="R3731" i="1"/>
  <c r="L3731" i="1"/>
  <c r="Q3730" i="1"/>
  <c r="R3730" i="1"/>
  <c r="L3730" i="1"/>
  <c r="Q3729" i="1"/>
  <c r="R3729" i="1"/>
  <c r="Q3728" i="1"/>
  <c r="R3728" i="1"/>
  <c r="L3728" i="1"/>
  <c r="Q3727" i="1"/>
  <c r="R3727" i="1"/>
  <c r="L3727" i="1"/>
  <c r="Q3726" i="1"/>
  <c r="R3726" i="1"/>
  <c r="Q3725" i="1"/>
  <c r="R3725" i="1"/>
  <c r="Q3724" i="1"/>
  <c r="R3724" i="1"/>
  <c r="Q3723" i="1"/>
  <c r="R3723" i="1"/>
  <c r="Q3722" i="1"/>
  <c r="R3722" i="1"/>
  <c r="Q3721" i="1"/>
  <c r="R3721" i="1"/>
  <c r="Q3720" i="1"/>
  <c r="R3720" i="1"/>
  <c r="Q3719" i="1"/>
  <c r="R3719" i="1"/>
  <c r="L3719" i="1"/>
  <c r="Q3718" i="1"/>
  <c r="R3718" i="1"/>
  <c r="L3718" i="1"/>
  <c r="Q3717" i="1"/>
  <c r="R3717" i="1"/>
  <c r="L3717" i="1"/>
  <c r="Q3716" i="1"/>
  <c r="R3716" i="1"/>
  <c r="L3716" i="1"/>
  <c r="Q3715" i="1"/>
  <c r="R3715" i="1"/>
  <c r="L3715" i="1"/>
  <c r="Q3714" i="1"/>
  <c r="R3714" i="1"/>
  <c r="Q3713" i="1"/>
  <c r="R3713" i="1"/>
  <c r="Q3712" i="1"/>
  <c r="R3712" i="1"/>
  <c r="Q3711" i="1"/>
  <c r="R3711" i="1"/>
  <c r="Q3710" i="1"/>
  <c r="R3710" i="1"/>
  <c r="Q3709" i="1"/>
  <c r="R3709" i="1"/>
  <c r="Q3708" i="1"/>
  <c r="R3708" i="1"/>
  <c r="Q3707" i="1"/>
  <c r="R3707" i="1"/>
  <c r="L3707" i="1"/>
  <c r="Q3706" i="1"/>
  <c r="R3706" i="1"/>
  <c r="L3706" i="1"/>
  <c r="Q3705" i="1"/>
  <c r="R3705" i="1"/>
  <c r="L3705" i="1"/>
  <c r="Q3704" i="1"/>
  <c r="R3704" i="1"/>
  <c r="L3704" i="1"/>
  <c r="Q3703" i="1"/>
  <c r="R3703" i="1"/>
  <c r="L3703" i="1"/>
  <c r="Q3702" i="1"/>
  <c r="R3702" i="1"/>
  <c r="Q3701" i="1"/>
  <c r="R3701" i="1"/>
  <c r="Q3700" i="1"/>
  <c r="R3700" i="1"/>
  <c r="Q3699" i="1"/>
  <c r="R3699" i="1"/>
  <c r="Q3698" i="1"/>
  <c r="R3698" i="1"/>
  <c r="Q3697" i="1"/>
  <c r="R3697" i="1"/>
  <c r="Q3696" i="1"/>
  <c r="R3696" i="1"/>
  <c r="Q3695" i="1"/>
  <c r="R3695" i="1"/>
  <c r="L3695" i="1"/>
  <c r="Q3694" i="1"/>
  <c r="R3694" i="1"/>
  <c r="L3694" i="1"/>
  <c r="Q3693" i="1"/>
  <c r="R3693" i="1"/>
  <c r="L3693" i="1"/>
  <c r="Q3679" i="1"/>
  <c r="R3679" i="1"/>
  <c r="L3679" i="1"/>
  <c r="Q3678" i="1"/>
  <c r="R3678" i="1"/>
  <c r="L3678" i="1"/>
  <c r="Q3677" i="1"/>
  <c r="R3677" i="1"/>
  <c r="Q3676" i="1"/>
  <c r="R3676" i="1"/>
  <c r="Q3675" i="1"/>
  <c r="R3675" i="1"/>
  <c r="Q3674" i="1"/>
  <c r="R3674" i="1"/>
  <c r="Q3673" i="1"/>
  <c r="R3673" i="1"/>
  <c r="Q3672" i="1"/>
  <c r="R3672" i="1"/>
  <c r="Q3671" i="1"/>
  <c r="R3671" i="1"/>
  <c r="Q3670" i="1"/>
  <c r="R3670" i="1"/>
  <c r="L3670" i="1"/>
  <c r="Q3669" i="1"/>
  <c r="R3669" i="1"/>
  <c r="L3669" i="1"/>
  <c r="Q3668" i="1"/>
  <c r="R3668" i="1"/>
  <c r="L3668" i="1"/>
  <c r="Q3667" i="1"/>
  <c r="R3667" i="1"/>
  <c r="L3667" i="1"/>
  <c r="Q3666" i="1"/>
  <c r="R3666" i="1"/>
  <c r="L3666" i="1"/>
  <c r="Q3665" i="1"/>
  <c r="R3665" i="1"/>
  <c r="Q3664" i="1"/>
  <c r="R3664" i="1"/>
  <c r="Q3663" i="1"/>
  <c r="R3663" i="1"/>
  <c r="Q3662" i="1"/>
  <c r="R3662" i="1"/>
  <c r="Q3661" i="1"/>
  <c r="R3661" i="1"/>
  <c r="Q3660" i="1"/>
  <c r="R3660" i="1"/>
  <c r="Q3659" i="1"/>
  <c r="R3659" i="1"/>
  <c r="Q3658" i="1"/>
  <c r="R3658" i="1"/>
  <c r="L3658" i="1"/>
  <c r="Q3657" i="1"/>
  <c r="R3657" i="1"/>
  <c r="L3657" i="1"/>
  <c r="Q3655" i="1"/>
  <c r="R3655" i="1"/>
  <c r="L3655" i="1"/>
  <c r="Q3653" i="1"/>
  <c r="R3653" i="1"/>
  <c r="L3653" i="1"/>
  <c r="Q3652" i="1"/>
  <c r="R3652" i="1"/>
  <c r="L3652" i="1"/>
  <c r="Q3651" i="1"/>
  <c r="R3651" i="1"/>
  <c r="Q3650" i="1"/>
  <c r="R3650" i="1"/>
  <c r="Q3649" i="1"/>
  <c r="R3649" i="1"/>
  <c r="Q3648" i="1"/>
  <c r="R3648" i="1"/>
  <c r="Q3646" i="1"/>
  <c r="R3646" i="1"/>
  <c r="Q3645" i="1"/>
  <c r="R3645" i="1"/>
  <c r="Q3644" i="1"/>
  <c r="R3644" i="1"/>
  <c r="Q3643" i="1"/>
  <c r="R3643" i="1"/>
  <c r="L3643" i="1"/>
  <c r="Q3642" i="1"/>
  <c r="R3642" i="1"/>
  <c r="L3642" i="1"/>
  <c r="Q3641" i="1"/>
  <c r="R3641" i="1"/>
  <c r="L3641" i="1"/>
  <c r="Q3640" i="1"/>
  <c r="R3640" i="1"/>
  <c r="L3640" i="1"/>
  <c r="Q3639" i="1"/>
  <c r="R3639" i="1"/>
  <c r="L3639" i="1"/>
  <c r="Q3638" i="1"/>
  <c r="R3638" i="1"/>
  <c r="Q3637" i="1"/>
  <c r="R3637" i="1"/>
  <c r="Q3636" i="1"/>
  <c r="R3636" i="1"/>
  <c r="Q3635" i="1"/>
  <c r="R3635" i="1"/>
  <c r="Q3634" i="1"/>
  <c r="R3634" i="1"/>
  <c r="Q3633" i="1"/>
  <c r="R3633" i="1"/>
  <c r="Q3632" i="1"/>
  <c r="R3632" i="1"/>
  <c r="Q3631" i="1"/>
  <c r="R3631" i="1"/>
  <c r="L3631" i="1"/>
  <c r="Q3630" i="1"/>
  <c r="R3630" i="1"/>
  <c r="L3630" i="1"/>
  <c r="Q3629" i="1"/>
  <c r="R3629" i="1"/>
  <c r="L3629" i="1"/>
  <c r="Q3628" i="1"/>
  <c r="R3628" i="1"/>
  <c r="L3628" i="1"/>
  <c r="Q3627" i="1"/>
  <c r="R3627" i="1"/>
  <c r="L3627" i="1"/>
  <c r="Q3626" i="1"/>
  <c r="R3626" i="1"/>
  <c r="Q3625" i="1"/>
  <c r="R3625" i="1"/>
  <c r="Q3624" i="1"/>
  <c r="R3624" i="1"/>
  <c r="Q3623" i="1"/>
  <c r="R3623" i="1"/>
  <c r="Q3622" i="1"/>
  <c r="R3622" i="1"/>
  <c r="Q3621" i="1"/>
  <c r="R3621" i="1"/>
  <c r="Q3619" i="1"/>
  <c r="R3619" i="1"/>
  <c r="Q3618" i="1"/>
  <c r="R3618" i="1"/>
  <c r="L3618" i="1"/>
  <c r="Q3617" i="1"/>
  <c r="R3617" i="1"/>
  <c r="L3617" i="1"/>
  <c r="Q3616" i="1"/>
  <c r="R3616" i="1"/>
  <c r="L3616" i="1"/>
  <c r="Q3615" i="1"/>
  <c r="R3615" i="1"/>
  <c r="L3615" i="1"/>
  <c r="Q3614" i="1"/>
  <c r="R3614" i="1"/>
  <c r="L3614" i="1"/>
  <c r="Q3613" i="1"/>
  <c r="R3613" i="1"/>
  <c r="Q3612" i="1"/>
  <c r="R3612" i="1"/>
  <c r="Q3611" i="1"/>
  <c r="R3611" i="1"/>
  <c r="Q3610" i="1"/>
  <c r="R3610" i="1"/>
  <c r="Q3609" i="1"/>
  <c r="R3609" i="1"/>
  <c r="Q3608" i="1"/>
  <c r="R3608" i="1"/>
  <c r="Q3607" i="1"/>
  <c r="R3607" i="1"/>
  <c r="Q3606" i="1"/>
  <c r="R3606" i="1"/>
  <c r="L3606" i="1"/>
  <c r="Q3604" i="1"/>
  <c r="R3604" i="1"/>
  <c r="L3604" i="1"/>
  <c r="Q3603" i="1"/>
  <c r="R3603" i="1"/>
  <c r="L3603" i="1"/>
  <c r="Q3601" i="1"/>
  <c r="R3601" i="1"/>
  <c r="L3601" i="1"/>
  <c r="Q3600" i="1"/>
  <c r="R3600" i="1"/>
  <c r="L3600" i="1"/>
  <c r="Q3599" i="1"/>
  <c r="R3599" i="1"/>
  <c r="Q3597" i="1"/>
  <c r="R3597" i="1"/>
  <c r="Q3596" i="1"/>
  <c r="R3596" i="1"/>
  <c r="Q3595" i="1"/>
  <c r="R3595" i="1"/>
  <c r="Q3594" i="1"/>
  <c r="R3594" i="1"/>
  <c r="Q3593" i="1"/>
  <c r="R3593" i="1"/>
  <c r="Q3592" i="1"/>
  <c r="R3592" i="1"/>
  <c r="Q3591" i="1"/>
  <c r="R3591" i="1"/>
  <c r="L3591" i="1"/>
  <c r="Q3590" i="1"/>
  <c r="R3590" i="1"/>
  <c r="L3590" i="1"/>
  <c r="Q3589" i="1"/>
  <c r="R3589" i="1"/>
  <c r="L3589" i="1"/>
  <c r="Q3588" i="1"/>
  <c r="R3588" i="1"/>
  <c r="L3588" i="1"/>
  <c r="Q3587" i="1"/>
  <c r="R3587" i="1"/>
  <c r="L3587" i="1"/>
  <c r="Q3586" i="1"/>
  <c r="R3586" i="1"/>
  <c r="Q3585" i="1"/>
  <c r="R3585" i="1"/>
  <c r="Q3584" i="1"/>
  <c r="R3584" i="1"/>
  <c r="Q3583" i="1"/>
  <c r="R3583" i="1"/>
  <c r="Q3582" i="1"/>
  <c r="R3582" i="1"/>
  <c r="Q3581" i="1"/>
  <c r="R3581" i="1"/>
  <c r="Q3580" i="1"/>
  <c r="R3580" i="1"/>
  <c r="Q3579" i="1"/>
  <c r="R3579" i="1"/>
  <c r="L3579" i="1"/>
  <c r="Q3578" i="1"/>
  <c r="R3578" i="1"/>
  <c r="L3578" i="1"/>
  <c r="Q3577" i="1"/>
  <c r="R3577" i="1"/>
  <c r="Q3576" i="1"/>
  <c r="R3576" i="1"/>
  <c r="L3576" i="1"/>
  <c r="Q3575" i="1"/>
  <c r="R3575" i="1"/>
  <c r="L3575" i="1"/>
  <c r="Q3573" i="1"/>
  <c r="R3573" i="1"/>
  <c r="Q3572" i="1"/>
  <c r="R3572" i="1"/>
  <c r="Q3571" i="1"/>
  <c r="R3571" i="1"/>
  <c r="Q3570" i="1"/>
  <c r="R3570" i="1"/>
  <c r="Q3569" i="1"/>
  <c r="R3569" i="1"/>
  <c r="Q3568" i="1"/>
  <c r="R3568" i="1"/>
  <c r="Q3567" i="1"/>
  <c r="R3567" i="1"/>
  <c r="Q3566" i="1"/>
  <c r="R3566" i="1"/>
  <c r="L3566" i="1"/>
  <c r="Q3565" i="1"/>
  <c r="R3565" i="1"/>
  <c r="L3565" i="1"/>
  <c r="Q3564" i="1"/>
  <c r="R3564" i="1"/>
  <c r="L3564" i="1"/>
  <c r="Q3563" i="1"/>
  <c r="R3563" i="1"/>
  <c r="L3563" i="1"/>
  <c r="Q3562" i="1"/>
  <c r="R3562" i="1"/>
  <c r="L3562" i="1"/>
  <c r="Q3561" i="1"/>
  <c r="R3561" i="1"/>
  <c r="Q3560" i="1"/>
  <c r="R3560" i="1"/>
  <c r="Q3559" i="1"/>
  <c r="R3559" i="1"/>
  <c r="Q3558" i="1"/>
  <c r="R3558" i="1"/>
  <c r="Q3557" i="1"/>
  <c r="R3557" i="1"/>
  <c r="Q3556" i="1"/>
  <c r="R3556" i="1"/>
  <c r="Q3555" i="1"/>
  <c r="R3555" i="1"/>
  <c r="Q3554" i="1"/>
  <c r="R3554" i="1"/>
  <c r="L3554" i="1"/>
  <c r="Q3553" i="1"/>
  <c r="R3553" i="1"/>
  <c r="L3553" i="1"/>
  <c r="Q3552" i="1"/>
  <c r="R3552" i="1"/>
  <c r="L3552" i="1"/>
  <c r="Q3551" i="1"/>
  <c r="R3551" i="1"/>
  <c r="L3551" i="1"/>
  <c r="Q3550" i="1"/>
  <c r="R3550" i="1"/>
  <c r="L3550" i="1"/>
  <c r="Q3549" i="1"/>
  <c r="R3549" i="1"/>
  <c r="Q3548" i="1"/>
  <c r="R3548" i="1"/>
  <c r="Q3547" i="1"/>
  <c r="R3547" i="1"/>
  <c r="Q3546" i="1"/>
  <c r="R3546" i="1"/>
  <c r="Q3545" i="1"/>
  <c r="R3545" i="1"/>
  <c r="Q3544" i="1"/>
  <c r="R3544" i="1"/>
  <c r="Q3543" i="1"/>
  <c r="R3543" i="1"/>
  <c r="Q3542" i="1"/>
  <c r="R3542" i="1"/>
  <c r="L3542" i="1"/>
  <c r="Q3541" i="1"/>
  <c r="R3541" i="1"/>
  <c r="L3541" i="1"/>
  <c r="Q3540" i="1"/>
  <c r="R3540" i="1"/>
  <c r="Q3539" i="1"/>
  <c r="R3539" i="1"/>
  <c r="L3539" i="1"/>
  <c r="Q3538" i="1"/>
  <c r="R3538" i="1"/>
  <c r="L3538" i="1"/>
  <c r="Q3537" i="1"/>
  <c r="R3537" i="1"/>
  <c r="Q3536" i="1"/>
  <c r="R3536" i="1"/>
  <c r="Q3535" i="1"/>
  <c r="R3535" i="1"/>
  <c r="Q3534" i="1"/>
  <c r="R3534" i="1"/>
  <c r="Q3533" i="1"/>
  <c r="R3533" i="1"/>
  <c r="Q3532" i="1"/>
  <c r="R3532" i="1"/>
  <c r="Q3531" i="1"/>
  <c r="R3531" i="1"/>
  <c r="Q3530" i="1"/>
  <c r="R3530" i="1"/>
  <c r="L3530" i="1"/>
  <c r="Q3529" i="1"/>
  <c r="R3529" i="1"/>
  <c r="L3529" i="1"/>
  <c r="Q3528" i="1"/>
  <c r="R3528" i="1"/>
  <c r="L3528" i="1"/>
  <c r="Q3527" i="1"/>
  <c r="R3527" i="1"/>
  <c r="L3527" i="1"/>
  <c r="Q3526" i="1"/>
  <c r="R3526" i="1"/>
  <c r="L3526" i="1"/>
  <c r="Q3525" i="1"/>
  <c r="R3525" i="1"/>
  <c r="Q3524" i="1"/>
  <c r="R3524" i="1"/>
  <c r="Q3523" i="1"/>
  <c r="R3523" i="1"/>
  <c r="Q3522" i="1"/>
  <c r="R3522" i="1"/>
  <c r="Q3521" i="1"/>
  <c r="R3521" i="1"/>
  <c r="Q3520" i="1"/>
  <c r="R3520" i="1"/>
  <c r="Q3519" i="1"/>
  <c r="R3519" i="1"/>
  <c r="Q3518" i="1"/>
  <c r="R3518" i="1"/>
  <c r="L3518" i="1"/>
  <c r="Q3517" i="1"/>
  <c r="R3517" i="1"/>
  <c r="L3517" i="1"/>
  <c r="Q3516" i="1"/>
  <c r="R3516" i="1"/>
  <c r="L3516" i="1"/>
  <c r="Q3515" i="1"/>
  <c r="R3515" i="1"/>
  <c r="L3515" i="1"/>
  <c r="Q3514" i="1"/>
  <c r="R3514" i="1"/>
  <c r="L3514" i="1"/>
  <c r="Q3513" i="1"/>
  <c r="R3513" i="1"/>
  <c r="Q3512" i="1"/>
  <c r="R3512" i="1"/>
  <c r="Q3511" i="1"/>
  <c r="R3511" i="1"/>
  <c r="Q3510" i="1"/>
  <c r="R3510" i="1"/>
  <c r="Q3509" i="1"/>
  <c r="R3509" i="1"/>
  <c r="Q3508" i="1"/>
  <c r="R3508" i="1"/>
  <c r="Q3507" i="1"/>
  <c r="R3507" i="1"/>
  <c r="Q3506" i="1"/>
  <c r="R3506" i="1"/>
  <c r="L3506" i="1"/>
  <c r="Q3505" i="1"/>
  <c r="R3505" i="1"/>
  <c r="L3505" i="1"/>
  <c r="Q3504" i="1"/>
  <c r="R3504" i="1"/>
  <c r="L3504" i="1"/>
  <c r="Q3503" i="1"/>
  <c r="R3503" i="1"/>
  <c r="L3503" i="1"/>
  <c r="Q3502" i="1"/>
  <c r="R3502" i="1"/>
  <c r="L3502" i="1"/>
  <c r="Q3501" i="1"/>
  <c r="R3501" i="1"/>
  <c r="L3501" i="1"/>
  <c r="Q3500" i="1"/>
  <c r="R3500" i="1"/>
  <c r="Q3499" i="1"/>
  <c r="R3499" i="1"/>
  <c r="Q3498" i="1"/>
  <c r="R3498" i="1"/>
  <c r="Q3497" i="1"/>
  <c r="R3497" i="1"/>
  <c r="Q3496" i="1"/>
  <c r="R3496" i="1"/>
  <c r="Q3495" i="1"/>
  <c r="R3495" i="1"/>
  <c r="Q3494" i="1"/>
  <c r="R3494" i="1"/>
  <c r="L3494" i="1"/>
  <c r="Q3493" i="1"/>
  <c r="R3493" i="1"/>
  <c r="L3493" i="1"/>
  <c r="Q3492" i="1"/>
  <c r="R3492" i="1"/>
  <c r="L3492" i="1"/>
  <c r="Q3491" i="1"/>
  <c r="R3491" i="1"/>
  <c r="L3491" i="1"/>
  <c r="Q3490" i="1"/>
  <c r="R3490" i="1"/>
  <c r="L3490" i="1"/>
  <c r="Q3489" i="1"/>
  <c r="R3489" i="1"/>
  <c r="Q3488" i="1"/>
  <c r="R3488" i="1"/>
  <c r="Q3487" i="1"/>
  <c r="R3487" i="1"/>
  <c r="Q3486" i="1"/>
  <c r="R3486" i="1"/>
  <c r="Q3485" i="1"/>
  <c r="R3485" i="1"/>
  <c r="Q3484" i="1"/>
  <c r="R3484" i="1"/>
  <c r="Q3483" i="1"/>
  <c r="R3483" i="1"/>
  <c r="Q3482" i="1"/>
  <c r="R3482" i="1"/>
  <c r="L3482" i="1"/>
  <c r="Q3481" i="1"/>
  <c r="R3481" i="1"/>
  <c r="L3481" i="1"/>
  <c r="Q3480" i="1"/>
  <c r="R3480" i="1"/>
  <c r="L3480" i="1"/>
  <c r="Q3479" i="1"/>
  <c r="R3479" i="1"/>
  <c r="L3479" i="1"/>
  <c r="Q3478" i="1"/>
  <c r="R3478" i="1"/>
  <c r="L3478" i="1"/>
  <c r="Q3477" i="1"/>
  <c r="R3477" i="1"/>
  <c r="Q3476" i="1"/>
  <c r="R3476" i="1"/>
  <c r="Q3475" i="1"/>
  <c r="R3475" i="1"/>
  <c r="Q3474" i="1"/>
  <c r="R3474" i="1"/>
  <c r="Q3473" i="1"/>
  <c r="R3473" i="1"/>
  <c r="Q3472" i="1"/>
  <c r="R3472" i="1"/>
  <c r="Q3471" i="1"/>
  <c r="R3471" i="1"/>
  <c r="Q3470" i="1"/>
  <c r="R3470" i="1"/>
  <c r="L3470" i="1"/>
  <c r="Q3469" i="1"/>
  <c r="R3469" i="1"/>
  <c r="L3469" i="1"/>
  <c r="Q3468" i="1"/>
  <c r="R3468" i="1"/>
  <c r="L3468" i="1"/>
  <c r="Q3467" i="1"/>
  <c r="R3467" i="1"/>
  <c r="L3467" i="1"/>
  <c r="Q3466" i="1"/>
  <c r="R3466" i="1"/>
  <c r="L3466" i="1"/>
  <c r="Q3465" i="1"/>
  <c r="R3465" i="1"/>
  <c r="Q3464" i="1"/>
  <c r="R3464" i="1"/>
  <c r="Q3463" i="1"/>
  <c r="R3463" i="1"/>
  <c r="Q3462" i="1"/>
  <c r="R3462" i="1"/>
  <c r="Q3461" i="1"/>
  <c r="R3461" i="1"/>
  <c r="Q3460" i="1"/>
  <c r="R3460" i="1"/>
  <c r="Q3459" i="1"/>
  <c r="R3459" i="1"/>
  <c r="Q3458" i="1"/>
  <c r="R3458" i="1"/>
  <c r="L3458" i="1"/>
  <c r="Q3457" i="1"/>
  <c r="R3457" i="1"/>
  <c r="L3457" i="1"/>
  <c r="Q3456" i="1"/>
  <c r="R3456" i="1"/>
  <c r="L3456" i="1"/>
  <c r="Q3455" i="1"/>
  <c r="R3455" i="1"/>
  <c r="L3455" i="1"/>
  <c r="Q3454" i="1"/>
  <c r="R3454" i="1"/>
  <c r="L3454" i="1"/>
  <c r="Q3453" i="1"/>
  <c r="R3453" i="1"/>
  <c r="L3453" i="1"/>
  <c r="Q3452" i="1"/>
  <c r="R3452" i="1"/>
  <c r="Q3451" i="1"/>
  <c r="R3451" i="1"/>
  <c r="Q3450" i="1"/>
  <c r="R3450" i="1"/>
  <c r="Q3449" i="1"/>
  <c r="R3449" i="1"/>
  <c r="Q3448" i="1"/>
  <c r="R3448" i="1"/>
  <c r="Q3447" i="1"/>
  <c r="R3447" i="1"/>
  <c r="Q3446" i="1"/>
  <c r="R3446" i="1"/>
  <c r="L3446" i="1"/>
  <c r="Q3445" i="1"/>
  <c r="R3445" i="1"/>
  <c r="L3445" i="1"/>
  <c r="Q3444" i="1"/>
  <c r="R3444" i="1"/>
  <c r="L3444" i="1"/>
  <c r="Q3443" i="1"/>
  <c r="R3443" i="1"/>
  <c r="L3443" i="1"/>
  <c r="Q3442" i="1"/>
  <c r="R3442" i="1"/>
  <c r="L3442" i="1"/>
  <c r="Q3441" i="1"/>
  <c r="R3441" i="1"/>
  <c r="Q3440" i="1"/>
  <c r="R3440" i="1"/>
  <c r="Q3439" i="1"/>
  <c r="R3439" i="1"/>
  <c r="Q3438" i="1"/>
  <c r="R3438" i="1"/>
  <c r="Q3437" i="1"/>
  <c r="R3437" i="1"/>
  <c r="Q3436" i="1"/>
  <c r="R3436" i="1"/>
  <c r="Q3435" i="1"/>
  <c r="R3435" i="1"/>
  <c r="Q3434" i="1"/>
  <c r="R3434" i="1"/>
  <c r="L3434" i="1"/>
  <c r="Q3433" i="1"/>
  <c r="R3433" i="1"/>
  <c r="L3433" i="1"/>
  <c r="Q3432" i="1"/>
  <c r="R3432" i="1"/>
  <c r="L3432" i="1"/>
  <c r="Q3431" i="1"/>
  <c r="R3431" i="1"/>
  <c r="L3431" i="1"/>
  <c r="Q3430" i="1"/>
  <c r="R3430" i="1"/>
  <c r="L3430" i="1"/>
  <c r="Q3429" i="1"/>
  <c r="R3429" i="1"/>
  <c r="Q3428" i="1"/>
  <c r="R3428" i="1"/>
  <c r="Q3427" i="1"/>
  <c r="R3427" i="1"/>
  <c r="Q3426" i="1"/>
  <c r="R3426" i="1"/>
  <c r="Q3425" i="1"/>
  <c r="R3425" i="1"/>
  <c r="Q3424" i="1"/>
  <c r="R3424" i="1"/>
  <c r="Q3423" i="1"/>
  <c r="R3423" i="1"/>
  <c r="Q3422" i="1"/>
  <c r="R3422" i="1"/>
  <c r="L3422" i="1"/>
  <c r="Q3421" i="1"/>
  <c r="R3421" i="1"/>
  <c r="L3421" i="1"/>
  <c r="Q3420" i="1"/>
  <c r="R3420" i="1"/>
  <c r="L3420" i="1"/>
  <c r="Q3419" i="1"/>
  <c r="R3419" i="1"/>
  <c r="L3419" i="1"/>
  <c r="Q3418" i="1"/>
  <c r="R3418" i="1"/>
  <c r="L3418" i="1"/>
  <c r="Q3417" i="1"/>
  <c r="R3417" i="1"/>
  <c r="Q3416" i="1"/>
  <c r="R3416" i="1"/>
  <c r="Q3415" i="1"/>
  <c r="R3415" i="1"/>
  <c r="Q3414" i="1"/>
  <c r="R3414" i="1"/>
  <c r="Q3413" i="1"/>
  <c r="R3413" i="1"/>
  <c r="Q3412" i="1"/>
  <c r="R3412" i="1"/>
  <c r="Q3411" i="1"/>
  <c r="R3411" i="1"/>
  <c r="Q3410" i="1"/>
  <c r="R3410" i="1"/>
  <c r="L3410" i="1"/>
  <c r="Q3409" i="1"/>
  <c r="R3409" i="1"/>
  <c r="L3409" i="1"/>
  <c r="Q3408" i="1"/>
  <c r="R3408" i="1"/>
  <c r="L3408" i="1"/>
  <c r="Q3407" i="1"/>
  <c r="R3407" i="1"/>
  <c r="L3407" i="1"/>
  <c r="Q3406" i="1"/>
  <c r="R3406" i="1"/>
  <c r="L3406" i="1"/>
  <c r="Q3405" i="1"/>
  <c r="R3405" i="1"/>
  <c r="Q3404" i="1"/>
  <c r="R3404" i="1"/>
  <c r="Q3403" i="1"/>
  <c r="R3403" i="1"/>
  <c r="Q3402" i="1"/>
  <c r="R3402" i="1"/>
  <c r="Q3401" i="1"/>
  <c r="R3401" i="1"/>
  <c r="Q3400" i="1"/>
  <c r="R3400" i="1"/>
  <c r="Q3399" i="1"/>
  <c r="R3399" i="1"/>
  <c r="Q3398" i="1"/>
  <c r="R3398" i="1"/>
  <c r="L3398" i="1"/>
  <c r="Q3397" i="1"/>
  <c r="R3397" i="1"/>
  <c r="L3397" i="1"/>
  <c r="Q3396" i="1"/>
  <c r="R3396" i="1"/>
  <c r="L3396" i="1"/>
  <c r="Q3395" i="1"/>
  <c r="R3395" i="1"/>
  <c r="L3395" i="1"/>
  <c r="Q3394" i="1"/>
  <c r="R3394" i="1"/>
  <c r="L3394" i="1"/>
  <c r="Q3393" i="1"/>
  <c r="R3393" i="1"/>
  <c r="Q3392" i="1"/>
  <c r="R3392" i="1"/>
  <c r="Q3391" i="1"/>
  <c r="R3391" i="1"/>
  <c r="Q3390" i="1"/>
  <c r="R3390" i="1"/>
  <c r="Q3389" i="1"/>
  <c r="R3389" i="1"/>
  <c r="Q3388" i="1"/>
  <c r="R3388" i="1"/>
  <c r="Q3387" i="1"/>
  <c r="R3387" i="1"/>
  <c r="Q3386" i="1"/>
  <c r="R3386" i="1"/>
  <c r="L3386" i="1"/>
  <c r="Q3385" i="1"/>
  <c r="R3385" i="1"/>
  <c r="L3385" i="1"/>
  <c r="Q3384" i="1"/>
  <c r="R3384" i="1"/>
  <c r="Q3383" i="1"/>
  <c r="R3383" i="1"/>
  <c r="L3383" i="1"/>
  <c r="Q3382" i="1"/>
  <c r="R3382" i="1"/>
  <c r="L3382" i="1"/>
  <c r="Q3381" i="1"/>
  <c r="R3381" i="1"/>
  <c r="Q3380" i="1"/>
  <c r="R3380" i="1"/>
  <c r="Q3379" i="1"/>
  <c r="R3379" i="1"/>
  <c r="Q3378" i="1"/>
  <c r="R3378" i="1"/>
  <c r="Q3377" i="1"/>
  <c r="R3377" i="1"/>
  <c r="Q3376" i="1"/>
  <c r="R3376" i="1"/>
  <c r="Q3375" i="1"/>
  <c r="R3375" i="1"/>
  <c r="Q3374" i="1"/>
  <c r="R3374" i="1"/>
  <c r="L3374" i="1"/>
  <c r="Q3373" i="1"/>
  <c r="R3373" i="1"/>
  <c r="L3373" i="1"/>
  <c r="Q3372" i="1"/>
  <c r="R3372" i="1"/>
  <c r="L3372" i="1"/>
  <c r="Q3371" i="1"/>
  <c r="R3371" i="1"/>
  <c r="L3371" i="1"/>
  <c r="Q3370" i="1"/>
  <c r="R3370" i="1"/>
  <c r="L3370" i="1"/>
  <c r="Q3369" i="1"/>
  <c r="R3369" i="1"/>
  <c r="Q3368" i="1"/>
  <c r="R3368" i="1"/>
  <c r="Q3367" i="1"/>
  <c r="R3367" i="1"/>
  <c r="Q3366" i="1"/>
  <c r="R3366" i="1"/>
  <c r="Q3365" i="1"/>
  <c r="R3365" i="1"/>
  <c r="Q3364" i="1"/>
  <c r="R3364" i="1"/>
  <c r="Q3363" i="1"/>
  <c r="R3363" i="1"/>
  <c r="Q3362" i="1"/>
  <c r="R3362" i="1"/>
  <c r="L3362" i="1"/>
  <c r="Q3361" i="1"/>
  <c r="R3361" i="1"/>
  <c r="L3361" i="1"/>
  <c r="Q3360" i="1"/>
  <c r="R3360" i="1"/>
  <c r="L3360" i="1"/>
  <c r="Q3359" i="1"/>
  <c r="R3359" i="1"/>
  <c r="L3359" i="1"/>
  <c r="Q3358" i="1"/>
  <c r="R3358" i="1"/>
  <c r="L3358" i="1"/>
  <c r="Q3357" i="1"/>
  <c r="R3357" i="1"/>
  <c r="Q3356" i="1"/>
  <c r="R3356" i="1"/>
  <c r="Q3355" i="1"/>
  <c r="R3355" i="1"/>
  <c r="Q3354" i="1"/>
  <c r="R3354" i="1"/>
  <c r="Q3353" i="1"/>
  <c r="R3353" i="1"/>
  <c r="Q3352" i="1"/>
  <c r="R3352" i="1"/>
  <c r="Q3351" i="1"/>
  <c r="R3351" i="1"/>
  <c r="Q3350" i="1"/>
  <c r="R3350" i="1"/>
  <c r="L3350" i="1"/>
  <c r="Q3349" i="1"/>
  <c r="R3349" i="1"/>
  <c r="L3349" i="1"/>
  <c r="Q3348" i="1"/>
  <c r="R3348" i="1"/>
  <c r="L3348" i="1"/>
  <c r="Q3347" i="1"/>
  <c r="R3347" i="1"/>
  <c r="L3347" i="1"/>
  <c r="Q3346" i="1"/>
  <c r="R3346" i="1"/>
  <c r="L3346" i="1"/>
  <c r="Q3345" i="1"/>
  <c r="R3345" i="1"/>
  <c r="Q3344" i="1"/>
  <c r="R3344" i="1"/>
  <c r="Q3343" i="1"/>
  <c r="R3343" i="1"/>
  <c r="Q3342" i="1"/>
  <c r="R3342" i="1"/>
  <c r="Q3341" i="1"/>
  <c r="R3341" i="1"/>
  <c r="Q3340" i="1"/>
  <c r="R3340" i="1"/>
  <c r="Q3339" i="1"/>
  <c r="R3339" i="1"/>
  <c r="Q3338" i="1"/>
  <c r="R3338" i="1"/>
  <c r="L3338" i="1"/>
  <c r="Q3337" i="1"/>
  <c r="R3337" i="1"/>
  <c r="L3337" i="1"/>
  <c r="Q3336" i="1"/>
  <c r="R3336" i="1"/>
  <c r="L3336" i="1"/>
  <c r="Q3335" i="1"/>
  <c r="R3335" i="1"/>
  <c r="L3335" i="1"/>
  <c r="Q3334" i="1"/>
  <c r="R3334" i="1"/>
  <c r="L3334" i="1"/>
  <c r="Q3333" i="1"/>
  <c r="R3333" i="1"/>
  <c r="Q3332" i="1"/>
  <c r="R3332" i="1"/>
  <c r="Q3331" i="1"/>
  <c r="R3331" i="1"/>
  <c r="Q3330" i="1"/>
  <c r="R3330" i="1"/>
  <c r="Q3329" i="1"/>
  <c r="R3329" i="1"/>
  <c r="Q3328" i="1"/>
  <c r="R3328" i="1"/>
  <c r="Q3327" i="1"/>
  <c r="R3327" i="1"/>
  <c r="Q3326" i="1"/>
  <c r="R3326" i="1"/>
  <c r="L3326" i="1"/>
  <c r="Q3325" i="1"/>
  <c r="R3325" i="1"/>
  <c r="L3325" i="1"/>
  <c r="Q3324" i="1"/>
  <c r="R3324" i="1"/>
  <c r="L3324" i="1"/>
  <c r="Q3323" i="1"/>
  <c r="R3323" i="1"/>
  <c r="L3323" i="1"/>
  <c r="Q3322" i="1"/>
  <c r="R3322" i="1"/>
  <c r="L3322" i="1"/>
  <c r="Q3321" i="1"/>
  <c r="R3321" i="1"/>
  <c r="Q3320" i="1"/>
  <c r="R3320" i="1"/>
  <c r="Q3319" i="1"/>
  <c r="R3319" i="1"/>
  <c r="Q3318" i="1"/>
  <c r="R3318" i="1"/>
  <c r="Q3317" i="1"/>
  <c r="R3317" i="1"/>
  <c r="Q3316" i="1"/>
  <c r="R3316" i="1"/>
  <c r="Q3315" i="1"/>
  <c r="R3315" i="1"/>
  <c r="Q3314" i="1"/>
  <c r="R3314" i="1"/>
  <c r="L3314" i="1"/>
  <c r="Q3313" i="1"/>
  <c r="R3313" i="1"/>
  <c r="L3313" i="1"/>
  <c r="Q3312" i="1"/>
  <c r="R3312" i="1"/>
  <c r="L3312" i="1"/>
  <c r="Q3311" i="1"/>
  <c r="R3311" i="1"/>
  <c r="L3311" i="1"/>
  <c r="Q3310" i="1"/>
  <c r="R3310" i="1"/>
  <c r="L3310" i="1"/>
  <c r="Q3309" i="1"/>
  <c r="R3309" i="1"/>
  <c r="Q3308" i="1"/>
  <c r="R3308" i="1"/>
  <c r="Q3307" i="1"/>
  <c r="R3307" i="1"/>
  <c r="Q3306" i="1"/>
  <c r="R3306" i="1"/>
  <c r="Q3305" i="1"/>
  <c r="R3305" i="1"/>
  <c r="Q3304" i="1"/>
  <c r="R3304" i="1"/>
  <c r="Q3303" i="1"/>
  <c r="R3303" i="1"/>
  <c r="Q3302" i="1"/>
  <c r="R3302" i="1"/>
  <c r="L3302" i="1"/>
  <c r="Q3301" i="1"/>
  <c r="R3301" i="1"/>
  <c r="L3301" i="1"/>
  <c r="Q3300" i="1"/>
  <c r="R3300" i="1"/>
  <c r="L3300" i="1"/>
  <c r="Q3299" i="1"/>
  <c r="R3299" i="1"/>
  <c r="L3299" i="1"/>
  <c r="Q3298" i="1"/>
  <c r="R3298" i="1"/>
  <c r="L3298" i="1"/>
  <c r="Q3297" i="1"/>
  <c r="R3297" i="1"/>
  <c r="Q3296" i="1"/>
  <c r="R3296" i="1"/>
  <c r="Q3295" i="1"/>
  <c r="R3295" i="1"/>
  <c r="Q3294" i="1"/>
  <c r="R3294" i="1"/>
  <c r="Q3293" i="1"/>
  <c r="R3293" i="1"/>
  <c r="Q3292" i="1"/>
  <c r="R3292" i="1"/>
  <c r="Q3291" i="1"/>
  <c r="R3291" i="1"/>
  <c r="Q3290" i="1"/>
  <c r="R3290" i="1"/>
  <c r="L3290" i="1"/>
  <c r="Q3289" i="1"/>
  <c r="R3289" i="1"/>
  <c r="L3289" i="1"/>
  <c r="Q3288" i="1"/>
  <c r="R3288" i="1"/>
  <c r="L3288" i="1"/>
  <c r="Q3287" i="1"/>
  <c r="R3287" i="1"/>
  <c r="L3287" i="1"/>
  <c r="Q3286" i="1"/>
  <c r="R3286" i="1"/>
  <c r="L3286" i="1"/>
  <c r="Q3285" i="1"/>
  <c r="R3285" i="1"/>
  <c r="Q3284" i="1"/>
  <c r="R3284" i="1"/>
  <c r="Q3283" i="1"/>
  <c r="R3283" i="1"/>
  <c r="Q3282" i="1"/>
  <c r="R3282" i="1"/>
  <c r="Q3281" i="1"/>
  <c r="R3281" i="1"/>
  <c r="Q3280" i="1"/>
  <c r="R3280" i="1"/>
  <c r="Q3279" i="1"/>
  <c r="R3279" i="1"/>
  <c r="Q3278" i="1"/>
  <c r="R3278" i="1"/>
  <c r="L3278" i="1"/>
  <c r="Q3277" i="1"/>
  <c r="R3277" i="1"/>
  <c r="L3277" i="1"/>
  <c r="Q3276" i="1"/>
  <c r="R3276" i="1"/>
  <c r="L3276" i="1"/>
  <c r="Q3275" i="1"/>
  <c r="R3275" i="1"/>
  <c r="L3275" i="1"/>
  <c r="Q3274" i="1"/>
  <c r="R3274" i="1"/>
  <c r="L3274" i="1"/>
  <c r="Q3273" i="1"/>
  <c r="R3273" i="1"/>
  <c r="Q3272" i="1"/>
  <c r="R3272" i="1"/>
  <c r="Q3271" i="1"/>
  <c r="R3271" i="1"/>
  <c r="Q3270" i="1"/>
  <c r="R3270" i="1"/>
  <c r="Q3269" i="1"/>
  <c r="R3269" i="1"/>
  <c r="Q3268" i="1"/>
  <c r="R3268" i="1"/>
  <c r="Q3267" i="1"/>
  <c r="R3267" i="1"/>
  <c r="Q3266" i="1"/>
  <c r="R3266" i="1"/>
  <c r="L3266" i="1"/>
  <c r="Q3265" i="1"/>
  <c r="R3265" i="1"/>
  <c r="L3265" i="1"/>
  <c r="Q3264" i="1"/>
  <c r="R3264" i="1"/>
  <c r="L3264" i="1"/>
  <c r="Q3263" i="1"/>
  <c r="R3263" i="1"/>
  <c r="L3263" i="1"/>
  <c r="Q3262" i="1"/>
  <c r="R3262" i="1"/>
  <c r="L3262" i="1"/>
  <c r="Q3261" i="1"/>
  <c r="R3261" i="1"/>
  <c r="Q3260" i="1"/>
  <c r="R3260" i="1"/>
  <c r="Q3259" i="1"/>
  <c r="R3259" i="1"/>
  <c r="Q3258" i="1"/>
  <c r="R3258" i="1"/>
  <c r="Q3257" i="1"/>
  <c r="R3257" i="1"/>
  <c r="Q3256" i="1"/>
  <c r="R3256" i="1"/>
  <c r="Q3255" i="1"/>
  <c r="R3255" i="1"/>
  <c r="Q3254" i="1"/>
  <c r="R3254" i="1"/>
  <c r="L3254" i="1"/>
  <c r="Q3253" i="1"/>
  <c r="R3253" i="1"/>
  <c r="L3253" i="1"/>
  <c r="Q3252" i="1"/>
  <c r="R3252" i="1"/>
  <c r="L3252" i="1"/>
  <c r="Q3251" i="1"/>
  <c r="R3251" i="1"/>
  <c r="L3251" i="1"/>
  <c r="Q3250" i="1"/>
  <c r="R3250" i="1"/>
  <c r="L3250" i="1"/>
  <c r="Q3249" i="1"/>
  <c r="R3249" i="1"/>
  <c r="Q3248" i="1"/>
  <c r="R3248" i="1"/>
  <c r="Q3247" i="1"/>
  <c r="R3247" i="1"/>
  <c r="Q3246" i="1"/>
  <c r="R3246" i="1"/>
  <c r="Q3245" i="1"/>
  <c r="R3245" i="1"/>
  <c r="Q3244" i="1"/>
  <c r="R3244" i="1"/>
  <c r="Q3243" i="1"/>
  <c r="R3243" i="1"/>
  <c r="Q3242" i="1"/>
  <c r="R3242" i="1"/>
  <c r="L3242" i="1"/>
  <c r="Q3241" i="1"/>
  <c r="R3241" i="1"/>
  <c r="L3241" i="1"/>
  <c r="Q3240" i="1"/>
  <c r="R3240" i="1"/>
  <c r="L3240" i="1"/>
  <c r="Q3239" i="1"/>
  <c r="R3239" i="1"/>
  <c r="L3239" i="1"/>
  <c r="Q3238" i="1"/>
  <c r="R3238" i="1"/>
  <c r="L3238" i="1"/>
  <c r="Q3237" i="1"/>
  <c r="R3237" i="1"/>
  <c r="Q3236" i="1"/>
  <c r="R3236" i="1"/>
  <c r="Q3235" i="1"/>
  <c r="R3235" i="1"/>
  <c r="Q3234" i="1"/>
  <c r="R3234" i="1"/>
  <c r="Q3233" i="1"/>
  <c r="R3233" i="1"/>
  <c r="Q3232" i="1"/>
  <c r="R3232" i="1"/>
  <c r="Q3231" i="1"/>
  <c r="R3231" i="1"/>
  <c r="Q3230" i="1"/>
  <c r="R3230" i="1"/>
  <c r="L3230" i="1"/>
  <c r="Q3229" i="1"/>
  <c r="R3229" i="1"/>
  <c r="L3229" i="1"/>
  <c r="Q3228" i="1"/>
  <c r="R3228" i="1"/>
  <c r="L3228" i="1"/>
  <c r="Q3227" i="1"/>
  <c r="R3227" i="1"/>
  <c r="L3227" i="1"/>
  <c r="Q3226" i="1"/>
  <c r="R3226" i="1"/>
  <c r="L3226" i="1"/>
  <c r="Q3225" i="1"/>
  <c r="R3225" i="1"/>
  <c r="Q3224" i="1"/>
  <c r="R3224" i="1"/>
  <c r="Q3223" i="1"/>
  <c r="R3223" i="1"/>
  <c r="Q3222" i="1"/>
  <c r="R3222" i="1"/>
  <c r="Q3221" i="1"/>
  <c r="R3221" i="1"/>
  <c r="Q3220" i="1"/>
  <c r="R3220" i="1"/>
  <c r="Q3219" i="1"/>
  <c r="R3219" i="1"/>
  <c r="Q3218" i="1"/>
  <c r="R3218" i="1"/>
  <c r="L3218" i="1"/>
  <c r="Q3217" i="1"/>
  <c r="R3217" i="1"/>
  <c r="L3217" i="1"/>
  <c r="Q3216" i="1"/>
  <c r="R3216" i="1"/>
  <c r="L3216" i="1"/>
  <c r="Q3215" i="1"/>
  <c r="R3215" i="1"/>
  <c r="L3215" i="1"/>
  <c r="Q3214" i="1"/>
  <c r="R3214" i="1"/>
  <c r="L3214" i="1"/>
  <c r="Q3213" i="1"/>
  <c r="R3213" i="1"/>
  <c r="Q3212" i="1"/>
  <c r="R3212" i="1"/>
  <c r="Q3211" i="1"/>
  <c r="R3211" i="1"/>
  <c r="Q3210" i="1"/>
  <c r="R3210" i="1"/>
  <c r="Q3209" i="1"/>
  <c r="R3209" i="1"/>
  <c r="Q3208" i="1"/>
  <c r="R3208" i="1"/>
  <c r="Q3207" i="1"/>
  <c r="R3207" i="1"/>
  <c r="Q3206" i="1"/>
  <c r="R3206" i="1"/>
  <c r="L3206" i="1"/>
  <c r="Q3205" i="1"/>
  <c r="R3205" i="1"/>
  <c r="L3205" i="1"/>
  <c r="Q3204" i="1"/>
  <c r="R3204" i="1"/>
  <c r="L3204" i="1"/>
  <c r="Q3203" i="1"/>
  <c r="R3203" i="1"/>
  <c r="L3203" i="1"/>
  <c r="Q3202" i="1"/>
  <c r="R3202" i="1"/>
  <c r="L3202" i="1"/>
  <c r="Q3201" i="1"/>
  <c r="R3201" i="1"/>
  <c r="Q3200" i="1"/>
  <c r="R3200" i="1"/>
  <c r="Q3199" i="1"/>
  <c r="R3199" i="1"/>
  <c r="Q3198" i="1"/>
  <c r="R3198" i="1"/>
  <c r="Q3197" i="1"/>
  <c r="R3197" i="1"/>
  <c r="Q3196" i="1"/>
  <c r="R3196" i="1"/>
  <c r="Q3195" i="1"/>
  <c r="R3195" i="1"/>
  <c r="Q3194" i="1"/>
  <c r="R3194" i="1"/>
  <c r="L3194" i="1"/>
  <c r="Q3193" i="1"/>
  <c r="R3193" i="1"/>
  <c r="L3193" i="1"/>
  <c r="Q3192" i="1"/>
  <c r="R3192" i="1"/>
  <c r="L3192" i="1"/>
  <c r="Q3191" i="1"/>
  <c r="R3191" i="1"/>
  <c r="L3191" i="1"/>
  <c r="Q3190" i="1"/>
  <c r="R3190" i="1"/>
  <c r="L3190" i="1"/>
  <c r="Q3189" i="1"/>
  <c r="R3189" i="1"/>
  <c r="Q3188" i="1"/>
  <c r="R3188" i="1"/>
  <c r="Q3187" i="1"/>
  <c r="R3187" i="1"/>
  <c r="Q3186" i="1"/>
  <c r="R3186" i="1"/>
  <c r="Q3185" i="1"/>
  <c r="R3185" i="1"/>
  <c r="Q3184" i="1"/>
  <c r="R3184" i="1"/>
  <c r="Q3183" i="1"/>
  <c r="R3183" i="1"/>
  <c r="Q3182" i="1"/>
  <c r="R3182" i="1"/>
  <c r="L3182" i="1"/>
  <c r="Q3181" i="1"/>
  <c r="R3181" i="1"/>
  <c r="L3181" i="1"/>
  <c r="Q3180" i="1"/>
  <c r="R3180" i="1"/>
  <c r="L3180" i="1"/>
  <c r="Q3179" i="1"/>
  <c r="R3179" i="1"/>
  <c r="L3179" i="1"/>
  <c r="Q3178" i="1"/>
  <c r="R3178" i="1"/>
  <c r="L3178" i="1"/>
  <c r="Q3177" i="1"/>
  <c r="R3177" i="1"/>
  <c r="Q3176" i="1"/>
  <c r="R3176" i="1"/>
  <c r="Q3175" i="1"/>
  <c r="R3175" i="1"/>
  <c r="Q3174" i="1"/>
  <c r="R3174" i="1"/>
  <c r="Q3173" i="1"/>
  <c r="R3173" i="1"/>
  <c r="Q3172" i="1"/>
  <c r="R3172" i="1"/>
  <c r="Q3171" i="1"/>
  <c r="R3171" i="1"/>
  <c r="Q3170" i="1"/>
  <c r="R3170" i="1"/>
  <c r="L3170" i="1"/>
  <c r="Q3169" i="1"/>
  <c r="R3169" i="1"/>
  <c r="L3169" i="1"/>
  <c r="Q3168" i="1"/>
  <c r="R3168" i="1"/>
  <c r="L3168" i="1"/>
  <c r="Q3167" i="1"/>
  <c r="R3167" i="1"/>
  <c r="L3167" i="1"/>
  <c r="Q3166" i="1"/>
  <c r="R3166" i="1"/>
  <c r="L3166" i="1"/>
  <c r="Q3165" i="1"/>
  <c r="R3165" i="1"/>
  <c r="Q3164" i="1"/>
  <c r="R3164" i="1"/>
  <c r="Q3163" i="1"/>
  <c r="R3163" i="1"/>
  <c r="Q3162" i="1"/>
  <c r="R3162" i="1"/>
  <c r="Q3161" i="1"/>
  <c r="R3161" i="1"/>
  <c r="Q3160" i="1"/>
  <c r="R3160" i="1"/>
  <c r="Q3159" i="1"/>
  <c r="R3159" i="1"/>
  <c r="Q3158" i="1"/>
  <c r="R3158" i="1"/>
  <c r="L3158" i="1"/>
  <c r="Q3157" i="1"/>
  <c r="R3157" i="1"/>
  <c r="L3157" i="1"/>
  <c r="Q3156" i="1"/>
  <c r="R3156" i="1"/>
  <c r="L3156" i="1"/>
  <c r="Q3155" i="1"/>
  <c r="R3155" i="1"/>
  <c r="L3155" i="1"/>
  <c r="Q3154" i="1"/>
  <c r="R3154" i="1"/>
  <c r="L3154" i="1"/>
  <c r="Q3153" i="1"/>
  <c r="R3153" i="1"/>
  <c r="Q3152" i="1"/>
  <c r="R3152" i="1"/>
  <c r="Q3151" i="1"/>
  <c r="R3151" i="1"/>
  <c r="Q3150" i="1"/>
  <c r="R3150" i="1"/>
  <c r="Q3149" i="1"/>
  <c r="R3149" i="1"/>
  <c r="Q3148" i="1"/>
  <c r="R3148" i="1"/>
  <c r="Q3147" i="1"/>
  <c r="R3147" i="1"/>
  <c r="Q3146" i="1"/>
  <c r="R3146" i="1"/>
  <c r="L3146" i="1"/>
  <c r="Q3145" i="1"/>
  <c r="R3145" i="1"/>
  <c r="L3145" i="1"/>
  <c r="Q3144" i="1"/>
  <c r="R3144" i="1"/>
  <c r="L3144" i="1"/>
  <c r="Q3143" i="1"/>
  <c r="R3143" i="1"/>
  <c r="L3143" i="1"/>
  <c r="Q3142" i="1"/>
  <c r="R3142" i="1"/>
  <c r="L3142" i="1"/>
  <c r="Q3141" i="1"/>
  <c r="R3141" i="1"/>
  <c r="Q3140" i="1"/>
  <c r="R3140" i="1"/>
  <c r="Q3139" i="1"/>
  <c r="R3139" i="1"/>
  <c r="Q3138" i="1"/>
  <c r="R3138" i="1"/>
  <c r="Q3137" i="1"/>
  <c r="R3137" i="1"/>
  <c r="Q3136" i="1"/>
  <c r="R3136" i="1"/>
  <c r="Q3135" i="1"/>
  <c r="R3135" i="1"/>
  <c r="Q3134" i="1"/>
  <c r="R3134" i="1"/>
  <c r="L3134" i="1"/>
  <c r="Q3133" i="1"/>
  <c r="R3133" i="1"/>
  <c r="L3133" i="1"/>
  <c r="Q3132" i="1"/>
  <c r="R3132" i="1"/>
  <c r="L3132" i="1"/>
  <c r="Q3131" i="1"/>
  <c r="R3131" i="1"/>
  <c r="L3131" i="1"/>
  <c r="Q3130" i="1"/>
  <c r="R3130" i="1"/>
  <c r="L3130" i="1"/>
  <c r="Q3129" i="1"/>
  <c r="R3129" i="1"/>
  <c r="Q3128" i="1"/>
  <c r="R3128" i="1"/>
  <c r="Q3127" i="1"/>
  <c r="R3127" i="1"/>
  <c r="Q3126" i="1"/>
  <c r="R3126" i="1"/>
  <c r="Q3125" i="1"/>
  <c r="R3125" i="1"/>
  <c r="Q3124" i="1"/>
  <c r="R3124" i="1"/>
  <c r="Q3123" i="1"/>
  <c r="R3123" i="1"/>
  <c r="Q3122" i="1"/>
  <c r="R3122" i="1"/>
  <c r="L3122" i="1"/>
  <c r="Q3121" i="1"/>
  <c r="R3121" i="1"/>
  <c r="L3121" i="1"/>
  <c r="Q3120" i="1"/>
  <c r="R3120" i="1"/>
  <c r="L3120" i="1"/>
  <c r="Q3119" i="1"/>
  <c r="R3119" i="1"/>
  <c r="L3119" i="1"/>
  <c r="Q3118" i="1"/>
  <c r="R3118" i="1"/>
  <c r="L3118" i="1"/>
  <c r="Q3117" i="1"/>
  <c r="R3117" i="1"/>
  <c r="Q3116" i="1"/>
  <c r="R3116" i="1"/>
  <c r="Q3115" i="1"/>
  <c r="R3115" i="1"/>
  <c r="Q3114" i="1"/>
  <c r="R3114" i="1"/>
  <c r="Q3113" i="1"/>
  <c r="R3113" i="1"/>
  <c r="Q3112" i="1"/>
  <c r="R3112" i="1"/>
  <c r="Q3111" i="1"/>
  <c r="R3111" i="1"/>
  <c r="Q3110" i="1"/>
  <c r="R3110" i="1"/>
  <c r="L3110" i="1"/>
  <c r="Q3109" i="1"/>
  <c r="R3109" i="1"/>
  <c r="L3109" i="1"/>
  <c r="Q3108" i="1"/>
  <c r="R3108" i="1"/>
  <c r="L3108" i="1"/>
  <c r="Q3107" i="1"/>
  <c r="R3107" i="1"/>
  <c r="L3107" i="1"/>
  <c r="Q3106" i="1"/>
  <c r="R3106" i="1"/>
  <c r="L3106" i="1"/>
  <c r="Q3105" i="1"/>
  <c r="R3105" i="1"/>
  <c r="Q3104" i="1"/>
  <c r="R3104" i="1"/>
  <c r="Q3103" i="1"/>
  <c r="R3103" i="1"/>
  <c r="Q3102" i="1"/>
  <c r="R3102" i="1"/>
  <c r="Q3101" i="1"/>
  <c r="R3101" i="1"/>
  <c r="Q3100" i="1"/>
  <c r="R3100" i="1"/>
  <c r="Q3099" i="1"/>
  <c r="R3099" i="1"/>
  <c r="Q3098" i="1"/>
  <c r="R3098" i="1"/>
  <c r="L3098" i="1"/>
  <c r="Q3097" i="1"/>
  <c r="R3097" i="1"/>
  <c r="L3097" i="1"/>
  <c r="Q3096" i="1"/>
  <c r="R3096" i="1"/>
  <c r="L3096" i="1"/>
  <c r="Q3095" i="1"/>
  <c r="R3095" i="1"/>
  <c r="L3095" i="1"/>
  <c r="Q3094" i="1"/>
  <c r="R3094" i="1"/>
  <c r="L3094" i="1"/>
  <c r="Q3093" i="1"/>
  <c r="R3093" i="1"/>
  <c r="Q3092" i="1"/>
  <c r="R3092" i="1"/>
  <c r="Q3091" i="1"/>
  <c r="R3091" i="1"/>
  <c r="Q3090" i="1"/>
  <c r="R3090" i="1"/>
  <c r="Q3089" i="1"/>
  <c r="R3089" i="1"/>
  <c r="Q3088" i="1"/>
  <c r="R3088" i="1"/>
  <c r="Q3087" i="1"/>
  <c r="R3087" i="1"/>
  <c r="Q3086" i="1"/>
  <c r="R3086" i="1"/>
  <c r="L3086" i="1"/>
  <c r="Q3085" i="1"/>
  <c r="R3085" i="1"/>
  <c r="L3085" i="1"/>
  <c r="Q3084" i="1"/>
  <c r="R3084" i="1"/>
  <c r="L3084" i="1"/>
  <c r="Q3083" i="1"/>
  <c r="R3083" i="1"/>
  <c r="L3083" i="1"/>
  <c r="Q3082" i="1"/>
  <c r="R3082" i="1"/>
  <c r="L3082" i="1"/>
  <c r="Q3081" i="1"/>
  <c r="R3081" i="1"/>
  <c r="Q3080" i="1"/>
  <c r="R3080" i="1"/>
  <c r="Q3079" i="1"/>
  <c r="R3079" i="1"/>
  <c r="Q3078" i="1"/>
  <c r="R3078" i="1"/>
  <c r="Q3077" i="1"/>
  <c r="R3077" i="1"/>
  <c r="Q3076" i="1"/>
  <c r="R3076" i="1"/>
  <c r="Q3075" i="1"/>
  <c r="R3075" i="1"/>
  <c r="Q3074" i="1"/>
  <c r="R3074" i="1"/>
  <c r="L3074" i="1"/>
  <c r="Q3073" i="1"/>
  <c r="R3073" i="1"/>
  <c r="L3073" i="1"/>
  <c r="Q3072" i="1"/>
  <c r="R3072" i="1"/>
  <c r="L3072" i="1"/>
  <c r="Q3071" i="1"/>
  <c r="R3071" i="1"/>
  <c r="L3071" i="1"/>
  <c r="Q3070" i="1"/>
  <c r="R3070" i="1"/>
  <c r="L3070" i="1"/>
  <c r="Q3069" i="1"/>
  <c r="R3069" i="1"/>
  <c r="Q3068" i="1"/>
  <c r="R3068" i="1"/>
  <c r="Q3067" i="1"/>
  <c r="R3067" i="1"/>
  <c r="Q3066" i="1"/>
  <c r="R3066" i="1"/>
  <c r="Q3065" i="1"/>
  <c r="R3065" i="1"/>
  <c r="Q3064" i="1"/>
  <c r="R3064" i="1"/>
  <c r="Q3063" i="1"/>
  <c r="R3063" i="1"/>
  <c r="Q3062" i="1"/>
  <c r="R3062" i="1"/>
  <c r="L3062" i="1"/>
  <c r="Q3061" i="1"/>
  <c r="R3061" i="1"/>
  <c r="L3061" i="1"/>
  <c r="Q3060" i="1"/>
  <c r="R3060" i="1"/>
  <c r="L3060" i="1"/>
  <c r="Q3059" i="1"/>
  <c r="R3059" i="1"/>
  <c r="L3059" i="1"/>
  <c r="Q3058" i="1"/>
  <c r="R3058" i="1"/>
  <c r="L3058" i="1"/>
  <c r="Q3057" i="1"/>
  <c r="R3057" i="1"/>
  <c r="Q3056" i="1"/>
  <c r="R3056" i="1"/>
  <c r="Q3055" i="1"/>
  <c r="R3055" i="1"/>
  <c r="Q3054" i="1"/>
  <c r="R3054" i="1"/>
  <c r="Q3053" i="1"/>
  <c r="R3053" i="1"/>
  <c r="Q3052" i="1"/>
  <c r="R3052" i="1"/>
  <c r="Q3051" i="1"/>
  <c r="R3051" i="1"/>
  <c r="Q3050" i="1"/>
  <c r="R3050" i="1"/>
  <c r="L3050" i="1"/>
  <c r="Q3049" i="1"/>
  <c r="R3049" i="1"/>
  <c r="L3049" i="1"/>
  <c r="Q3048" i="1"/>
  <c r="R3048" i="1"/>
  <c r="L3048" i="1"/>
  <c r="Q3047" i="1"/>
  <c r="R3047" i="1"/>
  <c r="L3047" i="1"/>
  <c r="Q3046" i="1"/>
  <c r="R3046" i="1"/>
  <c r="L3046" i="1"/>
  <c r="Q3045" i="1"/>
  <c r="R3045" i="1"/>
  <c r="Q3044" i="1"/>
  <c r="R3044" i="1"/>
  <c r="Q3043" i="1"/>
  <c r="R3043" i="1"/>
  <c r="Q3042" i="1"/>
  <c r="R3042" i="1"/>
  <c r="Q3041" i="1"/>
  <c r="R3041" i="1"/>
  <c r="Q3040" i="1"/>
  <c r="R3040" i="1"/>
  <c r="Q3039" i="1"/>
  <c r="R3039" i="1"/>
  <c r="Q3038" i="1"/>
  <c r="R3038" i="1"/>
  <c r="L3038" i="1"/>
  <c r="Q3037" i="1"/>
  <c r="R3037" i="1"/>
  <c r="L3037" i="1"/>
  <c r="Q3036" i="1"/>
  <c r="R3036" i="1"/>
  <c r="L3036" i="1"/>
  <c r="Q3035" i="1"/>
  <c r="R3035" i="1"/>
  <c r="L3035" i="1"/>
  <c r="Q3034" i="1"/>
  <c r="R3034" i="1"/>
  <c r="L3034" i="1"/>
  <c r="Q3033" i="1"/>
  <c r="R3033" i="1"/>
  <c r="Q3032" i="1"/>
  <c r="R3032" i="1"/>
  <c r="Q3031" i="1"/>
  <c r="R3031" i="1"/>
  <c r="Q3030" i="1"/>
  <c r="R3030" i="1"/>
  <c r="Q3029" i="1"/>
  <c r="R3029" i="1"/>
  <c r="Q3028" i="1"/>
  <c r="R3028" i="1"/>
  <c r="Q3027" i="1"/>
  <c r="R3027" i="1"/>
  <c r="Q3026" i="1"/>
  <c r="R3026" i="1"/>
  <c r="L3026" i="1"/>
  <c r="Q3025" i="1"/>
  <c r="R3025" i="1"/>
  <c r="L3025" i="1"/>
  <c r="Q3024" i="1"/>
  <c r="R3024" i="1"/>
  <c r="L3024" i="1"/>
  <c r="Q3023" i="1"/>
  <c r="R3023" i="1"/>
  <c r="L3023" i="1"/>
  <c r="Q3022" i="1"/>
  <c r="R3022" i="1"/>
  <c r="L3022" i="1"/>
  <c r="Q3021" i="1"/>
  <c r="R3021" i="1"/>
  <c r="Q3020" i="1"/>
  <c r="R3020" i="1"/>
  <c r="Q3019" i="1"/>
  <c r="R3019" i="1"/>
  <c r="Q3018" i="1"/>
  <c r="R3018" i="1"/>
  <c r="Q3017" i="1"/>
  <c r="R3017" i="1"/>
  <c r="Q3016" i="1"/>
  <c r="R3016" i="1"/>
  <c r="Q3015" i="1"/>
  <c r="R3015" i="1"/>
  <c r="Q3014" i="1"/>
  <c r="R3014" i="1"/>
  <c r="L3014" i="1"/>
  <c r="Q3013" i="1"/>
  <c r="R3013" i="1"/>
  <c r="L3013" i="1"/>
  <c r="Q3012" i="1"/>
  <c r="R3012" i="1"/>
  <c r="L3012" i="1"/>
  <c r="Q3011" i="1"/>
  <c r="R3011" i="1"/>
  <c r="L3011" i="1"/>
  <c r="Q3010" i="1"/>
  <c r="R3010" i="1"/>
  <c r="L3010" i="1"/>
  <c r="Q3009" i="1"/>
  <c r="R3009" i="1"/>
  <c r="Q3008" i="1"/>
  <c r="R3008" i="1"/>
  <c r="Q3007" i="1"/>
  <c r="R3007" i="1"/>
  <c r="Q3006" i="1"/>
  <c r="R3006" i="1"/>
  <c r="Q3005" i="1"/>
  <c r="R3005" i="1"/>
  <c r="Q3004" i="1"/>
  <c r="R3004" i="1"/>
  <c r="Q3003" i="1"/>
  <c r="R3003" i="1"/>
  <c r="Q3002" i="1"/>
  <c r="R3002" i="1"/>
  <c r="L3002" i="1"/>
  <c r="Q3001" i="1"/>
  <c r="R3001" i="1"/>
  <c r="L3001" i="1"/>
  <c r="Q3000" i="1"/>
  <c r="R3000" i="1"/>
  <c r="L3000" i="1"/>
  <c r="Q2999" i="1"/>
  <c r="R2999" i="1"/>
  <c r="L2999" i="1"/>
  <c r="Q2998" i="1"/>
  <c r="R2998" i="1"/>
  <c r="L2998" i="1"/>
  <c r="Q2997" i="1"/>
  <c r="R2997" i="1"/>
  <c r="Q2996" i="1"/>
  <c r="R2996" i="1"/>
  <c r="Q2995" i="1"/>
  <c r="R2995" i="1"/>
  <c r="Q2994" i="1"/>
  <c r="R2994" i="1"/>
  <c r="Q2993" i="1"/>
  <c r="R2993" i="1"/>
  <c r="Q2992" i="1"/>
  <c r="R2992" i="1"/>
  <c r="Q2991" i="1"/>
  <c r="R2991" i="1"/>
  <c r="Q2990" i="1"/>
  <c r="R2990" i="1"/>
  <c r="L2990" i="1"/>
  <c r="Q2989" i="1"/>
  <c r="R2989" i="1"/>
  <c r="L2989" i="1"/>
  <c r="Q2988" i="1"/>
  <c r="R2988" i="1"/>
  <c r="L2988" i="1"/>
  <c r="Q2987" i="1"/>
  <c r="R2987" i="1"/>
  <c r="L2987" i="1"/>
  <c r="Q2986" i="1"/>
  <c r="R2986" i="1"/>
  <c r="L2986" i="1"/>
  <c r="Q2985" i="1"/>
  <c r="R2985" i="1"/>
  <c r="Q2984" i="1"/>
  <c r="R2984" i="1"/>
  <c r="Q2983" i="1"/>
  <c r="R2983" i="1"/>
  <c r="Q2982" i="1"/>
  <c r="R2982" i="1"/>
  <c r="Q2981" i="1"/>
  <c r="R2981" i="1"/>
  <c r="Q2980" i="1"/>
  <c r="R2980" i="1"/>
  <c r="Q2979" i="1"/>
  <c r="R2979" i="1"/>
  <c r="Q2978" i="1"/>
  <c r="R2978" i="1"/>
  <c r="L2978" i="1"/>
  <c r="Q2977" i="1"/>
  <c r="R2977" i="1"/>
  <c r="L2977" i="1"/>
  <c r="Q2976" i="1"/>
  <c r="R2976" i="1"/>
  <c r="L2976" i="1"/>
  <c r="Q2975" i="1"/>
  <c r="R2975" i="1"/>
  <c r="L2975" i="1"/>
  <c r="Q2974" i="1"/>
  <c r="R2974" i="1"/>
  <c r="L2974" i="1"/>
  <c r="Q2973" i="1"/>
  <c r="R2973" i="1"/>
  <c r="Q2972" i="1"/>
  <c r="R2972" i="1"/>
  <c r="Q2971" i="1"/>
  <c r="R2971" i="1"/>
  <c r="Q2970" i="1"/>
  <c r="R2970" i="1"/>
  <c r="Q2969" i="1"/>
  <c r="R2969" i="1"/>
  <c r="Q2968" i="1"/>
  <c r="R2968" i="1"/>
  <c r="Q2967" i="1"/>
  <c r="R2967" i="1"/>
  <c r="Q2966" i="1"/>
  <c r="R2966" i="1"/>
  <c r="L2966" i="1"/>
  <c r="Q2965" i="1"/>
  <c r="R2965" i="1"/>
  <c r="L2965" i="1"/>
  <c r="Q2964" i="1"/>
  <c r="R2964" i="1"/>
  <c r="L2964" i="1"/>
  <c r="Q2963" i="1"/>
  <c r="R2963" i="1"/>
  <c r="L2963" i="1"/>
  <c r="Q2962" i="1"/>
  <c r="R2962" i="1"/>
  <c r="L2962" i="1"/>
  <c r="Q2961" i="1"/>
  <c r="R2961" i="1"/>
  <c r="Q2960" i="1"/>
  <c r="R2960" i="1"/>
  <c r="Q2959" i="1"/>
  <c r="R2959" i="1"/>
  <c r="Q2958" i="1"/>
  <c r="R2958" i="1"/>
  <c r="Q2957" i="1"/>
  <c r="R2957" i="1"/>
  <c r="Q2956" i="1"/>
  <c r="R2956" i="1"/>
  <c r="Q2955" i="1"/>
  <c r="R2955" i="1"/>
  <c r="Q2954" i="1"/>
  <c r="R2954" i="1"/>
  <c r="L2954" i="1"/>
  <c r="Q2953" i="1"/>
  <c r="R2953" i="1"/>
  <c r="L2953" i="1"/>
  <c r="Q2952" i="1"/>
  <c r="R2952" i="1"/>
  <c r="L2952" i="1"/>
  <c r="Q2951" i="1"/>
  <c r="R2951" i="1"/>
  <c r="L2951" i="1"/>
  <c r="Q2950" i="1"/>
  <c r="R2950" i="1"/>
  <c r="L2950" i="1"/>
  <c r="Q2949" i="1"/>
  <c r="R2949" i="1"/>
  <c r="Q2948" i="1"/>
  <c r="R2948" i="1"/>
  <c r="Q2947" i="1"/>
  <c r="R2947" i="1"/>
  <c r="Q2946" i="1"/>
  <c r="R2946" i="1"/>
  <c r="Q2945" i="1"/>
  <c r="R2945" i="1"/>
  <c r="Q2944" i="1"/>
  <c r="R2944" i="1"/>
  <c r="Q2943" i="1"/>
  <c r="R2943" i="1"/>
  <c r="Q2942" i="1"/>
  <c r="R2942" i="1"/>
  <c r="L2942" i="1"/>
  <c r="Q2941" i="1"/>
  <c r="R2941" i="1"/>
  <c r="L2941" i="1"/>
  <c r="Q2940" i="1"/>
  <c r="R2940" i="1"/>
  <c r="L2940" i="1"/>
  <c r="Q2939" i="1"/>
  <c r="R2939" i="1"/>
  <c r="L2939" i="1"/>
  <c r="Q2938" i="1"/>
  <c r="R2938" i="1"/>
  <c r="L2938" i="1"/>
  <c r="Q2937" i="1"/>
  <c r="R2937" i="1"/>
  <c r="Q2936" i="1"/>
  <c r="R2936" i="1"/>
  <c r="Q2935" i="1"/>
  <c r="R2935" i="1"/>
  <c r="Q2934" i="1"/>
  <c r="R2934" i="1"/>
  <c r="Q2933" i="1"/>
  <c r="R2933" i="1"/>
  <c r="Q2932" i="1"/>
  <c r="R2932" i="1"/>
  <c r="Q2931" i="1"/>
  <c r="R2931" i="1"/>
  <c r="Q2930" i="1"/>
  <c r="R2930" i="1"/>
  <c r="L2930" i="1"/>
  <c r="Q2929" i="1"/>
  <c r="R2929" i="1"/>
  <c r="L2929" i="1"/>
  <c r="Q2928" i="1"/>
  <c r="R2928" i="1"/>
  <c r="L2928" i="1"/>
  <c r="Q2927" i="1"/>
  <c r="R2927" i="1"/>
  <c r="L2927" i="1"/>
  <c r="Q2926" i="1"/>
  <c r="R2926" i="1"/>
  <c r="L2926" i="1"/>
  <c r="Q2925" i="1"/>
  <c r="R2925" i="1"/>
  <c r="Q2924" i="1"/>
  <c r="R2924" i="1"/>
  <c r="Q2923" i="1"/>
  <c r="R2923" i="1"/>
  <c r="Q2922" i="1"/>
  <c r="R2922" i="1"/>
  <c r="Q2921" i="1"/>
  <c r="R2921" i="1"/>
  <c r="Q2920" i="1"/>
  <c r="R2920" i="1"/>
  <c r="Q2919" i="1"/>
  <c r="R2919" i="1"/>
  <c r="Q2918" i="1"/>
  <c r="R2918" i="1"/>
  <c r="L2918" i="1"/>
  <c r="Q2917" i="1"/>
  <c r="R2917" i="1"/>
  <c r="L2917" i="1"/>
  <c r="Q2916" i="1"/>
  <c r="R2916" i="1"/>
  <c r="L2916" i="1"/>
  <c r="Q2915" i="1"/>
  <c r="R2915" i="1"/>
  <c r="L2915" i="1"/>
  <c r="Q2914" i="1"/>
  <c r="R2914" i="1"/>
  <c r="L2914" i="1"/>
  <c r="Q2913" i="1"/>
  <c r="R2913" i="1"/>
  <c r="Q2912" i="1"/>
  <c r="R2912" i="1"/>
  <c r="Q2911" i="1"/>
  <c r="R2911" i="1"/>
  <c r="Q2910" i="1"/>
  <c r="R2910" i="1"/>
  <c r="Q2909" i="1"/>
  <c r="R2909" i="1"/>
  <c r="Q2908" i="1"/>
  <c r="R2908" i="1"/>
  <c r="Q2907" i="1"/>
  <c r="R2907" i="1"/>
  <c r="Q2906" i="1"/>
  <c r="R2906" i="1"/>
  <c r="L2906" i="1"/>
  <c r="Q2905" i="1"/>
  <c r="R2905" i="1"/>
  <c r="L2905" i="1"/>
  <c r="Q2904" i="1"/>
  <c r="R2904" i="1"/>
  <c r="L2904" i="1"/>
  <c r="Q2903" i="1"/>
  <c r="R2903" i="1"/>
  <c r="L2903" i="1"/>
  <c r="Q2902" i="1"/>
  <c r="R2902" i="1"/>
  <c r="L2902" i="1"/>
  <c r="Q2901" i="1"/>
  <c r="R2901" i="1"/>
  <c r="Q2900" i="1"/>
  <c r="R2900" i="1"/>
  <c r="Q2899" i="1"/>
  <c r="R2899" i="1"/>
  <c r="Q2898" i="1"/>
  <c r="R2898" i="1"/>
  <c r="Q2897" i="1"/>
  <c r="R2897" i="1"/>
  <c r="Q2896" i="1"/>
  <c r="R2896" i="1"/>
  <c r="Q2895" i="1"/>
  <c r="R2895" i="1"/>
  <c r="Q2894" i="1"/>
  <c r="R2894" i="1"/>
  <c r="L2894" i="1"/>
  <c r="Q2893" i="1"/>
  <c r="R2893" i="1"/>
  <c r="L2893" i="1"/>
  <c r="Q2892" i="1"/>
  <c r="R2892" i="1"/>
  <c r="L2892" i="1"/>
  <c r="Q2891" i="1"/>
  <c r="R2891" i="1"/>
  <c r="L2891" i="1"/>
  <c r="Q2890" i="1"/>
  <c r="R2890" i="1"/>
  <c r="L2890" i="1"/>
  <c r="Q2889" i="1"/>
  <c r="R2889" i="1"/>
  <c r="Q2888" i="1"/>
  <c r="R2888" i="1"/>
  <c r="Q2887" i="1"/>
  <c r="R2887" i="1"/>
  <c r="Q2886" i="1"/>
  <c r="R2886" i="1"/>
  <c r="Q2885" i="1"/>
  <c r="R2885" i="1"/>
  <c r="Q2884" i="1"/>
  <c r="R2884" i="1"/>
  <c r="Q2883" i="1"/>
  <c r="R2883" i="1"/>
  <c r="Q2882" i="1"/>
  <c r="R2882" i="1"/>
  <c r="L2882" i="1"/>
  <c r="Q2881" i="1"/>
  <c r="R2881" i="1"/>
  <c r="L2881" i="1"/>
  <c r="Q2880" i="1"/>
  <c r="R2880" i="1"/>
  <c r="L2880" i="1"/>
  <c r="Q2879" i="1"/>
  <c r="R2879" i="1"/>
  <c r="L2879" i="1"/>
  <c r="Q2878" i="1"/>
  <c r="R2878" i="1"/>
  <c r="L2878" i="1"/>
  <c r="Q2877" i="1"/>
  <c r="R2877" i="1"/>
  <c r="Q2876" i="1"/>
  <c r="R2876" i="1"/>
  <c r="Q2875" i="1"/>
  <c r="R2875" i="1"/>
  <c r="Q2874" i="1"/>
  <c r="R2874" i="1"/>
  <c r="Q2873" i="1"/>
  <c r="R2873" i="1"/>
  <c r="Q2872" i="1"/>
  <c r="R2872" i="1"/>
  <c r="Q2871" i="1"/>
  <c r="R2871" i="1"/>
  <c r="Q2870" i="1"/>
  <c r="R2870" i="1"/>
  <c r="L2870" i="1"/>
  <c r="Q2869" i="1"/>
  <c r="R2869" i="1"/>
  <c r="L2869" i="1"/>
  <c r="Q2868" i="1"/>
  <c r="R2868" i="1"/>
  <c r="L2868" i="1"/>
  <c r="Q2867" i="1"/>
  <c r="R2867" i="1"/>
  <c r="L2867" i="1"/>
  <c r="Q2866" i="1"/>
  <c r="R2866" i="1"/>
  <c r="L2866" i="1"/>
  <c r="Q2865" i="1"/>
  <c r="R2865" i="1"/>
  <c r="Q2864" i="1"/>
  <c r="R2864" i="1"/>
  <c r="Q2863" i="1"/>
  <c r="R2863" i="1"/>
  <c r="Q2862" i="1"/>
  <c r="R2862" i="1"/>
  <c r="Q2861" i="1"/>
  <c r="R2861" i="1"/>
  <c r="Q2860" i="1"/>
  <c r="R2860" i="1"/>
  <c r="Q2859" i="1"/>
  <c r="R2859" i="1"/>
  <c r="Q2858" i="1"/>
  <c r="R2858" i="1"/>
  <c r="L2858" i="1"/>
  <c r="Q2857" i="1"/>
  <c r="R2857" i="1"/>
  <c r="L2857" i="1"/>
  <c r="Q2856" i="1"/>
  <c r="R2856" i="1"/>
  <c r="L2856" i="1"/>
  <c r="Q2855" i="1"/>
  <c r="R2855" i="1"/>
  <c r="L2855" i="1"/>
  <c r="Q2854" i="1"/>
  <c r="R2854" i="1"/>
  <c r="L2854" i="1"/>
  <c r="Q2853" i="1"/>
  <c r="R2853" i="1"/>
  <c r="Q2852" i="1"/>
  <c r="R2852" i="1"/>
  <c r="Q2851" i="1"/>
  <c r="R2851" i="1"/>
  <c r="Q2850" i="1"/>
  <c r="R2850" i="1"/>
  <c r="Q2849" i="1"/>
  <c r="R2849" i="1"/>
  <c r="Q2848" i="1"/>
  <c r="R2848" i="1"/>
  <c r="Q2847" i="1"/>
  <c r="R2847" i="1"/>
  <c r="Q2846" i="1"/>
  <c r="R2846" i="1"/>
  <c r="L2846" i="1"/>
  <c r="Q2845" i="1"/>
  <c r="R2845" i="1"/>
  <c r="L2845" i="1"/>
  <c r="Q2844" i="1"/>
  <c r="R2844" i="1"/>
  <c r="L2844" i="1"/>
  <c r="Q2843" i="1"/>
  <c r="R2843" i="1"/>
  <c r="L2843" i="1"/>
  <c r="Q2842" i="1"/>
  <c r="R2842" i="1"/>
  <c r="L2842" i="1"/>
  <c r="Q2841" i="1"/>
  <c r="R2841" i="1"/>
  <c r="Q2840" i="1"/>
  <c r="R2840" i="1"/>
  <c r="Q2839" i="1"/>
  <c r="R2839" i="1"/>
  <c r="Q2838" i="1"/>
  <c r="R2838" i="1"/>
  <c r="Q2837" i="1"/>
  <c r="R2837" i="1"/>
  <c r="Q2836" i="1"/>
  <c r="R2836" i="1"/>
  <c r="Q2835" i="1"/>
  <c r="R2835" i="1"/>
  <c r="Q2834" i="1"/>
  <c r="R2834" i="1"/>
  <c r="L2834" i="1"/>
  <c r="Q2833" i="1"/>
  <c r="R2833" i="1"/>
  <c r="L2833" i="1"/>
  <c r="Q2832" i="1"/>
  <c r="R2832" i="1"/>
  <c r="L2832" i="1"/>
  <c r="Q2831" i="1"/>
  <c r="R2831" i="1"/>
  <c r="Q2830" i="1"/>
  <c r="R2830" i="1"/>
  <c r="L2830" i="1"/>
  <c r="Q2829" i="1"/>
  <c r="R2829" i="1"/>
  <c r="Q2828" i="1"/>
  <c r="R2828" i="1"/>
  <c r="Q2827" i="1"/>
  <c r="R2827" i="1"/>
  <c r="Q2826" i="1"/>
  <c r="R2826" i="1"/>
  <c r="Q2825" i="1"/>
  <c r="R2825" i="1"/>
  <c r="Q2824" i="1"/>
  <c r="R2824" i="1"/>
  <c r="Q2823" i="1"/>
  <c r="R2823" i="1"/>
  <c r="Q2822" i="1"/>
  <c r="R2822" i="1"/>
  <c r="L2822" i="1"/>
  <c r="Q2821" i="1"/>
  <c r="R2821" i="1"/>
  <c r="L2821" i="1"/>
  <c r="Q2820" i="1"/>
  <c r="R2820" i="1"/>
  <c r="L2820" i="1"/>
  <c r="Q2819" i="1"/>
  <c r="R2819" i="1"/>
  <c r="Q2818" i="1"/>
  <c r="R2818" i="1"/>
  <c r="L2818" i="1"/>
  <c r="Q2817" i="1"/>
  <c r="R2817" i="1"/>
  <c r="Q2816" i="1"/>
  <c r="R2816" i="1"/>
  <c r="Q2815" i="1"/>
  <c r="R2815" i="1"/>
  <c r="Q2814" i="1"/>
  <c r="R2814" i="1"/>
  <c r="Q2813" i="1"/>
  <c r="R2813" i="1"/>
  <c r="Q2812" i="1"/>
  <c r="R2812" i="1"/>
  <c r="Q2811" i="1"/>
  <c r="R2811" i="1"/>
  <c r="Q2810" i="1"/>
  <c r="R2810" i="1"/>
  <c r="L2810" i="1"/>
  <c r="Q2809" i="1"/>
  <c r="R2809" i="1"/>
  <c r="L2809" i="1"/>
  <c r="Q2808" i="1"/>
  <c r="R2808" i="1"/>
  <c r="L2808" i="1"/>
  <c r="Q2807" i="1"/>
  <c r="R2807" i="1"/>
  <c r="L2807" i="1"/>
  <c r="Q2806" i="1"/>
  <c r="R2806" i="1"/>
  <c r="L2806" i="1"/>
  <c r="Q2805" i="1"/>
  <c r="R2805" i="1"/>
  <c r="Q2804" i="1"/>
  <c r="R2804" i="1"/>
  <c r="Q2803" i="1"/>
  <c r="R2803" i="1"/>
  <c r="Q2802" i="1"/>
  <c r="R2802" i="1"/>
  <c r="Q2801" i="1"/>
  <c r="R2801" i="1"/>
  <c r="Q2800" i="1"/>
  <c r="R2800" i="1"/>
  <c r="Q2799" i="1"/>
  <c r="R2799" i="1"/>
  <c r="Q2798" i="1"/>
  <c r="R2798" i="1"/>
  <c r="L2798" i="1"/>
  <c r="Q2797" i="1"/>
  <c r="R2797" i="1"/>
  <c r="L2797" i="1"/>
  <c r="Q2796" i="1"/>
  <c r="R2796" i="1"/>
  <c r="L2796" i="1"/>
  <c r="Q2795" i="1"/>
  <c r="R2795" i="1"/>
  <c r="Q2794" i="1"/>
  <c r="R2794" i="1"/>
  <c r="L2794" i="1"/>
  <c r="Q2793" i="1"/>
  <c r="R2793" i="1"/>
  <c r="Q2792" i="1"/>
  <c r="R2792" i="1"/>
  <c r="Q2791" i="1"/>
  <c r="R2791" i="1"/>
  <c r="Q2790" i="1"/>
  <c r="R2790" i="1"/>
  <c r="Q2789" i="1"/>
  <c r="R2789" i="1"/>
  <c r="Q2788" i="1"/>
  <c r="R2788" i="1"/>
  <c r="Q2787" i="1"/>
  <c r="R2787" i="1"/>
  <c r="Q2786" i="1"/>
  <c r="R2786" i="1"/>
  <c r="L2786" i="1"/>
  <c r="Q2785" i="1"/>
  <c r="R2785" i="1"/>
  <c r="L2785" i="1"/>
  <c r="Q2784" i="1"/>
  <c r="R2784" i="1"/>
  <c r="L2784" i="1"/>
  <c r="Q2783" i="1"/>
  <c r="R2783" i="1"/>
  <c r="L2783" i="1"/>
  <c r="Q2782" i="1"/>
  <c r="R2782" i="1"/>
  <c r="L2782" i="1"/>
  <c r="Q2781" i="1"/>
  <c r="R2781" i="1"/>
  <c r="Q2780" i="1"/>
  <c r="R2780" i="1"/>
  <c r="Q2779" i="1"/>
  <c r="R2779" i="1"/>
  <c r="Q2778" i="1"/>
  <c r="R2778" i="1"/>
  <c r="Q2777" i="1"/>
  <c r="R2777" i="1"/>
  <c r="Q2776" i="1"/>
  <c r="R2776" i="1"/>
  <c r="Q2775" i="1"/>
  <c r="R2775" i="1"/>
  <c r="Q2774" i="1"/>
  <c r="R2774" i="1"/>
  <c r="L2774" i="1"/>
  <c r="Q2773" i="1"/>
  <c r="R2773" i="1"/>
  <c r="L2773" i="1"/>
  <c r="Q2772" i="1"/>
  <c r="R2772" i="1"/>
  <c r="L2772" i="1"/>
  <c r="Q2771" i="1"/>
  <c r="R2771" i="1"/>
  <c r="L2771" i="1"/>
  <c r="Q2770" i="1"/>
  <c r="R2770" i="1"/>
  <c r="L2770" i="1"/>
  <c r="Q2769" i="1"/>
  <c r="R2769" i="1"/>
  <c r="Q2768" i="1"/>
  <c r="R2768" i="1"/>
  <c r="Q2767" i="1"/>
  <c r="R2767" i="1"/>
  <c r="Q2766" i="1"/>
  <c r="R2766" i="1"/>
  <c r="Q2765" i="1"/>
  <c r="R2765" i="1"/>
  <c r="Q2764" i="1"/>
  <c r="R2764" i="1"/>
  <c r="Q2763" i="1"/>
  <c r="R2763" i="1"/>
  <c r="Q2762" i="1"/>
  <c r="R2762" i="1"/>
  <c r="L2762" i="1"/>
  <c r="Q2761" i="1"/>
  <c r="R2761" i="1"/>
  <c r="L2761" i="1"/>
  <c r="Q2760" i="1"/>
  <c r="R2760" i="1"/>
  <c r="L2760" i="1"/>
  <c r="Q2759" i="1"/>
  <c r="R2759" i="1"/>
  <c r="Q2758" i="1"/>
  <c r="R2758" i="1"/>
  <c r="L2758" i="1"/>
  <c r="Q2757" i="1"/>
  <c r="R2757" i="1"/>
  <c r="Q2756" i="1"/>
  <c r="R2756" i="1"/>
  <c r="Q2755" i="1"/>
  <c r="R2755" i="1"/>
  <c r="Q2754" i="1"/>
  <c r="R2754" i="1"/>
  <c r="Q2753" i="1"/>
  <c r="R2753" i="1"/>
  <c r="Q2752" i="1"/>
  <c r="R2752" i="1"/>
  <c r="Q2751" i="1"/>
  <c r="R2751" i="1"/>
  <c r="Q2750" i="1"/>
  <c r="R2750" i="1"/>
  <c r="L2750" i="1"/>
  <c r="Q2749" i="1"/>
  <c r="R2749" i="1"/>
  <c r="L2749" i="1"/>
  <c r="Q2748" i="1"/>
  <c r="R2748" i="1"/>
  <c r="L2748" i="1"/>
  <c r="Q2747" i="1"/>
  <c r="R2747" i="1"/>
  <c r="Q2746" i="1"/>
  <c r="R2746" i="1"/>
  <c r="L2746" i="1"/>
  <c r="Q2745" i="1"/>
  <c r="R2745" i="1"/>
  <c r="Q2744" i="1"/>
  <c r="R2744" i="1"/>
  <c r="Q2743" i="1"/>
  <c r="R2743" i="1"/>
  <c r="Q2742" i="1"/>
  <c r="R2742" i="1"/>
  <c r="Q2741" i="1"/>
  <c r="R2741" i="1"/>
  <c r="Q2740" i="1"/>
  <c r="R2740" i="1"/>
  <c r="Q2739" i="1"/>
  <c r="R2739" i="1"/>
  <c r="Q2738" i="1"/>
  <c r="R2738" i="1"/>
  <c r="L2738" i="1"/>
  <c r="Q2737" i="1"/>
  <c r="R2737" i="1"/>
  <c r="L2737" i="1"/>
  <c r="Q2736" i="1"/>
  <c r="R2736" i="1"/>
  <c r="L2736" i="1"/>
  <c r="Q2735" i="1"/>
  <c r="R2735" i="1"/>
  <c r="Q2734" i="1"/>
  <c r="R2734" i="1"/>
  <c r="L2734" i="1"/>
  <c r="Q2733" i="1"/>
  <c r="R2733" i="1"/>
  <c r="Q2732" i="1"/>
  <c r="R2732" i="1"/>
  <c r="Q2731" i="1"/>
  <c r="R2731" i="1"/>
  <c r="Q2730" i="1"/>
  <c r="R2730" i="1"/>
  <c r="Q2729" i="1"/>
  <c r="R2729" i="1"/>
  <c r="Q2728" i="1"/>
  <c r="R2728" i="1"/>
  <c r="Q2727" i="1"/>
  <c r="R2727" i="1"/>
  <c r="Q2726" i="1"/>
  <c r="R2726" i="1"/>
  <c r="L2726" i="1"/>
  <c r="Q2725" i="1"/>
  <c r="R2725" i="1"/>
  <c r="L2725" i="1"/>
  <c r="Q2724" i="1"/>
  <c r="R2724" i="1"/>
  <c r="L2724" i="1"/>
  <c r="Q2723" i="1"/>
  <c r="R2723" i="1"/>
  <c r="Q2722" i="1"/>
  <c r="R2722" i="1"/>
  <c r="L2722" i="1"/>
  <c r="Q2721" i="1"/>
  <c r="R2721" i="1"/>
  <c r="Q2720" i="1"/>
  <c r="R2720" i="1"/>
  <c r="Q2719" i="1"/>
  <c r="R2719" i="1"/>
  <c r="Q2718" i="1"/>
  <c r="R2718" i="1"/>
  <c r="Q2717" i="1"/>
  <c r="R2717" i="1"/>
  <c r="Q2716" i="1"/>
  <c r="R2716" i="1"/>
  <c r="Q2715" i="1"/>
  <c r="R2715" i="1"/>
  <c r="Q2714" i="1"/>
  <c r="R2714" i="1"/>
  <c r="L2714" i="1"/>
  <c r="Q2713" i="1"/>
  <c r="R2713" i="1"/>
  <c r="L2713" i="1"/>
  <c r="Q2712" i="1"/>
  <c r="R2712" i="1"/>
  <c r="L2712" i="1"/>
  <c r="Q2711" i="1"/>
  <c r="R2711" i="1"/>
  <c r="L2711" i="1"/>
  <c r="Q2710" i="1"/>
  <c r="R2710" i="1"/>
  <c r="L2710" i="1"/>
  <c r="Q2709" i="1"/>
  <c r="R2709" i="1"/>
  <c r="L2709" i="1"/>
  <c r="Q2708" i="1"/>
  <c r="R2708" i="1"/>
  <c r="Q2707" i="1"/>
  <c r="R2707" i="1"/>
  <c r="Q2706" i="1"/>
  <c r="R2706" i="1"/>
  <c r="Q2705" i="1"/>
  <c r="R2705" i="1"/>
  <c r="Q2704" i="1"/>
  <c r="R2704" i="1"/>
  <c r="Q2703" i="1"/>
  <c r="R2703" i="1"/>
  <c r="Q2702" i="1"/>
  <c r="R2702" i="1"/>
  <c r="L2702" i="1"/>
  <c r="Q2701" i="1"/>
  <c r="R2701" i="1"/>
  <c r="L2701" i="1"/>
  <c r="Q2700" i="1"/>
  <c r="R2700" i="1"/>
  <c r="L2700" i="1"/>
  <c r="Q2699" i="1"/>
  <c r="R2699" i="1"/>
  <c r="L2699" i="1"/>
  <c r="Q2698" i="1"/>
  <c r="R2698" i="1"/>
  <c r="L2698" i="1"/>
  <c r="Q2697" i="1"/>
  <c r="R2697" i="1"/>
  <c r="Q2696" i="1"/>
  <c r="R2696" i="1"/>
  <c r="Q2695" i="1"/>
  <c r="R2695" i="1"/>
  <c r="Q2694" i="1"/>
  <c r="R2694" i="1"/>
  <c r="Q2693" i="1"/>
  <c r="R2693" i="1"/>
  <c r="Q2692" i="1"/>
  <c r="R2692" i="1"/>
  <c r="Q2691" i="1"/>
  <c r="R2691" i="1"/>
  <c r="Q2690" i="1"/>
  <c r="R2690" i="1"/>
  <c r="L2690" i="1"/>
  <c r="Q2689" i="1"/>
  <c r="R2689" i="1"/>
  <c r="L2689" i="1"/>
  <c r="Q2688" i="1"/>
  <c r="R2688" i="1"/>
  <c r="L2688" i="1"/>
  <c r="Q2687" i="1"/>
  <c r="R2687" i="1"/>
  <c r="L2687" i="1"/>
  <c r="Q2686" i="1"/>
  <c r="R2686" i="1"/>
  <c r="L2686" i="1"/>
  <c r="Q2685" i="1"/>
  <c r="R2685" i="1"/>
  <c r="Q2684" i="1"/>
  <c r="R2684" i="1"/>
  <c r="Q2683" i="1"/>
  <c r="R2683" i="1"/>
  <c r="Q2682" i="1"/>
  <c r="R2682" i="1"/>
  <c r="Q2681" i="1"/>
  <c r="R2681" i="1"/>
  <c r="Q2680" i="1"/>
  <c r="R2680" i="1"/>
  <c r="Q2679" i="1"/>
  <c r="R2679" i="1"/>
  <c r="Q2678" i="1"/>
  <c r="R2678" i="1"/>
  <c r="L2678" i="1"/>
  <c r="Q2677" i="1"/>
  <c r="R2677" i="1"/>
  <c r="L2677" i="1"/>
  <c r="Q2676" i="1"/>
  <c r="R2676" i="1"/>
  <c r="L2676" i="1"/>
  <c r="Q2675" i="1"/>
  <c r="R2675" i="1"/>
  <c r="L2675" i="1"/>
  <c r="Q2674" i="1"/>
  <c r="R2674" i="1"/>
  <c r="L2674" i="1"/>
  <c r="Q2673" i="1"/>
  <c r="R2673" i="1"/>
  <c r="Q2672" i="1"/>
  <c r="R2672" i="1"/>
  <c r="Q2671" i="1"/>
  <c r="R2671" i="1"/>
  <c r="Q2670" i="1"/>
  <c r="R2670" i="1"/>
  <c r="Q2669" i="1"/>
  <c r="R2669" i="1"/>
  <c r="Q2668" i="1"/>
  <c r="R2668" i="1"/>
  <c r="Q2667" i="1"/>
  <c r="R2667" i="1"/>
  <c r="Q2666" i="1"/>
  <c r="R2666" i="1"/>
  <c r="L2666" i="1"/>
  <c r="Q2665" i="1"/>
  <c r="R2665" i="1"/>
  <c r="L2665" i="1"/>
  <c r="Q2664" i="1"/>
  <c r="R2664" i="1"/>
  <c r="L2664" i="1"/>
  <c r="Q2663" i="1"/>
  <c r="R2663" i="1"/>
  <c r="L2663" i="1"/>
  <c r="Q2662" i="1"/>
  <c r="R2662" i="1"/>
  <c r="L2662" i="1"/>
  <c r="Q2661" i="1"/>
  <c r="R2661" i="1"/>
  <c r="Q2660" i="1"/>
  <c r="R2660" i="1"/>
  <c r="Q2659" i="1"/>
  <c r="R2659" i="1"/>
  <c r="Q2658" i="1"/>
  <c r="R2658" i="1"/>
  <c r="Q2657" i="1"/>
  <c r="R2657" i="1"/>
  <c r="Q2656" i="1"/>
  <c r="R2656" i="1"/>
  <c r="Q2655" i="1"/>
  <c r="R2655" i="1"/>
  <c r="Q2654" i="1"/>
  <c r="R2654" i="1"/>
  <c r="L2654" i="1"/>
  <c r="Q2653" i="1"/>
  <c r="R2653" i="1"/>
  <c r="L2653" i="1"/>
  <c r="Q2652" i="1"/>
  <c r="R2652" i="1"/>
  <c r="L2652" i="1"/>
  <c r="Q2651" i="1"/>
  <c r="R2651" i="1"/>
  <c r="L2651" i="1"/>
  <c r="Q2650" i="1"/>
  <c r="R2650" i="1"/>
  <c r="L2650" i="1"/>
  <c r="Q2649" i="1"/>
  <c r="R2649" i="1"/>
  <c r="Q2648" i="1"/>
  <c r="R2648" i="1"/>
  <c r="Q2647" i="1"/>
  <c r="R2647" i="1"/>
  <c r="Q2646" i="1"/>
  <c r="R2646" i="1"/>
  <c r="Q2645" i="1"/>
  <c r="R2645" i="1"/>
  <c r="Q2644" i="1"/>
  <c r="R2644" i="1"/>
  <c r="Q2643" i="1"/>
  <c r="R2643" i="1"/>
  <c r="Q2642" i="1"/>
  <c r="R2642" i="1"/>
  <c r="L2642" i="1"/>
  <c r="Q2641" i="1"/>
  <c r="R2641" i="1"/>
  <c r="L2641" i="1"/>
  <c r="Q2640" i="1"/>
  <c r="R2640" i="1"/>
  <c r="L2640" i="1"/>
  <c r="Q2639" i="1"/>
  <c r="R2639" i="1"/>
  <c r="Q2638" i="1"/>
  <c r="R2638" i="1"/>
  <c r="L2638" i="1"/>
  <c r="Q2637" i="1"/>
  <c r="R2637" i="1"/>
  <c r="Q2636" i="1"/>
  <c r="R2636" i="1"/>
  <c r="Q2635" i="1"/>
  <c r="R2635" i="1"/>
  <c r="Q2634" i="1"/>
  <c r="R2634" i="1"/>
  <c r="Q2633" i="1"/>
  <c r="R2633" i="1"/>
  <c r="Q2632" i="1"/>
  <c r="R2632" i="1"/>
  <c r="Q2631" i="1"/>
  <c r="R2631" i="1"/>
  <c r="Q2630" i="1"/>
  <c r="R2630" i="1"/>
  <c r="L2630" i="1"/>
  <c r="Q2629" i="1"/>
  <c r="R2629" i="1"/>
  <c r="L2629" i="1"/>
  <c r="Q2628" i="1"/>
  <c r="R2628" i="1"/>
  <c r="L2628" i="1"/>
  <c r="Q2627" i="1"/>
  <c r="R2627" i="1"/>
  <c r="L2627" i="1"/>
  <c r="Q2626" i="1"/>
  <c r="R2626" i="1"/>
  <c r="L2626" i="1"/>
  <c r="Q2625" i="1"/>
  <c r="R2625" i="1"/>
  <c r="Q2624" i="1"/>
  <c r="R2624" i="1"/>
  <c r="Q2623" i="1"/>
  <c r="R2623" i="1"/>
  <c r="Q2622" i="1"/>
  <c r="R2622" i="1"/>
  <c r="Q2621" i="1"/>
  <c r="R2621" i="1"/>
  <c r="Q2620" i="1"/>
  <c r="R2620" i="1"/>
  <c r="Q2619" i="1"/>
  <c r="R2619" i="1"/>
  <c r="Q2618" i="1"/>
  <c r="R2618" i="1"/>
  <c r="L2618" i="1"/>
  <c r="Q2617" i="1"/>
  <c r="R2617" i="1"/>
  <c r="L2617" i="1"/>
  <c r="Q2616" i="1"/>
  <c r="R2616" i="1"/>
  <c r="L2616" i="1"/>
  <c r="Q2615" i="1"/>
  <c r="R2615" i="1"/>
  <c r="Q2614" i="1"/>
  <c r="R2614" i="1"/>
  <c r="L2614" i="1"/>
  <c r="Q2613" i="1"/>
  <c r="R2613" i="1"/>
  <c r="Q2612" i="1"/>
  <c r="R2612" i="1"/>
  <c r="Q2611" i="1"/>
  <c r="R2611" i="1"/>
  <c r="Q2610" i="1"/>
  <c r="R2610" i="1"/>
  <c r="Q2609" i="1"/>
  <c r="R2609" i="1"/>
  <c r="Q2608" i="1"/>
  <c r="R2608" i="1"/>
  <c r="Q2607" i="1"/>
  <c r="R2607" i="1"/>
  <c r="Q2606" i="1"/>
  <c r="R2606" i="1"/>
  <c r="L2606" i="1"/>
  <c r="Q2605" i="1"/>
  <c r="R2605" i="1"/>
  <c r="L2605" i="1"/>
  <c r="Q2604" i="1"/>
  <c r="R2604" i="1"/>
  <c r="L2604" i="1"/>
  <c r="Q2603" i="1"/>
  <c r="R2603" i="1"/>
  <c r="L2603" i="1"/>
  <c r="Q2602" i="1"/>
  <c r="R2602" i="1"/>
  <c r="L2602" i="1"/>
  <c r="Q2601" i="1"/>
  <c r="R2601" i="1"/>
  <c r="Q2600" i="1"/>
  <c r="R2600" i="1"/>
  <c r="Q2599" i="1"/>
  <c r="R2599" i="1"/>
  <c r="Q2598" i="1"/>
  <c r="R2598" i="1"/>
  <c r="Q2597" i="1"/>
  <c r="R2597" i="1"/>
  <c r="Q2596" i="1"/>
  <c r="R2596" i="1"/>
  <c r="Q2595" i="1"/>
  <c r="R2595" i="1"/>
  <c r="Q2594" i="1"/>
  <c r="R2594" i="1"/>
  <c r="L2594" i="1"/>
  <c r="Q2593" i="1"/>
  <c r="R2593" i="1"/>
  <c r="L2593" i="1"/>
  <c r="Q2592" i="1"/>
  <c r="R2592" i="1"/>
  <c r="L2592" i="1"/>
  <c r="Q2591" i="1"/>
  <c r="R2591" i="1"/>
  <c r="L2591" i="1"/>
  <c r="Q2590" i="1"/>
  <c r="R2590" i="1"/>
  <c r="L2590" i="1"/>
  <c r="Q2589" i="1"/>
  <c r="R2589" i="1"/>
  <c r="Q2588" i="1"/>
  <c r="R2588" i="1"/>
  <c r="Q2587" i="1"/>
  <c r="R2587" i="1"/>
  <c r="Q2586" i="1"/>
  <c r="R2586" i="1"/>
  <c r="Q2585" i="1"/>
  <c r="R2585" i="1"/>
  <c r="Q2584" i="1"/>
  <c r="R2584" i="1"/>
  <c r="Q2583" i="1"/>
  <c r="R2583" i="1"/>
  <c r="Q2582" i="1"/>
  <c r="R2582" i="1"/>
  <c r="L2582" i="1"/>
  <c r="Q2581" i="1"/>
  <c r="R2581" i="1"/>
  <c r="L2581" i="1"/>
  <c r="Q2580" i="1"/>
  <c r="R2580" i="1"/>
  <c r="L2580" i="1"/>
  <c r="Q2579" i="1"/>
  <c r="R2579" i="1"/>
  <c r="L2579" i="1"/>
  <c r="Q2578" i="1"/>
  <c r="R2578" i="1"/>
  <c r="L2578" i="1"/>
  <c r="Q2577" i="1"/>
  <c r="R2577" i="1"/>
  <c r="Q2576" i="1"/>
  <c r="R2576" i="1"/>
  <c r="Q2575" i="1"/>
  <c r="R2575" i="1"/>
  <c r="Q2574" i="1"/>
  <c r="R2574" i="1"/>
  <c r="Q2573" i="1"/>
  <c r="R2573" i="1"/>
  <c r="Q2572" i="1"/>
  <c r="R2572" i="1"/>
  <c r="Q2571" i="1"/>
  <c r="R2571" i="1"/>
  <c r="Q2570" i="1"/>
  <c r="R2570" i="1"/>
  <c r="L2570" i="1"/>
  <c r="Q2569" i="1"/>
  <c r="R2569" i="1"/>
  <c r="L2569" i="1"/>
  <c r="Q2568" i="1"/>
  <c r="R2568" i="1"/>
  <c r="L2568" i="1"/>
  <c r="Q2567" i="1"/>
  <c r="R2567" i="1"/>
  <c r="Q2566" i="1"/>
  <c r="R2566" i="1"/>
  <c r="L2566" i="1"/>
  <c r="Q2565" i="1"/>
  <c r="R2565" i="1"/>
  <c r="Q2564" i="1"/>
  <c r="R2564" i="1"/>
  <c r="Q2563" i="1"/>
  <c r="R2563" i="1"/>
  <c r="Q2562" i="1"/>
  <c r="R2562" i="1"/>
  <c r="Q2561" i="1"/>
  <c r="R2561" i="1"/>
  <c r="Q2560" i="1"/>
  <c r="R2560" i="1"/>
  <c r="Q2559" i="1"/>
  <c r="R2559" i="1"/>
  <c r="Q2558" i="1"/>
  <c r="R2558" i="1"/>
  <c r="L2558" i="1"/>
  <c r="Q2557" i="1"/>
  <c r="R2557" i="1"/>
  <c r="L2557" i="1"/>
  <c r="Q2556" i="1"/>
  <c r="R2556" i="1"/>
  <c r="L2556" i="1"/>
  <c r="Q2555" i="1"/>
  <c r="R2555" i="1"/>
  <c r="L2555" i="1"/>
  <c r="Q2554" i="1"/>
  <c r="R2554" i="1"/>
  <c r="L2554" i="1"/>
  <c r="Q2553" i="1"/>
  <c r="R2553" i="1"/>
  <c r="Q2552" i="1"/>
  <c r="R2552" i="1"/>
  <c r="Q2551" i="1"/>
  <c r="R2551" i="1"/>
  <c r="Q2550" i="1"/>
  <c r="R2550" i="1"/>
  <c r="Q2549" i="1"/>
  <c r="R2549" i="1"/>
  <c r="Q2548" i="1"/>
  <c r="R2548" i="1"/>
  <c r="Q2547" i="1"/>
  <c r="R2547" i="1"/>
  <c r="Q2546" i="1"/>
  <c r="R2546" i="1"/>
  <c r="L2546" i="1"/>
  <c r="Q2545" i="1"/>
  <c r="R2545" i="1"/>
  <c r="L2545" i="1"/>
  <c r="Q2544" i="1"/>
  <c r="R2544" i="1"/>
  <c r="L2544" i="1"/>
  <c r="Q2543" i="1"/>
  <c r="R2543" i="1"/>
  <c r="Q2542" i="1"/>
  <c r="R2542" i="1"/>
  <c r="L2542" i="1"/>
  <c r="Q2541" i="1"/>
  <c r="R2541" i="1"/>
  <c r="Q2540" i="1"/>
  <c r="R2540" i="1"/>
  <c r="Q2539" i="1"/>
  <c r="R2539" i="1"/>
  <c r="Q2538" i="1"/>
  <c r="R2538" i="1"/>
  <c r="Q2537" i="1"/>
  <c r="R2537" i="1"/>
  <c r="Q2536" i="1"/>
  <c r="R2536" i="1"/>
  <c r="Q2535" i="1"/>
  <c r="R2535" i="1"/>
  <c r="Q2534" i="1"/>
  <c r="R2534" i="1"/>
  <c r="L2534" i="1"/>
  <c r="Q2533" i="1"/>
  <c r="R2533" i="1"/>
  <c r="L2533" i="1"/>
  <c r="Q2532" i="1"/>
  <c r="R2532" i="1"/>
  <c r="L2532" i="1"/>
  <c r="Q2531" i="1"/>
  <c r="R2531" i="1"/>
  <c r="L2531" i="1"/>
  <c r="Q2530" i="1"/>
  <c r="R2530" i="1"/>
  <c r="L2530" i="1"/>
  <c r="Q2529" i="1"/>
  <c r="R2529" i="1"/>
  <c r="Q2528" i="1"/>
  <c r="R2528" i="1"/>
  <c r="Q2527" i="1"/>
  <c r="R2527" i="1"/>
  <c r="Q2526" i="1"/>
  <c r="R2526" i="1"/>
  <c r="Q2525" i="1"/>
  <c r="R2525" i="1"/>
  <c r="Q2524" i="1"/>
  <c r="R2524" i="1"/>
  <c r="Q2523" i="1"/>
  <c r="R2523" i="1"/>
  <c r="Q2522" i="1"/>
  <c r="R2522" i="1"/>
  <c r="L2522" i="1"/>
  <c r="Q2521" i="1"/>
  <c r="R2521" i="1"/>
  <c r="L2521" i="1"/>
  <c r="Q2520" i="1"/>
  <c r="R2520" i="1"/>
  <c r="L2520" i="1"/>
  <c r="Q2519" i="1"/>
  <c r="R2519" i="1"/>
  <c r="Q2518" i="1"/>
  <c r="R2518" i="1"/>
  <c r="L2518" i="1"/>
  <c r="Q2517" i="1"/>
  <c r="R2517" i="1"/>
  <c r="Q2516" i="1"/>
  <c r="R2516" i="1"/>
  <c r="Q2515" i="1"/>
  <c r="R2515" i="1"/>
  <c r="Q2514" i="1"/>
  <c r="R2514" i="1"/>
  <c r="Q2513" i="1"/>
  <c r="R2513" i="1"/>
  <c r="Q2512" i="1"/>
  <c r="R2512" i="1"/>
  <c r="Q2511" i="1"/>
  <c r="R2511" i="1"/>
  <c r="Q2510" i="1"/>
  <c r="R2510" i="1"/>
  <c r="L2510" i="1"/>
  <c r="Q2509" i="1"/>
  <c r="R2509" i="1"/>
  <c r="L2509" i="1"/>
  <c r="Q2508" i="1"/>
  <c r="R2508" i="1"/>
  <c r="L2508" i="1"/>
  <c r="Q2507" i="1"/>
  <c r="R2507" i="1"/>
  <c r="L2507" i="1"/>
  <c r="Q2506" i="1"/>
  <c r="R2506" i="1"/>
  <c r="L2506" i="1"/>
  <c r="Q2505" i="1"/>
  <c r="R2505" i="1"/>
  <c r="Q2504" i="1"/>
  <c r="R2504" i="1"/>
  <c r="Q2503" i="1"/>
  <c r="R2503" i="1"/>
  <c r="Q2502" i="1"/>
  <c r="R2502" i="1"/>
  <c r="Q2501" i="1"/>
  <c r="R2501" i="1"/>
  <c r="Q2500" i="1"/>
  <c r="R2500" i="1"/>
  <c r="Q2499" i="1"/>
  <c r="R2499" i="1"/>
  <c r="Q2498" i="1"/>
  <c r="R2498" i="1"/>
  <c r="L2498" i="1"/>
  <c r="Q2497" i="1"/>
  <c r="R2497" i="1"/>
  <c r="L2497" i="1"/>
  <c r="Q2496" i="1"/>
  <c r="R2496" i="1"/>
  <c r="L2496" i="1"/>
  <c r="Q2495" i="1"/>
  <c r="R2495" i="1"/>
  <c r="L2495" i="1"/>
  <c r="Q2494" i="1"/>
  <c r="R2494" i="1"/>
  <c r="L2494" i="1"/>
  <c r="Q2493" i="1"/>
  <c r="R2493" i="1"/>
  <c r="Q2492" i="1"/>
  <c r="R2492" i="1"/>
  <c r="Q2491" i="1"/>
  <c r="R2491" i="1"/>
  <c r="Q2490" i="1"/>
  <c r="R2490" i="1"/>
  <c r="Q2489" i="1"/>
  <c r="R2489" i="1"/>
  <c r="Q2488" i="1"/>
  <c r="R2488" i="1"/>
  <c r="Q2487" i="1"/>
  <c r="R2487" i="1"/>
  <c r="Q2486" i="1"/>
  <c r="R2486" i="1"/>
  <c r="L2486" i="1"/>
  <c r="Q2485" i="1"/>
  <c r="R2485" i="1"/>
  <c r="L2485" i="1"/>
  <c r="Q2484" i="1"/>
  <c r="R2484" i="1"/>
  <c r="L2484" i="1"/>
  <c r="Q2483" i="1"/>
  <c r="R2483" i="1"/>
  <c r="L2483" i="1"/>
  <c r="Q2482" i="1"/>
  <c r="R2482" i="1"/>
  <c r="L2482" i="1"/>
  <c r="Q2481" i="1"/>
  <c r="R2481" i="1"/>
  <c r="Q2480" i="1"/>
  <c r="R2480" i="1"/>
  <c r="Q2479" i="1"/>
  <c r="R2479" i="1"/>
  <c r="Q2478" i="1"/>
  <c r="R2478" i="1"/>
  <c r="Q2477" i="1"/>
  <c r="R2477" i="1"/>
  <c r="Q2476" i="1"/>
  <c r="R2476" i="1"/>
  <c r="Q2475" i="1"/>
  <c r="R2475" i="1"/>
  <c r="Q2474" i="1"/>
  <c r="R2474" i="1"/>
  <c r="L2474" i="1"/>
  <c r="Q2473" i="1"/>
  <c r="R2473" i="1"/>
  <c r="L2473" i="1"/>
  <c r="Q2472" i="1"/>
  <c r="R2472" i="1"/>
  <c r="L2472" i="1"/>
  <c r="Q2471" i="1"/>
  <c r="R2471" i="1"/>
  <c r="Q2470" i="1"/>
  <c r="R2470" i="1"/>
  <c r="L2470" i="1"/>
  <c r="Q2469" i="1"/>
  <c r="R2469" i="1"/>
  <c r="Q2468" i="1"/>
  <c r="R2468" i="1"/>
  <c r="Q2467" i="1"/>
  <c r="R2467" i="1"/>
  <c r="Q2466" i="1"/>
  <c r="R2466" i="1"/>
  <c r="Q2465" i="1"/>
  <c r="R2465" i="1"/>
  <c r="Q2464" i="1"/>
  <c r="R2464" i="1"/>
  <c r="Q2463" i="1"/>
  <c r="R2463" i="1"/>
  <c r="Q2462" i="1"/>
  <c r="R2462" i="1"/>
  <c r="L2462" i="1"/>
  <c r="Q2461" i="1"/>
  <c r="R2461" i="1"/>
  <c r="L2461" i="1"/>
  <c r="Q2460" i="1"/>
  <c r="R2460" i="1"/>
  <c r="L2460" i="1"/>
  <c r="Q2459" i="1"/>
  <c r="R2459" i="1"/>
  <c r="L2459" i="1"/>
  <c r="Q2458" i="1"/>
  <c r="R2458" i="1"/>
  <c r="L2458" i="1"/>
  <c r="Q2457" i="1"/>
  <c r="R2457" i="1"/>
  <c r="Q2456" i="1"/>
  <c r="R2456" i="1"/>
  <c r="Q2455" i="1"/>
  <c r="R2455" i="1"/>
  <c r="Q2454" i="1"/>
  <c r="R2454" i="1"/>
  <c r="Q2453" i="1"/>
  <c r="R2453" i="1"/>
  <c r="Q2452" i="1"/>
  <c r="R2452" i="1"/>
  <c r="Q2451" i="1"/>
  <c r="R2451" i="1"/>
  <c r="Q2450" i="1"/>
  <c r="R2450" i="1"/>
  <c r="L2450" i="1"/>
  <c r="Q2449" i="1"/>
  <c r="R2449" i="1"/>
  <c r="L2449" i="1"/>
  <c r="Q2448" i="1"/>
  <c r="R2448" i="1"/>
  <c r="L2448" i="1"/>
  <c r="Q2447" i="1"/>
  <c r="R2447" i="1"/>
  <c r="L2447" i="1"/>
  <c r="Q2446" i="1"/>
  <c r="R2446" i="1"/>
  <c r="L2446" i="1"/>
  <c r="Q2445" i="1"/>
  <c r="R2445" i="1"/>
  <c r="Q2444" i="1"/>
  <c r="R2444" i="1"/>
  <c r="Q2443" i="1"/>
  <c r="R2443" i="1"/>
  <c r="Q2442" i="1"/>
  <c r="R2442" i="1"/>
  <c r="Q2441" i="1"/>
  <c r="R2441" i="1"/>
  <c r="Q2440" i="1"/>
  <c r="R2440" i="1"/>
  <c r="Q2439" i="1"/>
  <c r="R2439" i="1"/>
  <c r="Q2438" i="1"/>
  <c r="R2438" i="1"/>
  <c r="L2438" i="1"/>
  <c r="Q2437" i="1"/>
  <c r="R2437" i="1"/>
  <c r="L2437" i="1"/>
  <c r="Q2436" i="1"/>
  <c r="R2436" i="1"/>
  <c r="L2436" i="1"/>
  <c r="Q2435" i="1"/>
  <c r="R2435" i="1"/>
  <c r="Q2434" i="1"/>
  <c r="R2434" i="1"/>
  <c r="L2434" i="1"/>
  <c r="Q2433" i="1"/>
  <c r="R2433" i="1"/>
  <c r="Q2432" i="1"/>
  <c r="R2432" i="1"/>
  <c r="Q2431" i="1"/>
  <c r="R2431" i="1"/>
  <c r="Q2430" i="1"/>
  <c r="R2430" i="1"/>
  <c r="Q2429" i="1"/>
  <c r="R2429" i="1"/>
  <c r="Q2428" i="1"/>
  <c r="R2428" i="1"/>
  <c r="Q2427" i="1"/>
  <c r="R2427" i="1"/>
  <c r="Q2426" i="1"/>
  <c r="R2426" i="1"/>
  <c r="L2426" i="1"/>
  <c r="Q2425" i="1"/>
  <c r="R2425" i="1"/>
  <c r="L2425" i="1"/>
  <c r="Q2424" i="1"/>
  <c r="R2424" i="1"/>
  <c r="L2424" i="1"/>
  <c r="Q2423" i="1"/>
  <c r="R2423" i="1"/>
  <c r="L2423" i="1"/>
  <c r="Q2422" i="1"/>
  <c r="R2422" i="1"/>
  <c r="L2422" i="1"/>
  <c r="Q2421" i="1"/>
  <c r="R2421" i="1"/>
  <c r="Q2420" i="1"/>
  <c r="R2420" i="1"/>
  <c r="Q2419" i="1"/>
  <c r="R2419" i="1"/>
  <c r="Q2418" i="1"/>
  <c r="R2418" i="1"/>
  <c r="Q2417" i="1"/>
  <c r="R2417" i="1"/>
  <c r="Q2416" i="1"/>
  <c r="R2416" i="1"/>
  <c r="Q2415" i="1"/>
  <c r="R2415" i="1"/>
  <c r="Q2414" i="1"/>
  <c r="R2414" i="1"/>
  <c r="L2414" i="1"/>
  <c r="Q2413" i="1"/>
  <c r="R2413" i="1"/>
  <c r="L2413" i="1"/>
  <c r="Q2412" i="1"/>
  <c r="R2412" i="1"/>
  <c r="L2412" i="1"/>
  <c r="Q2411" i="1"/>
  <c r="R2411" i="1"/>
  <c r="L2411" i="1"/>
  <c r="Q2410" i="1"/>
  <c r="R2410" i="1"/>
  <c r="L2410" i="1"/>
  <c r="Q2409" i="1"/>
  <c r="R2409" i="1"/>
  <c r="Q2408" i="1"/>
  <c r="R2408" i="1"/>
  <c r="Q2407" i="1"/>
  <c r="R2407" i="1"/>
  <c r="Q2406" i="1"/>
  <c r="R2406" i="1"/>
  <c r="Q2405" i="1"/>
  <c r="R2405" i="1"/>
  <c r="Q2404" i="1"/>
  <c r="R2404" i="1"/>
  <c r="Q2403" i="1"/>
  <c r="R2403" i="1"/>
  <c r="Q2402" i="1"/>
  <c r="R2402" i="1"/>
  <c r="L2402" i="1"/>
  <c r="Q2401" i="1"/>
  <c r="R2401" i="1"/>
  <c r="L2401" i="1"/>
  <c r="Q2400" i="1"/>
  <c r="R2400" i="1"/>
  <c r="L2400" i="1"/>
  <c r="Q2399" i="1"/>
  <c r="R2399" i="1"/>
  <c r="Q2398" i="1"/>
  <c r="R2398" i="1"/>
  <c r="L2398" i="1"/>
  <c r="Q2397" i="1"/>
  <c r="R2397" i="1"/>
  <c r="Q2396" i="1"/>
  <c r="R2396" i="1"/>
  <c r="Q2395" i="1"/>
  <c r="R2395" i="1"/>
  <c r="Q2394" i="1"/>
  <c r="R2394" i="1"/>
  <c r="Q2393" i="1"/>
  <c r="R2393" i="1"/>
  <c r="Q2392" i="1"/>
  <c r="R2392" i="1"/>
  <c r="Q2391" i="1"/>
  <c r="R2391" i="1"/>
  <c r="Q2390" i="1"/>
  <c r="R2390" i="1"/>
  <c r="L2390" i="1"/>
  <c r="Q2389" i="1"/>
  <c r="R2389" i="1"/>
  <c r="L2389" i="1"/>
  <c r="Q2388" i="1"/>
  <c r="R2388" i="1"/>
  <c r="L2388" i="1"/>
  <c r="Q2387" i="1"/>
  <c r="R2387" i="1"/>
  <c r="L2387" i="1"/>
  <c r="Q2386" i="1"/>
  <c r="R2386" i="1"/>
  <c r="L2386" i="1"/>
  <c r="Q2385" i="1"/>
  <c r="R2385" i="1"/>
  <c r="Q2384" i="1"/>
  <c r="R2384" i="1"/>
  <c r="Q2383" i="1"/>
  <c r="R2383" i="1"/>
  <c r="Q2382" i="1"/>
  <c r="R2382" i="1"/>
  <c r="Q2381" i="1"/>
  <c r="R2381" i="1"/>
  <c r="Q2380" i="1"/>
  <c r="R2380" i="1"/>
  <c r="Q2379" i="1"/>
  <c r="R2379" i="1"/>
  <c r="Q2378" i="1"/>
  <c r="R2378" i="1"/>
  <c r="L2378" i="1"/>
  <c r="Q2377" i="1"/>
  <c r="R2377" i="1"/>
  <c r="L2377" i="1"/>
  <c r="Q2376" i="1"/>
  <c r="R2376" i="1"/>
  <c r="L2376" i="1"/>
  <c r="Q2375" i="1"/>
  <c r="R2375" i="1"/>
  <c r="Q2374" i="1"/>
  <c r="R2374" i="1"/>
  <c r="L2374" i="1"/>
  <c r="Q2373" i="1"/>
  <c r="R2373" i="1"/>
  <c r="Q2372" i="1"/>
  <c r="R2372" i="1"/>
  <c r="Q2371" i="1"/>
  <c r="R2371" i="1"/>
  <c r="Q2370" i="1"/>
  <c r="R2370" i="1"/>
  <c r="Q2369" i="1"/>
  <c r="R2369" i="1"/>
  <c r="Q2368" i="1"/>
  <c r="R2368" i="1"/>
  <c r="Q2367" i="1"/>
  <c r="R2367" i="1"/>
  <c r="Q2366" i="1"/>
  <c r="R2366" i="1"/>
  <c r="L2366" i="1"/>
  <c r="Q2365" i="1"/>
  <c r="R2365" i="1"/>
  <c r="L2365" i="1"/>
  <c r="Q2364" i="1"/>
  <c r="R2364" i="1"/>
  <c r="L2364" i="1"/>
  <c r="Q2363" i="1"/>
  <c r="R2363" i="1"/>
  <c r="L2363" i="1"/>
  <c r="Q2362" i="1"/>
  <c r="R2362" i="1"/>
  <c r="L2362" i="1"/>
  <c r="Q2361" i="1"/>
  <c r="R2361" i="1"/>
  <c r="Q2360" i="1"/>
  <c r="R2360" i="1"/>
  <c r="Q2359" i="1"/>
  <c r="R2359" i="1"/>
  <c r="Q2358" i="1"/>
  <c r="R2358" i="1"/>
  <c r="Q2357" i="1"/>
  <c r="R2357" i="1"/>
  <c r="Q2356" i="1"/>
  <c r="R2356" i="1"/>
  <c r="Q2355" i="1"/>
  <c r="R2355" i="1"/>
  <c r="Q2354" i="1"/>
  <c r="R2354" i="1"/>
  <c r="L2354" i="1"/>
  <c r="Q2353" i="1"/>
  <c r="R2353" i="1"/>
  <c r="L2353" i="1"/>
  <c r="Q2352" i="1"/>
  <c r="R2352" i="1"/>
  <c r="L2352" i="1"/>
  <c r="Q2351" i="1"/>
  <c r="R2351" i="1"/>
  <c r="Q2350" i="1"/>
  <c r="R2350" i="1"/>
  <c r="L2350" i="1"/>
  <c r="Q2349" i="1"/>
  <c r="R2349" i="1"/>
  <c r="Q2348" i="1"/>
  <c r="R2348" i="1"/>
  <c r="Q2347" i="1"/>
  <c r="R2347" i="1"/>
  <c r="Q2346" i="1"/>
  <c r="R2346" i="1"/>
  <c r="Q2345" i="1"/>
  <c r="R2345" i="1"/>
  <c r="Q2344" i="1"/>
  <c r="R2344" i="1"/>
  <c r="Q2343" i="1"/>
  <c r="R2343" i="1"/>
  <c r="Q2342" i="1"/>
  <c r="R2342" i="1"/>
  <c r="L2342" i="1"/>
  <c r="Q2341" i="1"/>
  <c r="R2341" i="1"/>
  <c r="L2341" i="1"/>
  <c r="Q2340" i="1"/>
  <c r="R2340" i="1"/>
  <c r="L2340" i="1"/>
  <c r="Q2339" i="1"/>
  <c r="R2339" i="1"/>
  <c r="L2339" i="1"/>
  <c r="Q2338" i="1"/>
  <c r="R2338" i="1"/>
  <c r="L2338" i="1"/>
  <c r="Q2337" i="1"/>
  <c r="R2337" i="1"/>
  <c r="Q2336" i="1"/>
  <c r="R2336" i="1"/>
  <c r="Q2335" i="1"/>
  <c r="R2335" i="1"/>
  <c r="Q2334" i="1"/>
  <c r="R2334" i="1"/>
  <c r="Q2333" i="1"/>
  <c r="R2333" i="1"/>
  <c r="Q2332" i="1"/>
  <c r="R2332" i="1"/>
  <c r="Q2331" i="1"/>
  <c r="R2331" i="1"/>
  <c r="Q2330" i="1"/>
  <c r="R2330" i="1"/>
  <c r="L2330" i="1"/>
  <c r="Q2329" i="1"/>
  <c r="R2329" i="1"/>
  <c r="L2329" i="1"/>
  <c r="Q2328" i="1"/>
  <c r="R2328" i="1"/>
  <c r="L2328" i="1"/>
  <c r="Q2327" i="1"/>
  <c r="R2327" i="1"/>
  <c r="Q2326" i="1"/>
  <c r="R2326" i="1"/>
  <c r="L2326" i="1"/>
  <c r="Q2325" i="1"/>
  <c r="R2325" i="1"/>
  <c r="Q2324" i="1"/>
  <c r="R2324" i="1"/>
  <c r="Q2323" i="1"/>
  <c r="R2323" i="1"/>
  <c r="Q2322" i="1"/>
  <c r="R2322" i="1"/>
  <c r="Q2321" i="1"/>
  <c r="R2321" i="1"/>
  <c r="Q2320" i="1"/>
  <c r="R2320" i="1"/>
  <c r="Q2319" i="1"/>
  <c r="R2319" i="1"/>
  <c r="Q2318" i="1"/>
  <c r="R2318" i="1"/>
  <c r="L2318" i="1"/>
  <c r="Q2317" i="1"/>
  <c r="R2317" i="1"/>
  <c r="L2317" i="1"/>
  <c r="Q2316" i="1"/>
  <c r="R2316" i="1"/>
  <c r="L2316" i="1"/>
  <c r="Q2315" i="1"/>
  <c r="R2315" i="1"/>
  <c r="L2315" i="1"/>
  <c r="Q2314" i="1"/>
  <c r="R2314" i="1"/>
  <c r="L2314" i="1"/>
  <c r="Q2313" i="1"/>
  <c r="R2313" i="1"/>
  <c r="Q2312" i="1"/>
  <c r="R2312" i="1"/>
  <c r="Q2311" i="1"/>
  <c r="R2311" i="1"/>
  <c r="Q2310" i="1"/>
  <c r="R2310" i="1"/>
  <c r="Q2309" i="1"/>
  <c r="R2309" i="1"/>
  <c r="Q2308" i="1"/>
  <c r="R2308" i="1"/>
  <c r="Q2307" i="1"/>
  <c r="R2307" i="1"/>
  <c r="Q2306" i="1"/>
  <c r="R2306" i="1"/>
  <c r="L2306" i="1"/>
  <c r="Q2305" i="1"/>
  <c r="R2305" i="1"/>
  <c r="L2305" i="1"/>
  <c r="Q2304" i="1"/>
  <c r="R2304" i="1"/>
  <c r="L2304" i="1"/>
  <c r="Q2303" i="1"/>
  <c r="R2303" i="1"/>
  <c r="Q2302" i="1"/>
  <c r="R2302" i="1"/>
  <c r="L2302" i="1"/>
  <c r="Q2301" i="1"/>
  <c r="R2301" i="1"/>
  <c r="Q2300" i="1"/>
  <c r="R2300" i="1"/>
  <c r="Q2299" i="1"/>
  <c r="R2299" i="1"/>
  <c r="Q2298" i="1"/>
  <c r="R2298" i="1"/>
  <c r="Q2297" i="1"/>
  <c r="R2297" i="1"/>
  <c r="Q2296" i="1"/>
  <c r="R2296" i="1"/>
  <c r="Q2295" i="1"/>
  <c r="R2295" i="1"/>
  <c r="Q2294" i="1"/>
  <c r="R2294" i="1"/>
  <c r="L2294" i="1"/>
  <c r="Q2293" i="1"/>
  <c r="R2293" i="1"/>
  <c r="L2293" i="1"/>
  <c r="Q2292" i="1"/>
  <c r="R2292" i="1"/>
  <c r="L2292" i="1"/>
  <c r="Q2291" i="1"/>
  <c r="R2291" i="1"/>
  <c r="L2291" i="1"/>
  <c r="Q2290" i="1"/>
  <c r="R2290" i="1"/>
  <c r="L2290" i="1"/>
  <c r="Q2289" i="1"/>
  <c r="R2289" i="1"/>
  <c r="Q2288" i="1"/>
  <c r="R2288" i="1"/>
  <c r="Q2287" i="1"/>
  <c r="R2287" i="1"/>
  <c r="Q2286" i="1"/>
  <c r="R2286" i="1"/>
  <c r="Q2285" i="1"/>
  <c r="R2285" i="1"/>
  <c r="Q2284" i="1"/>
  <c r="R2284" i="1"/>
  <c r="Q2283" i="1"/>
  <c r="R2283" i="1"/>
  <c r="Q2282" i="1"/>
  <c r="R2282" i="1"/>
  <c r="L2282" i="1"/>
  <c r="Q2281" i="1"/>
  <c r="R2281" i="1"/>
  <c r="L2281" i="1"/>
  <c r="Q2280" i="1"/>
  <c r="R2280" i="1"/>
  <c r="L2280" i="1"/>
  <c r="Q2279" i="1"/>
  <c r="R2279" i="1"/>
  <c r="Q2278" i="1"/>
  <c r="R2278" i="1"/>
  <c r="L2278" i="1"/>
  <c r="Q2277" i="1"/>
  <c r="R2277" i="1"/>
  <c r="Q2276" i="1"/>
  <c r="R2276" i="1"/>
  <c r="Q2275" i="1"/>
  <c r="R2275" i="1"/>
  <c r="Q2274" i="1"/>
  <c r="R2274" i="1"/>
  <c r="Q2273" i="1"/>
  <c r="R2273" i="1"/>
  <c r="Q2272" i="1"/>
  <c r="R2272" i="1"/>
  <c r="Q2271" i="1"/>
  <c r="R2271" i="1"/>
  <c r="Q2270" i="1"/>
  <c r="R2270" i="1"/>
  <c r="L2270" i="1"/>
  <c r="Q2269" i="1"/>
  <c r="R2269" i="1"/>
  <c r="L2269" i="1"/>
  <c r="Q2268" i="1"/>
  <c r="R2268" i="1"/>
  <c r="L2268" i="1"/>
  <c r="Q2267" i="1"/>
  <c r="R2267" i="1"/>
  <c r="L2267" i="1"/>
  <c r="Q2266" i="1"/>
  <c r="R2266" i="1"/>
  <c r="L2266" i="1"/>
  <c r="Q2265" i="1"/>
  <c r="R2265" i="1"/>
  <c r="Q2264" i="1"/>
  <c r="R2264" i="1"/>
  <c r="Q2263" i="1"/>
  <c r="R2263" i="1"/>
  <c r="Q2262" i="1"/>
  <c r="R2262" i="1"/>
  <c r="Q2261" i="1"/>
  <c r="R2261" i="1"/>
  <c r="Q2260" i="1"/>
  <c r="R2260" i="1"/>
  <c r="Q2259" i="1"/>
  <c r="R2259" i="1"/>
  <c r="Q2258" i="1"/>
  <c r="R2258" i="1"/>
  <c r="L2258" i="1"/>
  <c r="Q2257" i="1"/>
  <c r="R2257" i="1"/>
  <c r="L2257" i="1"/>
  <c r="Q2256" i="1"/>
  <c r="R2256" i="1"/>
  <c r="L2256" i="1"/>
  <c r="Q2255" i="1"/>
  <c r="R2255" i="1"/>
  <c r="Q2254" i="1"/>
  <c r="R2254" i="1"/>
  <c r="L2254" i="1"/>
  <c r="Q2253" i="1"/>
  <c r="R2253" i="1"/>
  <c r="Q2252" i="1"/>
  <c r="R2252" i="1"/>
  <c r="Q2251" i="1"/>
  <c r="R2251" i="1"/>
  <c r="Q2250" i="1"/>
  <c r="R2250" i="1"/>
  <c r="Q2249" i="1"/>
  <c r="R2249" i="1"/>
  <c r="Q2248" i="1"/>
  <c r="R2248" i="1"/>
  <c r="Q2247" i="1"/>
  <c r="R2247" i="1"/>
  <c r="Q2246" i="1"/>
  <c r="R2246" i="1"/>
  <c r="L2246" i="1"/>
  <c r="Q2245" i="1"/>
  <c r="R2245" i="1"/>
  <c r="L2245" i="1"/>
  <c r="Q2244" i="1"/>
  <c r="R2244" i="1"/>
  <c r="L2244" i="1"/>
  <c r="Q2243" i="1"/>
  <c r="R2243" i="1"/>
  <c r="L2243" i="1"/>
  <c r="Q2242" i="1"/>
  <c r="R2242" i="1"/>
  <c r="L2242" i="1"/>
  <c r="Q2241" i="1"/>
  <c r="R2241" i="1"/>
  <c r="Q2240" i="1"/>
  <c r="R2240" i="1"/>
  <c r="Q2239" i="1"/>
  <c r="R2239" i="1"/>
  <c r="Q2238" i="1"/>
  <c r="R2238" i="1"/>
  <c r="Q2237" i="1"/>
  <c r="R2237" i="1"/>
  <c r="Q2236" i="1"/>
  <c r="R2236" i="1"/>
  <c r="Q2235" i="1"/>
  <c r="R2235" i="1"/>
  <c r="Q2234" i="1"/>
  <c r="R2234" i="1"/>
  <c r="L2234" i="1"/>
  <c r="Q2233" i="1"/>
  <c r="R2233" i="1"/>
  <c r="L2233" i="1"/>
  <c r="Q2232" i="1"/>
  <c r="R2232" i="1"/>
  <c r="L2232" i="1"/>
  <c r="Q2231" i="1"/>
  <c r="R2231" i="1"/>
  <c r="Q2230" i="1"/>
  <c r="R2230" i="1"/>
  <c r="L2230" i="1"/>
  <c r="Q2229" i="1"/>
  <c r="R2229" i="1"/>
  <c r="Q2228" i="1"/>
  <c r="R2228" i="1"/>
  <c r="Q2227" i="1"/>
  <c r="R2227" i="1"/>
  <c r="Q2226" i="1"/>
  <c r="R2226" i="1"/>
  <c r="Q2225" i="1"/>
  <c r="R2225" i="1"/>
  <c r="Q2224" i="1"/>
  <c r="R2224" i="1"/>
  <c r="Q2223" i="1"/>
  <c r="R2223" i="1"/>
  <c r="Q2222" i="1"/>
  <c r="R2222" i="1"/>
  <c r="L2222" i="1"/>
  <c r="Q2221" i="1"/>
  <c r="R2221" i="1"/>
  <c r="L2221" i="1"/>
  <c r="Q2220" i="1"/>
  <c r="R2220" i="1"/>
  <c r="L2220" i="1"/>
  <c r="Q2219" i="1"/>
  <c r="R2219" i="1"/>
  <c r="L2219" i="1"/>
  <c r="Q2218" i="1"/>
  <c r="R2218" i="1"/>
  <c r="L2218" i="1"/>
  <c r="Q2217" i="1"/>
  <c r="R2217" i="1"/>
  <c r="Q2216" i="1"/>
  <c r="R2216" i="1"/>
  <c r="Q2215" i="1"/>
  <c r="R2215" i="1"/>
  <c r="Q2214" i="1"/>
  <c r="R2214" i="1"/>
  <c r="Q2213" i="1"/>
  <c r="R2213" i="1"/>
  <c r="Q2212" i="1"/>
  <c r="R2212" i="1"/>
  <c r="Q2211" i="1"/>
  <c r="R2211" i="1"/>
  <c r="Q2210" i="1"/>
  <c r="R2210" i="1"/>
  <c r="L2210" i="1"/>
  <c r="Q2209" i="1"/>
  <c r="R2209" i="1"/>
  <c r="L2209" i="1"/>
  <c r="Q2208" i="1"/>
  <c r="R2208" i="1"/>
  <c r="L2208" i="1"/>
  <c r="Q2207" i="1"/>
  <c r="R2207" i="1"/>
  <c r="Q2206" i="1"/>
  <c r="R2206" i="1"/>
  <c r="L2206" i="1"/>
  <c r="Q2205" i="1"/>
  <c r="R2205" i="1"/>
  <c r="Q2204" i="1"/>
  <c r="R2204" i="1"/>
  <c r="Q2203" i="1"/>
  <c r="R2203" i="1"/>
  <c r="Q2202" i="1"/>
  <c r="R2202" i="1"/>
  <c r="Q2201" i="1"/>
  <c r="R2201" i="1"/>
  <c r="Q2200" i="1"/>
  <c r="R2200" i="1"/>
  <c r="Q2199" i="1"/>
  <c r="R2199" i="1"/>
  <c r="Q2198" i="1"/>
  <c r="R2198" i="1"/>
  <c r="L2198" i="1"/>
  <c r="Q2197" i="1"/>
  <c r="R2197" i="1"/>
  <c r="L2197" i="1"/>
  <c r="Q2196" i="1"/>
  <c r="R2196" i="1"/>
  <c r="L2196" i="1"/>
  <c r="Q2195" i="1"/>
  <c r="R2195" i="1"/>
  <c r="Q2194" i="1"/>
  <c r="R2194" i="1"/>
  <c r="L2194" i="1"/>
  <c r="Q2193" i="1"/>
  <c r="R2193" i="1"/>
  <c r="Q2192" i="1"/>
  <c r="R2192" i="1"/>
  <c r="Q2191" i="1"/>
  <c r="R2191" i="1"/>
  <c r="Q2190" i="1"/>
  <c r="R2190" i="1"/>
  <c r="Q2189" i="1"/>
  <c r="R2189" i="1"/>
  <c r="Q2188" i="1"/>
  <c r="R2188" i="1"/>
  <c r="Q2187" i="1"/>
  <c r="R2187" i="1"/>
  <c r="Q2186" i="1"/>
  <c r="R2186" i="1"/>
  <c r="L2186" i="1"/>
  <c r="Q2185" i="1"/>
  <c r="R2185" i="1"/>
  <c r="L2185" i="1"/>
  <c r="Q2184" i="1"/>
  <c r="R2184" i="1"/>
  <c r="L2184" i="1"/>
  <c r="Q2183" i="1"/>
  <c r="R2183" i="1"/>
  <c r="L2183" i="1"/>
  <c r="Q2182" i="1"/>
  <c r="R2182" i="1"/>
  <c r="L2182" i="1"/>
  <c r="Q2181" i="1"/>
  <c r="R2181" i="1"/>
  <c r="Q2180" i="1"/>
  <c r="R2180" i="1"/>
  <c r="Q2179" i="1"/>
  <c r="R2179" i="1"/>
  <c r="Q2178" i="1"/>
  <c r="R2178" i="1"/>
  <c r="Q2177" i="1"/>
  <c r="R2177" i="1"/>
  <c r="Q2176" i="1"/>
  <c r="R2176" i="1"/>
  <c r="Q2175" i="1"/>
  <c r="R2175" i="1"/>
  <c r="Q2174" i="1"/>
  <c r="R2174" i="1"/>
  <c r="L2174" i="1"/>
  <c r="Q2173" i="1"/>
  <c r="R2173" i="1"/>
  <c r="L2173" i="1"/>
  <c r="Q2172" i="1"/>
  <c r="R2172" i="1"/>
  <c r="L2172" i="1"/>
  <c r="Q2171" i="1"/>
  <c r="R2171" i="1"/>
  <c r="Q2170" i="1"/>
  <c r="R2170" i="1"/>
  <c r="L2170" i="1"/>
  <c r="Q2169" i="1"/>
  <c r="R2169" i="1"/>
  <c r="Q2168" i="1"/>
  <c r="R2168" i="1"/>
  <c r="Q2167" i="1"/>
  <c r="R2167" i="1"/>
  <c r="Q2166" i="1"/>
  <c r="R2166" i="1"/>
  <c r="Q2165" i="1"/>
  <c r="R2165" i="1"/>
  <c r="Q2164" i="1"/>
  <c r="R2164" i="1"/>
  <c r="Q2163" i="1"/>
  <c r="R2163" i="1"/>
  <c r="Q2162" i="1"/>
  <c r="R2162" i="1"/>
  <c r="L2162" i="1"/>
  <c r="Q2161" i="1"/>
  <c r="R2161" i="1"/>
  <c r="L2161" i="1"/>
  <c r="Q2160" i="1"/>
  <c r="R2160" i="1"/>
  <c r="L2160" i="1"/>
  <c r="Q2159" i="1"/>
  <c r="R2159" i="1"/>
  <c r="L2159" i="1"/>
  <c r="Q2158" i="1"/>
  <c r="R2158" i="1"/>
  <c r="L2158" i="1"/>
  <c r="Q2157" i="1"/>
  <c r="R2157" i="1"/>
  <c r="Q2156" i="1"/>
  <c r="R2156" i="1"/>
  <c r="Q2155" i="1"/>
  <c r="R2155" i="1"/>
  <c r="Q2154" i="1"/>
  <c r="R2154" i="1"/>
  <c r="Q2153" i="1"/>
  <c r="R2153" i="1"/>
  <c r="Q2152" i="1"/>
  <c r="R2152" i="1"/>
  <c r="Q2151" i="1"/>
  <c r="R2151" i="1"/>
  <c r="Q2150" i="1"/>
  <c r="R2150" i="1"/>
  <c r="L2150" i="1"/>
  <c r="Q2149" i="1"/>
  <c r="R2149" i="1"/>
  <c r="L2149" i="1"/>
  <c r="Q2148" i="1"/>
  <c r="R2148" i="1"/>
  <c r="L2148" i="1"/>
  <c r="Q2147" i="1"/>
  <c r="R2147" i="1"/>
  <c r="L2147" i="1"/>
  <c r="Q2146" i="1"/>
  <c r="R2146" i="1"/>
  <c r="L2146" i="1"/>
  <c r="Q2145" i="1"/>
  <c r="R2145" i="1"/>
  <c r="Q2144" i="1"/>
  <c r="R2144" i="1"/>
  <c r="Q2143" i="1"/>
  <c r="R2143" i="1"/>
  <c r="Q2142" i="1"/>
  <c r="R2142" i="1"/>
  <c r="Q2141" i="1"/>
  <c r="R2141" i="1"/>
  <c r="Q2140" i="1"/>
  <c r="R2140" i="1"/>
  <c r="Q2139" i="1"/>
  <c r="R2139" i="1"/>
  <c r="Q2138" i="1"/>
  <c r="R2138" i="1"/>
  <c r="L2138" i="1"/>
  <c r="Q2137" i="1"/>
  <c r="R2137" i="1"/>
  <c r="L2137" i="1"/>
  <c r="Q2136" i="1"/>
  <c r="R2136" i="1"/>
  <c r="L2136" i="1"/>
  <c r="Q2135" i="1"/>
  <c r="R2135" i="1"/>
  <c r="L2135" i="1"/>
  <c r="Q2134" i="1"/>
  <c r="R2134" i="1"/>
  <c r="L2134" i="1"/>
  <c r="Q2133" i="1"/>
  <c r="R2133" i="1"/>
  <c r="Q2132" i="1"/>
  <c r="R2132" i="1"/>
  <c r="Q2131" i="1"/>
  <c r="R2131" i="1"/>
  <c r="Q2130" i="1"/>
  <c r="R2130" i="1"/>
  <c r="Q2129" i="1"/>
  <c r="R2129" i="1"/>
  <c r="Q2128" i="1"/>
  <c r="R2128" i="1"/>
  <c r="Q2127" i="1"/>
  <c r="R2127" i="1"/>
  <c r="Q2126" i="1"/>
  <c r="R2126" i="1"/>
  <c r="L2126" i="1"/>
  <c r="Q2125" i="1"/>
  <c r="R2125" i="1"/>
  <c r="L2125" i="1"/>
  <c r="Q2124" i="1"/>
  <c r="R2124" i="1"/>
  <c r="L2124" i="1"/>
  <c r="Q2123" i="1"/>
  <c r="R2123" i="1"/>
  <c r="L2123" i="1"/>
  <c r="Q2122" i="1"/>
  <c r="R2122" i="1"/>
  <c r="L2122" i="1"/>
  <c r="Q2121" i="1"/>
  <c r="R2121" i="1"/>
  <c r="Q2120" i="1"/>
  <c r="R2120" i="1"/>
  <c r="Q2119" i="1"/>
  <c r="R2119" i="1"/>
  <c r="Q2118" i="1"/>
  <c r="R2118" i="1"/>
  <c r="Q2117" i="1"/>
  <c r="R2117" i="1"/>
  <c r="Q2116" i="1"/>
  <c r="R2116" i="1"/>
  <c r="Q2115" i="1"/>
  <c r="R2115" i="1"/>
  <c r="Q2114" i="1"/>
  <c r="R2114" i="1"/>
  <c r="L2114" i="1"/>
  <c r="Q2113" i="1"/>
  <c r="R2113" i="1"/>
  <c r="L2113" i="1"/>
  <c r="Q2112" i="1"/>
  <c r="R2112" i="1"/>
  <c r="L2112" i="1"/>
  <c r="Q2111" i="1"/>
  <c r="R2111" i="1"/>
  <c r="L2111" i="1"/>
  <c r="Q2110" i="1"/>
  <c r="R2110" i="1"/>
  <c r="L2110" i="1"/>
  <c r="Q2109" i="1"/>
  <c r="R2109" i="1"/>
  <c r="Q2108" i="1"/>
  <c r="R2108" i="1"/>
  <c r="Q2107" i="1"/>
  <c r="R2107" i="1"/>
  <c r="Q2106" i="1"/>
  <c r="R2106" i="1"/>
  <c r="Q2105" i="1"/>
  <c r="R2105" i="1"/>
  <c r="Q2104" i="1"/>
  <c r="R2104" i="1"/>
  <c r="Q2103" i="1"/>
  <c r="R2103" i="1"/>
  <c r="Q2102" i="1"/>
  <c r="R2102" i="1"/>
  <c r="L2102" i="1"/>
  <c r="Q2101" i="1"/>
  <c r="R2101" i="1"/>
  <c r="L2101" i="1"/>
  <c r="Q2100" i="1"/>
  <c r="R2100" i="1"/>
  <c r="L2100" i="1"/>
  <c r="Q2099" i="1"/>
  <c r="R2099" i="1"/>
  <c r="L2099" i="1"/>
  <c r="Q2098" i="1"/>
  <c r="R2098" i="1"/>
  <c r="L2098" i="1"/>
  <c r="Q2097" i="1"/>
  <c r="R2097" i="1"/>
  <c r="Q2096" i="1"/>
  <c r="R2096" i="1"/>
  <c r="Q2095" i="1"/>
  <c r="R2095" i="1"/>
  <c r="Q2094" i="1"/>
  <c r="R2094" i="1"/>
  <c r="Q2093" i="1"/>
  <c r="R2093" i="1"/>
  <c r="Q2092" i="1"/>
  <c r="R2092" i="1"/>
  <c r="Q2091" i="1"/>
  <c r="R2091" i="1"/>
  <c r="Q2090" i="1"/>
  <c r="R2090" i="1"/>
  <c r="L2090" i="1"/>
  <c r="Q2089" i="1"/>
  <c r="R2089" i="1"/>
  <c r="L2089" i="1"/>
  <c r="Q2088" i="1"/>
  <c r="R2088" i="1"/>
  <c r="L2088" i="1"/>
  <c r="Q2087" i="1"/>
  <c r="R2087" i="1"/>
  <c r="Q2086" i="1"/>
  <c r="R2086" i="1"/>
  <c r="L2086" i="1"/>
  <c r="Q2085" i="1"/>
  <c r="R2085" i="1"/>
  <c r="Q2084" i="1"/>
  <c r="R2084" i="1"/>
  <c r="Q2083" i="1"/>
  <c r="R2083" i="1"/>
  <c r="Q2082" i="1"/>
  <c r="R2082" i="1"/>
  <c r="Q2081" i="1"/>
  <c r="R2081" i="1"/>
  <c r="Q2080" i="1"/>
  <c r="R2080" i="1"/>
  <c r="Q2079" i="1"/>
  <c r="R2079" i="1"/>
  <c r="Q2078" i="1"/>
  <c r="R2078" i="1"/>
  <c r="L2078" i="1"/>
  <c r="Q2077" i="1"/>
  <c r="R2077" i="1"/>
  <c r="L2077" i="1"/>
  <c r="Q2076" i="1"/>
  <c r="R2076" i="1"/>
  <c r="L2076" i="1"/>
  <c r="Q2075" i="1"/>
  <c r="R2075" i="1"/>
  <c r="Q2074" i="1"/>
  <c r="R2074" i="1"/>
  <c r="L2074" i="1"/>
  <c r="Q2073" i="1"/>
  <c r="R2073" i="1"/>
  <c r="Q2072" i="1"/>
  <c r="R2072" i="1"/>
  <c r="Q2071" i="1"/>
  <c r="R2071" i="1"/>
  <c r="Q2070" i="1"/>
  <c r="R2070" i="1"/>
  <c r="Q2069" i="1"/>
  <c r="R2069" i="1"/>
  <c r="Q2068" i="1"/>
  <c r="R2068" i="1"/>
  <c r="Q2067" i="1"/>
  <c r="R2067" i="1"/>
  <c r="Q2066" i="1"/>
  <c r="R2066" i="1"/>
  <c r="L2066" i="1"/>
  <c r="Q2065" i="1"/>
  <c r="R2065" i="1"/>
  <c r="L2065" i="1"/>
  <c r="Q2064" i="1"/>
  <c r="R2064" i="1"/>
  <c r="L2064" i="1"/>
  <c r="Q2063" i="1"/>
  <c r="R2063" i="1"/>
  <c r="Q2062" i="1"/>
  <c r="R2062" i="1"/>
  <c r="L2062" i="1"/>
  <c r="Q1945" i="1"/>
  <c r="R1945" i="1"/>
  <c r="Q1944" i="1"/>
  <c r="R1944" i="1"/>
  <c r="Q1943" i="1"/>
  <c r="R1943" i="1"/>
  <c r="Q1942" i="1"/>
  <c r="R1942" i="1"/>
  <c r="Q1941" i="1"/>
  <c r="R1941" i="1"/>
  <c r="Q1940" i="1"/>
  <c r="R1940" i="1"/>
  <c r="Q1939" i="1"/>
  <c r="R1939" i="1"/>
  <c r="Q1938" i="1"/>
  <c r="R1938" i="1"/>
  <c r="L1938" i="1"/>
  <c r="Q1937" i="1"/>
  <c r="R1937" i="1"/>
  <c r="L1937" i="1"/>
  <c r="Q1936" i="1"/>
  <c r="R1936" i="1"/>
  <c r="L1936" i="1"/>
  <c r="Q1935" i="1"/>
  <c r="R1935" i="1"/>
  <c r="L1935" i="1"/>
  <c r="Q1934" i="1"/>
  <c r="R1934" i="1"/>
  <c r="L1934" i="1"/>
  <c r="Q1933" i="1"/>
  <c r="R1933" i="1"/>
  <c r="Q1932" i="1"/>
  <c r="R1932" i="1"/>
  <c r="Q1931" i="1"/>
  <c r="R1931" i="1"/>
  <c r="Q1930" i="1"/>
  <c r="R1930" i="1"/>
  <c r="Q1929" i="1"/>
  <c r="R1929" i="1"/>
  <c r="Q1928" i="1"/>
  <c r="R1928" i="1"/>
  <c r="Q1927" i="1"/>
  <c r="R1927" i="1"/>
  <c r="Q1926" i="1"/>
  <c r="R1926" i="1"/>
  <c r="L1926" i="1"/>
  <c r="Q1925" i="1"/>
  <c r="R1925" i="1"/>
  <c r="L1925" i="1"/>
  <c r="Q1924" i="1"/>
  <c r="R1924" i="1"/>
  <c r="L1924" i="1"/>
  <c r="Q1923" i="1"/>
  <c r="R1923" i="1"/>
  <c r="L1923" i="1"/>
  <c r="Q1922" i="1"/>
  <c r="R1922" i="1"/>
  <c r="L1922" i="1"/>
  <c r="Q1921" i="1"/>
  <c r="R1921" i="1"/>
  <c r="Q1920" i="1"/>
  <c r="R1920" i="1"/>
  <c r="Q1919" i="1"/>
  <c r="R1919" i="1"/>
  <c r="Q1918" i="1"/>
  <c r="R1918" i="1"/>
  <c r="Q1917" i="1"/>
  <c r="R1917" i="1"/>
  <c r="Q1916" i="1"/>
  <c r="R1916" i="1"/>
  <c r="Q1915" i="1"/>
  <c r="R1915" i="1"/>
  <c r="Q1914" i="1"/>
  <c r="R1914" i="1"/>
  <c r="L1914" i="1"/>
  <c r="Q1913" i="1"/>
  <c r="R1913" i="1"/>
  <c r="L1913" i="1"/>
  <c r="Q1912" i="1"/>
  <c r="R1912" i="1"/>
  <c r="L1912" i="1"/>
  <c r="Q1911" i="1"/>
  <c r="R1911" i="1"/>
  <c r="Q1910" i="1"/>
  <c r="R1910" i="1"/>
  <c r="L1910" i="1"/>
  <c r="Q1909" i="1"/>
  <c r="R1909" i="1"/>
  <c r="Q1908" i="1"/>
  <c r="R1908" i="1"/>
  <c r="Q1907" i="1"/>
  <c r="R1907" i="1"/>
  <c r="Q1906" i="1"/>
  <c r="R1906" i="1"/>
  <c r="Q1905" i="1"/>
  <c r="R1905" i="1"/>
  <c r="Q1904" i="1"/>
  <c r="R1904" i="1"/>
  <c r="Q1903" i="1"/>
  <c r="R1903" i="1"/>
  <c r="Q1902" i="1"/>
  <c r="R1902" i="1"/>
  <c r="L1902" i="1"/>
  <c r="Q1901" i="1"/>
  <c r="R1901" i="1"/>
  <c r="L1901" i="1"/>
  <c r="Q1900" i="1"/>
  <c r="R1900" i="1"/>
  <c r="L1900" i="1"/>
  <c r="Q1899" i="1"/>
  <c r="R1899" i="1"/>
  <c r="Q1898" i="1"/>
  <c r="R1898" i="1"/>
  <c r="L1898" i="1"/>
  <c r="Q1897" i="1"/>
  <c r="R1897" i="1"/>
  <c r="Q1896" i="1"/>
  <c r="R1896" i="1"/>
  <c r="Q1895" i="1"/>
  <c r="R1895" i="1"/>
  <c r="Q1894" i="1"/>
  <c r="R1894" i="1"/>
  <c r="Q1893" i="1"/>
  <c r="R1893" i="1"/>
  <c r="Q1892" i="1"/>
  <c r="R1892" i="1"/>
  <c r="Q1891" i="1"/>
  <c r="R1891" i="1"/>
  <c r="Q1890" i="1"/>
  <c r="R1890" i="1"/>
  <c r="L1890" i="1"/>
  <c r="Q1889" i="1"/>
  <c r="R1889" i="1"/>
  <c r="L1889" i="1"/>
  <c r="Q1888" i="1"/>
  <c r="R1888" i="1"/>
  <c r="L1888" i="1"/>
  <c r="Q1887" i="1"/>
  <c r="R1887" i="1"/>
  <c r="L1887" i="1"/>
  <c r="Q1886" i="1"/>
  <c r="R1886" i="1"/>
  <c r="L1886" i="1"/>
  <c r="Q1885" i="1"/>
  <c r="R1885" i="1"/>
  <c r="Q1884" i="1"/>
  <c r="R1884" i="1"/>
  <c r="Q1883" i="1"/>
  <c r="R1883" i="1"/>
  <c r="Q1882" i="1"/>
  <c r="R1882" i="1"/>
  <c r="Q1881" i="1"/>
  <c r="R1881" i="1"/>
  <c r="Q1880" i="1"/>
  <c r="R1880" i="1"/>
  <c r="Q1879" i="1"/>
  <c r="R1879" i="1"/>
  <c r="Q1878" i="1"/>
  <c r="R1878" i="1"/>
  <c r="L1878" i="1"/>
  <c r="Q1877" i="1"/>
  <c r="R1877" i="1"/>
  <c r="L1877" i="1"/>
  <c r="Q1876" i="1"/>
  <c r="R1876" i="1"/>
  <c r="L1876" i="1"/>
  <c r="Q1875" i="1"/>
  <c r="R1875" i="1"/>
  <c r="L1875" i="1"/>
  <c r="Q1874" i="1"/>
  <c r="R1874" i="1"/>
  <c r="L1874" i="1"/>
  <c r="Q1873" i="1"/>
  <c r="R1873" i="1"/>
  <c r="Q1872" i="1"/>
  <c r="R1872" i="1"/>
  <c r="Q1871" i="1"/>
  <c r="R1871" i="1"/>
  <c r="Q1870" i="1"/>
  <c r="R1870" i="1"/>
  <c r="Q1869" i="1"/>
  <c r="R1869" i="1"/>
  <c r="Q1868" i="1"/>
  <c r="R1868" i="1"/>
  <c r="Q1867" i="1"/>
  <c r="R1867" i="1"/>
  <c r="Q1866" i="1"/>
  <c r="R1866" i="1"/>
  <c r="L1866" i="1"/>
  <c r="Q1865" i="1"/>
  <c r="R1865" i="1"/>
  <c r="L1865" i="1"/>
  <c r="Q1864" i="1"/>
  <c r="R1864" i="1"/>
  <c r="L1864" i="1"/>
  <c r="Q1863" i="1"/>
  <c r="R1863" i="1"/>
  <c r="Q1862" i="1"/>
  <c r="R1862" i="1"/>
  <c r="L1862" i="1"/>
  <c r="Q1861" i="1"/>
  <c r="R1861" i="1"/>
  <c r="Q1860" i="1"/>
  <c r="R1860" i="1"/>
  <c r="Q1859" i="1"/>
  <c r="R1859" i="1"/>
  <c r="Q1858" i="1"/>
  <c r="R1858" i="1"/>
  <c r="Q1857" i="1"/>
  <c r="R1857" i="1"/>
  <c r="Q1856" i="1"/>
  <c r="R1856" i="1"/>
  <c r="Q1855" i="1"/>
  <c r="R1855" i="1"/>
  <c r="Q1854" i="1"/>
  <c r="R1854" i="1"/>
  <c r="L1854" i="1"/>
  <c r="Q1853" i="1"/>
  <c r="R1853" i="1"/>
  <c r="L1853" i="1"/>
  <c r="Q1852" i="1"/>
  <c r="R1852" i="1"/>
  <c r="L1852" i="1"/>
  <c r="Q1851" i="1"/>
  <c r="R1851" i="1"/>
  <c r="Q1850" i="1"/>
  <c r="R1850" i="1"/>
  <c r="L1850" i="1"/>
  <c r="Q1849" i="1"/>
  <c r="R1849" i="1"/>
  <c r="Q1848" i="1"/>
  <c r="R1848" i="1"/>
  <c r="Q1847" i="1"/>
  <c r="R1847" i="1"/>
  <c r="Q1846" i="1"/>
  <c r="R1846" i="1"/>
  <c r="Q1845" i="1"/>
  <c r="R1845" i="1"/>
  <c r="Q1844" i="1"/>
  <c r="R1844" i="1"/>
  <c r="Q1843" i="1"/>
  <c r="R1843" i="1"/>
  <c r="Q1842" i="1"/>
  <c r="R1842" i="1"/>
  <c r="L1842" i="1"/>
  <c r="Q1841" i="1"/>
  <c r="R1841" i="1"/>
  <c r="L1841" i="1"/>
  <c r="Q1840" i="1"/>
  <c r="R1840" i="1"/>
  <c r="L1840" i="1"/>
  <c r="Q1839" i="1"/>
  <c r="R1839" i="1"/>
  <c r="Q1838" i="1"/>
  <c r="R1838" i="1"/>
  <c r="L1838" i="1"/>
  <c r="Q1837" i="1"/>
  <c r="R1837" i="1"/>
  <c r="Q1836" i="1"/>
  <c r="R1836" i="1"/>
  <c r="Q1835" i="1"/>
  <c r="R1835" i="1"/>
  <c r="Q1834" i="1"/>
  <c r="R1834" i="1"/>
  <c r="Q1833" i="1"/>
  <c r="R1833" i="1"/>
  <c r="Q1832" i="1"/>
  <c r="R1832" i="1"/>
  <c r="Q1831" i="1"/>
  <c r="R1831" i="1"/>
  <c r="Q1830" i="1"/>
  <c r="R1830" i="1"/>
  <c r="L1830" i="1"/>
  <c r="Q1829" i="1"/>
  <c r="R1829" i="1"/>
  <c r="L1829" i="1"/>
  <c r="Q1828" i="1"/>
  <c r="R1828" i="1"/>
  <c r="L1828" i="1"/>
  <c r="Q1827" i="1"/>
  <c r="R1827" i="1"/>
  <c r="Q1826" i="1"/>
  <c r="R1826" i="1"/>
  <c r="L1826" i="1"/>
  <c r="Q1825" i="1"/>
  <c r="R1825" i="1"/>
  <c r="Q1824" i="1"/>
  <c r="R1824" i="1"/>
  <c r="Q1823" i="1"/>
  <c r="R1823" i="1"/>
  <c r="Q1822" i="1"/>
  <c r="R1822" i="1"/>
  <c r="Q1821" i="1"/>
  <c r="R1821" i="1"/>
  <c r="Q1820" i="1"/>
  <c r="R1820" i="1"/>
  <c r="Q1819" i="1"/>
  <c r="R1819" i="1"/>
  <c r="Q1818" i="1"/>
  <c r="R1818" i="1"/>
  <c r="L1818" i="1"/>
  <c r="Q1817" i="1"/>
  <c r="R1817" i="1"/>
  <c r="L1817" i="1"/>
  <c r="Q1816" i="1"/>
  <c r="R1816" i="1"/>
  <c r="L1816" i="1"/>
  <c r="Q1815" i="1"/>
  <c r="R1815" i="1"/>
  <c r="Q1814" i="1"/>
  <c r="R1814" i="1"/>
  <c r="L1814" i="1"/>
  <c r="Q1813" i="1"/>
  <c r="R1813" i="1"/>
  <c r="Q1812" i="1"/>
  <c r="R1812" i="1"/>
  <c r="Q1811" i="1"/>
  <c r="R1811" i="1"/>
  <c r="Q1810" i="1"/>
  <c r="R1810" i="1"/>
  <c r="Q1809" i="1"/>
  <c r="R1809" i="1"/>
  <c r="Q1808" i="1"/>
  <c r="R1808" i="1"/>
  <c r="Q1807" i="1"/>
  <c r="R1807" i="1"/>
  <c r="Q1806" i="1"/>
  <c r="R1806" i="1"/>
  <c r="L1806" i="1"/>
  <c r="Q1805" i="1"/>
  <c r="R1805" i="1"/>
  <c r="L1805" i="1"/>
  <c r="Q1804" i="1"/>
  <c r="R1804" i="1"/>
  <c r="L1804" i="1"/>
  <c r="Q1803" i="1"/>
  <c r="R1803" i="1"/>
  <c r="L1803" i="1"/>
  <c r="Q1802" i="1"/>
  <c r="R1802" i="1"/>
  <c r="L1802" i="1"/>
  <c r="Q1801" i="1"/>
  <c r="R1801" i="1"/>
  <c r="Q1800" i="1"/>
  <c r="R1800" i="1"/>
  <c r="Q1799" i="1"/>
  <c r="R1799" i="1"/>
  <c r="Q1798" i="1"/>
  <c r="R1798" i="1"/>
  <c r="Q1797" i="1"/>
  <c r="R1797" i="1"/>
  <c r="Q1796" i="1"/>
  <c r="R1796" i="1"/>
  <c r="Q1795" i="1"/>
  <c r="R1795" i="1"/>
  <c r="Q1794" i="1"/>
  <c r="R1794" i="1"/>
  <c r="L1794" i="1"/>
  <c r="Q1793" i="1"/>
  <c r="R1793" i="1"/>
  <c r="L1793" i="1"/>
  <c r="Q1792" i="1"/>
  <c r="R1792" i="1"/>
  <c r="L1792" i="1"/>
  <c r="Q1791" i="1"/>
  <c r="R1791" i="1"/>
  <c r="L1791" i="1"/>
  <c r="Q1790" i="1"/>
  <c r="R1790" i="1"/>
  <c r="L1790" i="1"/>
  <c r="Q1789" i="1"/>
  <c r="R1789" i="1"/>
  <c r="Q1788" i="1"/>
  <c r="R1788" i="1"/>
  <c r="Q1787" i="1"/>
  <c r="R1787" i="1"/>
  <c r="Q1786" i="1"/>
  <c r="R1786" i="1"/>
  <c r="Q1785" i="1"/>
  <c r="R1785" i="1"/>
  <c r="Q1784" i="1"/>
  <c r="R1784" i="1"/>
  <c r="Q1783" i="1"/>
  <c r="R1783" i="1"/>
  <c r="Q1782" i="1"/>
  <c r="R1782" i="1"/>
  <c r="L1782" i="1"/>
  <c r="Q1781" i="1"/>
  <c r="R1781" i="1"/>
  <c r="L1781" i="1"/>
  <c r="Q1780" i="1"/>
  <c r="R1780" i="1"/>
  <c r="L1780" i="1"/>
  <c r="Q1779" i="1"/>
  <c r="R1779" i="1"/>
  <c r="Q1778" i="1"/>
  <c r="R1778" i="1"/>
  <c r="L1778" i="1"/>
  <c r="Q1777" i="1"/>
  <c r="R1777" i="1"/>
  <c r="Q1776" i="1"/>
  <c r="R1776" i="1"/>
  <c r="Q1775" i="1"/>
  <c r="R1775" i="1"/>
  <c r="Q1774" i="1"/>
  <c r="R1774" i="1"/>
  <c r="Q1773" i="1"/>
  <c r="R1773" i="1"/>
  <c r="Q1772" i="1"/>
  <c r="R1772" i="1"/>
  <c r="Q1771" i="1"/>
  <c r="R1771" i="1"/>
  <c r="Q1770" i="1"/>
  <c r="R1770" i="1"/>
  <c r="L1770" i="1"/>
  <c r="Q1769" i="1"/>
  <c r="R1769" i="1"/>
  <c r="L1769" i="1"/>
  <c r="Q1768" i="1"/>
  <c r="R1768" i="1"/>
  <c r="L1768" i="1"/>
  <c r="Q1767" i="1"/>
  <c r="R1767" i="1"/>
  <c r="Q1766" i="1"/>
  <c r="R1766" i="1"/>
  <c r="L1766" i="1"/>
  <c r="Q1765" i="1"/>
  <c r="R1765" i="1"/>
  <c r="Q1764" i="1"/>
  <c r="R1764" i="1"/>
  <c r="Q1763" i="1"/>
  <c r="R1763" i="1"/>
  <c r="Q1762" i="1"/>
  <c r="R1762" i="1"/>
  <c r="Q1761" i="1"/>
  <c r="R1761" i="1"/>
  <c r="Q1760" i="1"/>
  <c r="R1760" i="1"/>
  <c r="Q1759" i="1"/>
  <c r="R1759" i="1"/>
  <c r="Q1758" i="1"/>
  <c r="R1758" i="1"/>
  <c r="L1758" i="1"/>
  <c r="Q1757" i="1"/>
  <c r="R1757" i="1"/>
  <c r="L1757" i="1"/>
  <c r="Q1756" i="1"/>
  <c r="R1756" i="1"/>
  <c r="L1756" i="1"/>
  <c r="Q1755" i="1"/>
  <c r="R1755" i="1"/>
  <c r="L1755" i="1"/>
  <c r="Q1754" i="1"/>
  <c r="R1754" i="1"/>
  <c r="L1754" i="1"/>
  <c r="Q1753" i="1"/>
  <c r="R1753" i="1"/>
  <c r="Q1752" i="1"/>
  <c r="R1752" i="1"/>
  <c r="Q1751" i="1"/>
  <c r="R1751" i="1"/>
  <c r="Q1750" i="1"/>
  <c r="R1750" i="1"/>
  <c r="Q1749" i="1"/>
  <c r="R1749" i="1"/>
  <c r="Q1748" i="1"/>
  <c r="R1748" i="1"/>
  <c r="Q1747" i="1"/>
  <c r="R1747" i="1"/>
  <c r="Q1746" i="1"/>
  <c r="R1746" i="1"/>
  <c r="L1746" i="1"/>
  <c r="Q1745" i="1"/>
  <c r="R1745" i="1"/>
  <c r="L1745" i="1"/>
  <c r="Q1744" i="1"/>
  <c r="R1744" i="1"/>
  <c r="L1744" i="1"/>
  <c r="Q1743" i="1"/>
  <c r="R1743" i="1"/>
  <c r="Q1742" i="1"/>
  <c r="R1742" i="1"/>
  <c r="L1742" i="1"/>
  <c r="Q1741" i="1"/>
  <c r="R1741" i="1"/>
  <c r="Q1740" i="1"/>
  <c r="R1740" i="1"/>
  <c r="Q1739" i="1"/>
  <c r="R1739" i="1"/>
  <c r="Q1738" i="1"/>
  <c r="R1738" i="1"/>
  <c r="Q1737" i="1"/>
  <c r="R1737" i="1"/>
  <c r="Q1736" i="1"/>
  <c r="R1736" i="1"/>
  <c r="Q1735" i="1"/>
  <c r="R1735" i="1"/>
  <c r="Q1734" i="1"/>
  <c r="R1734" i="1"/>
  <c r="L1734" i="1"/>
  <c r="Q1733" i="1"/>
  <c r="R1733" i="1"/>
  <c r="L1733" i="1"/>
  <c r="Q1732" i="1"/>
  <c r="R1732" i="1"/>
  <c r="L1732" i="1"/>
  <c r="Q1731" i="1"/>
  <c r="R1731" i="1"/>
  <c r="L1731" i="1"/>
  <c r="Q1730" i="1"/>
  <c r="R1730" i="1"/>
  <c r="L1730" i="1"/>
  <c r="Q1729" i="1"/>
  <c r="R1729" i="1"/>
  <c r="Q1728" i="1"/>
  <c r="R1728" i="1"/>
  <c r="Q1727" i="1"/>
  <c r="R1727" i="1"/>
  <c r="Q1726" i="1"/>
  <c r="R1726" i="1"/>
  <c r="Q1725" i="1"/>
  <c r="R1725" i="1"/>
  <c r="Q1724" i="1"/>
  <c r="R1724" i="1"/>
  <c r="Q1723" i="1"/>
  <c r="R1723" i="1"/>
  <c r="Q1722" i="1"/>
  <c r="R1722" i="1"/>
  <c r="L1722" i="1"/>
  <c r="Q1721" i="1"/>
  <c r="R1721" i="1"/>
  <c r="L1721" i="1"/>
  <c r="Q1720" i="1"/>
  <c r="R1720" i="1"/>
  <c r="L1720" i="1"/>
  <c r="Q1719" i="1"/>
  <c r="R1719" i="1"/>
  <c r="Q1718" i="1"/>
  <c r="R1718" i="1"/>
  <c r="L1718" i="1"/>
  <c r="Q1717" i="1"/>
  <c r="R1717" i="1"/>
  <c r="Q1716" i="1"/>
  <c r="R1716" i="1"/>
  <c r="Q1715" i="1"/>
  <c r="R1715" i="1"/>
  <c r="Q1714" i="1"/>
  <c r="R1714" i="1"/>
  <c r="Q1713" i="1"/>
  <c r="R1713" i="1"/>
  <c r="Q1712" i="1"/>
  <c r="R1712" i="1"/>
  <c r="Q1711" i="1"/>
  <c r="R1711" i="1"/>
  <c r="Q1710" i="1"/>
  <c r="R1710" i="1"/>
  <c r="L1710" i="1"/>
  <c r="Q1709" i="1"/>
  <c r="R1709" i="1"/>
  <c r="L1709" i="1"/>
  <c r="Q1708" i="1"/>
  <c r="R1708" i="1"/>
  <c r="L1708" i="1"/>
  <c r="Q1707" i="1"/>
  <c r="R1707" i="1"/>
  <c r="L1707" i="1"/>
  <c r="Q1706" i="1"/>
  <c r="R1706" i="1"/>
  <c r="L1706" i="1"/>
  <c r="Q1705" i="1"/>
  <c r="R1705" i="1"/>
  <c r="Q1704" i="1"/>
  <c r="R1704" i="1"/>
  <c r="Q1703" i="1"/>
  <c r="R1703" i="1"/>
  <c r="Q1702" i="1"/>
  <c r="R1702" i="1"/>
  <c r="Q1701" i="1"/>
  <c r="R1701" i="1"/>
  <c r="Q1700" i="1"/>
  <c r="R1700" i="1"/>
  <c r="Q1699" i="1"/>
  <c r="R1699" i="1"/>
  <c r="Q1698" i="1"/>
  <c r="R1698" i="1"/>
  <c r="L1698" i="1"/>
  <c r="Q1697" i="1"/>
  <c r="R1697" i="1"/>
  <c r="L1697" i="1"/>
  <c r="Q1696" i="1"/>
  <c r="R1696" i="1"/>
  <c r="L1696" i="1"/>
  <c r="Q1695" i="1"/>
  <c r="R1695" i="1"/>
  <c r="L1695" i="1"/>
  <c r="Q1694" i="1"/>
  <c r="R1694" i="1"/>
  <c r="L1694" i="1"/>
  <c r="Q1693" i="1"/>
  <c r="R1693" i="1"/>
  <c r="Q1692" i="1"/>
  <c r="R1692" i="1"/>
  <c r="Q1691" i="1"/>
  <c r="R1691" i="1"/>
  <c r="Q1690" i="1"/>
  <c r="R1690" i="1"/>
  <c r="Q1689" i="1"/>
  <c r="R1689" i="1"/>
  <c r="Q1688" i="1"/>
  <c r="R1688" i="1"/>
  <c r="Q1687" i="1"/>
  <c r="R1687" i="1"/>
  <c r="Q1686" i="1"/>
  <c r="R1686" i="1"/>
  <c r="L1686" i="1"/>
  <c r="Q1685" i="1"/>
  <c r="R1685" i="1"/>
  <c r="L1685" i="1"/>
  <c r="Q1684" i="1"/>
  <c r="R1684" i="1"/>
  <c r="L1684" i="1"/>
  <c r="Q1683" i="1"/>
  <c r="R1683" i="1"/>
  <c r="L1683" i="1"/>
  <c r="Q1682" i="1"/>
  <c r="R1682" i="1"/>
  <c r="L1682" i="1"/>
  <c r="Q1681" i="1"/>
  <c r="R1681" i="1"/>
  <c r="Q1680" i="1"/>
  <c r="R1680" i="1"/>
  <c r="Q1679" i="1"/>
  <c r="R1679" i="1"/>
  <c r="Q1678" i="1"/>
  <c r="R1678" i="1"/>
  <c r="Q1677" i="1"/>
  <c r="R1677" i="1"/>
  <c r="Q1676" i="1"/>
  <c r="R1676" i="1"/>
  <c r="Q1675" i="1"/>
  <c r="R1675" i="1"/>
  <c r="Q1674" i="1"/>
  <c r="R1674" i="1"/>
  <c r="L1674" i="1"/>
  <c r="Q1673" i="1"/>
  <c r="R1673" i="1"/>
  <c r="L1673" i="1"/>
  <c r="Q1672" i="1"/>
  <c r="R1672" i="1"/>
  <c r="L1672" i="1"/>
  <c r="Q1671" i="1"/>
  <c r="R1671" i="1"/>
  <c r="L1671" i="1"/>
  <c r="Q1670" i="1"/>
  <c r="R1670" i="1"/>
  <c r="L1670" i="1"/>
  <c r="Q1669" i="1"/>
  <c r="R1669" i="1"/>
  <c r="Q1668" i="1"/>
  <c r="R1668" i="1"/>
  <c r="Q1667" i="1"/>
  <c r="R1667" i="1"/>
  <c r="Q1666" i="1"/>
  <c r="R1666" i="1"/>
  <c r="Q1665" i="1"/>
  <c r="R1665" i="1"/>
  <c r="Q1664" i="1"/>
  <c r="R1664" i="1"/>
  <c r="Q1663" i="1"/>
  <c r="R1663" i="1"/>
  <c r="Q1662" i="1"/>
  <c r="R1662" i="1"/>
  <c r="L1662" i="1"/>
  <c r="Q1661" i="1"/>
  <c r="R1661" i="1"/>
  <c r="L1661" i="1"/>
  <c r="Q1660" i="1"/>
  <c r="R1660" i="1"/>
  <c r="L1660" i="1"/>
  <c r="Q1659" i="1"/>
  <c r="R1659" i="1"/>
  <c r="L1659" i="1"/>
  <c r="Q1658" i="1"/>
  <c r="R1658" i="1"/>
  <c r="L1658" i="1"/>
  <c r="Q1657" i="1"/>
  <c r="R1657" i="1"/>
  <c r="Q1656" i="1"/>
  <c r="R1656" i="1"/>
  <c r="Q1655" i="1"/>
  <c r="R1655" i="1"/>
  <c r="Q1654" i="1"/>
  <c r="R1654" i="1"/>
  <c r="Q1653" i="1"/>
  <c r="R1653" i="1"/>
  <c r="Q1652" i="1"/>
  <c r="R1652" i="1"/>
  <c r="Q1651" i="1"/>
  <c r="R1651" i="1"/>
  <c r="Q1650" i="1"/>
  <c r="R1650" i="1"/>
  <c r="L1650" i="1"/>
  <c r="Q1649" i="1"/>
  <c r="R1649" i="1"/>
  <c r="L1649" i="1"/>
  <c r="Q1648" i="1"/>
  <c r="R1648" i="1"/>
  <c r="L1648" i="1"/>
  <c r="Q1647" i="1"/>
  <c r="R1647" i="1"/>
  <c r="L1647" i="1"/>
  <c r="Q1646" i="1"/>
  <c r="R1646" i="1"/>
  <c r="L1646" i="1"/>
  <c r="Q1645" i="1"/>
  <c r="R1645" i="1"/>
  <c r="Q1644" i="1"/>
  <c r="R1644" i="1"/>
  <c r="Q1643" i="1"/>
  <c r="R1643" i="1"/>
  <c r="Q1642" i="1"/>
  <c r="R1642" i="1"/>
  <c r="Q1641" i="1"/>
  <c r="R1641" i="1"/>
  <c r="Q1640" i="1"/>
  <c r="R1640" i="1"/>
  <c r="Q1639" i="1"/>
  <c r="R1639" i="1"/>
  <c r="Q1638" i="1"/>
  <c r="R1638" i="1"/>
  <c r="L1638" i="1"/>
  <c r="Q1637" i="1"/>
  <c r="R1637" i="1"/>
  <c r="L1637" i="1"/>
  <c r="Q1636" i="1"/>
  <c r="R1636" i="1"/>
  <c r="L1636" i="1"/>
  <c r="Q1635" i="1"/>
  <c r="R1635" i="1"/>
  <c r="Q1634" i="1"/>
  <c r="R1634" i="1"/>
  <c r="L1634" i="1"/>
  <c r="Q1633" i="1"/>
  <c r="R1633" i="1"/>
  <c r="Q1632" i="1"/>
  <c r="R1632" i="1"/>
  <c r="Q1631" i="1"/>
  <c r="R1631" i="1"/>
  <c r="Q1630" i="1"/>
  <c r="R1630" i="1"/>
  <c r="Q1629" i="1"/>
  <c r="R1629" i="1"/>
  <c r="Q1628" i="1"/>
  <c r="R1628" i="1"/>
  <c r="Q1627" i="1"/>
  <c r="R1627" i="1"/>
  <c r="Q1626" i="1"/>
  <c r="R1626" i="1"/>
  <c r="L1626" i="1"/>
  <c r="Q1625" i="1"/>
  <c r="R1625" i="1"/>
  <c r="L1625" i="1"/>
  <c r="Q1624" i="1"/>
  <c r="R1624" i="1"/>
  <c r="L1624" i="1"/>
  <c r="Q1623" i="1"/>
  <c r="R1623" i="1"/>
  <c r="L1623" i="1"/>
  <c r="Q1622" i="1"/>
  <c r="R1622" i="1"/>
  <c r="L1622" i="1"/>
  <c r="Q1621" i="1"/>
  <c r="R1621" i="1"/>
  <c r="Q1620" i="1"/>
  <c r="R1620" i="1"/>
  <c r="Q1619" i="1"/>
  <c r="R1619" i="1"/>
  <c r="Q1618" i="1"/>
  <c r="R1618" i="1"/>
  <c r="Q1617" i="1"/>
  <c r="R1617" i="1"/>
  <c r="Q1616" i="1"/>
  <c r="R1616" i="1"/>
  <c r="Q1615" i="1"/>
  <c r="R1615" i="1"/>
  <c r="Q1614" i="1"/>
  <c r="R1614" i="1"/>
  <c r="L1614" i="1"/>
  <c r="Q1613" i="1"/>
  <c r="R1613" i="1"/>
  <c r="L1613" i="1"/>
  <c r="Q1612" i="1"/>
  <c r="R1612" i="1"/>
  <c r="L1612" i="1"/>
  <c r="Q1611" i="1"/>
  <c r="R1611" i="1"/>
  <c r="L1611" i="1"/>
  <c r="Q1610" i="1"/>
  <c r="R1610" i="1"/>
  <c r="L1610" i="1"/>
  <c r="Q1609" i="1"/>
  <c r="R1609" i="1"/>
  <c r="Q1608" i="1"/>
  <c r="R1608" i="1"/>
  <c r="L1608" i="1"/>
  <c r="Q1607" i="1"/>
  <c r="R1607" i="1"/>
  <c r="Q1606" i="1"/>
  <c r="R1606" i="1"/>
  <c r="Q1605" i="1"/>
  <c r="R1605" i="1"/>
  <c r="Q1604" i="1"/>
  <c r="R1604" i="1"/>
  <c r="Q1603" i="1"/>
  <c r="R1603" i="1"/>
  <c r="Q1602" i="1"/>
  <c r="R1602" i="1"/>
  <c r="L1602" i="1"/>
  <c r="Q1601" i="1"/>
  <c r="R1601" i="1"/>
  <c r="L1601" i="1"/>
  <c r="Q1600" i="1"/>
  <c r="R1600" i="1"/>
  <c r="L1600" i="1"/>
  <c r="Q1599" i="1"/>
  <c r="R1599" i="1"/>
  <c r="L1599" i="1"/>
  <c r="Q1598" i="1"/>
  <c r="R1598" i="1"/>
  <c r="L1598" i="1"/>
  <c r="Q1597" i="1"/>
  <c r="R1597" i="1"/>
  <c r="Q1596" i="1"/>
  <c r="R1596" i="1"/>
  <c r="Q1595" i="1"/>
  <c r="R1595" i="1"/>
  <c r="Q1594" i="1"/>
  <c r="R1594" i="1"/>
  <c r="Q1593" i="1"/>
  <c r="R1593" i="1"/>
  <c r="Q1592" i="1"/>
  <c r="R1592" i="1"/>
  <c r="Q1591" i="1"/>
  <c r="R1591" i="1"/>
  <c r="Q1590" i="1"/>
  <c r="R1590" i="1"/>
  <c r="L1590" i="1"/>
  <c r="Q1589" i="1"/>
  <c r="R1589" i="1"/>
  <c r="L1589" i="1"/>
  <c r="Q1588" i="1"/>
  <c r="R1588" i="1"/>
  <c r="L1588" i="1"/>
  <c r="Q1587" i="1"/>
  <c r="R1587" i="1"/>
  <c r="L1587" i="1"/>
  <c r="Q1586" i="1"/>
  <c r="R1586" i="1"/>
  <c r="L1586" i="1"/>
  <c r="Q1585" i="1"/>
  <c r="R1585" i="1"/>
  <c r="Q1584" i="1"/>
  <c r="R1584" i="1"/>
  <c r="Q1583" i="1"/>
  <c r="R1583" i="1"/>
  <c r="Q1582" i="1"/>
  <c r="R1582" i="1"/>
  <c r="Q1581" i="1"/>
  <c r="R1581" i="1"/>
  <c r="Q1580" i="1"/>
  <c r="R1580" i="1"/>
  <c r="Q1579" i="1"/>
  <c r="R1579" i="1"/>
  <c r="Q1578" i="1"/>
  <c r="R1578" i="1"/>
  <c r="L1578" i="1"/>
  <c r="Q1577" i="1"/>
  <c r="R1577" i="1"/>
  <c r="L1577" i="1"/>
  <c r="Q1576" i="1"/>
  <c r="R1576" i="1"/>
  <c r="L1576" i="1"/>
  <c r="Q1575" i="1"/>
  <c r="R1575" i="1"/>
  <c r="L1575" i="1"/>
  <c r="Q1574" i="1"/>
  <c r="R1574" i="1"/>
  <c r="L1574" i="1"/>
  <c r="Q1573" i="1"/>
  <c r="R1573" i="1"/>
  <c r="Q1572" i="1"/>
  <c r="R1572" i="1"/>
  <c r="Q1571" i="1"/>
  <c r="R1571" i="1"/>
  <c r="Q1570" i="1"/>
  <c r="R1570" i="1"/>
  <c r="Q1569" i="1"/>
  <c r="R1569" i="1"/>
  <c r="Q1568" i="1"/>
  <c r="R1568" i="1"/>
  <c r="Q1567" i="1"/>
  <c r="R1567" i="1"/>
  <c r="Q1566" i="1"/>
  <c r="R1566" i="1"/>
  <c r="L1566" i="1"/>
  <c r="Q1565" i="1"/>
  <c r="R1565" i="1"/>
  <c r="L1565" i="1"/>
  <c r="Q1564" i="1"/>
  <c r="R1564" i="1"/>
  <c r="L1564" i="1"/>
  <c r="Q1563" i="1"/>
  <c r="R1563" i="1"/>
  <c r="L1563" i="1"/>
  <c r="Q1562" i="1"/>
  <c r="R1562" i="1"/>
  <c r="L1562" i="1"/>
  <c r="Q1561" i="1"/>
  <c r="R1561" i="1"/>
  <c r="Q1560" i="1"/>
  <c r="R1560" i="1"/>
  <c r="Q1559" i="1"/>
  <c r="R1559" i="1"/>
  <c r="Q1558" i="1"/>
  <c r="R1558" i="1"/>
  <c r="Q1557" i="1"/>
  <c r="R1557" i="1"/>
  <c r="Q1556" i="1"/>
  <c r="R1556" i="1"/>
  <c r="Q1555" i="1"/>
  <c r="R1555" i="1"/>
  <c r="Q1554" i="1"/>
  <c r="R1554" i="1"/>
  <c r="L1554" i="1"/>
  <c r="Q1553" i="1"/>
  <c r="R1553" i="1"/>
  <c r="L1553" i="1"/>
  <c r="Q1552" i="1"/>
  <c r="R1552" i="1"/>
  <c r="L1552" i="1"/>
  <c r="Q1551" i="1"/>
  <c r="R1551" i="1"/>
  <c r="L1551" i="1"/>
  <c r="Q1550" i="1"/>
  <c r="R1550" i="1"/>
  <c r="L1550" i="1"/>
  <c r="Q1549" i="1"/>
  <c r="R1549" i="1"/>
  <c r="Q1548" i="1"/>
  <c r="R1548" i="1"/>
  <c r="Q1547" i="1"/>
  <c r="R1547" i="1"/>
  <c r="Q1546" i="1"/>
  <c r="R1546" i="1"/>
  <c r="Q1545" i="1"/>
  <c r="R1545" i="1"/>
  <c r="Q1544" i="1"/>
  <c r="R1544" i="1"/>
  <c r="Q1543" i="1"/>
  <c r="R1543" i="1"/>
  <c r="Q1542" i="1"/>
  <c r="R1542" i="1"/>
  <c r="L1542" i="1"/>
  <c r="Q1541" i="1"/>
  <c r="R1541" i="1"/>
  <c r="L1541" i="1"/>
  <c r="Q1540" i="1"/>
  <c r="R1540" i="1"/>
  <c r="L1540" i="1"/>
  <c r="Q1539" i="1"/>
  <c r="R1539" i="1"/>
  <c r="L1539" i="1"/>
  <c r="Q1538" i="1"/>
  <c r="R1538" i="1"/>
  <c r="L1538" i="1"/>
  <c r="Q1537" i="1"/>
  <c r="R1537" i="1"/>
  <c r="Q1536" i="1"/>
  <c r="R1536" i="1"/>
  <c r="Q1535" i="1"/>
  <c r="R1535" i="1"/>
  <c r="Q1534" i="1"/>
  <c r="R1534" i="1"/>
  <c r="Q1533" i="1"/>
  <c r="R1533" i="1"/>
  <c r="Q1532" i="1"/>
  <c r="R1532" i="1"/>
  <c r="Q1531" i="1"/>
  <c r="R1531" i="1"/>
  <c r="Q1530" i="1"/>
  <c r="R1530" i="1"/>
  <c r="L1530" i="1"/>
  <c r="Q1529" i="1"/>
  <c r="R1529" i="1"/>
  <c r="L1529" i="1"/>
  <c r="Q1528" i="1"/>
  <c r="R1528" i="1"/>
  <c r="L1528" i="1"/>
  <c r="Q1527" i="1"/>
  <c r="R1527" i="1"/>
  <c r="L1527" i="1"/>
  <c r="Q1526" i="1"/>
  <c r="R1526" i="1"/>
  <c r="L1526" i="1"/>
  <c r="Q1525" i="1"/>
  <c r="R1525" i="1"/>
  <c r="L1525" i="1"/>
  <c r="Q1524" i="1"/>
  <c r="R1524" i="1"/>
  <c r="Q1523" i="1"/>
  <c r="R1523" i="1"/>
  <c r="Q1522" i="1"/>
  <c r="R1522" i="1"/>
  <c r="Q1521" i="1"/>
  <c r="R1521" i="1"/>
  <c r="Q1520" i="1"/>
  <c r="R1520" i="1"/>
  <c r="Q1519" i="1"/>
  <c r="R1519" i="1"/>
  <c r="Q1518" i="1"/>
  <c r="R1518" i="1"/>
  <c r="L1518" i="1"/>
  <c r="Q1517" i="1"/>
  <c r="R1517" i="1"/>
  <c r="L1517" i="1"/>
  <c r="Q1516" i="1"/>
  <c r="R1516" i="1"/>
  <c r="L1516" i="1"/>
  <c r="Q1515" i="1"/>
  <c r="R1515" i="1"/>
  <c r="L1515" i="1"/>
  <c r="Q1514" i="1"/>
  <c r="R1514" i="1"/>
  <c r="L1514" i="1"/>
  <c r="Q1513" i="1"/>
  <c r="R1513" i="1"/>
  <c r="Q1512" i="1"/>
  <c r="R1512" i="1"/>
  <c r="Q1511" i="1"/>
  <c r="R1511" i="1"/>
  <c r="Q1510" i="1"/>
  <c r="R1510" i="1"/>
  <c r="Q1509" i="1"/>
  <c r="R1509" i="1"/>
  <c r="Q1508" i="1"/>
  <c r="R1508" i="1"/>
  <c r="Q1507" i="1"/>
  <c r="R1507" i="1"/>
  <c r="Q1506" i="1"/>
  <c r="R1506" i="1"/>
  <c r="L1506" i="1"/>
  <c r="Q1505" i="1"/>
  <c r="R1505" i="1"/>
  <c r="L1505" i="1"/>
  <c r="Q1504" i="1"/>
  <c r="R1504" i="1"/>
  <c r="L1504" i="1"/>
  <c r="Q1503" i="1"/>
  <c r="R1503" i="1"/>
  <c r="L1503" i="1"/>
  <c r="Q1502" i="1"/>
  <c r="R1502" i="1"/>
  <c r="L1502" i="1"/>
  <c r="Q1501" i="1"/>
  <c r="R1501" i="1"/>
  <c r="Q1500" i="1"/>
  <c r="R1500" i="1"/>
  <c r="Q1499" i="1"/>
  <c r="R1499" i="1"/>
  <c r="Q1498" i="1"/>
  <c r="R1498" i="1"/>
  <c r="Q1497" i="1"/>
  <c r="R1497" i="1"/>
  <c r="Q1496" i="1"/>
  <c r="R1496" i="1"/>
  <c r="Q1495" i="1"/>
  <c r="R1495" i="1"/>
  <c r="Q1494" i="1"/>
  <c r="R1494" i="1"/>
  <c r="L1494" i="1"/>
  <c r="Q1493" i="1"/>
  <c r="R1493" i="1"/>
  <c r="L1493" i="1"/>
  <c r="Q1492" i="1"/>
  <c r="R1492" i="1"/>
  <c r="L1492" i="1"/>
  <c r="Q1491" i="1"/>
  <c r="R1491" i="1"/>
  <c r="L1491" i="1"/>
  <c r="Q1490" i="1"/>
  <c r="R1490" i="1"/>
  <c r="L1490" i="1"/>
  <c r="Q1489" i="1"/>
  <c r="R1489" i="1"/>
  <c r="Q1488" i="1"/>
  <c r="R1488" i="1"/>
  <c r="Q1487" i="1"/>
  <c r="R1487" i="1"/>
  <c r="Q1486" i="1"/>
  <c r="R1486" i="1"/>
  <c r="Q1485" i="1"/>
  <c r="R1485" i="1"/>
  <c r="Q1484" i="1"/>
  <c r="R1484" i="1"/>
  <c r="Q1483" i="1"/>
  <c r="R1483" i="1"/>
  <c r="Q1482" i="1"/>
  <c r="R1482" i="1"/>
  <c r="L1482" i="1"/>
  <c r="Q1481" i="1"/>
  <c r="R1481" i="1"/>
  <c r="L1481" i="1"/>
  <c r="Q1480" i="1"/>
  <c r="R1480" i="1"/>
  <c r="L1480" i="1"/>
  <c r="Q1479" i="1"/>
  <c r="R1479" i="1"/>
  <c r="L1479" i="1"/>
  <c r="Q1478" i="1"/>
  <c r="R1478" i="1"/>
  <c r="L1478" i="1"/>
  <c r="Q1477" i="1"/>
  <c r="R1477" i="1"/>
  <c r="Q1476" i="1"/>
  <c r="R1476" i="1"/>
  <c r="Q1475" i="1"/>
  <c r="R1475" i="1"/>
  <c r="Q1474" i="1"/>
  <c r="R1474" i="1"/>
  <c r="Q1473" i="1"/>
  <c r="R1473" i="1"/>
  <c r="Q1472" i="1"/>
  <c r="R1472" i="1"/>
  <c r="Q1471" i="1"/>
  <c r="R1471" i="1"/>
  <c r="Q1470" i="1"/>
  <c r="R1470" i="1"/>
  <c r="L1470" i="1"/>
  <c r="Q1469" i="1"/>
  <c r="R1469" i="1"/>
  <c r="L1469" i="1"/>
  <c r="Q1468" i="1"/>
  <c r="R1468" i="1"/>
  <c r="L1468" i="1"/>
  <c r="Q1467" i="1"/>
  <c r="R1467" i="1"/>
  <c r="L1467" i="1"/>
  <c r="Q1466" i="1"/>
  <c r="R1466" i="1"/>
  <c r="L1466" i="1"/>
  <c r="Q1465" i="1"/>
  <c r="R1465" i="1"/>
  <c r="Q1464" i="1"/>
  <c r="R1464" i="1"/>
  <c r="Q1463" i="1"/>
  <c r="R1463" i="1"/>
  <c r="Q1462" i="1"/>
  <c r="R1462" i="1"/>
  <c r="Q1461" i="1"/>
  <c r="R1461" i="1"/>
  <c r="Q1460" i="1"/>
  <c r="R1460" i="1"/>
  <c r="Q1459" i="1"/>
  <c r="R1459" i="1"/>
  <c r="Q1458" i="1"/>
  <c r="R1458" i="1"/>
  <c r="L1458" i="1"/>
  <c r="Q1457" i="1"/>
  <c r="R1457" i="1"/>
  <c r="L1457" i="1"/>
  <c r="Q1456" i="1"/>
  <c r="R1456" i="1"/>
  <c r="L1456" i="1"/>
  <c r="Q1455" i="1"/>
  <c r="R1455" i="1"/>
  <c r="L1455" i="1"/>
  <c r="Q1454" i="1"/>
  <c r="R1454" i="1"/>
  <c r="L1454" i="1"/>
  <c r="Q1453" i="1"/>
  <c r="R1453" i="1"/>
  <c r="Q1452" i="1"/>
  <c r="R1452" i="1"/>
  <c r="Q1451" i="1"/>
  <c r="R1451" i="1"/>
  <c r="Q1450" i="1"/>
  <c r="R1450" i="1"/>
  <c r="Q1449" i="1"/>
  <c r="R1449" i="1"/>
  <c r="Q1448" i="1"/>
  <c r="R1448" i="1"/>
  <c r="Q1447" i="1"/>
  <c r="R1447" i="1"/>
  <c r="Q1446" i="1"/>
  <c r="R1446" i="1"/>
  <c r="L1446" i="1"/>
  <c r="Q1445" i="1"/>
  <c r="R1445" i="1"/>
  <c r="L1445" i="1"/>
  <c r="Q1444" i="1"/>
  <c r="R1444" i="1"/>
  <c r="L1444" i="1"/>
  <c r="Q1443" i="1"/>
  <c r="R1443" i="1"/>
  <c r="L1443" i="1"/>
  <c r="Q1442" i="1"/>
  <c r="R1442" i="1"/>
  <c r="L1442" i="1"/>
  <c r="Q1441" i="1"/>
  <c r="R1441" i="1"/>
  <c r="Q1440" i="1"/>
  <c r="R1440" i="1"/>
  <c r="Q1439" i="1"/>
  <c r="R1439" i="1"/>
  <c r="Q1438" i="1"/>
  <c r="R1438" i="1"/>
  <c r="Q1437" i="1"/>
  <c r="R1437" i="1"/>
  <c r="Q1436" i="1"/>
  <c r="R1436" i="1"/>
  <c r="Q1435" i="1"/>
  <c r="R1435" i="1"/>
  <c r="Q1434" i="1"/>
  <c r="R1434" i="1"/>
  <c r="L1434" i="1"/>
  <c r="Q1433" i="1"/>
  <c r="R1433" i="1"/>
  <c r="L1433" i="1"/>
  <c r="Q1432" i="1"/>
  <c r="R1432" i="1"/>
  <c r="L1432" i="1"/>
  <c r="Q1431" i="1"/>
  <c r="R1431" i="1"/>
  <c r="L1431" i="1"/>
  <c r="Q1430" i="1"/>
  <c r="R1430" i="1"/>
  <c r="L1430" i="1"/>
  <c r="Q1429" i="1"/>
  <c r="R1429" i="1"/>
  <c r="Q1428" i="1"/>
  <c r="R1428" i="1"/>
  <c r="Q1427" i="1"/>
  <c r="R1427" i="1"/>
  <c r="Q1426" i="1"/>
  <c r="R1426" i="1"/>
  <c r="Q1425" i="1"/>
  <c r="R1425" i="1"/>
  <c r="Q1424" i="1"/>
  <c r="R1424" i="1"/>
  <c r="Q1423" i="1"/>
  <c r="R1423" i="1"/>
  <c r="Q1422" i="1"/>
  <c r="R1422" i="1"/>
  <c r="L1422" i="1"/>
  <c r="Q1421" i="1"/>
  <c r="R1421" i="1"/>
  <c r="L1421" i="1"/>
  <c r="Q1420" i="1"/>
  <c r="R1420" i="1"/>
  <c r="L1420" i="1"/>
  <c r="Q1419" i="1"/>
  <c r="R1419" i="1"/>
  <c r="L1419" i="1"/>
  <c r="Q1418" i="1"/>
  <c r="R1418" i="1"/>
  <c r="L1418" i="1"/>
  <c r="Q1417" i="1"/>
  <c r="R1417" i="1"/>
  <c r="Q1416" i="1"/>
  <c r="R1416" i="1"/>
  <c r="Q1415" i="1"/>
  <c r="R1415" i="1"/>
  <c r="Q1414" i="1"/>
  <c r="R1414" i="1"/>
  <c r="Q1413" i="1"/>
  <c r="R1413" i="1"/>
  <c r="Q1412" i="1"/>
  <c r="R1412" i="1"/>
  <c r="Q1411" i="1"/>
  <c r="R1411" i="1"/>
  <c r="Q1410" i="1"/>
  <c r="R1410" i="1"/>
  <c r="L1410" i="1"/>
  <c r="Q1409" i="1"/>
  <c r="R1409" i="1"/>
  <c r="L1409" i="1"/>
  <c r="Q1408" i="1"/>
  <c r="R1408" i="1"/>
  <c r="L1408" i="1"/>
  <c r="Q1407" i="1"/>
  <c r="R1407" i="1"/>
  <c r="L1407" i="1"/>
  <c r="Q1406" i="1"/>
  <c r="R1406" i="1"/>
  <c r="L1406" i="1"/>
  <c r="Q1405" i="1"/>
  <c r="R1405" i="1"/>
  <c r="Q1404" i="1"/>
  <c r="R1404" i="1"/>
  <c r="Q1403" i="1"/>
  <c r="R1403" i="1"/>
  <c r="Q1402" i="1"/>
  <c r="R1402" i="1"/>
  <c r="Q1401" i="1"/>
  <c r="R1401" i="1"/>
  <c r="Q1400" i="1"/>
  <c r="R1400" i="1"/>
  <c r="Q1399" i="1"/>
  <c r="R1399" i="1"/>
  <c r="Q1398" i="1"/>
  <c r="R1398" i="1"/>
  <c r="L1398" i="1"/>
  <c r="Q1397" i="1"/>
  <c r="R1397" i="1"/>
  <c r="L1397" i="1"/>
  <c r="Q1396" i="1"/>
  <c r="R1396" i="1"/>
  <c r="L1396" i="1"/>
  <c r="Q1395" i="1"/>
  <c r="R1395" i="1"/>
  <c r="L1395" i="1"/>
  <c r="Q1394" i="1"/>
  <c r="R1394" i="1"/>
  <c r="L1394" i="1"/>
  <c r="Q1393" i="1"/>
  <c r="R1393" i="1"/>
  <c r="Q1392" i="1"/>
  <c r="R1392" i="1"/>
  <c r="Q1391" i="1"/>
  <c r="R1391" i="1"/>
  <c r="Q1390" i="1"/>
  <c r="R1390" i="1"/>
  <c r="Q1389" i="1"/>
  <c r="R1389" i="1"/>
  <c r="Q1388" i="1"/>
  <c r="R1388" i="1"/>
  <c r="Q1387" i="1"/>
  <c r="R1387" i="1"/>
  <c r="Q1386" i="1"/>
  <c r="R1386" i="1"/>
  <c r="L1386" i="1"/>
  <c r="Q1385" i="1"/>
  <c r="R1385" i="1"/>
  <c r="L1385" i="1"/>
  <c r="Q1384" i="1"/>
  <c r="R1384" i="1"/>
  <c r="L1384" i="1"/>
  <c r="Q1383" i="1"/>
  <c r="R1383" i="1"/>
  <c r="L1383" i="1"/>
  <c r="Q1382" i="1"/>
  <c r="R1382" i="1"/>
  <c r="L1382" i="1"/>
  <c r="Q1381" i="1"/>
  <c r="R1381" i="1"/>
  <c r="Q1380" i="1"/>
  <c r="R1380" i="1"/>
  <c r="Q1379" i="1"/>
  <c r="R1379" i="1"/>
  <c r="Q1378" i="1"/>
  <c r="R1378" i="1"/>
  <c r="Q1377" i="1"/>
  <c r="R1377" i="1"/>
  <c r="Q1376" i="1"/>
  <c r="R1376" i="1"/>
  <c r="Q1375" i="1"/>
  <c r="R1375" i="1"/>
  <c r="Q1374" i="1"/>
  <c r="R1374" i="1"/>
  <c r="L1374" i="1"/>
  <c r="Q1373" i="1"/>
  <c r="R1373" i="1"/>
  <c r="L1373" i="1"/>
  <c r="Q1372" i="1"/>
  <c r="R1372" i="1"/>
  <c r="L1372" i="1"/>
  <c r="Q1371" i="1"/>
  <c r="R1371" i="1"/>
  <c r="L1371" i="1"/>
  <c r="Q1370" i="1"/>
  <c r="R1370" i="1"/>
  <c r="L1370" i="1"/>
  <c r="Q1369" i="1"/>
  <c r="R1369" i="1"/>
  <c r="Q1368" i="1"/>
  <c r="R1368" i="1"/>
  <c r="Q1367" i="1"/>
  <c r="R1367" i="1"/>
  <c r="Q1366" i="1"/>
  <c r="R1366" i="1"/>
  <c r="Q1365" i="1"/>
  <c r="R1365" i="1"/>
  <c r="Q1364" i="1"/>
  <c r="R1364" i="1"/>
  <c r="Q1363" i="1"/>
  <c r="R1363" i="1"/>
  <c r="Q1362" i="1"/>
  <c r="R1362" i="1"/>
  <c r="L1362" i="1"/>
  <c r="Q1361" i="1"/>
  <c r="R1361" i="1"/>
  <c r="L1361" i="1"/>
  <c r="Q1360" i="1"/>
  <c r="R1360" i="1"/>
  <c r="L1360" i="1"/>
  <c r="Q1359" i="1"/>
  <c r="R1359" i="1"/>
  <c r="L1359" i="1"/>
  <c r="Q1358" i="1"/>
  <c r="R1358" i="1"/>
  <c r="L1358" i="1"/>
  <c r="Q1357" i="1"/>
  <c r="R1357" i="1"/>
  <c r="Q1356" i="1"/>
  <c r="R1356" i="1"/>
  <c r="Q1355" i="1"/>
  <c r="R1355" i="1"/>
  <c r="Q1354" i="1"/>
  <c r="R1354" i="1"/>
  <c r="Q1353" i="1"/>
  <c r="R1353" i="1"/>
  <c r="Q1352" i="1"/>
  <c r="R1352" i="1"/>
  <c r="Q1351" i="1"/>
  <c r="R1351" i="1"/>
  <c r="Q1350" i="1"/>
  <c r="R1350" i="1"/>
  <c r="L1350" i="1"/>
  <c r="Q1349" i="1"/>
  <c r="R1349" i="1"/>
  <c r="L1349" i="1"/>
  <c r="Q1348" i="1"/>
  <c r="R1348" i="1"/>
  <c r="L1348" i="1"/>
  <c r="Q1347" i="1"/>
  <c r="R1347" i="1"/>
  <c r="L1347" i="1"/>
  <c r="Q1346" i="1"/>
  <c r="R1346" i="1"/>
  <c r="L1346" i="1"/>
  <c r="Q1345" i="1"/>
  <c r="R1345" i="1"/>
  <c r="Q1344" i="1"/>
  <c r="R1344" i="1"/>
  <c r="Q1343" i="1"/>
  <c r="R1343" i="1"/>
  <c r="Q1342" i="1"/>
  <c r="R1342" i="1"/>
  <c r="Q1341" i="1"/>
  <c r="R1341" i="1"/>
  <c r="Q1340" i="1"/>
  <c r="R1340" i="1"/>
  <c r="Q1339" i="1"/>
  <c r="R1339" i="1"/>
  <c r="Q1338" i="1"/>
  <c r="R1338" i="1"/>
  <c r="L1338" i="1"/>
  <c r="Q1337" i="1"/>
  <c r="R1337" i="1"/>
  <c r="L1337" i="1"/>
  <c r="Q1336" i="1"/>
  <c r="R1336" i="1"/>
  <c r="L1336" i="1"/>
  <c r="Q1335" i="1"/>
  <c r="R1335" i="1"/>
  <c r="L1335" i="1"/>
  <c r="Q1334" i="1"/>
  <c r="R1334" i="1"/>
  <c r="L1334" i="1"/>
  <c r="Q1333" i="1"/>
  <c r="R1333" i="1"/>
  <c r="Q1332" i="1"/>
  <c r="R1332" i="1"/>
  <c r="Q1331" i="1"/>
  <c r="R1331" i="1"/>
  <c r="Q1330" i="1"/>
  <c r="R1330" i="1"/>
  <c r="Q1329" i="1"/>
  <c r="R1329" i="1"/>
  <c r="Q1328" i="1"/>
  <c r="R1328" i="1"/>
  <c r="Q1327" i="1"/>
  <c r="R1327" i="1"/>
  <c r="Q1326" i="1"/>
  <c r="R1326" i="1"/>
  <c r="L1326" i="1"/>
  <c r="Q1325" i="1"/>
  <c r="R1325" i="1"/>
  <c r="L1325" i="1"/>
  <c r="Q1324" i="1"/>
  <c r="R1324" i="1"/>
  <c r="L1324" i="1"/>
  <c r="Q1323" i="1"/>
  <c r="R1323" i="1"/>
  <c r="L1323" i="1"/>
  <c r="Q1322" i="1"/>
  <c r="R1322" i="1"/>
  <c r="L1322" i="1"/>
  <c r="Q1321" i="1"/>
  <c r="R1321" i="1"/>
  <c r="Q1320" i="1"/>
  <c r="R1320" i="1"/>
  <c r="Q1319" i="1"/>
  <c r="R1319" i="1"/>
  <c r="Q1318" i="1"/>
  <c r="R1318" i="1"/>
  <c r="Q1317" i="1"/>
  <c r="R1317" i="1"/>
  <c r="Q1316" i="1"/>
  <c r="R1316" i="1"/>
  <c r="Q1315" i="1"/>
  <c r="R1315" i="1"/>
  <c r="Q1314" i="1"/>
  <c r="R1314" i="1"/>
  <c r="L1314" i="1"/>
  <c r="Q1313" i="1"/>
  <c r="R1313" i="1"/>
  <c r="L1313" i="1"/>
  <c r="Q1312" i="1"/>
  <c r="R1312" i="1"/>
  <c r="L1312" i="1"/>
  <c r="Q1311" i="1"/>
  <c r="R1311" i="1"/>
  <c r="L1311" i="1"/>
  <c r="Q1310" i="1"/>
  <c r="R1310" i="1"/>
  <c r="L1310" i="1"/>
  <c r="Q1309" i="1"/>
  <c r="R1309" i="1"/>
  <c r="Q1308" i="1"/>
  <c r="R1308" i="1"/>
  <c r="Q1307" i="1"/>
  <c r="R1307" i="1"/>
  <c r="Q1306" i="1"/>
  <c r="R1306" i="1"/>
  <c r="Q1305" i="1"/>
  <c r="R1305" i="1"/>
  <c r="Q1304" i="1"/>
  <c r="R1304" i="1"/>
  <c r="Q1303" i="1"/>
  <c r="R1303" i="1"/>
  <c r="Q1302" i="1"/>
  <c r="R1302" i="1"/>
  <c r="L1302" i="1"/>
  <c r="Q1301" i="1"/>
  <c r="R1301" i="1"/>
  <c r="L1301" i="1"/>
  <c r="Q1300" i="1"/>
  <c r="R1300" i="1"/>
  <c r="L1300" i="1"/>
  <c r="Q1299" i="1"/>
  <c r="R1299" i="1"/>
  <c r="L1299" i="1"/>
  <c r="Q1298" i="1"/>
  <c r="R1298" i="1"/>
  <c r="L1298" i="1"/>
  <c r="Q1297" i="1"/>
  <c r="R1297" i="1"/>
  <c r="Q1296" i="1"/>
  <c r="R1296" i="1"/>
  <c r="Q1295" i="1"/>
  <c r="R1295" i="1"/>
  <c r="Q1294" i="1"/>
  <c r="R1294" i="1"/>
  <c r="Q1293" i="1"/>
  <c r="R1293" i="1"/>
  <c r="Q1292" i="1"/>
  <c r="R1292" i="1"/>
  <c r="Q1291" i="1"/>
  <c r="R1291" i="1"/>
  <c r="Q1290" i="1"/>
  <c r="R1290" i="1"/>
  <c r="L1290" i="1"/>
  <c r="Q1289" i="1"/>
  <c r="R1289" i="1"/>
  <c r="L1289" i="1"/>
  <c r="Q1288" i="1"/>
  <c r="R1288" i="1"/>
  <c r="L1288" i="1"/>
  <c r="Q1287" i="1"/>
  <c r="R1287" i="1"/>
  <c r="L1287" i="1"/>
  <c r="Q1286" i="1"/>
  <c r="R1286" i="1"/>
  <c r="L1286" i="1"/>
  <c r="Q1285" i="1"/>
  <c r="R1285" i="1"/>
  <c r="Q1284" i="1"/>
  <c r="R1284" i="1"/>
  <c r="Q1283" i="1"/>
  <c r="R1283" i="1"/>
  <c r="Q1282" i="1"/>
  <c r="R1282" i="1"/>
  <c r="Q1281" i="1"/>
  <c r="R1281" i="1"/>
  <c r="Q1280" i="1"/>
  <c r="R1280" i="1"/>
  <c r="Q1279" i="1"/>
  <c r="R1279" i="1"/>
  <c r="Q1278" i="1"/>
  <c r="R1278" i="1"/>
  <c r="L1278" i="1"/>
  <c r="Q1277" i="1"/>
  <c r="R1277" i="1"/>
  <c r="L1277" i="1"/>
  <c r="Q1276" i="1"/>
  <c r="R1276" i="1"/>
  <c r="L1276" i="1"/>
  <c r="Q1275" i="1"/>
  <c r="R1275" i="1"/>
  <c r="L1275" i="1"/>
  <c r="Q1274" i="1"/>
  <c r="R1274" i="1"/>
  <c r="L1274" i="1"/>
  <c r="Q1273" i="1"/>
  <c r="R1273" i="1"/>
  <c r="Q1272" i="1"/>
  <c r="R1272" i="1"/>
  <c r="Q1271" i="1"/>
  <c r="R1271" i="1"/>
  <c r="Q1270" i="1"/>
  <c r="R1270" i="1"/>
  <c r="Q1269" i="1"/>
  <c r="R1269" i="1"/>
  <c r="Q1268" i="1"/>
  <c r="R1268" i="1"/>
  <c r="Q1267" i="1"/>
  <c r="R1267" i="1"/>
  <c r="Q1266" i="1"/>
  <c r="R1266" i="1"/>
  <c r="L1266" i="1"/>
  <c r="Q1265" i="1"/>
  <c r="R1265" i="1"/>
  <c r="L1265" i="1"/>
  <c r="Q1264" i="1"/>
  <c r="R1264" i="1"/>
  <c r="L1264" i="1"/>
  <c r="Q1263" i="1"/>
  <c r="R1263" i="1"/>
  <c r="L1263" i="1"/>
  <c r="Q1262" i="1"/>
  <c r="R1262" i="1"/>
  <c r="L1262" i="1"/>
  <c r="Q1261" i="1"/>
  <c r="R1261" i="1"/>
  <c r="Q1260" i="1"/>
  <c r="R1260" i="1"/>
  <c r="Q1259" i="1"/>
  <c r="R1259" i="1"/>
  <c r="Q1258" i="1"/>
  <c r="R1258" i="1"/>
  <c r="Q1257" i="1"/>
  <c r="R1257" i="1"/>
  <c r="Q1256" i="1"/>
  <c r="R1256" i="1"/>
  <c r="Q1255" i="1"/>
  <c r="R1255" i="1"/>
  <c r="Q1254" i="1"/>
  <c r="R1254" i="1"/>
  <c r="L1254" i="1"/>
  <c r="Q1253" i="1"/>
  <c r="R1253" i="1"/>
  <c r="L1253" i="1"/>
  <c r="Q1252" i="1"/>
  <c r="R1252" i="1"/>
  <c r="L1252" i="1"/>
  <c r="Q1251" i="1"/>
  <c r="R1251" i="1"/>
  <c r="L1251" i="1"/>
  <c r="Q1250" i="1"/>
  <c r="R1250" i="1"/>
  <c r="L1250" i="1"/>
  <c r="Q1249" i="1"/>
  <c r="R1249" i="1"/>
  <c r="Q1248" i="1"/>
  <c r="R1248" i="1"/>
  <c r="Q1247" i="1"/>
  <c r="R1247" i="1"/>
  <c r="Q1246" i="1"/>
  <c r="R1246" i="1"/>
  <c r="Q1245" i="1"/>
  <c r="R1245" i="1"/>
  <c r="Q1244" i="1"/>
  <c r="R1244" i="1"/>
  <c r="Q1243" i="1"/>
  <c r="R1243" i="1"/>
  <c r="Q1242" i="1"/>
  <c r="R1242" i="1"/>
  <c r="L1242" i="1"/>
  <c r="Q1241" i="1"/>
  <c r="R1241" i="1"/>
  <c r="L1241" i="1"/>
  <c r="Q1240" i="1"/>
  <c r="R1240" i="1"/>
  <c r="L1240" i="1"/>
  <c r="Q1239" i="1"/>
  <c r="R1239" i="1"/>
  <c r="L1239" i="1"/>
  <c r="Q1238" i="1"/>
  <c r="R1238" i="1"/>
  <c r="L1238" i="1"/>
  <c r="Q1237" i="1"/>
  <c r="R1237" i="1"/>
  <c r="Q1236" i="1"/>
  <c r="R1236" i="1"/>
  <c r="Q1235" i="1"/>
  <c r="R1235" i="1"/>
  <c r="Q1234" i="1"/>
  <c r="R1234" i="1"/>
  <c r="Q1233" i="1"/>
  <c r="R1233" i="1"/>
  <c r="Q1232" i="1"/>
  <c r="R1232" i="1"/>
  <c r="Q1231" i="1"/>
  <c r="R1231" i="1"/>
  <c r="Q1230" i="1"/>
  <c r="R1230" i="1"/>
  <c r="L1230" i="1"/>
  <c r="Q1229" i="1"/>
  <c r="R1229" i="1"/>
  <c r="L1229" i="1"/>
  <c r="Q1228" i="1"/>
  <c r="R1228" i="1"/>
  <c r="L1228" i="1"/>
  <c r="Q1227" i="1"/>
  <c r="R1227" i="1"/>
  <c r="L1227" i="1"/>
  <c r="Q1226" i="1"/>
  <c r="R1226" i="1"/>
  <c r="L1226" i="1"/>
  <c r="Q1225" i="1"/>
  <c r="R1225" i="1"/>
  <c r="Q1224" i="1"/>
  <c r="R1224" i="1"/>
  <c r="Q1223" i="1"/>
  <c r="R1223" i="1"/>
  <c r="Q1222" i="1"/>
  <c r="R1222" i="1"/>
  <c r="Q1221" i="1"/>
  <c r="R1221" i="1"/>
  <c r="Q1220" i="1"/>
  <c r="R1220" i="1"/>
  <c r="Q1219" i="1"/>
  <c r="R1219" i="1"/>
  <c r="Q1218" i="1"/>
  <c r="R1218" i="1"/>
  <c r="L1218" i="1"/>
  <c r="Q1217" i="1"/>
  <c r="R1217" i="1"/>
  <c r="L1217" i="1"/>
  <c r="Q1216" i="1"/>
  <c r="R1216" i="1"/>
  <c r="L1216" i="1"/>
  <c r="Q1215" i="1"/>
  <c r="R1215" i="1"/>
  <c r="L1215" i="1"/>
  <c r="Q1214" i="1"/>
  <c r="R1214" i="1"/>
  <c r="L1214" i="1"/>
  <c r="Q1213" i="1"/>
  <c r="R1213" i="1"/>
  <c r="Q1212" i="1"/>
  <c r="R1212" i="1"/>
  <c r="Q1211" i="1"/>
  <c r="R1211" i="1"/>
  <c r="Q1210" i="1"/>
  <c r="R1210" i="1"/>
  <c r="Q1209" i="1"/>
  <c r="R1209" i="1"/>
  <c r="Q1208" i="1"/>
  <c r="R1208" i="1"/>
  <c r="Q1207" i="1"/>
  <c r="R1207" i="1"/>
  <c r="Q1206" i="1"/>
  <c r="R1206" i="1"/>
  <c r="L1206" i="1"/>
  <c r="Q1205" i="1"/>
  <c r="R1205" i="1"/>
  <c r="L1205" i="1"/>
  <c r="Q1204" i="1"/>
  <c r="R1204" i="1"/>
  <c r="L1204" i="1"/>
  <c r="Q1203" i="1"/>
  <c r="R1203" i="1"/>
  <c r="L1203" i="1"/>
  <c r="Q1202" i="1"/>
  <c r="R1202" i="1"/>
  <c r="L1202" i="1"/>
  <c r="Q1201" i="1"/>
  <c r="R1201" i="1"/>
  <c r="Q1200" i="1"/>
  <c r="R1200" i="1"/>
  <c r="Q1196" i="1"/>
  <c r="R1196" i="1"/>
  <c r="Q1195" i="1"/>
  <c r="R1195" i="1"/>
  <c r="Q1194" i="1"/>
  <c r="R1194" i="1"/>
  <c r="Q1193" i="1"/>
  <c r="R1193" i="1"/>
  <c r="Q1192" i="1"/>
  <c r="R1192" i="1"/>
  <c r="Q1191" i="1"/>
  <c r="R1191" i="1"/>
  <c r="L1191" i="1"/>
  <c r="Q1190" i="1"/>
  <c r="R1190" i="1"/>
  <c r="L1190" i="1"/>
  <c r="Q1189" i="1"/>
  <c r="R1189" i="1"/>
  <c r="L1189" i="1"/>
  <c r="Q1188" i="1"/>
  <c r="R1188" i="1"/>
  <c r="L1188" i="1"/>
  <c r="Q1187" i="1"/>
  <c r="R1187" i="1"/>
  <c r="L1187" i="1"/>
  <c r="Q1186" i="1"/>
  <c r="R1186" i="1"/>
  <c r="Q1185" i="1"/>
  <c r="R1185" i="1"/>
  <c r="Q1184" i="1"/>
  <c r="R1184" i="1"/>
  <c r="Q1183" i="1"/>
  <c r="R1183" i="1"/>
  <c r="Q1182" i="1"/>
  <c r="R1182" i="1"/>
  <c r="Q1181" i="1"/>
  <c r="R1181" i="1"/>
  <c r="Q1180" i="1"/>
  <c r="R1180" i="1"/>
  <c r="Q1179" i="1"/>
  <c r="R1179" i="1"/>
  <c r="L1179" i="1"/>
  <c r="Q1178" i="1"/>
  <c r="R1178" i="1"/>
  <c r="L1178" i="1"/>
  <c r="Q1177" i="1"/>
  <c r="R1177" i="1"/>
  <c r="L1177" i="1"/>
  <c r="Q1176" i="1"/>
  <c r="R1176" i="1"/>
  <c r="L1176" i="1"/>
  <c r="Q1175" i="1"/>
  <c r="R1175" i="1"/>
  <c r="L1175" i="1"/>
  <c r="Q1174" i="1"/>
  <c r="R1174" i="1"/>
  <c r="Q1173" i="1"/>
  <c r="R1173" i="1"/>
  <c r="Q1172" i="1"/>
  <c r="R1172" i="1"/>
  <c r="Q1171" i="1"/>
  <c r="R1171" i="1"/>
  <c r="Q1170" i="1"/>
  <c r="R1170" i="1"/>
  <c r="Q1169" i="1"/>
  <c r="R1169" i="1"/>
  <c r="Q1168" i="1"/>
  <c r="R1168" i="1"/>
  <c r="Q1167" i="1"/>
  <c r="R1167" i="1"/>
  <c r="L1167" i="1"/>
  <c r="Q1166" i="1"/>
  <c r="R1166" i="1"/>
  <c r="L1166" i="1"/>
  <c r="Q1165" i="1"/>
  <c r="R1165" i="1"/>
  <c r="L1165" i="1"/>
  <c r="Q1164" i="1"/>
  <c r="R1164" i="1"/>
  <c r="L1164" i="1"/>
  <c r="Q1163" i="1"/>
  <c r="R1163" i="1"/>
  <c r="L1163" i="1"/>
  <c r="Q1162" i="1"/>
  <c r="R1162" i="1"/>
  <c r="Q1161" i="1"/>
  <c r="R1161" i="1"/>
  <c r="Q1160" i="1"/>
  <c r="R1160" i="1"/>
  <c r="Q1159" i="1"/>
  <c r="R1159" i="1"/>
  <c r="Q1158" i="1"/>
  <c r="R1158" i="1"/>
  <c r="Q1157" i="1"/>
  <c r="R1157" i="1"/>
  <c r="Q1156" i="1"/>
  <c r="R1156" i="1"/>
  <c r="Q1155" i="1"/>
  <c r="R1155" i="1"/>
  <c r="L1155" i="1"/>
  <c r="Q1154" i="1"/>
  <c r="R1154" i="1"/>
  <c r="L1154" i="1"/>
  <c r="Q1153" i="1"/>
  <c r="R1153" i="1"/>
  <c r="L1153" i="1"/>
  <c r="Q1152" i="1"/>
  <c r="R1152" i="1"/>
  <c r="L1152" i="1"/>
  <c r="Q1151" i="1"/>
  <c r="R1151" i="1"/>
  <c r="L1151" i="1"/>
  <c r="Q1150" i="1"/>
  <c r="R1150" i="1"/>
  <c r="L1150" i="1"/>
  <c r="Q1149" i="1"/>
  <c r="R1149" i="1"/>
  <c r="Q1148" i="1"/>
  <c r="R1148" i="1"/>
  <c r="Q1147" i="1"/>
  <c r="R1147" i="1"/>
  <c r="Q1146" i="1"/>
  <c r="R1146" i="1"/>
  <c r="Q1145" i="1"/>
  <c r="R1145" i="1"/>
  <c r="Q1144" i="1"/>
  <c r="R1144" i="1"/>
  <c r="Q1143" i="1"/>
  <c r="R1143" i="1"/>
  <c r="L1143" i="1"/>
  <c r="Q1142" i="1"/>
  <c r="R1142" i="1"/>
  <c r="L1142" i="1"/>
  <c r="Q1141" i="1"/>
  <c r="R1141" i="1"/>
  <c r="L1141" i="1"/>
  <c r="Q1140" i="1"/>
  <c r="R1140" i="1"/>
  <c r="Q1139" i="1"/>
  <c r="R1139" i="1"/>
  <c r="Q1138" i="1"/>
  <c r="R1138" i="1"/>
  <c r="Q1137" i="1"/>
  <c r="R1137" i="1"/>
  <c r="Q1136" i="1"/>
  <c r="R1136" i="1"/>
  <c r="Q1135" i="1"/>
  <c r="R1135" i="1"/>
  <c r="Q1134" i="1"/>
  <c r="R1134" i="1"/>
  <c r="Q1133" i="1"/>
  <c r="R1133" i="1"/>
  <c r="Q1132" i="1"/>
  <c r="R1132" i="1"/>
  <c r="Q1131" i="1"/>
  <c r="R1131" i="1"/>
  <c r="Q1130" i="1"/>
  <c r="R1130" i="1"/>
  <c r="Q1129" i="1"/>
  <c r="R1129" i="1"/>
  <c r="Q1128" i="1"/>
  <c r="R1128" i="1"/>
  <c r="Q1127" i="1"/>
  <c r="R1127" i="1"/>
  <c r="Q1126" i="1"/>
  <c r="R1126" i="1"/>
  <c r="Q1125" i="1"/>
  <c r="R1125" i="1"/>
  <c r="Q1124" i="1"/>
  <c r="R1124" i="1"/>
  <c r="Q1123" i="1"/>
  <c r="R1123" i="1"/>
  <c r="Q1122" i="1"/>
  <c r="R1122" i="1"/>
  <c r="Q1121" i="1"/>
  <c r="R1121" i="1"/>
  <c r="Q1120" i="1"/>
  <c r="R1120" i="1"/>
  <c r="Q1119" i="1"/>
  <c r="R1119" i="1"/>
  <c r="Q1118" i="1"/>
  <c r="R1118" i="1"/>
  <c r="Q1117" i="1"/>
  <c r="R1117" i="1"/>
  <c r="Q1116" i="1"/>
  <c r="R1116" i="1"/>
  <c r="Q1115" i="1"/>
  <c r="R1115" i="1"/>
  <c r="Q1114" i="1"/>
  <c r="R1114" i="1"/>
  <c r="Q1113" i="1"/>
  <c r="R1113" i="1"/>
  <c r="Q1112" i="1"/>
  <c r="R1112" i="1"/>
  <c r="Q1111" i="1"/>
  <c r="R1111" i="1"/>
  <c r="Q1110" i="1"/>
  <c r="R1110" i="1"/>
  <c r="Q1109" i="1"/>
  <c r="R1109" i="1"/>
  <c r="Q1108" i="1"/>
  <c r="R1108" i="1"/>
  <c r="Q1107" i="1"/>
  <c r="R1107" i="1"/>
  <c r="Q1106" i="1"/>
  <c r="R1106" i="1"/>
  <c r="Q1105" i="1"/>
  <c r="R1105" i="1"/>
  <c r="Q1104" i="1"/>
  <c r="R1104" i="1"/>
  <c r="Q1103" i="1"/>
  <c r="R1103" i="1"/>
  <c r="Q1102" i="1"/>
  <c r="R1102" i="1"/>
  <c r="Q1101" i="1"/>
  <c r="R1101" i="1"/>
  <c r="Q1100" i="1"/>
  <c r="R1100" i="1"/>
  <c r="Q1099" i="1"/>
  <c r="R1099" i="1"/>
  <c r="Q1098" i="1"/>
  <c r="R1098" i="1"/>
  <c r="Q1097" i="1"/>
  <c r="R1097" i="1"/>
  <c r="Q1096" i="1"/>
  <c r="R1096" i="1"/>
  <c r="Q1095" i="1"/>
  <c r="R1095" i="1"/>
  <c r="Q1094" i="1"/>
  <c r="R1094" i="1"/>
  <c r="Q1093" i="1"/>
  <c r="R1093" i="1"/>
  <c r="Q1092" i="1"/>
  <c r="R1092" i="1"/>
  <c r="Q1091" i="1"/>
  <c r="R1091" i="1"/>
  <c r="Q1090" i="1"/>
  <c r="R1090" i="1"/>
  <c r="Q1089" i="1"/>
  <c r="R1089" i="1"/>
  <c r="Q1088" i="1"/>
  <c r="R1088" i="1"/>
  <c r="Q1087" i="1"/>
  <c r="R1087" i="1"/>
  <c r="Q1086" i="1"/>
  <c r="R1086" i="1"/>
  <c r="Q1085" i="1"/>
  <c r="R1085" i="1"/>
  <c r="Q1084" i="1"/>
  <c r="R1084" i="1"/>
  <c r="Q1083" i="1"/>
  <c r="R1083" i="1"/>
  <c r="Q1082" i="1"/>
  <c r="R1082" i="1"/>
  <c r="Q1081" i="1"/>
  <c r="R1081" i="1"/>
  <c r="Q1080" i="1"/>
  <c r="R1080" i="1"/>
  <c r="Q1079" i="1"/>
  <c r="R1079" i="1"/>
  <c r="Q1078" i="1"/>
  <c r="R1078" i="1"/>
  <c r="Q1077" i="1"/>
  <c r="R1077" i="1"/>
  <c r="Q1076" i="1"/>
  <c r="R1076" i="1"/>
  <c r="Q1075" i="1"/>
  <c r="R1075" i="1"/>
  <c r="Q1074" i="1"/>
  <c r="R1074" i="1"/>
  <c r="Q1073" i="1"/>
  <c r="R1073" i="1"/>
  <c r="Q1072" i="1"/>
  <c r="R1072" i="1"/>
  <c r="Q1071" i="1"/>
  <c r="R1071" i="1"/>
  <c r="Q1070" i="1"/>
  <c r="R1070" i="1"/>
  <c r="Q1069" i="1"/>
  <c r="R1069" i="1"/>
  <c r="Q1068" i="1"/>
  <c r="R1068" i="1"/>
  <c r="Q1067" i="1"/>
  <c r="R1067" i="1"/>
  <c r="Q1066" i="1"/>
  <c r="R1066" i="1"/>
  <c r="Q1065" i="1"/>
  <c r="R1065" i="1"/>
  <c r="Q1064" i="1"/>
  <c r="R1064" i="1"/>
  <c r="Q1063" i="1"/>
  <c r="R1063" i="1"/>
  <c r="Q1062" i="1"/>
  <c r="R1062" i="1"/>
  <c r="Q1061" i="1"/>
  <c r="R1061" i="1"/>
  <c r="Q1060" i="1"/>
  <c r="R1060" i="1"/>
  <c r="Q1059" i="1"/>
  <c r="R1059" i="1"/>
  <c r="Q1058" i="1"/>
  <c r="R1058" i="1"/>
  <c r="Q1057" i="1"/>
  <c r="R1057" i="1"/>
  <c r="Q1056" i="1"/>
  <c r="R1056" i="1"/>
  <c r="Q1055" i="1"/>
  <c r="R1055" i="1"/>
  <c r="Q1054" i="1"/>
  <c r="R1054" i="1"/>
  <c r="Q1053" i="1"/>
  <c r="R1053" i="1"/>
  <c r="Q1052" i="1"/>
  <c r="R1052" i="1"/>
  <c r="Q1051" i="1"/>
  <c r="R1051" i="1"/>
  <c r="Q1050" i="1"/>
  <c r="R1050" i="1"/>
  <c r="Q1049" i="1"/>
  <c r="R1049" i="1"/>
  <c r="Q1048" i="1"/>
  <c r="R1048" i="1"/>
  <c r="Q1047" i="1"/>
  <c r="R1047" i="1"/>
  <c r="Q1046" i="1"/>
  <c r="R1046" i="1"/>
  <c r="Q1045" i="1"/>
  <c r="R1045" i="1"/>
  <c r="Q1044" i="1"/>
  <c r="R1044" i="1"/>
  <c r="Q1043" i="1"/>
  <c r="R1043" i="1"/>
  <c r="Q1042" i="1"/>
  <c r="R1042" i="1"/>
  <c r="Q1041" i="1"/>
  <c r="R1041" i="1"/>
  <c r="Q1040" i="1"/>
  <c r="R1040" i="1"/>
  <c r="Q1039" i="1"/>
  <c r="R1039" i="1"/>
  <c r="Q1038" i="1"/>
  <c r="R1038" i="1"/>
  <c r="Q1037" i="1"/>
  <c r="R1037" i="1"/>
  <c r="Q1036" i="1"/>
  <c r="R1036" i="1"/>
  <c r="Q1035" i="1"/>
  <c r="R1035" i="1"/>
  <c r="L1035" i="1"/>
  <c r="Q1034" i="1"/>
  <c r="R1034" i="1"/>
  <c r="L1034" i="1"/>
  <c r="Q1033" i="1"/>
  <c r="R1033" i="1"/>
  <c r="L1033" i="1"/>
  <c r="Q1032" i="1"/>
  <c r="R1032" i="1"/>
  <c r="Q1031" i="1"/>
  <c r="R1031" i="1"/>
  <c r="Q1030" i="1"/>
  <c r="R1030" i="1"/>
  <c r="Q1029" i="1"/>
  <c r="R1029" i="1"/>
  <c r="Q1028" i="1"/>
  <c r="R1028" i="1"/>
  <c r="Q1027" i="1"/>
  <c r="R1027" i="1"/>
  <c r="Q1026" i="1"/>
  <c r="R1026" i="1"/>
  <c r="L1026" i="1"/>
  <c r="Q1025" i="1"/>
  <c r="R1025" i="1"/>
  <c r="L1025" i="1"/>
  <c r="Q1024" i="1"/>
  <c r="R1024" i="1"/>
  <c r="L1024" i="1"/>
  <c r="Q1023" i="1"/>
  <c r="R1023" i="1"/>
  <c r="L1023" i="1"/>
  <c r="Q1022" i="1"/>
  <c r="R1022" i="1"/>
  <c r="L1022" i="1"/>
  <c r="Q1021" i="1"/>
  <c r="R1021" i="1"/>
  <c r="Q1020" i="1"/>
  <c r="R1020" i="1"/>
  <c r="Q1019" i="1"/>
  <c r="R1019" i="1"/>
  <c r="Q1018" i="1"/>
  <c r="R1018" i="1"/>
  <c r="Q1017" i="1"/>
  <c r="R1017" i="1"/>
  <c r="Q1016" i="1"/>
  <c r="R1016" i="1"/>
  <c r="Q1015" i="1"/>
  <c r="R1015" i="1"/>
  <c r="L1015" i="1"/>
  <c r="Q1014" i="1"/>
  <c r="R1014" i="1"/>
  <c r="L1014" i="1"/>
  <c r="Q1013" i="1"/>
  <c r="R1013" i="1"/>
  <c r="L1013" i="1"/>
  <c r="Q1012" i="1"/>
  <c r="R1012" i="1"/>
  <c r="Q1011" i="1"/>
  <c r="R1011" i="1"/>
  <c r="Q1010" i="1"/>
  <c r="R1010" i="1"/>
  <c r="Q1009" i="1"/>
  <c r="R1009" i="1"/>
  <c r="Q1008" i="1"/>
  <c r="R1008" i="1"/>
  <c r="Q1007" i="1"/>
  <c r="R1007" i="1"/>
  <c r="Q1006" i="1"/>
  <c r="R1006" i="1"/>
  <c r="L1006" i="1"/>
  <c r="Q1005" i="1"/>
  <c r="R1005" i="1"/>
  <c r="L1005" i="1"/>
  <c r="Q1004" i="1"/>
  <c r="R1004" i="1"/>
  <c r="Q1003" i="1"/>
  <c r="R1003" i="1"/>
  <c r="L1003" i="1"/>
  <c r="Q1002" i="1"/>
  <c r="R1002" i="1"/>
  <c r="Q1001" i="1"/>
  <c r="R1001" i="1"/>
  <c r="Q1000" i="1"/>
  <c r="R1000" i="1"/>
  <c r="Q999" i="1"/>
  <c r="R999" i="1"/>
  <c r="Q998" i="1"/>
  <c r="R998" i="1"/>
  <c r="Q997" i="1"/>
  <c r="R997" i="1"/>
  <c r="Q996" i="1"/>
  <c r="R996" i="1"/>
  <c r="L996" i="1"/>
  <c r="Q995" i="1"/>
  <c r="R995" i="1"/>
  <c r="L995" i="1"/>
  <c r="Q994" i="1"/>
  <c r="R994" i="1"/>
  <c r="L994" i="1"/>
  <c r="Q993" i="1"/>
  <c r="R993" i="1"/>
  <c r="L993" i="1"/>
  <c r="Q992" i="1"/>
  <c r="R992" i="1"/>
  <c r="Q991" i="1"/>
  <c r="R991" i="1"/>
  <c r="Q990" i="1"/>
  <c r="R990" i="1"/>
  <c r="Q989" i="1"/>
  <c r="R989" i="1"/>
  <c r="Q988" i="1"/>
  <c r="R988" i="1"/>
  <c r="Q987" i="1"/>
  <c r="R987" i="1"/>
  <c r="Q986" i="1"/>
  <c r="R986" i="1"/>
  <c r="L986" i="1"/>
  <c r="Q985" i="1"/>
  <c r="R985" i="1"/>
  <c r="L985" i="1"/>
  <c r="Q984" i="1"/>
  <c r="R984" i="1"/>
  <c r="Q983" i="1"/>
  <c r="R983" i="1"/>
  <c r="L983" i="1"/>
  <c r="Q982" i="1"/>
  <c r="R982" i="1"/>
  <c r="Q981" i="1"/>
  <c r="R981" i="1"/>
  <c r="Q980" i="1"/>
  <c r="R980" i="1"/>
  <c r="Q979" i="1"/>
  <c r="R979" i="1"/>
  <c r="Q978" i="1"/>
  <c r="R978" i="1"/>
  <c r="Q977" i="1"/>
  <c r="R977" i="1"/>
  <c r="Q976" i="1"/>
  <c r="R976" i="1"/>
  <c r="L976" i="1"/>
  <c r="Q975" i="1"/>
  <c r="R975" i="1"/>
  <c r="L975" i="1"/>
  <c r="Q974" i="1"/>
  <c r="R974" i="1"/>
  <c r="L974" i="1"/>
  <c r="Q973" i="1"/>
  <c r="R973" i="1"/>
  <c r="L973" i="1"/>
  <c r="Q972" i="1"/>
  <c r="R972" i="1"/>
  <c r="L972" i="1"/>
  <c r="Q971" i="1"/>
  <c r="R971" i="1"/>
  <c r="Q970" i="1"/>
  <c r="R970" i="1"/>
  <c r="Q969" i="1"/>
  <c r="R969" i="1"/>
  <c r="Q968" i="1"/>
  <c r="R968" i="1"/>
  <c r="Q967" i="1"/>
  <c r="R967" i="1"/>
  <c r="Q966" i="1"/>
  <c r="R966" i="1"/>
  <c r="L966" i="1"/>
  <c r="Q965" i="1"/>
  <c r="R965" i="1"/>
  <c r="L965" i="1"/>
  <c r="Q964" i="1"/>
  <c r="R964" i="1"/>
  <c r="L964" i="1"/>
  <c r="Q963" i="1"/>
  <c r="R963" i="1"/>
  <c r="L963" i="1"/>
  <c r="Q962" i="1"/>
  <c r="R962" i="1"/>
  <c r="L962" i="1"/>
  <c r="Q961" i="1"/>
  <c r="R961" i="1"/>
  <c r="Q960" i="1"/>
  <c r="R960" i="1"/>
  <c r="Q959" i="1"/>
  <c r="R959" i="1"/>
  <c r="Q958" i="1"/>
  <c r="R958" i="1"/>
  <c r="Q957" i="1"/>
  <c r="R957" i="1"/>
  <c r="Q956" i="1"/>
  <c r="R956" i="1"/>
  <c r="Q955" i="1"/>
  <c r="R955" i="1"/>
  <c r="Q954" i="1"/>
  <c r="R954" i="1"/>
  <c r="L954" i="1"/>
  <c r="Q953" i="1"/>
  <c r="R953" i="1"/>
  <c r="L953" i="1"/>
  <c r="Q952" i="1"/>
  <c r="R952" i="1"/>
  <c r="L952" i="1"/>
  <c r="Q951" i="1"/>
  <c r="R951" i="1"/>
  <c r="L951" i="1"/>
  <c r="Q950" i="1"/>
  <c r="R950" i="1"/>
  <c r="Q949" i="1"/>
  <c r="R949" i="1"/>
  <c r="Q948" i="1"/>
  <c r="R948" i="1"/>
  <c r="Q947" i="1"/>
  <c r="R947" i="1"/>
  <c r="Q946" i="1"/>
  <c r="R946" i="1"/>
  <c r="Q945" i="1"/>
  <c r="R945" i="1"/>
  <c r="Q944" i="1"/>
  <c r="R944" i="1"/>
  <c r="L944" i="1"/>
  <c r="Q943" i="1"/>
  <c r="R943" i="1"/>
  <c r="L943" i="1"/>
  <c r="Q942" i="1"/>
  <c r="R942" i="1"/>
  <c r="L942" i="1"/>
  <c r="Q915" i="1"/>
  <c r="R915" i="1"/>
  <c r="L915" i="1"/>
  <c r="Q914" i="1"/>
  <c r="R914" i="1"/>
  <c r="Q913" i="1"/>
  <c r="R913" i="1"/>
  <c r="Q912" i="1"/>
  <c r="R912" i="1"/>
  <c r="Q911" i="1"/>
  <c r="R911" i="1"/>
  <c r="Q910" i="1"/>
  <c r="R910" i="1"/>
  <c r="Q909" i="1"/>
  <c r="R909" i="1"/>
  <c r="Q908" i="1"/>
  <c r="R908" i="1"/>
  <c r="Q907" i="1"/>
  <c r="R907" i="1"/>
  <c r="L907" i="1"/>
  <c r="Q906" i="1"/>
  <c r="R906" i="1"/>
  <c r="L906" i="1"/>
  <c r="Q905" i="1"/>
  <c r="R905" i="1"/>
  <c r="L905" i="1"/>
  <c r="Q904" i="1"/>
  <c r="R904" i="1"/>
  <c r="L904" i="1"/>
  <c r="Q903" i="1"/>
  <c r="R903" i="1"/>
  <c r="L903" i="1"/>
  <c r="Q902" i="1"/>
  <c r="R902" i="1"/>
  <c r="L902" i="1"/>
  <c r="Q901" i="1"/>
  <c r="R901" i="1"/>
  <c r="Q900" i="1"/>
  <c r="R900" i="1"/>
  <c r="Q899" i="1"/>
  <c r="R899" i="1"/>
  <c r="Q898" i="1"/>
  <c r="R898" i="1"/>
  <c r="Q897" i="1"/>
  <c r="R897" i="1"/>
  <c r="Q896" i="1"/>
  <c r="R896" i="1"/>
  <c r="Q895" i="1"/>
  <c r="R895" i="1"/>
  <c r="L895" i="1"/>
  <c r="Q894" i="1"/>
  <c r="R894" i="1"/>
  <c r="L894" i="1"/>
  <c r="Q893" i="1"/>
  <c r="R893" i="1"/>
  <c r="L893" i="1"/>
  <c r="Q892" i="1"/>
  <c r="R892" i="1"/>
  <c r="L892" i="1"/>
  <c r="Q891" i="1"/>
  <c r="R891" i="1"/>
  <c r="L891" i="1"/>
  <c r="Q890" i="1"/>
  <c r="R890" i="1"/>
  <c r="Q889" i="1"/>
  <c r="R889" i="1"/>
  <c r="Q888" i="1"/>
  <c r="R888" i="1"/>
  <c r="Q887" i="1"/>
  <c r="R887" i="1"/>
  <c r="Q886" i="1"/>
  <c r="R886" i="1"/>
  <c r="Q885" i="1"/>
  <c r="R885" i="1"/>
  <c r="Q884" i="1"/>
  <c r="R884" i="1"/>
  <c r="Q883" i="1"/>
  <c r="R883" i="1"/>
  <c r="L883" i="1"/>
  <c r="Q882" i="1"/>
  <c r="R882" i="1"/>
  <c r="L882" i="1"/>
  <c r="Q881" i="1"/>
  <c r="R881" i="1"/>
  <c r="L881" i="1"/>
  <c r="Q880" i="1"/>
  <c r="R880" i="1"/>
  <c r="L880" i="1"/>
  <c r="Q879" i="1"/>
  <c r="R879" i="1"/>
  <c r="L879" i="1"/>
  <c r="Q878" i="1"/>
  <c r="R878" i="1"/>
  <c r="Q877" i="1"/>
  <c r="R877" i="1"/>
  <c r="Q876" i="1"/>
  <c r="R876" i="1"/>
  <c r="Q875" i="1"/>
  <c r="R875" i="1"/>
  <c r="Q874" i="1"/>
  <c r="R874" i="1"/>
  <c r="Q873" i="1"/>
  <c r="R873" i="1"/>
  <c r="Q872" i="1"/>
  <c r="R872" i="1"/>
  <c r="Q871" i="1"/>
  <c r="R871" i="1"/>
  <c r="L871" i="1"/>
  <c r="Q870" i="1"/>
  <c r="R870" i="1"/>
  <c r="L870" i="1"/>
  <c r="Q869" i="1"/>
  <c r="R869" i="1"/>
  <c r="L869" i="1"/>
  <c r="Q868" i="1"/>
  <c r="R868" i="1"/>
  <c r="L868" i="1"/>
  <c r="Q867" i="1"/>
  <c r="R867" i="1"/>
  <c r="L867" i="1"/>
  <c r="Q866" i="1"/>
  <c r="R866" i="1"/>
  <c r="Q865" i="1"/>
  <c r="R865" i="1"/>
  <c r="Q864" i="1"/>
  <c r="R864" i="1"/>
  <c r="Q863" i="1"/>
  <c r="R863" i="1"/>
  <c r="Q862" i="1"/>
  <c r="R862" i="1"/>
  <c r="Q861" i="1"/>
  <c r="R861" i="1"/>
  <c r="Q860" i="1"/>
  <c r="R860" i="1"/>
  <c r="Q859" i="1"/>
  <c r="R859" i="1"/>
  <c r="L859" i="1"/>
  <c r="Q858" i="1"/>
  <c r="R858" i="1"/>
  <c r="L858" i="1"/>
  <c r="Q857" i="1"/>
  <c r="R857" i="1"/>
  <c r="L857" i="1"/>
  <c r="Q856" i="1"/>
  <c r="R856" i="1"/>
  <c r="L856" i="1"/>
  <c r="Q855" i="1"/>
  <c r="R855" i="1"/>
  <c r="L855" i="1"/>
  <c r="Q854" i="1"/>
  <c r="R854" i="1"/>
  <c r="L854" i="1"/>
  <c r="Q853" i="1"/>
  <c r="R853" i="1"/>
  <c r="Q852" i="1"/>
  <c r="R852" i="1"/>
  <c r="Q851" i="1"/>
  <c r="R851" i="1"/>
  <c r="Q850" i="1"/>
  <c r="R850" i="1"/>
  <c r="Q849" i="1"/>
  <c r="R849" i="1"/>
  <c r="Q848" i="1"/>
  <c r="R848" i="1"/>
  <c r="Q847" i="1"/>
  <c r="R847" i="1"/>
  <c r="L847" i="1"/>
  <c r="Q846" i="1"/>
  <c r="R846" i="1"/>
  <c r="L846" i="1"/>
  <c r="Q845" i="1"/>
  <c r="R845" i="1"/>
  <c r="L845" i="1"/>
  <c r="Q844" i="1"/>
  <c r="R844" i="1"/>
  <c r="L844" i="1"/>
  <c r="Q843" i="1"/>
  <c r="R843" i="1"/>
  <c r="L843" i="1"/>
  <c r="Q842" i="1"/>
  <c r="R842" i="1"/>
  <c r="Q841" i="1"/>
  <c r="R841" i="1"/>
  <c r="Q840" i="1"/>
  <c r="R840" i="1"/>
  <c r="Q839" i="1"/>
  <c r="R839" i="1"/>
  <c r="Q838" i="1"/>
  <c r="R838" i="1"/>
  <c r="Q837" i="1"/>
  <c r="R837" i="1"/>
  <c r="Q836" i="1"/>
  <c r="R836" i="1"/>
  <c r="Q835" i="1"/>
  <c r="R835" i="1"/>
  <c r="L835" i="1"/>
  <c r="Q834" i="1"/>
  <c r="R834" i="1"/>
  <c r="L834" i="1"/>
  <c r="Q833" i="1"/>
  <c r="R833" i="1"/>
  <c r="L833" i="1"/>
  <c r="Q832" i="1"/>
  <c r="R832" i="1"/>
  <c r="L832" i="1"/>
  <c r="Q831" i="1"/>
  <c r="R831" i="1"/>
  <c r="L831" i="1"/>
  <c r="Q830" i="1"/>
  <c r="R830" i="1"/>
  <c r="Q829" i="1"/>
  <c r="R829" i="1"/>
  <c r="Q828" i="1"/>
  <c r="R828" i="1"/>
  <c r="Q827" i="1"/>
  <c r="R827" i="1"/>
  <c r="Q826" i="1"/>
  <c r="R826" i="1"/>
  <c r="Q825" i="1"/>
  <c r="R825" i="1"/>
  <c r="Q824" i="1"/>
  <c r="R824" i="1"/>
  <c r="Q823" i="1"/>
  <c r="R823" i="1"/>
  <c r="L823" i="1"/>
  <c r="Q822" i="1"/>
  <c r="R822" i="1"/>
  <c r="L822" i="1"/>
  <c r="Q821" i="1"/>
  <c r="R821" i="1"/>
  <c r="L821" i="1"/>
  <c r="Q820" i="1"/>
  <c r="R820" i="1"/>
  <c r="L820" i="1"/>
  <c r="Q819" i="1"/>
  <c r="R819" i="1"/>
  <c r="L819" i="1"/>
  <c r="Q818" i="1"/>
  <c r="R818" i="1"/>
  <c r="Q817" i="1"/>
  <c r="R817" i="1"/>
  <c r="Q816" i="1"/>
  <c r="R816" i="1"/>
  <c r="Q815" i="1"/>
  <c r="R815" i="1"/>
  <c r="Q814" i="1"/>
  <c r="R814" i="1"/>
  <c r="Q813" i="1"/>
  <c r="R813" i="1"/>
  <c r="Q812" i="1"/>
  <c r="R812" i="1"/>
  <c r="Q811" i="1"/>
  <c r="R811" i="1"/>
  <c r="L811" i="1"/>
  <c r="Q810" i="1"/>
  <c r="R810" i="1"/>
  <c r="L810" i="1"/>
  <c r="Q809" i="1"/>
  <c r="R809" i="1"/>
  <c r="L809" i="1"/>
  <c r="Q808" i="1"/>
  <c r="R808" i="1"/>
  <c r="L808" i="1"/>
  <c r="Q807" i="1"/>
  <c r="R807" i="1"/>
  <c r="L807" i="1"/>
  <c r="Q806" i="1"/>
  <c r="R806" i="1"/>
  <c r="Q805" i="1"/>
  <c r="R805" i="1"/>
  <c r="Q804" i="1"/>
  <c r="R804" i="1"/>
  <c r="Q803" i="1"/>
  <c r="R803" i="1"/>
  <c r="Q802" i="1"/>
  <c r="R802" i="1"/>
  <c r="Q801" i="1"/>
  <c r="R801" i="1"/>
  <c r="Q800" i="1"/>
  <c r="R800" i="1"/>
  <c r="Q799" i="1"/>
  <c r="R799" i="1"/>
  <c r="L799" i="1"/>
  <c r="Q798" i="1"/>
  <c r="R798" i="1"/>
  <c r="L798" i="1"/>
  <c r="Q797" i="1"/>
  <c r="R797" i="1"/>
  <c r="L797" i="1"/>
  <c r="Q796" i="1"/>
  <c r="R796" i="1"/>
  <c r="L796" i="1"/>
  <c r="Q795" i="1"/>
  <c r="R795" i="1"/>
  <c r="L795" i="1"/>
  <c r="Q794" i="1"/>
  <c r="R794" i="1"/>
  <c r="Q793" i="1"/>
  <c r="R793" i="1"/>
  <c r="Q792" i="1"/>
  <c r="R792" i="1"/>
  <c r="Q791" i="1"/>
  <c r="R791" i="1"/>
  <c r="Q790" i="1"/>
  <c r="R790" i="1"/>
  <c r="Q789" i="1"/>
  <c r="R789" i="1"/>
  <c r="Q788" i="1"/>
  <c r="R788" i="1"/>
  <c r="Q787" i="1"/>
  <c r="R787" i="1"/>
  <c r="L787" i="1"/>
  <c r="Q786" i="1"/>
  <c r="R786" i="1"/>
  <c r="L786" i="1"/>
  <c r="Q785" i="1"/>
  <c r="R785" i="1"/>
  <c r="L785" i="1"/>
  <c r="Q784" i="1"/>
  <c r="R784" i="1"/>
  <c r="L784" i="1"/>
  <c r="Q783" i="1"/>
  <c r="R783" i="1"/>
  <c r="L783" i="1"/>
  <c r="Q782" i="1"/>
  <c r="R782" i="1"/>
  <c r="Q781" i="1"/>
  <c r="R781" i="1"/>
  <c r="Q780" i="1"/>
  <c r="R780" i="1"/>
  <c r="Q779" i="1"/>
  <c r="R779" i="1"/>
  <c r="Q778" i="1"/>
  <c r="R778" i="1"/>
  <c r="Q777" i="1"/>
  <c r="R777" i="1"/>
  <c r="Q776" i="1"/>
  <c r="R776" i="1"/>
  <c r="Q775" i="1"/>
  <c r="R775" i="1"/>
  <c r="L775" i="1"/>
  <c r="Q774" i="1"/>
  <c r="R774" i="1"/>
  <c r="L774" i="1"/>
  <c r="Q773" i="1"/>
  <c r="R773" i="1"/>
  <c r="L773" i="1"/>
  <c r="Q772" i="1"/>
  <c r="R772" i="1"/>
  <c r="L772" i="1"/>
  <c r="Q771" i="1"/>
  <c r="R771" i="1"/>
  <c r="L771" i="1"/>
  <c r="Q770" i="1"/>
  <c r="R770" i="1"/>
  <c r="Q769" i="1"/>
  <c r="R769" i="1"/>
  <c r="Q768" i="1"/>
  <c r="R768" i="1"/>
  <c r="Q767" i="1"/>
  <c r="R767" i="1"/>
  <c r="Q766" i="1"/>
  <c r="R766" i="1"/>
  <c r="Q765" i="1"/>
  <c r="R765" i="1"/>
  <c r="Q764" i="1"/>
  <c r="R764" i="1"/>
  <c r="Q763" i="1"/>
  <c r="R763" i="1"/>
  <c r="L763" i="1"/>
  <c r="Q762" i="1"/>
  <c r="R762" i="1"/>
  <c r="L762" i="1"/>
  <c r="Q761" i="1"/>
  <c r="R761" i="1"/>
  <c r="L761" i="1"/>
  <c r="Q760" i="1"/>
  <c r="R760" i="1"/>
  <c r="L760" i="1"/>
  <c r="Q759" i="1"/>
  <c r="R759" i="1"/>
  <c r="L759" i="1"/>
  <c r="Q758" i="1"/>
  <c r="R758" i="1"/>
  <c r="Q757" i="1"/>
  <c r="R757" i="1"/>
  <c r="Q756" i="1"/>
  <c r="R756" i="1"/>
  <c r="Q755" i="1"/>
  <c r="R755" i="1"/>
  <c r="Q754" i="1"/>
  <c r="R754" i="1"/>
  <c r="Q753" i="1"/>
  <c r="R753" i="1"/>
  <c r="Q752" i="1"/>
  <c r="R752" i="1"/>
  <c r="Q751" i="1"/>
  <c r="R751" i="1"/>
  <c r="L751" i="1"/>
  <c r="Q750" i="1"/>
  <c r="R750" i="1"/>
  <c r="L750" i="1"/>
  <c r="Q749" i="1"/>
  <c r="R749" i="1"/>
  <c r="L749" i="1"/>
  <c r="Q748" i="1"/>
  <c r="R748" i="1"/>
  <c r="L748" i="1"/>
  <c r="Q747" i="1"/>
  <c r="R747" i="1"/>
  <c r="L747" i="1"/>
  <c r="Q746" i="1"/>
  <c r="R746" i="1"/>
  <c r="Q745" i="1"/>
  <c r="R745" i="1"/>
  <c r="Q744" i="1"/>
  <c r="R744" i="1"/>
  <c r="Q743" i="1"/>
  <c r="R743" i="1"/>
  <c r="Q742" i="1"/>
  <c r="R742" i="1"/>
  <c r="Q741" i="1"/>
  <c r="R741" i="1"/>
  <c r="Q740" i="1"/>
  <c r="R740" i="1"/>
  <c r="Q739" i="1"/>
  <c r="R739" i="1"/>
  <c r="L739" i="1"/>
  <c r="Q738" i="1"/>
  <c r="R738" i="1"/>
  <c r="L738" i="1"/>
  <c r="Q737" i="1"/>
  <c r="R737" i="1"/>
  <c r="L737" i="1"/>
  <c r="Q736" i="1"/>
  <c r="R736" i="1"/>
  <c r="L736" i="1"/>
  <c r="Q735" i="1"/>
  <c r="R735" i="1"/>
  <c r="L735" i="1"/>
  <c r="Q734" i="1"/>
  <c r="R734" i="1"/>
  <c r="Q733" i="1"/>
  <c r="R733" i="1"/>
  <c r="Q732" i="1"/>
  <c r="R732" i="1"/>
  <c r="Q731" i="1"/>
  <c r="R731" i="1"/>
  <c r="Q730" i="1"/>
  <c r="R730" i="1"/>
  <c r="Q729" i="1"/>
  <c r="R729" i="1"/>
  <c r="Q728" i="1"/>
  <c r="R728" i="1"/>
  <c r="Q727" i="1"/>
  <c r="R727" i="1"/>
  <c r="L727" i="1"/>
  <c r="Q726" i="1"/>
  <c r="R726" i="1"/>
  <c r="L726" i="1"/>
  <c r="Q725" i="1"/>
  <c r="R725" i="1"/>
  <c r="L725" i="1"/>
  <c r="Q724" i="1"/>
  <c r="R724" i="1"/>
  <c r="L724" i="1"/>
  <c r="Q695" i="1"/>
  <c r="R695" i="1"/>
  <c r="Q694" i="1"/>
  <c r="R694" i="1"/>
  <c r="Q693" i="1"/>
  <c r="R693" i="1"/>
  <c r="Q692" i="1"/>
  <c r="R692" i="1"/>
  <c r="Q691" i="1"/>
  <c r="R691" i="1"/>
  <c r="Q690" i="1"/>
  <c r="R690" i="1"/>
  <c r="Q689" i="1"/>
  <c r="R689" i="1"/>
  <c r="L689" i="1"/>
  <c r="Q688" i="1"/>
  <c r="R688" i="1"/>
  <c r="L688" i="1"/>
  <c r="Q687" i="1"/>
  <c r="R687" i="1"/>
  <c r="L687" i="1"/>
  <c r="Q686" i="1"/>
  <c r="R686" i="1"/>
  <c r="L686" i="1"/>
  <c r="Q685" i="1"/>
  <c r="R685" i="1"/>
  <c r="L685" i="1"/>
  <c r="Q683" i="1"/>
  <c r="R683" i="1"/>
  <c r="Q682" i="1"/>
  <c r="R682" i="1"/>
  <c r="Q681" i="1"/>
  <c r="R681" i="1"/>
  <c r="Q680" i="1"/>
  <c r="R680" i="1"/>
  <c r="Q679" i="1"/>
  <c r="R679" i="1"/>
  <c r="Q678" i="1"/>
  <c r="R678" i="1"/>
  <c r="Q677" i="1"/>
  <c r="R677" i="1"/>
  <c r="Q676" i="1"/>
  <c r="R676" i="1"/>
  <c r="L676" i="1"/>
  <c r="Q675" i="1"/>
  <c r="R675" i="1"/>
  <c r="L675" i="1"/>
  <c r="Q674" i="1"/>
  <c r="R674" i="1"/>
  <c r="L674" i="1"/>
  <c r="Q673" i="1"/>
  <c r="R673" i="1"/>
  <c r="L673" i="1"/>
  <c r="Q672" i="1"/>
  <c r="R672" i="1"/>
  <c r="L672" i="1"/>
  <c r="Q671" i="1"/>
  <c r="R671" i="1"/>
  <c r="Q670" i="1"/>
  <c r="R670" i="1"/>
  <c r="Q669" i="1"/>
  <c r="R669" i="1"/>
  <c r="Q668" i="1"/>
  <c r="R668" i="1"/>
  <c r="Q667" i="1"/>
  <c r="R667" i="1"/>
  <c r="Q666" i="1"/>
  <c r="R666" i="1"/>
  <c r="Q665" i="1"/>
  <c r="R665" i="1"/>
  <c r="Q664" i="1"/>
  <c r="R664" i="1"/>
  <c r="L664" i="1"/>
  <c r="Q663" i="1"/>
  <c r="R663" i="1"/>
  <c r="L663" i="1"/>
  <c r="Q662" i="1"/>
  <c r="R662" i="1"/>
  <c r="L662" i="1"/>
  <c r="Q661" i="1"/>
  <c r="R661" i="1"/>
  <c r="L661" i="1"/>
  <c r="Q660" i="1"/>
  <c r="R660" i="1"/>
  <c r="L660" i="1"/>
  <c r="Q659" i="1"/>
  <c r="R659" i="1"/>
  <c r="Q658" i="1"/>
  <c r="R658" i="1"/>
  <c r="Q657" i="1"/>
  <c r="R657" i="1"/>
  <c r="Q656" i="1"/>
  <c r="R656" i="1"/>
  <c r="Q655" i="1"/>
  <c r="R655" i="1"/>
  <c r="Q654" i="1"/>
  <c r="R654" i="1"/>
  <c r="Q653" i="1"/>
  <c r="R653" i="1"/>
  <c r="Q652" i="1"/>
  <c r="R652" i="1"/>
  <c r="L652" i="1"/>
  <c r="Q651" i="1"/>
  <c r="R651" i="1"/>
  <c r="L651" i="1"/>
  <c r="Q650" i="1"/>
  <c r="R650" i="1"/>
  <c r="L650" i="1"/>
  <c r="Q649" i="1"/>
  <c r="R649" i="1"/>
  <c r="L649" i="1"/>
  <c r="Q648" i="1"/>
  <c r="R648" i="1"/>
  <c r="L648" i="1"/>
  <c r="Q647" i="1"/>
  <c r="R647" i="1"/>
  <c r="Q646" i="1"/>
  <c r="R646" i="1"/>
  <c r="Q645" i="1"/>
  <c r="R645" i="1"/>
  <c r="Q644" i="1"/>
  <c r="R644" i="1"/>
  <c r="Q643" i="1"/>
  <c r="R643" i="1"/>
  <c r="Q642" i="1"/>
  <c r="R642" i="1"/>
  <c r="Q641" i="1"/>
  <c r="R641" i="1"/>
  <c r="Q640" i="1"/>
  <c r="R640" i="1"/>
  <c r="L640" i="1"/>
  <c r="Q639" i="1"/>
  <c r="R639" i="1"/>
  <c r="L639" i="1"/>
  <c r="Q638" i="1"/>
  <c r="R638" i="1"/>
  <c r="L638" i="1"/>
  <c r="Q637" i="1"/>
  <c r="R637" i="1"/>
  <c r="L637" i="1"/>
  <c r="Q636" i="1"/>
  <c r="R636" i="1"/>
  <c r="L636" i="1"/>
  <c r="Q635" i="1"/>
  <c r="R635" i="1"/>
  <c r="Q634" i="1"/>
  <c r="R634" i="1"/>
  <c r="Q633" i="1"/>
  <c r="R633" i="1"/>
  <c r="Q632" i="1"/>
  <c r="R632" i="1"/>
  <c r="Q631" i="1"/>
  <c r="R631" i="1"/>
  <c r="Q630" i="1"/>
  <c r="R630" i="1"/>
  <c r="Q629" i="1"/>
  <c r="R629" i="1"/>
  <c r="Q628" i="1"/>
  <c r="R628" i="1"/>
  <c r="L628" i="1"/>
  <c r="Q627" i="1"/>
  <c r="R627" i="1"/>
  <c r="L627" i="1"/>
  <c r="Q626" i="1"/>
  <c r="R626" i="1"/>
  <c r="L626" i="1"/>
  <c r="Q625" i="1"/>
  <c r="R625" i="1"/>
  <c r="L625" i="1"/>
  <c r="Q624" i="1"/>
  <c r="R624" i="1"/>
  <c r="L624" i="1"/>
  <c r="Q623" i="1"/>
  <c r="R623" i="1"/>
  <c r="L623" i="1"/>
  <c r="Q622" i="1"/>
  <c r="R622" i="1"/>
  <c r="Q621" i="1"/>
  <c r="R621" i="1"/>
  <c r="Q620" i="1"/>
  <c r="R620" i="1"/>
  <c r="Q619" i="1"/>
  <c r="R619" i="1"/>
  <c r="Q618" i="1"/>
  <c r="R618" i="1"/>
  <c r="Q617" i="1"/>
  <c r="R617" i="1"/>
  <c r="Q616" i="1"/>
  <c r="R616" i="1"/>
  <c r="L616" i="1"/>
  <c r="Q615" i="1"/>
  <c r="R615" i="1"/>
  <c r="L615" i="1"/>
  <c r="Q614" i="1"/>
  <c r="R614" i="1"/>
  <c r="L614" i="1"/>
  <c r="Q613" i="1"/>
  <c r="R613" i="1"/>
  <c r="L613" i="1"/>
  <c r="Q612" i="1"/>
  <c r="R612" i="1"/>
  <c r="L612" i="1"/>
  <c r="Q611" i="1"/>
  <c r="R611" i="1"/>
  <c r="Q610" i="1"/>
  <c r="R610" i="1"/>
  <c r="Q609" i="1"/>
  <c r="R609" i="1"/>
  <c r="Q608" i="1"/>
  <c r="R608" i="1"/>
  <c r="Q607" i="1"/>
  <c r="R607" i="1"/>
  <c r="Q606" i="1"/>
  <c r="R606" i="1"/>
  <c r="Q605" i="1"/>
  <c r="R605" i="1"/>
  <c r="Q604" i="1"/>
  <c r="R604" i="1"/>
  <c r="L604" i="1"/>
  <c r="Q603" i="1"/>
  <c r="R603" i="1"/>
  <c r="L603" i="1"/>
  <c r="Q602" i="1"/>
  <c r="R602" i="1"/>
  <c r="L602" i="1"/>
  <c r="Q601" i="1"/>
  <c r="R601" i="1"/>
  <c r="L601" i="1"/>
  <c r="Q600" i="1"/>
  <c r="R600" i="1"/>
  <c r="L600" i="1"/>
  <c r="Q599" i="1"/>
  <c r="R599" i="1"/>
  <c r="L599" i="1"/>
  <c r="Q596" i="1"/>
  <c r="R596" i="1"/>
  <c r="Q595" i="1"/>
  <c r="R595" i="1"/>
  <c r="Q594" i="1"/>
  <c r="R594" i="1"/>
  <c r="Q593" i="1"/>
  <c r="R593" i="1"/>
  <c r="Q592" i="1"/>
  <c r="R592" i="1"/>
  <c r="Q591" i="1"/>
  <c r="R591" i="1"/>
  <c r="L591" i="1"/>
  <c r="Q590" i="1"/>
  <c r="R590" i="1"/>
  <c r="L590" i="1"/>
  <c r="Q589" i="1"/>
  <c r="R589" i="1"/>
  <c r="L589" i="1"/>
  <c r="Q588" i="1"/>
  <c r="R588" i="1"/>
  <c r="L588" i="1"/>
  <c r="Q587" i="1"/>
  <c r="R587" i="1"/>
  <c r="L587" i="1"/>
  <c r="Q586" i="1"/>
  <c r="R586" i="1"/>
  <c r="Q585" i="1"/>
  <c r="R585" i="1"/>
  <c r="Q543" i="1"/>
  <c r="R543" i="1"/>
  <c r="Q542" i="1"/>
  <c r="R542" i="1"/>
  <c r="Q541" i="1"/>
  <c r="R541" i="1"/>
  <c r="Q540" i="1"/>
  <c r="R540" i="1"/>
  <c r="Q539" i="1"/>
  <c r="R539" i="1"/>
  <c r="Q538" i="1"/>
  <c r="R538" i="1"/>
  <c r="L538" i="1"/>
  <c r="Q537" i="1"/>
  <c r="R537" i="1"/>
  <c r="L537" i="1"/>
  <c r="Q536" i="1"/>
  <c r="R536" i="1"/>
  <c r="L536" i="1"/>
  <c r="Q535" i="1"/>
  <c r="R535" i="1"/>
  <c r="L535" i="1"/>
  <c r="Q534" i="1"/>
  <c r="R534" i="1"/>
  <c r="L534" i="1"/>
  <c r="Q533" i="1"/>
  <c r="R533" i="1"/>
  <c r="Q532" i="1"/>
  <c r="R532" i="1"/>
  <c r="Q531" i="1"/>
  <c r="R531" i="1"/>
  <c r="Q530" i="1"/>
  <c r="R530" i="1"/>
  <c r="Q529" i="1"/>
  <c r="R529" i="1"/>
  <c r="Q528" i="1"/>
  <c r="R528" i="1"/>
  <c r="Q527" i="1"/>
  <c r="R527" i="1"/>
  <c r="Q526" i="1"/>
  <c r="R526" i="1"/>
  <c r="L526" i="1"/>
  <c r="Q525" i="1"/>
  <c r="R525" i="1"/>
  <c r="L525" i="1"/>
  <c r="Q524" i="1"/>
  <c r="R524" i="1"/>
  <c r="L524" i="1"/>
  <c r="Q523" i="1"/>
  <c r="R523" i="1"/>
  <c r="L523" i="1"/>
  <c r="Q522" i="1"/>
  <c r="R522" i="1"/>
  <c r="L522" i="1"/>
  <c r="Q521" i="1"/>
  <c r="R521" i="1"/>
  <c r="Q520" i="1"/>
  <c r="R520" i="1"/>
  <c r="Q519" i="1"/>
  <c r="R519" i="1"/>
  <c r="Q518" i="1"/>
  <c r="R518" i="1"/>
  <c r="Q517" i="1"/>
  <c r="R517" i="1"/>
  <c r="Q516" i="1"/>
  <c r="R516" i="1"/>
  <c r="Q515" i="1"/>
  <c r="R515" i="1"/>
  <c r="Q514" i="1"/>
  <c r="R514" i="1"/>
  <c r="L514" i="1"/>
  <c r="Q513" i="1"/>
  <c r="R513" i="1"/>
  <c r="L513" i="1"/>
  <c r="Q512" i="1"/>
  <c r="R512" i="1"/>
  <c r="L512" i="1"/>
  <c r="Q511" i="1"/>
  <c r="R511" i="1"/>
  <c r="L511" i="1"/>
  <c r="Q510" i="1"/>
  <c r="R510" i="1"/>
  <c r="L510" i="1"/>
  <c r="Q509" i="1"/>
  <c r="R509" i="1"/>
  <c r="Q508" i="1"/>
  <c r="R508" i="1"/>
  <c r="Q507" i="1"/>
  <c r="R507" i="1"/>
  <c r="Q506" i="1"/>
  <c r="R506" i="1"/>
  <c r="Q505" i="1"/>
  <c r="R505" i="1"/>
  <c r="Q504" i="1"/>
  <c r="R504" i="1"/>
  <c r="Q503" i="1"/>
  <c r="R503" i="1"/>
  <c r="Q502" i="1"/>
  <c r="R502" i="1"/>
  <c r="L502" i="1"/>
  <c r="Q501" i="1"/>
  <c r="R501" i="1"/>
  <c r="L501" i="1"/>
  <c r="Q500" i="1"/>
  <c r="R500" i="1"/>
  <c r="L500" i="1"/>
  <c r="Q499" i="1"/>
  <c r="R499" i="1"/>
  <c r="L499" i="1"/>
  <c r="Q498" i="1"/>
  <c r="R498" i="1"/>
  <c r="L498" i="1"/>
  <c r="Q497" i="1"/>
  <c r="R497" i="1"/>
  <c r="Q496" i="1"/>
  <c r="R496" i="1"/>
  <c r="Q495" i="1"/>
  <c r="R495" i="1"/>
  <c r="Q494" i="1"/>
  <c r="R494" i="1"/>
  <c r="Q493" i="1"/>
  <c r="R493" i="1"/>
  <c r="Q492" i="1"/>
  <c r="R492" i="1"/>
  <c r="Q491" i="1"/>
  <c r="R491" i="1"/>
  <c r="Q490" i="1"/>
  <c r="R490" i="1"/>
  <c r="L490" i="1"/>
  <c r="Q489" i="1"/>
  <c r="R489" i="1"/>
  <c r="L489" i="1"/>
  <c r="Q488" i="1"/>
  <c r="R488" i="1"/>
  <c r="L488" i="1"/>
  <c r="Q487" i="1"/>
  <c r="R487" i="1"/>
  <c r="L487" i="1"/>
  <c r="Q486" i="1"/>
  <c r="R486" i="1"/>
  <c r="L486" i="1"/>
  <c r="Q485" i="1"/>
  <c r="R485" i="1"/>
  <c r="Q484" i="1"/>
  <c r="R484" i="1"/>
  <c r="Q483" i="1"/>
  <c r="R483" i="1"/>
  <c r="L483" i="1"/>
  <c r="Q482" i="1"/>
  <c r="R482" i="1"/>
  <c r="Q481" i="1"/>
  <c r="R481" i="1"/>
  <c r="Q480" i="1"/>
  <c r="R480" i="1"/>
  <c r="Q479" i="1"/>
  <c r="R479" i="1"/>
  <c r="Q478" i="1"/>
  <c r="R478" i="1"/>
  <c r="Q477" i="1"/>
  <c r="R477" i="1"/>
  <c r="Q476" i="1"/>
  <c r="R476" i="1"/>
  <c r="L476" i="1"/>
  <c r="Q475" i="1"/>
  <c r="R475" i="1"/>
  <c r="L475" i="1"/>
  <c r="Q474" i="1"/>
  <c r="R474" i="1"/>
  <c r="L474" i="1"/>
  <c r="Q473" i="1"/>
  <c r="R473" i="1"/>
  <c r="L473" i="1"/>
  <c r="Q472" i="1"/>
  <c r="R472" i="1"/>
  <c r="Q471" i="1"/>
  <c r="R471" i="1"/>
  <c r="Q470" i="1"/>
  <c r="R470" i="1"/>
  <c r="Q469" i="1"/>
  <c r="R469" i="1"/>
  <c r="Q468" i="1"/>
  <c r="R468" i="1"/>
  <c r="Q467" i="1"/>
  <c r="R467" i="1"/>
  <c r="Q466" i="1"/>
  <c r="R466" i="1"/>
  <c r="Q465" i="1"/>
  <c r="R465" i="1"/>
  <c r="L465" i="1"/>
  <c r="Q464" i="1"/>
  <c r="R464" i="1"/>
  <c r="L464" i="1"/>
  <c r="Q463" i="1"/>
  <c r="R463" i="1"/>
  <c r="L463" i="1"/>
  <c r="Q462" i="1"/>
  <c r="R462" i="1"/>
  <c r="L462" i="1"/>
  <c r="Q461" i="1"/>
  <c r="R461" i="1"/>
  <c r="L461" i="1"/>
  <c r="Q460" i="1"/>
  <c r="R460" i="1"/>
  <c r="Q459" i="1"/>
  <c r="R459" i="1"/>
  <c r="Q458" i="1"/>
  <c r="R458" i="1"/>
  <c r="Q457" i="1"/>
  <c r="R457" i="1"/>
  <c r="Q456" i="1"/>
  <c r="R456" i="1"/>
  <c r="Q455" i="1"/>
  <c r="R455" i="1"/>
  <c r="Q454" i="1"/>
  <c r="R454" i="1"/>
  <c r="Q453" i="1"/>
  <c r="R453" i="1"/>
  <c r="L453" i="1"/>
  <c r="Q452" i="1"/>
  <c r="R452" i="1"/>
  <c r="L452" i="1"/>
  <c r="Q451" i="1"/>
  <c r="R451" i="1"/>
  <c r="L451" i="1"/>
  <c r="Q450" i="1"/>
  <c r="R450" i="1"/>
  <c r="L450" i="1"/>
  <c r="Q449" i="1"/>
  <c r="R449" i="1"/>
  <c r="L449" i="1"/>
  <c r="Q448" i="1"/>
  <c r="R448" i="1"/>
  <c r="Q447" i="1"/>
  <c r="R447" i="1"/>
  <c r="Q446" i="1"/>
  <c r="R446" i="1"/>
  <c r="Q445" i="1"/>
  <c r="R445" i="1"/>
  <c r="Q444" i="1"/>
  <c r="R444" i="1"/>
  <c r="Q443" i="1"/>
  <c r="R443" i="1"/>
  <c r="Q442" i="1"/>
  <c r="R442" i="1"/>
  <c r="Q441" i="1"/>
  <c r="R441" i="1"/>
  <c r="L441" i="1"/>
  <c r="Q440" i="1"/>
  <c r="R440" i="1"/>
  <c r="L440" i="1"/>
  <c r="Q439" i="1"/>
  <c r="R439" i="1"/>
  <c r="L439" i="1"/>
  <c r="Q438" i="1"/>
  <c r="R438" i="1"/>
  <c r="L438" i="1"/>
  <c r="Q437" i="1"/>
  <c r="R437" i="1"/>
  <c r="L437" i="1"/>
  <c r="Q436" i="1"/>
  <c r="R436" i="1"/>
  <c r="Q435" i="1"/>
  <c r="R435" i="1"/>
  <c r="Q434" i="1"/>
  <c r="R434" i="1"/>
  <c r="Q433" i="1"/>
  <c r="R433" i="1"/>
  <c r="Q432" i="1"/>
  <c r="R432" i="1"/>
  <c r="Q431" i="1"/>
  <c r="R431" i="1"/>
  <c r="Q430" i="1"/>
  <c r="R430" i="1"/>
  <c r="Q429" i="1"/>
  <c r="R429" i="1"/>
  <c r="L429" i="1"/>
  <c r="Q428" i="1"/>
  <c r="R428" i="1"/>
  <c r="L428" i="1"/>
  <c r="Q427" i="1"/>
  <c r="R427" i="1"/>
  <c r="L427" i="1"/>
  <c r="Q426" i="1"/>
  <c r="R426" i="1"/>
  <c r="L426" i="1"/>
  <c r="Q425" i="1"/>
  <c r="R425" i="1"/>
  <c r="L425" i="1"/>
  <c r="Q424" i="1"/>
  <c r="R424" i="1"/>
  <c r="L424" i="1"/>
  <c r="Q423" i="1"/>
  <c r="R423" i="1"/>
  <c r="Q422" i="1"/>
  <c r="R422" i="1"/>
  <c r="Q421" i="1"/>
  <c r="R421" i="1"/>
  <c r="Q420" i="1"/>
  <c r="R420" i="1"/>
  <c r="Q419" i="1"/>
  <c r="R419" i="1"/>
  <c r="Q418" i="1"/>
  <c r="R418" i="1"/>
  <c r="Q416" i="1"/>
  <c r="R416" i="1"/>
  <c r="L416" i="1"/>
  <c r="Q415" i="1"/>
  <c r="R415" i="1"/>
  <c r="L415" i="1"/>
  <c r="Q414" i="1"/>
  <c r="R414" i="1"/>
  <c r="L414" i="1"/>
  <c r="Q413" i="1"/>
  <c r="R413" i="1"/>
  <c r="L413" i="1"/>
  <c r="Q412" i="1"/>
  <c r="R412" i="1"/>
  <c r="L412" i="1"/>
  <c r="Q411" i="1"/>
  <c r="R411" i="1"/>
  <c r="Q410" i="1"/>
  <c r="R410" i="1"/>
  <c r="Q409" i="1"/>
  <c r="R409" i="1"/>
  <c r="L409" i="1"/>
  <c r="Q408" i="1"/>
  <c r="R408" i="1"/>
  <c r="Q407" i="1"/>
  <c r="R407" i="1"/>
  <c r="Q406" i="1"/>
  <c r="R406" i="1"/>
  <c r="Q405" i="1"/>
  <c r="R405" i="1"/>
  <c r="Q404" i="1"/>
  <c r="R404" i="1"/>
  <c r="L404" i="1"/>
  <c r="Q403" i="1"/>
  <c r="R403" i="1"/>
  <c r="L403" i="1"/>
  <c r="Q402" i="1"/>
  <c r="R402" i="1"/>
  <c r="L402" i="1"/>
  <c r="Q401" i="1"/>
  <c r="R401" i="1"/>
  <c r="L401" i="1"/>
  <c r="Q400" i="1"/>
  <c r="R400" i="1"/>
  <c r="L400" i="1"/>
  <c r="Q399" i="1"/>
  <c r="R399" i="1"/>
  <c r="Q398" i="1"/>
  <c r="R398" i="1"/>
  <c r="Q397" i="1"/>
  <c r="R397" i="1"/>
  <c r="Q396" i="1"/>
  <c r="R396" i="1"/>
  <c r="Q395" i="1"/>
  <c r="R395" i="1"/>
  <c r="Q394" i="1"/>
  <c r="R394" i="1"/>
  <c r="Q390" i="1"/>
  <c r="R390" i="1"/>
  <c r="Q389" i="1"/>
  <c r="R389" i="1"/>
  <c r="L389" i="1"/>
  <c r="Q388" i="1"/>
  <c r="R388" i="1"/>
  <c r="L388" i="1"/>
  <c r="Q387" i="1"/>
  <c r="R387" i="1"/>
  <c r="L387" i="1"/>
  <c r="Q386" i="1"/>
  <c r="R386" i="1"/>
  <c r="L386" i="1"/>
  <c r="Q385" i="1"/>
  <c r="R385" i="1"/>
  <c r="L385" i="1"/>
  <c r="Q384" i="1"/>
  <c r="R384" i="1"/>
  <c r="Q383" i="1"/>
  <c r="R383" i="1"/>
  <c r="Q382" i="1"/>
  <c r="R382" i="1"/>
  <c r="Q381" i="1"/>
  <c r="R381" i="1"/>
  <c r="Q380" i="1"/>
  <c r="R380" i="1"/>
  <c r="Q379" i="1"/>
  <c r="R379" i="1"/>
  <c r="Q378" i="1"/>
  <c r="R378" i="1"/>
  <c r="Q377" i="1"/>
  <c r="R377" i="1"/>
  <c r="L377" i="1"/>
  <c r="Q376" i="1"/>
  <c r="R376" i="1"/>
  <c r="L376" i="1"/>
  <c r="Q375" i="1"/>
  <c r="R375" i="1"/>
  <c r="L375" i="1"/>
  <c r="Q374" i="1"/>
  <c r="R374" i="1"/>
  <c r="L374" i="1"/>
  <c r="Q373" i="1"/>
  <c r="R373" i="1"/>
  <c r="L373" i="1"/>
  <c r="Q372" i="1"/>
  <c r="R372" i="1"/>
  <c r="L372" i="1"/>
  <c r="Q371" i="1"/>
  <c r="R371" i="1"/>
  <c r="Q370" i="1"/>
  <c r="R370" i="1"/>
  <c r="Q369" i="1"/>
  <c r="R369" i="1"/>
  <c r="Q368" i="1"/>
  <c r="R368" i="1"/>
  <c r="Q367" i="1"/>
  <c r="R367" i="1"/>
  <c r="Q366" i="1"/>
  <c r="R366" i="1"/>
  <c r="Q365" i="1"/>
  <c r="R365" i="1"/>
  <c r="L365" i="1"/>
  <c r="Q364" i="1"/>
  <c r="R364" i="1"/>
  <c r="L364" i="1"/>
  <c r="Q363" i="1"/>
  <c r="R363" i="1"/>
  <c r="L363" i="1"/>
  <c r="Q362" i="1"/>
  <c r="R362" i="1"/>
  <c r="L362" i="1"/>
  <c r="Q361" i="1"/>
  <c r="R361" i="1"/>
  <c r="L361" i="1"/>
  <c r="Q360" i="1"/>
  <c r="R360" i="1"/>
  <c r="Q359" i="1"/>
  <c r="R359" i="1"/>
  <c r="Q358" i="1"/>
  <c r="R358" i="1"/>
  <c r="Q357" i="1"/>
  <c r="R357" i="1"/>
  <c r="Q356" i="1"/>
  <c r="R356" i="1"/>
  <c r="Q355" i="1"/>
  <c r="R355" i="1"/>
  <c r="Q354" i="1"/>
  <c r="R354" i="1"/>
  <c r="Q353" i="1"/>
  <c r="R353" i="1"/>
  <c r="L353" i="1"/>
  <c r="Q352" i="1"/>
  <c r="R352" i="1"/>
  <c r="L352" i="1"/>
  <c r="Q351" i="1"/>
  <c r="R351" i="1"/>
  <c r="L351" i="1"/>
  <c r="Q350" i="1"/>
  <c r="R350" i="1"/>
  <c r="L350" i="1"/>
  <c r="Q349" i="1"/>
  <c r="R349" i="1"/>
  <c r="L349" i="1"/>
  <c r="Q348" i="1"/>
  <c r="R348" i="1"/>
  <c r="L348" i="1"/>
  <c r="Q347" i="1"/>
  <c r="R347" i="1"/>
  <c r="Q346" i="1"/>
  <c r="R346" i="1"/>
  <c r="Q345" i="1"/>
  <c r="R345" i="1"/>
  <c r="Q344" i="1"/>
  <c r="R344" i="1"/>
  <c r="Q343" i="1"/>
  <c r="R343" i="1"/>
  <c r="Q342" i="1"/>
  <c r="R342" i="1"/>
  <c r="Q341" i="1"/>
  <c r="R341" i="1"/>
  <c r="L341" i="1"/>
  <c r="Q340" i="1"/>
  <c r="R340" i="1"/>
  <c r="L340" i="1"/>
  <c r="Q339" i="1"/>
  <c r="R339" i="1"/>
  <c r="L339" i="1"/>
  <c r="Q338" i="1"/>
  <c r="R338" i="1"/>
  <c r="L338" i="1"/>
  <c r="Q337" i="1"/>
  <c r="R337" i="1"/>
  <c r="L337" i="1"/>
  <c r="Q336" i="1"/>
  <c r="R336" i="1"/>
  <c r="Q335" i="1"/>
  <c r="R335" i="1"/>
  <c r="Q334" i="1"/>
  <c r="R334" i="1"/>
  <c r="Q333" i="1"/>
  <c r="R333" i="1"/>
  <c r="Q332" i="1"/>
  <c r="R332" i="1"/>
  <c r="Q331" i="1"/>
  <c r="R331" i="1"/>
  <c r="Q330" i="1"/>
  <c r="R330" i="1"/>
  <c r="Q329" i="1"/>
  <c r="R329" i="1"/>
  <c r="L329" i="1"/>
  <c r="Q328" i="1"/>
  <c r="R328" i="1"/>
  <c r="L328" i="1"/>
  <c r="Q327" i="1"/>
  <c r="R327" i="1"/>
  <c r="L327" i="1"/>
  <c r="Q326" i="1"/>
  <c r="R326" i="1"/>
  <c r="L326" i="1"/>
  <c r="Q325" i="1"/>
  <c r="R325" i="1"/>
  <c r="Q324" i="1"/>
  <c r="R324" i="1"/>
  <c r="Q323" i="1"/>
  <c r="R323" i="1"/>
  <c r="Q322" i="1"/>
  <c r="R322" i="1"/>
  <c r="Q321" i="1"/>
  <c r="R321" i="1"/>
  <c r="Q320" i="1"/>
  <c r="R320" i="1"/>
  <c r="Q319" i="1"/>
  <c r="R319" i="1"/>
  <c r="Q318" i="1"/>
  <c r="R318" i="1"/>
  <c r="Q317" i="1"/>
  <c r="R317" i="1"/>
  <c r="L317" i="1"/>
  <c r="Q316" i="1"/>
  <c r="R316" i="1"/>
  <c r="L316" i="1"/>
  <c r="Q315" i="1"/>
  <c r="R315" i="1"/>
  <c r="L315" i="1"/>
  <c r="Q314" i="1"/>
  <c r="R314" i="1"/>
  <c r="L314" i="1"/>
  <c r="Q313" i="1"/>
  <c r="R313" i="1"/>
  <c r="L313" i="1"/>
  <c r="Q312" i="1"/>
  <c r="R312" i="1"/>
  <c r="Q311" i="1"/>
  <c r="R311" i="1"/>
  <c r="Q302" i="1"/>
  <c r="R302" i="1"/>
  <c r="L302" i="1"/>
  <c r="Q299" i="1"/>
  <c r="R299" i="1"/>
  <c r="Q298" i="1"/>
  <c r="R298" i="1"/>
  <c r="Q297" i="1"/>
  <c r="R297" i="1"/>
  <c r="Q296" i="1"/>
  <c r="R296" i="1"/>
  <c r="Q295" i="1"/>
  <c r="R295" i="1"/>
  <c r="Q294" i="1"/>
  <c r="R294" i="1"/>
  <c r="Q293" i="1"/>
  <c r="R293" i="1"/>
  <c r="Q291" i="1"/>
  <c r="R291" i="1"/>
  <c r="Q290" i="1"/>
  <c r="R290" i="1"/>
  <c r="L290" i="1"/>
  <c r="Q289" i="1"/>
  <c r="R289" i="1"/>
  <c r="L289" i="1"/>
  <c r="Q288" i="1"/>
  <c r="R288" i="1"/>
  <c r="L288" i="1"/>
  <c r="Q285" i="1"/>
  <c r="R285" i="1"/>
  <c r="L285" i="1"/>
  <c r="Q284" i="1"/>
  <c r="R284" i="1"/>
  <c r="L284" i="1"/>
  <c r="Q283" i="1"/>
  <c r="R283" i="1"/>
  <c r="L283" i="1"/>
  <c r="Q282" i="1"/>
  <c r="R282" i="1"/>
  <c r="Q281" i="1"/>
  <c r="R281" i="1"/>
  <c r="Q280" i="1"/>
  <c r="R280" i="1"/>
  <c r="Q279" i="1"/>
  <c r="R279" i="1"/>
  <c r="Q278" i="1"/>
  <c r="R278" i="1"/>
  <c r="Q277" i="1"/>
  <c r="R277" i="1"/>
  <c r="Q276" i="1"/>
  <c r="R276" i="1"/>
  <c r="L276" i="1"/>
  <c r="Q275" i="1"/>
  <c r="R275" i="1"/>
  <c r="L275" i="1"/>
  <c r="Q274" i="1"/>
  <c r="R274" i="1"/>
  <c r="L274" i="1"/>
  <c r="Q273" i="1"/>
  <c r="R273" i="1"/>
  <c r="L273" i="1"/>
  <c r="Q272" i="1"/>
  <c r="R272" i="1"/>
  <c r="Q271" i="1"/>
  <c r="R271" i="1"/>
  <c r="Q270" i="1"/>
  <c r="R270" i="1"/>
  <c r="Q269" i="1"/>
  <c r="R269" i="1"/>
  <c r="Q268" i="1"/>
  <c r="R268" i="1"/>
  <c r="Q267" i="1"/>
  <c r="R267" i="1"/>
  <c r="Q266" i="1"/>
  <c r="R266" i="1"/>
  <c r="Q265" i="1"/>
  <c r="R265" i="1"/>
  <c r="Q264" i="1"/>
  <c r="R264" i="1"/>
  <c r="L264" i="1"/>
  <c r="Q263" i="1"/>
  <c r="R263" i="1"/>
  <c r="L263" i="1"/>
  <c r="Q262" i="1"/>
  <c r="R262" i="1"/>
  <c r="L262" i="1"/>
  <c r="Q261" i="1"/>
  <c r="R261" i="1"/>
  <c r="L261" i="1"/>
  <c r="Q260" i="1"/>
  <c r="R260" i="1"/>
  <c r="L260" i="1"/>
  <c r="Q259" i="1"/>
  <c r="R259" i="1"/>
  <c r="L259" i="1"/>
  <c r="Q258" i="1"/>
  <c r="R258" i="1"/>
  <c r="Q257" i="1"/>
  <c r="R257" i="1"/>
  <c r="Q256" i="1"/>
  <c r="R256" i="1"/>
  <c r="Q255" i="1"/>
  <c r="R255" i="1"/>
  <c r="Q254" i="1"/>
  <c r="R254" i="1"/>
  <c r="Q253" i="1"/>
  <c r="R253" i="1"/>
  <c r="Q252" i="1"/>
  <c r="R252" i="1"/>
  <c r="L252" i="1"/>
  <c r="Q251" i="1"/>
  <c r="R251" i="1"/>
  <c r="L251" i="1"/>
  <c r="Q250" i="1"/>
  <c r="R250" i="1"/>
  <c r="L250" i="1"/>
  <c r="Q249" i="1"/>
  <c r="R249" i="1"/>
  <c r="L249" i="1"/>
  <c r="Q248" i="1"/>
  <c r="R248" i="1"/>
  <c r="Q247" i="1"/>
  <c r="R247" i="1"/>
  <c r="Q246" i="1"/>
  <c r="R246" i="1"/>
  <c r="Q245" i="1"/>
  <c r="R245" i="1"/>
  <c r="Q244" i="1"/>
  <c r="R244" i="1"/>
  <c r="Q243" i="1"/>
  <c r="R243" i="1"/>
  <c r="Q242" i="1"/>
  <c r="R242" i="1"/>
  <c r="Q241" i="1"/>
  <c r="R241" i="1"/>
  <c r="Q240" i="1"/>
  <c r="R240" i="1"/>
  <c r="L240" i="1"/>
  <c r="Q239" i="1"/>
  <c r="R239" i="1"/>
  <c r="L239" i="1"/>
  <c r="Q238" i="1"/>
  <c r="R238" i="1"/>
  <c r="L238" i="1"/>
  <c r="Q237" i="1"/>
  <c r="R237" i="1"/>
  <c r="L237" i="1"/>
  <c r="Q236" i="1"/>
  <c r="R236" i="1"/>
  <c r="L236" i="1"/>
  <c r="Q235" i="1"/>
  <c r="R235" i="1"/>
  <c r="Q234" i="1"/>
  <c r="R234" i="1"/>
  <c r="Q233" i="1"/>
  <c r="R233" i="1"/>
  <c r="Q232" i="1"/>
  <c r="R232" i="1"/>
  <c r="Q231" i="1"/>
  <c r="R231" i="1"/>
  <c r="Q230" i="1"/>
  <c r="R230" i="1"/>
  <c r="Q229" i="1"/>
  <c r="R229" i="1"/>
  <c r="Q228" i="1"/>
  <c r="R228" i="1"/>
  <c r="L228" i="1"/>
  <c r="Q227" i="1"/>
  <c r="R227" i="1"/>
  <c r="L227" i="1"/>
  <c r="Q226" i="1"/>
  <c r="R226" i="1"/>
  <c r="L226" i="1"/>
  <c r="Q225" i="1"/>
  <c r="R225" i="1"/>
  <c r="L225" i="1"/>
  <c r="Q224" i="1"/>
  <c r="R224" i="1"/>
  <c r="Q223" i="1"/>
  <c r="R223" i="1"/>
  <c r="L223" i="1"/>
  <c r="Q222" i="1"/>
  <c r="R222" i="1"/>
  <c r="Q221" i="1"/>
  <c r="R221" i="1"/>
  <c r="Q220" i="1"/>
  <c r="R220" i="1"/>
  <c r="Q219" i="1"/>
  <c r="R219" i="1"/>
  <c r="Q218" i="1"/>
  <c r="R218" i="1"/>
  <c r="Q217" i="1"/>
  <c r="R217" i="1"/>
  <c r="Q216" i="1"/>
  <c r="R216" i="1"/>
  <c r="L216" i="1"/>
  <c r="Q215" i="1"/>
  <c r="R215" i="1"/>
  <c r="L215" i="1"/>
  <c r="Q214" i="1"/>
  <c r="R214" i="1"/>
  <c r="L214" i="1"/>
  <c r="Q213" i="1"/>
  <c r="R213" i="1"/>
  <c r="L213" i="1"/>
  <c r="Q212" i="1"/>
  <c r="R212" i="1"/>
  <c r="L212" i="1"/>
  <c r="Q211" i="1"/>
  <c r="R211" i="1"/>
  <c r="Q210" i="1"/>
  <c r="R210" i="1"/>
  <c r="Q209" i="1"/>
  <c r="R209" i="1"/>
  <c r="Q208" i="1"/>
  <c r="R208" i="1"/>
  <c r="Q207" i="1"/>
  <c r="R207" i="1"/>
  <c r="Q206" i="1"/>
  <c r="R206" i="1"/>
  <c r="Q205" i="1"/>
  <c r="R205" i="1"/>
  <c r="Q204" i="1"/>
  <c r="R204" i="1"/>
  <c r="L204" i="1"/>
  <c r="Q203" i="1"/>
  <c r="R203" i="1"/>
  <c r="L203" i="1"/>
  <c r="Q202" i="1"/>
  <c r="R202" i="1"/>
  <c r="L202" i="1"/>
  <c r="Q201" i="1"/>
  <c r="R201" i="1"/>
  <c r="L201" i="1"/>
  <c r="Q200" i="1"/>
  <c r="R200" i="1"/>
  <c r="Q199" i="1"/>
  <c r="R199" i="1"/>
  <c r="L199" i="1"/>
  <c r="Q198" i="1"/>
  <c r="R198" i="1"/>
  <c r="Q197" i="1"/>
  <c r="R197" i="1"/>
  <c r="Q196" i="1"/>
  <c r="R196" i="1"/>
  <c r="Q195" i="1"/>
  <c r="R195" i="1"/>
  <c r="Q194" i="1"/>
  <c r="R194" i="1"/>
  <c r="Q193" i="1"/>
  <c r="R193" i="1"/>
  <c r="Q192" i="1"/>
  <c r="R192" i="1"/>
  <c r="L192" i="1"/>
  <c r="Q191" i="1"/>
  <c r="R191" i="1"/>
  <c r="L191" i="1"/>
  <c r="Q190" i="1"/>
  <c r="R190" i="1"/>
  <c r="L190" i="1"/>
  <c r="Q189" i="1"/>
  <c r="R189" i="1"/>
  <c r="L189" i="1"/>
  <c r="Q188" i="1"/>
  <c r="R188" i="1"/>
  <c r="L188" i="1"/>
  <c r="Q187" i="1"/>
  <c r="R187" i="1"/>
  <c r="Q186" i="1"/>
  <c r="R186" i="1"/>
  <c r="Q185" i="1"/>
  <c r="R185" i="1"/>
  <c r="Q184" i="1"/>
  <c r="R184" i="1"/>
  <c r="Q183" i="1"/>
  <c r="R183" i="1"/>
  <c r="Q182" i="1"/>
  <c r="R182" i="1"/>
  <c r="Q181" i="1"/>
  <c r="R181" i="1"/>
  <c r="Q180" i="1"/>
  <c r="R180" i="1"/>
  <c r="L180" i="1"/>
  <c r="Q179" i="1"/>
  <c r="R179" i="1"/>
  <c r="L179" i="1"/>
  <c r="Q178" i="1"/>
  <c r="R178" i="1"/>
  <c r="L178" i="1"/>
  <c r="Q177" i="1"/>
  <c r="R177" i="1"/>
  <c r="L177" i="1"/>
  <c r="Q176" i="1"/>
  <c r="R176" i="1"/>
  <c r="L176" i="1"/>
  <c r="Q175" i="1"/>
  <c r="R175" i="1"/>
  <c r="L175" i="1"/>
  <c r="Q174" i="1"/>
  <c r="R174" i="1"/>
  <c r="Q173" i="1"/>
  <c r="R173" i="1"/>
  <c r="Q172" i="1"/>
  <c r="R172" i="1"/>
  <c r="Q171" i="1"/>
  <c r="R171" i="1"/>
  <c r="Q170" i="1"/>
  <c r="R170" i="1"/>
  <c r="Q169" i="1"/>
  <c r="R169" i="1"/>
  <c r="Q168" i="1"/>
  <c r="R168" i="1"/>
  <c r="L168" i="1"/>
  <c r="Q167" i="1"/>
  <c r="R167" i="1"/>
  <c r="L167" i="1"/>
  <c r="Q166" i="1"/>
  <c r="R166" i="1"/>
  <c r="L166" i="1"/>
  <c r="Q165" i="1"/>
  <c r="R165" i="1"/>
  <c r="L165" i="1"/>
  <c r="Q164" i="1"/>
  <c r="R164" i="1"/>
  <c r="L164" i="1"/>
  <c r="Q163" i="1"/>
  <c r="R163" i="1"/>
  <c r="Q162" i="1"/>
  <c r="R162" i="1"/>
  <c r="Q161" i="1"/>
  <c r="R161" i="1"/>
  <c r="Q160" i="1"/>
  <c r="R160" i="1"/>
  <c r="Q159" i="1"/>
  <c r="R159" i="1"/>
  <c r="Q158" i="1"/>
  <c r="R158" i="1"/>
  <c r="Q157" i="1"/>
  <c r="R157" i="1"/>
  <c r="Q156" i="1"/>
  <c r="R156" i="1"/>
  <c r="L156" i="1"/>
  <c r="Q155" i="1"/>
  <c r="R155" i="1"/>
  <c r="L155" i="1"/>
  <c r="Q154" i="1"/>
  <c r="R154" i="1"/>
  <c r="L154" i="1"/>
  <c r="Q153" i="1"/>
  <c r="R153" i="1"/>
  <c r="L153" i="1"/>
  <c r="Q152" i="1"/>
  <c r="R152" i="1"/>
  <c r="L152" i="1"/>
  <c r="Q151" i="1"/>
  <c r="R151" i="1"/>
  <c r="L151" i="1"/>
  <c r="Q150" i="1"/>
  <c r="R150" i="1"/>
  <c r="Q149" i="1"/>
  <c r="R149" i="1"/>
  <c r="Q148" i="1"/>
  <c r="R148" i="1"/>
  <c r="Q147" i="1"/>
  <c r="R147" i="1"/>
  <c r="Q146" i="1"/>
  <c r="R146" i="1"/>
  <c r="Q145" i="1"/>
  <c r="R145" i="1"/>
  <c r="Q144" i="1"/>
  <c r="R144" i="1"/>
  <c r="L144" i="1"/>
  <c r="Q143" i="1"/>
  <c r="R143" i="1"/>
  <c r="L143" i="1"/>
  <c r="Q142" i="1"/>
  <c r="R142" i="1"/>
  <c r="L142" i="1"/>
  <c r="Q141" i="1"/>
  <c r="R141" i="1"/>
  <c r="L141" i="1"/>
  <c r="Q140" i="1"/>
  <c r="R140" i="1"/>
  <c r="L140" i="1"/>
  <c r="Q139" i="1"/>
  <c r="R139" i="1"/>
  <c r="Q138" i="1"/>
  <c r="R138" i="1"/>
  <c r="Q137" i="1"/>
  <c r="R137" i="1"/>
  <c r="Q136" i="1"/>
  <c r="R136" i="1"/>
  <c r="Q135" i="1"/>
  <c r="R135" i="1"/>
  <c r="Q134" i="1"/>
  <c r="R134" i="1"/>
  <c r="Q133" i="1"/>
  <c r="R133" i="1"/>
  <c r="Q132" i="1"/>
  <c r="R132" i="1"/>
  <c r="L132" i="1"/>
  <c r="Q131" i="1"/>
  <c r="R131" i="1"/>
  <c r="L131" i="1"/>
  <c r="Q130" i="1"/>
  <c r="R130" i="1"/>
  <c r="L130" i="1"/>
  <c r="Q129" i="1"/>
  <c r="R129" i="1"/>
  <c r="L129" i="1"/>
  <c r="Q128" i="1"/>
  <c r="R128" i="1"/>
  <c r="L128" i="1"/>
  <c r="Q127" i="1"/>
  <c r="R127" i="1"/>
  <c r="L127" i="1"/>
  <c r="Q126" i="1"/>
  <c r="R126" i="1"/>
  <c r="Q125" i="1"/>
  <c r="R125" i="1"/>
  <c r="Q124" i="1"/>
  <c r="R124" i="1"/>
  <c r="Q123" i="1"/>
  <c r="R123" i="1"/>
  <c r="Q122" i="1"/>
  <c r="R122" i="1"/>
  <c r="Q121" i="1"/>
  <c r="R121" i="1"/>
  <c r="Q120" i="1"/>
  <c r="R120" i="1"/>
  <c r="L120" i="1"/>
  <c r="Q119" i="1"/>
  <c r="R119" i="1"/>
  <c r="L119" i="1"/>
  <c r="Q118" i="1"/>
  <c r="R118" i="1"/>
  <c r="L118" i="1"/>
  <c r="Q117" i="1"/>
  <c r="R117" i="1"/>
  <c r="L117" i="1"/>
  <c r="Q116" i="1"/>
  <c r="R116" i="1"/>
  <c r="Q115" i="1"/>
  <c r="R115" i="1"/>
  <c r="Q114" i="1"/>
  <c r="R114" i="1"/>
  <c r="Q113" i="1"/>
  <c r="R113" i="1"/>
  <c r="Q112" i="1"/>
  <c r="R112" i="1"/>
  <c r="Q111" i="1"/>
  <c r="R111" i="1"/>
  <c r="Q110" i="1"/>
  <c r="R110" i="1"/>
  <c r="Q109" i="1"/>
  <c r="R109" i="1"/>
  <c r="Q108" i="1"/>
  <c r="R108" i="1"/>
  <c r="L108" i="1"/>
  <c r="Q107" i="1"/>
  <c r="R107" i="1"/>
  <c r="L107" i="1"/>
  <c r="Q106" i="1"/>
  <c r="R106" i="1"/>
  <c r="L106" i="1"/>
  <c r="Q105" i="1"/>
  <c r="R105" i="1"/>
  <c r="L105" i="1"/>
  <c r="Q104" i="1"/>
  <c r="R104" i="1"/>
  <c r="L104" i="1"/>
  <c r="Q103" i="1"/>
  <c r="R103" i="1"/>
  <c r="Q102" i="1"/>
  <c r="R102" i="1"/>
  <c r="Q101" i="1"/>
  <c r="R101" i="1"/>
  <c r="Q100" i="1"/>
  <c r="R100" i="1"/>
  <c r="Q99" i="1"/>
  <c r="R99" i="1"/>
  <c r="Q98" i="1"/>
  <c r="R98" i="1"/>
  <c r="Q97" i="1"/>
  <c r="R97" i="1"/>
  <c r="Q96" i="1"/>
  <c r="R96" i="1"/>
  <c r="L96" i="1"/>
  <c r="Q95" i="1"/>
  <c r="R95" i="1"/>
  <c r="L95" i="1"/>
  <c r="Q94" i="1"/>
  <c r="R94" i="1"/>
  <c r="L94" i="1"/>
  <c r="Q93" i="1"/>
  <c r="R93" i="1"/>
  <c r="L93" i="1"/>
  <c r="Q92" i="1"/>
  <c r="R92" i="1"/>
  <c r="Q91" i="1"/>
  <c r="R91" i="1"/>
  <c r="Q90" i="1"/>
  <c r="R90" i="1"/>
  <c r="Q89" i="1"/>
  <c r="R89" i="1"/>
  <c r="Q88" i="1"/>
  <c r="R88" i="1"/>
  <c r="Q87" i="1"/>
  <c r="R87" i="1"/>
  <c r="Q86" i="1"/>
  <c r="R86" i="1"/>
  <c r="Q85" i="1"/>
  <c r="R85" i="1"/>
  <c r="Q84" i="1"/>
  <c r="R84" i="1"/>
  <c r="L84" i="1"/>
  <c r="Q83" i="1"/>
  <c r="R83" i="1"/>
  <c r="L83" i="1"/>
  <c r="Q82" i="1"/>
  <c r="R82" i="1"/>
  <c r="L82" i="1"/>
  <c r="Q81" i="1"/>
  <c r="R81" i="1"/>
  <c r="L81" i="1"/>
  <c r="Q80" i="1"/>
  <c r="R80" i="1"/>
  <c r="L80" i="1"/>
  <c r="Q79" i="1"/>
  <c r="R79" i="1"/>
  <c r="Q78" i="1"/>
  <c r="R78" i="1"/>
  <c r="Q77" i="1"/>
  <c r="R77" i="1"/>
  <c r="Q76" i="1"/>
  <c r="R76" i="1"/>
  <c r="Q75" i="1"/>
  <c r="R75" i="1"/>
  <c r="Q74" i="1"/>
  <c r="R74" i="1"/>
  <c r="Q73" i="1"/>
  <c r="R73" i="1"/>
  <c r="Q72" i="1"/>
  <c r="R72" i="1"/>
  <c r="L72" i="1"/>
  <c r="Q71" i="1"/>
  <c r="R71" i="1"/>
  <c r="L71" i="1"/>
  <c r="Q70" i="1"/>
  <c r="R70" i="1"/>
  <c r="L70" i="1"/>
  <c r="Q69" i="1"/>
  <c r="R69" i="1"/>
  <c r="L69" i="1"/>
  <c r="Q68" i="1"/>
  <c r="R68" i="1"/>
  <c r="Q67" i="1"/>
  <c r="R67" i="1"/>
  <c r="Q66" i="1"/>
  <c r="R66" i="1"/>
  <c r="Q65" i="1"/>
  <c r="R65" i="1"/>
  <c r="Q64" i="1"/>
  <c r="R64" i="1"/>
  <c r="Q63" i="1"/>
  <c r="R63" i="1"/>
  <c r="Q62" i="1"/>
  <c r="R62" i="1"/>
  <c r="Q61" i="1"/>
  <c r="R61" i="1"/>
  <c r="Q60" i="1"/>
  <c r="R60" i="1"/>
  <c r="L60" i="1"/>
  <c r="Q59" i="1"/>
  <c r="R59" i="1"/>
  <c r="L59" i="1"/>
  <c r="Q58" i="1"/>
  <c r="R58" i="1"/>
  <c r="L58" i="1"/>
  <c r="Q57" i="1"/>
  <c r="R57" i="1"/>
  <c r="L57" i="1"/>
  <c r="Q56" i="1"/>
  <c r="R56" i="1"/>
  <c r="L56" i="1"/>
  <c r="Q55" i="1"/>
  <c r="R55" i="1"/>
  <c r="Q54" i="1"/>
  <c r="R54" i="1"/>
  <c r="Q53" i="1"/>
  <c r="R53" i="1"/>
  <c r="Q52" i="1"/>
  <c r="R52" i="1"/>
  <c r="Q51" i="1"/>
  <c r="R51" i="1"/>
  <c r="Q50" i="1"/>
  <c r="R50" i="1"/>
  <c r="Q49" i="1"/>
  <c r="R49" i="1"/>
  <c r="Q48" i="1"/>
  <c r="R48" i="1"/>
  <c r="L48" i="1"/>
  <c r="Q47" i="1"/>
  <c r="R47" i="1"/>
  <c r="L47" i="1"/>
  <c r="Q46" i="1"/>
  <c r="R46" i="1"/>
  <c r="L46" i="1"/>
  <c r="Q45" i="1"/>
  <c r="R45" i="1"/>
  <c r="L45" i="1"/>
  <c r="Q44" i="1"/>
  <c r="R44" i="1"/>
  <c r="Q43" i="1"/>
  <c r="R43" i="1"/>
  <c r="Q42" i="1"/>
  <c r="R42" i="1"/>
  <c r="Q41" i="1"/>
  <c r="R41" i="1"/>
  <c r="Q40" i="1"/>
  <c r="R40" i="1"/>
  <c r="Q39" i="1"/>
  <c r="R39" i="1"/>
  <c r="Q38" i="1"/>
  <c r="R38" i="1"/>
  <c r="L38" i="1"/>
  <c r="Q37" i="1"/>
  <c r="R37" i="1"/>
  <c r="L37" i="1"/>
  <c r="Q36" i="1"/>
  <c r="R36" i="1"/>
  <c r="L36" i="1"/>
  <c r="Q35" i="1"/>
  <c r="R35" i="1"/>
  <c r="L35" i="1"/>
  <c r="Q34" i="1"/>
  <c r="R34" i="1"/>
  <c r="L34" i="1"/>
  <c r="Q33" i="1"/>
  <c r="R33" i="1"/>
  <c r="Q32" i="1"/>
  <c r="R32" i="1"/>
  <c r="Q31" i="1"/>
  <c r="R31" i="1"/>
  <c r="Q30" i="1"/>
  <c r="R30" i="1"/>
  <c r="Q29" i="1"/>
  <c r="R29" i="1"/>
  <c r="Q28" i="1"/>
  <c r="R28" i="1"/>
  <c r="Q27" i="1"/>
  <c r="R27" i="1"/>
  <c r="Q26" i="1"/>
  <c r="R26" i="1"/>
  <c r="L26" i="1"/>
  <c r="Q25" i="1"/>
  <c r="R25" i="1"/>
  <c r="L25" i="1"/>
  <c r="Q24" i="1"/>
  <c r="R24" i="1"/>
  <c r="L24" i="1"/>
  <c r="Q23" i="1"/>
  <c r="R23" i="1"/>
  <c r="L23" i="1"/>
  <c r="Q22" i="1"/>
  <c r="R22" i="1"/>
  <c r="L22" i="1"/>
  <c r="Q21" i="1"/>
  <c r="R21" i="1"/>
  <c r="Q20" i="1"/>
  <c r="R20" i="1"/>
  <c r="L20" i="1"/>
  <c r="Q19" i="1"/>
  <c r="R19" i="1"/>
  <c r="Q18" i="1"/>
  <c r="R18" i="1"/>
  <c r="Q17" i="1"/>
  <c r="R17" i="1"/>
  <c r="Q16" i="1"/>
  <c r="R16" i="1"/>
  <c r="Q15" i="1"/>
  <c r="R15" i="1"/>
  <c r="Q14" i="1"/>
  <c r="R14" i="1"/>
  <c r="L14" i="1"/>
  <c r="Q13" i="1"/>
  <c r="R13" i="1"/>
  <c r="L13" i="1"/>
  <c r="Q12" i="1"/>
  <c r="R12" i="1"/>
  <c r="L12" i="1"/>
  <c r="Q11" i="1"/>
  <c r="R11" i="1"/>
  <c r="L11" i="1"/>
  <c r="Q10" i="1"/>
  <c r="R10" i="1"/>
  <c r="L10" i="1"/>
  <c r="Q9" i="1"/>
  <c r="R9" i="1"/>
  <c r="Q8" i="1"/>
  <c r="R8" i="1"/>
  <c r="Q7" i="1"/>
  <c r="R7" i="1"/>
  <c r="Q6" i="1"/>
  <c r="R6" i="1"/>
  <c r="Q5" i="1"/>
  <c r="R5" i="1"/>
  <c r="Q4" i="1"/>
  <c r="R4" i="1"/>
  <c r="Q3" i="1"/>
  <c r="R3" i="1"/>
  <c r="Q2" i="1"/>
  <c r="R2" i="1"/>
  <c r="L2" i="1"/>
  <c r="L5527" i="1"/>
  <c r="L5477" i="1"/>
  <c r="L5478" i="1"/>
</calcChain>
</file>

<file path=xl/sharedStrings.xml><?xml version="1.0" encoding="utf-8"?>
<sst xmlns="http://schemas.openxmlformats.org/spreadsheetml/2006/main" count="24691" uniqueCount="2315">
  <si>
    <t>ÜRÜN GRUBU</t>
  </si>
  <si>
    <t>FİRMA
MARKA</t>
  </si>
  <si>
    <t>ÜRÜN
ADI</t>
  </si>
  <si>
    <t>ÜRÜN CİNSİ</t>
  </si>
  <si>
    <t>ÜRÜN 
KODU</t>
  </si>
  <si>
    <t>m/kg</t>
  </si>
  <si>
    <t>GENİŞLİK</t>
  </si>
  <si>
    <t>DERİNLİK</t>
  </si>
  <si>
    <t>YÜKSEKLİK</t>
  </si>
  <si>
    <t>EBAT</t>
  </si>
  <si>
    <t>ÜRÜN ADI</t>
  </si>
  <si>
    <t>İSKONTO
ORANI NAKİT</t>
  </si>
  <si>
    <t>İSKONTO
ORANI KART</t>
  </si>
  <si>
    <t>TOPTAN
LİSTE</t>
  </si>
  <si>
    <t>TOPTAN
LİSTE 2</t>
  </si>
  <si>
    <t>PERAKENDE
01</t>
  </si>
  <si>
    <t>PERAKENDE
LİSTE</t>
  </si>
  <si>
    <t>MOBİLYA</t>
  </si>
  <si>
    <t>CAMARO</t>
  </si>
  <si>
    <t>KONSOL 4 KAPAKLI</t>
  </si>
  <si>
    <t>KONSOL 3 KAPAKLI</t>
  </si>
  <si>
    <t>KONSOL AYNASI</t>
  </si>
  <si>
    <t>MASA 160CM</t>
  </si>
  <si>
    <t>MASA 200CM</t>
  </si>
  <si>
    <t>MASA 240CM</t>
  </si>
  <si>
    <t>SANDALYE</t>
  </si>
  <si>
    <t>TV ÜNİTESİ ALT BLOK 4 KAPAKLI</t>
  </si>
  <si>
    <t>TV ÜNİTESİ ALT BLOK 3 KAPAKLI</t>
  </si>
  <si>
    <t>TV ÜNİTESİ KİTAPLIK</t>
  </si>
  <si>
    <t>ORTA SEHPA</t>
  </si>
  <si>
    <t>YAN SEHPA</t>
  </si>
  <si>
    <t>KOLTUK 4 LÜ</t>
  </si>
  <si>
    <t>KOLTUK 3 LÜ</t>
  </si>
  <si>
    <t>BERJER</t>
  </si>
  <si>
    <t>TEKLİ ARA MODÜL</t>
  </si>
  <si>
    <t>YARIM SEHPALI MODÜL</t>
  </si>
  <si>
    <t>TAM KÖŞE SEHPALI MODÜL</t>
  </si>
  <si>
    <t>TEKLİ SAĞ KOLLU MODÜL</t>
  </si>
  <si>
    <t>TEKLİ SOL KOLLU MODÜL</t>
  </si>
  <si>
    <t>CORVETTE</t>
  </si>
  <si>
    <t>BÜYÜK YAN SEHPA</t>
  </si>
  <si>
    <t>TAM KÖŞE MODÜL</t>
  </si>
  <si>
    <t>YARIM KÖŞE MODÜL</t>
  </si>
  <si>
    <t>DİNLENMELİ SAĞ MODÜL</t>
  </si>
  <si>
    <t>DİNLENMELİ SOL MODÜL</t>
  </si>
  <si>
    <t xml:space="preserve">TV ÜNİTESİ ALT BLOK </t>
  </si>
  <si>
    <t>TV ÜNİTESİ ÜST BLOK</t>
  </si>
  <si>
    <t>TV ÜNİTESİ VİTRİN</t>
  </si>
  <si>
    <t>ASTON</t>
  </si>
  <si>
    <t>KONSOL</t>
  </si>
  <si>
    <t>KONSOL AYNASI X2</t>
  </si>
  <si>
    <t>TV ÜNİTESİ PANOLU ŞÖMİNELİ</t>
  </si>
  <si>
    <t>TV ÜNİTESİ PANOLU KAPAKLI</t>
  </si>
  <si>
    <t>TV ÜNİTESİ ALT BLOK ŞÖMİNELİ</t>
  </si>
  <si>
    <t>TV ÜNİTESİ ALT BLOK KAPAKLI</t>
  </si>
  <si>
    <t>TV ÜNİTESİ ÜST RAF</t>
  </si>
  <si>
    <t xml:space="preserve">ASTON PUF X2 </t>
  </si>
  <si>
    <t>ASTON PUF SEHPALI X2</t>
  </si>
  <si>
    <t>MİNİ MASA</t>
  </si>
  <si>
    <t>KÖŞE MODÜL</t>
  </si>
  <si>
    <t>TEKLİ ARA MODÜL X2</t>
  </si>
  <si>
    <t xml:space="preserve">SEHPALI MODÜL </t>
  </si>
  <si>
    <t>DİNLENMELİ MODÜL SAĞ-SOL</t>
  </si>
  <si>
    <t>KOLLU MODÜL 3 LÜ SAĞ-SOL</t>
  </si>
  <si>
    <t>KOLLU MODÜL TEKLİ SAĞ-SOL</t>
  </si>
  <si>
    <t>SEHPALI MODÜL 3 LÜ</t>
  </si>
  <si>
    <t>DOLAP CAMLI X2</t>
  </si>
  <si>
    <t>DOLAP PANTOLONLUKLU MDF KAPAK</t>
  </si>
  <si>
    <t>KÖŞE DOLAP CAM KAPAKLI</t>
  </si>
  <si>
    <t>DOLAP AYAKKABILIKLI MDF KAPAKLI</t>
  </si>
  <si>
    <t>DOLAP TEKLİ CAM KAPAKLI</t>
  </si>
  <si>
    <t>DOLAP ASKILIKLI MDF KAPAKLI</t>
  </si>
  <si>
    <t>KARYOLA 160CM</t>
  </si>
  <si>
    <t>KARYOLA 180CM</t>
  </si>
  <si>
    <t>KARYOLA 200CM</t>
  </si>
  <si>
    <t>KARYOLA BAZALI 160CM</t>
  </si>
  <si>
    <t>KARYOLA BAZALI 180CM</t>
  </si>
  <si>
    <t>KARYOLA BAZALI 200CM</t>
  </si>
  <si>
    <t>ŞİFONYER</t>
  </si>
  <si>
    <t>ŞİFONYER AYNASI</t>
  </si>
  <si>
    <t>KOMODİN X2</t>
  </si>
  <si>
    <t>KUMANDALI ÇİFT ADAPTÖR</t>
  </si>
  <si>
    <t>BOY AYNASI</t>
  </si>
  <si>
    <t>ADA DOLAP</t>
  </si>
  <si>
    <t>MUSTANG</t>
  </si>
  <si>
    <t>KONSOL AYNASI SAATLİ</t>
  </si>
  <si>
    <t>TV ÜNİTESİ ÜST MODÜL KAPAKLI</t>
  </si>
  <si>
    <t>TV ÜNİTESİ ÜST MODÜL RAF</t>
  </si>
  <si>
    <t>MASERATİ</t>
  </si>
  <si>
    <t>TV ÜNİTESİ ALT BLOK 3 ÇEKMECELİ</t>
  </si>
  <si>
    <t>TV ÜNİTESİ ALT BLOK Ş. ÇEKMECESİZ</t>
  </si>
  <si>
    <t>TV ÜNİTESİ ALT BLOK 2 ÇEKMECELİ</t>
  </si>
  <si>
    <t>TV ÜNİTESİ ÜST MODÜL KUTU</t>
  </si>
  <si>
    <t>ZİGON SEHPA</t>
  </si>
  <si>
    <t>DOLAP PANTOLONLUKLU CAM KAPAK</t>
  </si>
  <si>
    <t>DOLAP ASKILIKLI CAM KAPAKLI</t>
  </si>
  <si>
    <t xml:space="preserve">ŞİFONYER </t>
  </si>
  <si>
    <t>KUMANDALI TEK ADAPTÖR</t>
  </si>
  <si>
    <t>DOLAP KÖŞE CAM KAPAK</t>
  </si>
  <si>
    <t>DOLAP AYAKKABILIKLI CAM KAPAKLI</t>
  </si>
  <si>
    <t>TEKLİ DOLAP</t>
  </si>
  <si>
    <t>BENTLEY</t>
  </si>
  <si>
    <t>TV ÜNİTESİ ALT BLOK</t>
  </si>
  <si>
    <t>TV ÜNİTESİ ÜST MODÜL</t>
  </si>
  <si>
    <t>BENTLEY PUF</t>
  </si>
  <si>
    <t>SEHPALI MODÜL</t>
  </si>
  <si>
    <t>ARA MODÜL TEKLİ X3</t>
  </si>
  <si>
    <t>LOTUS</t>
  </si>
  <si>
    <t>KONSOL 2 KAPAKLI</t>
  </si>
  <si>
    <t>TV ÜNİTESİ ALT  BLOK 2 ÇEKMECELİ</t>
  </si>
  <si>
    <t>TV ÜNİTESİ ÜST MODÜL DÜZ RAF</t>
  </si>
  <si>
    <t>TV ÜNİTESİ ÜST MODÜL KUTU RAF</t>
  </si>
  <si>
    <t>TV ÜNİTESİ DÖŞEMELİ MODÜL</t>
  </si>
  <si>
    <t>TV ÜNİTESİ ÜST MODÜL AYNALI</t>
  </si>
  <si>
    <t>DOLAP 4 KAPAKLI ORTA BLOK</t>
  </si>
  <si>
    <t>DOLAP MODÜL SAĞ AYAKLI</t>
  </si>
  <si>
    <t>DOLAP MODÜL SOL AYAKLI</t>
  </si>
  <si>
    <t>MÜCEVHERLİK ALT BLOK X2</t>
  </si>
  <si>
    <t>122/190</t>
  </si>
  <si>
    <t>PUF</t>
  </si>
  <si>
    <t>TETRA</t>
  </si>
  <si>
    <t>KOSNOL AYNASI</t>
  </si>
  <si>
    <t xml:space="preserve">BENCH </t>
  </si>
  <si>
    <t>120,140,160</t>
  </si>
  <si>
    <t>TV ÜNİTESİ ÜST BLOK KAPAKLI</t>
  </si>
  <si>
    <t>ŞİFONYER MÜCEVHERLİK</t>
  </si>
  <si>
    <t>ÇAMAŞIRLIK</t>
  </si>
  <si>
    <t>CADILLAC</t>
  </si>
  <si>
    <t>DOLAP TEKLİ</t>
  </si>
  <si>
    <t>OPSİYON</t>
  </si>
  <si>
    <t>LOTUS DOLAP ORTA BLOK 2 KAPAKLI</t>
  </si>
  <si>
    <t>LOTUS KARYOLA 180X200</t>
  </si>
  <si>
    <t>LOTUS KARYOLA 200X200</t>
  </si>
  <si>
    <t>LOTUS BAZALI KARYOLA 180X200</t>
  </si>
  <si>
    <t>LOTUS BAZALI KARYOLA 200X200</t>
  </si>
  <si>
    <t>LOTUS KOLTUK 2 Lİ</t>
  </si>
  <si>
    <t>LOTUS KOLTUK 4 LÜ</t>
  </si>
  <si>
    <t>LOTUS TV ÜNİTESİ ALT BLOK 2 ÇEKMECELİ</t>
  </si>
  <si>
    <t>TETRA KARYOLA 180X200</t>
  </si>
  <si>
    <t>TETRA KARYOLA 200X200</t>
  </si>
  <si>
    <t>TETRA BAZALI KARYOLA 180X200</t>
  </si>
  <si>
    <t>TETRA BAZALI KARYOLA 200X200</t>
  </si>
  <si>
    <t>TETRA KOLTUK 2 Lİ</t>
  </si>
  <si>
    <t>TETRA KOLTUK KOLTUK 4 LÜ</t>
  </si>
  <si>
    <t>ASTON KARYOLA 180X200</t>
  </si>
  <si>
    <t>ASTON BAZALI KARYOLA 180X200</t>
  </si>
  <si>
    <t>ASTON BAZALI KARYOLA 200X200</t>
  </si>
  <si>
    <t>MASERATİ KARYOLA 180X200</t>
  </si>
  <si>
    <t>MASERATİ KARYOLA 200X200</t>
  </si>
  <si>
    <t>MASERATİ BAZALI KARYOLA 180X200</t>
  </si>
  <si>
    <t>MASERATİ BAZALI KARYOLA 200X200</t>
  </si>
  <si>
    <t>GUES</t>
  </si>
  <si>
    <t>AYNA</t>
  </si>
  <si>
    <t>MASA SABİT</t>
  </si>
  <si>
    <t>İZNİK</t>
  </si>
  <si>
    <t>MASA</t>
  </si>
  <si>
    <t>KOLTUK RELAX 3 LÜ</t>
  </si>
  <si>
    <t>ARA MODÜL</t>
  </si>
  <si>
    <t>RELAX MODÜL</t>
  </si>
  <si>
    <t>MOON</t>
  </si>
  <si>
    <t>MASA AÇILIR</t>
  </si>
  <si>
    <t>KOLTUK 3 LÜ SEHPALI</t>
  </si>
  <si>
    <t xml:space="preserve">KOLTUK 3 LÜ </t>
  </si>
  <si>
    <t>KOLTUK TEK KOLLU MODÜL</t>
  </si>
  <si>
    <t>KOLTUK ARA MODÜL</t>
  </si>
  <si>
    <t>KOLTUK SEHPALI MODÜL</t>
  </si>
  <si>
    <t>AKSA</t>
  </si>
  <si>
    <t>RELAX</t>
  </si>
  <si>
    <t xml:space="preserve">BERJER </t>
  </si>
  <si>
    <t>SENFONİ</t>
  </si>
  <si>
    <t>ORTA SEHPA BÜYÜK BOY</t>
  </si>
  <si>
    <t>ORTA SEHPA KÜÇÜK BOY</t>
  </si>
  <si>
    <t xml:space="preserve">KOLTUK 4 LÜ </t>
  </si>
  <si>
    <t>TEK KOLLU MODÜL</t>
  </si>
  <si>
    <t>HARLEY</t>
  </si>
  <si>
    <t>PUF AÇILI</t>
  </si>
  <si>
    <t>SLOPE</t>
  </si>
  <si>
    <t>KONSOL BASKILI</t>
  </si>
  <si>
    <t>MASA BASKILI</t>
  </si>
  <si>
    <t>KONSOL SİNTERFLEX</t>
  </si>
  <si>
    <t>MASA SİNTERFLEX</t>
  </si>
  <si>
    <t>TV ÜNİTESİ ALT BLOK BASKILI</t>
  </si>
  <si>
    <t>TV ÜNİTESİ ÜST BLOK BASKILI (2 ADET)</t>
  </si>
  <si>
    <t>TV PANO BASKILI</t>
  </si>
  <si>
    <t>TV ÜNİTESİ ALT BLOK SİNTERFLEX</t>
  </si>
  <si>
    <t>ORTA 2. SEHPA</t>
  </si>
  <si>
    <t>KOLTUK AMORF</t>
  </si>
  <si>
    <t>KOLTUK 3 LÜ DÜZ YÜKSEK</t>
  </si>
  <si>
    <t>PUFF BÜYÜK</t>
  </si>
  <si>
    <t>PUFF KÜÇÜK</t>
  </si>
  <si>
    <t>KOLTUK AÇILI MODÜL</t>
  </si>
  <si>
    <t>KOLTUK KOLLU MODÜL</t>
  </si>
  <si>
    <t>LOTUS PLUS</t>
  </si>
  <si>
    <t>1,5 / 46,8</t>
  </si>
  <si>
    <t xml:space="preserve">KONSOL </t>
  </si>
  <si>
    <t>1,0 / 90</t>
  </si>
  <si>
    <t>0,25 / 49,5</t>
  </si>
  <si>
    <t>BENCH</t>
  </si>
  <si>
    <t>0,75 / 84</t>
  </si>
  <si>
    <t>0,02 / 10</t>
  </si>
  <si>
    <t xml:space="preserve">ZİGON </t>
  </si>
  <si>
    <t>2 / 70,8</t>
  </si>
  <si>
    <t>1,52 / 66,3</t>
  </si>
  <si>
    <t>0,53 / 15,6</t>
  </si>
  <si>
    <t>AHŞAP KOL DAYANAĞI</t>
  </si>
  <si>
    <t>0,25 / 26,8</t>
  </si>
  <si>
    <t>3 LÜ AHŞAPLI</t>
  </si>
  <si>
    <t xml:space="preserve">75CM+KOL </t>
  </si>
  <si>
    <t>0,65 / 34</t>
  </si>
  <si>
    <t>90CM+KOL</t>
  </si>
  <si>
    <t>0,73 / 38</t>
  </si>
  <si>
    <t xml:space="preserve">75 SABİT </t>
  </si>
  <si>
    <t>0,5 / 22,6</t>
  </si>
  <si>
    <t xml:space="preserve">90 SABİT </t>
  </si>
  <si>
    <t>0,56 / 25,8</t>
  </si>
  <si>
    <t>OPERA PLUS</t>
  </si>
  <si>
    <t>ORTA SEHPA TAKIM</t>
  </si>
  <si>
    <t>SOLİD</t>
  </si>
  <si>
    <t>TV ÜNİTESİ ÜST BLOK (ADET)</t>
  </si>
  <si>
    <t>TV ÜNİTESİ RAF</t>
  </si>
  <si>
    <t>ORTA SEHPA (ADET)</t>
  </si>
  <si>
    <t>32/38</t>
  </si>
  <si>
    <t>KOLTUK 4 LÜ KIRIK</t>
  </si>
  <si>
    <t xml:space="preserve">90CM KOLLU MODÜL </t>
  </si>
  <si>
    <t>90CM ARA MODÜL</t>
  </si>
  <si>
    <t>90CM SEHPALI MODÜL</t>
  </si>
  <si>
    <t>110CM KOLLU MODÜL</t>
  </si>
  <si>
    <t>110CM SEHPALI MODÜL</t>
  </si>
  <si>
    <t>110CM+ARA MODÜL</t>
  </si>
  <si>
    <t>80CM KOLLU MODÜL</t>
  </si>
  <si>
    <t>80CM SEHPALI MODÜL</t>
  </si>
  <si>
    <t>80CM ARA MODÜL</t>
  </si>
  <si>
    <t>WOODY</t>
  </si>
  <si>
    <t>1,5 / 49,8</t>
  </si>
  <si>
    <t>0,97 / 93</t>
  </si>
  <si>
    <t>0,08 / 18</t>
  </si>
  <si>
    <t>0,35 / 47</t>
  </si>
  <si>
    <t>0,48 / 89</t>
  </si>
  <si>
    <t>0,15 / 19</t>
  </si>
  <si>
    <t>0,02 / 5</t>
  </si>
  <si>
    <t>0,3 / 11</t>
  </si>
  <si>
    <t>0,2 / 9</t>
  </si>
  <si>
    <t>1,8 / 64</t>
  </si>
  <si>
    <t>0,6 / 34</t>
  </si>
  <si>
    <t>NAVONA</t>
  </si>
  <si>
    <t>1,5 / 52,8</t>
  </si>
  <si>
    <t xml:space="preserve">0,65 / 87 </t>
  </si>
  <si>
    <t>0,07 / 20,2</t>
  </si>
  <si>
    <t>0,29 / 44</t>
  </si>
  <si>
    <t>0,5 / 60</t>
  </si>
  <si>
    <t>0,02 / 9</t>
  </si>
  <si>
    <t xml:space="preserve">Y.AHŞAP+90CM </t>
  </si>
  <si>
    <t xml:space="preserve">1,0 / 66 </t>
  </si>
  <si>
    <t>K.AHŞAP+90CM KOLLU</t>
  </si>
  <si>
    <t>1,0 / 62</t>
  </si>
  <si>
    <t>1,5 / 74,8</t>
  </si>
  <si>
    <t>0,5 / 32</t>
  </si>
  <si>
    <t>KOLTUK 3 LÜ YATAKLI</t>
  </si>
  <si>
    <t>1,5 /</t>
  </si>
  <si>
    <t>90CM+KOLLU</t>
  </si>
  <si>
    <t>0,73 / 38,8</t>
  </si>
  <si>
    <t>GUCCİ</t>
  </si>
  <si>
    <t>1,5 / 48</t>
  </si>
  <si>
    <t>0,75 / 120</t>
  </si>
  <si>
    <t>0,07 / 15</t>
  </si>
  <si>
    <t>0,25 / 55</t>
  </si>
  <si>
    <t>0,46 / 80</t>
  </si>
  <si>
    <t>0,4 /12</t>
  </si>
  <si>
    <t>ALFA</t>
  </si>
  <si>
    <t>2,0 / 88</t>
  </si>
  <si>
    <t>1,5 / 77,3</t>
  </si>
  <si>
    <t>0,6 /</t>
  </si>
  <si>
    <t>TESLA</t>
  </si>
  <si>
    <t>180CM YATAKLI KOLLU</t>
  </si>
  <si>
    <t>1,5 / 91,3</t>
  </si>
  <si>
    <t>KÖŞE</t>
  </si>
  <si>
    <t>0,85 / 40,3</t>
  </si>
  <si>
    <t>75CM SABİT</t>
  </si>
  <si>
    <t>0,6 / 24,8</t>
  </si>
  <si>
    <t>MÜZİK MODÜLÜ</t>
  </si>
  <si>
    <t>0,27 / 23,9</t>
  </si>
  <si>
    <t>75CM TV+KOL</t>
  </si>
  <si>
    <t>0,75 / 60,3</t>
  </si>
  <si>
    <t>180CM KOLLU</t>
  </si>
  <si>
    <t>75CM KOLLU</t>
  </si>
  <si>
    <t>0,75 / 40,3</t>
  </si>
  <si>
    <t>90CM SABİT</t>
  </si>
  <si>
    <t>0,5 / 28,7</t>
  </si>
  <si>
    <t>150CM KOLLU</t>
  </si>
  <si>
    <t xml:space="preserve">1,29 / </t>
  </si>
  <si>
    <t>0,6 / 45</t>
  </si>
  <si>
    <t>CIRCULAR BERJER</t>
  </si>
  <si>
    <t>0,6 / 25,6</t>
  </si>
  <si>
    <t>1,5 / 106,7</t>
  </si>
  <si>
    <t>100CM TV+KOL</t>
  </si>
  <si>
    <t>0,75 /60,3</t>
  </si>
  <si>
    <t>TEKLİ SABİT</t>
  </si>
  <si>
    <t>FLORYA</t>
  </si>
  <si>
    <t>DİNLENMELİ MODÜL</t>
  </si>
  <si>
    <t xml:space="preserve">95 ARA </t>
  </si>
  <si>
    <t>95CM+ KOL</t>
  </si>
  <si>
    <t xml:space="preserve">120CM+ KOL </t>
  </si>
  <si>
    <t xml:space="preserve">120CM ARA </t>
  </si>
  <si>
    <t>DİNLENME MODÜLÜ</t>
  </si>
  <si>
    <t>SMART RELAX</t>
  </si>
  <si>
    <t>1,4 / 82</t>
  </si>
  <si>
    <t xml:space="preserve">DİNLENME SANDIKLI </t>
  </si>
  <si>
    <t xml:space="preserve">1,1 / 62 </t>
  </si>
  <si>
    <t xml:space="preserve">KOLTUK 3 LÜ SABİT </t>
  </si>
  <si>
    <t>KOLTUK KIRIK MODÜL</t>
  </si>
  <si>
    <t>NAVONA PLUS V1</t>
  </si>
  <si>
    <t>Y.AHŞAP+90CM***</t>
  </si>
  <si>
    <t>0,5 / 34,8</t>
  </si>
  <si>
    <t>KOLTUK 3 LÜ***</t>
  </si>
  <si>
    <t>NAVONA PLUS V2</t>
  </si>
  <si>
    <t>K.AHŞAP+90CM KOLLU***</t>
  </si>
  <si>
    <t>Y.AHŞAP+180CM***</t>
  </si>
  <si>
    <t>KÖŞE MODÜL***</t>
  </si>
  <si>
    <t>NAVONA PLUS 2</t>
  </si>
  <si>
    <t>Y.AHŞAP+180CM YATAKLI</t>
  </si>
  <si>
    <t>212CM KOLLU***</t>
  </si>
  <si>
    <t>1,5 / 59,2</t>
  </si>
  <si>
    <t>ADA KÖŞE***</t>
  </si>
  <si>
    <t>1,3 / 42,6</t>
  </si>
  <si>
    <t>75 SABİT***</t>
  </si>
  <si>
    <t>0,28 / 26,8</t>
  </si>
  <si>
    <t>105CM KOLLU MODÜL***</t>
  </si>
  <si>
    <t>105CM KOLLU MODÜL</t>
  </si>
  <si>
    <t>120CM KOLLU MODÜL</t>
  </si>
  <si>
    <t>182CM KOLLU MODÜL</t>
  </si>
  <si>
    <t>1,2 / 56,6</t>
  </si>
  <si>
    <t>KARE KÖŞE</t>
  </si>
  <si>
    <t>KOLLU MODÜL *2</t>
  </si>
  <si>
    <t>AÇILI MODÜL *2</t>
  </si>
  <si>
    <t xml:space="preserve">PUF BÜYÜK BOY ORTA </t>
  </si>
  <si>
    <t>PUF KÜÇÜK BOY ORTA</t>
  </si>
  <si>
    <t>SLOPE RELAX</t>
  </si>
  <si>
    <t>KOLLU MODÜL</t>
  </si>
  <si>
    <t>SLOPE AMORF</t>
  </si>
  <si>
    <t>AÇILI MODÜL</t>
  </si>
  <si>
    <t>HARLEY V1</t>
  </si>
  <si>
    <t>KOLLU MODÜL 148</t>
  </si>
  <si>
    <t>KARE PUF</t>
  </si>
  <si>
    <t>ARA MODÜL 112</t>
  </si>
  <si>
    <t>BÜYÜK RELAX</t>
  </si>
  <si>
    <t>HARLEY M. RELAX</t>
  </si>
  <si>
    <t>KOLLU 176</t>
  </si>
  <si>
    <t>MİNİ RELAX</t>
  </si>
  <si>
    <t>HARLEY M. RELAX V2</t>
  </si>
  <si>
    <t>KOLLU MODÜL 176</t>
  </si>
  <si>
    <t>HARLEY V2</t>
  </si>
  <si>
    <t>OPERA</t>
  </si>
  <si>
    <t>CLOUD</t>
  </si>
  <si>
    <t>TV KOLTUĞU BERJER</t>
  </si>
  <si>
    <t>CİRCULAR</t>
  </si>
  <si>
    <t>BENZ BERJER</t>
  </si>
  <si>
    <t>BENZ PUF</t>
  </si>
  <si>
    <t>SUENO</t>
  </si>
  <si>
    <t xml:space="preserve">SANDALYE </t>
  </si>
  <si>
    <t>TV ALT BLOK ÜNİTESİ</t>
  </si>
  <si>
    <t>PANO</t>
  </si>
  <si>
    <t>DOLAP</t>
  </si>
  <si>
    <t>KOMODİN</t>
  </si>
  <si>
    <t>KARYOLA</t>
  </si>
  <si>
    <t>GRANDE</t>
  </si>
  <si>
    <t>KONSOL AYNA</t>
  </si>
  <si>
    <t>TV ÜNİTESİ PANO</t>
  </si>
  <si>
    <t>KOMODİN 2X</t>
  </si>
  <si>
    <t xml:space="preserve">MONZA </t>
  </si>
  <si>
    <t xml:space="preserve">DOLAP 6  KAPAK </t>
  </si>
  <si>
    <t xml:space="preserve">ŞİFONYER AYNA </t>
  </si>
  <si>
    <t xml:space="preserve">KOMODİN *2 ADET </t>
  </si>
  <si>
    <t xml:space="preserve">KARYOLA 160 CM </t>
  </si>
  <si>
    <t xml:space="preserve">PUF </t>
  </si>
  <si>
    <t>TV ÜNİTESİ ÜST DOLAP *2 ADET</t>
  </si>
  <si>
    <t xml:space="preserve">MASA </t>
  </si>
  <si>
    <t xml:space="preserve">TV ÜNİTESİ ÜST PANO </t>
  </si>
  <si>
    <t>SEHPA BÜYÜK</t>
  </si>
  <si>
    <t xml:space="preserve">SEHPA KÜÇÜK </t>
  </si>
  <si>
    <t>DOLAP 6 KAPAKLI</t>
  </si>
  <si>
    <t>ŞİFONYER AYNA</t>
  </si>
  <si>
    <t xml:space="preserve">SAHRA </t>
  </si>
  <si>
    <t xml:space="preserve">DOLAP 6 KAPAK </t>
  </si>
  <si>
    <t>DOLAP 3 KAPAK - CAM KAPAK</t>
  </si>
  <si>
    <t>DOLAP 2 KAPAK - CAM KAPAK</t>
  </si>
  <si>
    <t xml:space="preserve">DOLAP 1 KAPAK - CAM KAPAK </t>
  </si>
  <si>
    <t>DOLAP KÖŞE - CAM KAPAK</t>
  </si>
  <si>
    <t xml:space="preserve">DOLAP 2 KAPAK - AHŞAP KAPAK </t>
  </si>
  <si>
    <t>DOLAP 1 KAPAK - AHŞAP KAPAK</t>
  </si>
  <si>
    <t xml:space="preserve">DOLAP DIŞ YAN </t>
  </si>
  <si>
    <t xml:space="preserve">KONSOL AYNA </t>
  </si>
  <si>
    <t>SAHRA SANDALYE *4 ADET (KOLSUZ)</t>
  </si>
  <si>
    <t>SAHRA SANDALYE *2 ADET (KOLLU)</t>
  </si>
  <si>
    <t xml:space="preserve">TV ÜST DOLAP *2 ADET </t>
  </si>
  <si>
    <t xml:space="preserve">GALAXY </t>
  </si>
  <si>
    <t>DOLAP 3 KAPAK</t>
  </si>
  <si>
    <t xml:space="preserve">DOLAP 2 KAPAK </t>
  </si>
  <si>
    <t xml:space="preserve">DOLAP TEKLİ </t>
  </si>
  <si>
    <t>KÖŞE DOLAP</t>
  </si>
  <si>
    <t>KÖŞE DOLAP - CAM KAPAK</t>
  </si>
  <si>
    <t>DOLAP TEKLİ - CAM KAPAK</t>
  </si>
  <si>
    <t>ÇERÇEVE CAM KAPAK (FARKI)</t>
  </si>
  <si>
    <t>GALAXY</t>
  </si>
  <si>
    <t>TV ÜNİTESİ ÜST DOLAP</t>
  </si>
  <si>
    <t>BRONZE</t>
  </si>
  <si>
    <t>VİTRİN</t>
  </si>
  <si>
    <t>KİTAPLIK</t>
  </si>
  <si>
    <t>ORTA SEHPA MERMER</t>
  </si>
  <si>
    <t>ORTA SEHPA CEVİZ</t>
  </si>
  <si>
    <t>ORTA SEHPA KÜÇÜK</t>
  </si>
  <si>
    <t>İNTEGRA</t>
  </si>
  <si>
    <t>KANEPE 4 LÜ</t>
  </si>
  <si>
    <t>KANEPE 3 LÜ</t>
  </si>
  <si>
    <t>MELİSSA</t>
  </si>
  <si>
    <t>DOLAP 200 CM</t>
  </si>
  <si>
    <t>DOLAP 50 CM SAĞ RAFLI</t>
  </si>
  <si>
    <t>DOLAP 50 CM SOL ASKILIKLI</t>
  </si>
  <si>
    <t xml:space="preserve">160 BAZALI KARYOLA </t>
  </si>
  <si>
    <t>DOLAP 200 CM AHŞAP KAPAKLI</t>
  </si>
  <si>
    <t>DOLAP 100 CM AHŞAP KAPAKLI</t>
  </si>
  <si>
    <t>DOLAP 100 CM CAM KAPAKLI</t>
  </si>
  <si>
    <t>RAFLI MODÜL 25 CM</t>
  </si>
  <si>
    <t>DOLAP KÖŞE AHŞAP KAPAKLI</t>
  </si>
  <si>
    <t>DOLAP KÖŞE CAM KAPAKLI</t>
  </si>
  <si>
    <t>KARYOLA BAZALI 180 CM</t>
  </si>
  <si>
    <t>VALE STAND</t>
  </si>
  <si>
    <t>ŞİFONYERLİ MODÜL</t>
  </si>
  <si>
    <t>ŞİFONYER ADA</t>
  </si>
  <si>
    <t>MİNİ BERJER</t>
  </si>
  <si>
    <t>LİNA</t>
  </si>
  <si>
    <t>KARYOLA BAZALI 160 CM</t>
  </si>
  <si>
    <t>KOMODİN PANO X2</t>
  </si>
  <si>
    <t>DOLAP 100 CM CAMLI</t>
  </si>
  <si>
    <t>RAFLI MODÜL 25CM</t>
  </si>
  <si>
    <t>DOLAP KÖŞE</t>
  </si>
  <si>
    <t>DOLAP SAĞ VİTRAY RAFLI</t>
  </si>
  <si>
    <t>DOLAP SOL VİTRAY ASKILIKLI</t>
  </si>
  <si>
    <t>OLİNDA</t>
  </si>
  <si>
    <t>DOLAP 200CM</t>
  </si>
  <si>
    <t>DOLAP SAĞ RAFLI</t>
  </si>
  <si>
    <t>DOLAP SOL ASKILIKLI</t>
  </si>
  <si>
    <t>DOLAP 100CM CAMLI</t>
  </si>
  <si>
    <t>MİNİ BERJER / PUF</t>
  </si>
  <si>
    <t>VOLARE</t>
  </si>
  <si>
    <t>LOS ANGELES</t>
  </si>
  <si>
    <t>DOLAP 100CM</t>
  </si>
  <si>
    <t>ŞİFORYERLİ MODEL</t>
  </si>
  <si>
    <t>PARİS</t>
  </si>
  <si>
    <t>DOLAP CAMLI 100CM</t>
  </si>
  <si>
    <t>BONN</t>
  </si>
  <si>
    <t>KANEPE 4 LÜ SIRT ATLATMALI</t>
  </si>
  <si>
    <t>KANEPE 3 LÜ SIRT ATLATMALI</t>
  </si>
  <si>
    <t>LOVE SEAT</t>
  </si>
  <si>
    <t>SEHPA</t>
  </si>
  <si>
    <t>MODÜL KOLLU</t>
  </si>
  <si>
    <t>MODÜL KOLSUZ</t>
  </si>
  <si>
    <t>SOLO</t>
  </si>
  <si>
    <t>KANEPE SIRT ATLATMALI</t>
  </si>
  <si>
    <t>KANEPE 4 OTURUMLU SIRT ATLATMALI</t>
  </si>
  <si>
    <t>KÖŞE MODÜL KÜÇÜK</t>
  </si>
  <si>
    <t>RELAX ODÜL</t>
  </si>
  <si>
    <t>PUF BÜYÜK</t>
  </si>
  <si>
    <t>PUF KÜÇÜK</t>
  </si>
  <si>
    <t>MODÜL TEKli KOLLU</t>
  </si>
  <si>
    <t>KOLSUZ PİYON</t>
  </si>
  <si>
    <t>ARA MODÜL TEPSİLİ</t>
  </si>
  <si>
    <t>MONA</t>
  </si>
  <si>
    <t>KANEPE 3 LÜ MEKANİZMALI</t>
  </si>
  <si>
    <t>MODÜL KOLLU 2 Lİ</t>
  </si>
  <si>
    <t>MODÜL MEKANİZMALI 2 Lİ</t>
  </si>
  <si>
    <t>MODÜL 75 LİK</t>
  </si>
  <si>
    <t>MODÜL KÖŞE</t>
  </si>
  <si>
    <t>MODÜL 150 LİK</t>
  </si>
  <si>
    <t>MODÜL 115 LİK</t>
  </si>
  <si>
    <t>BOSS</t>
  </si>
  <si>
    <t>BABA KOLTUĞU</t>
  </si>
  <si>
    <t>SOFT</t>
  </si>
  <si>
    <t>KANEPE TEK KOLLU 3 LÜ</t>
  </si>
  <si>
    <t>KANEPE TEK KOLLU 2 Lİ</t>
  </si>
  <si>
    <t>PİYON KOLSUZ 2 Lİ</t>
  </si>
  <si>
    <t>PİYON KOLSUZ TEKLİ</t>
  </si>
  <si>
    <t>KÖŞE KÜÇÜK 100CM</t>
  </si>
  <si>
    <t>AHŞAP SEHPA</t>
  </si>
  <si>
    <t>LİNE</t>
  </si>
  <si>
    <t>KANEPE 4 LÜ SIRT MEKANİZMALI</t>
  </si>
  <si>
    <t>KANEPE 3 LÜ SIRT MEKANİZMALI</t>
  </si>
  <si>
    <t>NOVA</t>
  </si>
  <si>
    <t>KENT</t>
  </si>
  <si>
    <t>LİZA</t>
  </si>
  <si>
    <t xml:space="preserve">NEVA </t>
  </si>
  <si>
    <t>SANDALYE 4 ADET</t>
  </si>
  <si>
    <t>MASA 105CM ÇAP</t>
  </si>
  <si>
    <t>MASA 120CM ÇAP</t>
  </si>
  <si>
    <t>TV ÜNİTESİ ALT MODÜL 215CM</t>
  </si>
  <si>
    <t>PİCASSO</t>
  </si>
  <si>
    <t>AÇILIR MASA</t>
  </si>
  <si>
    <t>TV ÜNİTESİ ALT MODÜL</t>
  </si>
  <si>
    <t>TREND</t>
  </si>
  <si>
    <t>SANDALYE 6 ADET</t>
  </si>
  <si>
    <t>TV ÜST MODÜL</t>
  </si>
  <si>
    <t>TV ALT MODÜL</t>
  </si>
  <si>
    <t>LOGAN</t>
  </si>
  <si>
    <t>VİTRİN (BÜFE)</t>
  </si>
  <si>
    <t>FABIO</t>
  </si>
  <si>
    <t>TEKLİ</t>
  </si>
  <si>
    <t>ARA MODÜL 95 LİK</t>
  </si>
  <si>
    <t>KANEPE MODÜL TEK KOLLU</t>
  </si>
  <si>
    <t>ARA MODÜL 75 LİK</t>
  </si>
  <si>
    <t>MODÜL TEK KOLLU 95CM OTURUM</t>
  </si>
  <si>
    <t>MODÜL TEK KOLLU 75CM OTURUM</t>
  </si>
  <si>
    <t>ARA MODÜL AHŞAP SEHPA</t>
  </si>
  <si>
    <t>KIRLENT</t>
  </si>
  <si>
    <t>HERO</t>
  </si>
  <si>
    <t>KÖŞE TAKIMI</t>
  </si>
  <si>
    <t>ARA SEHPA AHŞAP</t>
  </si>
  <si>
    <t>BONNY</t>
  </si>
  <si>
    <t>ORTA SEHPA X2</t>
  </si>
  <si>
    <t>YAN SEHPA X2</t>
  </si>
  <si>
    <t>KANEPE 2 Lİ</t>
  </si>
  <si>
    <t xml:space="preserve">TEKLİ </t>
  </si>
  <si>
    <t>ARA MODÜL 96 LIK</t>
  </si>
  <si>
    <t>KÖŞE MODÜL MEKANİZMALI</t>
  </si>
  <si>
    <t>MODÜL TEK KOLLU</t>
  </si>
  <si>
    <t>ASTOR</t>
  </si>
  <si>
    <t>TV ÜNİTESİ YAN BLOK</t>
  </si>
  <si>
    <t>YAN SEHPA BÜYÜK</t>
  </si>
  <si>
    <t>YAN SEHPA KÜÇÜK</t>
  </si>
  <si>
    <t>VEGA</t>
  </si>
  <si>
    <t>HAMILTON</t>
  </si>
  <si>
    <t>DEAR</t>
  </si>
  <si>
    <t xml:space="preserve">KİTAPLIK </t>
  </si>
  <si>
    <t xml:space="preserve">KİTAPLIK 100CM </t>
  </si>
  <si>
    <t>KİTAPLIK 200CM</t>
  </si>
  <si>
    <t>BERJER METAL BRW</t>
  </si>
  <si>
    <t>HARMONY</t>
  </si>
  <si>
    <t>TV ÜNİTESİ ÜST KISA MODÜL</t>
  </si>
  <si>
    <t>TV ÜNİTESİ ÜST UZUN MODÜL</t>
  </si>
  <si>
    <t xml:space="preserve">ORTA SEHPA CAMLI </t>
  </si>
  <si>
    <t>ORTA SEHPA AHŞAP</t>
  </si>
  <si>
    <t>YAN SEHPA MERMER</t>
  </si>
  <si>
    <t>YAN SEHPA DİJİTAL BASKILI</t>
  </si>
  <si>
    <t>MODÜL KOLLU 125CM</t>
  </si>
  <si>
    <t>MODÜL MOBİLYALI</t>
  </si>
  <si>
    <t>YUEN</t>
  </si>
  <si>
    <t xml:space="preserve">TV ÜNİTESİ ALT MODÜL </t>
  </si>
  <si>
    <t>ZİGON SEHPA 3 LÜ</t>
  </si>
  <si>
    <t>ARA SEHPA</t>
  </si>
  <si>
    <t>KOLTUK 3 LÜ TEK OTURUM</t>
  </si>
  <si>
    <t>KOLLU MODÜL 140CM</t>
  </si>
  <si>
    <t>KOLLU MODÜL 120CM</t>
  </si>
  <si>
    <t>GAME</t>
  </si>
  <si>
    <t>KOLLU MODÜL 130CM</t>
  </si>
  <si>
    <t>KOLLU MODÜL 115CM</t>
  </si>
  <si>
    <t>ÇAP MODÜL</t>
  </si>
  <si>
    <t>KÖŞE MODÜLÜ</t>
  </si>
  <si>
    <t>AYAKLI PUF</t>
  </si>
  <si>
    <t>CROWN</t>
  </si>
  <si>
    <t>SEHPA TEPSİLİ</t>
  </si>
  <si>
    <t>KOLTUK 4 LÜ SEHPALI</t>
  </si>
  <si>
    <t>KEOPS</t>
  </si>
  <si>
    <t>TEK KOLLU MODÜL 185CM</t>
  </si>
  <si>
    <t>ARA MODÜL KOLSUZ SEHPALI</t>
  </si>
  <si>
    <t>TEK KOLLU MODÜL 140CM</t>
  </si>
  <si>
    <t>TEK KOLLU MODÜL SEHPALI</t>
  </si>
  <si>
    <t>ARA MODÜL KOLSUZ 135CM</t>
  </si>
  <si>
    <t>ARA MODÜL KOLSUZ 180CM</t>
  </si>
  <si>
    <t>NATURA</t>
  </si>
  <si>
    <t>KANEPE 4 LÜ S MODEL</t>
  </si>
  <si>
    <t>BERJER AHŞAP</t>
  </si>
  <si>
    <t>BERJER KAPALI</t>
  </si>
  <si>
    <t>TEK KOLLU MODÜL  MOBİLYALI</t>
  </si>
  <si>
    <t>KÖŞE MODÜL LONG (UZUN)</t>
  </si>
  <si>
    <t xml:space="preserve">ARA MODÜL </t>
  </si>
  <si>
    <t>TEK KOLLU KANEPE MODÜL</t>
  </si>
  <si>
    <t>KOLSUZ KANEPE MODÜL</t>
  </si>
  <si>
    <t>KOLLU MODÜL TEK OTURUM</t>
  </si>
  <si>
    <t>OPSİYON BERJER</t>
  </si>
  <si>
    <t>HELİX</t>
  </si>
  <si>
    <t>ASTOR DÖNER</t>
  </si>
  <si>
    <t>ÜSKÜP DÖNER</t>
  </si>
  <si>
    <t>TOG</t>
  </si>
  <si>
    <t>FABİO</t>
  </si>
  <si>
    <t>BRW AHŞAP 101</t>
  </si>
  <si>
    <t>BRW AHŞAP 102</t>
  </si>
  <si>
    <t>HAMİLTON</t>
  </si>
  <si>
    <t>MONGE</t>
  </si>
  <si>
    <t>MASA 220CM</t>
  </si>
  <si>
    <t>MASA 180CM</t>
  </si>
  <si>
    <t xml:space="preserve">DRESUAR </t>
  </si>
  <si>
    <t>TABLO</t>
  </si>
  <si>
    <t>ORTA SEHPA CAM</t>
  </si>
  <si>
    <t>SERVİS SEHPASI</t>
  </si>
  <si>
    <t>KOLTUK TEKLİ</t>
  </si>
  <si>
    <t>KARYOLA İÇ KAYITLI 160CM</t>
  </si>
  <si>
    <t>KARYOLA İÇ KAYITLI 180CM</t>
  </si>
  <si>
    <t>ŞİFONYER &amp; AYNASI</t>
  </si>
  <si>
    <t>MAKYAJ PUFU</t>
  </si>
  <si>
    <t>SOHO</t>
  </si>
  <si>
    <t>TABLO KÜÇÜK</t>
  </si>
  <si>
    <t>MASA 210CM</t>
  </si>
  <si>
    <t>TABLO BÜYÜK</t>
  </si>
  <si>
    <t>ORTA SEHPA SERAMİK</t>
  </si>
  <si>
    <t>KOLTUK TEKLİ OPSİYONEL</t>
  </si>
  <si>
    <t>TEKLİ MODÜL KOLSUZ</t>
  </si>
  <si>
    <t>MODÜL KOLLU SOL</t>
  </si>
  <si>
    <t>MODÜL KOLLU SAĞ</t>
  </si>
  <si>
    <t>ARA MODÜL SEHPA (SARJ+SES SİSTEMİ)</t>
  </si>
  <si>
    <t>PALERMO</t>
  </si>
  <si>
    <t>MASA  210CM</t>
  </si>
  <si>
    <t>TV ÜNİTESİ ÜST KAPAKLI MODÜL</t>
  </si>
  <si>
    <t>TV ÜNİTESİ SOL TEKLİ MODÜL</t>
  </si>
  <si>
    <t>TV ÜNİTESİ SOL ÇİFTLİ MODÜL</t>
  </si>
  <si>
    <t>TV ÜNİTESİ SAĞ RAF MODÜL</t>
  </si>
  <si>
    <t>BELIZE</t>
  </si>
  <si>
    <t>KOLTUK 2 Lİ</t>
  </si>
  <si>
    <t>TEKLİ KOLSUZ MODÜL</t>
  </si>
  <si>
    <t>AÇILI MODÜL DÜZ KIRLENT</t>
  </si>
  <si>
    <t>AÇILI MODÜL DESENLİ KIRLENT</t>
  </si>
  <si>
    <t>SOL MODÜL 4 LÜ</t>
  </si>
  <si>
    <t>SAĞ MODÜL 4 LÜ</t>
  </si>
  <si>
    <t>SOL MODÜL 3 LÜ</t>
  </si>
  <si>
    <t>SAĞ MODÜL 3 LÜ</t>
  </si>
  <si>
    <t>SOL MODÜL 2 Lİ</t>
  </si>
  <si>
    <t>SAĞ MODÜL 2 Lİ</t>
  </si>
  <si>
    <t>PETRA</t>
  </si>
  <si>
    <t>KOLTUK TEKLİ DESENLİ</t>
  </si>
  <si>
    <t>MODÜL SOL KOLLU 4  LÜ</t>
  </si>
  <si>
    <t>MODÜL SAĞ KOLLU 4 LÜ</t>
  </si>
  <si>
    <t>MODÜL TEKLİ KOLSUZ</t>
  </si>
  <si>
    <t>BÜYÜK KÖŞE MODÜL</t>
  </si>
  <si>
    <t>LE MANS</t>
  </si>
  <si>
    <t>DOLAP CAMLI</t>
  </si>
  <si>
    <t>SAN VİTO</t>
  </si>
  <si>
    <t>KOLTUK TEKLİ METAL</t>
  </si>
  <si>
    <t>KOLTUK TEKLİ DÖŞEMELİ</t>
  </si>
  <si>
    <t>SOL MODÜL KAVİSLİ</t>
  </si>
  <si>
    <t>SAĞ MODÜL KAVİSLİ</t>
  </si>
  <si>
    <t>TEKLİ METAL</t>
  </si>
  <si>
    <t>PUF 80 LİK OPSİYONEL</t>
  </si>
  <si>
    <t>PUF 60 LIK OPSİYONEL</t>
  </si>
  <si>
    <t>SOL MODÜL YARIM SIRTLI</t>
  </si>
  <si>
    <t>SAĞ MODÜL YARIM SIRTLI</t>
  </si>
  <si>
    <t>SOL MODÜL KOLLU 4 LÜ</t>
  </si>
  <si>
    <t>SAĞ MODÜL KOLLU 4 LÜ</t>
  </si>
  <si>
    <t>MODÜL AÇILI</t>
  </si>
  <si>
    <t>SOL MODÜL KOLLU 3 LÜ</t>
  </si>
  <si>
    <t>SAĞ MODÜL KOLLU 3 LÜ</t>
  </si>
  <si>
    <t>FORENZA</t>
  </si>
  <si>
    <t>KONSOL AYNASI 2 ADET</t>
  </si>
  <si>
    <t>TV ÜNİTESİ ÜST SOL CAM KAPAKLI M.</t>
  </si>
  <si>
    <t>TV ÜNİTESİ ÜST ORTA RAFLI MODÜL</t>
  </si>
  <si>
    <t>TV ÜNİTESİ SAĞ RAFLI MODÜL</t>
  </si>
  <si>
    <t>TV ÜNİTESİ ALT ORTA KAPAKLI MODÜL</t>
  </si>
  <si>
    <t>TV ÜNİTESİ ALT SAĞ-SOL ÇEKMECELİ M.</t>
  </si>
  <si>
    <t>ORTA SEHPA PUF</t>
  </si>
  <si>
    <t>PUF OPSİYONEL</t>
  </si>
  <si>
    <t>MONTELLA</t>
  </si>
  <si>
    <t>ETRO</t>
  </si>
  <si>
    <t>TV ÜNİTESİ SOL MODÜL</t>
  </si>
  <si>
    <t>TV ÜNİTESİ SAĞ MODÜL</t>
  </si>
  <si>
    <t xml:space="preserve">ORTA SEHPA </t>
  </si>
  <si>
    <t>ÜÇGEN MODÜL YARIM</t>
  </si>
  <si>
    <t>ÜÇGEN MODÜL</t>
  </si>
  <si>
    <t>KÖŞE MODÜL BÜYÜK</t>
  </si>
  <si>
    <t>MODÜL KOLLU 3 LÜ SAĞ-SOL</t>
  </si>
  <si>
    <t>MODÜL KOLLU 4 LÜ SAĞ-SOL</t>
  </si>
  <si>
    <t>ARA MODÜL SARJLI</t>
  </si>
  <si>
    <t>PUF ALTIGEN 80 LİK</t>
  </si>
  <si>
    <t>PUF ALTIGEN 50 LİK</t>
  </si>
  <si>
    <t>KARYOLA İÇ KAYITLI 160CM KISA BAŞLIKLI</t>
  </si>
  <si>
    <t>TEKLİ MODÜL AHŞAP SAĞ-SOL</t>
  </si>
  <si>
    <t>ÇİFTLİ BOY ASKILIKLI CAMLI MODÜL</t>
  </si>
  <si>
    <t>ÇİFT ÇEKMECELİ CAMLI MODÜL</t>
  </si>
  <si>
    <t>PORTO</t>
  </si>
  <si>
    <t>TV ÜNİTESİ SOL RAFLI MODÜL</t>
  </si>
  <si>
    <t>TV ÜNİTESİ ORTA MODÜL</t>
  </si>
  <si>
    <t>TAMAMLAYICI SOL RAFLI MODÜL</t>
  </si>
  <si>
    <t>TAMAMLAYICI SAĞ RAFLI MODÜL</t>
  </si>
  <si>
    <t>ORTA SEHPA AHŞAP AYAKLI</t>
  </si>
  <si>
    <t>ORTA SEHPA METAL AYAKLI</t>
  </si>
  <si>
    <t>LİMA</t>
  </si>
  <si>
    <t>KOLTUK TEKLİ  C MODEL</t>
  </si>
  <si>
    <t>KOLTUK TEKLİ PAPELLİ</t>
  </si>
  <si>
    <t>KOLLU MODÜL SAĞ-SOL</t>
  </si>
  <si>
    <t>TEKLİ MODÜL STANDART 90CM</t>
  </si>
  <si>
    <t>TEKLİ MODÜL 75CM</t>
  </si>
  <si>
    <t>KONSOL AYNASI 3 ADET</t>
  </si>
  <si>
    <t>TV ÜNİTESİ GENİŞ RAFLI MODÜL</t>
  </si>
  <si>
    <t>TV ÜNİTESİ CAMLI MODÜL</t>
  </si>
  <si>
    <t>TV ÜNİTESİ TEKLİ MODÜL</t>
  </si>
  <si>
    <t>KOLLU MODÜL 2 Lİ SAĞ-SOL</t>
  </si>
  <si>
    <t>KOLSUZ MODÜL 2 Lİ</t>
  </si>
  <si>
    <t>KOLLU KÖŞE MODÜL 2 Lİ SAĞ-SOL</t>
  </si>
  <si>
    <t>TEKLİ MODÜL</t>
  </si>
  <si>
    <t>PUF ORTA KARE</t>
  </si>
  <si>
    <t>DOLAP 5 KAPAKLI</t>
  </si>
  <si>
    <t>PRAG</t>
  </si>
  <si>
    <t>MODÜL SOL 3 LÜ</t>
  </si>
  <si>
    <t>MODÜL SAĞ 3 LÜ</t>
  </si>
  <si>
    <t>ARA MODÜL SAĞ-SOL</t>
  </si>
  <si>
    <t>KÜÇÜK KÖŞE</t>
  </si>
  <si>
    <t>TEKLİ KOLSUZ  MODÜL DÜZ</t>
  </si>
  <si>
    <t>TEKLİ KOLSUZ MODÜL DESENLİ</t>
  </si>
  <si>
    <t>MODÜL 4 LÜ SAĞ-SOL</t>
  </si>
  <si>
    <t>PUF ORTA</t>
  </si>
  <si>
    <t>RİYAD</t>
  </si>
  <si>
    <t xml:space="preserve">KONSOL AYNASI </t>
  </si>
  <si>
    <t>MASA DAİRE</t>
  </si>
  <si>
    <t>SANDALYE DÜZ</t>
  </si>
  <si>
    <t>SANDALYE DESENLİ</t>
  </si>
  <si>
    <t xml:space="preserve">KOLTUK TEKLİ </t>
  </si>
  <si>
    <t>LİZBON</t>
  </si>
  <si>
    <t>SOL DIŞ MODÜL</t>
  </si>
  <si>
    <t>SOL İÇ MODÜL</t>
  </si>
  <si>
    <t>TV MODÜL (TEK MODÜL SATIŞI YOKTUR)</t>
  </si>
  <si>
    <t>SAĞ İÇ MODÜL</t>
  </si>
  <si>
    <t>SAĞ DIŞ MODEL</t>
  </si>
  <si>
    <t>KOLTUK 4 LÜ YARIM KOLLU</t>
  </si>
  <si>
    <t>KOLTUK 4 LÜ TAM KOLLU</t>
  </si>
  <si>
    <t>KOLTUK 3 LÜ TAM KOLLU</t>
  </si>
  <si>
    <t>KOLTUK 3 LÜ YARIM KOLLU</t>
  </si>
  <si>
    <t>MONACO</t>
  </si>
  <si>
    <t>UZUN SEHPA</t>
  </si>
  <si>
    <t>KISA SEHPA</t>
  </si>
  <si>
    <t>MODÜL DİNLENMELİ</t>
  </si>
  <si>
    <t>MODÜL KOLLU ÜÇLÜ</t>
  </si>
  <si>
    <t>KARYOLA İÇ KAYITLI 160CM PANOSUZ</t>
  </si>
  <si>
    <t>KARYOLA İÇ KAYITLI 160CM PANOLU</t>
  </si>
  <si>
    <t>KARYOLA BAZALI 160CM PANOLU</t>
  </si>
  <si>
    <t>KARYOLA BAZALI 160CM PANOSUZ</t>
  </si>
  <si>
    <t>KARYOLA BAZALI 180CM PANOLU</t>
  </si>
  <si>
    <t>KARYOLA BAZALI 180CM PANOSUZ</t>
  </si>
  <si>
    <t>KARYOLA İÇ KAYITLI 180CM PANOLU</t>
  </si>
  <si>
    <t>KARYOLA İÇ KAYITLI 180CM PANOSUZ</t>
  </si>
  <si>
    <t>KARYOLA PANOSU 2 ADET SAĞ-SOL</t>
  </si>
  <si>
    <t>PARMA</t>
  </si>
  <si>
    <t>LUCCA</t>
  </si>
  <si>
    <t>MODÜL DİNLENMELİ SAĞ-SOL</t>
  </si>
  <si>
    <t>MODÜL TEK KOLLU SAĞ-SOL</t>
  </si>
  <si>
    <t>MODÜL KOLLU 2 Lİ SAĞ-SOL</t>
  </si>
  <si>
    <t>MODÜL KOLSUZ 2 Lİ</t>
  </si>
  <si>
    <t>MODÜL KÜÇÜK KÖŞE</t>
  </si>
  <si>
    <t>ORTA SEHPA PUFU</t>
  </si>
  <si>
    <t>ARA MODÜL SEHPA TELEFON SARJLI</t>
  </si>
  <si>
    <t>ARA MODÜL SEHPA</t>
  </si>
  <si>
    <t xml:space="preserve">GİYİNME ODASI KÖŞE MODÜL </t>
  </si>
  <si>
    <t>GİYİNME ODASI TEKLİ RAFLI MODÜL SAĞ-SOL</t>
  </si>
  <si>
    <t>GİYİNME ODASI ÇİFTLİ BOY AYNASI CAMLI M.</t>
  </si>
  <si>
    <t>GİYİNME ODASI ÇİFT ÇEKMECELİ CAMLI M.</t>
  </si>
  <si>
    <t>VEGAS</t>
  </si>
  <si>
    <t>TV ÜNİTESİ ÜST PANO</t>
  </si>
  <si>
    <t>LION</t>
  </si>
  <si>
    <t>TV ÜNİTESİ KAPAKLI MODÜL SAĞ-SOL</t>
  </si>
  <si>
    <t>ORTA SEHPA + 2 KÜÇÜK SEHPA</t>
  </si>
  <si>
    <t>KOLTUK 4 LÜ DESENLİ KUMAŞ</t>
  </si>
  <si>
    <t>KOLTUK 4 LÜ DİKİŞLİ KUMAŞ</t>
  </si>
  <si>
    <t>KOLTUK 3 LÜ DESENLİ KUMAŞ</t>
  </si>
  <si>
    <t>KOLTUK 3 LÜ DİKİŞLİ KUMAŞ</t>
  </si>
  <si>
    <t>KARYOLA İÇKAYITLI 180CM</t>
  </si>
  <si>
    <t>GİYİNME ODASI KÖŞE MODÜL</t>
  </si>
  <si>
    <t>GİYİNME O.TEKLİ RAFLI AHŞAP MODÜL</t>
  </si>
  <si>
    <t>GİYİNME O. TEKLİ RAFLI CAM MODÜL</t>
  </si>
  <si>
    <t>GİYİNME O. ÇİFTLİ BOY ASKILI CAM MODÜL</t>
  </si>
  <si>
    <t>GİYİNME O. ÇİFTLİ ÇEKMECELİ CAM MODÜL</t>
  </si>
  <si>
    <t>RİVA</t>
  </si>
  <si>
    <t>ASUS</t>
  </si>
  <si>
    <t>KAŞIKLIK</t>
  </si>
  <si>
    <t>ÜNİTE</t>
  </si>
  <si>
    <t>KOLTUK 4 LÜ DESENLİ MODERN</t>
  </si>
  <si>
    <t>KOLTUK 4 LÜ DÜZ CHESTER</t>
  </si>
  <si>
    <t>KOLTUK 3 LÜ DÜZ CHESTER</t>
  </si>
  <si>
    <t>KOLTUK 3 LÜ DESENLİ MODERN</t>
  </si>
  <si>
    <t>KOLTUK 2 Lİ CHESTER</t>
  </si>
  <si>
    <t>KOLTUK TEKLİ LÜKS MİMOZA</t>
  </si>
  <si>
    <t>KOMODİN ÜST PANO 2 ADET SAĞ-SOL</t>
  </si>
  <si>
    <t>ORTA SEHPA (METAL SEHPA + PUF)</t>
  </si>
  <si>
    <t>AQUA</t>
  </si>
  <si>
    <t>DOLAP SÜRGÜLÜ</t>
  </si>
  <si>
    <t>VIONA</t>
  </si>
  <si>
    <t>GİYİNME O. KÖŞE MODÜL</t>
  </si>
  <si>
    <t>GİYİNME O. TEKLİ RAFLI AHŞAP KAPAKLI MODÜL</t>
  </si>
  <si>
    <t>GLORIA</t>
  </si>
  <si>
    <t>KASIKLIK</t>
  </si>
  <si>
    <t>BÜYÜK BENCH</t>
  </si>
  <si>
    <t>ALT MODÜL</t>
  </si>
  <si>
    <t>KOLTUK 4 LÜ KAPİTONELİ</t>
  </si>
  <si>
    <t>KOLTUK 4 LÜ YARMALI</t>
  </si>
  <si>
    <t>KOLTUK 3 LÜ YARMALI</t>
  </si>
  <si>
    <t>KOLTUK 3 LÜ KAPİTONELİ</t>
  </si>
  <si>
    <t>KOLTUK 2 Lİ KAPİTONELİ</t>
  </si>
  <si>
    <t>GİYİNME O. TEKLİ RAFLI PANJUR KAPAK MODÜL</t>
  </si>
  <si>
    <t>GİYİNME O. ÇİFTLİ ÇEKMECELİ PANJUR KAPAK M.</t>
  </si>
  <si>
    <t>GİYİNME O. ÇİFTLİ BOY ASKILI PANJUR KAPAK M.</t>
  </si>
  <si>
    <t>TOKYO</t>
  </si>
  <si>
    <t>KOLTUK 4 LÜ DESENLİ</t>
  </si>
  <si>
    <t>KOLTUK 4 LÜ AYNALI</t>
  </si>
  <si>
    <t>KOLTUK 3 LÜ AYNALI</t>
  </si>
  <si>
    <t>KOLTUK 3 LÜ DESENLİ</t>
  </si>
  <si>
    <t>KARYOLA BAZALI 160 PANOSUZ</t>
  </si>
  <si>
    <t>KARYOLA DÖŞEMELİ PANO 2 ADET SAĞ-SOL</t>
  </si>
  <si>
    <t>HÜNKAR</t>
  </si>
  <si>
    <t>ROMA</t>
  </si>
  <si>
    <t>VOGA</t>
  </si>
  <si>
    <t>HÜNKAR V2</t>
  </si>
  <si>
    <t>KARYOLA BAZALI 160</t>
  </si>
  <si>
    <t>VRL</t>
  </si>
  <si>
    <t>BARİSTA</t>
  </si>
  <si>
    <t>KOL TAKIM</t>
  </si>
  <si>
    <t>CALİSTO</t>
  </si>
  <si>
    <t>ZİGON SEHPA TAKIMI 3'LÜ</t>
  </si>
  <si>
    <t>CAMBRİDGE</t>
  </si>
  <si>
    <t>DOVER</t>
  </si>
  <si>
    <t>BAR TABURE</t>
  </si>
  <si>
    <t>FREYA</t>
  </si>
  <si>
    <t>TEKLİ KOLTUK</t>
  </si>
  <si>
    <t>2'Lİ KOLTUK</t>
  </si>
  <si>
    <t>LAVİ</t>
  </si>
  <si>
    <t>MALAGA</t>
  </si>
  <si>
    <t>MAYA</t>
  </si>
  <si>
    <t>BANK</t>
  </si>
  <si>
    <t>NEVADA</t>
  </si>
  <si>
    <t>KOLTUK</t>
  </si>
  <si>
    <t>REST</t>
  </si>
  <si>
    <t>LOCA</t>
  </si>
  <si>
    <t>RETRO</t>
  </si>
  <si>
    <t>TABURE</t>
  </si>
  <si>
    <t>ROCO</t>
  </si>
  <si>
    <t>SALVADOR</t>
  </si>
  <si>
    <t xml:space="preserve">SKY </t>
  </si>
  <si>
    <t>SUNSET</t>
  </si>
  <si>
    <t>TİMBER</t>
  </si>
  <si>
    <t>URBAN</t>
  </si>
  <si>
    <t>METAL BAR TABURE</t>
  </si>
  <si>
    <t>VEN</t>
  </si>
  <si>
    <t>VİERA</t>
  </si>
  <si>
    <t>ZOE</t>
  </si>
  <si>
    <t>WEST</t>
  </si>
  <si>
    <t>ADELE</t>
  </si>
  <si>
    <t>CAPRİCE WOOD</t>
  </si>
  <si>
    <t>KONİK AYAKLI MASA</t>
  </si>
  <si>
    <t>COTTAGE</t>
  </si>
  <si>
    <t xml:space="preserve">135'LİK  AHŞAP AYAKLI MASA </t>
  </si>
  <si>
    <t>135'LİK  METAL AYAKLI MASA</t>
  </si>
  <si>
    <t>165'LİK AHŞAP AYAKLI MASA</t>
  </si>
  <si>
    <t>165'LİK  METAL AYAKLI MASA</t>
  </si>
  <si>
    <t>CROSS</t>
  </si>
  <si>
    <t>AHŞAP AYAKLI MASA</t>
  </si>
  <si>
    <t>METAL AYAKLI MASA</t>
  </si>
  <si>
    <t>DESKON</t>
  </si>
  <si>
    <t>DİNNER</t>
  </si>
  <si>
    <t>130/190</t>
  </si>
  <si>
    <t>ELDA</t>
  </si>
  <si>
    <t>ENZO</t>
  </si>
  <si>
    <t>AHŞAP KONİK AYAKLI MASA</t>
  </si>
  <si>
    <t>METAL KONİK AYAKLI MASA</t>
  </si>
  <si>
    <t>GİO</t>
  </si>
  <si>
    <t>AHŞAP MASA</t>
  </si>
  <si>
    <t>HARPER</t>
  </si>
  <si>
    <t>HEGZON</t>
  </si>
  <si>
    <t>LEDART</t>
  </si>
  <si>
    <t>LOOP</t>
  </si>
  <si>
    <t>MARİN</t>
  </si>
  <si>
    <t>105 MASA</t>
  </si>
  <si>
    <t>MERİDA</t>
  </si>
  <si>
    <t>MESİNA</t>
  </si>
  <si>
    <t xml:space="preserve">NATURA BOLD </t>
  </si>
  <si>
    <t>MASA 135'LİK</t>
  </si>
  <si>
    <t xml:space="preserve">NATURA </t>
  </si>
  <si>
    <t>PASCAL</t>
  </si>
  <si>
    <t>150/189</t>
  </si>
  <si>
    <t>SORTİE</t>
  </si>
  <si>
    <t>113/153</t>
  </si>
  <si>
    <t>OVAL AHŞAP AYAKLI MASA</t>
  </si>
  <si>
    <t>130/168</t>
  </si>
  <si>
    <t>OVAL METAL AYAKLI MASA</t>
  </si>
  <si>
    <t>SORTİE R</t>
  </si>
  <si>
    <t xml:space="preserve"> MASA</t>
  </si>
  <si>
    <t>TEMA</t>
  </si>
  <si>
    <t>TİMBERLAND</t>
  </si>
  <si>
    <t xml:space="preserve">135'LİK MASA </t>
  </si>
  <si>
    <t>180'LİK MASA</t>
  </si>
  <si>
    <t xml:space="preserve">TOWER </t>
  </si>
  <si>
    <t>TROYA</t>
  </si>
  <si>
    <t>TUAL</t>
  </si>
  <si>
    <t>VARİO</t>
  </si>
  <si>
    <t>AHŞAP DÜZ AYAKLI MASA</t>
  </si>
  <si>
    <t>135/175</t>
  </si>
  <si>
    <t>METAL DÜZ AYAKLI MASA</t>
  </si>
  <si>
    <t>VERSAY</t>
  </si>
  <si>
    <t>80/130</t>
  </si>
  <si>
    <t>VİTAL</t>
  </si>
  <si>
    <t>ARAMİS</t>
  </si>
  <si>
    <t>ARTEM</t>
  </si>
  <si>
    <t xml:space="preserve">BAR SANDALYE </t>
  </si>
  <si>
    <t>ARVEN</t>
  </si>
  <si>
    <t xml:space="preserve">ATOS </t>
  </si>
  <si>
    <t>ATOS N</t>
  </si>
  <si>
    <t>BALEM</t>
  </si>
  <si>
    <t>KOLSUZ SANDALYE</t>
  </si>
  <si>
    <t>BARAKALDO</t>
  </si>
  <si>
    <t>BROOKLYN</t>
  </si>
  <si>
    <t xml:space="preserve">KOLLU SANDALYE </t>
  </si>
  <si>
    <t>SANDALYE MASİF OTURUMLU</t>
  </si>
  <si>
    <t>COHEN</t>
  </si>
  <si>
    <t>COLOGNE</t>
  </si>
  <si>
    <t>CUBA</t>
  </si>
  <si>
    <t>DALİ</t>
  </si>
  <si>
    <t xml:space="preserve">DEFNE </t>
  </si>
  <si>
    <t>AHŞAP SANDALYE</t>
  </si>
  <si>
    <t>OFİS SANDALYE</t>
  </si>
  <si>
    <t>86/99</t>
  </si>
  <si>
    <t>DORUK</t>
  </si>
  <si>
    <t>ESTEL</t>
  </si>
  <si>
    <t>FİONA</t>
  </si>
  <si>
    <t>FLORA</t>
  </si>
  <si>
    <t>GRACE</t>
  </si>
  <si>
    <t>GRACE LIGHT</t>
  </si>
  <si>
    <t>HANİBAL</t>
  </si>
  <si>
    <t xml:space="preserve">LİMA </t>
  </si>
  <si>
    <t>METAL SANDALYE</t>
  </si>
  <si>
    <t xml:space="preserve">AHŞAP SANDALYE </t>
  </si>
  <si>
    <t xml:space="preserve">LOOP </t>
  </si>
  <si>
    <t>MABEL</t>
  </si>
  <si>
    <t>79/92</t>
  </si>
  <si>
    <t>MARS</t>
  </si>
  <si>
    <t>MARSİLYA</t>
  </si>
  <si>
    <t>NASTAS</t>
  </si>
  <si>
    <t xml:space="preserve">NICO </t>
  </si>
  <si>
    <t>OBERON</t>
  </si>
  <si>
    <t>PANDORA</t>
  </si>
  <si>
    <t xml:space="preserve">PERLA </t>
  </si>
  <si>
    <t>PICATOS</t>
  </si>
  <si>
    <t>RATON</t>
  </si>
  <si>
    <t>RONDA</t>
  </si>
  <si>
    <t>ROSA</t>
  </si>
  <si>
    <t xml:space="preserve">ROSA </t>
  </si>
  <si>
    <t xml:space="preserve">TORTA </t>
  </si>
  <si>
    <t>TOSCA</t>
  </si>
  <si>
    <t>TUNA</t>
  </si>
  <si>
    <t xml:space="preserve">URBAN </t>
  </si>
  <si>
    <t>VİCE</t>
  </si>
  <si>
    <t xml:space="preserve">VİYANA </t>
  </si>
  <si>
    <t>ZENİT</t>
  </si>
  <si>
    <t xml:space="preserve">YATAK </t>
  </si>
  <si>
    <t>NEMO</t>
  </si>
  <si>
    <t>BAZA</t>
  </si>
  <si>
    <t xml:space="preserve">NEMO </t>
  </si>
  <si>
    <t>MİMOZA</t>
  </si>
  <si>
    <t>KOMİDİN</t>
  </si>
  <si>
    <t xml:space="preserve">MİMOZA </t>
  </si>
  <si>
    <t>BAŞLIK</t>
  </si>
  <si>
    <t>MARKİZ</t>
  </si>
  <si>
    <t>KİNG MATRESS +</t>
  </si>
  <si>
    <t>YATAK</t>
  </si>
  <si>
    <t>PARA KASASI</t>
  </si>
  <si>
    <t>KASA</t>
  </si>
  <si>
    <t>KASA BÜYÜK</t>
  </si>
  <si>
    <t>POLO</t>
  </si>
  <si>
    <t>ZÜMRÜT</t>
  </si>
  <si>
    <t xml:space="preserve">KOMİDİN </t>
  </si>
  <si>
    <t>KASA KÜÇÜK</t>
  </si>
  <si>
    <t>DORMEO</t>
  </si>
  <si>
    <t>HANEDAN</t>
  </si>
  <si>
    <t>FİRUZE</t>
  </si>
  <si>
    <t xml:space="preserve">DORMEO </t>
  </si>
  <si>
    <t>LEDLİ AYNA</t>
  </si>
  <si>
    <t>ŞEHRAZAT</t>
  </si>
  <si>
    <t>HERMES</t>
  </si>
  <si>
    <t xml:space="preserve">GÖKSU </t>
  </si>
  <si>
    <t>SAFRAN</t>
  </si>
  <si>
    <t>EFSANE</t>
  </si>
  <si>
    <t xml:space="preserve">EFSANE </t>
  </si>
  <si>
    <t xml:space="preserve">VİSCO FLEX </t>
  </si>
  <si>
    <t>CAROLİN</t>
  </si>
  <si>
    <t xml:space="preserve">CAROLİN </t>
  </si>
  <si>
    <t>İKONYUM</t>
  </si>
  <si>
    <t xml:space="preserve">BOSS </t>
  </si>
  <si>
    <t xml:space="preserve">POLO </t>
  </si>
  <si>
    <t>AYAK UCU</t>
  </si>
  <si>
    <t>BEGONYA +</t>
  </si>
  <si>
    <t xml:space="preserve">KİNG MATRESS </t>
  </si>
  <si>
    <t>LORENZA</t>
  </si>
  <si>
    <t xml:space="preserve">LORENZA </t>
  </si>
  <si>
    <t>BERGAMA</t>
  </si>
  <si>
    <t>NİRVANA</t>
  </si>
  <si>
    <t xml:space="preserve">ORİENT </t>
  </si>
  <si>
    <t>ATLANTİS</t>
  </si>
  <si>
    <t xml:space="preserve">POLARİS </t>
  </si>
  <si>
    <t xml:space="preserve">ARYA </t>
  </si>
  <si>
    <t xml:space="preserve">BAZA </t>
  </si>
  <si>
    <t xml:space="preserve">DOĞA </t>
  </si>
  <si>
    <t xml:space="preserve">DİANA </t>
  </si>
  <si>
    <t>AVONNİ</t>
  </si>
  <si>
    <t>KARİZMA</t>
  </si>
  <si>
    <t xml:space="preserve">MABEL </t>
  </si>
  <si>
    <t>MİRAY</t>
  </si>
  <si>
    <t>SİERRA</t>
  </si>
  <si>
    <t>FİRUZE+</t>
  </si>
  <si>
    <t xml:space="preserve">VİOLA </t>
  </si>
  <si>
    <t>PRİZMA</t>
  </si>
  <si>
    <t>LEYDİ</t>
  </si>
  <si>
    <t xml:space="preserve">ARMADA </t>
  </si>
  <si>
    <t xml:space="preserve">OTTOMAN </t>
  </si>
  <si>
    <t xml:space="preserve">BAŞLIK </t>
  </si>
  <si>
    <t xml:space="preserve">TERRA </t>
  </si>
  <si>
    <t xml:space="preserve">HİLDA </t>
  </si>
  <si>
    <t xml:space="preserve">ZARA </t>
  </si>
  <si>
    <t>ZARA</t>
  </si>
  <si>
    <t xml:space="preserve">SARAY </t>
  </si>
  <si>
    <t xml:space="preserve">PETEK </t>
  </si>
  <si>
    <t xml:space="preserve">HİLAL </t>
  </si>
  <si>
    <t xml:space="preserve">KRİSTAL </t>
  </si>
  <si>
    <t>LOVE</t>
  </si>
  <si>
    <t>KİNG MEDİCAL</t>
  </si>
  <si>
    <t xml:space="preserve">AZADE </t>
  </si>
  <si>
    <t xml:space="preserve">TOPKAPI </t>
  </si>
  <si>
    <t xml:space="preserve">KARDELEN </t>
  </si>
  <si>
    <t xml:space="preserve">DREAM </t>
  </si>
  <si>
    <t>BEGONYA</t>
  </si>
  <si>
    <t>ŞATO</t>
  </si>
  <si>
    <t>JAGUAR +</t>
  </si>
  <si>
    <t xml:space="preserve">AYSİMA </t>
  </si>
  <si>
    <t xml:space="preserve">MARKİZ </t>
  </si>
  <si>
    <t>LEATHER</t>
  </si>
  <si>
    <t xml:space="preserve">NİLÜFER </t>
  </si>
  <si>
    <t xml:space="preserve">KUMRU </t>
  </si>
  <si>
    <t xml:space="preserve">MODA </t>
  </si>
  <si>
    <t>BOĞAZİÇİ</t>
  </si>
  <si>
    <t xml:space="preserve">PİRAMİT </t>
  </si>
  <si>
    <t xml:space="preserve">JAGUAR </t>
  </si>
  <si>
    <t xml:space="preserve">HÜMA </t>
  </si>
  <si>
    <t>KLİMAX VİSİON</t>
  </si>
  <si>
    <t>PLANET</t>
  </si>
  <si>
    <t xml:space="preserve">ATLAS </t>
  </si>
  <si>
    <t xml:space="preserve">OMEGA </t>
  </si>
  <si>
    <t xml:space="preserve">AÇELYA </t>
  </si>
  <si>
    <t xml:space="preserve">İNDİGO </t>
  </si>
  <si>
    <t>İN İREM</t>
  </si>
  <si>
    <t xml:space="preserve">RÜYA </t>
  </si>
  <si>
    <t xml:space="preserve">İREM </t>
  </si>
  <si>
    <t xml:space="preserve">DORA </t>
  </si>
  <si>
    <t xml:space="preserve">BEGONYA </t>
  </si>
  <si>
    <r>
      <t xml:space="preserve">BEGONYA </t>
    </r>
    <r>
      <rPr>
        <sz val="11"/>
        <color theme="1"/>
        <rFont val="Calibri"/>
        <family val="2"/>
        <charset val="162"/>
        <scheme val="minor"/>
      </rPr>
      <t xml:space="preserve">+ </t>
    </r>
  </si>
  <si>
    <t xml:space="preserve">PARİS </t>
  </si>
  <si>
    <t>ALBELLA</t>
  </si>
  <si>
    <t xml:space="preserve">ALBELLA </t>
  </si>
  <si>
    <t xml:space="preserve">LOVE </t>
  </si>
  <si>
    <t xml:space="preserve">KİDS </t>
  </si>
  <si>
    <t xml:space="preserve">LOFT </t>
  </si>
  <si>
    <t xml:space="preserve">SİERRA </t>
  </si>
  <si>
    <t xml:space="preserve">SELÇUKLU </t>
  </si>
  <si>
    <t>JAGUAR</t>
  </si>
  <si>
    <t>MİNA</t>
  </si>
  <si>
    <t xml:space="preserve">LEATHER </t>
  </si>
  <si>
    <t xml:space="preserve">PRENSES </t>
  </si>
  <si>
    <t xml:space="preserve">FİRUZE </t>
  </si>
  <si>
    <t>IRMAK</t>
  </si>
  <si>
    <t xml:space="preserve">IRMAK </t>
  </si>
  <si>
    <t xml:space="preserve">LALEZAR </t>
  </si>
  <si>
    <t>OKYANUS</t>
  </si>
  <si>
    <t xml:space="preserve">HAYAL </t>
  </si>
  <si>
    <t>İN RÜYA</t>
  </si>
  <si>
    <t>İNDİGO</t>
  </si>
  <si>
    <t>HELLO KITTY</t>
  </si>
  <si>
    <t>BAZA-BAŞLIK</t>
  </si>
  <si>
    <t xml:space="preserve">NOVA </t>
  </si>
  <si>
    <t>KITTY</t>
  </si>
  <si>
    <t>POYRAZ</t>
  </si>
  <si>
    <t xml:space="preserve">POYRAZ </t>
  </si>
  <si>
    <t xml:space="preserve">BUGS BUNNY </t>
  </si>
  <si>
    <t xml:space="preserve">HAVUÇ </t>
  </si>
  <si>
    <t>WOSVOS</t>
  </si>
  <si>
    <t>KORKULUK</t>
  </si>
  <si>
    <t>AYAKUCU</t>
  </si>
  <si>
    <t>BAHAR</t>
  </si>
  <si>
    <t xml:space="preserve">BAHAR </t>
  </si>
  <si>
    <t xml:space="preserve">KORKULUK </t>
  </si>
  <si>
    <t xml:space="preserve">AYAKUCU </t>
  </si>
  <si>
    <t>KELEBEK</t>
  </si>
  <si>
    <t xml:space="preserve">KELEBEK </t>
  </si>
  <si>
    <t>SİNDİRELLA</t>
  </si>
  <si>
    <t xml:space="preserve">KOLTUK </t>
  </si>
  <si>
    <t>COMFORT</t>
  </si>
  <si>
    <t xml:space="preserve">COMFORT </t>
  </si>
  <si>
    <t xml:space="preserve">YAN BAŞLIK </t>
  </si>
  <si>
    <t xml:space="preserve">CRAFT </t>
  </si>
  <si>
    <t xml:space="preserve">VİCTORY </t>
  </si>
  <si>
    <t xml:space="preserve">FLORA </t>
  </si>
  <si>
    <t>OPTİMA</t>
  </si>
  <si>
    <t>TERRA</t>
  </si>
  <si>
    <t xml:space="preserve">CROWN </t>
  </si>
  <si>
    <t xml:space="preserve">ERGO </t>
  </si>
  <si>
    <t>KAT KAR SOMYA</t>
  </si>
  <si>
    <t>ATİGO</t>
  </si>
  <si>
    <t xml:space="preserve">AVONNİ </t>
  </si>
  <si>
    <t xml:space="preserve">PUMA </t>
  </si>
  <si>
    <t xml:space="preserve">PLANET </t>
  </si>
  <si>
    <t xml:space="preserve">İN İREM </t>
  </si>
  <si>
    <t xml:space="preserve">CREA </t>
  </si>
  <si>
    <t xml:space="preserve">KAPALI BAZA </t>
  </si>
  <si>
    <t>STYLE</t>
  </si>
  <si>
    <t xml:space="preserve">ÜNİVERSAL </t>
  </si>
  <si>
    <t xml:space="preserve">SENEM </t>
  </si>
  <si>
    <t>KARDELEN</t>
  </si>
  <si>
    <t xml:space="preserve">ŞATO </t>
  </si>
  <si>
    <t>ATLAS</t>
  </si>
  <si>
    <t>HAYAL</t>
  </si>
  <si>
    <t>VİP</t>
  </si>
  <si>
    <t>NATURAL LATEX</t>
  </si>
  <si>
    <t>SWİSS LOVE BED</t>
  </si>
  <si>
    <t>MERCAN</t>
  </si>
  <si>
    <t xml:space="preserve">KİNG İKONYUM </t>
  </si>
  <si>
    <t xml:space="preserve">PREMİUM </t>
  </si>
  <si>
    <t>KİNG LİBERTY</t>
  </si>
  <si>
    <t xml:space="preserve">BERGAMA </t>
  </si>
  <si>
    <t xml:space="preserve">DUVİVER </t>
  </si>
  <si>
    <t xml:space="preserve">KİNG MEDİCAL </t>
  </si>
  <si>
    <t xml:space="preserve">MEDİ COOT </t>
  </si>
  <si>
    <t xml:space="preserve">LOVELY MOON </t>
  </si>
  <si>
    <t xml:space="preserve">MİRAY </t>
  </si>
  <si>
    <t>FİRUZE +</t>
  </si>
  <si>
    <t xml:space="preserve">MENEKŞE </t>
  </si>
  <si>
    <t xml:space="preserve">MANOLYA </t>
  </si>
  <si>
    <t xml:space="preserve">VİSCO </t>
  </si>
  <si>
    <t xml:space="preserve">YATAK PEDİ </t>
  </si>
  <si>
    <t xml:space="preserve">SULTAN </t>
  </si>
  <si>
    <t xml:space="preserve">SIVI GEÇİRMEZ </t>
  </si>
  <si>
    <t xml:space="preserve">FİTTED ALEZ </t>
  </si>
  <si>
    <t xml:space="preserve">KAPİTONELİ </t>
  </si>
  <si>
    <t>ALEZ</t>
  </si>
  <si>
    <t>İNCİ</t>
  </si>
  <si>
    <t xml:space="preserve">ALEZ </t>
  </si>
  <si>
    <t>BONNİ JELLİ</t>
  </si>
  <si>
    <t xml:space="preserve">VİSCO YASTIK </t>
  </si>
  <si>
    <t xml:space="preserve">SİLİKONLU </t>
  </si>
  <si>
    <t>YASTIK</t>
  </si>
  <si>
    <t>BAMBOO</t>
  </si>
  <si>
    <t>YORGAN TEK KİŞİLİK</t>
  </si>
  <si>
    <t>YORGAN ÇİFT KİŞİLİK</t>
  </si>
  <si>
    <t xml:space="preserve">ALEOVERA </t>
  </si>
  <si>
    <t>ANTİ STRESS</t>
  </si>
  <si>
    <t xml:space="preserve">YÜN </t>
  </si>
  <si>
    <t xml:space="preserve">PAMUK </t>
  </si>
  <si>
    <t xml:space="preserve">YORGAN </t>
  </si>
  <si>
    <t xml:space="preserve">TEK KİŞİLİK </t>
  </si>
  <si>
    <t>ÇİFT KİŞİLİK</t>
  </si>
  <si>
    <t xml:space="preserve">TERMO </t>
  </si>
  <si>
    <t xml:space="preserve">ATİGO </t>
  </si>
  <si>
    <t>SİNDERELLA</t>
  </si>
  <si>
    <t>HEİDİ</t>
  </si>
  <si>
    <t xml:space="preserve">BABY VİSCO </t>
  </si>
  <si>
    <t xml:space="preserve">MOBİLYA </t>
  </si>
  <si>
    <t>MİSTO</t>
  </si>
  <si>
    <t>FRN-21009</t>
  </si>
  <si>
    <t>FRN-21010</t>
  </si>
  <si>
    <t xml:space="preserve">MİSTO </t>
  </si>
  <si>
    <t>FRN-21008</t>
  </si>
  <si>
    <t xml:space="preserve">VİTRİN BÜFE </t>
  </si>
  <si>
    <t>FRN-21029</t>
  </si>
  <si>
    <t>FRN-21020</t>
  </si>
  <si>
    <t>FRN-21021</t>
  </si>
  <si>
    <t>FRN-21022</t>
  </si>
  <si>
    <t xml:space="preserve">YEMEK MASASI </t>
  </si>
  <si>
    <t>FRN-21023</t>
  </si>
  <si>
    <t xml:space="preserve">TV ÜNİTESİ </t>
  </si>
  <si>
    <t>FRN-21026</t>
  </si>
  <si>
    <t>FRN-21025</t>
  </si>
  <si>
    <t>FRN-21011</t>
  </si>
  <si>
    <t>FRN-21030</t>
  </si>
  <si>
    <t>FRN-21012</t>
  </si>
  <si>
    <t>FRN-21024</t>
  </si>
  <si>
    <t xml:space="preserve">KAHVE DOLABI </t>
  </si>
  <si>
    <t>FRN-21027</t>
  </si>
  <si>
    <t>FRN-21027-1</t>
  </si>
  <si>
    <t>FRN-21028</t>
  </si>
  <si>
    <t>FRN-21028-1</t>
  </si>
  <si>
    <t>FRN-21034</t>
  </si>
  <si>
    <t>FRN-21035</t>
  </si>
  <si>
    <t>GARDIROP</t>
  </si>
  <si>
    <t>FRN-21001</t>
  </si>
  <si>
    <t>FRN-21003</t>
  </si>
  <si>
    <t>FRN-21004</t>
  </si>
  <si>
    <t>FRN-21005</t>
  </si>
  <si>
    <t>FRN-21006</t>
  </si>
  <si>
    <t>FRN-21007</t>
  </si>
  <si>
    <t>FRN-21013</t>
  </si>
  <si>
    <t>FRN-21014</t>
  </si>
  <si>
    <t>FRN-21031</t>
  </si>
  <si>
    <t xml:space="preserve">MAKYAJ MASASI </t>
  </si>
  <si>
    <t>FRN-21032</t>
  </si>
  <si>
    <t>FRN-21015</t>
  </si>
  <si>
    <t>FRN-21016</t>
  </si>
  <si>
    <t>FRN-21017</t>
  </si>
  <si>
    <t>BAŞLIKLI KARYOLA</t>
  </si>
  <si>
    <t>FRN-21019</t>
  </si>
  <si>
    <t>FRN-21018</t>
  </si>
  <si>
    <t xml:space="preserve">ÇALIŞMA MASASI </t>
  </si>
  <si>
    <t>FRN-21033</t>
  </si>
  <si>
    <t xml:space="preserve">HELEN </t>
  </si>
  <si>
    <t>FRN-20009</t>
  </si>
  <si>
    <t>FRN-20010</t>
  </si>
  <si>
    <t>FRN-20008</t>
  </si>
  <si>
    <t>FRN-20007</t>
  </si>
  <si>
    <t xml:space="preserve">KİTAPLIK BÜFE </t>
  </si>
  <si>
    <t>FRN-20070</t>
  </si>
  <si>
    <t>FRN-20071</t>
  </si>
  <si>
    <t>FRN-20069</t>
  </si>
  <si>
    <t>FRN-20068</t>
  </si>
  <si>
    <t>FRN-20074</t>
  </si>
  <si>
    <t>FRN-20073</t>
  </si>
  <si>
    <t>FRN-20032</t>
  </si>
  <si>
    <t>FRN-20082</t>
  </si>
  <si>
    <t>FRN-20001</t>
  </si>
  <si>
    <t>FRN-20057</t>
  </si>
  <si>
    <t>FRN-20055</t>
  </si>
  <si>
    <t>FRN-20002</t>
  </si>
  <si>
    <t>FRN-20056</t>
  </si>
  <si>
    <t>FRN-20006</t>
  </si>
  <si>
    <t>FRN-20034</t>
  </si>
  <si>
    <t>FRN-20081</t>
  </si>
  <si>
    <t>FRN-20075</t>
  </si>
  <si>
    <t>FRN-20075-1</t>
  </si>
  <si>
    <t>FRN-20076</t>
  </si>
  <si>
    <t>FRN-20076-1</t>
  </si>
  <si>
    <t>FRN-20014</t>
  </si>
  <si>
    <t>FRN-20067</t>
  </si>
  <si>
    <t>FRN-20012</t>
  </si>
  <si>
    <t>FRN-20013</t>
  </si>
  <si>
    <t>FRN-20018</t>
  </si>
  <si>
    <t>FRN-20019</t>
  </si>
  <si>
    <t>FRN-20011</t>
  </si>
  <si>
    <t>FRN-20020</t>
  </si>
  <si>
    <t>FRN-20017</t>
  </si>
  <si>
    <t>FRN-20024</t>
  </si>
  <si>
    <t>FRN-20061</t>
  </si>
  <si>
    <t>FRN-20023</t>
  </si>
  <si>
    <t>FRN-20027</t>
  </si>
  <si>
    <t>FRN-20029</t>
  </si>
  <si>
    <t>FRN-20030</t>
  </si>
  <si>
    <t>FRN-20063</t>
  </si>
  <si>
    <t>FRN-20036</t>
  </si>
  <si>
    <t>FRN-20037</t>
  </si>
  <si>
    <t>FRN-20038</t>
  </si>
  <si>
    <t>FRN-20072</t>
  </si>
  <si>
    <t>FRN-20064</t>
  </si>
  <si>
    <t>FRN-20083</t>
  </si>
  <si>
    <t>PORTMANTO</t>
  </si>
  <si>
    <t>FRN-20077</t>
  </si>
  <si>
    <t>FRN-20078</t>
  </si>
  <si>
    <t>FRN-20079</t>
  </si>
  <si>
    <t>FRN-20080</t>
  </si>
  <si>
    <t xml:space="preserve">AYAKKABILIK </t>
  </si>
  <si>
    <t>FRN-20046</t>
  </si>
  <si>
    <t>FRN-20047</t>
  </si>
  <si>
    <t>FRN-20048</t>
  </si>
  <si>
    <t>FRN-20049</t>
  </si>
  <si>
    <t xml:space="preserve">ÇOK AMAÇLI DOLAP </t>
  </si>
  <si>
    <t>FRN-20040</t>
  </si>
  <si>
    <t>FRN-20041</t>
  </si>
  <si>
    <t>INDEPENDENT</t>
  </si>
  <si>
    <t>FRN-22046</t>
  </si>
  <si>
    <t>FRN-22001</t>
  </si>
  <si>
    <t>FRN-22000</t>
  </si>
  <si>
    <t>FRN-22045</t>
  </si>
  <si>
    <t>FRN-22008</t>
  </si>
  <si>
    <t>FRN-22049</t>
  </si>
  <si>
    <t>FRN-22033</t>
  </si>
  <si>
    <t>FRN-22037</t>
  </si>
  <si>
    <t>FRN-22047</t>
  </si>
  <si>
    <t>FRN-22040</t>
  </si>
  <si>
    <t>FRN-22048</t>
  </si>
  <si>
    <t>115-115</t>
  </si>
  <si>
    <t>27-138</t>
  </si>
  <si>
    <t>93-93</t>
  </si>
  <si>
    <t>FRN-22031</t>
  </si>
  <si>
    <t>FRN-22044</t>
  </si>
  <si>
    <t>AKSESUAR</t>
  </si>
  <si>
    <t>TS-101</t>
  </si>
  <si>
    <t>TS-102</t>
  </si>
  <si>
    <t>TS-103</t>
  </si>
  <si>
    <t>TS-104</t>
  </si>
  <si>
    <t>TS-105</t>
  </si>
  <si>
    <t>TS-106</t>
  </si>
  <si>
    <t>TS-107</t>
  </si>
  <si>
    <t>TS-108</t>
  </si>
  <si>
    <t>TS-117</t>
  </si>
  <si>
    <t>ZİGON DAİRE SEHPA</t>
  </si>
  <si>
    <t>TS-118</t>
  </si>
  <si>
    <t>TS-125</t>
  </si>
  <si>
    <t xml:space="preserve">ORTA DAİRE SEHPA </t>
  </si>
  <si>
    <t>TS-126</t>
  </si>
  <si>
    <t>TS-127</t>
  </si>
  <si>
    <t>TS-128</t>
  </si>
  <si>
    <t>TS-129</t>
  </si>
  <si>
    <t>TS-130</t>
  </si>
  <si>
    <t>TS-135</t>
  </si>
  <si>
    <t>TS-136</t>
  </si>
  <si>
    <t>TS-137</t>
  </si>
  <si>
    <t>TS-138</t>
  </si>
  <si>
    <t>TS-145</t>
  </si>
  <si>
    <t>TS-146</t>
  </si>
  <si>
    <t>TS-147</t>
  </si>
  <si>
    <t>TS-148</t>
  </si>
  <si>
    <t>TS-149</t>
  </si>
  <si>
    <t>TS-150</t>
  </si>
  <si>
    <t>TS-153</t>
  </si>
  <si>
    <t>TS-154</t>
  </si>
  <si>
    <t>TS-155</t>
  </si>
  <si>
    <t>TS-172</t>
  </si>
  <si>
    <t xml:space="preserve">YAVRULU ORTA SEHPA </t>
  </si>
  <si>
    <t>TS-173</t>
  </si>
  <si>
    <t>TS-175</t>
  </si>
  <si>
    <t>TS-207</t>
  </si>
  <si>
    <t>TS-208</t>
  </si>
  <si>
    <t>TS-221</t>
  </si>
  <si>
    <t>TS-226</t>
  </si>
  <si>
    <t>TS-227</t>
  </si>
  <si>
    <t>TS-228</t>
  </si>
  <si>
    <t>TS-231</t>
  </si>
  <si>
    <t>TS-232</t>
  </si>
  <si>
    <t>TS-237</t>
  </si>
  <si>
    <t>AKILLI SEHPA</t>
  </si>
  <si>
    <t>TS-239</t>
  </si>
  <si>
    <t>TS-240</t>
  </si>
  <si>
    <t>TS-248</t>
  </si>
  <si>
    <t>TS-249</t>
  </si>
  <si>
    <t>TS-250</t>
  </si>
  <si>
    <t>TS-251</t>
  </si>
  <si>
    <t>TS-252</t>
  </si>
  <si>
    <t>TS-253</t>
  </si>
  <si>
    <t>TS-254</t>
  </si>
  <si>
    <t>TS-255</t>
  </si>
  <si>
    <t>TS-256</t>
  </si>
  <si>
    <t>TS-257</t>
  </si>
  <si>
    <t>TS-258</t>
  </si>
  <si>
    <t>TS-259</t>
  </si>
  <si>
    <t>TS-260</t>
  </si>
  <si>
    <t>TS-261</t>
  </si>
  <si>
    <t>TS-262</t>
  </si>
  <si>
    <t>TS-263</t>
  </si>
  <si>
    <t>TS-264</t>
  </si>
  <si>
    <t>TS-265</t>
  </si>
  <si>
    <t>TS-266</t>
  </si>
  <si>
    <t>TS-267</t>
  </si>
  <si>
    <t>TS-268</t>
  </si>
  <si>
    <t>TS-269</t>
  </si>
  <si>
    <t>TS-270</t>
  </si>
  <si>
    <t>TS-271</t>
  </si>
  <si>
    <t>TS-272</t>
  </si>
  <si>
    <t>TS-273</t>
  </si>
  <si>
    <t>TS-274</t>
  </si>
  <si>
    <t>TS-275</t>
  </si>
  <si>
    <t>TS-276</t>
  </si>
  <si>
    <t>TS-277</t>
  </si>
  <si>
    <t>TS-278</t>
  </si>
  <si>
    <t>TS-279</t>
  </si>
  <si>
    <t>TS-280</t>
  </si>
  <si>
    <t>TS-281</t>
  </si>
  <si>
    <t>TS-282</t>
  </si>
  <si>
    <t>TS-283</t>
  </si>
  <si>
    <t>TS-284</t>
  </si>
  <si>
    <t>TS-285</t>
  </si>
  <si>
    <t>TS-176</t>
  </si>
  <si>
    <t xml:space="preserve">AÇILIR MUTFAK MASASI </t>
  </si>
  <si>
    <t>TS-177</t>
  </si>
  <si>
    <t>TS-180</t>
  </si>
  <si>
    <t>TS-186</t>
  </si>
  <si>
    <t xml:space="preserve">YUVARLAK MUTFAK MASASI </t>
  </si>
  <si>
    <t>TS-243</t>
  </si>
  <si>
    <t>AÇILIR MUTFAK MASASI KELEBEK MASA</t>
  </si>
  <si>
    <t>TS-247</t>
  </si>
  <si>
    <t>TS-286</t>
  </si>
  <si>
    <t xml:space="preserve">MUTFAK MASASI </t>
  </si>
  <si>
    <t>TS-287</t>
  </si>
  <si>
    <t xml:space="preserve">BOHEM YEMEK MASASI </t>
  </si>
  <si>
    <t xml:space="preserve">BOHEM SANDALYE </t>
  </si>
  <si>
    <t xml:space="preserve">BOHEM KONSOL </t>
  </si>
  <si>
    <t>TS-288</t>
  </si>
  <si>
    <t>TS-289</t>
  </si>
  <si>
    <t xml:space="preserve">ALLURE </t>
  </si>
  <si>
    <t>KOMODİN (2 ADET)</t>
  </si>
  <si>
    <t>ARTE</t>
  </si>
  <si>
    <t>ASTRA</t>
  </si>
  <si>
    <t>BELLA</t>
  </si>
  <si>
    <t xml:space="preserve">BEST </t>
  </si>
  <si>
    <t xml:space="preserve">BOXSPRING-LINDA </t>
  </si>
  <si>
    <t xml:space="preserve">BUMBY </t>
  </si>
  <si>
    <t>BUMBY LUX</t>
  </si>
  <si>
    <t xml:space="preserve">CANCUN </t>
  </si>
  <si>
    <t>CARIA</t>
  </si>
  <si>
    <t xml:space="preserve">COMO </t>
  </si>
  <si>
    <t xml:space="preserve">COMO PRO </t>
  </si>
  <si>
    <t xml:space="preserve">COSTA </t>
  </si>
  <si>
    <t xml:space="preserve">DIANA </t>
  </si>
  <si>
    <t>DIMMAX</t>
  </si>
  <si>
    <t xml:space="preserve">FABER </t>
  </si>
  <si>
    <t xml:space="preserve">FLORIDA </t>
  </si>
  <si>
    <t xml:space="preserve">HARMONIE </t>
  </si>
  <si>
    <t xml:space="preserve">HERMES </t>
  </si>
  <si>
    <t>HUGO</t>
  </si>
  <si>
    <t xml:space="preserve">JULIE </t>
  </si>
  <si>
    <t>LEGO</t>
  </si>
  <si>
    <t xml:space="preserve">LUMERA </t>
  </si>
  <si>
    <t xml:space="preserve">MADRID </t>
  </si>
  <si>
    <t xml:space="preserve">MATHILDA </t>
  </si>
  <si>
    <t xml:space="preserve">MOONLIGHT </t>
  </si>
  <si>
    <t xml:space="preserve">MİNİ MOONLIGHT </t>
  </si>
  <si>
    <t xml:space="preserve">MOON </t>
  </si>
  <si>
    <t>MYKONOS</t>
  </si>
  <si>
    <t>ODESSA</t>
  </si>
  <si>
    <t xml:space="preserve">PAROS </t>
  </si>
  <si>
    <t xml:space="preserve">PAROS XL </t>
  </si>
  <si>
    <t xml:space="preserve">PERRY LUX </t>
  </si>
  <si>
    <t xml:space="preserve">PUZZLE </t>
  </si>
  <si>
    <t xml:space="preserve">MINI PUZZLE </t>
  </si>
  <si>
    <t xml:space="preserve">RODOS </t>
  </si>
  <si>
    <t xml:space="preserve">RODOS PRO </t>
  </si>
  <si>
    <t>SIESTA</t>
  </si>
  <si>
    <t>VESTA</t>
  </si>
  <si>
    <t>DIAMOND</t>
  </si>
  <si>
    <t xml:space="preserve">GINSENG </t>
  </si>
  <si>
    <t>JOYBED</t>
  </si>
  <si>
    <t xml:space="preserve">OPUS </t>
  </si>
  <si>
    <t xml:space="preserve">PEGASUS </t>
  </si>
  <si>
    <t xml:space="preserve">RODI </t>
  </si>
  <si>
    <t xml:space="preserve">SALT THERAPY </t>
  </si>
  <si>
    <t xml:space="preserve">THERAPY </t>
  </si>
  <si>
    <t xml:space="preserve">KATLANIR YATAK </t>
  </si>
  <si>
    <t xml:space="preserve">KOMODİN </t>
  </si>
  <si>
    <t>KOMODİN (1 ADET)</t>
  </si>
  <si>
    <t xml:space="preserve">YUVARLAK </t>
  </si>
  <si>
    <t xml:space="preserve">HALI </t>
  </si>
  <si>
    <t xml:space="preserve">KUMKAPI </t>
  </si>
  <si>
    <t>YOLLUK</t>
  </si>
  <si>
    <t xml:space="preserve">MIA </t>
  </si>
  <si>
    <t xml:space="preserve">ETHNO CALIENTE </t>
  </si>
  <si>
    <t xml:space="preserve">ETHNO ZEN </t>
  </si>
  <si>
    <t xml:space="preserve">OTANTİK </t>
  </si>
  <si>
    <t xml:space="preserve">YOLLUK </t>
  </si>
  <si>
    <t xml:space="preserve">ESTELLA </t>
  </si>
  <si>
    <t xml:space="preserve">BABIL </t>
  </si>
  <si>
    <t xml:space="preserve">VALERIAN </t>
  </si>
  <si>
    <t xml:space="preserve">LONDON </t>
  </si>
  <si>
    <t xml:space="preserve">GODIVA </t>
  </si>
  <si>
    <t>REFLECTION</t>
  </si>
  <si>
    <t>HALI</t>
  </si>
  <si>
    <t xml:space="preserve">KESME RULO YOLLUK </t>
  </si>
  <si>
    <t xml:space="preserve">MILLENNIUM </t>
  </si>
  <si>
    <t xml:space="preserve">STİL </t>
  </si>
  <si>
    <t xml:space="preserve">ELİZ </t>
  </si>
  <si>
    <t xml:space="preserve">İMZA </t>
  </si>
  <si>
    <t xml:space="preserve">SIDE </t>
  </si>
  <si>
    <t xml:space="preserve">4 KAPILI DOLAP </t>
  </si>
  <si>
    <t xml:space="preserve">3 KAPILI DOLAP </t>
  </si>
  <si>
    <t xml:space="preserve">DOLAP İÇİ ÇEKMECE MODÜLÜ BEYAZ </t>
  </si>
  <si>
    <t xml:space="preserve">MASA ÜNİTESİ </t>
  </si>
  <si>
    <t xml:space="preserve">ÇAMAŞIRLIK </t>
  </si>
  <si>
    <t xml:space="preserve">AYNA </t>
  </si>
  <si>
    <t>KARYOLA 100*200</t>
  </si>
  <si>
    <t>CASTLE KARYOLA 100*200</t>
  </si>
  <si>
    <t>STANDART ALT KARYOLA (AYTAŞI) 90*190</t>
  </si>
  <si>
    <t>STANDART AYAKLI BAZA (AYTAŞI) 100*200</t>
  </si>
  <si>
    <t>BAŞLIK 100'LÜK</t>
  </si>
  <si>
    <t>STANDART AYAKLI BAZA (AYTAŞI) 120*200</t>
  </si>
  <si>
    <t>BAŞLIK 120'LİK</t>
  </si>
  <si>
    <t>KARYOLA 120*200</t>
  </si>
  <si>
    <t xml:space="preserve">CARIZMA </t>
  </si>
  <si>
    <t>STANDART ALT KARYOLA CEVİZ 90*190</t>
  </si>
  <si>
    <t>STANDART AYAKLI CEVİZ BAZA 100*200</t>
  </si>
  <si>
    <t>STANDART AYAKLI CEVİZ BAZA 120*200</t>
  </si>
  <si>
    <t xml:space="preserve">SR-100  4 KAPILI DOLAP </t>
  </si>
  <si>
    <t xml:space="preserve">SR-101 3 KAPILI DOLAP </t>
  </si>
  <si>
    <t xml:space="preserve"> DOLAP İÇİ ÇEKMECE MODÜLÜ BEYAZ </t>
  </si>
  <si>
    <t xml:space="preserve">SR-102 ÇALIŞMA MASASI </t>
  </si>
  <si>
    <t>SR-103 MASA ÜNİTESİ</t>
  </si>
  <si>
    <t xml:space="preserve">SR-104 ÇAMAŞIRLIK </t>
  </si>
  <si>
    <t xml:space="preserve">SR-105 AYNA </t>
  </si>
  <si>
    <t xml:space="preserve">SR-106 KARYOLA 100*200 </t>
  </si>
  <si>
    <t>BYZ-107 STANDART ALT KARYOLA BEYAZ 90*190</t>
  </si>
  <si>
    <t>BYZ-111 STANDART AYAKLI BEYAZ BAZA 100*200</t>
  </si>
  <si>
    <t xml:space="preserve">SR-112 BAŞLIK 100'LÜK </t>
  </si>
  <si>
    <t>SR-128 CASTLE KARYOLA 100*200</t>
  </si>
  <si>
    <t>BYZ-131 STANDART AYAKLI BEYAZ BAZA 120*200</t>
  </si>
  <si>
    <t xml:space="preserve">SR-123 BAŞLIK 120'LİK </t>
  </si>
  <si>
    <t>SR-115 KARYOLA 120*200</t>
  </si>
  <si>
    <t xml:space="preserve">SR-109 KOMODİN </t>
  </si>
  <si>
    <t xml:space="preserve">SR-110 KİTAPLIK </t>
  </si>
  <si>
    <t xml:space="preserve">NC-100 4 KAPILI DOLAP </t>
  </si>
  <si>
    <t xml:space="preserve">NC-101 3 KAPILI DOLAP </t>
  </si>
  <si>
    <t xml:space="preserve">NC-102 ÇALIŞMA MASASI </t>
  </si>
  <si>
    <t xml:space="preserve">NC-103 MASA ÜNİTESİ </t>
  </si>
  <si>
    <t xml:space="preserve">NC-104 ÇAMAŞIRLIK </t>
  </si>
  <si>
    <t xml:space="preserve">NC-105 AYNA </t>
  </si>
  <si>
    <t>NC-106 KARYOLA 100*200</t>
  </si>
  <si>
    <t>AYS-111 STANDART AYAKLI AYTAŞI BAZA 100*200</t>
  </si>
  <si>
    <t xml:space="preserve">NC-112 BAŞLIK 100'LÜK </t>
  </si>
  <si>
    <t>AYS-131 STANDART AYAKLI AYTAŞI BAZA 120*200</t>
  </si>
  <si>
    <t xml:space="preserve">NC-123 BAŞLIK 120'LİK </t>
  </si>
  <si>
    <t>NC-128 CASTLE KARYOLA 100*200</t>
  </si>
  <si>
    <t>AYS-107 STANDART ALT KARYOLA AYTAŞI 90*190</t>
  </si>
  <si>
    <t xml:space="preserve">İNCİ ÇAMAŞIRLIK 6 ÇEK 120 CM </t>
  </si>
  <si>
    <t>NC-115 KARYOLA 120*200</t>
  </si>
  <si>
    <t xml:space="preserve">NC-109 KOMODİN </t>
  </si>
  <si>
    <t xml:space="preserve">NC-110 KİTAPLIK </t>
  </si>
  <si>
    <t xml:space="preserve">LOFTER </t>
  </si>
  <si>
    <t xml:space="preserve">LF-100 4 KAPILI DOLAP </t>
  </si>
  <si>
    <t xml:space="preserve">LF-101 3 KAPILI DOLAP </t>
  </si>
  <si>
    <t xml:space="preserve">LF-102 ÇALIŞMA MASASI </t>
  </si>
  <si>
    <t>LF-103 ÜNİTE</t>
  </si>
  <si>
    <t>LF-104 ÇAMAŞIRLIK</t>
  </si>
  <si>
    <t xml:space="preserve">LF-105 </t>
  </si>
  <si>
    <t>LF-106 KARYOLA 100*200</t>
  </si>
  <si>
    <t xml:space="preserve">LF-112 BAŞLIK 100'LÜK </t>
  </si>
  <si>
    <t>LF-123 BAŞLIK 120'LİK</t>
  </si>
  <si>
    <t xml:space="preserve">LF-128 CASTLE KARYOLA 100*200 </t>
  </si>
  <si>
    <t>LF-115 KARYOLA 120*200</t>
  </si>
  <si>
    <t xml:space="preserve">LF-109 KOMODİN </t>
  </si>
  <si>
    <t xml:space="preserve">ÇAMAŞIRLIK 6 ÇEKMECELİ 120 CM </t>
  </si>
  <si>
    <t xml:space="preserve">LF-110 KİTAPLIK </t>
  </si>
  <si>
    <t xml:space="preserve">VİZYON </t>
  </si>
  <si>
    <t xml:space="preserve">VZ-100 4 KAPILI DOLAP </t>
  </si>
  <si>
    <t xml:space="preserve">VZ-101 3 KAPILI DOLAP </t>
  </si>
  <si>
    <t xml:space="preserve">VZ-102 ÇALIŞMA MASASI </t>
  </si>
  <si>
    <t xml:space="preserve">VZ-104 ÇAMAŞIRLIK </t>
  </si>
  <si>
    <t xml:space="preserve">VZ-105 AYNA </t>
  </si>
  <si>
    <t>VZ-106 KARYOLA 100*200</t>
  </si>
  <si>
    <t>VZB-111 STANDART AYAKLI VİZYON BAZA 100*200</t>
  </si>
  <si>
    <t>VZ-112 BAŞLIK 100'LÜK</t>
  </si>
  <si>
    <t>VZ-112 STANDART AYAKLI VİZYON BAZA 120*200</t>
  </si>
  <si>
    <t>VZ-123 BAŞLIK 120'LİK</t>
  </si>
  <si>
    <t>VZ-128 CASTLE KARYOLA 100*200</t>
  </si>
  <si>
    <t>VZB-107 STANDART ALT KARYOLA VİZYON 90*190</t>
  </si>
  <si>
    <t>VZ-115 KARYOLA 120*200</t>
  </si>
  <si>
    <t xml:space="preserve">VZ-109 KOMODİN </t>
  </si>
  <si>
    <t xml:space="preserve">VZ-110 KİTAPLIK </t>
  </si>
  <si>
    <t>STUDIO</t>
  </si>
  <si>
    <t>STANDART AYAKLI SOFİA BAZA 100*200</t>
  </si>
  <si>
    <t>STANDART AYAKLI SOFİA BAZA 120*200</t>
  </si>
  <si>
    <t>STANDART ALT KARYOLA BEYAZ 90*190</t>
  </si>
  <si>
    <t xml:space="preserve">ARMİN </t>
  </si>
  <si>
    <t>STANDART AYAKLI BEYAZ BAZA 100*200</t>
  </si>
  <si>
    <t>STANDART AYAKLI BEYAZ BAZA 120*200</t>
  </si>
  <si>
    <t xml:space="preserve">PLATO </t>
  </si>
  <si>
    <t xml:space="preserve">PT-100 PİYON DOLAP </t>
  </si>
  <si>
    <t xml:space="preserve">PT-101 2 KAPILI DOLAP </t>
  </si>
  <si>
    <t xml:space="preserve">PT-111 KÖŞE DOLAP </t>
  </si>
  <si>
    <t xml:space="preserve">PT-102 ÇALIŞMA MASASI </t>
  </si>
  <si>
    <t xml:space="preserve">PT-103 MASA ÜNİTESİ </t>
  </si>
  <si>
    <t xml:space="preserve">PT-104 ÇAMAŞIRLIK </t>
  </si>
  <si>
    <t xml:space="preserve">PT-105 AYNA </t>
  </si>
  <si>
    <t>PT-106 KARYOLA 100*200</t>
  </si>
  <si>
    <t>PT-108 MERDİVENLİ RANZA 90*200 (ALT KARYOLA DAHİL)</t>
  </si>
  <si>
    <t>BEYAZ METAL RANZA 90*200  (ALT KARYOLA DAHİL)</t>
  </si>
  <si>
    <t>SİS GRİ METAL RANZA 90*200  (ALT KARYOLA DAHİL)</t>
  </si>
  <si>
    <t>PT-115 KARYOLA 120*200</t>
  </si>
  <si>
    <t xml:space="preserve">PT-112 BAŞLIK 100'LÜK </t>
  </si>
  <si>
    <t xml:space="preserve">PT-23 BAŞLIK 120'LİK </t>
  </si>
  <si>
    <t xml:space="preserve">PT-109 KOMODİN </t>
  </si>
  <si>
    <t xml:space="preserve">PT-110 KİTAPLIK </t>
  </si>
  <si>
    <t xml:space="preserve">NEON </t>
  </si>
  <si>
    <t xml:space="preserve">NE-100 4 KAPILI DOLAP </t>
  </si>
  <si>
    <t xml:space="preserve">NE-101 3 KAPILI DOLAP </t>
  </si>
  <si>
    <t xml:space="preserve">NE-102 ÇALIŞMA MASASI </t>
  </si>
  <si>
    <t xml:space="preserve">NE-104 ÇAMAŞIRLIK </t>
  </si>
  <si>
    <t xml:space="preserve">NE-105 AYNA </t>
  </si>
  <si>
    <t>NE-106 KARYOLA 100*200</t>
  </si>
  <si>
    <t>SFT-111 STANDART AYAKLI SOFİA BAZA 100*200</t>
  </si>
  <si>
    <t xml:space="preserve">NE-112 BAŞLIK 100'LÜK </t>
  </si>
  <si>
    <t>SFT-131 STANDART AYAKLI SOFİA BAZA 120*200</t>
  </si>
  <si>
    <t xml:space="preserve">NE-123 BAŞLIK 120'LİK </t>
  </si>
  <si>
    <t xml:space="preserve">SFT-107 STANDART ALT KARYOLA SOFİA 90*190 </t>
  </si>
  <si>
    <t>NE-115 KARYOLA 120*200</t>
  </si>
  <si>
    <t xml:space="preserve">NE-109 KOMODİN </t>
  </si>
  <si>
    <t xml:space="preserve">NE-110 KİTAPLIK </t>
  </si>
  <si>
    <t xml:space="preserve">KOLLU MODÜL *2 </t>
  </si>
  <si>
    <t>ARA MODÜL *2</t>
  </si>
  <si>
    <t xml:space="preserve">KÖŞE MODÜL </t>
  </si>
  <si>
    <t xml:space="preserve">ARA SEHPA </t>
  </si>
  <si>
    <t>SAHRA</t>
  </si>
  <si>
    <t>ARA MODÜL *3</t>
  </si>
  <si>
    <t>MONZA</t>
  </si>
  <si>
    <t>BZ</t>
  </si>
  <si>
    <t>AR</t>
  </si>
  <si>
    <t>BR</t>
  </si>
  <si>
    <t xml:space="preserve">DR </t>
  </si>
  <si>
    <t>DL</t>
  </si>
  <si>
    <t>GC</t>
  </si>
  <si>
    <t>GŞ</t>
  </si>
  <si>
    <t>HL</t>
  </si>
  <si>
    <t>LV</t>
  </si>
  <si>
    <t>NV</t>
  </si>
  <si>
    <t>NW</t>
  </si>
  <si>
    <t xml:space="preserve">NW </t>
  </si>
  <si>
    <t>SK</t>
  </si>
  <si>
    <t>TK</t>
  </si>
  <si>
    <t xml:space="preserve">WX </t>
  </si>
  <si>
    <t>YT</t>
  </si>
  <si>
    <t xml:space="preserve">1D </t>
  </si>
  <si>
    <t xml:space="preserve">TREND </t>
  </si>
  <si>
    <t>BAŞLIKLI KARYOLA 100*200</t>
  </si>
  <si>
    <t>ÇALIŞMA MASASI (ÜST MODÜL DAHİL)</t>
  </si>
  <si>
    <t>BAŞLIKLI KARYOLA 120*200</t>
  </si>
  <si>
    <t xml:space="preserve">BAZA 100'LÜK </t>
  </si>
  <si>
    <t xml:space="preserve">BAZA 120'LİK </t>
  </si>
  <si>
    <t xml:space="preserve">BAZA BAŞLIĞI 100'LÜK </t>
  </si>
  <si>
    <t xml:space="preserve">BAZA BAŞLIĞI 120'LİK </t>
  </si>
  <si>
    <t xml:space="preserve">DAYBED KARYOLA </t>
  </si>
  <si>
    <t xml:space="preserve">YAVRU ALT SANDIK </t>
  </si>
  <si>
    <t xml:space="preserve">RANZA </t>
  </si>
  <si>
    <t>ŞİFONYER (3 ÇEKMECELİ)</t>
  </si>
  <si>
    <t>ŞİFONYER (6 ÇEKMECELİ)</t>
  </si>
  <si>
    <t>UYKU SETİ</t>
  </si>
  <si>
    <t xml:space="preserve">BOHEM </t>
  </si>
  <si>
    <t xml:space="preserve">LOREN </t>
  </si>
  <si>
    <t xml:space="preserve">UYKU SETİ </t>
  </si>
  <si>
    <t xml:space="preserve">BOY AYNASI </t>
  </si>
  <si>
    <t>JOYY</t>
  </si>
  <si>
    <t xml:space="preserve">SOFIA </t>
  </si>
  <si>
    <t xml:space="preserve">SÜRGÜLÜ DOLAP </t>
  </si>
  <si>
    <t xml:space="preserve">2 KAPILI DOLAP </t>
  </si>
  <si>
    <t>2 KAPILI DOLAP (ÇEKMECE MODÜLÜ)</t>
  </si>
  <si>
    <t xml:space="preserve">KÖŞE DOLAP </t>
  </si>
  <si>
    <t>BAZA 100'LÜK</t>
  </si>
  <si>
    <t xml:space="preserve">MOTTO </t>
  </si>
  <si>
    <t xml:space="preserve">BAŞLIKLI DOLAP </t>
  </si>
  <si>
    <t xml:space="preserve">DARK </t>
  </si>
  <si>
    <t xml:space="preserve">LİNE </t>
  </si>
  <si>
    <t>ÇALIŞMA MASASI</t>
  </si>
  <si>
    <t xml:space="preserve">TÜL </t>
  </si>
  <si>
    <t>FLORA NEW</t>
  </si>
  <si>
    <t xml:space="preserve">DOLAP  </t>
  </si>
  <si>
    <t xml:space="preserve">RANZA SANDIĞI </t>
  </si>
  <si>
    <t>NEW PİNK</t>
  </si>
  <si>
    <t xml:space="preserve">DOLAP </t>
  </si>
  <si>
    <t xml:space="preserve">TAÇ </t>
  </si>
  <si>
    <t xml:space="preserve">FLEXI </t>
  </si>
  <si>
    <t xml:space="preserve">BİLGİSAYAR MASASI </t>
  </si>
  <si>
    <t xml:space="preserve">LUCCA </t>
  </si>
  <si>
    <t xml:space="preserve">KARYOLA SANDIĞI </t>
  </si>
  <si>
    <t xml:space="preserve">VELVET </t>
  </si>
  <si>
    <t>EMBOSS</t>
  </si>
  <si>
    <t xml:space="preserve">BATTANİYE ÇİFT KİŞİLİK </t>
  </si>
  <si>
    <t xml:space="preserve">NEVRESİM TAKIMI ÇİFT KİŞİLİK </t>
  </si>
  <si>
    <t xml:space="preserve">NEVRESİM TAKIMI (RCY) ÇİFT KİŞİLİK </t>
  </si>
  <si>
    <t xml:space="preserve">WARM FLANEL </t>
  </si>
  <si>
    <t xml:space="preserve">NEVRESİM TEK KİŞİLİK - RCY </t>
  </si>
  <si>
    <t xml:space="preserve">NEVRESİM TAKIMI ÇİFT KİŞİLİK - RCY </t>
  </si>
  <si>
    <t xml:space="preserve">PAMUK FLANEL </t>
  </si>
  <si>
    <t xml:space="preserve">NEVRESİM TAKIMI TEK KİŞİLİK </t>
  </si>
  <si>
    <t>NEVRESİM TAKIMI ÇİFT KİŞİLİK</t>
  </si>
  <si>
    <t xml:space="preserve">TWIRLY </t>
  </si>
  <si>
    <t xml:space="preserve">LOOPRA </t>
  </si>
  <si>
    <t xml:space="preserve">COTTON KETEN </t>
  </si>
  <si>
    <t>NEVRESİM TAKIMI ÇİFT KİŞİLİK (BASIC)</t>
  </si>
  <si>
    <t xml:space="preserve">INBORN </t>
  </si>
  <si>
    <t>NEVRESİM TAKIMI ÇİFT KİŞİLİK (BANDED)</t>
  </si>
  <si>
    <t>NEVRESİM TAKIMI ÇİFT KİŞİLİK (FLORO)</t>
  </si>
  <si>
    <t xml:space="preserve">PUFF NAKIŞLI </t>
  </si>
  <si>
    <t>NEVRESİM TAKIMI ÇİFT KİŞİLİK (LIYA)</t>
  </si>
  <si>
    <t>NEVRESİM TAKIMI ÇİFT KİŞİLİK (TUFT-LINEA-BELLIS-STESSO-KATY-BLOSSOM-NELLA-AMARIS-MOLENDE)</t>
  </si>
  <si>
    <t>KLEIN NAK. RANFORCE</t>
  </si>
  <si>
    <t>BRODE RANFORCE</t>
  </si>
  <si>
    <t>NEVRESİM TAKIMI ÇİFT  KİŞİLİK (DELBIN-MAIA-PAMUYA)</t>
  </si>
  <si>
    <t>NEVRESİM TAKIMI ÇİFT KİŞİLİK (ALVORA-TIVA-KERJA-ORYA)</t>
  </si>
  <si>
    <t>FOLK ART RANFORCE</t>
  </si>
  <si>
    <t>CANDY RANFORCE</t>
  </si>
  <si>
    <t xml:space="preserve">NATUREFORCE </t>
  </si>
  <si>
    <t>NEVRESİM TAKIMI TEK KİŞİLİK - RCY</t>
  </si>
  <si>
    <t>MODERN RANFORCE</t>
  </si>
  <si>
    <t>PLAID RANFORCE</t>
  </si>
  <si>
    <t xml:space="preserve">PLAIN RANFORCE </t>
  </si>
  <si>
    <t>NORDEK RANFORCE</t>
  </si>
  <si>
    <t>NEVRESİM TAKIMI TEK KİŞİLİK</t>
  </si>
  <si>
    <t xml:space="preserve">TEKSTİL </t>
  </si>
  <si>
    <t xml:space="preserve">DUAL RANFORCE </t>
  </si>
  <si>
    <t>ETHNIC RANFORCE</t>
  </si>
  <si>
    <t xml:space="preserve">PETİTE RANFORCE </t>
  </si>
  <si>
    <t xml:space="preserve">NEVRESİM TAKIMI TEK KİŞİLİK FTT </t>
  </si>
  <si>
    <t xml:space="preserve">NEVRESİM TAKIMI ÇİFT KİŞİLİK FTT </t>
  </si>
  <si>
    <t xml:space="preserve">MINIMAL RANFORCE </t>
  </si>
  <si>
    <t>COMPLETE SET TEK KİŞİLİK FTT</t>
  </si>
  <si>
    <t xml:space="preserve">BOHEM RANFORCE </t>
  </si>
  <si>
    <t xml:space="preserve">NEVRESİM TAKIMI </t>
  </si>
  <si>
    <t>TOPRAK RANFORCE</t>
  </si>
  <si>
    <t>MODE LİNE RANFORCE</t>
  </si>
  <si>
    <t xml:space="preserve">NEVRESİM TAKIMI FAMILY </t>
  </si>
  <si>
    <t>COMPLETE SET TEK KİŞİLİK</t>
  </si>
  <si>
    <t xml:space="preserve">COMPLETE SET ÇİFT KİŞİLİK </t>
  </si>
  <si>
    <t xml:space="preserve">UYKU SETİ TEK KİŞİLİK </t>
  </si>
  <si>
    <t xml:space="preserve">UYKU SETİ ÇİFT KİŞİLİK </t>
  </si>
  <si>
    <t xml:space="preserve">MARITIME RANFORCE </t>
  </si>
  <si>
    <t>GIRLS&amp;BOYS RANFORCE</t>
  </si>
  <si>
    <t xml:space="preserve">COMPLETE SET TEK KİŞİLİK </t>
  </si>
  <si>
    <t>JUNIOR RANFORCE</t>
  </si>
  <si>
    <t>MOOD NAK. RANFORCE</t>
  </si>
  <si>
    <t xml:space="preserve">TENSEL CRAFT </t>
  </si>
  <si>
    <t xml:space="preserve">MAJESTIC </t>
  </si>
  <si>
    <t xml:space="preserve">CLASSIC </t>
  </si>
  <si>
    <t xml:space="preserve">ELEGANT SATEN </t>
  </si>
  <si>
    <t xml:space="preserve">JAKARLI SATEN </t>
  </si>
  <si>
    <t>BRODE SATEN</t>
  </si>
  <si>
    <t>NEVRESİM TAKIMI ÇİFT KİŞİLİK (KING-GLORIA-SHEEN-ANDY-GENNY)</t>
  </si>
  <si>
    <t>NEVRESİM TAKIMI ÇİFT KİŞİLİK (ALAMEDA-LUXE-BLADE)</t>
  </si>
  <si>
    <t xml:space="preserve">BRODE SATEN </t>
  </si>
  <si>
    <t xml:space="preserve">3D NAKIŞLI SATEN </t>
  </si>
  <si>
    <t xml:space="preserve">BAMBU SATEN </t>
  </si>
  <si>
    <t xml:space="preserve">SMART BAMBU SATEN </t>
  </si>
  <si>
    <t xml:space="preserve">ELITE SATEN </t>
  </si>
  <si>
    <t xml:space="preserve">SILKY SATEN </t>
  </si>
  <si>
    <t xml:space="preserve">NEVRESİM TAKIMI KING SIZE </t>
  </si>
  <si>
    <t>SERRA</t>
  </si>
  <si>
    <t xml:space="preserve">YATAK ÖRTÜSÜ TEK KİŞİLİK </t>
  </si>
  <si>
    <t xml:space="preserve">YATAK ÖRTÜSÜ ÇİFT KİŞİLİK </t>
  </si>
  <si>
    <t>SOFTNEST</t>
  </si>
  <si>
    <t xml:space="preserve">LIMI </t>
  </si>
  <si>
    <t xml:space="preserve">YATAK ÖRTÜSÜ&amp;NEVRESİM TAKIMI TEK KİŞİLİK </t>
  </si>
  <si>
    <t xml:space="preserve">YATAK ÖRTÜSÜ&amp;NEVRESİM TAKIMI ÇİFT KİŞİLİK </t>
  </si>
  <si>
    <t>CHI CHI</t>
  </si>
  <si>
    <t xml:space="preserve">PİKELİ NEVRESİM TAKIMI ÇİFT KİŞİLİK </t>
  </si>
  <si>
    <t>ÇEYİZLİK PİKELİ NEVRESİM TAKIMI ÇİFT KİŞİLİK</t>
  </si>
  <si>
    <t xml:space="preserve">EMBROVA </t>
  </si>
  <si>
    <t>SERENITY</t>
  </si>
  <si>
    <t xml:space="preserve">ŞÖNİL YATAK ÖRTÜSÜ/PİKE TAKIMI ÇİFT KİŞİLİK </t>
  </si>
  <si>
    <t xml:space="preserve">YATAK ÖRTÜSÜ/PİKE TAKIMI ÇİFT KİŞİLİK </t>
  </si>
  <si>
    <t xml:space="preserve">BAMBU SATEN PİKE TAKIMI ÇİFT KİŞİLİK </t>
  </si>
  <si>
    <t xml:space="preserve">BASKILI RANFORCE NEVRESİM TAKIMI </t>
  </si>
  <si>
    <t>BEBEK NEVRESİM TAKIMI (YIKAMALI)</t>
  </si>
  <si>
    <t>BEBEK NEVRESİM TAKIMI</t>
  </si>
  <si>
    <t xml:space="preserve">BABY FLANNEL </t>
  </si>
  <si>
    <t xml:space="preserve">BEBEK </t>
  </si>
  <si>
    <t xml:space="preserve">BANYO SETİ </t>
  </si>
  <si>
    <t>PAMUK YORGAN RNF 95*145</t>
  </si>
  <si>
    <t>PAMUK YASTIK KAPİTONELİ RNF 35*45</t>
  </si>
  <si>
    <t>YÜN YORGAN 95*145</t>
  </si>
  <si>
    <t>YÜN YASTIK 35*45</t>
  </si>
  <si>
    <t>BEBEK</t>
  </si>
  <si>
    <t>SİLİKON YORGAN RNF 95*145</t>
  </si>
  <si>
    <t xml:space="preserve">FOLKART </t>
  </si>
  <si>
    <t xml:space="preserve">AİLE BORNOZ SETİ </t>
  </si>
  <si>
    <t>PUFF NAKIŞLI</t>
  </si>
  <si>
    <t>MASCULINE</t>
  </si>
  <si>
    <t>SETA MICROCOTTON</t>
  </si>
  <si>
    <t xml:space="preserve">EXCLUSIVE SINGLE </t>
  </si>
  <si>
    <t>BORNOZ SETİ</t>
  </si>
  <si>
    <t xml:space="preserve">BORNOZ SETİ </t>
  </si>
  <si>
    <t>WELLNESS</t>
  </si>
  <si>
    <t xml:space="preserve">BORNOZ </t>
  </si>
  <si>
    <t>COLURFUL</t>
  </si>
  <si>
    <t>HAMAM SET 50x90*2+90x150*2</t>
  </si>
  <si>
    <t>HAVLU SETİ (30*50)+(50*90)+(75*150)</t>
  </si>
  <si>
    <t xml:space="preserve">BATH </t>
  </si>
  <si>
    <t>RUG SET (75*125)+(60*90)</t>
  </si>
  <si>
    <t>ORTOPEDİK</t>
  </si>
  <si>
    <t>VISKO YASTIK 40*60+12</t>
  </si>
  <si>
    <t xml:space="preserve">KANGURU </t>
  </si>
  <si>
    <t xml:space="preserve">YASTIK </t>
  </si>
  <si>
    <t xml:space="preserve">YORGAN TEK KİŞİLİK </t>
  </si>
  <si>
    <t xml:space="preserve">BAMBU </t>
  </si>
  <si>
    <t>BAMBU</t>
  </si>
  <si>
    <t xml:space="preserve">YORGAN ÇİFT KİŞİLİK </t>
  </si>
  <si>
    <t>YASTIK 50*70</t>
  </si>
  <si>
    <t xml:space="preserve">SOFTWASH </t>
  </si>
  <si>
    <t>YORGAN SETİ T.K.</t>
  </si>
  <si>
    <t>YORGAN SETİ Ç.K.</t>
  </si>
  <si>
    <t>YORGAN SETİ Ç.K. +</t>
  </si>
  <si>
    <t xml:space="preserve">PAMUK RANFORCE </t>
  </si>
  <si>
    <t xml:space="preserve">KAPİTONELİ RANFORCE </t>
  </si>
  <si>
    <t>PAMUK YASTIK 50*70</t>
  </si>
  <si>
    <t>YÜN</t>
  </si>
  <si>
    <t xml:space="preserve">ELEGANCE </t>
  </si>
  <si>
    <t xml:space="preserve">KAZ TÜYÜ YORGAN TEK KİŞİLİK </t>
  </si>
  <si>
    <t xml:space="preserve">KAZ TÜYÜ YORGAN ÇİFT KİŞİLİK </t>
  </si>
  <si>
    <t>KAZ TÜYÜ YASTIK 50*70</t>
  </si>
  <si>
    <t xml:space="preserve">KAZ TÜYÜ </t>
  </si>
  <si>
    <t>YORGAN TEK KİŞİLİK (%5 GIDIK)</t>
  </si>
  <si>
    <t>YORGAN ÇİFT KİŞİLİK (%5 GIDIK)</t>
  </si>
  <si>
    <t>YASTIK 50*70 (%5 GIDIK)</t>
  </si>
  <si>
    <t xml:space="preserve">ALOE VERA </t>
  </si>
  <si>
    <t xml:space="preserve">YASTIK 50*70 </t>
  </si>
  <si>
    <t xml:space="preserve">EXCLUSIVE RANFORCE </t>
  </si>
  <si>
    <t xml:space="preserve">CLIMATE </t>
  </si>
  <si>
    <t xml:space="preserve">PELUŞ </t>
  </si>
  <si>
    <t xml:space="preserve">YORGAN SET TEK KİŞİLİK </t>
  </si>
  <si>
    <t xml:space="preserve">YORGAN SET ÇİFT KİŞİLİK </t>
  </si>
  <si>
    <t xml:space="preserve">WAVE </t>
  </si>
  <si>
    <t>RNF. SIVI GEÇİRMEZ</t>
  </si>
  <si>
    <t>KAPİTONELİ FİTTED YATAK PEDİ 100*200</t>
  </si>
  <si>
    <t>KAPİTONELİ FİTTED YATAK PEDİ 120*200</t>
  </si>
  <si>
    <t>KAPİTONELİ FİTTED YATAK PEDİ 160*200</t>
  </si>
  <si>
    <t>KAPİTONELİ FİTTED YATAK PEDİ 180*200</t>
  </si>
  <si>
    <t>KAPİTONELİ FİTTED YATAK PEDİ 200*200</t>
  </si>
  <si>
    <t>ANTIQUE</t>
  </si>
  <si>
    <t>MASA ÖRTÜSÜ SETİ (155*160)+(35*130)</t>
  </si>
  <si>
    <t>MASA ÖRTÜSÜ SETİ (155*220)+(35*130)</t>
  </si>
  <si>
    <t xml:space="preserve">KETEN </t>
  </si>
  <si>
    <t>MASA ÖRTÜSÜ TAKIMI (172*240)+(37*140)+(37*37)*6</t>
  </si>
  <si>
    <t xml:space="preserve">RANFORCE </t>
  </si>
  <si>
    <t>FİTTED ÇARŞAF SETİ TEK KİŞİLİK 100*200</t>
  </si>
  <si>
    <t>FİTTED ÇARŞAF SETİ TEK KİŞİLİK 120*200</t>
  </si>
  <si>
    <t>FİTTED ÇARŞAF SETİ ÇİFT KİŞİLİK 160*200</t>
  </si>
  <si>
    <t>FİTTED ÇARŞAF SETİ ÇİFT KİŞİLİK 180*200</t>
  </si>
  <si>
    <t>FİTTED ÇARŞAF SETİ BATTAL(KING) 200*200</t>
  </si>
  <si>
    <t>NEVRESİM TAKIMI ÇİFT KİŞİLİK (ARIE-DARIAN-FORBES-HEMERA-PELIAS-KIVORA-ESMIRA)</t>
  </si>
  <si>
    <t>COMPLETE SET ÇİFT KİŞİLİK</t>
  </si>
  <si>
    <t>ELEGANT STRIPE SATEN</t>
  </si>
  <si>
    <t>PLK</t>
  </si>
  <si>
    <t>CTB</t>
  </si>
  <si>
    <t>YENİ
TOPTAN</t>
  </si>
  <si>
    <t>KOSNOL AYNASI X2</t>
  </si>
  <si>
    <t>TV ÜNİTESİ ÜST MODÜL KUTU X2</t>
  </si>
  <si>
    <t>ASTON KARYOLA 200X200</t>
  </si>
  <si>
    <t xml:space="preserve">BELİS </t>
  </si>
  <si>
    <t xml:space="preserve">KARYOLA </t>
  </si>
  <si>
    <t xml:space="preserve">BAZALI KARYOLA </t>
  </si>
  <si>
    <t>YERDEN YÜKSEK KARYOLA</t>
  </si>
  <si>
    <t xml:space="preserve">KANEPE </t>
  </si>
  <si>
    <t>LUNA</t>
  </si>
  <si>
    <t>KOMİDİN X2</t>
  </si>
  <si>
    <t xml:space="preserve">2'Lİ ASKILI AHŞAP DOLAP </t>
  </si>
  <si>
    <t xml:space="preserve">2'Lİ ASKILI CAMLI DOLAP </t>
  </si>
  <si>
    <t xml:space="preserve">2'Lİ ÇEKMECELİ AHŞAP DOLAP </t>
  </si>
  <si>
    <t xml:space="preserve">2'Lİ ÇEKMECELİ CAM DOLAP </t>
  </si>
  <si>
    <t>TEKLİ AHŞAP DOLAP</t>
  </si>
  <si>
    <t xml:space="preserve">TEKLİ CAMLI DOLAP </t>
  </si>
  <si>
    <t xml:space="preserve">SOFT </t>
  </si>
  <si>
    <t xml:space="preserve">DUVAR ÜNİTESİ </t>
  </si>
  <si>
    <t>YEMEK MASASI</t>
  </si>
  <si>
    <t xml:space="preserve">SEHPA </t>
  </si>
  <si>
    <t xml:space="preserve">LUNA </t>
  </si>
  <si>
    <t xml:space="preserve">DUVAR ÜNİTESİ ALT MODÜL </t>
  </si>
  <si>
    <t xml:space="preserve">DUVAR ÜNİTESİ ÜST MODÜL </t>
  </si>
  <si>
    <t xml:space="preserve">KÖŞE AHŞAP DOLAP </t>
  </si>
  <si>
    <t xml:space="preserve">KÖŞE CAMLI DOLAP </t>
  </si>
  <si>
    <t xml:space="preserve">ŞİFONYER MODÜL </t>
  </si>
  <si>
    <t xml:space="preserve">5 CM ARA RAFLI MODÜL </t>
  </si>
  <si>
    <t xml:space="preserve">ADA </t>
  </si>
  <si>
    <t xml:space="preserve">DUVAR ÜNİTESİ EK MODÜL </t>
  </si>
  <si>
    <t>DUVAR ÜNİTESİ</t>
  </si>
  <si>
    <t xml:space="preserve">COCO </t>
  </si>
  <si>
    <t xml:space="preserve">MERKÜR </t>
  </si>
  <si>
    <t xml:space="preserve">MONA </t>
  </si>
  <si>
    <t>MONA VE MERKÜR</t>
  </si>
  <si>
    <t>TEKLİ AHŞAP DOLAP*1</t>
  </si>
  <si>
    <t>TEKLİ CAMLI DOLAP*1</t>
  </si>
  <si>
    <t>2'Lİ CAMLI DOLAP*1</t>
  </si>
  <si>
    <t>2'Lİ AHŞAP DOLAP*1</t>
  </si>
  <si>
    <t>KÖŞE CAMLI DOLAP*1</t>
  </si>
  <si>
    <t>KÖŞE AHŞAP DOLAP*1</t>
  </si>
  <si>
    <t xml:space="preserve">GOLF </t>
  </si>
  <si>
    <t>2 Lİ KOLTUK</t>
  </si>
  <si>
    <t xml:space="preserve">4 LÜ KOLTUK </t>
  </si>
  <si>
    <t>3 LÜ KOLTUK</t>
  </si>
  <si>
    <t>DOLAP 4 LÜ</t>
  </si>
  <si>
    <t xml:space="preserve">DOLAP 2 Lİ </t>
  </si>
  <si>
    <t>4 LÜ KOLTUK</t>
  </si>
  <si>
    <t xml:space="preserve">4 LÜ ARA MODÜL </t>
  </si>
  <si>
    <t>4 LÜ KOLLU MODÜL *2</t>
  </si>
  <si>
    <t xml:space="preserve">3 LÜ KOLTUK </t>
  </si>
  <si>
    <t xml:space="preserve">TV ÜNİTESİ SAĞ ALT MODÜL </t>
  </si>
  <si>
    <t xml:space="preserve">TV ÜNİTESİ SOL ALT MODÜL </t>
  </si>
  <si>
    <t>DRESUAR AYNA</t>
  </si>
  <si>
    <t xml:space="preserve">ORTA SEHPA AY MODÜL </t>
  </si>
  <si>
    <t xml:space="preserve">YAN SEHPA </t>
  </si>
  <si>
    <t xml:space="preserve">VELAR </t>
  </si>
  <si>
    <t xml:space="preserve">KİTAPLIK SAĞ </t>
  </si>
  <si>
    <t xml:space="preserve">KİTAPLIK SOL </t>
  </si>
  <si>
    <t xml:space="preserve">KOLTUK ARKASI SEHPA </t>
  </si>
  <si>
    <t xml:space="preserve">ART DECO </t>
  </si>
  <si>
    <t xml:space="preserve">TV ÜNİTES ALT BLOK </t>
  </si>
  <si>
    <t xml:space="preserve">TV ÜNİTESİ KAPAKLI ÜST MODÜL </t>
  </si>
  <si>
    <t xml:space="preserve">TV ÜNİTESİ RAFLI ÜST MODÜL </t>
  </si>
  <si>
    <t xml:space="preserve">MİLANO </t>
  </si>
  <si>
    <t xml:space="preserve">ZİGON SEHPA </t>
  </si>
  <si>
    <t>DİNLENMELİ PUF MODÜL</t>
  </si>
  <si>
    <t>PUF ALTIGEN 65 LİK</t>
  </si>
  <si>
    <t>DRESS</t>
  </si>
  <si>
    <t xml:space="preserve">MAKYAJ PUFU </t>
  </si>
  <si>
    <t>100 CM BOY ASKI MODÜL M-60</t>
  </si>
  <si>
    <t>100 CM PANTOLONLUKLU MODÜL M-59</t>
  </si>
  <si>
    <t>100 CM ÇİFT ASKI BORU MODÜL M-49</t>
  </si>
  <si>
    <t>100 CM TEK ASKI BORU MODÜL M-39</t>
  </si>
  <si>
    <t>100 CM RAFLI MODÜL M-22</t>
  </si>
  <si>
    <t>110 CM KÖŞE MODÜL M-81</t>
  </si>
  <si>
    <t>96 CM KÖŞE MODÜL M-80</t>
  </si>
  <si>
    <t>25 CM RAFLI MODÜL M-01</t>
  </si>
  <si>
    <t>35 CM RAFLI MODÜL M-02</t>
  </si>
  <si>
    <t>120 CM ADA MODÜL 8 ÇEKMECE (MAT SİYAH M-07)</t>
  </si>
  <si>
    <t>120 CM ADA MODÜL 8 ÇEKMECE (BRONZ M-03)</t>
  </si>
  <si>
    <t>120 CM ADA MODÜL 8 ÇEKMECE (MAT ALTIN M-09)</t>
  </si>
  <si>
    <t>ADA MODÜL RAF 4 ÇEKMECE (BRONZ M-04)</t>
  </si>
  <si>
    <t>ADA MODÜL RAF 4 ÇEKMECE (MAT SİYAH M-08)</t>
  </si>
  <si>
    <t>ADA MODÜL RAF 4 ÇEKMECE (MAT ALTIN M-10)</t>
  </si>
  <si>
    <t>115 CM MAKYAJ MASASI MODÜL M-05</t>
  </si>
  <si>
    <t>59 CM BOY AYNALI MODÜL M-06</t>
  </si>
  <si>
    <t>50 CM BOY ASKILI MODÜL M-20</t>
  </si>
  <si>
    <t>50 CM RAFLI MODÜL M-21</t>
  </si>
  <si>
    <t>200 CM AKORDİYONLU MODÜL M-70</t>
  </si>
  <si>
    <t>200 CM ÇEKMECELİ AKORDİYON MODÜL M-71</t>
  </si>
  <si>
    <t>200 CM BOY ASKILI AKORDİYON MODÜL M-72</t>
  </si>
  <si>
    <t>BOY ASKI,4 LÜ BÖLMELİ RAF MODÜL O-62</t>
  </si>
  <si>
    <t>BOY ASKI, KASALI, 2 Lİ BÖLMELİ RAF MODÜL O-61</t>
  </si>
  <si>
    <t>KAPALI ÇEKMECELİ DOLAP MODÜL O-30</t>
  </si>
  <si>
    <t>KAPALI 4 ÇEKMECELİ DOLAP MODÜL O-31</t>
  </si>
  <si>
    <t>KAPALI 2 ÇEKMECE CAMLI 2 ÇEKMECE DOLAP MODÜL O-32</t>
  </si>
  <si>
    <t>KAPALI 2 ÇEKMECE AÇIK 2 ÇEKMECE DOLAP MODÜL O-33</t>
  </si>
  <si>
    <t>KAPALI 2 ÇEKMECE KASALI DOLAP MODÜL O-34</t>
  </si>
  <si>
    <t>KAPALI 2 ÇEKMECE BÖLMELİ RAF MODÜL O-35</t>
  </si>
  <si>
    <t>CAMLI 2 ÇEKMECELİ DOLAP MODÜL O-40</t>
  </si>
  <si>
    <t>CAMLI 4 ÇEKMECELİ DOLAP MODÜL O-41</t>
  </si>
  <si>
    <t>CAMLI 2 ÇEKMECELİ KAPALI 2 ÇEKMECELİ DOLAP MODÜL O-42</t>
  </si>
  <si>
    <t>CAMLI 2 ÇEKMECELİ AÇIK 2 ÇEKMECELİ DOLAP MODÜL O-43</t>
  </si>
  <si>
    <t>CAMLI 2 ÇEKMECELİ KASALI DOLAP MODÜL O-44</t>
  </si>
  <si>
    <t>CAMLI 2 ÇEKMECELİ BÖLMELİ RAFLI DOLAP MODÜL O-45</t>
  </si>
  <si>
    <t>AÇIK 2 ÇEKMECELİ DOLAP MODÜL O-50</t>
  </si>
  <si>
    <t>AÇIK 4 ÇEKMECELİ DOLAP MODÜL O-51</t>
  </si>
  <si>
    <t>AÇIK 2 ÇEKMECE KAPALI 2 ÇEKMECE DOLAP MODÜL O-52</t>
  </si>
  <si>
    <t>AÇIK 2 ÇEKMECE CAMLI 2 ÇEKMECE DOLAP MODÜL O-53</t>
  </si>
  <si>
    <t>AÇIK 2 ÇEKMECE KASALI DOLAP MODÜL O-54</t>
  </si>
  <si>
    <t>AÇIK 2 ÇEKMECE BÖLMELİ RAFLI DOLAP DOLAP MODÜL O-55</t>
  </si>
  <si>
    <t>KAPALI 2 ÇEKMECE OPSİYON M-90</t>
  </si>
  <si>
    <t>CAMLI İKİ ÇEKMECE OPSİYON M-91</t>
  </si>
  <si>
    <t>AÇIK 2 ÇEKMECE OPSİYON M-92</t>
  </si>
  <si>
    <t>KASALI OPSİYON M-93</t>
  </si>
  <si>
    <t>BÖLMELİ RAF OPSİYON M-94</t>
  </si>
  <si>
    <t>50 CM CAM KAPAK MODÜL (MAT SİYAH PK-05)</t>
  </si>
  <si>
    <t>50 CM CAM KAPAK MODÜL (BRONZ PK-04)</t>
  </si>
  <si>
    <t>50 CM CAM KAPAK MODÜL (MAT ALTIN PK-06</t>
  </si>
  <si>
    <t>100 CM CAM KAPAK MODÜL (BRONZ PK-01)</t>
  </si>
  <si>
    <t>100 CM CAM KAPAK MODÜL (MAT SİYAH PK-02</t>
  </si>
  <si>
    <t>100 CM CAM KAPAK MODÜL (MAT ALTIN PK-03)</t>
  </si>
  <si>
    <t>200 CM CAM KAPAK AKORDİYONLU MODÜL (BRONZ PK-07)</t>
  </si>
  <si>
    <t>200 CM CAM KAPAK AKORDİYONLU MODÜL (MAT SİYAH PK-08)</t>
  </si>
  <si>
    <t>200 CM CAM KAPAK AKORDİYONLU MODÜL (MAT ALTIN PK-09)</t>
  </si>
  <si>
    <t>200 CM ÇEKMECELİ AKORDİYONLU CAM KAPAK+KULP (BRONZ PK-10)</t>
  </si>
  <si>
    <t>200 CM ÇEKMECELİ AKORDİYONLU CAM KAPAK+KULP (MAT SİYAH PK-11)</t>
  </si>
  <si>
    <t>200 CM ÇEKMECELİ AKORDİYONLU CAM KAPAK+KULP (MAT ALTIN PK-12)</t>
  </si>
  <si>
    <t>112 CM KÖŞE MODÜL ÇİFT KAPAK (BRONZ PK-13)</t>
  </si>
  <si>
    <t>112 CM KÖŞE MODÜL ÇİFT KAPAK (MAT ALTIN PK-15)</t>
  </si>
  <si>
    <t>112 CM KÖŞE MODÜL ÇİFT KAPAK (MAT SİYAH PK-14)</t>
  </si>
  <si>
    <t>50 CM SOHO KAPAK SOL (SERAMİK BRONZ PK-19)</t>
  </si>
  <si>
    <t>50 CM SOHO KAPAK SOL (SERAMİK MAT SİYAH PK-20)</t>
  </si>
  <si>
    <t>50 CM SOHO KAPAK SOL (SERAMİK MAT ALTIN PK-21)</t>
  </si>
  <si>
    <t>100 CM SOHO KAPAK (SERAMİK BRONZ PK-22)</t>
  </si>
  <si>
    <t>100 CM SOHO KAPAK (SERAMİK MAT SİYAH PK-23)</t>
  </si>
  <si>
    <t>100 CM SOHO KAPAK (SERAMİK MAT ALTIN PK-24)</t>
  </si>
  <si>
    <t>100 CM AYNA KAPAK (BRONZ PK-25)</t>
  </si>
  <si>
    <t>100 CM AYNA KAPAK (MAT SİYAH PK-26)</t>
  </si>
  <si>
    <t>100 CM AYNA KAPAK (MAT ALTIN PK-27)</t>
  </si>
  <si>
    <t>50 CM AYNA KAPAK (BRONZ PK-28)</t>
  </si>
  <si>
    <t>50 CM AYNA KAPAK (MAT SİYAH PK-29)</t>
  </si>
  <si>
    <t>50 CM AYNA KAPAK (MAT ALTIN PK-30)</t>
  </si>
  <si>
    <t>50 CM SOHO KAPAK SAĞ (SERAMİK BRONZ PK-16)</t>
  </si>
  <si>
    <t>50 CM SOHO KAPAK SAĞ (SERAMİK MAT SİYAH PK-17)</t>
  </si>
  <si>
    <t>50 CM SOHO KAPAK SAĞ (SERAMİK MAT ALTIN PK-18)</t>
  </si>
  <si>
    <t>2 Lİ AHŞAP SOHO KAPAK MAT VİZYON BRONZ 2 ADET AK-04</t>
  </si>
  <si>
    <t xml:space="preserve">MONGE AHŞAP KAPAK SAĞ TEKLİ (DOLUNAY) BRONZ 1 ADET AK-03 </t>
  </si>
  <si>
    <t xml:space="preserve">MONGE AHŞAP KAPAK SOL TEKLİ (DOLUNAY) BRONZ 1 ADET AK-02 </t>
  </si>
  <si>
    <t>2 Lİ AHŞAP MONGE KAPAK (DOLUNAY) BRONZ 2 ADET AK-01</t>
  </si>
  <si>
    <t xml:space="preserve">SOHO AHŞAP KAPAK SAĞ TEKLİ MAT VİZYON BRONZ 1 ADET AK-05 </t>
  </si>
  <si>
    <t>SOHO AHŞAP KAPAK SOL TEKLİ MAT VİZYON BRONZ 1 ADET AK-06</t>
  </si>
  <si>
    <t>PORTO AHŞAP KAPAK SOL TEKLİ (DOLUNAY) MAT ALTTIN 1 ADET AK-10</t>
  </si>
  <si>
    <t>PORTO AHŞAP KAPAK SAĞ TEKLİ (DOLUNAY) MAT ALTIN 1 ADET AK-11</t>
  </si>
  <si>
    <t>BELİZE AHŞAP KAPAK SOL TEKLİ (DOLUNAY) MAT SİYAH 1 ADET AK-12</t>
  </si>
  <si>
    <t>BELİZE AHŞAP KAPAK SAĞ TEKLİ (DOLUNAY) MAT SİYAH 1 ADET AK-13</t>
  </si>
  <si>
    <t>2 Lİ AHŞAP SİMON KAPAK MAT KUMTAŞI 2 ADET AK-09</t>
  </si>
  <si>
    <t>SİMON AHŞAP KAPAK SOL TEKLİ MAT KUMTAŞI 1 ADET AK-08</t>
  </si>
  <si>
    <t>SİMON AHŞAP KAPAK SAĞ TEKLİ MAT KUMTAŞI 1 ADET AK-07</t>
  </si>
  <si>
    <t xml:space="preserve">BENTLEY </t>
  </si>
  <si>
    <t xml:space="preserve">TV ALT BLOK </t>
  </si>
  <si>
    <t xml:space="preserve">TV ÜST BLOK </t>
  </si>
  <si>
    <t>ORTA SEHPA DÜZ</t>
  </si>
  <si>
    <t>ORTA SEHPA SİNTERFLEX</t>
  </si>
  <si>
    <t xml:space="preserve">MAKYAJ MASASI AYNASI </t>
  </si>
  <si>
    <t>FRN-21032-A1</t>
  </si>
  <si>
    <t xml:space="preserve">KARYOLA BAŞLIĞI </t>
  </si>
  <si>
    <t>FRN-21019-160B</t>
  </si>
  <si>
    <t>FRN-21023-160</t>
  </si>
  <si>
    <t>FRN-20063-160B</t>
  </si>
  <si>
    <t>FRN-20083-A1</t>
  </si>
  <si>
    <t xml:space="preserve">YEMEK MASASI 160 CM </t>
  </si>
  <si>
    <t>FRN-20082-160</t>
  </si>
  <si>
    <t>FRN-21018-90B</t>
  </si>
  <si>
    <t xml:space="preserve">FRN-20064-90B </t>
  </si>
  <si>
    <t xml:space="preserve">GARDIROP </t>
  </si>
  <si>
    <t>FRN-26002</t>
  </si>
  <si>
    <t>FRN-26001</t>
  </si>
  <si>
    <t>FRN-26000</t>
  </si>
  <si>
    <t>INFINITY</t>
  </si>
  <si>
    <t xml:space="preserve">TEK BOY ASKILIKLI MODÜL </t>
  </si>
  <si>
    <t>FRN-25001</t>
  </si>
  <si>
    <t xml:space="preserve">ÇİFT ASKILIKLI MODÜL </t>
  </si>
  <si>
    <t xml:space="preserve">PANTOLON VE AKSESUAR ÇEKMECELİ VE ASKILIKLI MODÜL </t>
  </si>
  <si>
    <t xml:space="preserve">ASKILIKLI RAFLI KÖŞE MODÜL </t>
  </si>
  <si>
    <t xml:space="preserve">TEKLİ RAFLI MODÜL </t>
  </si>
  <si>
    <t>BOY ASKILIKLI MODÜL</t>
  </si>
  <si>
    <t xml:space="preserve">BOY ASKILIKLI RAFLI MODÜL </t>
  </si>
  <si>
    <t>ÜÇ ÇEKMECELİ AKSESUAR ÇEKMECELİ VE ASKILIKLI MODÜL</t>
  </si>
  <si>
    <t xml:space="preserve">RAFLI MODÜL </t>
  </si>
  <si>
    <t xml:space="preserve">ADA ŞİFONYER </t>
  </si>
  <si>
    <t>FRN-25002</t>
  </si>
  <si>
    <t>FRN-25003</t>
  </si>
  <si>
    <t>FRN-25004</t>
  </si>
  <si>
    <t>FRN-25005</t>
  </si>
  <si>
    <t>FRN-25006</t>
  </si>
  <si>
    <t>FRN-25007</t>
  </si>
  <si>
    <t>FRN-25008</t>
  </si>
  <si>
    <t>FRN-25009</t>
  </si>
  <si>
    <t>FRN-25010</t>
  </si>
  <si>
    <t>VELAR</t>
  </si>
  <si>
    <t xml:space="preserve">TV ALT MODÜL </t>
  </si>
  <si>
    <t xml:space="preserve">C SEHPA </t>
  </si>
  <si>
    <t xml:space="preserve">STROM </t>
  </si>
  <si>
    <t xml:space="preserve">MASASI ÜNİTESİ </t>
  </si>
  <si>
    <t>STANDART ALT KARYOLA FÜME 90*190</t>
  </si>
  <si>
    <t>STANDART AYAKLI FÜME BAZA 100*200</t>
  </si>
  <si>
    <t>BAŞLIK 100 LÜK</t>
  </si>
  <si>
    <t>STANDART AYAKLI FÜME BAZA 120*200</t>
  </si>
  <si>
    <t xml:space="preserve">BEYAZ METAL RANZA 100*200 (ALT KARYOLA DAHİLDİR) </t>
  </si>
  <si>
    <t>SİYAH METAL RANZA 100*200 (ALT KARYOLA DAHİLDİR)</t>
  </si>
  <si>
    <t>BAŞLIK 120 LİK</t>
  </si>
  <si>
    <t>ESC</t>
  </si>
  <si>
    <t xml:space="preserve">DCH </t>
  </si>
  <si>
    <t>PUF 4 LÜ</t>
  </si>
  <si>
    <t xml:space="preserve">AR </t>
  </si>
  <si>
    <t>AR AQUA PUF 4 LÜ</t>
  </si>
  <si>
    <t>PUF X2</t>
  </si>
  <si>
    <t>YENİ
PERAKENDE</t>
  </si>
  <si>
    <t>YENİ
ALIŞ</t>
  </si>
  <si>
    <t>YUVARLAMA
PERAKENDE</t>
  </si>
  <si>
    <t xml:space="preserve">TİTAN </t>
  </si>
  <si>
    <t xml:space="preserve">BÜYÜK SEHPA </t>
  </si>
  <si>
    <t xml:space="preserve">KÜÇÜK SEHPA </t>
  </si>
  <si>
    <t xml:space="preserve">TİTAN ESKİTME </t>
  </si>
  <si>
    <t>MATRİX</t>
  </si>
  <si>
    <t xml:space="preserve"> </t>
  </si>
  <si>
    <t xml:space="preserve">ÜNİTE ALT BLOK </t>
  </si>
  <si>
    <t xml:space="preserve">BAZA 160 CM </t>
  </si>
  <si>
    <t xml:space="preserve">BAZA 180 CM </t>
  </si>
  <si>
    <t xml:space="preserve">180 LİK KARYOLA FARKI </t>
  </si>
  <si>
    <t>160 LIK KATLANIR BAZA (GALAKSİ VE SAHRA)</t>
  </si>
  <si>
    <t xml:space="preserve">180 LİK KATLANIR BAZA (GALAKSİ VE SAHRA) </t>
  </si>
  <si>
    <t xml:space="preserve">PUF (TÜM YATAK ODASI) </t>
  </si>
  <si>
    <t>LUNAMORE</t>
  </si>
  <si>
    <t xml:space="preserve">ALLURE PRO </t>
  </si>
  <si>
    <t>ASTORIA</t>
  </si>
  <si>
    <t xml:space="preserve">CARISSIMA </t>
  </si>
  <si>
    <t>CARLA</t>
  </si>
  <si>
    <t>ELYSIA</t>
  </si>
  <si>
    <t>IBIZA</t>
  </si>
  <si>
    <t>KARLSON</t>
  </si>
  <si>
    <t>LOUVRE</t>
  </si>
  <si>
    <t xml:space="preserve">MAGNUM </t>
  </si>
  <si>
    <t>MARSILYA</t>
  </si>
  <si>
    <t xml:space="preserve">MILANO </t>
  </si>
  <si>
    <t xml:space="preserve">MONACO </t>
  </si>
  <si>
    <t xml:space="preserve">ROYCE </t>
  </si>
  <si>
    <t>VALENCİA</t>
  </si>
  <si>
    <t>VOGUE</t>
  </si>
  <si>
    <t xml:space="preserve">CLOUD </t>
  </si>
  <si>
    <t xml:space="preserve">HIBRIT </t>
  </si>
  <si>
    <t xml:space="preserve">PURE </t>
  </si>
  <si>
    <t xml:space="preserve">LAVENDER </t>
  </si>
  <si>
    <t xml:space="preserve">COOL </t>
  </si>
  <si>
    <t xml:space="preserve">SANDIKLI </t>
  </si>
  <si>
    <t xml:space="preserve">BENCH 180 CM </t>
  </si>
  <si>
    <t xml:space="preserve">BENCH 160 CM </t>
  </si>
  <si>
    <t xml:space="preserve">75CM TV </t>
  </si>
  <si>
    <t>100 CM 75+KOL</t>
  </si>
  <si>
    <t xml:space="preserve">ZEUGMA </t>
  </si>
  <si>
    <t xml:space="preserve">HL </t>
  </si>
  <si>
    <t>MASA (SABİT)</t>
  </si>
  <si>
    <t xml:space="preserve">TV ÜNİTESİ ÜST BLOK </t>
  </si>
  <si>
    <t xml:space="preserve">ASPENDOS </t>
  </si>
  <si>
    <t xml:space="preserve">3 LÜ SEHPALI KOLTUK </t>
  </si>
  <si>
    <t xml:space="preserve">3 LÜ DÖNER KOLTUK </t>
  </si>
  <si>
    <t xml:space="preserve">2026 TOPTAN </t>
  </si>
  <si>
    <t>MASA 180 CM</t>
  </si>
  <si>
    <t xml:space="preserve">BR </t>
  </si>
  <si>
    <t xml:space="preserve">ASTOR </t>
  </si>
  <si>
    <t xml:space="preserve">PUF BÜYÜK </t>
  </si>
  <si>
    <t>KARE PUF KÜÇÜK</t>
  </si>
  <si>
    <t>ARA MODÜL 70 CM LİK</t>
  </si>
  <si>
    <t>ARA MODÜL 90 CM LİK</t>
  </si>
  <si>
    <t xml:space="preserve">2 PARÇALI 3 LÜ KOLTUK </t>
  </si>
  <si>
    <t xml:space="preserve">ARA SEHPALI 3 LÜ KOLTUK </t>
  </si>
  <si>
    <t xml:space="preserve">95 CM LİK ARA MODÜL </t>
  </si>
  <si>
    <t xml:space="preserve">75 CM LİK ARA MODÜL </t>
  </si>
  <si>
    <t>2 PARÇALI KOLTUK 4 LÜ</t>
  </si>
  <si>
    <t>YAN SEHPA UZUN</t>
  </si>
  <si>
    <t>YAN SEHPA KISA</t>
  </si>
  <si>
    <t>2 PARÇALI KOLTUK 3 LÜ</t>
  </si>
  <si>
    <t xml:space="preserve">TEK OTURUM 3 LÜ KOLTUK </t>
  </si>
  <si>
    <t>TV ÜNİTESİ ÜST RAF SAĞ</t>
  </si>
  <si>
    <t>TV ÜNİTESİ ÜST RAF SOL</t>
  </si>
  <si>
    <t>BİANCA</t>
  </si>
  <si>
    <t xml:space="preserve">3 LÜ MOBİLYALI KOLTUK </t>
  </si>
  <si>
    <t xml:space="preserve">140 CM TEK KOLLU MODÜL </t>
  </si>
  <si>
    <t xml:space="preserve">120 CM TEK KOLLU MODÜL </t>
  </si>
  <si>
    <t xml:space="preserve">ÇAP RELAX MODÜL </t>
  </si>
  <si>
    <t xml:space="preserve">96 CM LİK KOLSUZ PİYON </t>
  </si>
  <si>
    <t xml:space="preserve">76 CM LİK KOLSUZ PİYON </t>
  </si>
  <si>
    <t xml:space="preserve">TV ÜNİTESİ ÇİFT KAPAKLI BLOK </t>
  </si>
  <si>
    <t xml:space="preserve">TV ÜNİTESİ TEK ÇEKMECELİ BLOK </t>
  </si>
  <si>
    <t xml:space="preserve">TV ÜNİTESİ ÜÇ ÇEKMECELİ BLOK </t>
  </si>
  <si>
    <t xml:space="preserve">TV ÜNİTESİ SAĞ TEK KAPAKLI BLOK </t>
  </si>
  <si>
    <t>TEK KOLLU 140 CM LİK MODÜL</t>
  </si>
  <si>
    <t xml:space="preserve">TEK KOLLU 120 CM LİK MODÜL </t>
  </si>
  <si>
    <t xml:space="preserve">95 CM LİK KOLSUZ PİYON </t>
  </si>
  <si>
    <t xml:space="preserve">75 CM LİK KOLSUZ PİYON </t>
  </si>
  <si>
    <t>KONSOL AYNA X2</t>
  </si>
  <si>
    <t xml:space="preserve">TV ÜNİTESİ SAĞ BLOK </t>
  </si>
  <si>
    <t xml:space="preserve">TV ÜNİTESİ SOL BLOK </t>
  </si>
  <si>
    <t xml:space="preserve">TV ÜNİTESİ ARKA PANO </t>
  </si>
  <si>
    <t xml:space="preserve">TV SEHPASI </t>
  </si>
  <si>
    <t xml:space="preserve">LAMBADER </t>
  </si>
  <si>
    <t xml:space="preserve">SİENA </t>
  </si>
  <si>
    <t>LEEONORA</t>
  </si>
  <si>
    <t xml:space="preserve">DÖNER SALLANIR MEKANİZMALI BERJER </t>
  </si>
  <si>
    <t xml:space="preserve">130 CM LİK SAĞ KOLLU MODÜL </t>
  </si>
  <si>
    <t xml:space="preserve">110 CM LİK SAĞ KOLLU MODÜL </t>
  </si>
  <si>
    <t>KOLLU DİNLENME MODÜL</t>
  </si>
  <si>
    <t xml:space="preserve">KÜÇÜK KÖŞE MODÜL </t>
  </si>
  <si>
    <t xml:space="preserve">KÜÇÜK PUF </t>
  </si>
  <si>
    <t xml:space="preserve">BÜYÜK PUF </t>
  </si>
  <si>
    <t xml:space="preserve">2 BLOKLU KONSOL </t>
  </si>
  <si>
    <t xml:space="preserve">STANDART MASA </t>
  </si>
  <si>
    <t>C SEHPA</t>
  </si>
  <si>
    <t xml:space="preserve">TV ÜNİTESİ DİKEY ÜST BLOK </t>
  </si>
  <si>
    <t xml:space="preserve">FLEX </t>
  </si>
  <si>
    <t xml:space="preserve">2 Lİ KOLTUK </t>
  </si>
  <si>
    <t>180 CM LİK MASA</t>
  </si>
  <si>
    <t xml:space="preserve">COMPLETE SET TEK KİŞİLİK FTT </t>
  </si>
  <si>
    <t xml:space="preserve"> COMPLETE SET TEK KİŞİLİK</t>
  </si>
  <si>
    <t>COMPLETE SET ÇİFT KİŞİLİK FTT</t>
  </si>
  <si>
    <t>SATEN</t>
  </si>
  <si>
    <t>SMART</t>
  </si>
  <si>
    <t>CUDDLY NAKIŞLI</t>
  </si>
  <si>
    <t>BABY LINE</t>
  </si>
  <si>
    <t>PUNCH NAKIŞLI</t>
  </si>
  <si>
    <t>COOLBED</t>
  </si>
  <si>
    <t>COOLGEN</t>
  </si>
  <si>
    <t xml:space="preserve">SİMON </t>
  </si>
  <si>
    <t xml:space="preserve">TABLO </t>
  </si>
  <si>
    <t>MASA 210 CM</t>
  </si>
  <si>
    <t xml:space="preserve">MASA 180 CM </t>
  </si>
  <si>
    <t xml:space="preserve">MASA 240 CM </t>
  </si>
  <si>
    <t>ORTA SEHPA (SERAMİK)</t>
  </si>
  <si>
    <t>ORTA SEHPA (AHŞAP)</t>
  </si>
  <si>
    <t xml:space="preserve">SERVİS SEHPASI </t>
  </si>
  <si>
    <t xml:space="preserve">KARYOLA İÇ KAYITLI 160 CM </t>
  </si>
  <si>
    <t xml:space="preserve">KOMODİN 65 CM </t>
  </si>
  <si>
    <t xml:space="preserve">KOMODİN 85 CM </t>
  </si>
  <si>
    <t>ŞİFONYER (AYNA DAHİL)</t>
  </si>
  <si>
    <t xml:space="preserve">KARYOLA BAZALI 160 CM </t>
  </si>
  <si>
    <t xml:space="preserve">KARYOLA BAZALI 180 CM </t>
  </si>
  <si>
    <t xml:space="preserve">KARYOLA İÇ KAYITLI 180 CM </t>
  </si>
  <si>
    <t>TG</t>
  </si>
  <si>
    <t>PLATİNUM</t>
  </si>
  <si>
    <t xml:space="preserve">ORTA SEHPA DİKDÖRTGEN </t>
  </si>
  <si>
    <t xml:space="preserve">ORTA SEHPA KARE </t>
  </si>
  <si>
    <t xml:space="preserve">KİDNEY </t>
  </si>
  <si>
    <t>ORTA SEHPA BÜYÜK</t>
  </si>
  <si>
    <t xml:space="preserve">ORTA SEHPA KÜÇÜK </t>
  </si>
  <si>
    <t xml:space="preserve">MERLO </t>
  </si>
  <si>
    <t xml:space="preserve">MONOCCO </t>
  </si>
  <si>
    <t xml:space="preserve">ORTA SEHPA KARE BÜYÜK </t>
  </si>
  <si>
    <t xml:space="preserve">ORTA SEHPA KARE KÜÇÜK </t>
  </si>
  <si>
    <t xml:space="preserve">RAPTOR </t>
  </si>
  <si>
    <t xml:space="preserve">ORTA SEHPA BÜYÜK </t>
  </si>
  <si>
    <t xml:space="preserve">ORTA SEHPA ORTA </t>
  </si>
  <si>
    <t xml:space="preserve">FUJİ </t>
  </si>
  <si>
    <t xml:space="preserve">CAMARO </t>
  </si>
  <si>
    <t xml:space="preserve">MODEST </t>
  </si>
  <si>
    <t xml:space="preserve">3 LÜ SERVİS SEHPA </t>
  </si>
  <si>
    <t>55-50-44</t>
  </si>
  <si>
    <t>55-51-47</t>
  </si>
  <si>
    <t xml:space="preserve">2 Lİ SERVİS SEHPA </t>
  </si>
  <si>
    <t>60-48</t>
  </si>
  <si>
    <t>60-45</t>
  </si>
  <si>
    <t>59-49</t>
  </si>
  <si>
    <t>PEBBLE</t>
  </si>
  <si>
    <t>POİNT</t>
  </si>
  <si>
    <t>50-40</t>
  </si>
  <si>
    <t>60-52</t>
  </si>
  <si>
    <t xml:space="preserve">SUPRA </t>
  </si>
  <si>
    <t xml:space="preserve">ORTA SEHPA AHŞAP </t>
  </si>
  <si>
    <t>ORTA SEHPA AYNALI</t>
  </si>
  <si>
    <t>43-58</t>
  </si>
  <si>
    <t xml:space="preserve">FALCON </t>
  </si>
  <si>
    <t>NOBLE</t>
  </si>
  <si>
    <t xml:space="preserve">YAN SEHPA BÜYÜK </t>
  </si>
  <si>
    <t xml:space="preserve">YAN SEHPA KÜÇÜK </t>
  </si>
  <si>
    <t xml:space="preserve">TOMS </t>
  </si>
  <si>
    <t xml:space="preserve">SCARLET </t>
  </si>
  <si>
    <t xml:space="preserve">TOSCANO </t>
  </si>
  <si>
    <t xml:space="preserve">ORTA SEHPA ASİMETRİK </t>
  </si>
  <si>
    <t xml:space="preserve">BAU </t>
  </si>
  <si>
    <t xml:space="preserve">ORTA SEHPA KÜÇÜK LAGİNA </t>
  </si>
  <si>
    <t xml:space="preserve">ORTA SEHPA KÜÇÜK SONATA </t>
  </si>
  <si>
    <t xml:space="preserve">ORTA SEHPA FONKSİYONEL </t>
  </si>
  <si>
    <t>40-74</t>
  </si>
  <si>
    <t>İBİZA</t>
  </si>
  <si>
    <t xml:space="preserve">VEGA </t>
  </si>
  <si>
    <t>ORBİT</t>
  </si>
  <si>
    <t xml:space="preserve">LAMBO </t>
  </si>
  <si>
    <t xml:space="preserve">METRO </t>
  </si>
  <si>
    <t>ORTA SEHPA DİKDÖRTGEN RAL-8004</t>
  </si>
  <si>
    <t>ORTA SEHPA ÜÇGEN RAL-1011</t>
  </si>
  <si>
    <t>ORTA SEHPA KÜÇÜK RAL-7022</t>
  </si>
  <si>
    <t>ORTA SEHPA BÜYÜK RAL-7022</t>
  </si>
  <si>
    <t>2 Lİ SET SEHPA RAL-7036</t>
  </si>
  <si>
    <t>45-50</t>
  </si>
  <si>
    <t>AVATAR</t>
  </si>
  <si>
    <t xml:space="preserve">ORTA SEHPA ANTRASİT </t>
  </si>
  <si>
    <t>YAN SEHPA ANTRASİT</t>
  </si>
  <si>
    <t>MECHANİC</t>
  </si>
  <si>
    <t xml:space="preserve">ORTA SEHPA AYNALI </t>
  </si>
  <si>
    <t xml:space="preserve">VOVO </t>
  </si>
  <si>
    <t xml:space="preserve">ELLE </t>
  </si>
  <si>
    <t>ELLE</t>
  </si>
  <si>
    <t xml:space="preserve">HARLEY </t>
  </si>
  <si>
    <t>44-51-58</t>
  </si>
  <si>
    <t xml:space="preserve">WANTED </t>
  </si>
  <si>
    <t xml:space="preserve">KEY </t>
  </si>
  <si>
    <t xml:space="preserve">ORTA SEHPA AMERİKAN CEVİZ </t>
  </si>
  <si>
    <t>YAN SEHPA AMERİKAN CEVİZ</t>
  </si>
  <si>
    <t xml:space="preserve">BARCELONA </t>
  </si>
  <si>
    <t xml:space="preserve">3 LÜ SERVİS SEHPASI </t>
  </si>
  <si>
    <t>58-51-44</t>
  </si>
  <si>
    <t xml:space="preserve">STAR </t>
  </si>
  <si>
    <t xml:space="preserve">2 Lİ ORTA SEHPA </t>
  </si>
  <si>
    <t xml:space="preserve">2 Lİ SET SEHPA </t>
  </si>
  <si>
    <t>36-43</t>
  </si>
  <si>
    <t>50-42</t>
  </si>
  <si>
    <t xml:space="preserve">LEON </t>
  </si>
  <si>
    <t xml:space="preserve">3 LÜ ORTA SEHPA </t>
  </si>
  <si>
    <t>3 LÜ SERVİS SEHPA</t>
  </si>
  <si>
    <t>90-64-44</t>
  </si>
  <si>
    <t>51-44-37</t>
  </si>
  <si>
    <t>37-45-53</t>
  </si>
  <si>
    <t>45-52-59</t>
  </si>
  <si>
    <t xml:space="preserve">MUSHROOM </t>
  </si>
  <si>
    <t xml:space="preserve">2 Lİ SET SEHPA CEVİZ </t>
  </si>
  <si>
    <t>55-49</t>
  </si>
  <si>
    <t xml:space="preserve">2 Lİ SET SEHPA SİYAH </t>
  </si>
  <si>
    <t>52-44-36</t>
  </si>
  <si>
    <t>40-38-35</t>
  </si>
  <si>
    <t>60-56-51</t>
  </si>
  <si>
    <t>52-45-38</t>
  </si>
  <si>
    <t>46-45-44</t>
  </si>
  <si>
    <t>56-50-45</t>
  </si>
  <si>
    <t xml:space="preserve">QUATRO </t>
  </si>
  <si>
    <t xml:space="preserve">FLOWER </t>
  </si>
  <si>
    <t xml:space="preserve">FOREVER </t>
  </si>
  <si>
    <t>27-21</t>
  </si>
  <si>
    <t xml:space="preserve">ROLEX </t>
  </si>
  <si>
    <t xml:space="preserve">PARS </t>
  </si>
  <si>
    <t xml:space="preserve">KAJU </t>
  </si>
  <si>
    <t xml:space="preserve">YAN SEHPA CEVİZ </t>
  </si>
  <si>
    <t xml:space="preserve">YAN SEHPA SİYAH </t>
  </si>
  <si>
    <t>CHUBBY</t>
  </si>
  <si>
    <t xml:space="preserve">ASTRAL </t>
  </si>
  <si>
    <t>60-47</t>
  </si>
  <si>
    <t>60-53</t>
  </si>
  <si>
    <t xml:space="preserve">LOTTO </t>
  </si>
  <si>
    <t>53-45-37</t>
  </si>
  <si>
    <t>61-55-49</t>
  </si>
  <si>
    <t xml:space="preserve">SOLO </t>
  </si>
  <si>
    <t>49-41-43</t>
  </si>
  <si>
    <t>43-40-38</t>
  </si>
  <si>
    <t>60-56-52</t>
  </si>
  <si>
    <t xml:space="preserve">LİPA </t>
  </si>
  <si>
    <t>55-48-41</t>
  </si>
  <si>
    <t>40-40-40</t>
  </si>
  <si>
    <t xml:space="preserve">TRİGON </t>
  </si>
  <si>
    <t>60-50-40</t>
  </si>
  <si>
    <t>55-52,5-50</t>
  </si>
  <si>
    <t xml:space="preserve">BOLERO </t>
  </si>
  <si>
    <t>55-51-57</t>
  </si>
  <si>
    <t xml:space="preserve">TİMES </t>
  </si>
  <si>
    <t xml:space="preserve">SAAT SİYAH </t>
  </si>
  <si>
    <t>SAAT CEVİZ</t>
  </si>
  <si>
    <t xml:space="preserve">PUFFY </t>
  </si>
  <si>
    <t xml:space="preserve">RELAX </t>
  </si>
  <si>
    <t xml:space="preserve">LERONE </t>
  </si>
  <si>
    <t xml:space="preserve">MAYA </t>
  </si>
  <si>
    <t xml:space="preserve">RAMA </t>
  </si>
  <si>
    <t xml:space="preserve">JOKER </t>
  </si>
  <si>
    <t xml:space="preserve">PUF DİKDÖRTGEN </t>
  </si>
  <si>
    <t xml:space="preserve">PUF KARE </t>
  </si>
  <si>
    <t>MOODUFF</t>
  </si>
  <si>
    <t xml:space="preserve">PUF DİKDÖRTGEN TABA </t>
  </si>
  <si>
    <t xml:space="preserve">PUF KARE SİYAH </t>
  </si>
  <si>
    <t xml:space="preserve">PUF YUVARLAK SİYAH </t>
  </si>
  <si>
    <t>MERLO</t>
  </si>
  <si>
    <t xml:space="preserve">PEBBLE </t>
  </si>
  <si>
    <t xml:space="preserve">MOMENT </t>
  </si>
  <si>
    <t xml:space="preserve">GLAMOUR </t>
  </si>
  <si>
    <t>BOEİNG</t>
  </si>
  <si>
    <t>ÜRÜN KODU</t>
  </si>
  <si>
    <t>KDV</t>
  </si>
  <si>
    <t>ÜRÜN ADI-AÇIKLAMASI</t>
  </si>
  <si>
    <t>SATIŞ FİYATI</t>
  </si>
  <si>
    <t>SATIN ALMA FİYATI</t>
  </si>
  <si>
    <t xml:space="preserve">BAZA + BAŞLIK + TRAVERS </t>
  </si>
  <si>
    <t>BAZA + BAŞLIK + TRAVERS</t>
  </si>
  <si>
    <t>1D</t>
  </si>
  <si>
    <t xml:space="preserve">BAZA + BAŞLIK + YATAK </t>
  </si>
  <si>
    <t>ROYAL</t>
  </si>
  <si>
    <t xml:space="preserve">KOLLU MODÜL </t>
  </si>
  <si>
    <t xml:space="preserve">ADA KÖŞE MODÜL </t>
  </si>
  <si>
    <t xml:space="preserve">212 CM KOLLU MODÜL </t>
  </si>
  <si>
    <t xml:space="preserve">105 CM KOLLU MODÜL </t>
  </si>
  <si>
    <t>TEKLİ TV KOLTUĞU</t>
  </si>
  <si>
    <t xml:space="preserve">DİNLENMELİ 3 LÜ KOLTUK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</si>
</sst>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B6D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right" vertical="center"/>
    </xf>
    <xf numFmtId="4" fontId="0" fillId="0" borderId="0" xfId="0" applyNumberForma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right"/>
    </xf>
    <xf numFmtId="4" fontId="0" fillId="0" borderId="0" xfId="0" applyNumberFormat="1" applyBorder="1"/>
    <xf numFmtId="0" fontId="0" fillId="0" borderId="0" xfId="0" applyFill="1" applyBorder="1" applyAlignment="1">
      <alignment horizontal="right"/>
    </xf>
    <xf numFmtId="0" fontId="0" fillId="0" borderId="0" xfId="0" applyAlignment="1">
      <alignment horizontal="right"/>
    </xf>
    <xf numFmtId="17" fontId="0" fillId="0" borderId="0" xfId="0" applyNumberFormat="1" applyBorder="1"/>
    <xf numFmtId="4" fontId="0" fillId="0" borderId="0" xfId="0" applyNumberFormat="1" applyFill="1" applyBorder="1"/>
    <xf numFmtId="0" fontId="4" fillId="0" borderId="0" xfId="0" applyFont="1" applyFill="1" applyBorder="1"/>
    <xf numFmtId="4" fontId="4" fillId="0" borderId="0" xfId="0" applyNumberFormat="1" applyFont="1" applyBorder="1"/>
    <xf numFmtId="0" fontId="4" fillId="0" borderId="0" xfId="0" applyFont="1" applyBorder="1"/>
    <xf numFmtId="2" fontId="0" fillId="0" borderId="0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0" fontId="3" fillId="0" borderId="0" xfId="0" applyFont="1"/>
    <xf numFmtId="0" fontId="3" fillId="0" borderId="0" xfId="0" applyFont="1" applyBorder="1"/>
    <xf numFmtId="0" fontId="3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4" fontId="0" fillId="2" borderId="0" xfId="0" applyNumberFormat="1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right"/>
    </xf>
    <xf numFmtId="0" fontId="2" fillId="0" borderId="0" xfId="0" applyFont="1" applyFill="1" applyBorder="1"/>
    <xf numFmtId="164" fontId="0" fillId="0" borderId="0" xfId="1" applyFont="1"/>
    <xf numFmtId="164" fontId="0" fillId="0" borderId="0" xfId="1" applyFont="1" applyBorder="1" applyAlignment="1">
      <alignment horizontal="center" vertical="center" wrapText="1"/>
    </xf>
    <xf numFmtId="164" fontId="0" fillId="0" borderId="0" xfId="1" applyFont="1" applyBorder="1"/>
    <xf numFmtId="164" fontId="0" fillId="2" borderId="0" xfId="1" applyFont="1" applyFill="1" applyBorder="1"/>
    <xf numFmtId="164" fontId="0" fillId="0" borderId="0" xfId="1" applyFont="1" applyFill="1" applyBorder="1"/>
    <xf numFmtId="4" fontId="4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4" fontId="0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CB6D6"/>
      <color rgb="FFF9DBFA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90"/>
  <sheetViews>
    <sheetView tabSelected="1" zoomScale="70" zoomScaleNormal="70" workbookViewId="0">
      <pane ySplit="1" topLeftCell="A2" activePane="bottomLeft" state="frozen"/>
      <selection pane="bottomLeft" activeCell="T949" sqref="T949"/>
    </sheetView>
  </sheetViews>
  <sheetFormatPr defaultColWidth="9.14453125" defaultRowHeight="21.95" customHeight="1" x14ac:dyDescent="0.2"/>
  <cols>
    <col min="1" max="1" width="16.6796875" style="5" hidden="1" customWidth="1"/>
    <col min="2" max="2" width="14.2578125" style="5" customWidth="1"/>
    <col min="3" max="3" width="20.71484375" style="5" customWidth="1"/>
    <col min="4" max="4" width="86.90234375" style="5" customWidth="1"/>
    <col min="5" max="5" width="15.06640625" style="5" customWidth="1"/>
    <col min="6" max="8" width="10.625" style="5" customWidth="1"/>
    <col min="9" max="9" width="11.8359375" style="7" customWidth="1"/>
    <col min="10" max="10" width="10.4921875" style="7" customWidth="1"/>
    <col min="11" max="11" width="16.6796875" style="7" hidden="1" customWidth="1"/>
    <col min="12" max="12" width="88.78515625" style="5" customWidth="1"/>
    <col min="13" max="13" width="15.06640625" style="8" hidden="1" customWidth="1"/>
    <col min="14" max="14" width="11.296875" style="8" hidden="1" customWidth="1"/>
    <col min="15" max="15" width="15.87109375" style="8" customWidth="1"/>
    <col min="16" max="16" width="15.06640625" style="5" customWidth="1"/>
    <col min="17" max="17" width="12.9140625" style="5" customWidth="1"/>
    <col min="18" max="18" width="16.27734375" style="31" customWidth="1"/>
    <col min="19" max="19" width="12.9140625" style="5" customWidth="1"/>
    <col min="20" max="21" width="16.8125" style="8" customWidth="1"/>
    <col min="22" max="22" width="15.06640625" style="8" hidden="1" customWidth="1"/>
    <col min="23" max="23" width="16.140625" style="8" hidden="1" customWidth="1"/>
    <col min="24" max="24" width="15.6015625" style="5" hidden="1" customWidth="1"/>
    <col min="25" max="16384" width="9.14453125" style="5"/>
  </cols>
  <sheetData>
    <row r="1" spans="1:24" s="1" customFormat="1" ht="39.950000000000003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L1" s="1" t="s">
        <v>10</v>
      </c>
      <c r="M1" s="4" t="s">
        <v>11</v>
      </c>
      <c r="N1" s="4" t="s">
        <v>12</v>
      </c>
      <c r="O1" s="4" t="s">
        <v>13</v>
      </c>
      <c r="P1" s="2" t="s">
        <v>14</v>
      </c>
      <c r="Q1" s="2" t="s">
        <v>15</v>
      </c>
      <c r="R1" s="30" t="s">
        <v>16</v>
      </c>
      <c r="T1" s="4" t="s">
        <v>1807</v>
      </c>
      <c r="U1" s="4" t="s">
        <v>2075</v>
      </c>
      <c r="V1" s="4" t="s">
        <v>2027</v>
      </c>
      <c r="W1" s="4" t="s">
        <v>2026</v>
      </c>
      <c r="X1" s="2" t="s">
        <v>2028</v>
      </c>
    </row>
    <row r="2" spans="1:24" ht="21.95" customHeight="1" x14ac:dyDescent="0.2">
      <c r="A2" s="5" t="s">
        <v>17</v>
      </c>
      <c r="B2" s="5" t="s">
        <v>1581</v>
      </c>
      <c r="C2" s="5" t="s">
        <v>18</v>
      </c>
      <c r="D2" s="6" t="s">
        <v>19</v>
      </c>
      <c r="E2" s="6"/>
      <c r="F2" s="6"/>
      <c r="G2" s="5">
        <v>220</v>
      </c>
      <c r="H2" s="5">
        <v>49</v>
      </c>
      <c r="I2" s="7">
        <v>80</v>
      </c>
      <c r="K2" s="7">
        <v>44004201</v>
      </c>
      <c r="L2" s="5" t="str">
        <f t="shared" ref="L2:L65" si="0">B2&amp;" "&amp;C2&amp;" "&amp;D2</f>
        <v>BZ CAMARO KONSOL 4 KAPAKLI</v>
      </c>
      <c r="M2" s="8">
        <v>0.6</v>
      </c>
      <c r="N2" s="8">
        <v>0.55000000000000004</v>
      </c>
      <c r="O2" s="8">
        <v>79539</v>
      </c>
      <c r="P2" s="8">
        <f t="shared" ref="P2:P65" si="1">O2*(1-N2)</f>
        <v>35792.549999999996</v>
      </c>
      <c r="Q2" s="8">
        <f t="shared" ref="Q2:Q65" si="2">O2</f>
        <v>79539</v>
      </c>
      <c r="R2" s="31">
        <f t="shared" ref="R2:R65" si="3">ROUNDDOWN(Q2,-2)</f>
        <v>79500</v>
      </c>
      <c r="T2" s="12"/>
      <c r="U2" s="12">
        <v>95447</v>
      </c>
      <c r="V2" s="8">
        <f t="shared" ref="V2:V51" si="4">T2*(1-N2)</f>
        <v>0</v>
      </c>
      <c r="W2" s="8">
        <f>T2</f>
        <v>0</v>
      </c>
    </row>
    <row r="3" spans="1:24" ht="21.95" customHeight="1" x14ac:dyDescent="0.2">
      <c r="A3" s="5" t="s">
        <v>17</v>
      </c>
      <c r="B3" s="5" t="s">
        <v>1581</v>
      </c>
      <c r="C3" s="5" t="s">
        <v>18</v>
      </c>
      <c r="D3" s="6" t="s">
        <v>20</v>
      </c>
      <c r="E3" s="6"/>
      <c r="G3" s="5">
        <v>170</v>
      </c>
      <c r="H3" s="5">
        <v>49</v>
      </c>
      <c r="I3" s="7">
        <v>83</v>
      </c>
      <c r="K3" s="7">
        <v>44004202</v>
      </c>
      <c r="L3" s="5" t="str">
        <f t="shared" si="0"/>
        <v>BZ CAMARO KONSOL 3 KAPAKLI</v>
      </c>
      <c r="M3" s="8">
        <v>0.6</v>
      </c>
      <c r="N3" s="8">
        <v>0.55000000000000004</v>
      </c>
      <c r="O3" s="8">
        <v>79539</v>
      </c>
      <c r="P3" s="8">
        <f t="shared" si="1"/>
        <v>35792.549999999996</v>
      </c>
      <c r="Q3" s="8">
        <f t="shared" si="2"/>
        <v>79539</v>
      </c>
      <c r="R3" s="31">
        <f t="shared" si="3"/>
        <v>79500</v>
      </c>
      <c r="T3" s="12"/>
      <c r="U3" s="12">
        <v>95447</v>
      </c>
      <c r="V3" s="8">
        <f t="shared" si="4"/>
        <v>0</v>
      </c>
      <c r="W3" s="8">
        <f t="shared" ref="W3:W52" si="5">T3</f>
        <v>0</v>
      </c>
    </row>
    <row r="4" spans="1:24" ht="21.95" customHeight="1" x14ac:dyDescent="0.2">
      <c r="A4" s="5" t="s">
        <v>17</v>
      </c>
      <c r="B4" s="5" t="s">
        <v>1581</v>
      </c>
      <c r="C4" s="5" t="s">
        <v>18</v>
      </c>
      <c r="D4" s="6" t="s">
        <v>21</v>
      </c>
      <c r="E4" s="6"/>
      <c r="G4" s="5">
        <v>91</v>
      </c>
      <c r="H4" s="5">
        <v>4</v>
      </c>
      <c r="I4" s="7">
        <v>84</v>
      </c>
      <c r="K4" s="7">
        <v>44004203</v>
      </c>
      <c r="L4" s="5" t="str">
        <f t="shared" si="0"/>
        <v>BZ CAMARO KONSOL AYNASI</v>
      </c>
      <c r="M4" s="8">
        <v>0.6</v>
      </c>
      <c r="N4" s="8">
        <v>0.55000000000000004</v>
      </c>
      <c r="O4" s="8">
        <v>11567</v>
      </c>
      <c r="P4" s="8">
        <f t="shared" si="1"/>
        <v>5205.1499999999996</v>
      </c>
      <c r="Q4" s="8">
        <f t="shared" si="2"/>
        <v>11567</v>
      </c>
      <c r="R4" s="31">
        <f t="shared" si="3"/>
        <v>11500</v>
      </c>
      <c r="T4" s="12"/>
      <c r="U4" s="12">
        <v>13880</v>
      </c>
      <c r="V4" s="8">
        <f t="shared" si="4"/>
        <v>0</v>
      </c>
      <c r="W4" s="8">
        <f t="shared" si="5"/>
        <v>0</v>
      </c>
    </row>
    <row r="5" spans="1:24" ht="21.95" customHeight="1" x14ac:dyDescent="0.2">
      <c r="A5" s="5" t="s">
        <v>17</v>
      </c>
      <c r="B5" s="5" t="s">
        <v>1581</v>
      </c>
      <c r="C5" s="5" t="s">
        <v>18</v>
      </c>
      <c r="D5" s="6" t="s">
        <v>22</v>
      </c>
      <c r="E5" s="6"/>
      <c r="G5" s="6">
        <v>160</v>
      </c>
      <c r="H5" s="6">
        <v>100</v>
      </c>
      <c r="I5" s="9">
        <v>76</v>
      </c>
      <c r="J5" s="9"/>
      <c r="K5" s="7">
        <v>44004204</v>
      </c>
      <c r="L5" s="5" t="str">
        <f t="shared" si="0"/>
        <v>BZ CAMARO MASA 160CM</v>
      </c>
      <c r="M5" s="8">
        <v>0.6</v>
      </c>
      <c r="N5" s="8">
        <v>0.55000000000000004</v>
      </c>
      <c r="O5" s="8">
        <v>51723</v>
      </c>
      <c r="P5" s="8">
        <f t="shared" si="1"/>
        <v>23275.35</v>
      </c>
      <c r="Q5" s="8">
        <f t="shared" si="2"/>
        <v>51723</v>
      </c>
      <c r="R5" s="31">
        <f t="shared" si="3"/>
        <v>51700</v>
      </c>
      <c r="T5" s="12"/>
      <c r="U5" s="12">
        <v>62068</v>
      </c>
      <c r="V5" s="8">
        <f t="shared" si="4"/>
        <v>0</v>
      </c>
      <c r="W5" s="8">
        <f t="shared" si="5"/>
        <v>0</v>
      </c>
    </row>
    <row r="6" spans="1:24" ht="21.95" customHeight="1" x14ac:dyDescent="0.2">
      <c r="A6" s="5" t="s">
        <v>17</v>
      </c>
      <c r="B6" s="5" t="s">
        <v>1581</v>
      </c>
      <c r="C6" s="5" t="s">
        <v>18</v>
      </c>
      <c r="D6" s="6" t="s">
        <v>23</v>
      </c>
      <c r="E6" s="6"/>
      <c r="G6" s="6">
        <v>200</v>
      </c>
      <c r="H6" s="6">
        <v>100</v>
      </c>
      <c r="I6" s="9">
        <v>76</v>
      </c>
      <c r="J6" s="9"/>
      <c r="K6" s="7">
        <v>44004205</v>
      </c>
      <c r="L6" s="5" t="str">
        <f t="shared" si="0"/>
        <v>BZ CAMARO MASA 200CM</v>
      </c>
      <c r="M6" s="8">
        <v>0.6</v>
      </c>
      <c r="N6" s="8">
        <v>0.55000000000000004</v>
      </c>
      <c r="O6" s="8">
        <v>51723</v>
      </c>
      <c r="P6" s="8">
        <f t="shared" si="1"/>
        <v>23275.35</v>
      </c>
      <c r="Q6" s="8">
        <f t="shared" si="2"/>
        <v>51723</v>
      </c>
      <c r="R6" s="31">
        <f t="shared" si="3"/>
        <v>51700</v>
      </c>
      <c r="T6" s="12"/>
      <c r="U6" s="12">
        <v>62068</v>
      </c>
      <c r="V6" s="8">
        <f t="shared" si="4"/>
        <v>0</v>
      </c>
      <c r="W6" s="8">
        <f t="shared" si="5"/>
        <v>0</v>
      </c>
    </row>
    <row r="7" spans="1:24" ht="21.95" customHeight="1" x14ac:dyDescent="0.2">
      <c r="A7" s="5" t="s">
        <v>17</v>
      </c>
      <c r="B7" s="5" t="s">
        <v>1581</v>
      </c>
      <c r="C7" s="5" t="s">
        <v>18</v>
      </c>
      <c r="D7" s="6" t="s">
        <v>24</v>
      </c>
      <c r="E7" s="6"/>
      <c r="G7" s="6">
        <v>240</v>
      </c>
      <c r="H7" s="6">
        <v>110</v>
      </c>
      <c r="I7" s="9">
        <v>76</v>
      </c>
      <c r="J7" s="9"/>
      <c r="K7" s="7">
        <v>44004206</v>
      </c>
      <c r="L7" s="5" t="str">
        <f t="shared" si="0"/>
        <v>BZ CAMARO MASA 240CM</v>
      </c>
      <c r="M7" s="8">
        <v>0.6</v>
      </c>
      <c r="N7" s="8">
        <v>0.55000000000000004</v>
      </c>
      <c r="O7" s="8">
        <v>57088</v>
      </c>
      <c r="P7" s="8">
        <f t="shared" si="1"/>
        <v>25689.599999999999</v>
      </c>
      <c r="Q7" s="8">
        <f t="shared" si="2"/>
        <v>57088</v>
      </c>
      <c r="R7" s="31">
        <f t="shared" si="3"/>
        <v>57000</v>
      </c>
      <c r="T7" s="12"/>
      <c r="U7" s="12">
        <v>68506</v>
      </c>
      <c r="V7" s="8">
        <f t="shared" si="4"/>
        <v>0</v>
      </c>
      <c r="W7" s="8">
        <f t="shared" si="5"/>
        <v>0</v>
      </c>
    </row>
    <row r="8" spans="1:24" ht="21.95" customHeight="1" x14ac:dyDescent="0.2">
      <c r="A8" s="5" t="s">
        <v>17</v>
      </c>
      <c r="B8" s="5" t="s">
        <v>1581</v>
      </c>
      <c r="C8" s="5" t="s">
        <v>18</v>
      </c>
      <c r="D8" s="6" t="s">
        <v>25</v>
      </c>
      <c r="E8" s="6"/>
      <c r="G8" s="6">
        <v>65</v>
      </c>
      <c r="H8" s="6">
        <v>50</v>
      </c>
      <c r="I8" s="9">
        <v>85</v>
      </c>
      <c r="J8" s="9"/>
      <c r="K8" s="7">
        <v>44004207</v>
      </c>
      <c r="L8" s="5" t="str">
        <f t="shared" si="0"/>
        <v>BZ CAMARO SANDALYE</v>
      </c>
      <c r="M8" s="8">
        <v>0.6</v>
      </c>
      <c r="N8" s="8">
        <v>0.55000000000000004</v>
      </c>
      <c r="O8" s="8">
        <v>17098</v>
      </c>
      <c r="P8" s="8">
        <f t="shared" si="1"/>
        <v>7694.0999999999995</v>
      </c>
      <c r="Q8" s="8">
        <f t="shared" si="2"/>
        <v>17098</v>
      </c>
      <c r="R8" s="31">
        <f t="shared" si="3"/>
        <v>17000</v>
      </c>
      <c r="T8" s="12"/>
      <c r="U8" s="12">
        <v>20518</v>
      </c>
      <c r="V8" s="8">
        <f t="shared" si="4"/>
        <v>0</v>
      </c>
      <c r="W8" s="8">
        <f t="shared" si="5"/>
        <v>0</v>
      </c>
    </row>
    <row r="9" spans="1:24" ht="21.95" customHeight="1" x14ac:dyDescent="0.2">
      <c r="A9" s="5" t="s">
        <v>17</v>
      </c>
      <c r="B9" s="5" t="s">
        <v>1581</v>
      </c>
      <c r="C9" s="5" t="s">
        <v>18</v>
      </c>
      <c r="D9" s="6" t="s">
        <v>26</v>
      </c>
      <c r="E9" s="6"/>
      <c r="G9" s="6">
        <v>220</v>
      </c>
      <c r="H9" s="6">
        <v>49</v>
      </c>
      <c r="I9" s="9">
        <v>58</v>
      </c>
      <c r="J9" s="9"/>
      <c r="K9" s="7">
        <v>44004208</v>
      </c>
      <c r="L9" s="5" t="str">
        <f t="shared" si="0"/>
        <v>BZ CAMARO TV ÜNİTESİ ALT BLOK 4 KAPAKLI</v>
      </c>
      <c r="M9" s="8">
        <v>0.6</v>
      </c>
      <c r="N9" s="8">
        <v>0.55000000000000004</v>
      </c>
      <c r="O9" s="8">
        <v>71706</v>
      </c>
      <c r="P9" s="8">
        <f t="shared" si="1"/>
        <v>32267.699999999997</v>
      </c>
      <c r="Q9" s="8">
        <f t="shared" si="2"/>
        <v>71706</v>
      </c>
      <c r="R9" s="31">
        <f t="shared" si="3"/>
        <v>71700</v>
      </c>
      <c r="T9" s="12"/>
      <c r="U9" s="12">
        <v>86047</v>
      </c>
      <c r="V9" s="8">
        <f t="shared" si="4"/>
        <v>0</v>
      </c>
      <c r="W9" s="8">
        <f t="shared" si="5"/>
        <v>0</v>
      </c>
    </row>
    <row r="10" spans="1:24" ht="21.95" customHeight="1" x14ac:dyDescent="0.2">
      <c r="A10" s="5" t="s">
        <v>17</v>
      </c>
      <c r="B10" s="5" t="s">
        <v>1581</v>
      </c>
      <c r="C10" s="5" t="s">
        <v>18</v>
      </c>
      <c r="D10" s="6" t="s">
        <v>27</v>
      </c>
      <c r="E10" s="6"/>
      <c r="G10" s="6">
        <v>170</v>
      </c>
      <c r="H10" s="6">
        <v>49</v>
      </c>
      <c r="I10" s="9">
        <v>58</v>
      </c>
      <c r="J10" s="9"/>
      <c r="K10" s="7">
        <v>44004209</v>
      </c>
      <c r="L10" s="5" t="str">
        <f t="shared" si="0"/>
        <v>BZ CAMARO TV ÜNİTESİ ALT BLOK 3 KAPAKLI</v>
      </c>
      <c r="M10" s="8">
        <v>0.6</v>
      </c>
      <c r="N10" s="8">
        <v>0.55000000000000004</v>
      </c>
      <c r="O10" s="8">
        <v>71706</v>
      </c>
      <c r="P10" s="8">
        <f t="shared" si="1"/>
        <v>32267.699999999997</v>
      </c>
      <c r="Q10" s="8">
        <f t="shared" si="2"/>
        <v>71706</v>
      </c>
      <c r="R10" s="31">
        <f t="shared" si="3"/>
        <v>71700</v>
      </c>
      <c r="T10" s="12"/>
      <c r="U10" s="12">
        <v>86047</v>
      </c>
      <c r="V10" s="8">
        <f t="shared" si="4"/>
        <v>0</v>
      </c>
      <c r="W10" s="8">
        <f t="shared" si="5"/>
        <v>0</v>
      </c>
    </row>
    <row r="11" spans="1:24" ht="21.95" customHeight="1" x14ac:dyDescent="0.2">
      <c r="A11" s="5" t="s">
        <v>17</v>
      </c>
      <c r="B11" s="5" t="s">
        <v>1581</v>
      </c>
      <c r="C11" s="5" t="s">
        <v>18</v>
      </c>
      <c r="D11" s="6" t="s">
        <v>28</v>
      </c>
      <c r="E11" s="6"/>
      <c r="G11" s="6">
        <v>106</v>
      </c>
      <c r="H11" s="6">
        <v>49</v>
      </c>
      <c r="I11" s="9">
        <v>205</v>
      </c>
      <c r="J11" s="9"/>
      <c r="K11" s="7">
        <v>44004210</v>
      </c>
      <c r="L11" s="5" t="str">
        <f t="shared" si="0"/>
        <v>BZ CAMARO TV ÜNİTESİ KİTAPLIK</v>
      </c>
      <c r="M11" s="8">
        <v>0.6</v>
      </c>
      <c r="N11" s="8">
        <v>0.55000000000000004</v>
      </c>
      <c r="O11" s="8">
        <v>77132</v>
      </c>
      <c r="P11" s="8">
        <f t="shared" si="1"/>
        <v>34709.399999999994</v>
      </c>
      <c r="Q11" s="8">
        <f t="shared" si="2"/>
        <v>77132</v>
      </c>
      <c r="R11" s="31">
        <f t="shared" si="3"/>
        <v>77100</v>
      </c>
      <c r="T11" s="12"/>
      <c r="U11" s="12">
        <v>92558</v>
      </c>
      <c r="V11" s="8">
        <f t="shared" si="4"/>
        <v>0</v>
      </c>
      <c r="W11" s="8">
        <f t="shared" si="5"/>
        <v>0</v>
      </c>
    </row>
    <row r="12" spans="1:24" ht="21.95" customHeight="1" x14ac:dyDescent="0.2">
      <c r="A12" s="5" t="s">
        <v>17</v>
      </c>
      <c r="B12" s="5" t="s">
        <v>1581</v>
      </c>
      <c r="C12" s="5" t="s">
        <v>18</v>
      </c>
      <c r="D12" s="6" t="s">
        <v>29</v>
      </c>
      <c r="E12" s="6"/>
      <c r="G12" s="6">
        <v>160</v>
      </c>
      <c r="H12" s="6">
        <v>85</v>
      </c>
      <c r="I12" s="9">
        <v>40</v>
      </c>
      <c r="J12" s="9"/>
      <c r="K12" s="7">
        <v>44004211</v>
      </c>
      <c r="L12" s="5" t="str">
        <f t="shared" si="0"/>
        <v>BZ CAMARO ORTA SEHPA</v>
      </c>
      <c r="M12" s="8">
        <v>0.6</v>
      </c>
      <c r="N12" s="8">
        <v>0.55000000000000004</v>
      </c>
      <c r="O12" s="8">
        <v>23566</v>
      </c>
      <c r="P12" s="8">
        <f t="shared" si="1"/>
        <v>10604.699999999999</v>
      </c>
      <c r="Q12" s="8">
        <f t="shared" si="2"/>
        <v>23566</v>
      </c>
      <c r="R12" s="31">
        <f t="shared" si="3"/>
        <v>23500</v>
      </c>
      <c r="T12" s="12"/>
      <c r="U12" s="12">
        <v>28279</v>
      </c>
      <c r="V12" s="8">
        <f t="shared" si="4"/>
        <v>0</v>
      </c>
      <c r="W12" s="8">
        <f t="shared" si="5"/>
        <v>0</v>
      </c>
    </row>
    <row r="13" spans="1:24" ht="21.95" customHeight="1" x14ac:dyDescent="0.2">
      <c r="A13" s="5" t="s">
        <v>17</v>
      </c>
      <c r="B13" s="5" t="s">
        <v>1581</v>
      </c>
      <c r="C13" s="5" t="s">
        <v>18</v>
      </c>
      <c r="D13" s="6" t="s">
        <v>30</v>
      </c>
      <c r="E13" s="6"/>
      <c r="G13" s="6">
        <v>47</v>
      </c>
      <c r="H13" s="6">
        <v>45</v>
      </c>
      <c r="I13" s="9">
        <v>52</v>
      </c>
      <c r="J13" s="9"/>
      <c r="K13" s="7">
        <v>44004212</v>
      </c>
      <c r="L13" s="5" t="str">
        <f t="shared" si="0"/>
        <v>BZ CAMARO YAN SEHPA</v>
      </c>
      <c r="M13" s="8">
        <v>0.6</v>
      </c>
      <c r="N13" s="8">
        <v>0.55000000000000004</v>
      </c>
      <c r="O13" s="8">
        <v>9639</v>
      </c>
      <c r="P13" s="8">
        <f t="shared" si="1"/>
        <v>4337.5499999999993</v>
      </c>
      <c r="Q13" s="8">
        <f t="shared" si="2"/>
        <v>9639</v>
      </c>
      <c r="R13" s="31">
        <f t="shared" si="3"/>
        <v>9600</v>
      </c>
      <c r="T13" s="12"/>
      <c r="U13" s="12">
        <v>11567</v>
      </c>
      <c r="V13" s="8">
        <f t="shared" si="4"/>
        <v>0</v>
      </c>
      <c r="W13" s="8">
        <f t="shared" si="5"/>
        <v>0</v>
      </c>
    </row>
    <row r="14" spans="1:24" ht="21.95" customHeight="1" x14ac:dyDescent="0.2">
      <c r="A14" s="5" t="s">
        <v>17</v>
      </c>
      <c r="B14" s="5" t="s">
        <v>1581</v>
      </c>
      <c r="C14" s="5" t="s">
        <v>18</v>
      </c>
      <c r="D14" s="6" t="s">
        <v>31</v>
      </c>
      <c r="E14" s="6"/>
      <c r="G14" s="6">
        <v>291</v>
      </c>
      <c r="H14" s="6">
        <v>110</v>
      </c>
      <c r="I14" s="9">
        <v>87</v>
      </c>
      <c r="J14" s="9"/>
      <c r="K14" s="7">
        <v>44004213</v>
      </c>
      <c r="L14" s="5" t="str">
        <f t="shared" si="0"/>
        <v>BZ CAMARO KOLTUK 4 LÜ</v>
      </c>
      <c r="M14" s="8">
        <v>0.6</v>
      </c>
      <c r="N14" s="8">
        <v>0.55000000000000004</v>
      </c>
      <c r="O14" s="8">
        <v>86616</v>
      </c>
      <c r="P14" s="8">
        <f t="shared" si="1"/>
        <v>38977.199999999997</v>
      </c>
      <c r="Q14" s="8">
        <f t="shared" si="2"/>
        <v>86616</v>
      </c>
      <c r="R14" s="31">
        <f t="shared" si="3"/>
        <v>86600</v>
      </c>
      <c r="T14" s="12"/>
      <c r="U14" s="12">
        <v>103939</v>
      </c>
      <c r="V14" s="8">
        <f t="shared" si="4"/>
        <v>0</v>
      </c>
      <c r="W14" s="8">
        <f t="shared" si="5"/>
        <v>0</v>
      </c>
    </row>
    <row r="15" spans="1:24" ht="21.95" customHeight="1" x14ac:dyDescent="0.2">
      <c r="A15" s="5" t="s">
        <v>17</v>
      </c>
      <c r="B15" s="5" t="s">
        <v>1581</v>
      </c>
      <c r="C15" s="5" t="s">
        <v>18</v>
      </c>
      <c r="D15" s="6" t="s">
        <v>32</v>
      </c>
      <c r="E15" s="6"/>
      <c r="G15" s="6">
        <v>216</v>
      </c>
      <c r="H15" s="6">
        <v>110</v>
      </c>
      <c r="I15" s="9">
        <v>87</v>
      </c>
      <c r="J15" s="9"/>
      <c r="K15" s="7">
        <v>44004214</v>
      </c>
      <c r="L15" s="5" t="str">
        <f t="shared" si="0"/>
        <v>BZ CAMARO KOLTUK 3 LÜ</v>
      </c>
      <c r="M15" s="8">
        <v>0.6</v>
      </c>
      <c r="N15" s="8">
        <v>0.55000000000000004</v>
      </c>
      <c r="O15" s="8">
        <v>65812</v>
      </c>
      <c r="P15" s="8">
        <f t="shared" si="1"/>
        <v>29615.399999999998</v>
      </c>
      <c r="Q15" s="8">
        <f t="shared" si="2"/>
        <v>65812</v>
      </c>
      <c r="R15" s="31">
        <f t="shared" si="3"/>
        <v>65800</v>
      </c>
      <c r="T15" s="12"/>
      <c r="U15" s="12">
        <v>78974</v>
      </c>
      <c r="V15" s="8">
        <f t="shared" si="4"/>
        <v>0</v>
      </c>
      <c r="W15" s="8">
        <f t="shared" si="5"/>
        <v>0</v>
      </c>
    </row>
    <row r="16" spans="1:24" ht="21.95" customHeight="1" x14ac:dyDescent="0.2">
      <c r="A16" s="5" t="s">
        <v>17</v>
      </c>
      <c r="B16" s="5" t="s">
        <v>1581</v>
      </c>
      <c r="C16" s="5" t="s">
        <v>18</v>
      </c>
      <c r="D16" s="6" t="s">
        <v>33</v>
      </c>
      <c r="E16" s="6"/>
      <c r="G16" s="6">
        <v>80</v>
      </c>
      <c r="H16" s="6">
        <v>86</v>
      </c>
      <c r="I16" s="9">
        <v>93</v>
      </c>
      <c r="J16" s="9"/>
      <c r="K16" s="7">
        <v>44004215</v>
      </c>
      <c r="L16" s="5" t="str">
        <f t="shared" si="0"/>
        <v>BZ CAMARO BERJER</v>
      </c>
      <c r="M16" s="8">
        <v>0.6</v>
      </c>
      <c r="N16" s="8">
        <v>0.55000000000000004</v>
      </c>
      <c r="O16" s="8">
        <v>37161</v>
      </c>
      <c r="P16" s="8">
        <f t="shared" si="1"/>
        <v>16722.449999999997</v>
      </c>
      <c r="Q16" s="8">
        <f t="shared" si="2"/>
        <v>37161</v>
      </c>
      <c r="R16" s="31">
        <f t="shared" si="3"/>
        <v>37100</v>
      </c>
      <c r="T16" s="12"/>
      <c r="U16" s="12">
        <v>44593</v>
      </c>
      <c r="V16" s="8">
        <f t="shared" si="4"/>
        <v>0</v>
      </c>
      <c r="W16" s="8">
        <f t="shared" si="5"/>
        <v>0</v>
      </c>
    </row>
    <row r="17" spans="1:23" ht="21.95" customHeight="1" x14ac:dyDescent="0.2">
      <c r="A17" s="5" t="s">
        <v>17</v>
      </c>
      <c r="B17" s="5" t="s">
        <v>1581</v>
      </c>
      <c r="C17" s="5" t="s">
        <v>18</v>
      </c>
      <c r="D17" s="6" t="s">
        <v>34</v>
      </c>
      <c r="E17" s="6"/>
      <c r="G17" s="6">
        <v>75</v>
      </c>
      <c r="H17" s="6">
        <v>110</v>
      </c>
      <c r="I17" s="9">
        <v>87</v>
      </c>
      <c r="J17" s="9"/>
      <c r="K17" s="7">
        <v>44004216</v>
      </c>
      <c r="L17" s="5" t="str">
        <f t="shared" si="0"/>
        <v>BZ CAMARO TEKLİ ARA MODÜL</v>
      </c>
      <c r="M17" s="8">
        <v>0.6</v>
      </c>
      <c r="N17" s="8">
        <v>0.55000000000000004</v>
      </c>
      <c r="O17" s="8">
        <v>20804</v>
      </c>
      <c r="P17" s="8">
        <f t="shared" si="1"/>
        <v>9361.7999999999993</v>
      </c>
      <c r="Q17" s="8">
        <f t="shared" si="2"/>
        <v>20804</v>
      </c>
      <c r="R17" s="31">
        <f t="shared" si="3"/>
        <v>20800</v>
      </c>
      <c r="T17" s="12"/>
      <c r="U17" s="12">
        <v>24965</v>
      </c>
      <c r="V17" s="8">
        <f t="shared" si="4"/>
        <v>0</v>
      </c>
      <c r="W17" s="8">
        <f t="shared" si="5"/>
        <v>0</v>
      </c>
    </row>
    <row r="18" spans="1:23" ht="21.95" customHeight="1" x14ac:dyDescent="0.2">
      <c r="A18" s="5" t="s">
        <v>17</v>
      </c>
      <c r="B18" s="5" t="s">
        <v>1581</v>
      </c>
      <c r="C18" s="5" t="s">
        <v>18</v>
      </c>
      <c r="D18" s="6" t="s">
        <v>35</v>
      </c>
      <c r="E18" s="6"/>
      <c r="G18" s="6">
        <v>110</v>
      </c>
      <c r="H18" s="6">
        <v>110</v>
      </c>
      <c r="I18" s="9">
        <v>50</v>
      </c>
      <c r="J18" s="9"/>
      <c r="K18" s="7">
        <v>44004217</v>
      </c>
      <c r="L18" s="5" t="str">
        <f t="shared" si="0"/>
        <v>BZ CAMARO YARIM SEHPALI MODÜL</v>
      </c>
      <c r="M18" s="8">
        <v>0.6</v>
      </c>
      <c r="N18" s="8">
        <v>0.55000000000000004</v>
      </c>
      <c r="O18" s="8">
        <v>28788</v>
      </c>
      <c r="P18" s="8">
        <f t="shared" si="1"/>
        <v>12954.599999999999</v>
      </c>
      <c r="Q18" s="8">
        <f t="shared" si="2"/>
        <v>28788</v>
      </c>
      <c r="R18" s="31">
        <f t="shared" si="3"/>
        <v>28700</v>
      </c>
      <c r="T18" s="12"/>
      <c r="U18" s="12">
        <v>34546</v>
      </c>
      <c r="V18" s="8">
        <f t="shared" si="4"/>
        <v>0</v>
      </c>
      <c r="W18" s="8">
        <f t="shared" si="5"/>
        <v>0</v>
      </c>
    </row>
    <row r="19" spans="1:23" ht="21.95" customHeight="1" x14ac:dyDescent="0.2">
      <c r="A19" s="5" t="s">
        <v>17</v>
      </c>
      <c r="B19" s="5" t="s">
        <v>1581</v>
      </c>
      <c r="C19" s="5" t="s">
        <v>18</v>
      </c>
      <c r="D19" s="6" t="s">
        <v>36</v>
      </c>
      <c r="E19" s="6"/>
      <c r="G19" s="6">
        <v>110</v>
      </c>
      <c r="H19" s="6">
        <v>110</v>
      </c>
      <c r="I19" s="9">
        <v>50</v>
      </c>
      <c r="J19" s="9"/>
      <c r="K19" s="7">
        <v>44004218</v>
      </c>
      <c r="L19" s="5" t="str">
        <f t="shared" si="0"/>
        <v>BZ CAMARO TAM KÖŞE SEHPALI MODÜL</v>
      </c>
      <c r="M19" s="8">
        <v>0.6</v>
      </c>
      <c r="N19" s="8">
        <v>0.55000000000000004</v>
      </c>
      <c r="O19" s="8">
        <v>37056</v>
      </c>
      <c r="P19" s="8">
        <f t="shared" si="1"/>
        <v>16675.199999999997</v>
      </c>
      <c r="Q19" s="8">
        <f t="shared" si="2"/>
        <v>37056</v>
      </c>
      <c r="R19" s="31">
        <f t="shared" si="3"/>
        <v>37000</v>
      </c>
      <c r="T19" s="12"/>
      <c r="U19" s="12">
        <v>44467</v>
      </c>
      <c r="V19" s="8">
        <f t="shared" si="4"/>
        <v>0</v>
      </c>
      <c r="W19" s="8">
        <f t="shared" si="5"/>
        <v>0</v>
      </c>
    </row>
    <row r="20" spans="1:23" ht="21.95" customHeight="1" x14ac:dyDescent="0.2">
      <c r="A20" s="5" t="s">
        <v>17</v>
      </c>
      <c r="B20" s="5" t="s">
        <v>1581</v>
      </c>
      <c r="C20" s="5" t="s">
        <v>18</v>
      </c>
      <c r="D20" s="6" t="s">
        <v>37</v>
      </c>
      <c r="E20" s="6"/>
      <c r="G20" s="6">
        <v>108</v>
      </c>
      <c r="H20" s="6">
        <v>110</v>
      </c>
      <c r="I20" s="9">
        <v>87</v>
      </c>
      <c r="J20" s="9"/>
      <c r="K20" s="7">
        <v>44004219</v>
      </c>
      <c r="L20" s="5" t="str">
        <f t="shared" si="0"/>
        <v>BZ CAMARO TEKLİ SAĞ KOLLU MODÜL</v>
      </c>
      <c r="M20" s="8">
        <v>0.6</v>
      </c>
      <c r="N20" s="8">
        <v>0.55000000000000004</v>
      </c>
      <c r="O20" s="8">
        <v>32906</v>
      </c>
      <c r="P20" s="8">
        <f t="shared" si="1"/>
        <v>14807.699999999999</v>
      </c>
      <c r="Q20" s="8">
        <f t="shared" si="2"/>
        <v>32906</v>
      </c>
      <c r="R20" s="31">
        <f t="shared" si="3"/>
        <v>32900</v>
      </c>
      <c r="T20" s="12"/>
      <c r="U20" s="12">
        <v>39487</v>
      </c>
      <c r="V20" s="8">
        <f t="shared" si="4"/>
        <v>0</v>
      </c>
      <c r="W20" s="8">
        <f t="shared" si="5"/>
        <v>0</v>
      </c>
    </row>
    <row r="21" spans="1:23" ht="21.95" customHeight="1" x14ac:dyDescent="0.2">
      <c r="A21" s="5" t="s">
        <v>17</v>
      </c>
      <c r="B21" s="5" t="s">
        <v>1581</v>
      </c>
      <c r="C21" s="5" t="s">
        <v>18</v>
      </c>
      <c r="D21" s="6" t="s">
        <v>38</v>
      </c>
      <c r="E21" s="6"/>
      <c r="G21" s="6">
        <v>108</v>
      </c>
      <c r="H21" s="6">
        <v>110</v>
      </c>
      <c r="I21" s="9">
        <v>87</v>
      </c>
      <c r="J21" s="9"/>
      <c r="K21" s="7">
        <v>44004220</v>
      </c>
      <c r="L21" s="5" t="str">
        <f t="shared" si="0"/>
        <v>BZ CAMARO TEKLİ SOL KOLLU MODÜL</v>
      </c>
      <c r="M21" s="8">
        <v>0.6</v>
      </c>
      <c r="N21" s="8">
        <v>0.55000000000000004</v>
      </c>
      <c r="O21" s="8">
        <v>32906</v>
      </c>
      <c r="P21" s="8">
        <f t="shared" si="1"/>
        <v>14807.699999999999</v>
      </c>
      <c r="Q21" s="8">
        <f t="shared" si="2"/>
        <v>32906</v>
      </c>
      <c r="R21" s="31">
        <f t="shared" si="3"/>
        <v>32900</v>
      </c>
      <c r="T21" s="12"/>
      <c r="U21" s="12">
        <v>39487</v>
      </c>
      <c r="V21" s="8">
        <f t="shared" si="4"/>
        <v>0</v>
      </c>
      <c r="W21" s="8">
        <f t="shared" si="5"/>
        <v>0</v>
      </c>
    </row>
    <row r="22" spans="1:23" ht="21.95" customHeight="1" x14ac:dyDescent="0.2">
      <c r="A22" s="5" t="s">
        <v>17</v>
      </c>
      <c r="B22" s="5" t="s">
        <v>1581</v>
      </c>
      <c r="C22" s="5" t="s">
        <v>39</v>
      </c>
      <c r="D22" s="6" t="s">
        <v>19</v>
      </c>
      <c r="E22" s="6"/>
      <c r="G22" s="6">
        <v>220</v>
      </c>
      <c r="H22" s="6">
        <v>49</v>
      </c>
      <c r="I22" s="9">
        <v>80</v>
      </c>
      <c r="J22" s="9"/>
      <c r="K22" s="7">
        <v>44004221</v>
      </c>
      <c r="L22" s="5" t="str">
        <f t="shared" si="0"/>
        <v>BZ CORVETTE KONSOL 4 KAPAKLI</v>
      </c>
      <c r="M22" s="8">
        <v>0.6</v>
      </c>
      <c r="N22" s="8">
        <v>0.55000000000000004</v>
      </c>
      <c r="O22" s="8">
        <v>73243</v>
      </c>
      <c r="P22" s="8">
        <f t="shared" si="1"/>
        <v>32959.35</v>
      </c>
      <c r="Q22" s="8">
        <f t="shared" si="2"/>
        <v>73243</v>
      </c>
      <c r="R22" s="31">
        <f t="shared" si="3"/>
        <v>73200</v>
      </c>
      <c r="T22" s="12"/>
      <c r="U22" s="12">
        <v>87892</v>
      </c>
      <c r="V22" s="8">
        <f t="shared" si="4"/>
        <v>0</v>
      </c>
      <c r="W22" s="8">
        <f t="shared" si="5"/>
        <v>0</v>
      </c>
    </row>
    <row r="23" spans="1:23" ht="21.95" customHeight="1" x14ac:dyDescent="0.2">
      <c r="A23" s="5" t="s">
        <v>17</v>
      </c>
      <c r="B23" s="5" t="s">
        <v>1581</v>
      </c>
      <c r="C23" s="5" t="s">
        <v>39</v>
      </c>
      <c r="D23" s="6" t="s">
        <v>20</v>
      </c>
      <c r="E23" s="6"/>
      <c r="G23" s="6">
        <v>170</v>
      </c>
      <c r="H23" s="6">
        <v>49</v>
      </c>
      <c r="I23" s="9">
        <v>83</v>
      </c>
      <c r="J23" s="9"/>
      <c r="K23" s="7">
        <v>44004222</v>
      </c>
      <c r="L23" s="5" t="str">
        <f t="shared" si="0"/>
        <v>BZ CORVETTE KONSOL 3 KAPAKLI</v>
      </c>
      <c r="M23" s="8">
        <v>0.6</v>
      </c>
      <c r="N23" s="8">
        <v>0.55000000000000004</v>
      </c>
      <c r="O23" s="8">
        <v>73243</v>
      </c>
      <c r="P23" s="8">
        <f t="shared" si="1"/>
        <v>32959.35</v>
      </c>
      <c r="Q23" s="8">
        <f t="shared" si="2"/>
        <v>73243</v>
      </c>
      <c r="R23" s="31">
        <f t="shared" si="3"/>
        <v>73200</v>
      </c>
      <c r="T23" s="12"/>
      <c r="U23" s="12">
        <v>87892</v>
      </c>
      <c r="V23" s="8">
        <f t="shared" si="4"/>
        <v>0</v>
      </c>
      <c r="W23" s="8">
        <f t="shared" si="5"/>
        <v>0</v>
      </c>
    </row>
    <row r="24" spans="1:23" ht="21.95" customHeight="1" x14ac:dyDescent="0.2">
      <c r="A24" s="5" t="s">
        <v>17</v>
      </c>
      <c r="B24" s="5" t="s">
        <v>1581</v>
      </c>
      <c r="C24" s="5" t="s">
        <v>39</v>
      </c>
      <c r="D24" s="6" t="s">
        <v>21</v>
      </c>
      <c r="E24" s="6"/>
      <c r="G24" s="6">
        <v>91</v>
      </c>
      <c r="H24" s="6">
        <v>4</v>
      </c>
      <c r="I24" s="9">
        <v>84</v>
      </c>
      <c r="J24" s="9"/>
      <c r="K24" s="7">
        <v>44004223</v>
      </c>
      <c r="L24" s="5" t="str">
        <f t="shared" si="0"/>
        <v>BZ CORVETTE KONSOL AYNASI</v>
      </c>
      <c r="M24" s="8">
        <v>0.6</v>
      </c>
      <c r="N24" s="8">
        <v>0.55000000000000004</v>
      </c>
      <c r="O24" s="8">
        <v>23828</v>
      </c>
      <c r="P24" s="8">
        <f t="shared" si="1"/>
        <v>10722.599999999999</v>
      </c>
      <c r="Q24" s="8">
        <f t="shared" si="2"/>
        <v>23828</v>
      </c>
      <c r="R24" s="31">
        <f t="shared" si="3"/>
        <v>23800</v>
      </c>
      <c r="T24" s="12"/>
      <c r="U24" s="12">
        <v>28594</v>
      </c>
      <c r="V24" s="8">
        <f t="shared" si="4"/>
        <v>0</v>
      </c>
      <c r="W24" s="8">
        <f t="shared" si="5"/>
        <v>0</v>
      </c>
    </row>
    <row r="25" spans="1:23" ht="21.95" customHeight="1" x14ac:dyDescent="0.2">
      <c r="A25" s="5" t="s">
        <v>17</v>
      </c>
      <c r="B25" s="5" t="s">
        <v>1581</v>
      </c>
      <c r="C25" s="5" t="s">
        <v>39</v>
      </c>
      <c r="D25" s="6" t="s">
        <v>22</v>
      </c>
      <c r="E25" s="6"/>
      <c r="G25" s="6">
        <v>160</v>
      </c>
      <c r="H25" s="6">
        <v>100</v>
      </c>
      <c r="I25" s="9">
        <v>76</v>
      </c>
      <c r="J25" s="9"/>
      <c r="K25" s="7">
        <v>44004224</v>
      </c>
      <c r="L25" s="5" t="str">
        <f t="shared" si="0"/>
        <v>BZ CORVETTE MASA 160CM</v>
      </c>
      <c r="M25" s="8">
        <v>0.6</v>
      </c>
      <c r="N25" s="8">
        <v>0.55000000000000004</v>
      </c>
      <c r="O25" s="8">
        <v>62944</v>
      </c>
      <c r="P25" s="8">
        <f t="shared" si="1"/>
        <v>28324.799999999996</v>
      </c>
      <c r="Q25" s="8">
        <f t="shared" si="2"/>
        <v>62944</v>
      </c>
      <c r="R25" s="31">
        <f t="shared" si="3"/>
        <v>62900</v>
      </c>
      <c r="T25" s="12"/>
      <c r="U25" s="12">
        <v>75533</v>
      </c>
      <c r="V25" s="8">
        <f t="shared" si="4"/>
        <v>0</v>
      </c>
      <c r="W25" s="8">
        <f t="shared" si="5"/>
        <v>0</v>
      </c>
    </row>
    <row r="26" spans="1:23" ht="21.95" customHeight="1" x14ac:dyDescent="0.2">
      <c r="A26" s="5" t="s">
        <v>17</v>
      </c>
      <c r="B26" s="5" t="s">
        <v>1581</v>
      </c>
      <c r="C26" s="5" t="s">
        <v>39</v>
      </c>
      <c r="D26" s="6" t="s">
        <v>23</v>
      </c>
      <c r="E26" s="6"/>
      <c r="G26" s="6">
        <v>200</v>
      </c>
      <c r="H26" s="6">
        <v>100</v>
      </c>
      <c r="I26" s="9">
        <v>76</v>
      </c>
      <c r="J26" s="9"/>
      <c r="K26" s="7">
        <v>44004225</v>
      </c>
      <c r="L26" s="5" t="str">
        <f t="shared" si="0"/>
        <v>BZ CORVETTE MASA 200CM</v>
      </c>
      <c r="M26" s="8">
        <v>0.6</v>
      </c>
      <c r="N26" s="8">
        <v>0.55000000000000004</v>
      </c>
      <c r="O26" s="8">
        <v>62944</v>
      </c>
      <c r="P26" s="8">
        <f t="shared" si="1"/>
        <v>28324.799999999996</v>
      </c>
      <c r="Q26" s="8">
        <f t="shared" si="2"/>
        <v>62944</v>
      </c>
      <c r="R26" s="31">
        <f t="shared" si="3"/>
        <v>62900</v>
      </c>
      <c r="T26" s="12"/>
      <c r="U26" s="12">
        <v>75533</v>
      </c>
      <c r="V26" s="8">
        <f t="shared" si="4"/>
        <v>0</v>
      </c>
      <c r="W26" s="8">
        <f t="shared" si="5"/>
        <v>0</v>
      </c>
    </row>
    <row r="27" spans="1:23" ht="21.95" customHeight="1" x14ac:dyDescent="0.2">
      <c r="A27" s="5" t="s">
        <v>17</v>
      </c>
      <c r="B27" s="5" t="s">
        <v>1581</v>
      </c>
      <c r="C27" s="5" t="s">
        <v>39</v>
      </c>
      <c r="D27" s="6" t="s">
        <v>24</v>
      </c>
      <c r="E27" s="6"/>
      <c r="G27" s="6">
        <v>240</v>
      </c>
      <c r="H27" s="6">
        <v>110</v>
      </c>
      <c r="I27" s="9">
        <v>76</v>
      </c>
      <c r="J27" s="9"/>
      <c r="K27" s="7">
        <v>44004226</v>
      </c>
      <c r="L27" s="5" t="str">
        <f t="shared" si="0"/>
        <v>BZ CORVETTE MASA 240CM</v>
      </c>
      <c r="M27" s="8">
        <v>0.6</v>
      </c>
      <c r="N27" s="8">
        <v>0.55000000000000004</v>
      </c>
      <c r="O27" s="8">
        <v>69239</v>
      </c>
      <c r="P27" s="8">
        <f t="shared" si="1"/>
        <v>31157.549999999996</v>
      </c>
      <c r="Q27" s="8">
        <f t="shared" si="2"/>
        <v>69239</v>
      </c>
      <c r="R27" s="31">
        <f t="shared" si="3"/>
        <v>69200</v>
      </c>
      <c r="T27" s="12"/>
      <c r="U27" s="12">
        <v>83087</v>
      </c>
      <c r="V27" s="8">
        <f t="shared" si="4"/>
        <v>0</v>
      </c>
      <c r="W27" s="8">
        <f t="shared" si="5"/>
        <v>0</v>
      </c>
    </row>
    <row r="28" spans="1:23" ht="21.95" customHeight="1" x14ac:dyDescent="0.2">
      <c r="A28" s="5" t="s">
        <v>17</v>
      </c>
      <c r="B28" s="5" t="s">
        <v>1581</v>
      </c>
      <c r="C28" s="5" t="s">
        <v>39</v>
      </c>
      <c r="D28" s="6" t="s">
        <v>25</v>
      </c>
      <c r="E28" s="6"/>
      <c r="G28" s="6">
        <v>65</v>
      </c>
      <c r="H28" s="6">
        <v>50</v>
      </c>
      <c r="I28" s="9">
        <v>85</v>
      </c>
      <c r="J28" s="9"/>
      <c r="K28" s="7">
        <v>44004227</v>
      </c>
      <c r="L28" s="5" t="str">
        <f t="shared" si="0"/>
        <v>BZ CORVETTE SANDALYE</v>
      </c>
      <c r="M28" s="8">
        <v>0.6</v>
      </c>
      <c r="N28" s="8">
        <v>0.55000000000000004</v>
      </c>
      <c r="O28" s="8">
        <v>18455</v>
      </c>
      <c r="P28" s="8">
        <f t="shared" si="1"/>
        <v>8304.75</v>
      </c>
      <c r="Q28" s="8">
        <f t="shared" si="2"/>
        <v>18455</v>
      </c>
      <c r="R28" s="31">
        <f t="shared" si="3"/>
        <v>18400</v>
      </c>
      <c r="T28" s="12"/>
      <c r="U28" s="12">
        <v>22146</v>
      </c>
      <c r="V28" s="8">
        <f t="shared" si="4"/>
        <v>0</v>
      </c>
      <c r="W28" s="8">
        <f t="shared" si="5"/>
        <v>0</v>
      </c>
    </row>
    <row r="29" spans="1:23" ht="21.95" customHeight="1" x14ac:dyDescent="0.2">
      <c r="A29" s="5" t="s">
        <v>17</v>
      </c>
      <c r="B29" s="5" t="s">
        <v>1581</v>
      </c>
      <c r="C29" s="5" t="s">
        <v>39</v>
      </c>
      <c r="D29" s="6" t="s">
        <v>26</v>
      </c>
      <c r="E29" s="6"/>
      <c r="G29" s="6">
        <v>220</v>
      </c>
      <c r="H29" s="6">
        <v>49</v>
      </c>
      <c r="I29" s="9">
        <v>58</v>
      </c>
      <c r="J29" s="9"/>
      <c r="K29" s="7">
        <v>44004228</v>
      </c>
      <c r="L29" s="5" t="str">
        <f t="shared" si="0"/>
        <v>BZ CORVETTE TV ÜNİTESİ ALT BLOK 4 KAPAKLI</v>
      </c>
      <c r="M29" s="8">
        <v>0.6</v>
      </c>
      <c r="N29" s="8">
        <v>0.55000000000000004</v>
      </c>
      <c r="O29" s="8">
        <v>64118</v>
      </c>
      <c r="P29" s="8">
        <f t="shared" si="1"/>
        <v>28853.1</v>
      </c>
      <c r="Q29" s="8">
        <f t="shared" si="2"/>
        <v>64118</v>
      </c>
      <c r="R29" s="31">
        <f t="shared" si="3"/>
        <v>64100</v>
      </c>
      <c r="T29" s="12"/>
      <c r="U29" s="12">
        <v>76942</v>
      </c>
      <c r="V29" s="8">
        <f t="shared" si="4"/>
        <v>0</v>
      </c>
      <c r="W29" s="8">
        <f t="shared" si="5"/>
        <v>0</v>
      </c>
    </row>
    <row r="30" spans="1:23" ht="21.95" customHeight="1" x14ac:dyDescent="0.2">
      <c r="A30" s="5" t="s">
        <v>17</v>
      </c>
      <c r="B30" s="5" t="s">
        <v>1581</v>
      </c>
      <c r="C30" s="5" t="s">
        <v>39</v>
      </c>
      <c r="D30" s="6" t="s">
        <v>27</v>
      </c>
      <c r="E30" s="6"/>
      <c r="G30" s="6">
        <v>170</v>
      </c>
      <c r="H30" s="6">
        <v>49</v>
      </c>
      <c r="I30" s="9">
        <v>58</v>
      </c>
      <c r="J30" s="9"/>
      <c r="K30" s="7">
        <v>44004229</v>
      </c>
      <c r="L30" s="5" t="str">
        <f t="shared" si="0"/>
        <v>BZ CORVETTE TV ÜNİTESİ ALT BLOK 3 KAPAKLI</v>
      </c>
      <c r="M30" s="8">
        <v>0.6</v>
      </c>
      <c r="N30" s="8">
        <v>0.55000000000000004</v>
      </c>
      <c r="O30" s="8">
        <v>64118</v>
      </c>
      <c r="P30" s="8">
        <f t="shared" si="1"/>
        <v>28853.1</v>
      </c>
      <c r="Q30" s="8">
        <f t="shared" si="2"/>
        <v>64118</v>
      </c>
      <c r="R30" s="31">
        <f t="shared" si="3"/>
        <v>64100</v>
      </c>
      <c r="T30" s="12"/>
      <c r="U30" s="12">
        <v>76942</v>
      </c>
      <c r="V30" s="8">
        <f t="shared" si="4"/>
        <v>0</v>
      </c>
      <c r="W30" s="8">
        <f t="shared" si="5"/>
        <v>0</v>
      </c>
    </row>
    <row r="31" spans="1:23" ht="21.95" customHeight="1" x14ac:dyDescent="0.2">
      <c r="A31" s="5" t="s">
        <v>17</v>
      </c>
      <c r="B31" s="5" t="s">
        <v>1581</v>
      </c>
      <c r="C31" s="5" t="s">
        <v>39</v>
      </c>
      <c r="D31" s="6" t="s">
        <v>28</v>
      </c>
      <c r="E31" s="6"/>
      <c r="G31" s="6">
        <v>106</v>
      </c>
      <c r="H31" s="6">
        <v>49</v>
      </c>
      <c r="I31" s="9">
        <v>205</v>
      </c>
      <c r="J31" s="9"/>
      <c r="K31" s="7">
        <v>44004230</v>
      </c>
      <c r="L31" s="5" t="str">
        <f t="shared" si="0"/>
        <v>BZ CORVETTE TV ÜNİTESİ KİTAPLIK</v>
      </c>
      <c r="M31" s="8">
        <v>0.6</v>
      </c>
      <c r="N31" s="8">
        <v>0.55000000000000004</v>
      </c>
      <c r="O31" s="8">
        <v>58395</v>
      </c>
      <c r="P31" s="8">
        <f t="shared" si="1"/>
        <v>26277.749999999996</v>
      </c>
      <c r="Q31" s="8">
        <f t="shared" si="2"/>
        <v>58395</v>
      </c>
      <c r="R31" s="31">
        <f t="shared" si="3"/>
        <v>58300</v>
      </c>
      <c r="T31" s="12"/>
      <c r="U31" s="12">
        <v>70074</v>
      </c>
      <c r="V31" s="8">
        <f t="shared" si="4"/>
        <v>0</v>
      </c>
      <c r="W31" s="8">
        <f t="shared" si="5"/>
        <v>0</v>
      </c>
    </row>
    <row r="32" spans="1:23" ht="21.95" customHeight="1" x14ac:dyDescent="0.2">
      <c r="A32" s="5" t="s">
        <v>17</v>
      </c>
      <c r="B32" s="5" t="s">
        <v>1581</v>
      </c>
      <c r="C32" s="5" t="s">
        <v>39</v>
      </c>
      <c r="D32" s="6" t="s">
        <v>29</v>
      </c>
      <c r="E32" s="6"/>
      <c r="G32" s="6">
        <v>160</v>
      </c>
      <c r="H32" s="6">
        <v>85</v>
      </c>
      <c r="I32" s="9">
        <v>40</v>
      </c>
      <c r="J32" s="9"/>
      <c r="K32" s="7">
        <v>44004231</v>
      </c>
      <c r="L32" s="5" t="str">
        <f t="shared" si="0"/>
        <v>BZ CORVETTE ORTA SEHPA</v>
      </c>
      <c r="M32" s="8">
        <v>0.6</v>
      </c>
      <c r="N32" s="8">
        <v>0.55000000000000004</v>
      </c>
      <c r="O32" s="8">
        <v>33097</v>
      </c>
      <c r="P32" s="8">
        <f t="shared" si="1"/>
        <v>14893.649999999998</v>
      </c>
      <c r="Q32" s="8">
        <f t="shared" si="2"/>
        <v>33097</v>
      </c>
      <c r="R32" s="31">
        <f t="shared" si="3"/>
        <v>33000</v>
      </c>
      <c r="T32" s="12"/>
      <c r="U32" s="12">
        <v>39716</v>
      </c>
      <c r="V32" s="8">
        <f t="shared" si="4"/>
        <v>0</v>
      </c>
      <c r="W32" s="8">
        <f t="shared" si="5"/>
        <v>0</v>
      </c>
    </row>
    <row r="33" spans="1:23" ht="21.95" customHeight="1" x14ac:dyDescent="0.2">
      <c r="A33" s="5" t="s">
        <v>17</v>
      </c>
      <c r="B33" s="5" t="s">
        <v>1581</v>
      </c>
      <c r="C33" s="5" t="s">
        <v>39</v>
      </c>
      <c r="D33" s="6" t="s">
        <v>30</v>
      </c>
      <c r="E33" s="6"/>
      <c r="G33" s="6">
        <v>47</v>
      </c>
      <c r="H33" s="6">
        <v>45</v>
      </c>
      <c r="I33" s="9">
        <v>52</v>
      </c>
      <c r="J33" s="9"/>
      <c r="K33" s="7">
        <v>44004232</v>
      </c>
      <c r="L33" s="5" t="str">
        <f t="shared" si="0"/>
        <v>BZ CORVETTE YAN SEHPA</v>
      </c>
      <c r="M33" s="8">
        <v>0.6</v>
      </c>
      <c r="N33" s="8">
        <v>0.55000000000000004</v>
      </c>
      <c r="O33" s="8">
        <v>11092</v>
      </c>
      <c r="P33" s="8">
        <f t="shared" si="1"/>
        <v>4991.3999999999996</v>
      </c>
      <c r="Q33" s="8">
        <f t="shared" si="2"/>
        <v>11092</v>
      </c>
      <c r="R33" s="31">
        <f t="shared" si="3"/>
        <v>11000</v>
      </c>
      <c r="T33" s="12"/>
      <c r="U33" s="12">
        <v>13310</v>
      </c>
      <c r="V33" s="8">
        <f t="shared" si="4"/>
        <v>0</v>
      </c>
      <c r="W33" s="8">
        <f t="shared" si="5"/>
        <v>0</v>
      </c>
    </row>
    <row r="34" spans="1:23" ht="21.95" customHeight="1" x14ac:dyDescent="0.2">
      <c r="A34" s="5" t="s">
        <v>17</v>
      </c>
      <c r="B34" s="5" t="s">
        <v>1581</v>
      </c>
      <c r="C34" s="5" t="s">
        <v>39</v>
      </c>
      <c r="D34" s="6" t="s">
        <v>40</v>
      </c>
      <c r="E34" s="6"/>
      <c r="G34" s="6">
        <v>47</v>
      </c>
      <c r="H34" s="6">
        <v>45</v>
      </c>
      <c r="I34" s="9">
        <v>52</v>
      </c>
      <c r="J34" s="9"/>
      <c r="K34" s="7">
        <v>44004233</v>
      </c>
      <c r="L34" s="5" t="str">
        <f t="shared" si="0"/>
        <v>BZ CORVETTE BÜYÜK YAN SEHPA</v>
      </c>
      <c r="M34" s="8">
        <v>0.6</v>
      </c>
      <c r="N34" s="8">
        <v>0.55000000000000004</v>
      </c>
      <c r="O34" s="8">
        <v>14024</v>
      </c>
      <c r="P34" s="8">
        <f t="shared" si="1"/>
        <v>6310.7999999999993</v>
      </c>
      <c r="Q34" s="8">
        <f t="shared" si="2"/>
        <v>14024</v>
      </c>
      <c r="R34" s="31">
        <f t="shared" si="3"/>
        <v>14000</v>
      </c>
      <c r="T34" s="12"/>
      <c r="U34" s="12">
        <v>16829</v>
      </c>
      <c r="V34" s="8">
        <f t="shared" si="4"/>
        <v>0</v>
      </c>
      <c r="W34" s="8">
        <f t="shared" si="5"/>
        <v>0</v>
      </c>
    </row>
    <row r="35" spans="1:23" ht="21.95" customHeight="1" x14ac:dyDescent="0.2">
      <c r="A35" s="5" t="s">
        <v>17</v>
      </c>
      <c r="B35" s="5" t="s">
        <v>1581</v>
      </c>
      <c r="C35" s="5" t="s">
        <v>39</v>
      </c>
      <c r="D35" s="6" t="s">
        <v>31</v>
      </c>
      <c r="E35" s="6"/>
      <c r="G35" s="6">
        <v>291</v>
      </c>
      <c r="H35" s="6">
        <v>110</v>
      </c>
      <c r="I35" s="9">
        <v>87</v>
      </c>
      <c r="J35" s="9"/>
      <c r="K35" s="7">
        <v>44004234</v>
      </c>
      <c r="L35" s="5" t="str">
        <f t="shared" si="0"/>
        <v>BZ CORVETTE KOLTUK 4 LÜ</v>
      </c>
      <c r="M35" s="8">
        <v>0.6</v>
      </c>
      <c r="N35" s="8">
        <v>0.55000000000000004</v>
      </c>
      <c r="O35" s="8">
        <v>105060</v>
      </c>
      <c r="P35" s="8">
        <f t="shared" si="1"/>
        <v>47276.999999999993</v>
      </c>
      <c r="Q35" s="8">
        <f t="shared" si="2"/>
        <v>105060</v>
      </c>
      <c r="R35" s="31">
        <f t="shared" si="3"/>
        <v>105000</v>
      </c>
      <c r="T35" s="12"/>
      <c r="U35" s="12">
        <v>126072</v>
      </c>
      <c r="V35" s="8">
        <f t="shared" si="4"/>
        <v>0</v>
      </c>
      <c r="W35" s="8">
        <f t="shared" si="5"/>
        <v>0</v>
      </c>
    </row>
    <row r="36" spans="1:23" ht="21.95" customHeight="1" x14ac:dyDescent="0.2">
      <c r="A36" s="5" t="s">
        <v>17</v>
      </c>
      <c r="B36" s="5" t="s">
        <v>1581</v>
      </c>
      <c r="C36" s="5" t="s">
        <v>39</v>
      </c>
      <c r="D36" s="6" t="s">
        <v>32</v>
      </c>
      <c r="E36" s="6"/>
      <c r="G36" s="6">
        <v>216</v>
      </c>
      <c r="H36" s="6">
        <v>110</v>
      </c>
      <c r="I36" s="9">
        <v>87</v>
      </c>
      <c r="J36" s="9"/>
      <c r="K36" s="7">
        <v>44004235</v>
      </c>
      <c r="L36" s="5" t="str">
        <f t="shared" si="0"/>
        <v>BZ CORVETTE KOLTUK 3 LÜ</v>
      </c>
      <c r="M36" s="8">
        <v>0.6</v>
      </c>
      <c r="N36" s="8">
        <v>0.55000000000000004</v>
      </c>
      <c r="O36" s="8">
        <v>78440</v>
      </c>
      <c r="P36" s="8">
        <f t="shared" si="1"/>
        <v>35298</v>
      </c>
      <c r="Q36" s="8">
        <f t="shared" si="2"/>
        <v>78440</v>
      </c>
      <c r="R36" s="31">
        <f t="shared" si="3"/>
        <v>78400</v>
      </c>
      <c r="T36" s="12"/>
      <c r="U36" s="12">
        <v>94127</v>
      </c>
      <c r="V36" s="8">
        <f t="shared" si="4"/>
        <v>0</v>
      </c>
      <c r="W36" s="8">
        <f t="shared" si="5"/>
        <v>0</v>
      </c>
    </row>
    <row r="37" spans="1:23" ht="21.95" customHeight="1" x14ac:dyDescent="0.2">
      <c r="A37" s="5" t="s">
        <v>17</v>
      </c>
      <c r="B37" s="5" t="s">
        <v>1581</v>
      </c>
      <c r="C37" s="5" t="s">
        <v>39</v>
      </c>
      <c r="D37" s="6" t="s">
        <v>33</v>
      </c>
      <c r="E37" s="6"/>
      <c r="G37" s="6">
        <v>80</v>
      </c>
      <c r="H37" s="6">
        <v>86</v>
      </c>
      <c r="I37" s="9">
        <v>93</v>
      </c>
      <c r="J37" s="9"/>
      <c r="K37" s="7">
        <v>44004236</v>
      </c>
      <c r="L37" s="5" t="str">
        <f t="shared" si="0"/>
        <v>BZ CORVETTE BERJER</v>
      </c>
      <c r="M37" s="8">
        <v>0.6</v>
      </c>
      <c r="N37" s="8">
        <v>0.55000000000000004</v>
      </c>
      <c r="O37" s="8">
        <v>30606</v>
      </c>
      <c r="P37" s="8">
        <f t="shared" si="1"/>
        <v>13772.699999999999</v>
      </c>
      <c r="Q37" s="8">
        <f t="shared" si="2"/>
        <v>30606</v>
      </c>
      <c r="R37" s="31">
        <f t="shared" si="3"/>
        <v>30600</v>
      </c>
      <c r="T37" s="12"/>
      <c r="U37" s="12">
        <v>36727</v>
      </c>
      <c r="V37" s="8">
        <f t="shared" si="4"/>
        <v>0</v>
      </c>
      <c r="W37" s="8">
        <f t="shared" si="5"/>
        <v>0</v>
      </c>
    </row>
    <row r="38" spans="1:23" ht="21.95" customHeight="1" x14ac:dyDescent="0.2">
      <c r="A38" s="5" t="s">
        <v>17</v>
      </c>
      <c r="B38" s="5" t="s">
        <v>1581</v>
      </c>
      <c r="C38" s="5" t="s">
        <v>39</v>
      </c>
      <c r="D38" s="6" t="s">
        <v>41</v>
      </c>
      <c r="E38" s="6"/>
      <c r="G38" s="6">
        <v>75</v>
      </c>
      <c r="H38" s="6">
        <v>110</v>
      </c>
      <c r="I38" s="9">
        <v>87</v>
      </c>
      <c r="J38" s="9"/>
      <c r="K38" s="7">
        <v>44004237</v>
      </c>
      <c r="L38" s="5" t="str">
        <f t="shared" si="0"/>
        <v>BZ CORVETTE TAM KÖŞE MODÜL</v>
      </c>
      <c r="M38" s="8">
        <v>0.6</v>
      </c>
      <c r="N38" s="8">
        <v>0.55000000000000004</v>
      </c>
      <c r="O38" s="8">
        <v>44074</v>
      </c>
      <c r="P38" s="8">
        <f t="shared" si="1"/>
        <v>19833.3</v>
      </c>
      <c r="Q38" s="8">
        <f t="shared" si="2"/>
        <v>44074</v>
      </c>
      <c r="R38" s="31">
        <f t="shared" si="3"/>
        <v>44000</v>
      </c>
      <c r="T38" s="12"/>
      <c r="U38" s="12">
        <v>52889</v>
      </c>
      <c r="V38" s="8">
        <f t="shared" si="4"/>
        <v>0</v>
      </c>
      <c r="W38" s="8">
        <f t="shared" si="5"/>
        <v>0</v>
      </c>
    </row>
    <row r="39" spans="1:23" ht="21.95" customHeight="1" x14ac:dyDescent="0.2">
      <c r="A39" s="5" t="s">
        <v>17</v>
      </c>
      <c r="B39" s="5" t="s">
        <v>1581</v>
      </c>
      <c r="C39" s="5" t="s">
        <v>39</v>
      </c>
      <c r="D39" s="6" t="s">
        <v>42</v>
      </c>
      <c r="E39" s="6"/>
      <c r="G39" s="6">
        <v>110</v>
      </c>
      <c r="H39" s="6">
        <v>110</v>
      </c>
      <c r="I39" s="9">
        <v>50</v>
      </c>
      <c r="J39" s="9"/>
      <c r="K39" s="7">
        <v>44004238</v>
      </c>
      <c r="L39" s="5" t="str">
        <f t="shared" si="0"/>
        <v>BZ CORVETTE YARIM KÖŞE MODÜL</v>
      </c>
      <c r="M39" s="8">
        <v>0.6</v>
      </c>
      <c r="N39" s="8">
        <v>0.55000000000000004</v>
      </c>
      <c r="O39" s="8">
        <v>42132</v>
      </c>
      <c r="P39" s="8">
        <f t="shared" si="1"/>
        <v>18959.399999999998</v>
      </c>
      <c r="Q39" s="8">
        <f t="shared" si="2"/>
        <v>42132</v>
      </c>
      <c r="R39" s="31">
        <f t="shared" si="3"/>
        <v>42100</v>
      </c>
      <c r="T39" s="12"/>
      <c r="U39" s="12">
        <v>50558</v>
      </c>
      <c r="V39" s="8">
        <f t="shared" si="4"/>
        <v>0</v>
      </c>
      <c r="W39" s="8">
        <f t="shared" si="5"/>
        <v>0</v>
      </c>
    </row>
    <row r="40" spans="1:23" ht="21.95" customHeight="1" x14ac:dyDescent="0.2">
      <c r="A40" s="5" t="s">
        <v>17</v>
      </c>
      <c r="B40" s="5" t="s">
        <v>1581</v>
      </c>
      <c r="C40" s="5" t="s">
        <v>39</v>
      </c>
      <c r="D40" s="6" t="s">
        <v>37</v>
      </c>
      <c r="E40" s="6"/>
      <c r="G40" s="6">
        <v>110</v>
      </c>
      <c r="H40" s="6">
        <v>110</v>
      </c>
      <c r="I40" s="9">
        <v>50</v>
      </c>
      <c r="J40" s="9"/>
      <c r="K40" s="7">
        <v>44004239</v>
      </c>
      <c r="L40" s="5" t="str">
        <f t="shared" si="0"/>
        <v>BZ CORVETTE TEKLİ SAĞ KOLLU MODÜL</v>
      </c>
      <c r="M40" s="8">
        <v>0.6</v>
      </c>
      <c r="N40" s="8">
        <v>0.55000000000000004</v>
      </c>
      <c r="O40" s="8">
        <v>39220</v>
      </c>
      <c r="P40" s="8">
        <f t="shared" si="1"/>
        <v>17649</v>
      </c>
      <c r="Q40" s="8">
        <f t="shared" si="2"/>
        <v>39220</v>
      </c>
      <c r="R40" s="31">
        <f t="shared" si="3"/>
        <v>39200</v>
      </c>
      <c r="T40" s="12"/>
      <c r="U40" s="12">
        <v>47064</v>
      </c>
      <c r="V40" s="8">
        <f t="shared" si="4"/>
        <v>0</v>
      </c>
      <c r="W40" s="8">
        <f t="shared" si="5"/>
        <v>0</v>
      </c>
    </row>
    <row r="41" spans="1:23" ht="21.95" customHeight="1" x14ac:dyDescent="0.2">
      <c r="A41" s="5" t="s">
        <v>17</v>
      </c>
      <c r="B41" s="5" t="s">
        <v>1581</v>
      </c>
      <c r="C41" s="5" t="s">
        <v>39</v>
      </c>
      <c r="D41" s="6" t="s">
        <v>38</v>
      </c>
      <c r="E41" s="6"/>
      <c r="G41" s="6">
        <v>110</v>
      </c>
      <c r="H41" s="6">
        <v>110</v>
      </c>
      <c r="I41" s="9">
        <v>50</v>
      </c>
      <c r="J41" s="9"/>
      <c r="K41" s="7">
        <v>44004240</v>
      </c>
      <c r="L41" s="5" t="str">
        <f t="shared" si="0"/>
        <v>BZ CORVETTE TEKLİ SOL KOLLU MODÜL</v>
      </c>
      <c r="M41" s="8">
        <v>0.6</v>
      </c>
      <c r="N41" s="8">
        <v>0.55000000000000004</v>
      </c>
      <c r="O41" s="8">
        <v>39220</v>
      </c>
      <c r="P41" s="8">
        <f t="shared" si="1"/>
        <v>17649</v>
      </c>
      <c r="Q41" s="8">
        <f t="shared" si="2"/>
        <v>39220</v>
      </c>
      <c r="R41" s="31">
        <f t="shared" si="3"/>
        <v>39200</v>
      </c>
      <c r="T41" s="12"/>
      <c r="U41" s="12">
        <v>47064</v>
      </c>
      <c r="V41" s="8">
        <f t="shared" si="4"/>
        <v>0</v>
      </c>
      <c r="W41" s="8">
        <f t="shared" si="5"/>
        <v>0</v>
      </c>
    </row>
    <row r="42" spans="1:23" ht="21.95" customHeight="1" x14ac:dyDescent="0.2">
      <c r="A42" s="5" t="s">
        <v>17</v>
      </c>
      <c r="B42" s="5" t="s">
        <v>1581</v>
      </c>
      <c r="C42" s="5" t="s">
        <v>39</v>
      </c>
      <c r="D42" s="6" t="s">
        <v>34</v>
      </c>
      <c r="E42" s="6"/>
      <c r="G42" s="6">
        <v>75</v>
      </c>
      <c r="H42" s="6">
        <v>110</v>
      </c>
      <c r="I42" s="9">
        <v>87</v>
      </c>
      <c r="J42" s="9"/>
      <c r="K42" s="7">
        <v>44004241</v>
      </c>
      <c r="L42" s="5" t="str">
        <f t="shared" si="0"/>
        <v>BZ CORVETTE TEKLİ ARA MODÜL</v>
      </c>
      <c r="M42" s="8">
        <v>0.6</v>
      </c>
      <c r="N42" s="8">
        <v>0.55000000000000004</v>
      </c>
      <c r="O42" s="8">
        <v>26620</v>
      </c>
      <c r="P42" s="8">
        <f t="shared" si="1"/>
        <v>11978.999999999998</v>
      </c>
      <c r="Q42" s="8">
        <f t="shared" si="2"/>
        <v>26620</v>
      </c>
      <c r="R42" s="31">
        <f t="shared" si="3"/>
        <v>26600</v>
      </c>
      <c r="T42" s="12"/>
      <c r="U42" s="12">
        <v>31944</v>
      </c>
      <c r="V42" s="8">
        <f t="shared" si="4"/>
        <v>0</v>
      </c>
      <c r="W42" s="8">
        <f t="shared" si="5"/>
        <v>0</v>
      </c>
    </row>
    <row r="43" spans="1:23" ht="21.95" customHeight="1" x14ac:dyDescent="0.2">
      <c r="A43" s="5" t="s">
        <v>17</v>
      </c>
      <c r="B43" s="5" t="s">
        <v>1581</v>
      </c>
      <c r="C43" s="5" t="s">
        <v>39</v>
      </c>
      <c r="D43" s="6" t="s">
        <v>43</v>
      </c>
      <c r="E43" s="6"/>
      <c r="G43" s="6">
        <v>110</v>
      </c>
      <c r="H43" s="6">
        <v>110</v>
      </c>
      <c r="I43" s="9">
        <v>50</v>
      </c>
      <c r="J43" s="9"/>
      <c r="K43" s="7">
        <v>44004242</v>
      </c>
      <c r="L43" s="5" t="str">
        <f t="shared" si="0"/>
        <v>BZ CORVETTE DİNLENMELİ SAĞ MODÜL</v>
      </c>
      <c r="M43" s="8">
        <v>0.6</v>
      </c>
      <c r="N43" s="8">
        <v>0.55000000000000004</v>
      </c>
      <c r="O43" s="8">
        <v>60570</v>
      </c>
      <c r="P43" s="8">
        <f t="shared" si="1"/>
        <v>27256.499999999996</v>
      </c>
      <c r="Q43" s="8">
        <f t="shared" si="2"/>
        <v>60570</v>
      </c>
      <c r="R43" s="31">
        <f t="shared" si="3"/>
        <v>60500</v>
      </c>
      <c r="T43" s="12"/>
      <c r="U43" s="12">
        <v>72684</v>
      </c>
      <c r="V43" s="8">
        <f t="shared" si="4"/>
        <v>0</v>
      </c>
      <c r="W43" s="8">
        <f t="shared" si="5"/>
        <v>0</v>
      </c>
    </row>
    <row r="44" spans="1:23" ht="21.95" customHeight="1" x14ac:dyDescent="0.2">
      <c r="A44" s="5" t="s">
        <v>17</v>
      </c>
      <c r="B44" s="5" t="s">
        <v>1581</v>
      </c>
      <c r="C44" s="5" t="s">
        <v>39</v>
      </c>
      <c r="D44" s="6" t="s">
        <v>44</v>
      </c>
      <c r="E44" s="6"/>
      <c r="G44" s="6">
        <v>110</v>
      </c>
      <c r="H44" s="6">
        <v>110</v>
      </c>
      <c r="I44" s="9">
        <v>50</v>
      </c>
      <c r="J44" s="9"/>
      <c r="K44" s="7">
        <v>44004243</v>
      </c>
      <c r="L44" s="5" t="str">
        <f t="shared" si="0"/>
        <v>BZ CORVETTE DİNLENMELİ SOL MODÜL</v>
      </c>
      <c r="M44" s="8">
        <v>0.6</v>
      </c>
      <c r="N44" s="8">
        <v>0.55000000000000004</v>
      </c>
      <c r="O44" s="8">
        <v>60750</v>
      </c>
      <c r="P44" s="8">
        <f t="shared" si="1"/>
        <v>27337.499999999996</v>
      </c>
      <c r="Q44" s="8">
        <f t="shared" si="2"/>
        <v>60750</v>
      </c>
      <c r="R44" s="31">
        <f t="shared" si="3"/>
        <v>60700</v>
      </c>
      <c r="T44" s="12"/>
      <c r="U44" s="12">
        <v>72684</v>
      </c>
      <c r="V44" s="8">
        <f t="shared" si="4"/>
        <v>0</v>
      </c>
      <c r="W44" s="8">
        <f t="shared" si="5"/>
        <v>0</v>
      </c>
    </row>
    <row r="45" spans="1:23" ht="21.95" customHeight="1" x14ac:dyDescent="0.2">
      <c r="A45" s="5" t="s">
        <v>17</v>
      </c>
      <c r="B45" s="5" t="s">
        <v>1581</v>
      </c>
      <c r="C45" s="5" t="s">
        <v>48</v>
      </c>
      <c r="D45" s="6" t="s">
        <v>49</v>
      </c>
      <c r="E45" s="6"/>
      <c r="G45" s="5">
        <v>205</v>
      </c>
      <c r="H45" s="5">
        <v>50</v>
      </c>
      <c r="I45" s="7">
        <v>80</v>
      </c>
      <c r="K45" s="7">
        <v>44004258</v>
      </c>
      <c r="L45" s="5" t="str">
        <f t="shared" si="0"/>
        <v>BZ ASTON KONSOL</v>
      </c>
      <c r="M45" s="8">
        <v>0.6</v>
      </c>
      <c r="N45" s="8">
        <v>0.55000000000000004</v>
      </c>
      <c r="O45" s="8">
        <v>63296</v>
      </c>
      <c r="P45" s="8">
        <f t="shared" si="1"/>
        <v>28483.199999999997</v>
      </c>
      <c r="Q45" s="8">
        <f t="shared" si="2"/>
        <v>63296</v>
      </c>
      <c r="R45" s="31">
        <f t="shared" si="3"/>
        <v>63200</v>
      </c>
      <c r="T45" s="12"/>
      <c r="U45" s="12">
        <v>75955</v>
      </c>
      <c r="V45" s="8">
        <f t="shared" si="4"/>
        <v>0</v>
      </c>
      <c r="W45" s="8">
        <f t="shared" si="5"/>
        <v>0</v>
      </c>
    </row>
    <row r="46" spans="1:23" ht="21.95" customHeight="1" x14ac:dyDescent="0.2">
      <c r="A46" s="5" t="s">
        <v>17</v>
      </c>
      <c r="B46" s="5" t="s">
        <v>1581</v>
      </c>
      <c r="C46" s="5" t="s">
        <v>48</v>
      </c>
      <c r="D46" s="6" t="s">
        <v>50</v>
      </c>
      <c r="E46" s="6"/>
      <c r="G46" s="6">
        <v>40</v>
      </c>
      <c r="H46" s="6">
        <v>4</v>
      </c>
      <c r="I46" s="9">
        <v>115</v>
      </c>
      <c r="J46" s="9"/>
      <c r="K46" s="7">
        <v>44004259</v>
      </c>
      <c r="L46" s="5" t="str">
        <f t="shared" si="0"/>
        <v>BZ ASTON KONSOL AYNASI X2</v>
      </c>
      <c r="M46" s="8">
        <v>0.6</v>
      </c>
      <c r="N46" s="8">
        <v>0.55000000000000004</v>
      </c>
      <c r="O46" s="8">
        <v>28506</v>
      </c>
      <c r="P46" s="8">
        <f t="shared" si="1"/>
        <v>12827.699999999999</v>
      </c>
      <c r="Q46" s="8">
        <f t="shared" si="2"/>
        <v>28506</v>
      </c>
      <c r="R46" s="31">
        <f t="shared" si="3"/>
        <v>28500</v>
      </c>
      <c r="T46" s="12"/>
      <c r="U46" s="12">
        <v>34208</v>
      </c>
      <c r="V46" s="8">
        <f t="shared" si="4"/>
        <v>0</v>
      </c>
      <c r="W46" s="8">
        <f t="shared" si="5"/>
        <v>0</v>
      </c>
    </row>
    <row r="47" spans="1:23" ht="21.95" customHeight="1" x14ac:dyDescent="0.2">
      <c r="A47" s="5" t="s">
        <v>17</v>
      </c>
      <c r="B47" s="5" t="s">
        <v>1581</v>
      </c>
      <c r="C47" s="5" t="s">
        <v>48</v>
      </c>
      <c r="D47" s="6" t="s">
        <v>22</v>
      </c>
      <c r="E47" s="6"/>
      <c r="G47" s="6">
        <v>160</v>
      </c>
      <c r="H47" s="6">
        <v>92</v>
      </c>
      <c r="I47" s="9">
        <v>74</v>
      </c>
      <c r="J47" s="9"/>
      <c r="K47" s="7">
        <v>44004260</v>
      </c>
      <c r="L47" s="5" t="str">
        <f t="shared" si="0"/>
        <v>BZ ASTON MASA 160CM</v>
      </c>
      <c r="M47" s="8">
        <v>0.6</v>
      </c>
      <c r="N47" s="8">
        <v>0.55000000000000004</v>
      </c>
      <c r="O47" s="8">
        <v>49905</v>
      </c>
      <c r="P47" s="8">
        <f t="shared" si="1"/>
        <v>22457.249999999996</v>
      </c>
      <c r="Q47" s="8">
        <f t="shared" si="2"/>
        <v>49905</v>
      </c>
      <c r="R47" s="31">
        <f t="shared" si="3"/>
        <v>49900</v>
      </c>
      <c r="T47" s="12"/>
      <c r="U47" s="12">
        <v>59886</v>
      </c>
      <c r="V47" s="8">
        <f t="shared" si="4"/>
        <v>0</v>
      </c>
      <c r="W47" s="8">
        <f t="shared" si="5"/>
        <v>0</v>
      </c>
    </row>
    <row r="48" spans="1:23" ht="21.95" customHeight="1" x14ac:dyDescent="0.2">
      <c r="A48" s="5" t="s">
        <v>17</v>
      </c>
      <c r="B48" s="5" t="s">
        <v>1581</v>
      </c>
      <c r="C48" s="5" t="s">
        <v>48</v>
      </c>
      <c r="D48" s="6" t="s">
        <v>23</v>
      </c>
      <c r="E48" s="6"/>
      <c r="G48" s="6">
        <v>200</v>
      </c>
      <c r="H48" s="6">
        <v>92</v>
      </c>
      <c r="I48" s="9">
        <v>74</v>
      </c>
      <c r="J48" s="9"/>
      <c r="K48" s="7">
        <v>44004261</v>
      </c>
      <c r="L48" s="5" t="str">
        <f t="shared" si="0"/>
        <v>BZ ASTON MASA 200CM</v>
      </c>
      <c r="M48" s="8">
        <v>0.6</v>
      </c>
      <c r="N48" s="8">
        <v>0.55000000000000004</v>
      </c>
      <c r="O48" s="8">
        <v>49905</v>
      </c>
      <c r="P48" s="8">
        <f t="shared" si="1"/>
        <v>22457.249999999996</v>
      </c>
      <c r="Q48" s="8">
        <f t="shared" si="2"/>
        <v>49905</v>
      </c>
      <c r="R48" s="31">
        <f t="shared" si="3"/>
        <v>49900</v>
      </c>
      <c r="T48" s="12"/>
      <c r="U48" s="12">
        <v>59886</v>
      </c>
      <c r="V48" s="8">
        <f t="shared" si="4"/>
        <v>0</v>
      </c>
      <c r="W48" s="8">
        <f t="shared" si="5"/>
        <v>0</v>
      </c>
    </row>
    <row r="49" spans="1:23" ht="21.95" customHeight="1" x14ac:dyDescent="0.2">
      <c r="A49" s="5" t="s">
        <v>17</v>
      </c>
      <c r="B49" s="5" t="s">
        <v>1581</v>
      </c>
      <c r="C49" s="5" t="s">
        <v>48</v>
      </c>
      <c r="D49" s="6" t="s">
        <v>24</v>
      </c>
      <c r="E49" s="6"/>
      <c r="G49" s="6">
        <v>240</v>
      </c>
      <c r="H49" s="6">
        <v>103</v>
      </c>
      <c r="I49" s="9">
        <v>74</v>
      </c>
      <c r="J49" s="9"/>
      <c r="K49" s="7">
        <v>44004262</v>
      </c>
      <c r="L49" s="5" t="str">
        <f t="shared" si="0"/>
        <v>BZ ASTON MASA 240CM</v>
      </c>
      <c r="M49" s="8">
        <v>0.6</v>
      </c>
      <c r="N49" s="8">
        <v>0.55000000000000004</v>
      </c>
      <c r="O49" s="8">
        <v>55326</v>
      </c>
      <c r="P49" s="8">
        <f t="shared" si="1"/>
        <v>24896.699999999997</v>
      </c>
      <c r="Q49" s="8">
        <f t="shared" si="2"/>
        <v>55326</v>
      </c>
      <c r="R49" s="31">
        <f t="shared" si="3"/>
        <v>55300</v>
      </c>
      <c r="T49" s="12"/>
      <c r="U49" s="12">
        <v>66391</v>
      </c>
      <c r="V49" s="8">
        <f t="shared" si="4"/>
        <v>0</v>
      </c>
      <c r="W49" s="8">
        <f t="shared" si="5"/>
        <v>0</v>
      </c>
    </row>
    <row r="50" spans="1:23" ht="21.95" customHeight="1" x14ac:dyDescent="0.2">
      <c r="A50" s="5" t="s">
        <v>17</v>
      </c>
      <c r="B50" s="5" t="s">
        <v>1581</v>
      </c>
      <c r="C50" s="5" t="s">
        <v>48</v>
      </c>
      <c r="D50" s="6" t="s">
        <v>25</v>
      </c>
      <c r="E50" s="6"/>
      <c r="G50" s="6">
        <v>56</v>
      </c>
      <c r="H50" s="6">
        <v>60</v>
      </c>
      <c r="I50" s="9">
        <v>76</v>
      </c>
      <c r="J50" s="9"/>
      <c r="K50" s="7">
        <v>44004263</v>
      </c>
      <c r="L50" s="5" t="str">
        <f t="shared" si="0"/>
        <v>BZ ASTON SANDALYE</v>
      </c>
      <c r="M50" s="8">
        <v>0.6</v>
      </c>
      <c r="N50" s="8">
        <v>0.55000000000000004</v>
      </c>
      <c r="O50" s="8">
        <v>18607</v>
      </c>
      <c r="P50" s="8">
        <f t="shared" si="1"/>
        <v>8373.15</v>
      </c>
      <c r="Q50" s="8">
        <f t="shared" si="2"/>
        <v>18607</v>
      </c>
      <c r="R50" s="31">
        <f t="shared" si="3"/>
        <v>18600</v>
      </c>
      <c r="T50" s="12"/>
      <c r="U50" s="12">
        <v>22328</v>
      </c>
      <c r="V50" s="8">
        <f t="shared" si="4"/>
        <v>0</v>
      </c>
      <c r="W50" s="8">
        <f t="shared" si="5"/>
        <v>0</v>
      </c>
    </row>
    <row r="51" spans="1:23" ht="21.95" customHeight="1" x14ac:dyDescent="0.2">
      <c r="A51" s="5" t="s">
        <v>17</v>
      </c>
      <c r="B51" s="5" t="s">
        <v>1581</v>
      </c>
      <c r="C51" s="5" t="s">
        <v>48</v>
      </c>
      <c r="D51" s="6" t="s">
        <v>51</v>
      </c>
      <c r="E51" s="6"/>
      <c r="G51" s="6">
        <v>205</v>
      </c>
      <c r="H51" s="6">
        <v>50</v>
      </c>
      <c r="I51" s="9">
        <v>200</v>
      </c>
      <c r="J51" s="9"/>
      <c r="K51" s="7">
        <v>44004264</v>
      </c>
      <c r="L51" s="5" t="str">
        <f t="shared" si="0"/>
        <v>BZ ASTON TV ÜNİTESİ PANOLU ŞÖMİNELİ</v>
      </c>
      <c r="M51" s="8">
        <v>0.6</v>
      </c>
      <c r="N51" s="8">
        <v>0.55000000000000004</v>
      </c>
      <c r="O51" s="8">
        <v>114239</v>
      </c>
      <c r="P51" s="8">
        <f t="shared" si="1"/>
        <v>51407.549999999996</v>
      </c>
      <c r="Q51" s="8">
        <f t="shared" si="2"/>
        <v>114239</v>
      </c>
      <c r="R51" s="31">
        <f t="shared" si="3"/>
        <v>114200</v>
      </c>
      <c r="T51" s="12"/>
      <c r="U51" s="12">
        <v>137087</v>
      </c>
      <c r="V51" s="8">
        <f t="shared" si="4"/>
        <v>0</v>
      </c>
      <c r="W51" s="8">
        <f t="shared" si="5"/>
        <v>0</v>
      </c>
    </row>
    <row r="52" spans="1:23" ht="21.95" customHeight="1" x14ac:dyDescent="0.2">
      <c r="A52" s="5" t="s">
        <v>17</v>
      </c>
      <c r="B52" s="5" t="s">
        <v>1581</v>
      </c>
      <c r="C52" s="5" t="s">
        <v>48</v>
      </c>
      <c r="D52" s="6" t="s">
        <v>52</v>
      </c>
      <c r="E52" s="6"/>
      <c r="G52" s="6">
        <v>205</v>
      </c>
      <c r="H52" s="6">
        <v>50</v>
      </c>
      <c r="I52" s="9">
        <v>200</v>
      </c>
      <c r="J52" s="9"/>
      <c r="K52" s="7">
        <v>44004265</v>
      </c>
      <c r="L52" s="5" t="str">
        <f t="shared" si="0"/>
        <v>BZ ASTON TV ÜNİTESİ PANOLU KAPAKLI</v>
      </c>
      <c r="M52" s="8">
        <v>0.6</v>
      </c>
      <c r="N52" s="8">
        <v>0.55000000000000004</v>
      </c>
      <c r="O52" s="8">
        <v>97023</v>
      </c>
      <c r="P52" s="8">
        <f t="shared" si="1"/>
        <v>43660.35</v>
      </c>
      <c r="Q52" s="8">
        <f t="shared" si="2"/>
        <v>97023</v>
      </c>
      <c r="R52" s="31">
        <f t="shared" si="3"/>
        <v>97000</v>
      </c>
      <c r="T52" s="12"/>
      <c r="U52" s="12">
        <v>116428</v>
      </c>
      <c r="V52" s="8">
        <f t="shared" ref="V52:V115" si="6">T52*(1-N52)</f>
        <v>0</v>
      </c>
      <c r="W52" s="8">
        <f t="shared" si="5"/>
        <v>0</v>
      </c>
    </row>
    <row r="53" spans="1:23" ht="21.95" customHeight="1" x14ac:dyDescent="0.2">
      <c r="A53" s="5" t="s">
        <v>17</v>
      </c>
      <c r="B53" s="5" t="s">
        <v>1581</v>
      </c>
      <c r="C53" s="5" t="s">
        <v>48</v>
      </c>
      <c r="D53" s="6" t="s">
        <v>28</v>
      </c>
      <c r="E53" s="6"/>
      <c r="G53" s="6">
        <v>80</v>
      </c>
      <c r="H53" s="6">
        <v>36</v>
      </c>
      <c r="I53" s="9">
        <v>200</v>
      </c>
      <c r="J53" s="9"/>
      <c r="K53" s="7">
        <v>44004266</v>
      </c>
      <c r="L53" s="5" t="str">
        <f t="shared" si="0"/>
        <v>BZ ASTON TV ÜNİTESİ KİTAPLIK</v>
      </c>
      <c r="M53" s="8">
        <v>0.6</v>
      </c>
      <c r="N53" s="8">
        <v>0.55000000000000004</v>
      </c>
      <c r="O53" s="8">
        <v>64376</v>
      </c>
      <c r="P53" s="8">
        <f t="shared" si="1"/>
        <v>28969.199999999997</v>
      </c>
      <c r="Q53" s="8">
        <f t="shared" si="2"/>
        <v>64376</v>
      </c>
      <c r="R53" s="31">
        <f t="shared" si="3"/>
        <v>64300</v>
      </c>
      <c r="T53" s="12"/>
      <c r="U53" s="12">
        <v>77251</v>
      </c>
      <c r="V53" s="8">
        <f t="shared" si="6"/>
        <v>0</v>
      </c>
      <c r="W53" s="8">
        <f t="shared" ref="W53:W116" si="7">T53</f>
        <v>0</v>
      </c>
    </row>
    <row r="54" spans="1:23" ht="21.95" customHeight="1" x14ac:dyDescent="0.2">
      <c r="A54" s="5" t="s">
        <v>17</v>
      </c>
      <c r="B54" s="5" t="s">
        <v>1581</v>
      </c>
      <c r="C54" s="5" t="s">
        <v>48</v>
      </c>
      <c r="D54" s="6" t="s">
        <v>47</v>
      </c>
      <c r="E54" s="6"/>
      <c r="G54" s="6">
        <v>80</v>
      </c>
      <c r="H54" s="6">
        <v>36</v>
      </c>
      <c r="I54" s="9">
        <v>200</v>
      </c>
      <c r="J54" s="9"/>
      <c r="K54" s="7">
        <v>44004267</v>
      </c>
      <c r="L54" s="5" t="str">
        <f t="shared" si="0"/>
        <v>BZ ASTON TV ÜNİTESİ VİTRİN</v>
      </c>
      <c r="M54" s="8">
        <v>0.6</v>
      </c>
      <c r="N54" s="8">
        <v>0.55000000000000004</v>
      </c>
      <c r="O54" s="8">
        <v>75136</v>
      </c>
      <c r="P54" s="8">
        <f t="shared" si="1"/>
        <v>33811.199999999997</v>
      </c>
      <c r="Q54" s="8">
        <f t="shared" si="2"/>
        <v>75136</v>
      </c>
      <c r="R54" s="31">
        <f t="shared" si="3"/>
        <v>75100</v>
      </c>
      <c r="T54" s="12"/>
      <c r="U54" s="12">
        <v>90163</v>
      </c>
      <c r="V54" s="8">
        <f t="shared" si="6"/>
        <v>0</v>
      </c>
      <c r="W54" s="8">
        <f t="shared" si="7"/>
        <v>0</v>
      </c>
    </row>
    <row r="55" spans="1:23" ht="21.95" customHeight="1" x14ac:dyDescent="0.2">
      <c r="A55" s="5" t="s">
        <v>17</v>
      </c>
      <c r="B55" s="5" t="s">
        <v>1581</v>
      </c>
      <c r="C55" s="5" t="s">
        <v>48</v>
      </c>
      <c r="D55" s="6" t="s">
        <v>53</v>
      </c>
      <c r="E55" s="6"/>
      <c r="G55" s="6">
        <v>205</v>
      </c>
      <c r="H55" s="6">
        <v>50</v>
      </c>
      <c r="I55" s="9">
        <v>50</v>
      </c>
      <c r="J55" s="9"/>
      <c r="K55" s="7">
        <v>44004268</v>
      </c>
      <c r="L55" s="5" t="str">
        <f t="shared" si="0"/>
        <v>BZ ASTON TV ÜNİTESİ ALT BLOK ŞÖMİNELİ</v>
      </c>
      <c r="M55" s="8">
        <v>0.6</v>
      </c>
      <c r="N55" s="8">
        <v>0.55000000000000004</v>
      </c>
      <c r="O55" s="8">
        <v>70780</v>
      </c>
      <c r="P55" s="8">
        <f t="shared" si="1"/>
        <v>31850.999999999996</v>
      </c>
      <c r="Q55" s="8">
        <f t="shared" si="2"/>
        <v>70780</v>
      </c>
      <c r="R55" s="31">
        <f t="shared" si="3"/>
        <v>70700</v>
      </c>
      <c r="T55" s="12"/>
      <c r="U55" s="12">
        <v>84936</v>
      </c>
      <c r="V55" s="8">
        <f t="shared" si="6"/>
        <v>0</v>
      </c>
      <c r="W55" s="8">
        <f t="shared" si="7"/>
        <v>0</v>
      </c>
    </row>
    <row r="56" spans="1:23" ht="21.95" customHeight="1" x14ac:dyDescent="0.2">
      <c r="A56" s="5" t="s">
        <v>17</v>
      </c>
      <c r="B56" s="5" t="s">
        <v>1581</v>
      </c>
      <c r="C56" s="5" t="s">
        <v>48</v>
      </c>
      <c r="D56" s="6" t="s">
        <v>54</v>
      </c>
      <c r="E56" s="6"/>
      <c r="G56" s="6">
        <v>205</v>
      </c>
      <c r="H56" s="6">
        <v>50</v>
      </c>
      <c r="I56" s="9">
        <v>50</v>
      </c>
      <c r="J56" s="9"/>
      <c r="K56" s="7">
        <v>44004269</v>
      </c>
      <c r="L56" s="5" t="str">
        <f t="shared" si="0"/>
        <v>BZ ASTON TV ÜNİTESİ ALT BLOK KAPAKLI</v>
      </c>
      <c r="M56" s="8">
        <v>0.6</v>
      </c>
      <c r="N56" s="8">
        <v>0.55000000000000004</v>
      </c>
      <c r="O56" s="8">
        <v>52764</v>
      </c>
      <c r="P56" s="8">
        <f t="shared" si="1"/>
        <v>23743.8</v>
      </c>
      <c r="Q56" s="8">
        <f t="shared" si="2"/>
        <v>52764</v>
      </c>
      <c r="R56" s="31">
        <f t="shared" si="3"/>
        <v>52700</v>
      </c>
      <c r="T56" s="12"/>
      <c r="U56" s="12">
        <v>63317</v>
      </c>
      <c r="V56" s="8">
        <f t="shared" si="6"/>
        <v>0</v>
      </c>
      <c r="W56" s="8">
        <f t="shared" si="7"/>
        <v>0</v>
      </c>
    </row>
    <row r="57" spans="1:23" ht="21.95" customHeight="1" x14ac:dyDescent="0.2">
      <c r="A57" s="5" t="s">
        <v>17</v>
      </c>
      <c r="B57" s="5" t="s">
        <v>1581</v>
      </c>
      <c r="C57" s="5" t="s">
        <v>48</v>
      </c>
      <c r="D57" s="6" t="s">
        <v>55</v>
      </c>
      <c r="E57" s="6"/>
      <c r="G57" s="6">
        <v>180</v>
      </c>
      <c r="H57" s="6">
        <v>27</v>
      </c>
      <c r="I57" s="9">
        <v>30</v>
      </c>
      <c r="J57" s="9"/>
      <c r="K57" s="7">
        <v>44004270</v>
      </c>
      <c r="L57" s="5" t="str">
        <f t="shared" si="0"/>
        <v>BZ ASTON TV ÜNİTESİ ÜST RAF</v>
      </c>
      <c r="M57" s="8">
        <v>0.6</v>
      </c>
      <c r="N57" s="8">
        <v>0.55000000000000004</v>
      </c>
      <c r="O57" s="8">
        <v>11039</v>
      </c>
      <c r="P57" s="8">
        <f t="shared" si="1"/>
        <v>4967.5499999999993</v>
      </c>
      <c r="Q57" s="8">
        <f t="shared" si="2"/>
        <v>11039</v>
      </c>
      <c r="R57" s="31">
        <f t="shared" si="3"/>
        <v>11000</v>
      </c>
      <c r="T57" s="12"/>
      <c r="U57" s="12">
        <v>13247</v>
      </c>
      <c r="V57" s="8">
        <f t="shared" si="6"/>
        <v>0</v>
      </c>
      <c r="W57" s="8">
        <f t="shared" si="7"/>
        <v>0</v>
      </c>
    </row>
    <row r="58" spans="1:23" ht="21.95" customHeight="1" x14ac:dyDescent="0.2">
      <c r="A58" s="5" t="s">
        <v>17</v>
      </c>
      <c r="B58" s="5" t="s">
        <v>1581</v>
      </c>
      <c r="C58" s="5" t="s">
        <v>48</v>
      </c>
      <c r="D58" s="6" t="s">
        <v>56</v>
      </c>
      <c r="E58" s="6"/>
      <c r="G58" s="6">
        <v>95</v>
      </c>
      <c r="H58" s="6">
        <v>95</v>
      </c>
      <c r="I58" s="9">
        <v>41</v>
      </c>
      <c r="J58" s="9"/>
      <c r="K58" s="7">
        <v>44004271</v>
      </c>
      <c r="L58" s="5" t="str">
        <f t="shared" si="0"/>
        <v xml:space="preserve">BZ ASTON ASTON PUF X2 </v>
      </c>
      <c r="M58" s="8">
        <v>0.6</v>
      </c>
      <c r="N58" s="8">
        <v>0.55000000000000004</v>
      </c>
      <c r="O58" s="8">
        <v>20160</v>
      </c>
      <c r="P58" s="8">
        <f t="shared" si="1"/>
        <v>9072</v>
      </c>
      <c r="Q58" s="8">
        <f t="shared" si="2"/>
        <v>20160</v>
      </c>
      <c r="R58" s="31">
        <f t="shared" si="3"/>
        <v>20100</v>
      </c>
      <c r="T58" s="12"/>
      <c r="U58" s="12">
        <v>24192</v>
      </c>
      <c r="V58" s="8">
        <f t="shared" si="6"/>
        <v>0</v>
      </c>
      <c r="W58" s="8">
        <f t="shared" si="7"/>
        <v>0</v>
      </c>
    </row>
    <row r="59" spans="1:23" ht="21.95" customHeight="1" x14ac:dyDescent="0.2">
      <c r="A59" s="5" t="s">
        <v>17</v>
      </c>
      <c r="B59" s="5" t="s">
        <v>1581</v>
      </c>
      <c r="C59" s="5" t="s">
        <v>48</v>
      </c>
      <c r="D59" s="6" t="s">
        <v>57</v>
      </c>
      <c r="E59" s="6"/>
      <c r="G59" s="6">
        <v>95</v>
      </c>
      <c r="H59" s="6">
        <v>95</v>
      </c>
      <c r="I59" s="9">
        <v>41</v>
      </c>
      <c r="J59" s="9"/>
      <c r="K59" s="7">
        <v>44004272</v>
      </c>
      <c r="L59" s="5" t="str">
        <f t="shared" si="0"/>
        <v>BZ ASTON ASTON PUF SEHPALI X2</v>
      </c>
      <c r="M59" s="8">
        <v>0.6</v>
      </c>
      <c r="N59" s="8">
        <v>0.55000000000000004</v>
      </c>
      <c r="O59" s="8">
        <v>25272</v>
      </c>
      <c r="P59" s="8">
        <f t="shared" si="1"/>
        <v>11372.4</v>
      </c>
      <c r="Q59" s="8">
        <f t="shared" si="2"/>
        <v>25272</v>
      </c>
      <c r="R59" s="31">
        <f t="shared" si="3"/>
        <v>25200</v>
      </c>
      <c r="T59" s="12"/>
      <c r="U59" s="12">
        <v>30326</v>
      </c>
      <c r="V59" s="8">
        <f t="shared" si="6"/>
        <v>0</v>
      </c>
      <c r="W59" s="8">
        <f t="shared" si="7"/>
        <v>0</v>
      </c>
    </row>
    <row r="60" spans="1:23" ht="21.95" customHeight="1" x14ac:dyDescent="0.2">
      <c r="A60" s="5" t="s">
        <v>17</v>
      </c>
      <c r="B60" s="5" t="s">
        <v>1581</v>
      </c>
      <c r="C60" s="5" t="s">
        <v>48</v>
      </c>
      <c r="D60" s="6" t="s">
        <v>58</v>
      </c>
      <c r="E60" s="6"/>
      <c r="G60" s="6">
        <v>90</v>
      </c>
      <c r="H60" s="6">
        <v>90</v>
      </c>
      <c r="I60" s="9">
        <v>45</v>
      </c>
      <c r="J60" s="9"/>
      <c r="K60" s="7">
        <v>44004273</v>
      </c>
      <c r="L60" s="5" t="str">
        <f t="shared" si="0"/>
        <v>BZ ASTON MİNİ MASA</v>
      </c>
      <c r="M60" s="8">
        <v>0.6</v>
      </c>
      <c r="N60" s="8">
        <v>0.55000000000000004</v>
      </c>
      <c r="O60" s="8">
        <v>21741</v>
      </c>
      <c r="P60" s="8">
        <f t="shared" si="1"/>
        <v>9783.4499999999989</v>
      </c>
      <c r="Q60" s="8">
        <f t="shared" si="2"/>
        <v>21741</v>
      </c>
      <c r="R60" s="31">
        <f t="shared" si="3"/>
        <v>21700</v>
      </c>
      <c r="T60" s="12"/>
      <c r="U60" s="12">
        <v>26089</v>
      </c>
      <c r="V60" s="8">
        <f t="shared" si="6"/>
        <v>0</v>
      </c>
      <c r="W60" s="8">
        <f t="shared" si="7"/>
        <v>0</v>
      </c>
    </row>
    <row r="61" spans="1:23" ht="21.95" customHeight="1" x14ac:dyDescent="0.2">
      <c r="A61" s="5" t="s">
        <v>17</v>
      </c>
      <c r="B61" s="5" t="s">
        <v>1581</v>
      </c>
      <c r="C61" s="5" t="s">
        <v>48</v>
      </c>
      <c r="D61" s="6" t="s">
        <v>32</v>
      </c>
      <c r="E61" s="6"/>
      <c r="G61" s="6">
        <v>230</v>
      </c>
      <c r="H61" s="6">
        <v>110</v>
      </c>
      <c r="I61" s="9">
        <v>83</v>
      </c>
      <c r="J61" s="9"/>
      <c r="K61" s="7">
        <v>44004274</v>
      </c>
      <c r="L61" s="5" t="str">
        <f t="shared" si="0"/>
        <v>BZ ASTON KOLTUK 3 LÜ</v>
      </c>
      <c r="M61" s="8">
        <v>0.6</v>
      </c>
      <c r="N61" s="8">
        <v>0.55000000000000004</v>
      </c>
      <c r="O61" s="8">
        <v>86750</v>
      </c>
      <c r="P61" s="8">
        <f t="shared" si="1"/>
        <v>39037.499999999993</v>
      </c>
      <c r="Q61" s="8">
        <f t="shared" si="2"/>
        <v>86750</v>
      </c>
      <c r="R61" s="31">
        <f t="shared" si="3"/>
        <v>86700</v>
      </c>
      <c r="T61" s="12"/>
      <c r="U61" s="12">
        <v>104100</v>
      </c>
      <c r="V61" s="8">
        <f t="shared" si="6"/>
        <v>0</v>
      </c>
      <c r="W61" s="8">
        <f t="shared" si="7"/>
        <v>0</v>
      </c>
    </row>
    <row r="62" spans="1:23" ht="21.95" customHeight="1" x14ac:dyDescent="0.2">
      <c r="A62" s="5" t="s">
        <v>17</v>
      </c>
      <c r="B62" s="5" t="s">
        <v>1581</v>
      </c>
      <c r="C62" s="5" t="s">
        <v>48</v>
      </c>
      <c r="D62" s="6" t="s">
        <v>33</v>
      </c>
      <c r="E62" s="6"/>
      <c r="G62" s="6">
        <v>77</v>
      </c>
      <c r="H62" s="6">
        <v>90</v>
      </c>
      <c r="I62" s="9">
        <v>80</v>
      </c>
      <c r="J62" s="9"/>
      <c r="K62" s="7">
        <v>44004275</v>
      </c>
      <c r="L62" s="5" t="str">
        <f t="shared" si="0"/>
        <v>BZ ASTON BERJER</v>
      </c>
      <c r="M62" s="8">
        <v>0.6</v>
      </c>
      <c r="N62" s="8">
        <v>0.55000000000000004</v>
      </c>
      <c r="O62" s="8">
        <v>29938</v>
      </c>
      <c r="P62" s="8">
        <f t="shared" si="1"/>
        <v>13472.099999999999</v>
      </c>
      <c r="Q62" s="8">
        <f t="shared" si="2"/>
        <v>29938</v>
      </c>
      <c r="R62" s="31">
        <f t="shared" si="3"/>
        <v>29900</v>
      </c>
      <c r="T62" s="12"/>
      <c r="U62" s="12">
        <v>35926</v>
      </c>
      <c r="V62" s="8">
        <f t="shared" si="6"/>
        <v>0</v>
      </c>
      <c r="W62" s="8">
        <f t="shared" si="7"/>
        <v>0</v>
      </c>
    </row>
    <row r="63" spans="1:23" ht="21.95" customHeight="1" x14ac:dyDescent="0.2">
      <c r="A63" s="5" t="s">
        <v>17</v>
      </c>
      <c r="B63" s="5" t="s">
        <v>1581</v>
      </c>
      <c r="C63" s="5" t="s">
        <v>48</v>
      </c>
      <c r="D63" s="6" t="s">
        <v>59</v>
      </c>
      <c r="E63" s="6"/>
      <c r="G63" s="6">
        <v>110</v>
      </c>
      <c r="H63" s="6">
        <v>110</v>
      </c>
      <c r="I63" s="9">
        <v>66</v>
      </c>
      <c r="J63" s="9"/>
      <c r="K63" s="7">
        <v>44004276</v>
      </c>
      <c r="L63" s="5" t="str">
        <f t="shared" si="0"/>
        <v>BZ ASTON KÖŞE MODÜL</v>
      </c>
      <c r="M63" s="8">
        <v>0.6</v>
      </c>
      <c r="N63" s="8">
        <v>0.55000000000000004</v>
      </c>
      <c r="O63" s="8">
        <v>34576</v>
      </c>
      <c r="P63" s="8">
        <f t="shared" si="1"/>
        <v>15559.199999999999</v>
      </c>
      <c r="Q63" s="8">
        <f t="shared" si="2"/>
        <v>34576</v>
      </c>
      <c r="R63" s="31">
        <f t="shared" si="3"/>
        <v>34500</v>
      </c>
      <c r="T63" s="12"/>
      <c r="U63" s="12">
        <v>41495</v>
      </c>
      <c r="V63" s="8">
        <f t="shared" si="6"/>
        <v>0</v>
      </c>
      <c r="W63" s="8">
        <f t="shared" si="7"/>
        <v>0</v>
      </c>
    </row>
    <row r="64" spans="1:23" ht="21.95" customHeight="1" x14ac:dyDescent="0.2">
      <c r="A64" s="5" t="s">
        <v>17</v>
      </c>
      <c r="B64" s="5" t="s">
        <v>1581</v>
      </c>
      <c r="C64" s="5" t="s">
        <v>48</v>
      </c>
      <c r="D64" s="6" t="s">
        <v>60</v>
      </c>
      <c r="E64" s="6"/>
      <c r="G64" s="6">
        <v>60</v>
      </c>
      <c r="H64" s="6">
        <v>110</v>
      </c>
      <c r="I64" s="9">
        <v>83</v>
      </c>
      <c r="J64" s="9"/>
      <c r="K64" s="7">
        <v>44004277</v>
      </c>
      <c r="L64" s="5" t="str">
        <f t="shared" si="0"/>
        <v>BZ ASTON TEKLİ ARA MODÜL X2</v>
      </c>
      <c r="M64" s="8">
        <v>0.6</v>
      </c>
      <c r="N64" s="8">
        <v>0.55000000000000004</v>
      </c>
      <c r="O64" s="8">
        <v>54064</v>
      </c>
      <c r="P64" s="8">
        <f t="shared" si="1"/>
        <v>24328.799999999999</v>
      </c>
      <c r="Q64" s="8">
        <f t="shared" si="2"/>
        <v>54064</v>
      </c>
      <c r="R64" s="31">
        <f t="shared" si="3"/>
        <v>54000</v>
      </c>
      <c r="T64" s="12"/>
      <c r="U64" s="12">
        <v>64876</v>
      </c>
      <c r="V64" s="8">
        <f t="shared" si="6"/>
        <v>0</v>
      </c>
      <c r="W64" s="8">
        <f t="shared" si="7"/>
        <v>0</v>
      </c>
    </row>
    <row r="65" spans="1:23" ht="21.95" customHeight="1" x14ac:dyDescent="0.2">
      <c r="A65" s="5" t="s">
        <v>17</v>
      </c>
      <c r="B65" s="5" t="s">
        <v>1581</v>
      </c>
      <c r="C65" s="5" t="s">
        <v>48</v>
      </c>
      <c r="D65" s="6" t="s">
        <v>61</v>
      </c>
      <c r="E65" s="6"/>
      <c r="G65" s="6">
        <v>45</v>
      </c>
      <c r="H65" s="6">
        <v>110</v>
      </c>
      <c r="I65" s="9">
        <v>60</v>
      </c>
      <c r="J65" s="9"/>
      <c r="K65" s="7">
        <v>44004278</v>
      </c>
      <c r="L65" s="5" t="str">
        <f t="shared" si="0"/>
        <v xml:space="preserve">BZ ASTON SEHPALI MODÜL </v>
      </c>
      <c r="M65" s="8">
        <v>0.6</v>
      </c>
      <c r="N65" s="8">
        <v>0.55000000000000004</v>
      </c>
      <c r="O65" s="8">
        <v>44838</v>
      </c>
      <c r="P65" s="8">
        <f t="shared" si="1"/>
        <v>20177.099999999999</v>
      </c>
      <c r="Q65" s="8">
        <f t="shared" si="2"/>
        <v>44838</v>
      </c>
      <c r="R65" s="31">
        <f t="shared" si="3"/>
        <v>44800</v>
      </c>
      <c r="T65" s="12"/>
      <c r="U65" s="12">
        <v>53806</v>
      </c>
      <c r="V65" s="8">
        <f t="shared" si="6"/>
        <v>0</v>
      </c>
      <c r="W65" s="8">
        <f t="shared" si="7"/>
        <v>0</v>
      </c>
    </row>
    <row r="66" spans="1:23" ht="21.95" customHeight="1" x14ac:dyDescent="0.2">
      <c r="A66" s="5" t="s">
        <v>17</v>
      </c>
      <c r="B66" s="5" t="s">
        <v>1581</v>
      </c>
      <c r="C66" s="5" t="s">
        <v>48</v>
      </c>
      <c r="D66" s="6" t="s">
        <v>62</v>
      </c>
      <c r="E66" s="6"/>
      <c r="G66" s="6">
        <v>170</v>
      </c>
      <c r="H66" s="6">
        <v>145</v>
      </c>
      <c r="I66" s="9">
        <v>83</v>
      </c>
      <c r="J66" s="9"/>
      <c r="K66" s="7">
        <v>44004279</v>
      </c>
      <c r="L66" s="5" t="str">
        <f t="shared" ref="L66:L129" si="8">B66&amp;" "&amp;C66&amp;" "&amp;D66</f>
        <v>BZ ASTON DİNLENMELİ MODÜL SAĞ-SOL</v>
      </c>
      <c r="M66" s="8">
        <v>0.6</v>
      </c>
      <c r="N66" s="8">
        <v>0.55000000000000004</v>
      </c>
      <c r="O66" s="8">
        <v>43055</v>
      </c>
      <c r="P66" s="8">
        <f t="shared" ref="P66:P129" si="9">O66*(1-N66)</f>
        <v>19374.749999999996</v>
      </c>
      <c r="Q66" s="8">
        <f t="shared" ref="Q66:Q129" si="10">O66</f>
        <v>43055</v>
      </c>
      <c r="R66" s="31">
        <f t="shared" ref="R66:R129" si="11">ROUNDDOWN(Q66,-2)</f>
        <v>43000</v>
      </c>
      <c r="T66" s="12"/>
      <c r="U66" s="12">
        <v>51666</v>
      </c>
      <c r="V66" s="8">
        <f t="shared" si="6"/>
        <v>0</v>
      </c>
      <c r="W66" s="8">
        <f t="shared" si="7"/>
        <v>0</v>
      </c>
    </row>
    <row r="67" spans="1:23" ht="21.95" customHeight="1" x14ac:dyDescent="0.2">
      <c r="A67" s="5" t="s">
        <v>17</v>
      </c>
      <c r="B67" s="5" t="s">
        <v>1581</v>
      </c>
      <c r="C67" s="5" t="s">
        <v>48</v>
      </c>
      <c r="D67" s="6" t="s">
        <v>63</v>
      </c>
      <c r="E67" s="6"/>
      <c r="G67" s="6">
        <v>203</v>
      </c>
      <c r="H67" s="6">
        <v>110</v>
      </c>
      <c r="I67" s="9">
        <v>83</v>
      </c>
      <c r="J67" s="9"/>
      <c r="K67" s="7">
        <v>44004280</v>
      </c>
      <c r="L67" s="5" t="str">
        <f t="shared" si="8"/>
        <v>BZ ASTON KOLLU MODÜL 3 LÜ SAĞ-SOL</v>
      </c>
      <c r="M67" s="8">
        <v>0.6</v>
      </c>
      <c r="N67" s="8">
        <v>0.55000000000000004</v>
      </c>
      <c r="O67" s="8">
        <v>79852</v>
      </c>
      <c r="P67" s="8">
        <f t="shared" si="9"/>
        <v>35933.399999999994</v>
      </c>
      <c r="Q67" s="8">
        <f t="shared" si="10"/>
        <v>79852</v>
      </c>
      <c r="R67" s="31">
        <f t="shared" si="11"/>
        <v>79800</v>
      </c>
      <c r="T67" s="12"/>
      <c r="U67" s="12">
        <v>95822</v>
      </c>
      <c r="V67" s="8">
        <f t="shared" si="6"/>
        <v>0</v>
      </c>
      <c r="W67" s="8">
        <f t="shared" si="7"/>
        <v>0</v>
      </c>
    </row>
    <row r="68" spans="1:23" ht="21.95" customHeight="1" x14ac:dyDescent="0.2">
      <c r="A68" s="5" t="s">
        <v>17</v>
      </c>
      <c r="B68" s="5" t="s">
        <v>1581</v>
      </c>
      <c r="C68" s="5" t="s">
        <v>48</v>
      </c>
      <c r="D68" s="6" t="s">
        <v>64</v>
      </c>
      <c r="E68" s="6"/>
      <c r="G68" s="6">
        <v>85</v>
      </c>
      <c r="H68" s="6">
        <v>110</v>
      </c>
      <c r="I68" s="9">
        <v>83</v>
      </c>
      <c r="J68" s="9"/>
      <c r="K68" s="7">
        <v>44004281</v>
      </c>
      <c r="L68" s="5" t="str">
        <f t="shared" si="8"/>
        <v>BZ ASTON KOLLU MODÜL TEKLİ SAĞ-SOL</v>
      </c>
      <c r="M68" s="8">
        <v>0.6</v>
      </c>
      <c r="N68" s="8">
        <v>0.55000000000000004</v>
      </c>
      <c r="O68" s="8">
        <v>34929</v>
      </c>
      <c r="P68" s="8">
        <f t="shared" si="9"/>
        <v>15718.05</v>
      </c>
      <c r="Q68" s="8">
        <f t="shared" si="10"/>
        <v>34929</v>
      </c>
      <c r="R68" s="31">
        <f t="shared" si="11"/>
        <v>34900</v>
      </c>
      <c r="T68" s="12"/>
      <c r="U68" s="12">
        <v>41915</v>
      </c>
      <c r="V68" s="8">
        <f t="shared" si="6"/>
        <v>0</v>
      </c>
      <c r="W68" s="8">
        <f t="shared" si="7"/>
        <v>0</v>
      </c>
    </row>
    <row r="69" spans="1:23" ht="21.95" customHeight="1" x14ac:dyDescent="0.2">
      <c r="A69" s="5" t="s">
        <v>17</v>
      </c>
      <c r="B69" s="5" t="s">
        <v>1581</v>
      </c>
      <c r="C69" s="5" t="s">
        <v>48</v>
      </c>
      <c r="D69" s="6" t="s">
        <v>65</v>
      </c>
      <c r="E69" s="6"/>
      <c r="G69" s="6">
        <v>203</v>
      </c>
      <c r="H69" s="6">
        <v>110</v>
      </c>
      <c r="I69" s="9">
        <v>83</v>
      </c>
      <c r="J69" s="9"/>
      <c r="K69" s="7">
        <v>44004282</v>
      </c>
      <c r="L69" s="5" t="str">
        <f t="shared" si="8"/>
        <v>BZ ASTON SEHPALI MODÜL 3 LÜ</v>
      </c>
      <c r="M69" s="8">
        <v>0.6</v>
      </c>
      <c r="N69" s="8">
        <v>0.55000000000000004</v>
      </c>
      <c r="O69" s="8">
        <v>115162</v>
      </c>
      <c r="P69" s="8">
        <f t="shared" si="9"/>
        <v>51822.899999999994</v>
      </c>
      <c r="Q69" s="8">
        <f t="shared" si="10"/>
        <v>115162</v>
      </c>
      <c r="R69" s="31">
        <f t="shared" si="11"/>
        <v>115100</v>
      </c>
      <c r="T69" s="12"/>
      <c r="U69" s="12">
        <v>138194</v>
      </c>
      <c r="V69" s="8">
        <f t="shared" si="6"/>
        <v>0</v>
      </c>
      <c r="W69" s="8">
        <f t="shared" si="7"/>
        <v>0</v>
      </c>
    </row>
    <row r="70" spans="1:23" ht="21.95" customHeight="1" x14ac:dyDescent="0.2">
      <c r="A70" s="5" t="s">
        <v>17</v>
      </c>
      <c r="B70" s="5" t="s">
        <v>1581</v>
      </c>
      <c r="C70" s="6" t="s">
        <v>48</v>
      </c>
      <c r="D70" s="6" t="s">
        <v>66</v>
      </c>
      <c r="E70" s="6"/>
      <c r="G70" s="6">
        <v>50</v>
      </c>
      <c r="H70" s="6">
        <v>60</v>
      </c>
      <c r="I70" s="9">
        <v>225</v>
      </c>
      <c r="J70" s="9"/>
      <c r="K70" s="7">
        <v>44004283</v>
      </c>
      <c r="L70" s="5" t="str">
        <f t="shared" si="8"/>
        <v>BZ ASTON DOLAP CAMLI X2</v>
      </c>
      <c r="M70" s="8">
        <v>0.6</v>
      </c>
      <c r="N70" s="8">
        <v>0.55000000000000004</v>
      </c>
      <c r="O70" s="8">
        <v>73868</v>
      </c>
      <c r="P70" s="8">
        <f t="shared" si="9"/>
        <v>33240.6</v>
      </c>
      <c r="Q70" s="8">
        <f t="shared" si="10"/>
        <v>73868</v>
      </c>
      <c r="R70" s="31">
        <f t="shared" si="11"/>
        <v>73800</v>
      </c>
      <c r="T70" s="12"/>
      <c r="U70" s="12">
        <v>88642</v>
      </c>
      <c r="V70" s="8">
        <f t="shared" si="6"/>
        <v>0</v>
      </c>
      <c r="W70" s="8">
        <f t="shared" si="7"/>
        <v>0</v>
      </c>
    </row>
    <row r="71" spans="1:23" ht="21.95" customHeight="1" x14ac:dyDescent="0.2">
      <c r="A71" s="5" t="s">
        <v>17</v>
      </c>
      <c r="B71" s="5" t="s">
        <v>1581</v>
      </c>
      <c r="C71" s="6" t="s">
        <v>48</v>
      </c>
      <c r="D71" s="6" t="s">
        <v>67</v>
      </c>
      <c r="E71" s="6"/>
      <c r="G71" s="6">
        <v>100</v>
      </c>
      <c r="H71" s="6">
        <v>60</v>
      </c>
      <c r="I71" s="9">
        <v>225</v>
      </c>
      <c r="J71" s="9"/>
      <c r="K71" s="7">
        <v>44004284</v>
      </c>
      <c r="L71" s="5" t="str">
        <f t="shared" si="8"/>
        <v>BZ ASTON DOLAP PANTOLONLUKLU MDF KAPAK</v>
      </c>
      <c r="M71" s="8">
        <v>0.6</v>
      </c>
      <c r="N71" s="8">
        <v>0.55000000000000004</v>
      </c>
      <c r="O71" s="8">
        <v>57828</v>
      </c>
      <c r="P71" s="8">
        <f t="shared" si="9"/>
        <v>26022.6</v>
      </c>
      <c r="Q71" s="8">
        <f t="shared" si="10"/>
        <v>57828</v>
      </c>
      <c r="R71" s="31">
        <f t="shared" si="11"/>
        <v>57800</v>
      </c>
      <c r="T71" s="12"/>
      <c r="U71" s="12">
        <v>69394</v>
      </c>
      <c r="V71" s="8">
        <f t="shared" si="6"/>
        <v>0</v>
      </c>
      <c r="W71" s="8">
        <f t="shared" si="7"/>
        <v>0</v>
      </c>
    </row>
    <row r="72" spans="1:23" ht="21.95" customHeight="1" x14ac:dyDescent="0.2">
      <c r="A72" s="5" t="s">
        <v>17</v>
      </c>
      <c r="B72" s="5" t="s">
        <v>1581</v>
      </c>
      <c r="C72" s="6" t="s">
        <v>48</v>
      </c>
      <c r="D72" s="6" t="s">
        <v>68</v>
      </c>
      <c r="E72" s="6"/>
      <c r="G72" s="6">
        <v>95</v>
      </c>
      <c r="H72" s="6">
        <v>95</v>
      </c>
      <c r="I72" s="9">
        <v>225</v>
      </c>
      <c r="J72" s="9"/>
      <c r="K72" s="7">
        <v>44004285</v>
      </c>
      <c r="L72" s="5" t="str">
        <f t="shared" si="8"/>
        <v>BZ ASTON KÖŞE DOLAP CAM KAPAKLI</v>
      </c>
      <c r="M72" s="8">
        <v>0.6</v>
      </c>
      <c r="N72" s="8">
        <v>0.55000000000000004</v>
      </c>
      <c r="O72" s="8">
        <v>33627</v>
      </c>
      <c r="P72" s="8">
        <f t="shared" si="9"/>
        <v>15132.149999999998</v>
      </c>
      <c r="Q72" s="8">
        <f t="shared" si="10"/>
        <v>33627</v>
      </c>
      <c r="R72" s="31">
        <f t="shared" si="11"/>
        <v>33600</v>
      </c>
      <c r="T72" s="12"/>
      <c r="U72" s="12">
        <v>40352</v>
      </c>
      <c r="V72" s="8">
        <f t="shared" si="6"/>
        <v>0</v>
      </c>
      <c r="W72" s="8">
        <f t="shared" si="7"/>
        <v>0</v>
      </c>
    </row>
    <row r="73" spans="1:23" ht="21.95" customHeight="1" x14ac:dyDescent="0.2">
      <c r="A73" s="5" t="s">
        <v>17</v>
      </c>
      <c r="B73" s="5" t="s">
        <v>1581</v>
      </c>
      <c r="C73" s="6" t="s">
        <v>48</v>
      </c>
      <c r="D73" s="6" t="s">
        <v>69</v>
      </c>
      <c r="E73" s="6"/>
      <c r="G73" s="6">
        <v>100</v>
      </c>
      <c r="H73" s="6">
        <v>60</v>
      </c>
      <c r="I73" s="9">
        <v>225</v>
      </c>
      <c r="J73" s="9"/>
      <c r="K73" s="7">
        <v>44004286</v>
      </c>
      <c r="L73" s="5" t="str">
        <f t="shared" si="8"/>
        <v>BZ ASTON DOLAP AYAKKABILIKLI MDF KAPAKLI</v>
      </c>
      <c r="M73" s="8">
        <v>0.6</v>
      </c>
      <c r="N73" s="8">
        <v>0.55000000000000004</v>
      </c>
      <c r="O73" s="8">
        <v>69219</v>
      </c>
      <c r="P73" s="8">
        <f t="shared" si="9"/>
        <v>31148.549999999996</v>
      </c>
      <c r="Q73" s="8">
        <f t="shared" si="10"/>
        <v>69219</v>
      </c>
      <c r="R73" s="31">
        <f t="shared" si="11"/>
        <v>69200</v>
      </c>
      <c r="T73" s="12"/>
      <c r="U73" s="12">
        <v>83063</v>
      </c>
      <c r="V73" s="8">
        <f t="shared" si="6"/>
        <v>0</v>
      </c>
      <c r="W73" s="8">
        <f t="shared" si="7"/>
        <v>0</v>
      </c>
    </row>
    <row r="74" spans="1:23" ht="21.95" customHeight="1" x14ac:dyDescent="0.2">
      <c r="A74" s="5" t="s">
        <v>17</v>
      </c>
      <c r="B74" s="5" t="s">
        <v>1581</v>
      </c>
      <c r="C74" s="6" t="s">
        <v>48</v>
      </c>
      <c r="D74" s="6" t="s">
        <v>70</v>
      </c>
      <c r="E74" s="6"/>
      <c r="G74" s="6">
        <v>50</v>
      </c>
      <c r="H74" s="6">
        <v>60</v>
      </c>
      <c r="I74" s="9">
        <v>225</v>
      </c>
      <c r="J74" s="9"/>
      <c r="K74" s="7">
        <v>44004287</v>
      </c>
      <c r="L74" s="5" t="str">
        <f t="shared" si="8"/>
        <v>BZ ASTON DOLAP TEKLİ CAM KAPAKLI</v>
      </c>
      <c r="M74" s="8">
        <v>0.6</v>
      </c>
      <c r="N74" s="8">
        <v>0.55000000000000004</v>
      </c>
      <c r="O74" s="8">
        <v>24200</v>
      </c>
      <c r="P74" s="8">
        <f t="shared" si="9"/>
        <v>10889.999999999998</v>
      </c>
      <c r="Q74" s="8">
        <f t="shared" si="10"/>
        <v>24200</v>
      </c>
      <c r="R74" s="31">
        <f t="shared" si="11"/>
        <v>24200</v>
      </c>
      <c r="T74" s="12"/>
      <c r="U74" s="12">
        <v>29040</v>
      </c>
      <c r="V74" s="8">
        <f t="shared" si="6"/>
        <v>0</v>
      </c>
      <c r="W74" s="8">
        <f t="shared" si="7"/>
        <v>0</v>
      </c>
    </row>
    <row r="75" spans="1:23" ht="21.95" customHeight="1" x14ac:dyDescent="0.2">
      <c r="A75" s="5" t="s">
        <v>17</v>
      </c>
      <c r="B75" s="5" t="s">
        <v>1581</v>
      </c>
      <c r="C75" s="6" t="s">
        <v>48</v>
      </c>
      <c r="D75" s="6" t="s">
        <v>71</v>
      </c>
      <c r="E75" s="6"/>
      <c r="G75" s="6">
        <v>100</v>
      </c>
      <c r="H75" s="6">
        <v>60</v>
      </c>
      <c r="I75" s="9">
        <v>225</v>
      </c>
      <c r="J75" s="9"/>
      <c r="K75" s="7">
        <v>44004288</v>
      </c>
      <c r="L75" s="5" t="str">
        <f t="shared" si="8"/>
        <v>BZ ASTON DOLAP ASKILIKLI MDF KAPAKLI</v>
      </c>
      <c r="M75" s="8">
        <v>0.6</v>
      </c>
      <c r="N75" s="8">
        <v>0.55000000000000004</v>
      </c>
      <c r="O75" s="8">
        <v>39625</v>
      </c>
      <c r="P75" s="8">
        <f t="shared" si="9"/>
        <v>17831.25</v>
      </c>
      <c r="Q75" s="8">
        <f t="shared" si="10"/>
        <v>39625</v>
      </c>
      <c r="R75" s="31">
        <f t="shared" si="11"/>
        <v>39600</v>
      </c>
      <c r="T75" s="12"/>
      <c r="U75" s="12">
        <v>47550</v>
      </c>
      <c r="V75" s="8">
        <f t="shared" si="6"/>
        <v>0</v>
      </c>
      <c r="W75" s="8">
        <f t="shared" si="7"/>
        <v>0</v>
      </c>
    </row>
    <row r="76" spans="1:23" ht="21.95" customHeight="1" x14ac:dyDescent="0.2">
      <c r="A76" s="5" t="s">
        <v>17</v>
      </c>
      <c r="B76" s="5" t="s">
        <v>1581</v>
      </c>
      <c r="C76" s="6" t="s">
        <v>48</v>
      </c>
      <c r="D76" s="6" t="s">
        <v>72</v>
      </c>
      <c r="E76" s="6"/>
      <c r="G76"/>
      <c r="H76"/>
      <c r="I76" s="10"/>
      <c r="J76" s="10"/>
      <c r="K76" s="7">
        <v>44004289</v>
      </c>
      <c r="L76" s="5" t="str">
        <f t="shared" si="8"/>
        <v>BZ ASTON KARYOLA 160CM</v>
      </c>
      <c r="M76" s="8">
        <v>0.6</v>
      </c>
      <c r="N76" s="8">
        <v>0.55000000000000004</v>
      </c>
      <c r="O76" s="8">
        <v>58259</v>
      </c>
      <c r="P76" s="8">
        <f t="shared" si="9"/>
        <v>26216.549999999996</v>
      </c>
      <c r="Q76" s="8">
        <f t="shared" si="10"/>
        <v>58259</v>
      </c>
      <c r="R76" s="31">
        <f t="shared" si="11"/>
        <v>58200</v>
      </c>
      <c r="T76" s="12"/>
      <c r="U76" s="12">
        <v>69911</v>
      </c>
      <c r="V76" s="8">
        <f t="shared" si="6"/>
        <v>0</v>
      </c>
      <c r="W76" s="8">
        <f t="shared" si="7"/>
        <v>0</v>
      </c>
    </row>
    <row r="77" spans="1:23" ht="21.95" customHeight="1" x14ac:dyDescent="0.2">
      <c r="A77" s="5" t="s">
        <v>17</v>
      </c>
      <c r="B77" s="5" t="s">
        <v>1581</v>
      </c>
      <c r="C77" s="6" t="s">
        <v>48</v>
      </c>
      <c r="D77" s="6" t="s">
        <v>73</v>
      </c>
      <c r="E77" s="6"/>
      <c r="G77"/>
      <c r="H77"/>
      <c r="I77" s="10"/>
      <c r="J77" s="10"/>
      <c r="K77" s="7">
        <v>44004290</v>
      </c>
      <c r="L77" s="5" t="str">
        <f t="shared" si="8"/>
        <v>BZ ASTON KARYOLA 180CM</v>
      </c>
      <c r="M77" s="8">
        <v>0.6</v>
      </c>
      <c r="N77" s="8">
        <v>0.55000000000000004</v>
      </c>
      <c r="O77" s="8">
        <v>58259</v>
      </c>
      <c r="P77" s="8">
        <f t="shared" si="9"/>
        <v>26216.549999999996</v>
      </c>
      <c r="Q77" s="8">
        <f t="shared" si="10"/>
        <v>58259</v>
      </c>
      <c r="R77" s="31">
        <f t="shared" si="11"/>
        <v>58200</v>
      </c>
      <c r="T77" s="12"/>
      <c r="U77" s="12">
        <v>69911</v>
      </c>
      <c r="V77" s="8">
        <f t="shared" si="6"/>
        <v>0</v>
      </c>
      <c r="W77" s="8">
        <f t="shared" si="7"/>
        <v>0</v>
      </c>
    </row>
    <row r="78" spans="1:23" ht="21.95" customHeight="1" x14ac:dyDescent="0.2">
      <c r="A78" s="5" t="s">
        <v>17</v>
      </c>
      <c r="B78" s="5" t="s">
        <v>1581</v>
      </c>
      <c r="C78" s="6" t="s">
        <v>48</v>
      </c>
      <c r="D78" s="6" t="s">
        <v>74</v>
      </c>
      <c r="E78" s="6"/>
      <c r="G78"/>
      <c r="H78"/>
      <c r="I78" s="10"/>
      <c r="J78" s="10"/>
      <c r="K78" s="7">
        <v>44004291</v>
      </c>
      <c r="L78" s="5" t="str">
        <f t="shared" si="8"/>
        <v>BZ ASTON KARYOLA 200CM</v>
      </c>
      <c r="M78" s="8">
        <v>0.6</v>
      </c>
      <c r="N78" s="8">
        <v>0.55000000000000004</v>
      </c>
      <c r="O78" s="8">
        <v>58259</v>
      </c>
      <c r="P78" s="8">
        <f t="shared" si="9"/>
        <v>26216.549999999996</v>
      </c>
      <c r="Q78" s="8">
        <f t="shared" si="10"/>
        <v>58259</v>
      </c>
      <c r="R78" s="31">
        <f t="shared" si="11"/>
        <v>58200</v>
      </c>
      <c r="T78" s="12"/>
      <c r="U78" s="12">
        <v>69911</v>
      </c>
      <c r="V78" s="8">
        <f t="shared" si="6"/>
        <v>0</v>
      </c>
      <c r="W78" s="8">
        <f t="shared" si="7"/>
        <v>0</v>
      </c>
    </row>
    <row r="79" spans="1:23" ht="21.95" customHeight="1" x14ac:dyDescent="0.2">
      <c r="A79" s="5" t="s">
        <v>17</v>
      </c>
      <c r="B79" s="5" t="s">
        <v>1581</v>
      </c>
      <c r="C79" s="6" t="s">
        <v>48</v>
      </c>
      <c r="D79" s="6" t="s">
        <v>75</v>
      </c>
      <c r="E79" s="6"/>
      <c r="G79"/>
      <c r="H79"/>
      <c r="I79" s="10"/>
      <c r="J79" s="10"/>
      <c r="K79" s="7">
        <v>44004292</v>
      </c>
      <c r="L79" s="5" t="str">
        <f t="shared" si="8"/>
        <v>BZ ASTON KARYOLA BAZALI 160CM</v>
      </c>
      <c r="M79" s="8">
        <v>0.6</v>
      </c>
      <c r="N79" s="8">
        <v>0.55000000000000004</v>
      </c>
      <c r="O79" s="8">
        <v>73628</v>
      </c>
      <c r="P79" s="8">
        <f t="shared" si="9"/>
        <v>33132.6</v>
      </c>
      <c r="Q79" s="8">
        <f t="shared" si="10"/>
        <v>73628</v>
      </c>
      <c r="R79" s="31">
        <f t="shared" si="11"/>
        <v>73600</v>
      </c>
      <c r="T79" s="12"/>
      <c r="U79" s="12">
        <v>88354</v>
      </c>
      <c r="V79" s="8">
        <f t="shared" si="6"/>
        <v>0</v>
      </c>
      <c r="W79" s="8">
        <f t="shared" si="7"/>
        <v>0</v>
      </c>
    </row>
    <row r="80" spans="1:23" ht="21.95" customHeight="1" x14ac:dyDescent="0.2">
      <c r="A80" s="5" t="s">
        <v>17</v>
      </c>
      <c r="B80" s="5" t="s">
        <v>1581</v>
      </c>
      <c r="C80" s="6" t="s">
        <v>48</v>
      </c>
      <c r="D80" s="6" t="s">
        <v>76</v>
      </c>
      <c r="E80" s="6"/>
      <c r="G80"/>
      <c r="H80"/>
      <c r="I80" s="10"/>
      <c r="J80" s="10"/>
      <c r="K80" s="7">
        <v>44004293</v>
      </c>
      <c r="L80" s="5" t="str">
        <f t="shared" si="8"/>
        <v>BZ ASTON KARYOLA BAZALI 180CM</v>
      </c>
      <c r="M80" s="8">
        <v>0.6</v>
      </c>
      <c r="N80" s="8">
        <v>0.55000000000000004</v>
      </c>
      <c r="O80" s="8">
        <v>73628</v>
      </c>
      <c r="P80" s="8">
        <f t="shared" si="9"/>
        <v>33132.6</v>
      </c>
      <c r="Q80" s="8">
        <f t="shared" si="10"/>
        <v>73628</v>
      </c>
      <c r="R80" s="31">
        <f t="shared" si="11"/>
        <v>73600</v>
      </c>
      <c r="T80" s="12"/>
      <c r="U80" s="12">
        <v>88354</v>
      </c>
      <c r="V80" s="8">
        <f t="shared" si="6"/>
        <v>0</v>
      </c>
      <c r="W80" s="8">
        <f t="shared" si="7"/>
        <v>0</v>
      </c>
    </row>
    <row r="81" spans="1:23" ht="21.95" customHeight="1" x14ac:dyDescent="0.2">
      <c r="A81" s="5" t="s">
        <v>17</v>
      </c>
      <c r="B81" s="5" t="s">
        <v>1581</v>
      </c>
      <c r="C81" s="6" t="s">
        <v>48</v>
      </c>
      <c r="D81" s="6" t="s">
        <v>77</v>
      </c>
      <c r="E81" s="6"/>
      <c r="G81"/>
      <c r="H81"/>
      <c r="I81" s="10"/>
      <c r="J81" s="10"/>
      <c r="K81" s="7">
        <v>44004294</v>
      </c>
      <c r="L81" s="5" t="str">
        <f t="shared" si="8"/>
        <v>BZ ASTON KARYOLA BAZALI 200CM</v>
      </c>
      <c r="M81" s="8">
        <v>0.6</v>
      </c>
      <c r="N81" s="8">
        <v>0.55000000000000004</v>
      </c>
      <c r="O81" s="8">
        <v>73628</v>
      </c>
      <c r="P81" s="8">
        <f t="shared" si="9"/>
        <v>33132.6</v>
      </c>
      <c r="Q81" s="8">
        <f t="shared" si="10"/>
        <v>73628</v>
      </c>
      <c r="R81" s="31">
        <f t="shared" si="11"/>
        <v>73600</v>
      </c>
      <c r="T81" s="12"/>
      <c r="U81" s="12">
        <v>88354</v>
      </c>
      <c r="V81" s="8">
        <f t="shared" si="6"/>
        <v>0</v>
      </c>
      <c r="W81" s="8">
        <f t="shared" si="7"/>
        <v>0</v>
      </c>
    </row>
    <row r="82" spans="1:23" ht="21.95" customHeight="1" x14ac:dyDescent="0.2">
      <c r="A82" s="5" t="s">
        <v>17</v>
      </c>
      <c r="B82" s="5" t="s">
        <v>1581</v>
      </c>
      <c r="C82" s="6" t="s">
        <v>48</v>
      </c>
      <c r="D82" s="6" t="s">
        <v>78</v>
      </c>
      <c r="E82" s="6"/>
      <c r="F82" s="6"/>
      <c r="G82" s="6">
        <v>142</v>
      </c>
      <c r="H82" s="6">
        <v>54</v>
      </c>
      <c r="I82" s="9">
        <v>96</v>
      </c>
      <c r="J82" s="9"/>
      <c r="K82" s="7">
        <v>44004295</v>
      </c>
      <c r="L82" s="5" t="str">
        <f t="shared" si="8"/>
        <v>BZ ASTON ŞİFONYER</v>
      </c>
      <c r="M82" s="8">
        <v>0.6</v>
      </c>
      <c r="N82" s="8">
        <v>0.55000000000000004</v>
      </c>
      <c r="O82" s="8">
        <v>49455</v>
      </c>
      <c r="P82" s="8">
        <f t="shared" si="9"/>
        <v>22254.749999999996</v>
      </c>
      <c r="Q82" s="8">
        <f t="shared" si="10"/>
        <v>49455</v>
      </c>
      <c r="R82" s="31">
        <f t="shared" si="11"/>
        <v>49400</v>
      </c>
      <c r="T82" s="12"/>
      <c r="U82" s="12">
        <v>59346</v>
      </c>
      <c r="V82" s="8">
        <f t="shared" si="6"/>
        <v>0</v>
      </c>
      <c r="W82" s="8">
        <f t="shared" si="7"/>
        <v>0</v>
      </c>
    </row>
    <row r="83" spans="1:23" ht="21.95" customHeight="1" x14ac:dyDescent="0.2">
      <c r="A83" s="5" t="s">
        <v>17</v>
      </c>
      <c r="B83" s="5" t="s">
        <v>1581</v>
      </c>
      <c r="C83" s="6" t="s">
        <v>48</v>
      </c>
      <c r="D83" s="6" t="s">
        <v>79</v>
      </c>
      <c r="E83" s="6"/>
      <c r="F83" s="6"/>
      <c r="G83" s="6">
        <v>74</v>
      </c>
      <c r="H83" s="6">
        <v>4</v>
      </c>
      <c r="I83" s="9">
        <v>57</v>
      </c>
      <c r="J83" s="9"/>
      <c r="K83" s="7">
        <v>44004296</v>
      </c>
      <c r="L83" s="5" t="str">
        <f t="shared" si="8"/>
        <v>BZ ASTON ŞİFONYER AYNASI</v>
      </c>
      <c r="M83" s="8">
        <v>0.6</v>
      </c>
      <c r="N83" s="8">
        <v>0.55000000000000004</v>
      </c>
      <c r="O83" s="8">
        <v>10465</v>
      </c>
      <c r="P83" s="8">
        <f t="shared" si="9"/>
        <v>4709.2499999999991</v>
      </c>
      <c r="Q83" s="8">
        <f t="shared" si="10"/>
        <v>10465</v>
      </c>
      <c r="R83" s="31">
        <f t="shared" si="11"/>
        <v>10400</v>
      </c>
      <c r="T83" s="12"/>
      <c r="U83" s="12">
        <v>12558</v>
      </c>
      <c r="V83" s="8">
        <f t="shared" si="6"/>
        <v>0</v>
      </c>
      <c r="W83" s="8">
        <f t="shared" si="7"/>
        <v>0</v>
      </c>
    </row>
    <row r="84" spans="1:23" ht="21.95" customHeight="1" x14ac:dyDescent="0.2">
      <c r="A84" s="5" t="s">
        <v>17</v>
      </c>
      <c r="B84" s="5" t="s">
        <v>1581</v>
      </c>
      <c r="C84" s="6" t="s">
        <v>48</v>
      </c>
      <c r="D84" s="6" t="s">
        <v>80</v>
      </c>
      <c r="E84" s="6"/>
      <c r="F84" s="6"/>
      <c r="G84" s="6">
        <v>65</v>
      </c>
      <c r="H84" s="6">
        <v>47</v>
      </c>
      <c r="I84" s="9">
        <v>45</v>
      </c>
      <c r="J84" s="9"/>
      <c r="K84" s="7">
        <v>44004297</v>
      </c>
      <c r="L84" s="5" t="str">
        <f t="shared" si="8"/>
        <v>BZ ASTON KOMODİN X2</v>
      </c>
      <c r="M84" s="8">
        <v>0.6</v>
      </c>
      <c r="N84" s="8">
        <v>0.55000000000000004</v>
      </c>
      <c r="O84" s="8">
        <v>41968</v>
      </c>
      <c r="P84" s="8">
        <f t="shared" si="9"/>
        <v>18885.599999999999</v>
      </c>
      <c r="Q84" s="8">
        <f t="shared" si="10"/>
        <v>41968</v>
      </c>
      <c r="R84" s="31">
        <f t="shared" si="11"/>
        <v>41900</v>
      </c>
      <c r="T84" s="12"/>
      <c r="U84" s="12">
        <v>50362</v>
      </c>
      <c r="V84" s="8">
        <f t="shared" si="6"/>
        <v>0</v>
      </c>
      <c r="W84" s="8">
        <f t="shared" si="7"/>
        <v>0</v>
      </c>
    </row>
    <row r="85" spans="1:23" ht="21.95" customHeight="1" x14ac:dyDescent="0.2">
      <c r="A85" s="5" t="s">
        <v>17</v>
      </c>
      <c r="B85" s="5" t="s">
        <v>1581</v>
      </c>
      <c r="C85" s="6" t="s">
        <v>48</v>
      </c>
      <c r="D85" s="6" t="s">
        <v>81</v>
      </c>
      <c r="E85" s="6"/>
      <c r="F85" s="6"/>
      <c r="G85" s="6"/>
      <c r="H85" s="6"/>
      <c r="I85" s="9"/>
      <c r="J85" s="9"/>
      <c r="K85" s="7">
        <v>44004298</v>
      </c>
      <c r="L85" s="5" t="str">
        <f t="shared" si="8"/>
        <v>BZ ASTON KUMANDALI ÇİFT ADAPTÖR</v>
      </c>
      <c r="M85" s="8">
        <v>0.6</v>
      </c>
      <c r="N85" s="8">
        <v>0.55000000000000004</v>
      </c>
      <c r="O85" s="8">
        <v>7382</v>
      </c>
      <c r="P85" s="8">
        <f t="shared" si="9"/>
        <v>3321.8999999999996</v>
      </c>
      <c r="Q85" s="8">
        <f t="shared" si="10"/>
        <v>7382</v>
      </c>
      <c r="R85" s="31">
        <f t="shared" si="11"/>
        <v>7300</v>
      </c>
      <c r="T85" s="12"/>
      <c r="U85" s="12">
        <v>8858</v>
      </c>
      <c r="V85" s="8">
        <f t="shared" si="6"/>
        <v>0</v>
      </c>
      <c r="W85" s="8">
        <f t="shared" si="7"/>
        <v>0</v>
      </c>
    </row>
    <row r="86" spans="1:23" ht="21.95" customHeight="1" x14ac:dyDescent="0.2">
      <c r="A86" s="5" t="s">
        <v>17</v>
      </c>
      <c r="B86" s="5" t="s">
        <v>1581</v>
      </c>
      <c r="C86" s="6" t="s">
        <v>48</v>
      </c>
      <c r="D86" s="6" t="s">
        <v>82</v>
      </c>
      <c r="E86" s="6"/>
      <c r="F86" s="6"/>
      <c r="G86" s="6">
        <v>52</v>
      </c>
      <c r="H86" s="6">
        <v>50</v>
      </c>
      <c r="I86" s="9">
        <v>180</v>
      </c>
      <c r="J86" s="9"/>
      <c r="K86" s="7">
        <v>44004299</v>
      </c>
      <c r="L86" s="5" t="str">
        <f t="shared" si="8"/>
        <v>BZ ASTON BOY AYNASI</v>
      </c>
      <c r="M86" s="8">
        <v>0.6</v>
      </c>
      <c r="N86" s="8">
        <v>0.55000000000000004</v>
      </c>
      <c r="O86" s="8">
        <v>36105</v>
      </c>
      <c r="P86" s="8">
        <f t="shared" si="9"/>
        <v>16247.249999999998</v>
      </c>
      <c r="Q86" s="8">
        <f t="shared" si="10"/>
        <v>36105</v>
      </c>
      <c r="R86" s="31">
        <f t="shared" si="11"/>
        <v>36100</v>
      </c>
      <c r="T86" s="12"/>
      <c r="U86" s="12">
        <v>43326</v>
      </c>
      <c r="V86" s="8">
        <f t="shared" si="6"/>
        <v>0</v>
      </c>
      <c r="W86" s="8">
        <f t="shared" si="7"/>
        <v>0</v>
      </c>
    </row>
    <row r="87" spans="1:23" ht="21.95" customHeight="1" x14ac:dyDescent="0.2">
      <c r="A87" s="5" t="s">
        <v>17</v>
      </c>
      <c r="B87" s="5" t="s">
        <v>1581</v>
      </c>
      <c r="C87" s="6" t="s">
        <v>48</v>
      </c>
      <c r="D87" s="6" t="s">
        <v>83</v>
      </c>
      <c r="E87" s="6"/>
      <c r="G87" s="6">
        <v>112</v>
      </c>
      <c r="H87" s="6">
        <v>90</v>
      </c>
      <c r="I87" s="9">
        <v>86</v>
      </c>
      <c r="J87" s="9"/>
      <c r="K87" s="7">
        <v>44004300</v>
      </c>
      <c r="L87" s="5" t="str">
        <f t="shared" si="8"/>
        <v>BZ ASTON ADA DOLAP</v>
      </c>
      <c r="M87" s="8">
        <v>0.6</v>
      </c>
      <c r="N87" s="8">
        <v>0.55000000000000004</v>
      </c>
      <c r="O87" s="8">
        <v>59547</v>
      </c>
      <c r="P87" s="8">
        <f t="shared" si="9"/>
        <v>26796.149999999998</v>
      </c>
      <c r="Q87" s="8">
        <f t="shared" si="10"/>
        <v>59547</v>
      </c>
      <c r="R87" s="31">
        <f t="shared" si="11"/>
        <v>59500</v>
      </c>
      <c r="T87" s="12"/>
      <c r="U87" s="12">
        <v>71456</v>
      </c>
      <c r="V87" s="8">
        <f t="shared" si="6"/>
        <v>0</v>
      </c>
      <c r="W87" s="8">
        <f t="shared" si="7"/>
        <v>0</v>
      </c>
    </row>
    <row r="88" spans="1:23" ht="21.95" customHeight="1" x14ac:dyDescent="0.2">
      <c r="A88" s="5" t="s">
        <v>17</v>
      </c>
      <c r="B88" s="5" t="s">
        <v>1581</v>
      </c>
      <c r="C88" s="6" t="s">
        <v>84</v>
      </c>
      <c r="D88" s="6" t="s">
        <v>19</v>
      </c>
      <c r="E88" s="6"/>
      <c r="G88" s="6">
        <v>244</v>
      </c>
      <c r="H88" s="6">
        <v>50</v>
      </c>
      <c r="I88" s="9">
        <v>80</v>
      </c>
      <c r="J88" s="9"/>
      <c r="K88" s="7">
        <v>44004301</v>
      </c>
      <c r="L88" s="5" t="str">
        <f t="shared" si="8"/>
        <v>BZ MUSTANG KONSOL 4 KAPAKLI</v>
      </c>
      <c r="M88" s="8">
        <v>0.6</v>
      </c>
      <c r="N88" s="8">
        <v>0.55000000000000004</v>
      </c>
      <c r="O88" s="8">
        <v>67245</v>
      </c>
      <c r="P88" s="8">
        <f t="shared" si="9"/>
        <v>30260.249999999996</v>
      </c>
      <c r="Q88" s="8">
        <f t="shared" si="10"/>
        <v>67245</v>
      </c>
      <c r="R88" s="31">
        <f t="shared" si="11"/>
        <v>67200</v>
      </c>
      <c r="T88" s="12"/>
      <c r="U88" s="12">
        <v>80694</v>
      </c>
      <c r="V88" s="8">
        <f t="shared" si="6"/>
        <v>0</v>
      </c>
      <c r="W88" s="8">
        <f t="shared" si="7"/>
        <v>0</v>
      </c>
    </row>
    <row r="89" spans="1:23" ht="21.95" customHeight="1" x14ac:dyDescent="0.2">
      <c r="A89" s="5" t="s">
        <v>17</v>
      </c>
      <c r="B89" s="5" t="s">
        <v>1581</v>
      </c>
      <c r="C89" s="6" t="s">
        <v>84</v>
      </c>
      <c r="D89" s="6" t="s">
        <v>20</v>
      </c>
      <c r="E89" s="6"/>
      <c r="F89" s="6"/>
      <c r="G89" s="6">
        <v>185</v>
      </c>
      <c r="H89" s="6">
        <v>50</v>
      </c>
      <c r="I89" s="9">
        <v>80</v>
      </c>
      <c r="J89" s="9"/>
      <c r="K89" s="7">
        <v>44004302</v>
      </c>
      <c r="L89" s="5" t="str">
        <f t="shared" si="8"/>
        <v>BZ MUSTANG KONSOL 3 KAPAKLI</v>
      </c>
      <c r="M89" s="8">
        <v>0.6</v>
      </c>
      <c r="N89" s="8">
        <v>0.55000000000000004</v>
      </c>
      <c r="O89" s="8">
        <v>67245</v>
      </c>
      <c r="P89" s="8">
        <f t="shared" si="9"/>
        <v>30260.249999999996</v>
      </c>
      <c r="Q89" s="8">
        <f t="shared" si="10"/>
        <v>67245</v>
      </c>
      <c r="R89" s="31">
        <f t="shared" si="11"/>
        <v>67200</v>
      </c>
      <c r="T89" s="12"/>
      <c r="U89" s="12">
        <v>80694</v>
      </c>
      <c r="V89" s="8">
        <f t="shared" si="6"/>
        <v>0</v>
      </c>
      <c r="W89" s="8">
        <f t="shared" si="7"/>
        <v>0</v>
      </c>
    </row>
    <row r="90" spans="1:23" ht="21.95" customHeight="1" x14ac:dyDescent="0.2">
      <c r="A90" s="5" t="s">
        <v>17</v>
      </c>
      <c r="B90" s="5" t="s">
        <v>1581</v>
      </c>
      <c r="C90" s="6" t="s">
        <v>84</v>
      </c>
      <c r="D90" s="6" t="s">
        <v>85</v>
      </c>
      <c r="E90" s="6"/>
      <c r="F90" s="6"/>
      <c r="G90" s="6">
        <v>125</v>
      </c>
      <c r="H90" s="6">
        <v>4</v>
      </c>
      <c r="I90" s="9">
        <v>107</v>
      </c>
      <c r="J90" s="9"/>
      <c r="K90" s="7">
        <v>44004303</v>
      </c>
      <c r="L90" s="5" t="str">
        <f t="shared" si="8"/>
        <v>BZ MUSTANG KONSOL AYNASI SAATLİ</v>
      </c>
      <c r="M90" s="8">
        <v>0.6</v>
      </c>
      <c r="N90" s="8">
        <v>0.55000000000000004</v>
      </c>
      <c r="O90" s="8">
        <v>24200</v>
      </c>
      <c r="P90" s="8">
        <f t="shared" si="9"/>
        <v>10889.999999999998</v>
      </c>
      <c r="Q90" s="8">
        <f t="shared" si="10"/>
        <v>24200</v>
      </c>
      <c r="R90" s="31">
        <f t="shared" si="11"/>
        <v>24200</v>
      </c>
      <c r="T90" s="12"/>
      <c r="U90" s="12">
        <v>29040</v>
      </c>
      <c r="V90" s="8">
        <f t="shared" si="6"/>
        <v>0</v>
      </c>
      <c r="W90" s="8">
        <f t="shared" si="7"/>
        <v>0</v>
      </c>
    </row>
    <row r="91" spans="1:23" ht="21.95" customHeight="1" x14ac:dyDescent="0.2">
      <c r="A91" s="5" t="s">
        <v>17</v>
      </c>
      <c r="B91" s="5" t="s">
        <v>1581</v>
      </c>
      <c r="C91" s="6" t="s">
        <v>84</v>
      </c>
      <c r="D91" s="6" t="s">
        <v>22</v>
      </c>
      <c r="E91" s="6"/>
      <c r="G91" s="6">
        <v>160</v>
      </c>
      <c r="H91" s="6">
        <v>100</v>
      </c>
      <c r="I91" s="9">
        <v>75</v>
      </c>
      <c r="J91" s="9"/>
      <c r="K91" s="7">
        <v>44004304</v>
      </c>
      <c r="L91" s="5" t="str">
        <f t="shared" si="8"/>
        <v>BZ MUSTANG MASA 160CM</v>
      </c>
      <c r="M91" s="8">
        <v>0.6</v>
      </c>
      <c r="N91" s="8">
        <v>0.55000000000000004</v>
      </c>
      <c r="O91" s="8">
        <v>64039</v>
      </c>
      <c r="P91" s="8">
        <f t="shared" si="9"/>
        <v>28817.549999999996</v>
      </c>
      <c r="Q91" s="8">
        <f t="shared" si="10"/>
        <v>64039</v>
      </c>
      <c r="R91" s="31">
        <f t="shared" si="11"/>
        <v>64000</v>
      </c>
      <c r="T91" s="12"/>
      <c r="U91" s="12">
        <v>76847</v>
      </c>
      <c r="V91" s="8">
        <f t="shared" si="6"/>
        <v>0</v>
      </c>
      <c r="W91" s="8">
        <f t="shared" si="7"/>
        <v>0</v>
      </c>
    </row>
    <row r="92" spans="1:23" ht="21.95" customHeight="1" x14ac:dyDescent="0.2">
      <c r="A92" s="5" t="s">
        <v>17</v>
      </c>
      <c r="B92" s="5" t="s">
        <v>1581</v>
      </c>
      <c r="C92" s="6" t="s">
        <v>84</v>
      </c>
      <c r="D92" s="6" t="s">
        <v>23</v>
      </c>
      <c r="E92" s="6"/>
      <c r="G92" s="6">
        <v>200</v>
      </c>
      <c r="H92" s="6">
        <v>100</v>
      </c>
      <c r="I92" s="9">
        <v>75</v>
      </c>
      <c r="J92" s="9"/>
      <c r="K92" s="7">
        <v>44004305</v>
      </c>
      <c r="L92" s="5" t="str">
        <f t="shared" si="8"/>
        <v>BZ MUSTANG MASA 200CM</v>
      </c>
      <c r="M92" s="8">
        <v>0.6</v>
      </c>
      <c r="N92" s="8">
        <v>0.55000000000000004</v>
      </c>
      <c r="O92" s="8">
        <v>64039</v>
      </c>
      <c r="P92" s="8">
        <f t="shared" si="9"/>
        <v>28817.549999999996</v>
      </c>
      <c r="Q92" s="8">
        <f t="shared" si="10"/>
        <v>64039</v>
      </c>
      <c r="R92" s="31">
        <f t="shared" si="11"/>
        <v>64000</v>
      </c>
      <c r="T92" s="12"/>
      <c r="U92" s="12">
        <v>76847</v>
      </c>
      <c r="V92" s="8">
        <f t="shared" si="6"/>
        <v>0</v>
      </c>
      <c r="W92" s="8">
        <f t="shared" si="7"/>
        <v>0</v>
      </c>
    </row>
    <row r="93" spans="1:23" ht="21.95" customHeight="1" x14ac:dyDescent="0.2">
      <c r="A93" s="5" t="s">
        <v>17</v>
      </c>
      <c r="B93" s="5" t="s">
        <v>1581</v>
      </c>
      <c r="C93" s="6" t="s">
        <v>84</v>
      </c>
      <c r="D93" s="6" t="s">
        <v>24</v>
      </c>
      <c r="E93" s="6"/>
      <c r="F93" s="6"/>
      <c r="G93" s="6">
        <v>240</v>
      </c>
      <c r="H93" s="6">
        <v>110</v>
      </c>
      <c r="I93" s="9">
        <v>75</v>
      </c>
      <c r="J93" s="9"/>
      <c r="K93" s="7">
        <v>44004306</v>
      </c>
      <c r="L93" s="5" t="str">
        <f t="shared" si="8"/>
        <v>BZ MUSTANG MASA 240CM</v>
      </c>
      <c r="M93" s="8">
        <v>0.6</v>
      </c>
      <c r="N93" s="8">
        <v>0.55000000000000004</v>
      </c>
      <c r="O93" s="8">
        <v>70978</v>
      </c>
      <c r="P93" s="8">
        <f t="shared" si="9"/>
        <v>31940.1</v>
      </c>
      <c r="Q93" s="8">
        <f t="shared" si="10"/>
        <v>70978</v>
      </c>
      <c r="R93" s="31">
        <f t="shared" si="11"/>
        <v>70900</v>
      </c>
      <c r="T93" s="12"/>
      <c r="U93" s="12">
        <v>85174</v>
      </c>
      <c r="V93" s="8">
        <f t="shared" si="6"/>
        <v>0</v>
      </c>
      <c r="W93" s="8">
        <f t="shared" si="7"/>
        <v>0</v>
      </c>
    </row>
    <row r="94" spans="1:23" ht="21.95" customHeight="1" x14ac:dyDescent="0.2">
      <c r="A94" s="5" t="s">
        <v>17</v>
      </c>
      <c r="B94" s="5" t="s">
        <v>1581</v>
      </c>
      <c r="C94" s="6" t="s">
        <v>84</v>
      </c>
      <c r="D94" s="6" t="s">
        <v>25</v>
      </c>
      <c r="E94" s="6"/>
      <c r="G94" s="6">
        <v>56</v>
      </c>
      <c r="H94" s="6">
        <v>62</v>
      </c>
      <c r="I94" s="9">
        <v>77</v>
      </c>
      <c r="J94" s="9"/>
      <c r="K94" s="7">
        <v>44004307</v>
      </c>
      <c r="L94" s="5" t="str">
        <f t="shared" si="8"/>
        <v>BZ MUSTANG SANDALYE</v>
      </c>
      <c r="M94" s="8">
        <v>0.6</v>
      </c>
      <c r="N94" s="8">
        <v>0.55000000000000004</v>
      </c>
      <c r="O94" s="8">
        <v>17620</v>
      </c>
      <c r="P94" s="8">
        <f t="shared" si="9"/>
        <v>7928.9999999999991</v>
      </c>
      <c r="Q94" s="8">
        <f t="shared" si="10"/>
        <v>17620</v>
      </c>
      <c r="R94" s="31">
        <f t="shared" si="11"/>
        <v>17600</v>
      </c>
      <c r="T94" s="12"/>
      <c r="U94" s="12">
        <v>21144</v>
      </c>
      <c r="V94" s="8">
        <f t="shared" si="6"/>
        <v>0</v>
      </c>
      <c r="W94" s="8">
        <f t="shared" si="7"/>
        <v>0</v>
      </c>
    </row>
    <row r="95" spans="1:23" ht="21.95" customHeight="1" x14ac:dyDescent="0.2">
      <c r="A95" s="5" t="s">
        <v>17</v>
      </c>
      <c r="B95" s="5" t="s">
        <v>1581</v>
      </c>
      <c r="C95" s="6" t="s">
        <v>84</v>
      </c>
      <c r="D95" s="6" t="s">
        <v>26</v>
      </c>
      <c r="E95" s="6"/>
      <c r="F95" s="11"/>
      <c r="G95" s="6">
        <v>236</v>
      </c>
      <c r="H95" s="6">
        <v>51</v>
      </c>
      <c r="I95" s="9">
        <v>50</v>
      </c>
      <c r="J95" s="9"/>
      <c r="K95" s="7">
        <v>44004308</v>
      </c>
      <c r="L95" s="5" t="str">
        <f t="shared" si="8"/>
        <v>BZ MUSTANG TV ÜNİTESİ ALT BLOK 4 KAPAKLI</v>
      </c>
      <c r="M95" s="8">
        <v>0.6</v>
      </c>
      <c r="N95" s="8">
        <v>0.55000000000000004</v>
      </c>
      <c r="O95" s="8">
        <v>58545</v>
      </c>
      <c r="P95" s="8">
        <f t="shared" si="9"/>
        <v>26345.249999999996</v>
      </c>
      <c r="Q95" s="8">
        <f t="shared" si="10"/>
        <v>58545</v>
      </c>
      <c r="R95" s="31">
        <f t="shared" si="11"/>
        <v>58500</v>
      </c>
      <c r="T95" s="12"/>
      <c r="U95" s="12">
        <v>70254</v>
      </c>
      <c r="V95" s="8">
        <f t="shared" si="6"/>
        <v>0</v>
      </c>
      <c r="W95" s="8">
        <f t="shared" si="7"/>
        <v>0</v>
      </c>
    </row>
    <row r="96" spans="1:23" ht="21.95" customHeight="1" x14ac:dyDescent="0.2">
      <c r="A96" s="5" t="s">
        <v>17</v>
      </c>
      <c r="B96" s="5" t="s">
        <v>1581</v>
      </c>
      <c r="C96" s="6" t="s">
        <v>84</v>
      </c>
      <c r="D96" s="6" t="s">
        <v>27</v>
      </c>
      <c r="E96" s="6"/>
      <c r="F96" s="6"/>
      <c r="G96" s="6">
        <v>178</v>
      </c>
      <c r="H96" s="6">
        <v>50</v>
      </c>
      <c r="I96" s="9">
        <v>50</v>
      </c>
      <c r="J96" s="9"/>
      <c r="K96" s="7">
        <v>44004309</v>
      </c>
      <c r="L96" s="5" t="str">
        <f t="shared" si="8"/>
        <v>BZ MUSTANG TV ÜNİTESİ ALT BLOK 3 KAPAKLI</v>
      </c>
      <c r="M96" s="8">
        <v>0.6</v>
      </c>
      <c r="N96" s="8">
        <v>0.55000000000000004</v>
      </c>
      <c r="O96" s="8">
        <v>58545</v>
      </c>
      <c r="P96" s="8">
        <f t="shared" si="9"/>
        <v>26345.249999999996</v>
      </c>
      <c r="Q96" s="8">
        <f t="shared" si="10"/>
        <v>58545</v>
      </c>
      <c r="R96" s="31">
        <f t="shared" si="11"/>
        <v>58500</v>
      </c>
      <c r="T96" s="12"/>
      <c r="U96" s="12">
        <v>70254</v>
      </c>
      <c r="V96" s="8">
        <f t="shared" si="6"/>
        <v>0</v>
      </c>
      <c r="W96" s="8">
        <f t="shared" si="7"/>
        <v>0</v>
      </c>
    </row>
    <row r="97" spans="1:23" ht="21.95" customHeight="1" x14ac:dyDescent="0.2">
      <c r="A97" s="5" t="s">
        <v>17</v>
      </c>
      <c r="B97" s="5" t="s">
        <v>1581</v>
      </c>
      <c r="C97" s="6" t="s">
        <v>84</v>
      </c>
      <c r="D97" s="6" t="s">
        <v>86</v>
      </c>
      <c r="E97" s="6"/>
      <c r="F97" s="6"/>
      <c r="G97" s="6">
        <v>34</v>
      </c>
      <c r="H97" s="6">
        <v>63</v>
      </c>
      <c r="I97" s="9">
        <v>30</v>
      </c>
      <c r="J97" s="9"/>
      <c r="K97" s="7">
        <v>44004310</v>
      </c>
      <c r="L97" s="5" t="str">
        <f t="shared" si="8"/>
        <v>BZ MUSTANG TV ÜNİTESİ ÜST MODÜL KAPAKLI</v>
      </c>
      <c r="M97" s="8">
        <v>0.6</v>
      </c>
      <c r="N97" s="8">
        <v>0.55000000000000004</v>
      </c>
      <c r="O97" s="8">
        <v>10801</v>
      </c>
      <c r="P97" s="8">
        <f t="shared" si="9"/>
        <v>4860.45</v>
      </c>
      <c r="Q97" s="8">
        <f t="shared" si="10"/>
        <v>10801</v>
      </c>
      <c r="R97" s="31">
        <f t="shared" si="11"/>
        <v>10800</v>
      </c>
      <c r="T97" s="12"/>
      <c r="U97" s="12">
        <v>12961</v>
      </c>
      <c r="V97" s="8">
        <f t="shared" si="6"/>
        <v>0</v>
      </c>
      <c r="W97" s="8">
        <f t="shared" si="7"/>
        <v>0</v>
      </c>
    </row>
    <row r="98" spans="1:23" ht="21.95" customHeight="1" x14ac:dyDescent="0.2">
      <c r="A98" s="5" t="s">
        <v>17</v>
      </c>
      <c r="B98" s="5" t="s">
        <v>1581</v>
      </c>
      <c r="C98" s="6" t="s">
        <v>84</v>
      </c>
      <c r="D98" s="6" t="s">
        <v>87</v>
      </c>
      <c r="E98" s="6"/>
      <c r="G98" s="6">
        <v>175</v>
      </c>
      <c r="H98" s="6">
        <v>17</v>
      </c>
      <c r="I98" s="9">
        <v>25</v>
      </c>
      <c r="J98" s="9"/>
      <c r="K98" s="7">
        <v>44004311</v>
      </c>
      <c r="L98" s="5" t="str">
        <f t="shared" si="8"/>
        <v>BZ MUSTANG TV ÜNİTESİ ÜST MODÜL RAF</v>
      </c>
      <c r="M98" s="8">
        <v>0.6</v>
      </c>
      <c r="N98" s="8">
        <v>0.55000000000000004</v>
      </c>
      <c r="O98" s="8">
        <v>7666</v>
      </c>
      <c r="P98" s="8">
        <f t="shared" si="9"/>
        <v>3449.7</v>
      </c>
      <c r="Q98" s="8">
        <f t="shared" si="10"/>
        <v>7666</v>
      </c>
      <c r="R98" s="31">
        <f t="shared" si="11"/>
        <v>7600</v>
      </c>
      <c r="T98" s="12"/>
      <c r="U98" s="12">
        <v>9199</v>
      </c>
      <c r="V98" s="8">
        <f t="shared" si="6"/>
        <v>0</v>
      </c>
      <c r="W98" s="8">
        <f t="shared" si="7"/>
        <v>0</v>
      </c>
    </row>
    <row r="99" spans="1:23" ht="21.95" customHeight="1" x14ac:dyDescent="0.2">
      <c r="A99" s="5" t="s">
        <v>17</v>
      </c>
      <c r="B99" s="5" t="s">
        <v>1581</v>
      </c>
      <c r="C99" s="6" t="s">
        <v>84</v>
      </c>
      <c r="D99" s="6" t="s">
        <v>29</v>
      </c>
      <c r="E99" s="6"/>
      <c r="F99" s="6"/>
      <c r="G99" s="6">
        <v>90</v>
      </c>
      <c r="H99" s="6">
        <v>90</v>
      </c>
      <c r="I99" s="9">
        <v>44</v>
      </c>
      <c r="J99" s="9"/>
      <c r="K99" s="7">
        <v>44004312</v>
      </c>
      <c r="L99" s="5" t="str">
        <f t="shared" si="8"/>
        <v>BZ MUSTANG ORTA SEHPA</v>
      </c>
      <c r="M99" s="8">
        <v>0.6</v>
      </c>
      <c r="N99" s="8">
        <v>0.55000000000000004</v>
      </c>
      <c r="O99" s="8">
        <v>19722</v>
      </c>
      <c r="P99" s="8">
        <f t="shared" si="9"/>
        <v>8874.9</v>
      </c>
      <c r="Q99" s="8">
        <f t="shared" si="10"/>
        <v>19722</v>
      </c>
      <c r="R99" s="31">
        <f t="shared" si="11"/>
        <v>19700</v>
      </c>
      <c r="T99" s="12"/>
      <c r="U99" s="12">
        <v>23666</v>
      </c>
      <c r="V99" s="8">
        <f t="shared" si="6"/>
        <v>0</v>
      </c>
      <c r="W99" s="8">
        <f t="shared" si="7"/>
        <v>0</v>
      </c>
    </row>
    <row r="100" spans="1:23" ht="21.95" customHeight="1" x14ac:dyDescent="0.2">
      <c r="A100" s="5" t="s">
        <v>17</v>
      </c>
      <c r="B100" s="5" t="s">
        <v>1581</v>
      </c>
      <c r="C100" s="6" t="s">
        <v>84</v>
      </c>
      <c r="D100" s="6" t="s">
        <v>30</v>
      </c>
      <c r="E100" s="6"/>
      <c r="G100" s="6">
        <v>43</v>
      </c>
      <c r="H100" s="6">
        <v>43</v>
      </c>
      <c r="I100" s="9">
        <v>53</v>
      </c>
      <c r="J100" s="9"/>
      <c r="K100" s="7">
        <v>44004313</v>
      </c>
      <c r="L100" s="5" t="str">
        <f t="shared" si="8"/>
        <v>BZ MUSTANG YAN SEHPA</v>
      </c>
      <c r="M100" s="8">
        <v>0.6</v>
      </c>
      <c r="N100" s="8">
        <v>0.55000000000000004</v>
      </c>
      <c r="O100" s="8">
        <v>13235</v>
      </c>
      <c r="P100" s="8">
        <f t="shared" si="9"/>
        <v>5955.7499999999991</v>
      </c>
      <c r="Q100" s="8">
        <f t="shared" si="10"/>
        <v>13235</v>
      </c>
      <c r="R100" s="31">
        <f t="shared" si="11"/>
        <v>13200</v>
      </c>
      <c r="T100" s="12"/>
      <c r="U100" s="12">
        <v>15882</v>
      </c>
      <c r="V100" s="8">
        <f t="shared" si="6"/>
        <v>0</v>
      </c>
      <c r="W100" s="8">
        <f t="shared" si="7"/>
        <v>0</v>
      </c>
    </row>
    <row r="101" spans="1:23" ht="21.95" customHeight="1" x14ac:dyDescent="0.2">
      <c r="A101" s="5" t="s">
        <v>17</v>
      </c>
      <c r="B101" s="5" t="s">
        <v>1581</v>
      </c>
      <c r="C101" s="6" t="s">
        <v>84</v>
      </c>
      <c r="D101" s="6" t="s">
        <v>32</v>
      </c>
      <c r="E101" s="6"/>
      <c r="F101" s="6"/>
      <c r="G101" s="6">
        <v>228</v>
      </c>
      <c r="H101" s="6">
        <v>100</v>
      </c>
      <c r="I101" s="9">
        <v>85</v>
      </c>
      <c r="J101" s="9"/>
      <c r="K101" s="7">
        <v>44004314</v>
      </c>
      <c r="L101" s="5" t="str">
        <f t="shared" si="8"/>
        <v>BZ MUSTANG KOLTUK 3 LÜ</v>
      </c>
      <c r="M101" s="8">
        <v>0.6</v>
      </c>
      <c r="N101" s="8">
        <v>0.55000000000000004</v>
      </c>
      <c r="O101" s="8">
        <v>71685</v>
      </c>
      <c r="P101" s="8">
        <f t="shared" si="9"/>
        <v>32258.249999999996</v>
      </c>
      <c r="Q101" s="8">
        <f t="shared" si="10"/>
        <v>71685</v>
      </c>
      <c r="R101" s="31">
        <f t="shared" si="11"/>
        <v>71600</v>
      </c>
      <c r="T101" s="12"/>
      <c r="U101" s="12">
        <v>86022</v>
      </c>
      <c r="V101" s="8">
        <f t="shared" si="6"/>
        <v>0</v>
      </c>
      <c r="W101" s="8">
        <f t="shared" si="7"/>
        <v>0</v>
      </c>
    </row>
    <row r="102" spans="1:23" ht="21.95" customHeight="1" x14ac:dyDescent="0.2">
      <c r="A102" s="5" t="s">
        <v>17</v>
      </c>
      <c r="B102" s="5" t="s">
        <v>1581</v>
      </c>
      <c r="C102" s="6" t="s">
        <v>84</v>
      </c>
      <c r="D102" s="6" t="s">
        <v>33</v>
      </c>
      <c r="E102" s="6"/>
      <c r="G102" s="6">
        <v>90</v>
      </c>
      <c r="H102" s="6">
        <v>90</v>
      </c>
      <c r="I102" s="9">
        <v>44</v>
      </c>
      <c r="J102" s="9"/>
      <c r="K102" s="7">
        <v>44004315</v>
      </c>
      <c r="L102" s="5" t="str">
        <f t="shared" si="8"/>
        <v>BZ MUSTANG BERJER</v>
      </c>
      <c r="M102" s="8">
        <v>0.6</v>
      </c>
      <c r="N102" s="8">
        <v>0.55000000000000004</v>
      </c>
      <c r="O102" s="8">
        <v>29234</v>
      </c>
      <c r="P102" s="8">
        <f t="shared" si="9"/>
        <v>13155.3</v>
      </c>
      <c r="Q102" s="8">
        <f t="shared" si="10"/>
        <v>29234</v>
      </c>
      <c r="R102" s="31">
        <f t="shared" si="11"/>
        <v>29200</v>
      </c>
      <c r="T102" s="12"/>
      <c r="U102" s="12">
        <v>35081</v>
      </c>
      <c r="V102" s="8">
        <f t="shared" si="6"/>
        <v>0</v>
      </c>
      <c r="W102" s="8">
        <f t="shared" si="7"/>
        <v>0</v>
      </c>
    </row>
    <row r="103" spans="1:23" ht="21.95" customHeight="1" x14ac:dyDescent="0.2">
      <c r="A103" s="5" t="s">
        <v>17</v>
      </c>
      <c r="B103" s="5" t="s">
        <v>1581</v>
      </c>
      <c r="C103" s="6" t="s">
        <v>88</v>
      </c>
      <c r="D103" s="6" t="s">
        <v>19</v>
      </c>
      <c r="E103" s="6"/>
      <c r="G103" s="6">
        <v>205</v>
      </c>
      <c r="H103" s="6">
        <v>48</v>
      </c>
      <c r="I103" s="9">
        <v>81</v>
      </c>
      <c r="J103" s="9"/>
      <c r="K103" s="7">
        <v>44004316</v>
      </c>
      <c r="L103" s="5" t="str">
        <f t="shared" si="8"/>
        <v>BZ MASERATİ KONSOL 4 KAPAKLI</v>
      </c>
      <c r="M103" s="8">
        <v>0.6</v>
      </c>
      <c r="N103" s="8">
        <v>0.55000000000000004</v>
      </c>
      <c r="O103" s="8">
        <v>82691</v>
      </c>
      <c r="P103" s="8">
        <f t="shared" si="9"/>
        <v>37210.949999999997</v>
      </c>
      <c r="Q103" s="8">
        <f t="shared" si="10"/>
        <v>82691</v>
      </c>
      <c r="R103" s="31">
        <f t="shared" si="11"/>
        <v>82600</v>
      </c>
      <c r="T103" s="12"/>
      <c r="U103" s="12">
        <v>99229</v>
      </c>
      <c r="V103" s="8">
        <f t="shared" si="6"/>
        <v>0</v>
      </c>
      <c r="W103" s="8">
        <f t="shared" si="7"/>
        <v>0</v>
      </c>
    </row>
    <row r="104" spans="1:23" ht="21.95" customHeight="1" x14ac:dyDescent="0.2">
      <c r="A104" s="5" t="s">
        <v>17</v>
      </c>
      <c r="B104" s="5" t="s">
        <v>1581</v>
      </c>
      <c r="C104" s="6" t="s">
        <v>88</v>
      </c>
      <c r="D104" s="6" t="s">
        <v>20</v>
      </c>
      <c r="E104" s="6"/>
      <c r="G104" s="6">
        <v>157</v>
      </c>
      <c r="H104" s="6">
        <v>48</v>
      </c>
      <c r="I104" s="9">
        <v>81</v>
      </c>
      <c r="J104" s="9"/>
      <c r="K104" s="7">
        <v>44004317</v>
      </c>
      <c r="L104" s="5" t="str">
        <f t="shared" si="8"/>
        <v>BZ MASERATİ KONSOL 3 KAPAKLI</v>
      </c>
      <c r="M104" s="8">
        <v>0.6</v>
      </c>
      <c r="N104" s="8">
        <v>0.55000000000000004</v>
      </c>
      <c r="O104" s="8">
        <v>82691</v>
      </c>
      <c r="P104" s="8">
        <f t="shared" si="9"/>
        <v>37210.949999999997</v>
      </c>
      <c r="Q104" s="8">
        <f t="shared" si="10"/>
        <v>82691</v>
      </c>
      <c r="R104" s="31">
        <f t="shared" si="11"/>
        <v>82600</v>
      </c>
      <c r="T104" s="12"/>
      <c r="U104" s="12">
        <v>99229</v>
      </c>
      <c r="V104" s="8">
        <f t="shared" si="6"/>
        <v>0</v>
      </c>
      <c r="W104" s="8">
        <f t="shared" si="7"/>
        <v>0</v>
      </c>
    </row>
    <row r="105" spans="1:23" ht="21.95" customHeight="1" x14ac:dyDescent="0.2">
      <c r="A105" s="5" t="s">
        <v>17</v>
      </c>
      <c r="B105" s="5" t="s">
        <v>1581</v>
      </c>
      <c r="C105" s="6" t="s">
        <v>88</v>
      </c>
      <c r="D105" s="6" t="s">
        <v>21</v>
      </c>
      <c r="E105" s="6"/>
      <c r="G105" s="6">
        <v>109</v>
      </c>
      <c r="H105" s="6">
        <v>4</v>
      </c>
      <c r="I105" s="9">
        <v>110</v>
      </c>
      <c r="J105" s="9"/>
      <c r="K105" s="7">
        <v>44004318</v>
      </c>
      <c r="L105" s="5" t="str">
        <f t="shared" si="8"/>
        <v>BZ MASERATİ KONSOL AYNASI</v>
      </c>
      <c r="M105" s="8">
        <v>0.6</v>
      </c>
      <c r="N105" s="8">
        <v>0.55000000000000004</v>
      </c>
      <c r="O105" s="8">
        <v>25057</v>
      </c>
      <c r="P105" s="8">
        <f t="shared" si="9"/>
        <v>11275.65</v>
      </c>
      <c r="Q105" s="8">
        <f t="shared" si="10"/>
        <v>25057</v>
      </c>
      <c r="R105" s="31">
        <f t="shared" si="11"/>
        <v>25000</v>
      </c>
      <c r="T105" s="12"/>
      <c r="U105" s="12">
        <v>30068</v>
      </c>
      <c r="V105" s="8">
        <f t="shared" si="6"/>
        <v>0</v>
      </c>
      <c r="W105" s="8">
        <f t="shared" si="7"/>
        <v>0</v>
      </c>
    </row>
    <row r="106" spans="1:23" ht="21.95" customHeight="1" x14ac:dyDescent="0.2">
      <c r="A106" s="5" t="s">
        <v>17</v>
      </c>
      <c r="B106" s="5" t="s">
        <v>1581</v>
      </c>
      <c r="C106" s="6" t="s">
        <v>88</v>
      </c>
      <c r="D106" s="6" t="s">
        <v>22</v>
      </c>
      <c r="E106" s="6"/>
      <c r="G106" s="6">
        <v>160</v>
      </c>
      <c r="H106" s="6">
        <v>91</v>
      </c>
      <c r="I106" s="9">
        <v>75</v>
      </c>
      <c r="J106" s="9"/>
      <c r="K106" s="7">
        <v>44004319</v>
      </c>
      <c r="L106" s="5" t="str">
        <f t="shared" si="8"/>
        <v>BZ MASERATİ MASA 160CM</v>
      </c>
      <c r="M106" s="8">
        <v>0.6</v>
      </c>
      <c r="N106" s="8">
        <v>0.55000000000000004</v>
      </c>
      <c r="O106" s="8">
        <v>57659</v>
      </c>
      <c r="P106" s="8">
        <f t="shared" si="9"/>
        <v>25946.549999999996</v>
      </c>
      <c r="Q106" s="8">
        <f t="shared" si="10"/>
        <v>57659</v>
      </c>
      <c r="R106" s="31">
        <f t="shared" si="11"/>
        <v>57600</v>
      </c>
      <c r="T106" s="12"/>
      <c r="U106" s="12">
        <v>69191</v>
      </c>
      <c r="V106" s="8">
        <f t="shared" si="6"/>
        <v>0</v>
      </c>
      <c r="W106" s="8">
        <f t="shared" si="7"/>
        <v>0</v>
      </c>
    </row>
    <row r="107" spans="1:23" ht="21.95" customHeight="1" x14ac:dyDescent="0.2">
      <c r="A107" s="5" t="s">
        <v>17</v>
      </c>
      <c r="B107" s="5" t="s">
        <v>1581</v>
      </c>
      <c r="C107" s="6" t="s">
        <v>88</v>
      </c>
      <c r="D107" s="6" t="s">
        <v>23</v>
      </c>
      <c r="E107" s="6"/>
      <c r="G107" s="6">
        <v>200</v>
      </c>
      <c r="H107" s="6">
        <v>91</v>
      </c>
      <c r="I107" s="9">
        <v>75</v>
      </c>
      <c r="J107" s="9"/>
      <c r="K107" s="7">
        <v>44004320</v>
      </c>
      <c r="L107" s="5" t="str">
        <f t="shared" si="8"/>
        <v>BZ MASERATİ MASA 200CM</v>
      </c>
      <c r="M107" s="8">
        <v>0.6</v>
      </c>
      <c r="N107" s="8">
        <v>0.55000000000000004</v>
      </c>
      <c r="O107" s="8">
        <v>57659</v>
      </c>
      <c r="P107" s="8">
        <f t="shared" si="9"/>
        <v>25946.549999999996</v>
      </c>
      <c r="Q107" s="8">
        <f t="shared" si="10"/>
        <v>57659</v>
      </c>
      <c r="R107" s="31">
        <f t="shared" si="11"/>
        <v>57600</v>
      </c>
      <c r="T107" s="12"/>
      <c r="U107" s="12">
        <v>69191</v>
      </c>
      <c r="V107" s="8">
        <f t="shared" si="6"/>
        <v>0</v>
      </c>
      <c r="W107" s="8">
        <f t="shared" si="7"/>
        <v>0</v>
      </c>
    </row>
    <row r="108" spans="1:23" ht="21.95" customHeight="1" x14ac:dyDescent="0.2">
      <c r="A108" s="5" t="s">
        <v>17</v>
      </c>
      <c r="B108" s="5" t="s">
        <v>1581</v>
      </c>
      <c r="C108" s="6" t="s">
        <v>88</v>
      </c>
      <c r="D108" s="6" t="s">
        <v>24</v>
      </c>
      <c r="E108" s="6"/>
      <c r="G108" s="6">
        <v>240</v>
      </c>
      <c r="H108" s="6">
        <v>103</v>
      </c>
      <c r="I108" s="9">
        <v>75</v>
      </c>
      <c r="J108" s="9"/>
      <c r="K108" s="7">
        <v>44004321</v>
      </c>
      <c r="L108" s="5" t="str">
        <f t="shared" si="8"/>
        <v>BZ MASERATİ MASA 240CM</v>
      </c>
      <c r="M108" s="8">
        <v>0.6</v>
      </c>
      <c r="N108" s="8">
        <v>0.55000000000000004</v>
      </c>
      <c r="O108" s="8">
        <v>62740</v>
      </c>
      <c r="P108" s="8">
        <f t="shared" si="9"/>
        <v>28232.999999999996</v>
      </c>
      <c r="Q108" s="8">
        <f t="shared" si="10"/>
        <v>62740</v>
      </c>
      <c r="R108" s="31">
        <f t="shared" si="11"/>
        <v>62700</v>
      </c>
      <c r="T108" s="12"/>
      <c r="U108" s="12">
        <v>75288</v>
      </c>
      <c r="V108" s="8">
        <f t="shared" si="6"/>
        <v>0</v>
      </c>
      <c r="W108" s="8">
        <f t="shared" si="7"/>
        <v>0</v>
      </c>
    </row>
    <row r="109" spans="1:23" ht="21.95" customHeight="1" x14ac:dyDescent="0.2">
      <c r="A109" s="5" t="s">
        <v>17</v>
      </c>
      <c r="B109" s="5" t="s">
        <v>1581</v>
      </c>
      <c r="C109" s="6" t="s">
        <v>88</v>
      </c>
      <c r="D109" s="6" t="s">
        <v>25</v>
      </c>
      <c r="E109" s="6"/>
      <c r="G109" s="6">
        <v>53</v>
      </c>
      <c r="H109" s="6">
        <v>62</v>
      </c>
      <c r="I109" s="9">
        <v>81</v>
      </c>
      <c r="J109" s="9"/>
      <c r="K109" s="7">
        <v>44004322</v>
      </c>
      <c r="L109" s="5" t="str">
        <f t="shared" si="8"/>
        <v>BZ MASERATİ SANDALYE</v>
      </c>
      <c r="M109" s="8">
        <v>0.6</v>
      </c>
      <c r="N109" s="8">
        <v>0.55000000000000004</v>
      </c>
      <c r="O109" s="8">
        <v>15261</v>
      </c>
      <c r="P109" s="8">
        <f t="shared" si="9"/>
        <v>6867.4499999999989</v>
      </c>
      <c r="Q109" s="8">
        <f t="shared" si="10"/>
        <v>15261</v>
      </c>
      <c r="R109" s="31">
        <f t="shared" si="11"/>
        <v>15200</v>
      </c>
      <c r="T109" s="12"/>
      <c r="U109" s="12">
        <v>18313</v>
      </c>
      <c r="V109" s="8">
        <f t="shared" si="6"/>
        <v>0</v>
      </c>
      <c r="W109" s="8">
        <f t="shared" si="7"/>
        <v>0</v>
      </c>
    </row>
    <row r="110" spans="1:23" ht="21.95" customHeight="1" x14ac:dyDescent="0.2">
      <c r="A110" s="5" t="s">
        <v>17</v>
      </c>
      <c r="B110" s="5" t="s">
        <v>1581</v>
      </c>
      <c r="C110" s="6" t="s">
        <v>88</v>
      </c>
      <c r="D110" s="6" t="s">
        <v>53</v>
      </c>
      <c r="E110" s="6"/>
      <c r="G110" s="6">
        <v>224</v>
      </c>
      <c r="H110" s="6">
        <v>48</v>
      </c>
      <c r="I110" s="9">
        <v>56</v>
      </c>
      <c r="J110" s="9"/>
      <c r="K110" s="7">
        <v>44004323</v>
      </c>
      <c r="L110" s="5" t="str">
        <f t="shared" si="8"/>
        <v>BZ MASERATİ TV ÜNİTESİ ALT BLOK ŞÖMİNELİ</v>
      </c>
      <c r="M110" s="8">
        <v>0.6</v>
      </c>
      <c r="N110" s="8">
        <v>0.55000000000000004</v>
      </c>
      <c r="O110" s="8">
        <v>89473</v>
      </c>
      <c r="P110" s="8">
        <f t="shared" si="9"/>
        <v>40262.85</v>
      </c>
      <c r="Q110" s="8">
        <f t="shared" si="10"/>
        <v>89473</v>
      </c>
      <c r="R110" s="31">
        <f t="shared" si="11"/>
        <v>89400</v>
      </c>
      <c r="T110" s="12"/>
      <c r="U110" s="12">
        <v>107368</v>
      </c>
      <c r="V110" s="8">
        <f t="shared" si="6"/>
        <v>0</v>
      </c>
      <c r="W110" s="8">
        <f t="shared" si="7"/>
        <v>0</v>
      </c>
    </row>
    <row r="111" spans="1:23" ht="21.95" customHeight="1" x14ac:dyDescent="0.2">
      <c r="A111" s="5" t="s">
        <v>17</v>
      </c>
      <c r="B111" s="5" t="s">
        <v>1581</v>
      </c>
      <c r="C111" s="6" t="s">
        <v>88</v>
      </c>
      <c r="D111" s="6" t="s">
        <v>89</v>
      </c>
      <c r="E111" s="6"/>
      <c r="G111" s="6">
        <v>224</v>
      </c>
      <c r="H111" s="6">
        <v>48</v>
      </c>
      <c r="I111" s="9">
        <v>56</v>
      </c>
      <c r="J111" s="9"/>
      <c r="K111" s="7">
        <v>44004324</v>
      </c>
      <c r="L111" s="5" t="str">
        <f t="shared" si="8"/>
        <v>BZ MASERATİ TV ÜNİTESİ ALT BLOK 3 ÇEKMECELİ</v>
      </c>
      <c r="M111" s="8">
        <v>0.6</v>
      </c>
      <c r="N111" s="8">
        <v>0.55000000000000004</v>
      </c>
      <c r="O111" s="8">
        <v>78893</v>
      </c>
      <c r="P111" s="8">
        <f t="shared" si="9"/>
        <v>35501.85</v>
      </c>
      <c r="Q111" s="8">
        <f t="shared" si="10"/>
        <v>78893</v>
      </c>
      <c r="R111" s="31">
        <f t="shared" si="11"/>
        <v>78800</v>
      </c>
      <c r="T111" s="12"/>
      <c r="U111" s="12">
        <v>94672</v>
      </c>
      <c r="V111" s="8">
        <f t="shared" si="6"/>
        <v>0</v>
      </c>
      <c r="W111" s="8">
        <f t="shared" si="7"/>
        <v>0</v>
      </c>
    </row>
    <row r="112" spans="1:23" ht="21.95" customHeight="1" x14ac:dyDescent="0.2">
      <c r="A112" s="5" t="s">
        <v>17</v>
      </c>
      <c r="B112" s="5" t="s">
        <v>1581</v>
      </c>
      <c r="C112" s="6" t="s">
        <v>88</v>
      </c>
      <c r="D112" s="6" t="s">
        <v>90</v>
      </c>
      <c r="E112" s="6"/>
      <c r="G112" s="6">
        <v>139</v>
      </c>
      <c r="H112" s="6">
        <v>48</v>
      </c>
      <c r="I112" s="9">
        <v>56</v>
      </c>
      <c r="J112" s="9"/>
      <c r="K112" s="7">
        <v>44004325</v>
      </c>
      <c r="L112" s="5" t="str">
        <f t="shared" si="8"/>
        <v>BZ MASERATİ TV ÜNİTESİ ALT BLOK Ş. ÇEKMECESİZ</v>
      </c>
      <c r="M112" s="8">
        <v>0.6</v>
      </c>
      <c r="N112" s="8">
        <v>0.55000000000000004</v>
      </c>
      <c r="O112" s="8">
        <v>78468</v>
      </c>
      <c r="P112" s="8">
        <f t="shared" si="9"/>
        <v>35310.6</v>
      </c>
      <c r="Q112" s="8">
        <f t="shared" si="10"/>
        <v>78468</v>
      </c>
      <c r="R112" s="31">
        <f t="shared" si="11"/>
        <v>78400</v>
      </c>
      <c r="T112" s="12"/>
      <c r="U112" s="12">
        <v>94162</v>
      </c>
      <c r="V112" s="8">
        <f t="shared" si="6"/>
        <v>0</v>
      </c>
      <c r="W112" s="8">
        <f t="shared" si="7"/>
        <v>0</v>
      </c>
    </row>
    <row r="113" spans="1:23" ht="21.95" customHeight="1" x14ac:dyDescent="0.2">
      <c r="A113" s="5" t="s">
        <v>17</v>
      </c>
      <c r="B113" s="5" t="s">
        <v>1581</v>
      </c>
      <c r="C113" s="6" t="s">
        <v>88</v>
      </c>
      <c r="D113" s="6" t="s">
        <v>91</v>
      </c>
      <c r="E113" s="6"/>
      <c r="G113" s="6">
        <v>153</v>
      </c>
      <c r="H113" s="6">
        <v>48</v>
      </c>
      <c r="I113" s="9">
        <v>56</v>
      </c>
      <c r="J113" s="9"/>
      <c r="K113" s="7">
        <v>44004326</v>
      </c>
      <c r="L113" s="5" t="str">
        <f t="shared" si="8"/>
        <v>BZ MASERATİ TV ÜNİTESİ ALT BLOK 2 ÇEKMECELİ</v>
      </c>
      <c r="M113" s="8">
        <v>0.6</v>
      </c>
      <c r="N113" s="8">
        <v>0.55000000000000004</v>
      </c>
      <c r="O113" s="8">
        <v>72202</v>
      </c>
      <c r="P113" s="8">
        <f t="shared" si="9"/>
        <v>32490.899999999998</v>
      </c>
      <c r="Q113" s="8">
        <f t="shared" si="10"/>
        <v>72202</v>
      </c>
      <c r="R113" s="31">
        <f t="shared" si="11"/>
        <v>72200</v>
      </c>
      <c r="T113" s="12"/>
      <c r="U113" s="12">
        <v>86642</v>
      </c>
      <c r="V113" s="8">
        <f t="shared" si="6"/>
        <v>0</v>
      </c>
      <c r="W113" s="8">
        <f t="shared" si="7"/>
        <v>0</v>
      </c>
    </row>
    <row r="114" spans="1:23" ht="21.95" customHeight="1" x14ac:dyDescent="0.2">
      <c r="A114" s="5" t="s">
        <v>17</v>
      </c>
      <c r="B114" s="5" t="s">
        <v>1581</v>
      </c>
      <c r="C114" s="6" t="s">
        <v>88</v>
      </c>
      <c r="D114" s="6" t="s">
        <v>92</v>
      </c>
      <c r="E114" s="6"/>
      <c r="G114" s="6">
        <v>36</v>
      </c>
      <c r="H114" s="6">
        <v>25</v>
      </c>
      <c r="I114" s="9">
        <v>70</v>
      </c>
      <c r="J114" s="9"/>
      <c r="K114" s="7">
        <v>44004327</v>
      </c>
      <c r="L114" s="5" t="str">
        <f t="shared" si="8"/>
        <v>BZ MASERATİ TV ÜNİTESİ ÜST MODÜL KUTU</v>
      </c>
      <c r="M114" s="8">
        <v>0.6</v>
      </c>
      <c r="N114" s="8">
        <v>0.55000000000000004</v>
      </c>
      <c r="O114" s="8">
        <v>13787</v>
      </c>
      <c r="P114" s="8">
        <f t="shared" si="9"/>
        <v>6204.15</v>
      </c>
      <c r="Q114" s="8">
        <f t="shared" si="10"/>
        <v>13787</v>
      </c>
      <c r="R114" s="31">
        <f t="shared" si="11"/>
        <v>13700</v>
      </c>
      <c r="T114" s="12"/>
      <c r="U114" s="12">
        <v>16544</v>
      </c>
      <c r="V114" s="8">
        <f t="shared" si="6"/>
        <v>0</v>
      </c>
      <c r="W114" s="8">
        <f t="shared" si="7"/>
        <v>0</v>
      </c>
    </row>
    <row r="115" spans="1:23" ht="21.95" customHeight="1" x14ac:dyDescent="0.2">
      <c r="A115" s="5" t="s">
        <v>17</v>
      </c>
      <c r="B115" s="5" t="s">
        <v>1581</v>
      </c>
      <c r="C115" s="6" t="s">
        <v>88</v>
      </c>
      <c r="D115" s="6" t="s">
        <v>87</v>
      </c>
      <c r="E115" s="6"/>
      <c r="G115" s="6">
        <v>150</v>
      </c>
      <c r="H115" s="6">
        <v>25</v>
      </c>
      <c r="I115" s="9">
        <v>7</v>
      </c>
      <c r="J115" s="9"/>
      <c r="K115" s="7">
        <v>44004328</v>
      </c>
      <c r="L115" s="5" t="str">
        <f t="shared" si="8"/>
        <v>BZ MASERATİ TV ÜNİTESİ ÜST MODÜL RAF</v>
      </c>
      <c r="M115" s="8">
        <v>0.6</v>
      </c>
      <c r="N115" s="8">
        <v>0.55000000000000004</v>
      </c>
      <c r="O115" s="8">
        <v>9996</v>
      </c>
      <c r="P115" s="8">
        <f t="shared" si="9"/>
        <v>4498.2</v>
      </c>
      <c r="Q115" s="8">
        <f t="shared" si="10"/>
        <v>9996</v>
      </c>
      <c r="R115" s="31">
        <f t="shared" si="11"/>
        <v>9900</v>
      </c>
      <c r="T115" s="12"/>
      <c r="U115" s="12">
        <v>11995</v>
      </c>
      <c r="V115" s="8">
        <f t="shared" si="6"/>
        <v>0</v>
      </c>
      <c r="W115" s="8">
        <f t="shared" si="7"/>
        <v>0</v>
      </c>
    </row>
    <row r="116" spans="1:23" ht="21.95" customHeight="1" x14ac:dyDescent="0.2">
      <c r="A116" s="5" t="s">
        <v>17</v>
      </c>
      <c r="B116" s="5" t="s">
        <v>1581</v>
      </c>
      <c r="C116" s="6" t="s">
        <v>88</v>
      </c>
      <c r="D116" s="6" t="s">
        <v>29</v>
      </c>
      <c r="E116" s="6"/>
      <c r="G116" s="6">
        <v>130</v>
      </c>
      <c r="H116" s="6">
        <v>83</v>
      </c>
      <c r="I116" s="9">
        <v>46</v>
      </c>
      <c r="J116" s="9"/>
      <c r="K116" s="7">
        <v>44004329</v>
      </c>
      <c r="L116" s="5" t="str">
        <f t="shared" si="8"/>
        <v>BZ MASERATİ ORTA SEHPA</v>
      </c>
      <c r="M116" s="8">
        <v>0.6</v>
      </c>
      <c r="N116" s="8">
        <v>0.55000000000000004</v>
      </c>
      <c r="O116" s="8">
        <v>28955</v>
      </c>
      <c r="P116" s="8">
        <f t="shared" si="9"/>
        <v>13029.749999999998</v>
      </c>
      <c r="Q116" s="8">
        <f t="shared" si="10"/>
        <v>28955</v>
      </c>
      <c r="R116" s="31">
        <f t="shared" si="11"/>
        <v>28900</v>
      </c>
      <c r="T116" s="12"/>
      <c r="U116" s="12">
        <v>34746</v>
      </c>
      <c r="V116" s="8">
        <f t="shared" ref="V116:V179" si="12">T116*(1-N116)</f>
        <v>0</v>
      </c>
      <c r="W116" s="8">
        <f t="shared" si="7"/>
        <v>0</v>
      </c>
    </row>
    <row r="117" spans="1:23" ht="21.95" customHeight="1" x14ac:dyDescent="0.2">
      <c r="A117" s="5" t="s">
        <v>17</v>
      </c>
      <c r="B117" s="5" t="s">
        <v>1581</v>
      </c>
      <c r="C117" s="6" t="s">
        <v>88</v>
      </c>
      <c r="D117" s="6" t="s">
        <v>93</v>
      </c>
      <c r="E117" s="6"/>
      <c r="G117" s="6">
        <v>45</v>
      </c>
      <c r="H117" s="6">
        <v>47</v>
      </c>
      <c r="I117" s="9">
        <v>46</v>
      </c>
      <c r="J117" s="9"/>
      <c r="K117" s="7">
        <v>44004330</v>
      </c>
      <c r="L117" s="5" t="str">
        <f t="shared" si="8"/>
        <v>BZ MASERATİ ZİGON SEHPA</v>
      </c>
      <c r="M117" s="8">
        <v>0.6</v>
      </c>
      <c r="N117" s="8">
        <v>0.55000000000000004</v>
      </c>
      <c r="O117" s="8">
        <v>9747</v>
      </c>
      <c r="P117" s="8">
        <f t="shared" si="9"/>
        <v>4386.1499999999996</v>
      </c>
      <c r="Q117" s="8">
        <f t="shared" si="10"/>
        <v>9747</v>
      </c>
      <c r="R117" s="31">
        <f t="shared" si="11"/>
        <v>9700</v>
      </c>
      <c r="T117" s="12"/>
      <c r="U117" s="12">
        <v>11696</v>
      </c>
      <c r="V117" s="8">
        <f t="shared" si="12"/>
        <v>0</v>
      </c>
      <c r="W117" s="8">
        <f t="shared" ref="W117:W180" si="13">T117</f>
        <v>0</v>
      </c>
    </row>
    <row r="118" spans="1:23" ht="21.95" customHeight="1" x14ac:dyDescent="0.2">
      <c r="A118" s="5" t="s">
        <v>17</v>
      </c>
      <c r="B118" s="5" t="s">
        <v>1581</v>
      </c>
      <c r="C118" s="6" t="s">
        <v>88</v>
      </c>
      <c r="D118" s="6" t="s">
        <v>32</v>
      </c>
      <c r="E118" s="6"/>
      <c r="G118" s="6">
        <v>234</v>
      </c>
      <c r="H118" s="6">
        <v>100</v>
      </c>
      <c r="I118" s="9">
        <v>91</v>
      </c>
      <c r="J118" s="9"/>
      <c r="K118" s="7">
        <v>44004331</v>
      </c>
      <c r="L118" s="5" t="str">
        <f t="shared" si="8"/>
        <v>BZ MASERATİ KOLTUK 3 LÜ</v>
      </c>
      <c r="M118" s="8">
        <v>0.6</v>
      </c>
      <c r="N118" s="8">
        <v>0.55000000000000004</v>
      </c>
      <c r="O118" s="8">
        <v>86269</v>
      </c>
      <c r="P118" s="8">
        <f t="shared" si="9"/>
        <v>38821.049999999996</v>
      </c>
      <c r="Q118" s="8">
        <f t="shared" si="10"/>
        <v>86269</v>
      </c>
      <c r="R118" s="31">
        <f t="shared" si="11"/>
        <v>86200</v>
      </c>
      <c r="T118" s="12"/>
      <c r="U118" s="12">
        <v>103523</v>
      </c>
      <c r="V118" s="8">
        <f t="shared" si="12"/>
        <v>0</v>
      </c>
      <c r="W118" s="8">
        <f t="shared" si="13"/>
        <v>0</v>
      </c>
    </row>
    <row r="119" spans="1:23" ht="21.95" customHeight="1" x14ac:dyDescent="0.2">
      <c r="A119" s="5" t="s">
        <v>17</v>
      </c>
      <c r="B119" s="5" t="s">
        <v>1581</v>
      </c>
      <c r="C119" s="6" t="s">
        <v>88</v>
      </c>
      <c r="D119" s="6" t="s">
        <v>33</v>
      </c>
      <c r="E119" s="6"/>
      <c r="G119" s="6">
        <v>97</v>
      </c>
      <c r="H119" s="6">
        <v>96</v>
      </c>
      <c r="I119" s="9">
        <v>96</v>
      </c>
      <c r="J119" s="9"/>
      <c r="K119" s="7">
        <v>44004332</v>
      </c>
      <c r="L119" s="5" t="str">
        <f t="shared" si="8"/>
        <v>BZ MASERATİ BERJER</v>
      </c>
      <c r="M119" s="8">
        <v>0.6</v>
      </c>
      <c r="N119" s="8">
        <v>0.55000000000000004</v>
      </c>
      <c r="O119" s="8">
        <v>28254</v>
      </c>
      <c r="P119" s="8">
        <f t="shared" si="9"/>
        <v>12714.3</v>
      </c>
      <c r="Q119" s="8">
        <f t="shared" si="10"/>
        <v>28254</v>
      </c>
      <c r="R119" s="31">
        <f t="shared" si="11"/>
        <v>28200</v>
      </c>
      <c r="T119" s="12"/>
      <c r="U119" s="12">
        <v>33905</v>
      </c>
      <c r="V119" s="8">
        <f t="shared" si="12"/>
        <v>0</v>
      </c>
      <c r="W119" s="8">
        <f t="shared" si="13"/>
        <v>0</v>
      </c>
    </row>
    <row r="120" spans="1:23" ht="21.95" customHeight="1" x14ac:dyDescent="0.2">
      <c r="A120" s="5" t="s">
        <v>17</v>
      </c>
      <c r="B120" s="5" t="s">
        <v>1581</v>
      </c>
      <c r="C120" s="6" t="s">
        <v>88</v>
      </c>
      <c r="D120" s="6" t="s">
        <v>66</v>
      </c>
      <c r="E120" s="6"/>
      <c r="G120" s="6">
        <v>50</v>
      </c>
      <c r="H120" s="6">
        <v>60</v>
      </c>
      <c r="I120" s="9">
        <v>225</v>
      </c>
      <c r="J120" s="9"/>
      <c r="K120" s="7">
        <v>44004333</v>
      </c>
      <c r="L120" s="5" t="str">
        <f t="shared" si="8"/>
        <v>BZ MASERATİ DOLAP CAMLI X2</v>
      </c>
      <c r="M120" s="8">
        <v>0.6</v>
      </c>
      <c r="N120" s="8">
        <v>0.55000000000000004</v>
      </c>
      <c r="O120" s="8">
        <v>73868</v>
      </c>
      <c r="P120" s="8">
        <f t="shared" si="9"/>
        <v>33240.6</v>
      </c>
      <c r="Q120" s="8">
        <f t="shared" si="10"/>
        <v>73868</v>
      </c>
      <c r="R120" s="31">
        <f t="shared" si="11"/>
        <v>73800</v>
      </c>
      <c r="T120" s="12"/>
      <c r="U120" s="12">
        <v>88642</v>
      </c>
      <c r="V120" s="8">
        <f t="shared" si="12"/>
        <v>0</v>
      </c>
      <c r="W120" s="8">
        <f t="shared" si="13"/>
        <v>0</v>
      </c>
    </row>
    <row r="121" spans="1:23" ht="21.95" customHeight="1" x14ac:dyDescent="0.2">
      <c r="A121" s="5" t="s">
        <v>17</v>
      </c>
      <c r="B121" s="5" t="s">
        <v>1581</v>
      </c>
      <c r="C121" s="6" t="s">
        <v>88</v>
      </c>
      <c r="D121" s="6" t="s">
        <v>94</v>
      </c>
      <c r="E121" s="6"/>
      <c r="G121" s="6">
        <v>100</v>
      </c>
      <c r="H121" s="6">
        <v>60</v>
      </c>
      <c r="I121" s="9">
        <v>225</v>
      </c>
      <c r="J121" s="9"/>
      <c r="K121" s="7">
        <v>44004334</v>
      </c>
      <c r="L121" s="5" t="str">
        <f t="shared" si="8"/>
        <v>BZ MASERATİ DOLAP PANTOLONLUKLU CAM KAPAK</v>
      </c>
      <c r="M121" s="8">
        <v>0.6</v>
      </c>
      <c r="N121" s="8">
        <v>0.55000000000000004</v>
      </c>
      <c r="O121" s="8">
        <v>56372</v>
      </c>
      <c r="P121" s="8">
        <f t="shared" si="9"/>
        <v>25367.399999999998</v>
      </c>
      <c r="Q121" s="8">
        <f t="shared" si="10"/>
        <v>56372</v>
      </c>
      <c r="R121" s="31">
        <f t="shared" si="11"/>
        <v>56300</v>
      </c>
      <c r="T121" s="12"/>
      <c r="U121" s="12">
        <v>67646</v>
      </c>
      <c r="V121" s="8">
        <f t="shared" si="12"/>
        <v>0</v>
      </c>
      <c r="W121" s="8">
        <f t="shared" si="13"/>
        <v>0</v>
      </c>
    </row>
    <row r="122" spans="1:23" ht="21.95" customHeight="1" x14ac:dyDescent="0.2">
      <c r="A122" s="5" t="s">
        <v>17</v>
      </c>
      <c r="B122" s="5" t="s">
        <v>1581</v>
      </c>
      <c r="C122" s="6" t="s">
        <v>88</v>
      </c>
      <c r="D122" s="6" t="s">
        <v>95</v>
      </c>
      <c r="E122" s="6"/>
      <c r="G122" s="6">
        <v>100</v>
      </c>
      <c r="H122" s="6">
        <v>60</v>
      </c>
      <c r="I122" s="9">
        <v>225</v>
      </c>
      <c r="J122" s="9"/>
      <c r="K122" s="7">
        <v>44004335</v>
      </c>
      <c r="L122" s="5" t="str">
        <f t="shared" si="8"/>
        <v>BZ MASERATİ DOLAP ASKILIKLI CAM KAPAKLI</v>
      </c>
      <c r="M122" s="8">
        <v>0.6</v>
      </c>
      <c r="N122" s="8">
        <v>0.55000000000000004</v>
      </c>
      <c r="O122" s="8">
        <v>38169</v>
      </c>
      <c r="P122" s="8">
        <f t="shared" si="9"/>
        <v>17176.05</v>
      </c>
      <c r="Q122" s="8">
        <f t="shared" si="10"/>
        <v>38169</v>
      </c>
      <c r="R122" s="31">
        <f t="shared" si="11"/>
        <v>38100</v>
      </c>
      <c r="T122" s="12"/>
      <c r="U122" s="12">
        <v>45803</v>
      </c>
      <c r="V122" s="8">
        <f t="shared" si="12"/>
        <v>0</v>
      </c>
      <c r="W122" s="8">
        <f t="shared" si="13"/>
        <v>0</v>
      </c>
    </row>
    <row r="123" spans="1:23" ht="21.95" customHeight="1" x14ac:dyDescent="0.2">
      <c r="A123" s="5" t="s">
        <v>17</v>
      </c>
      <c r="B123" s="5" t="s">
        <v>1581</v>
      </c>
      <c r="C123" s="6" t="s">
        <v>88</v>
      </c>
      <c r="D123" s="6" t="s">
        <v>80</v>
      </c>
      <c r="E123" s="6"/>
      <c r="G123" s="6">
        <v>65</v>
      </c>
      <c r="H123" s="6">
        <v>47</v>
      </c>
      <c r="I123" s="9">
        <v>45</v>
      </c>
      <c r="J123" s="9"/>
      <c r="K123" s="7">
        <v>44004336</v>
      </c>
      <c r="L123" s="5" t="str">
        <f t="shared" si="8"/>
        <v>BZ MASERATİ KOMODİN X2</v>
      </c>
      <c r="M123" s="8">
        <v>0.6</v>
      </c>
      <c r="N123" s="8">
        <v>0.55000000000000004</v>
      </c>
      <c r="O123" s="8">
        <v>36666</v>
      </c>
      <c r="P123" s="8">
        <f t="shared" si="9"/>
        <v>16499.699999999997</v>
      </c>
      <c r="Q123" s="8">
        <f t="shared" si="10"/>
        <v>36666</v>
      </c>
      <c r="R123" s="31">
        <f t="shared" si="11"/>
        <v>36600</v>
      </c>
      <c r="T123" s="12"/>
      <c r="U123" s="12">
        <v>44000</v>
      </c>
      <c r="V123" s="8">
        <f t="shared" si="12"/>
        <v>0</v>
      </c>
      <c r="W123" s="8">
        <f t="shared" si="13"/>
        <v>0</v>
      </c>
    </row>
    <row r="124" spans="1:23" ht="21.95" customHeight="1" x14ac:dyDescent="0.2">
      <c r="A124" s="5" t="s">
        <v>17</v>
      </c>
      <c r="B124" s="5" t="s">
        <v>1581</v>
      </c>
      <c r="C124" s="6" t="s">
        <v>88</v>
      </c>
      <c r="D124" s="6" t="s">
        <v>72</v>
      </c>
      <c r="E124" s="6"/>
      <c r="G124"/>
      <c r="H124"/>
      <c r="I124" s="10"/>
      <c r="J124" s="10"/>
      <c r="K124" s="7">
        <v>44004337</v>
      </c>
      <c r="L124" s="5" t="str">
        <f t="shared" si="8"/>
        <v>BZ MASERATİ KARYOLA 160CM</v>
      </c>
      <c r="M124" s="8">
        <v>0.6</v>
      </c>
      <c r="N124" s="8">
        <v>0.55000000000000004</v>
      </c>
      <c r="O124" s="8">
        <v>56900</v>
      </c>
      <c r="P124" s="8">
        <f t="shared" si="9"/>
        <v>25604.999999999996</v>
      </c>
      <c r="Q124" s="8">
        <f t="shared" si="10"/>
        <v>56900</v>
      </c>
      <c r="R124" s="31">
        <f t="shared" si="11"/>
        <v>56900</v>
      </c>
      <c r="T124" s="12"/>
      <c r="U124" s="12">
        <v>68280</v>
      </c>
      <c r="V124" s="8">
        <f t="shared" si="12"/>
        <v>0</v>
      </c>
      <c r="W124" s="8">
        <f t="shared" si="13"/>
        <v>0</v>
      </c>
    </row>
    <row r="125" spans="1:23" ht="21.95" customHeight="1" x14ac:dyDescent="0.2">
      <c r="A125" s="5" t="s">
        <v>17</v>
      </c>
      <c r="B125" s="5" t="s">
        <v>1581</v>
      </c>
      <c r="C125" s="6" t="s">
        <v>88</v>
      </c>
      <c r="D125" s="6" t="s">
        <v>73</v>
      </c>
      <c r="E125" s="6"/>
      <c r="G125"/>
      <c r="H125"/>
      <c r="I125" s="10"/>
      <c r="J125" s="10"/>
      <c r="K125" s="7">
        <v>44004338</v>
      </c>
      <c r="L125" s="5" t="str">
        <f t="shared" si="8"/>
        <v>BZ MASERATİ KARYOLA 180CM</v>
      </c>
      <c r="M125" s="8">
        <v>0.6</v>
      </c>
      <c r="N125" s="8">
        <v>0.55000000000000004</v>
      </c>
      <c r="O125" s="8">
        <v>56900</v>
      </c>
      <c r="P125" s="8">
        <f t="shared" si="9"/>
        <v>25604.999999999996</v>
      </c>
      <c r="Q125" s="8">
        <f t="shared" si="10"/>
        <v>56900</v>
      </c>
      <c r="R125" s="31">
        <f t="shared" si="11"/>
        <v>56900</v>
      </c>
      <c r="T125" s="12"/>
      <c r="U125" s="12">
        <v>68280</v>
      </c>
      <c r="V125" s="8">
        <f t="shared" si="12"/>
        <v>0</v>
      </c>
      <c r="W125" s="8">
        <f t="shared" si="13"/>
        <v>0</v>
      </c>
    </row>
    <row r="126" spans="1:23" ht="21.95" customHeight="1" x14ac:dyDescent="0.2">
      <c r="A126" s="5" t="s">
        <v>17</v>
      </c>
      <c r="B126" s="5" t="s">
        <v>1581</v>
      </c>
      <c r="C126" s="6" t="s">
        <v>88</v>
      </c>
      <c r="D126" s="6" t="s">
        <v>74</v>
      </c>
      <c r="E126" s="6"/>
      <c r="G126"/>
      <c r="H126"/>
      <c r="I126" s="10"/>
      <c r="J126" s="10"/>
      <c r="K126" s="7">
        <v>44004339</v>
      </c>
      <c r="L126" s="5" t="str">
        <f t="shared" si="8"/>
        <v>BZ MASERATİ KARYOLA 200CM</v>
      </c>
      <c r="M126" s="8">
        <v>0.6</v>
      </c>
      <c r="N126" s="8">
        <v>0.55000000000000004</v>
      </c>
      <c r="O126" s="8">
        <v>56900</v>
      </c>
      <c r="P126" s="8">
        <f t="shared" si="9"/>
        <v>25604.999999999996</v>
      </c>
      <c r="Q126" s="8">
        <f t="shared" si="10"/>
        <v>56900</v>
      </c>
      <c r="R126" s="31">
        <f t="shared" si="11"/>
        <v>56900</v>
      </c>
      <c r="T126" s="12"/>
      <c r="U126" s="12">
        <v>68280</v>
      </c>
      <c r="V126" s="8">
        <f t="shared" si="12"/>
        <v>0</v>
      </c>
      <c r="W126" s="8">
        <f t="shared" si="13"/>
        <v>0</v>
      </c>
    </row>
    <row r="127" spans="1:23" ht="21.95" customHeight="1" x14ac:dyDescent="0.2">
      <c r="A127" s="5" t="s">
        <v>17</v>
      </c>
      <c r="B127" s="5" t="s">
        <v>1581</v>
      </c>
      <c r="C127" s="6" t="s">
        <v>88</v>
      </c>
      <c r="D127" s="6" t="s">
        <v>75</v>
      </c>
      <c r="E127" s="6"/>
      <c r="G127"/>
      <c r="H127"/>
      <c r="I127" s="10"/>
      <c r="J127" s="10"/>
      <c r="K127" s="7">
        <v>44004340</v>
      </c>
      <c r="L127" s="5" t="str">
        <f t="shared" si="8"/>
        <v>BZ MASERATİ KARYOLA BAZALI 160CM</v>
      </c>
      <c r="M127" s="8">
        <v>0.6</v>
      </c>
      <c r="N127" s="8">
        <v>0.55000000000000004</v>
      </c>
      <c r="O127" s="8">
        <v>71494</v>
      </c>
      <c r="P127" s="8">
        <f t="shared" si="9"/>
        <v>32172.299999999996</v>
      </c>
      <c r="Q127" s="8">
        <f t="shared" si="10"/>
        <v>71494</v>
      </c>
      <c r="R127" s="31">
        <f t="shared" si="11"/>
        <v>71400</v>
      </c>
      <c r="T127" s="12"/>
      <c r="U127" s="12">
        <v>85793</v>
      </c>
      <c r="V127" s="8">
        <f t="shared" si="12"/>
        <v>0</v>
      </c>
      <c r="W127" s="8">
        <f t="shared" si="13"/>
        <v>0</v>
      </c>
    </row>
    <row r="128" spans="1:23" ht="21.95" customHeight="1" x14ac:dyDescent="0.2">
      <c r="A128" s="5" t="s">
        <v>17</v>
      </c>
      <c r="B128" s="5" t="s">
        <v>1581</v>
      </c>
      <c r="C128" s="6" t="s">
        <v>88</v>
      </c>
      <c r="D128" s="6" t="s">
        <v>76</v>
      </c>
      <c r="E128" s="6"/>
      <c r="G128"/>
      <c r="H128"/>
      <c r="I128" s="10"/>
      <c r="J128" s="10"/>
      <c r="K128" s="7">
        <v>44004341</v>
      </c>
      <c r="L128" s="5" t="str">
        <f t="shared" si="8"/>
        <v>BZ MASERATİ KARYOLA BAZALI 180CM</v>
      </c>
      <c r="M128" s="8">
        <v>0.6</v>
      </c>
      <c r="N128" s="8">
        <v>0.55000000000000004</v>
      </c>
      <c r="O128" s="8">
        <v>71494</v>
      </c>
      <c r="P128" s="8">
        <f t="shared" si="9"/>
        <v>32172.299999999996</v>
      </c>
      <c r="Q128" s="8">
        <f t="shared" si="10"/>
        <v>71494</v>
      </c>
      <c r="R128" s="31">
        <f t="shared" si="11"/>
        <v>71400</v>
      </c>
      <c r="T128" s="12"/>
      <c r="U128" s="12">
        <v>85793</v>
      </c>
      <c r="V128" s="8">
        <f t="shared" si="12"/>
        <v>0</v>
      </c>
      <c r="W128" s="8">
        <f t="shared" si="13"/>
        <v>0</v>
      </c>
    </row>
    <row r="129" spans="1:23" ht="21.95" customHeight="1" x14ac:dyDescent="0.2">
      <c r="A129" s="5" t="s">
        <v>17</v>
      </c>
      <c r="B129" s="5" t="s">
        <v>1581</v>
      </c>
      <c r="C129" s="6" t="s">
        <v>88</v>
      </c>
      <c r="D129" s="6" t="s">
        <v>77</v>
      </c>
      <c r="E129" s="6"/>
      <c r="F129" s="6"/>
      <c r="G129"/>
      <c r="H129"/>
      <c r="I129" s="10"/>
      <c r="J129" s="10"/>
      <c r="K129" s="7">
        <v>44004342</v>
      </c>
      <c r="L129" s="5" t="str">
        <f t="shared" si="8"/>
        <v>BZ MASERATİ KARYOLA BAZALI 200CM</v>
      </c>
      <c r="M129" s="8">
        <v>0.6</v>
      </c>
      <c r="N129" s="8">
        <v>0.55000000000000004</v>
      </c>
      <c r="O129" s="8">
        <v>71494</v>
      </c>
      <c r="P129" s="8">
        <f t="shared" si="9"/>
        <v>32172.299999999996</v>
      </c>
      <c r="Q129" s="8">
        <f t="shared" si="10"/>
        <v>71494</v>
      </c>
      <c r="R129" s="31">
        <f t="shared" si="11"/>
        <v>71400</v>
      </c>
      <c r="T129" s="12"/>
      <c r="U129" s="12">
        <v>85793</v>
      </c>
      <c r="V129" s="8">
        <f t="shared" si="12"/>
        <v>0</v>
      </c>
      <c r="W129" s="8">
        <f t="shared" si="13"/>
        <v>0</v>
      </c>
    </row>
    <row r="130" spans="1:23" ht="21.95" customHeight="1" x14ac:dyDescent="0.2">
      <c r="A130" s="5" t="s">
        <v>17</v>
      </c>
      <c r="B130" s="5" t="s">
        <v>1581</v>
      </c>
      <c r="C130" s="6" t="s">
        <v>88</v>
      </c>
      <c r="D130" s="6" t="s">
        <v>96</v>
      </c>
      <c r="E130" s="6"/>
      <c r="F130" s="6"/>
      <c r="G130" s="6">
        <v>142</v>
      </c>
      <c r="H130" s="6">
        <v>54</v>
      </c>
      <c r="I130" s="9">
        <v>96</v>
      </c>
      <c r="J130" s="9"/>
      <c r="K130" s="7">
        <v>44004343</v>
      </c>
      <c r="L130" s="5" t="str">
        <f t="shared" ref="L130:L193" si="14">B130&amp;" "&amp;C130&amp;" "&amp;D130</f>
        <v xml:space="preserve">BZ MASERATİ ŞİFONYER </v>
      </c>
      <c r="M130" s="8">
        <v>0.6</v>
      </c>
      <c r="N130" s="8">
        <v>0.55000000000000004</v>
      </c>
      <c r="O130" s="8">
        <v>47420</v>
      </c>
      <c r="P130" s="8">
        <f t="shared" ref="P130:P193" si="15">O130*(1-N130)</f>
        <v>21338.999999999996</v>
      </c>
      <c r="Q130" s="8">
        <f t="shared" ref="Q130:Q193" si="16">O130</f>
        <v>47420</v>
      </c>
      <c r="R130" s="31">
        <f t="shared" ref="R130:R193" si="17">ROUNDDOWN(Q130,-2)</f>
        <v>47400</v>
      </c>
      <c r="T130" s="12"/>
      <c r="U130" s="12">
        <v>56904</v>
      </c>
      <c r="V130" s="8">
        <f t="shared" si="12"/>
        <v>0</v>
      </c>
      <c r="W130" s="8">
        <f t="shared" si="13"/>
        <v>0</v>
      </c>
    </row>
    <row r="131" spans="1:23" ht="21.95" customHeight="1" x14ac:dyDescent="0.2">
      <c r="A131" s="5" t="s">
        <v>17</v>
      </c>
      <c r="B131" s="5" t="s">
        <v>1581</v>
      </c>
      <c r="C131" s="6" t="s">
        <v>88</v>
      </c>
      <c r="D131" s="6" t="s">
        <v>79</v>
      </c>
      <c r="E131" s="6"/>
      <c r="F131" s="6"/>
      <c r="G131" s="6">
        <v>74</v>
      </c>
      <c r="H131" s="6">
        <v>4</v>
      </c>
      <c r="I131" s="9">
        <v>57</v>
      </c>
      <c r="J131" s="9"/>
      <c r="K131" s="7">
        <v>44004344</v>
      </c>
      <c r="L131" s="5" t="str">
        <f t="shared" si="14"/>
        <v>BZ MASERATİ ŞİFONYER AYNASI</v>
      </c>
      <c r="M131" s="8">
        <v>0.6</v>
      </c>
      <c r="N131" s="8">
        <v>0.55000000000000004</v>
      </c>
      <c r="O131" s="8">
        <v>21951</v>
      </c>
      <c r="P131" s="8">
        <f t="shared" si="15"/>
        <v>9877.9499999999989</v>
      </c>
      <c r="Q131" s="8">
        <f t="shared" si="16"/>
        <v>21951</v>
      </c>
      <c r="R131" s="31">
        <f t="shared" si="17"/>
        <v>21900</v>
      </c>
      <c r="T131" s="12"/>
      <c r="U131" s="12">
        <v>26341</v>
      </c>
      <c r="V131" s="8">
        <f t="shared" si="12"/>
        <v>0</v>
      </c>
      <c r="W131" s="8">
        <f t="shared" si="13"/>
        <v>0</v>
      </c>
    </row>
    <row r="132" spans="1:23" ht="21.95" customHeight="1" x14ac:dyDescent="0.2">
      <c r="A132" s="5" t="s">
        <v>17</v>
      </c>
      <c r="B132" s="5" t="s">
        <v>1581</v>
      </c>
      <c r="C132" s="6" t="s">
        <v>88</v>
      </c>
      <c r="D132" s="6" t="s">
        <v>97</v>
      </c>
      <c r="E132" s="6"/>
      <c r="F132" s="6"/>
      <c r="H132" s="6"/>
      <c r="I132" s="9"/>
      <c r="J132" s="9"/>
      <c r="K132" s="7">
        <v>44004345</v>
      </c>
      <c r="L132" s="5" t="str">
        <f t="shared" si="14"/>
        <v>BZ MASERATİ KUMANDALI TEK ADAPTÖR</v>
      </c>
      <c r="M132" s="8">
        <v>0.6</v>
      </c>
      <c r="N132" s="8">
        <v>0.55000000000000004</v>
      </c>
      <c r="O132" s="8">
        <v>4843</v>
      </c>
      <c r="P132" s="8">
        <f t="shared" si="15"/>
        <v>2179.35</v>
      </c>
      <c r="Q132" s="8">
        <f t="shared" si="16"/>
        <v>4843</v>
      </c>
      <c r="R132" s="31">
        <f t="shared" si="17"/>
        <v>4800</v>
      </c>
      <c r="T132" s="12"/>
      <c r="U132" s="12">
        <v>5812</v>
      </c>
      <c r="V132" s="8">
        <f t="shared" si="12"/>
        <v>0</v>
      </c>
      <c r="W132" s="8">
        <f t="shared" si="13"/>
        <v>0</v>
      </c>
    </row>
    <row r="133" spans="1:23" ht="21.95" customHeight="1" x14ac:dyDescent="0.2">
      <c r="A133" s="5" t="s">
        <v>17</v>
      </c>
      <c r="B133" s="5" t="s">
        <v>1581</v>
      </c>
      <c r="C133" s="6" t="s">
        <v>88</v>
      </c>
      <c r="D133" s="6" t="s">
        <v>98</v>
      </c>
      <c r="E133" s="6"/>
      <c r="G133" s="6">
        <v>95</v>
      </c>
      <c r="H133" s="5">
        <v>95</v>
      </c>
      <c r="I133" s="9">
        <v>225</v>
      </c>
      <c r="J133" s="9"/>
      <c r="K133" s="7">
        <v>44004346</v>
      </c>
      <c r="L133" s="5" t="str">
        <f t="shared" si="14"/>
        <v>BZ MASERATİ DOLAP KÖŞE CAM KAPAK</v>
      </c>
      <c r="M133" s="8">
        <v>0.6</v>
      </c>
      <c r="N133" s="8">
        <v>0.55000000000000004</v>
      </c>
      <c r="O133" s="8">
        <v>33627</v>
      </c>
      <c r="P133" s="8">
        <f t="shared" si="15"/>
        <v>15132.149999999998</v>
      </c>
      <c r="Q133" s="8">
        <f t="shared" si="16"/>
        <v>33627</v>
      </c>
      <c r="R133" s="31">
        <f t="shared" si="17"/>
        <v>33600</v>
      </c>
      <c r="T133" s="12"/>
      <c r="U133" s="12">
        <v>40352</v>
      </c>
      <c r="V133" s="8">
        <f t="shared" si="12"/>
        <v>0</v>
      </c>
      <c r="W133" s="8">
        <f t="shared" si="13"/>
        <v>0</v>
      </c>
    </row>
    <row r="134" spans="1:23" ht="21.95" customHeight="1" x14ac:dyDescent="0.2">
      <c r="A134" s="5" t="s">
        <v>17</v>
      </c>
      <c r="B134" s="5" t="s">
        <v>1581</v>
      </c>
      <c r="C134" s="6" t="s">
        <v>88</v>
      </c>
      <c r="D134" s="6" t="s">
        <v>99</v>
      </c>
      <c r="E134" s="6"/>
      <c r="F134" s="6"/>
      <c r="G134" s="6">
        <v>100</v>
      </c>
      <c r="H134" s="6">
        <v>60</v>
      </c>
      <c r="I134" s="9">
        <v>225</v>
      </c>
      <c r="J134" s="9"/>
      <c r="K134" s="7">
        <v>44004347</v>
      </c>
      <c r="L134" s="5" t="str">
        <f t="shared" si="14"/>
        <v>BZ MASERATİ DOLAP AYAKKABILIKLI CAM KAPAKLI</v>
      </c>
      <c r="M134" s="8">
        <v>0.6</v>
      </c>
      <c r="N134" s="8">
        <v>0.55000000000000004</v>
      </c>
      <c r="O134" s="8">
        <v>67763</v>
      </c>
      <c r="P134" s="8">
        <f t="shared" si="15"/>
        <v>30493.35</v>
      </c>
      <c r="Q134" s="8">
        <f t="shared" si="16"/>
        <v>67763</v>
      </c>
      <c r="R134" s="31">
        <f t="shared" si="17"/>
        <v>67700</v>
      </c>
      <c r="T134" s="12"/>
      <c r="U134" s="12">
        <v>81316</v>
      </c>
      <c r="V134" s="8">
        <f t="shared" si="12"/>
        <v>0</v>
      </c>
      <c r="W134" s="8">
        <f t="shared" si="13"/>
        <v>0</v>
      </c>
    </row>
    <row r="135" spans="1:23" ht="21.95" customHeight="1" x14ac:dyDescent="0.2">
      <c r="A135" s="5" t="s">
        <v>17</v>
      </c>
      <c r="B135" s="5" t="s">
        <v>1581</v>
      </c>
      <c r="C135" s="6" t="s">
        <v>88</v>
      </c>
      <c r="D135" s="6" t="s">
        <v>100</v>
      </c>
      <c r="E135" s="6"/>
      <c r="F135" s="6"/>
      <c r="G135" s="6">
        <v>50</v>
      </c>
      <c r="H135" s="6">
        <v>60</v>
      </c>
      <c r="I135" s="9">
        <v>225</v>
      </c>
      <c r="J135" s="9"/>
      <c r="K135" s="7">
        <v>44004348</v>
      </c>
      <c r="L135" s="5" t="str">
        <f t="shared" si="14"/>
        <v>BZ MASERATİ TEKLİ DOLAP</v>
      </c>
      <c r="M135" s="8">
        <v>0.6</v>
      </c>
      <c r="N135" s="8">
        <v>0.55000000000000004</v>
      </c>
      <c r="O135" s="8">
        <v>24200</v>
      </c>
      <c r="P135" s="8">
        <f t="shared" si="15"/>
        <v>10889.999999999998</v>
      </c>
      <c r="Q135" s="8">
        <f t="shared" si="16"/>
        <v>24200</v>
      </c>
      <c r="R135" s="31">
        <f t="shared" si="17"/>
        <v>24200</v>
      </c>
      <c r="T135" s="12"/>
      <c r="U135" s="12">
        <v>29040</v>
      </c>
      <c r="V135" s="8">
        <f t="shared" si="12"/>
        <v>0</v>
      </c>
      <c r="W135" s="8">
        <f t="shared" si="13"/>
        <v>0</v>
      </c>
    </row>
    <row r="136" spans="1:23" ht="21.95" customHeight="1" x14ac:dyDescent="0.2">
      <c r="A136" s="5" t="s">
        <v>17</v>
      </c>
      <c r="B136" s="5" t="s">
        <v>1581</v>
      </c>
      <c r="C136" s="6" t="s">
        <v>88</v>
      </c>
      <c r="D136" s="6" t="s">
        <v>82</v>
      </c>
      <c r="E136" s="6"/>
      <c r="G136" s="6">
        <v>52</v>
      </c>
      <c r="H136" s="6">
        <v>50</v>
      </c>
      <c r="I136" s="9">
        <v>180</v>
      </c>
      <c r="J136" s="9"/>
      <c r="K136" s="7">
        <v>44004349</v>
      </c>
      <c r="L136" s="5" t="str">
        <f t="shared" si="14"/>
        <v>BZ MASERATİ BOY AYNASI</v>
      </c>
      <c r="M136" s="8">
        <v>0.6</v>
      </c>
      <c r="N136" s="8">
        <v>0.55000000000000004</v>
      </c>
      <c r="O136" s="8">
        <v>35897</v>
      </c>
      <c r="P136" s="8">
        <f t="shared" si="15"/>
        <v>16153.649999999998</v>
      </c>
      <c r="Q136" s="8">
        <f t="shared" si="16"/>
        <v>35897</v>
      </c>
      <c r="R136" s="31">
        <f t="shared" si="17"/>
        <v>35800</v>
      </c>
      <c r="T136" s="12"/>
      <c r="U136" s="12">
        <v>43076</v>
      </c>
      <c r="V136" s="8">
        <f t="shared" si="12"/>
        <v>0</v>
      </c>
      <c r="W136" s="8">
        <f t="shared" si="13"/>
        <v>0</v>
      </c>
    </row>
    <row r="137" spans="1:23" ht="21.95" customHeight="1" x14ac:dyDescent="0.2">
      <c r="A137" s="5" t="s">
        <v>17</v>
      </c>
      <c r="B137" s="5" t="s">
        <v>1581</v>
      </c>
      <c r="C137" s="6" t="s">
        <v>88</v>
      </c>
      <c r="D137" s="6" t="s">
        <v>83</v>
      </c>
      <c r="E137" s="6"/>
      <c r="F137" s="6"/>
      <c r="G137" s="6">
        <v>112</v>
      </c>
      <c r="H137" s="6">
        <v>90</v>
      </c>
      <c r="I137" s="9">
        <v>86</v>
      </c>
      <c r="J137" s="9"/>
      <c r="K137" s="7">
        <v>44004350</v>
      </c>
      <c r="L137" s="5" t="str">
        <f t="shared" si="14"/>
        <v>BZ MASERATİ ADA DOLAP</v>
      </c>
      <c r="M137" s="8">
        <v>0.6</v>
      </c>
      <c r="N137" s="8">
        <v>0.55000000000000004</v>
      </c>
      <c r="O137" s="8">
        <v>59547</v>
      </c>
      <c r="P137" s="8">
        <f t="shared" si="15"/>
        <v>26796.149999999998</v>
      </c>
      <c r="Q137" s="8">
        <f t="shared" si="16"/>
        <v>59547</v>
      </c>
      <c r="R137" s="31">
        <f t="shared" si="17"/>
        <v>59500</v>
      </c>
      <c r="T137" s="12"/>
      <c r="U137" s="12">
        <v>71456</v>
      </c>
      <c r="V137" s="8">
        <f t="shared" si="12"/>
        <v>0</v>
      </c>
      <c r="W137" s="8">
        <f t="shared" si="13"/>
        <v>0</v>
      </c>
    </row>
    <row r="138" spans="1:23" ht="21.95" customHeight="1" x14ac:dyDescent="0.2">
      <c r="A138" s="5" t="s">
        <v>17</v>
      </c>
      <c r="B138" s="5" t="s">
        <v>1581</v>
      </c>
      <c r="C138" s="6" t="s">
        <v>101</v>
      </c>
      <c r="D138" s="6" t="s">
        <v>49</v>
      </c>
      <c r="E138" s="6"/>
      <c r="G138" s="6">
        <v>209</v>
      </c>
      <c r="H138" s="6">
        <v>52</v>
      </c>
      <c r="I138" s="9">
        <v>53</v>
      </c>
      <c r="J138" s="9"/>
      <c r="K138" s="7">
        <v>44004351</v>
      </c>
      <c r="L138" s="5" t="str">
        <f t="shared" si="14"/>
        <v>BZ BENTLEY KONSOL</v>
      </c>
      <c r="M138" s="8">
        <v>0.6</v>
      </c>
      <c r="N138" s="8">
        <v>0.55000000000000004</v>
      </c>
      <c r="O138" s="8">
        <v>58957</v>
      </c>
      <c r="P138" s="8">
        <f t="shared" si="15"/>
        <v>26530.649999999998</v>
      </c>
      <c r="Q138" s="8">
        <f t="shared" si="16"/>
        <v>58957</v>
      </c>
      <c r="R138" s="31">
        <f t="shared" si="17"/>
        <v>58900</v>
      </c>
      <c r="T138" s="12"/>
      <c r="U138" s="12">
        <v>70748</v>
      </c>
      <c r="V138" s="8">
        <f t="shared" si="12"/>
        <v>0</v>
      </c>
      <c r="W138" s="8">
        <f t="shared" si="13"/>
        <v>0</v>
      </c>
    </row>
    <row r="139" spans="1:23" ht="21.95" customHeight="1" x14ac:dyDescent="0.2">
      <c r="A139" s="5" t="s">
        <v>17</v>
      </c>
      <c r="B139" s="5" t="s">
        <v>1581</v>
      </c>
      <c r="C139" s="6" t="s">
        <v>101</v>
      </c>
      <c r="D139" s="6" t="s">
        <v>50</v>
      </c>
      <c r="E139" s="6"/>
      <c r="F139" s="6"/>
      <c r="G139" s="6">
        <v>44</v>
      </c>
      <c r="H139" s="6">
        <v>7</v>
      </c>
      <c r="I139" s="9">
        <v>124</v>
      </c>
      <c r="J139" s="9"/>
      <c r="K139" s="7">
        <v>44004352</v>
      </c>
      <c r="L139" s="5" t="str">
        <f t="shared" si="14"/>
        <v>BZ BENTLEY KONSOL AYNASI X2</v>
      </c>
      <c r="M139" s="8">
        <v>0.6</v>
      </c>
      <c r="N139" s="8">
        <v>0.55000000000000004</v>
      </c>
      <c r="O139" s="8">
        <v>19554</v>
      </c>
      <c r="P139" s="8">
        <f t="shared" si="15"/>
        <v>8799.2999999999993</v>
      </c>
      <c r="Q139" s="8">
        <f t="shared" si="16"/>
        <v>19554</v>
      </c>
      <c r="R139" s="31">
        <f t="shared" si="17"/>
        <v>19500</v>
      </c>
      <c r="T139" s="12"/>
      <c r="U139" s="12">
        <v>23464</v>
      </c>
      <c r="V139" s="8">
        <f t="shared" si="12"/>
        <v>0</v>
      </c>
      <c r="W139" s="8">
        <f t="shared" si="13"/>
        <v>0</v>
      </c>
    </row>
    <row r="140" spans="1:23" ht="21.95" customHeight="1" x14ac:dyDescent="0.2">
      <c r="A140" s="5" t="s">
        <v>17</v>
      </c>
      <c r="B140" s="5" t="s">
        <v>1581</v>
      </c>
      <c r="C140" s="6" t="s">
        <v>101</v>
      </c>
      <c r="D140" s="6" t="s">
        <v>23</v>
      </c>
      <c r="E140" s="6"/>
      <c r="F140" s="6"/>
      <c r="G140" s="6">
        <v>200</v>
      </c>
      <c r="H140" s="6">
        <v>91</v>
      </c>
      <c r="I140" s="9">
        <v>76</v>
      </c>
      <c r="J140" s="9"/>
      <c r="K140" s="7">
        <v>44004353</v>
      </c>
      <c r="L140" s="5" t="str">
        <f t="shared" si="14"/>
        <v>BZ BENTLEY MASA 200CM</v>
      </c>
      <c r="M140" s="8">
        <v>0.6</v>
      </c>
      <c r="N140" s="8">
        <v>0.55000000000000004</v>
      </c>
      <c r="O140" s="8">
        <v>66928</v>
      </c>
      <c r="P140" s="8">
        <f t="shared" si="15"/>
        <v>30117.599999999999</v>
      </c>
      <c r="Q140" s="8">
        <f t="shared" si="16"/>
        <v>66928</v>
      </c>
      <c r="R140" s="31">
        <f t="shared" si="17"/>
        <v>66900</v>
      </c>
      <c r="T140" s="12"/>
      <c r="U140" s="12">
        <v>80314</v>
      </c>
      <c r="V140" s="8">
        <f t="shared" si="12"/>
        <v>0</v>
      </c>
      <c r="W140" s="8">
        <f t="shared" si="13"/>
        <v>0</v>
      </c>
    </row>
    <row r="141" spans="1:23" ht="21.95" customHeight="1" x14ac:dyDescent="0.2">
      <c r="A141" s="5" t="s">
        <v>17</v>
      </c>
      <c r="B141" s="5" t="s">
        <v>1581</v>
      </c>
      <c r="C141" s="6" t="s">
        <v>101</v>
      </c>
      <c r="D141" s="6" t="s">
        <v>24</v>
      </c>
      <c r="E141" s="6"/>
      <c r="F141" s="6"/>
      <c r="G141" s="6">
        <v>240</v>
      </c>
      <c r="H141" s="6">
        <v>110</v>
      </c>
      <c r="I141" s="9">
        <v>76</v>
      </c>
      <c r="J141" s="9"/>
      <c r="K141" s="7">
        <v>44004354</v>
      </c>
      <c r="L141" s="5" t="str">
        <f t="shared" si="14"/>
        <v>BZ BENTLEY MASA 240CM</v>
      </c>
      <c r="M141" s="8">
        <v>0.6</v>
      </c>
      <c r="N141" s="8">
        <v>0.55000000000000004</v>
      </c>
      <c r="O141" s="8">
        <v>78656</v>
      </c>
      <c r="P141" s="8">
        <f t="shared" si="15"/>
        <v>35395.199999999997</v>
      </c>
      <c r="Q141" s="8">
        <f t="shared" si="16"/>
        <v>78656</v>
      </c>
      <c r="R141" s="31">
        <f t="shared" si="17"/>
        <v>78600</v>
      </c>
      <c r="T141" s="12"/>
      <c r="U141" s="12">
        <v>94387</v>
      </c>
      <c r="V141" s="8">
        <f t="shared" si="12"/>
        <v>0</v>
      </c>
      <c r="W141" s="8">
        <f t="shared" si="13"/>
        <v>0</v>
      </c>
    </row>
    <row r="142" spans="1:23" ht="21.95" customHeight="1" x14ac:dyDescent="0.2">
      <c r="A142" s="5" t="s">
        <v>17</v>
      </c>
      <c r="B142" s="5" t="s">
        <v>1581</v>
      </c>
      <c r="C142" s="6" t="s">
        <v>101</v>
      </c>
      <c r="D142" s="6" t="s">
        <v>25</v>
      </c>
      <c r="E142" s="6"/>
      <c r="F142" s="6"/>
      <c r="G142" s="6">
        <v>53</v>
      </c>
      <c r="H142" s="6">
        <v>61</v>
      </c>
      <c r="I142" s="9">
        <v>84</v>
      </c>
      <c r="J142" s="9"/>
      <c r="K142" s="7">
        <v>44004355</v>
      </c>
      <c r="L142" s="5" t="str">
        <f t="shared" si="14"/>
        <v>BZ BENTLEY SANDALYE</v>
      </c>
      <c r="M142" s="8">
        <v>0.6</v>
      </c>
      <c r="N142" s="8">
        <v>0.55000000000000004</v>
      </c>
      <c r="O142" s="8">
        <v>14767</v>
      </c>
      <c r="P142" s="8">
        <f t="shared" si="15"/>
        <v>6645.15</v>
      </c>
      <c r="Q142" s="8">
        <f t="shared" si="16"/>
        <v>14767</v>
      </c>
      <c r="R142" s="31">
        <f t="shared" si="17"/>
        <v>14700</v>
      </c>
      <c r="T142" s="12"/>
      <c r="U142" s="12">
        <v>17720</v>
      </c>
      <c r="V142" s="8">
        <f t="shared" si="12"/>
        <v>0</v>
      </c>
      <c r="W142" s="8">
        <f t="shared" si="13"/>
        <v>0</v>
      </c>
    </row>
    <row r="143" spans="1:23" ht="21.95" customHeight="1" x14ac:dyDescent="0.2">
      <c r="A143" s="5" t="s">
        <v>17</v>
      </c>
      <c r="B143" s="5" t="s">
        <v>1581</v>
      </c>
      <c r="C143" s="6" t="s">
        <v>101</v>
      </c>
      <c r="D143" s="6" t="s">
        <v>102</v>
      </c>
      <c r="E143" s="6"/>
      <c r="F143" s="6"/>
      <c r="G143" s="6">
        <v>209</v>
      </c>
      <c r="H143" s="6">
        <v>52</v>
      </c>
      <c r="I143" s="9">
        <v>53</v>
      </c>
      <c r="J143" s="9"/>
      <c r="K143" s="7">
        <v>44004356</v>
      </c>
      <c r="L143" s="5" t="str">
        <f t="shared" si="14"/>
        <v>BZ BENTLEY TV ÜNİTESİ ALT BLOK</v>
      </c>
      <c r="M143" s="8">
        <v>0.6</v>
      </c>
      <c r="N143" s="8">
        <v>0.55000000000000004</v>
      </c>
      <c r="O143" s="8">
        <v>53697</v>
      </c>
      <c r="P143" s="8">
        <f t="shared" si="15"/>
        <v>24163.649999999998</v>
      </c>
      <c r="Q143" s="8">
        <f t="shared" si="16"/>
        <v>53697</v>
      </c>
      <c r="R143" s="31">
        <f t="shared" si="17"/>
        <v>53600</v>
      </c>
      <c r="T143" s="12"/>
      <c r="U143" s="12">
        <v>64436</v>
      </c>
      <c r="V143" s="8">
        <f t="shared" si="12"/>
        <v>0</v>
      </c>
      <c r="W143" s="8">
        <f t="shared" si="13"/>
        <v>0</v>
      </c>
    </row>
    <row r="144" spans="1:23" ht="21.95" customHeight="1" x14ac:dyDescent="0.2">
      <c r="A144" s="5" t="s">
        <v>17</v>
      </c>
      <c r="B144" s="5" t="s">
        <v>1581</v>
      </c>
      <c r="C144" s="6" t="s">
        <v>101</v>
      </c>
      <c r="D144" s="6" t="s">
        <v>103</v>
      </c>
      <c r="E144" s="6"/>
      <c r="F144" s="6"/>
      <c r="G144" s="6">
        <v>40</v>
      </c>
      <c r="H144" s="6">
        <v>40</v>
      </c>
      <c r="I144" s="9">
        <v>120</v>
      </c>
      <c r="J144" s="9"/>
      <c r="K144" s="7">
        <v>44004357</v>
      </c>
      <c r="L144" s="5" t="str">
        <f t="shared" si="14"/>
        <v>BZ BENTLEY TV ÜNİTESİ ÜST MODÜL</v>
      </c>
      <c r="M144" s="8">
        <v>0.6</v>
      </c>
      <c r="N144" s="8">
        <v>0.55000000000000004</v>
      </c>
      <c r="O144" s="8">
        <v>22611</v>
      </c>
      <c r="P144" s="8">
        <f t="shared" si="15"/>
        <v>10174.949999999999</v>
      </c>
      <c r="Q144" s="8">
        <f t="shared" si="16"/>
        <v>22611</v>
      </c>
      <c r="R144" s="31">
        <f t="shared" si="17"/>
        <v>22600</v>
      </c>
      <c r="T144" s="12"/>
      <c r="U144" s="12">
        <v>27133</v>
      </c>
      <c r="V144" s="8">
        <f t="shared" si="12"/>
        <v>0</v>
      </c>
      <c r="W144" s="8">
        <f t="shared" si="13"/>
        <v>0</v>
      </c>
    </row>
    <row r="145" spans="1:23" ht="21.95" customHeight="1" x14ac:dyDescent="0.2">
      <c r="A145" s="5" t="s">
        <v>17</v>
      </c>
      <c r="B145" s="5" t="s">
        <v>1581</v>
      </c>
      <c r="C145" s="6" t="s">
        <v>101</v>
      </c>
      <c r="D145" s="6" t="s">
        <v>104</v>
      </c>
      <c r="E145" s="6"/>
      <c r="G145" s="6">
        <v>73</v>
      </c>
      <c r="H145" s="6">
        <v>73</v>
      </c>
      <c r="I145" s="9">
        <v>40</v>
      </c>
      <c r="J145" s="9"/>
      <c r="K145" s="7">
        <v>44004358</v>
      </c>
      <c r="L145" s="5" t="str">
        <f t="shared" si="14"/>
        <v>BZ BENTLEY BENTLEY PUF</v>
      </c>
      <c r="M145" s="8">
        <v>0.6</v>
      </c>
      <c r="N145" s="8">
        <v>0.55000000000000004</v>
      </c>
      <c r="O145" s="8">
        <v>16725</v>
      </c>
      <c r="P145" s="8">
        <f t="shared" si="15"/>
        <v>7526.2499999999991</v>
      </c>
      <c r="Q145" s="8">
        <f t="shared" si="16"/>
        <v>16725</v>
      </c>
      <c r="R145" s="31">
        <f t="shared" si="17"/>
        <v>16700</v>
      </c>
      <c r="T145" s="12"/>
      <c r="U145" s="12">
        <v>20070</v>
      </c>
      <c r="V145" s="8">
        <f t="shared" si="12"/>
        <v>0</v>
      </c>
      <c r="W145" s="8">
        <f t="shared" si="13"/>
        <v>0</v>
      </c>
    </row>
    <row r="146" spans="1:23" ht="21.95" customHeight="1" x14ac:dyDescent="0.2">
      <c r="A146" s="5" t="s">
        <v>17</v>
      </c>
      <c r="B146" s="5" t="s">
        <v>1581</v>
      </c>
      <c r="C146" s="6" t="s">
        <v>101</v>
      </c>
      <c r="D146" s="6" t="s">
        <v>29</v>
      </c>
      <c r="E146" s="6"/>
      <c r="F146" s="6"/>
      <c r="G146" s="6">
        <v>90</v>
      </c>
      <c r="H146" s="6">
        <v>90</v>
      </c>
      <c r="I146" s="9">
        <v>50</v>
      </c>
      <c r="J146" s="9"/>
      <c r="K146" s="7">
        <v>44004359</v>
      </c>
      <c r="L146" s="5" t="str">
        <f t="shared" si="14"/>
        <v>BZ BENTLEY ORTA SEHPA</v>
      </c>
      <c r="M146" s="8">
        <v>0.6</v>
      </c>
      <c r="N146" s="8">
        <v>0.55000000000000004</v>
      </c>
      <c r="O146" s="8">
        <v>22059</v>
      </c>
      <c r="P146" s="8">
        <f t="shared" si="15"/>
        <v>9926.5499999999993</v>
      </c>
      <c r="Q146" s="8">
        <f t="shared" si="16"/>
        <v>22059</v>
      </c>
      <c r="R146" s="31">
        <f t="shared" si="17"/>
        <v>22000</v>
      </c>
      <c r="T146" s="12"/>
      <c r="U146" s="12">
        <v>26471</v>
      </c>
      <c r="V146" s="8">
        <f t="shared" si="12"/>
        <v>0</v>
      </c>
      <c r="W146" s="8">
        <f t="shared" si="13"/>
        <v>0</v>
      </c>
    </row>
    <row r="147" spans="1:23" ht="21.95" customHeight="1" x14ac:dyDescent="0.2">
      <c r="A147" s="5" t="s">
        <v>17</v>
      </c>
      <c r="B147" s="5" t="s">
        <v>1581</v>
      </c>
      <c r="C147" s="6" t="s">
        <v>101</v>
      </c>
      <c r="D147" s="6" t="s">
        <v>93</v>
      </c>
      <c r="E147" s="6"/>
      <c r="F147" s="6"/>
      <c r="G147" s="6">
        <v>48</v>
      </c>
      <c r="H147" s="6">
        <v>65</v>
      </c>
      <c r="I147" s="9">
        <v>56</v>
      </c>
      <c r="J147" s="9"/>
      <c r="K147" s="7">
        <v>44004360</v>
      </c>
      <c r="L147" s="5" t="str">
        <f t="shared" si="14"/>
        <v>BZ BENTLEY ZİGON SEHPA</v>
      </c>
      <c r="M147" s="8">
        <v>0.6</v>
      </c>
      <c r="N147" s="8">
        <v>0.55000000000000004</v>
      </c>
      <c r="O147" s="8">
        <v>19038</v>
      </c>
      <c r="P147" s="8">
        <f t="shared" si="15"/>
        <v>8567.0999999999985</v>
      </c>
      <c r="Q147" s="8">
        <f t="shared" si="16"/>
        <v>19038</v>
      </c>
      <c r="R147" s="31">
        <f t="shared" si="17"/>
        <v>19000</v>
      </c>
      <c r="T147" s="12"/>
      <c r="U147" s="12">
        <v>22846</v>
      </c>
      <c r="V147" s="8">
        <f t="shared" si="12"/>
        <v>0</v>
      </c>
      <c r="W147" s="8">
        <f t="shared" si="13"/>
        <v>0</v>
      </c>
    </row>
    <row r="148" spans="1:23" ht="21.95" customHeight="1" x14ac:dyDescent="0.2">
      <c r="A148" s="5" t="s">
        <v>17</v>
      </c>
      <c r="B148" s="5" t="s">
        <v>1581</v>
      </c>
      <c r="C148" s="6" t="s">
        <v>101</v>
      </c>
      <c r="D148" s="6" t="s">
        <v>31</v>
      </c>
      <c r="E148" s="6"/>
      <c r="F148" s="6"/>
      <c r="G148" s="6">
        <v>306</v>
      </c>
      <c r="H148" s="6">
        <v>90</v>
      </c>
      <c r="I148" s="9">
        <v>88</v>
      </c>
      <c r="J148" s="9"/>
      <c r="K148" s="7">
        <v>44004361</v>
      </c>
      <c r="L148" s="5" t="str">
        <f t="shared" si="14"/>
        <v>BZ BENTLEY KOLTUK 4 LÜ</v>
      </c>
      <c r="M148" s="8">
        <v>0.6</v>
      </c>
      <c r="N148" s="8">
        <v>0.55000000000000004</v>
      </c>
      <c r="O148" s="8">
        <v>88201</v>
      </c>
      <c r="P148" s="8">
        <f t="shared" si="15"/>
        <v>39690.449999999997</v>
      </c>
      <c r="Q148" s="8">
        <f t="shared" si="16"/>
        <v>88201</v>
      </c>
      <c r="R148" s="31">
        <f t="shared" si="17"/>
        <v>88200</v>
      </c>
      <c r="T148" s="12"/>
      <c r="U148" s="12">
        <v>105841</v>
      </c>
      <c r="V148" s="8">
        <f t="shared" si="12"/>
        <v>0</v>
      </c>
      <c r="W148" s="8">
        <f t="shared" si="13"/>
        <v>0</v>
      </c>
    </row>
    <row r="149" spans="1:23" ht="21.95" customHeight="1" x14ac:dyDescent="0.2">
      <c r="A149" s="5" t="s">
        <v>17</v>
      </c>
      <c r="B149" s="5" t="s">
        <v>1581</v>
      </c>
      <c r="C149" s="6" t="s">
        <v>101</v>
      </c>
      <c r="D149" s="6" t="s">
        <v>32</v>
      </c>
      <c r="E149" s="6"/>
      <c r="F149" s="6"/>
      <c r="G149" s="6">
        <v>235</v>
      </c>
      <c r="H149" s="6">
        <v>90</v>
      </c>
      <c r="I149" s="9">
        <v>88</v>
      </c>
      <c r="J149" s="9"/>
      <c r="K149" s="7">
        <v>44004362</v>
      </c>
      <c r="L149" s="5" t="str">
        <f t="shared" si="14"/>
        <v>BZ BENTLEY KOLTUK 3 LÜ</v>
      </c>
      <c r="M149" s="8">
        <v>0.6</v>
      </c>
      <c r="N149" s="8">
        <v>0.55000000000000004</v>
      </c>
      <c r="O149" s="8">
        <v>69505</v>
      </c>
      <c r="P149" s="8">
        <f t="shared" si="15"/>
        <v>31277.249999999996</v>
      </c>
      <c r="Q149" s="8">
        <f t="shared" si="16"/>
        <v>69505</v>
      </c>
      <c r="R149" s="31">
        <f t="shared" si="17"/>
        <v>69500</v>
      </c>
      <c r="T149" s="12"/>
      <c r="U149" s="12">
        <v>83406</v>
      </c>
      <c r="V149" s="8">
        <f t="shared" si="12"/>
        <v>0</v>
      </c>
      <c r="W149" s="8">
        <f t="shared" si="13"/>
        <v>0</v>
      </c>
    </row>
    <row r="150" spans="1:23" ht="21.95" customHeight="1" x14ac:dyDescent="0.2">
      <c r="A150" s="5" t="s">
        <v>17</v>
      </c>
      <c r="B150" s="5" t="s">
        <v>1581</v>
      </c>
      <c r="C150" s="6" t="s">
        <v>101</v>
      </c>
      <c r="D150" s="6" t="s">
        <v>33</v>
      </c>
      <c r="E150" s="6"/>
      <c r="F150" s="6"/>
      <c r="G150" s="6">
        <v>87</v>
      </c>
      <c r="H150" s="6">
        <v>90</v>
      </c>
      <c r="I150" s="9">
        <v>88</v>
      </c>
      <c r="J150" s="9"/>
      <c r="K150" s="7">
        <v>44004363</v>
      </c>
      <c r="L150" s="5" t="str">
        <f t="shared" si="14"/>
        <v>BZ BENTLEY BERJER</v>
      </c>
      <c r="M150" s="8">
        <v>0.6</v>
      </c>
      <c r="N150" s="8">
        <v>0.55000000000000004</v>
      </c>
      <c r="O150" s="8">
        <v>26936</v>
      </c>
      <c r="P150" s="8">
        <f t="shared" si="15"/>
        <v>12121.199999999999</v>
      </c>
      <c r="Q150" s="8">
        <f t="shared" si="16"/>
        <v>26936</v>
      </c>
      <c r="R150" s="31">
        <f t="shared" si="17"/>
        <v>26900</v>
      </c>
      <c r="T150" s="12"/>
      <c r="U150" s="12">
        <v>32323</v>
      </c>
      <c r="V150" s="8">
        <f t="shared" si="12"/>
        <v>0</v>
      </c>
      <c r="W150" s="8">
        <f t="shared" si="13"/>
        <v>0</v>
      </c>
    </row>
    <row r="151" spans="1:23" ht="21.95" customHeight="1" x14ac:dyDescent="0.2">
      <c r="A151" s="5" t="s">
        <v>17</v>
      </c>
      <c r="B151" s="5" t="s">
        <v>1581</v>
      </c>
      <c r="C151" s="6" t="s">
        <v>101</v>
      </c>
      <c r="D151" s="6" t="s">
        <v>59</v>
      </c>
      <c r="E151" s="6"/>
      <c r="F151" s="6"/>
      <c r="G151" s="6">
        <v>90</v>
      </c>
      <c r="H151" s="6">
        <v>90</v>
      </c>
      <c r="I151" s="9">
        <v>88</v>
      </c>
      <c r="J151" s="9"/>
      <c r="K151" s="7">
        <v>44004364</v>
      </c>
      <c r="L151" s="5" t="str">
        <f t="shared" si="14"/>
        <v>BZ BENTLEY KÖŞE MODÜL</v>
      </c>
      <c r="M151" s="8">
        <v>0.6</v>
      </c>
      <c r="N151" s="8">
        <v>0.55000000000000004</v>
      </c>
      <c r="O151" s="8">
        <v>32958</v>
      </c>
      <c r="P151" s="8">
        <f t="shared" si="15"/>
        <v>14831.099999999999</v>
      </c>
      <c r="Q151" s="8">
        <f t="shared" si="16"/>
        <v>32958</v>
      </c>
      <c r="R151" s="31">
        <f t="shared" si="17"/>
        <v>32900</v>
      </c>
      <c r="T151" s="12"/>
      <c r="U151" s="12">
        <v>39550</v>
      </c>
      <c r="V151" s="8">
        <f t="shared" si="12"/>
        <v>0</v>
      </c>
      <c r="W151" s="8">
        <f t="shared" si="13"/>
        <v>0</v>
      </c>
    </row>
    <row r="152" spans="1:23" ht="21.95" customHeight="1" x14ac:dyDescent="0.2">
      <c r="A152" s="5" t="s">
        <v>17</v>
      </c>
      <c r="B152" s="5" t="s">
        <v>1581</v>
      </c>
      <c r="C152" s="6" t="s">
        <v>101</v>
      </c>
      <c r="D152" s="6" t="s">
        <v>64</v>
      </c>
      <c r="E152" s="6"/>
      <c r="F152" s="6"/>
      <c r="G152" s="6">
        <v>82</v>
      </c>
      <c r="H152" s="6">
        <v>90</v>
      </c>
      <c r="I152" s="9">
        <v>88</v>
      </c>
      <c r="J152" s="9"/>
      <c r="K152" s="7">
        <v>44004365</v>
      </c>
      <c r="L152" s="5" t="str">
        <f t="shared" si="14"/>
        <v>BZ BENTLEY KOLLU MODÜL TEKLİ SAĞ-SOL</v>
      </c>
      <c r="M152" s="8">
        <v>0.6</v>
      </c>
      <c r="N152" s="8">
        <v>0.55000000000000004</v>
      </c>
      <c r="O152" s="8">
        <v>26443</v>
      </c>
      <c r="P152" s="8">
        <f t="shared" si="15"/>
        <v>11899.349999999999</v>
      </c>
      <c r="Q152" s="8">
        <f t="shared" si="16"/>
        <v>26443</v>
      </c>
      <c r="R152" s="31">
        <f t="shared" si="17"/>
        <v>26400</v>
      </c>
      <c r="T152" s="12"/>
      <c r="U152" s="12">
        <v>31732</v>
      </c>
      <c r="V152" s="8">
        <f t="shared" si="12"/>
        <v>0</v>
      </c>
      <c r="W152" s="8">
        <f t="shared" si="13"/>
        <v>0</v>
      </c>
    </row>
    <row r="153" spans="1:23" ht="21.95" customHeight="1" x14ac:dyDescent="0.2">
      <c r="A153" s="5" t="s">
        <v>17</v>
      </c>
      <c r="B153" s="5" t="s">
        <v>1581</v>
      </c>
      <c r="C153" s="6" t="s">
        <v>101</v>
      </c>
      <c r="D153" s="6" t="s">
        <v>105</v>
      </c>
      <c r="E153" s="6"/>
      <c r="G153" s="6">
        <v>50</v>
      </c>
      <c r="H153" s="6">
        <v>90</v>
      </c>
      <c r="I153" s="9">
        <v>72</v>
      </c>
      <c r="J153" s="9"/>
      <c r="K153" s="7">
        <v>44004366</v>
      </c>
      <c r="L153" s="5" t="str">
        <f t="shared" si="14"/>
        <v>BZ BENTLEY SEHPALI MODÜL</v>
      </c>
      <c r="M153" s="8">
        <v>0.6</v>
      </c>
      <c r="N153" s="8">
        <v>0.55000000000000004</v>
      </c>
      <c r="O153" s="8">
        <v>34674</v>
      </c>
      <c r="P153" s="8">
        <f t="shared" si="15"/>
        <v>15603.3</v>
      </c>
      <c r="Q153" s="8">
        <f t="shared" si="16"/>
        <v>34674</v>
      </c>
      <c r="R153" s="31">
        <f t="shared" si="17"/>
        <v>34600</v>
      </c>
      <c r="T153" s="12"/>
      <c r="U153" s="12">
        <v>41609</v>
      </c>
      <c r="V153" s="8">
        <f t="shared" si="12"/>
        <v>0</v>
      </c>
      <c r="W153" s="8">
        <f t="shared" si="13"/>
        <v>0</v>
      </c>
    </row>
    <row r="154" spans="1:23" ht="21.95" customHeight="1" x14ac:dyDescent="0.2">
      <c r="A154" s="5" t="s">
        <v>17</v>
      </c>
      <c r="B154" s="5" t="s">
        <v>1581</v>
      </c>
      <c r="C154" s="6" t="s">
        <v>101</v>
      </c>
      <c r="D154" s="6" t="s">
        <v>62</v>
      </c>
      <c r="E154" s="6"/>
      <c r="F154" s="6"/>
      <c r="G154" s="6">
        <v>82</v>
      </c>
      <c r="H154" s="6">
        <v>163</v>
      </c>
      <c r="I154" s="9">
        <v>88</v>
      </c>
      <c r="J154" s="9"/>
      <c r="K154" s="7">
        <v>44004367</v>
      </c>
      <c r="L154" s="5" t="str">
        <f t="shared" si="14"/>
        <v>BZ BENTLEY DİNLENMELİ MODÜL SAĞ-SOL</v>
      </c>
      <c r="M154" s="8">
        <v>0.6</v>
      </c>
      <c r="N154" s="8">
        <v>0.55000000000000004</v>
      </c>
      <c r="O154" s="8">
        <v>31655</v>
      </c>
      <c r="P154" s="8">
        <f t="shared" si="15"/>
        <v>14244.749999999998</v>
      </c>
      <c r="Q154" s="8">
        <f t="shared" si="16"/>
        <v>31655</v>
      </c>
      <c r="R154" s="31">
        <f t="shared" si="17"/>
        <v>31600</v>
      </c>
      <c r="T154" s="12"/>
      <c r="U154" s="12">
        <v>37986</v>
      </c>
      <c r="V154" s="8">
        <f t="shared" si="12"/>
        <v>0</v>
      </c>
      <c r="W154" s="8">
        <f t="shared" si="13"/>
        <v>0</v>
      </c>
    </row>
    <row r="155" spans="1:23" ht="21.95" customHeight="1" x14ac:dyDescent="0.2">
      <c r="A155" s="5" t="s">
        <v>17</v>
      </c>
      <c r="B155" s="5" t="s">
        <v>1581</v>
      </c>
      <c r="C155" s="6" t="s">
        <v>101</v>
      </c>
      <c r="D155" s="6" t="s">
        <v>106</v>
      </c>
      <c r="E155" s="6"/>
      <c r="F155" s="6"/>
      <c r="G155" s="6">
        <v>71</v>
      </c>
      <c r="H155" s="6">
        <v>90</v>
      </c>
      <c r="I155" s="9">
        <v>88</v>
      </c>
      <c r="J155" s="9"/>
      <c r="K155" s="7">
        <v>44004368</v>
      </c>
      <c r="L155" s="5" t="str">
        <f t="shared" si="14"/>
        <v>BZ BENTLEY ARA MODÜL TEKLİ X3</v>
      </c>
      <c r="M155" s="8">
        <v>0.6</v>
      </c>
      <c r="N155" s="8">
        <v>0.55000000000000004</v>
      </c>
      <c r="O155" s="8">
        <v>56088</v>
      </c>
      <c r="P155" s="8">
        <f t="shared" si="15"/>
        <v>25239.599999999999</v>
      </c>
      <c r="Q155" s="8">
        <f t="shared" si="16"/>
        <v>56088</v>
      </c>
      <c r="R155" s="31">
        <f t="shared" si="17"/>
        <v>56000</v>
      </c>
      <c r="T155" s="12"/>
      <c r="U155" s="12">
        <v>67305</v>
      </c>
      <c r="V155" s="8">
        <f t="shared" si="12"/>
        <v>0</v>
      </c>
      <c r="W155" s="8">
        <f t="shared" si="13"/>
        <v>0</v>
      </c>
    </row>
    <row r="156" spans="1:23" ht="21.95" customHeight="1" x14ac:dyDescent="0.2">
      <c r="A156" s="5" t="s">
        <v>17</v>
      </c>
      <c r="B156" s="5" t="s">
        <v>1581</v>
      </c>
      <c r="C156" s="6" t="s">
        <v>107</v>
      </c>
      <c r="D156" s="6" t="s">
        <v>20</v>
      </c>
      <c r="E156" s="6"/>
      <c r="F156" s="6"/>
      <c r="G156" s="6">
        <v>169</v>
      </c>
      <c r="H156" s="6">
        <v>54</v>
      </c>
      <c r="I156" s="9">
        <v>79</v>
      </c>
      <c r="J156" s="9"/>
      <c r="K156" s="7">
        <v>44004369</v>
      </c>
      <c r="L156" s="5" t="str">
        <f t="shared" si="14"/>
        <v>BZ LOTUS KONSOL 3 KAPAKLI</v>
      </c>
      <c r="M156" s="8">
        <v>0.6</v>
      </c>
      <c r="N156" s="8">
        <v>0.55000000000000004</v>
      </c>
      <c r="O156" s="8">
        <v>70184</v>
      </c>
      <c r="P156" s="8">
        <f t="shared" si="15"/>
        <v>31582.799999999996</v>
      </c>
      <c r="Q156" s="8">
        <f t="shared" si="16"/>
        <v>70184</v>
      </c>
      <c r="R156" s="31">
        <f t="shared" si="17"/>
        <v>70100</v>
      </c>
      <c r="T156" s="12"/>
      <c r="U156" s="12">
        <v>84221</v>
      </c>
      <c r="V156" s="8">
        <f t="shared" si="12"/>
        <v>0</v>
      </c>
      <c r="W156" s="8">
        <f t="shared" si="13"/>
        <v>0</v>
      </c>
    </row>
    <row r="157" spans="1:23" ht="21.95" customHeight="1" x14ac:dyDescent="0.2">
      <c r="A157" s="5" t="s">
        <v>17</v>
      </c>
      <c r="B157" s="5" t="s">
        <v>1581</v>
      </c>
      <c r="C157" s="6" t="s">
        <v>107</v>
      </c>
      <c r="D157" s="6" t="s">
        <v>108</v>
      </c>
      <c r="E157" s="6"/>
      <c r="G157" s="6">
        <v>218</v>
      </c>
      <c r="H157" s="6">
        <v>54</v>
      </c>
      <c r="I157" s="9">
        <v>79</v>
      </c>
      <c r="J157" s="9"/>
      <c r="K157" s="7">
        <v>44004370</v>
      </c>
      <c r="L157" s="5" t="str">
        <f t="shared" si="14"/>
        <v>BZ LOTUS KONSOL 2 KAPAKLI</v>
      </c>
      <c r="M157" s="8">
        <v>0.6</v>
      </c>
      <c r="N157" s="8">
        <v>0.55000000000000004</v>
      </c>
      <c r="O157" s="8">
        <v>70184</v>
      </c>
      <c r="P157" s="8">
        <f t="shared" si="15"/>
        <v>31582.799999999996</v>
      </c>
      <c r="Q157" s="8">
        <f t="shared" si="16"/>
        <v>70184</v>
      </c>
      <c r="R157" s="31">
        <f t="shared" si="17"/>
        <v>70100</v>
      </c>
      <c r="T157" s="12"/>
      <c r="U157" s="12">
        <v>84221</v>
      </c>
      <c r="V157" s="8">
        <f t="shared" si="12"/>
        <v>0</v>
      </c>
      <c r="W157" s="8">
        <f t="shared" si="13"/>
        <v>0</v>
      </c>
    </row>
    <row r="158" spans="1:23" ht="21.95" customHeight="1" x14ac:dyDescent="0.2">
      <c r="A158" s="5" t="s">
        <v>17</v>
      </c>
      <c r="B158" s="5" t="s">
        <v>1581</v>
      </c>
      <c r="C158" s="6" t="s">
        <v>107</v>
      </c>
      <c r="D158" s="6" t="s">
        <v>21</v>
      </c>
      <c r="E158" s="6"/>
      <c r="F158" s="6"/>
      <c r="G158" s="6">
        <v>102</v>
      </c>
      <c r="H158" s="6">
        <v>6</v>
      </c>
      <c r="I158" s="9">
        <v>102</v>
      </c>
      <c r="J158" s="9"/>
      <c r="K158" s="7">
        <v>44004371</v>
      </c>
      <c r="L158" s="5" t="str">
        <f t="shared" si="14"/>
        <v>BZ LOTUS KONSOL AYNASI</v>
      </c>
      <c r="M158" s="8">
        <v>0.6</v>
      </c>
      <c r="N158" s="8">
        <v>0.55000000000000004</v>
      </c>
      <c r="O158" s="8">
        <v>19042</v>
      </c>
      <c r="P158" s="8">
        <f t="shared" si="15"/>
        <v>8568.9</v>
      </c>
      <c r="Q158" s="8">
        <f t="shared" si="16"/>
        <v>19042</v>
      </c>
      <c r="R158" s="31">
        <f t="shared" si="17"/>
        <v>19000</v>
      </c>
      <c r="T158" s="12"/>
      <c r="U158" s="12">
        <v>22850</v>
      </c>
      <c r="V158" s="8">
        <f t="shared" si="12"/>
        <v>0</v>
      </c>
      <c r="W158" s="8">
        <f t="shared" si="13"/>
        <v>0</v>
      </c>
    </row>
    <row r="159" spans="1:23" ht="21.95" customHeight="1" x14ac:dyDescent="0.2">
      <c r="A159" s="5" t="s">
        <v>17</v>
      </c>
      <c r="B159" s="5" t="s">
        <v>1581</v>
      </c>
      <c r="C159" s="6" t="s">
        <v>107</v>
      </c>
      <c r="D159" s="6" t="s">
        <v>22</v>
      </c>
      <c r="E159" s="6"/>
      <c r="F159" s="6"/>
      <c r="G159" s="6">
        <v>160</v>
      </c>
      <c r="H159" s="6">
        <v>100</v>
      </c>
      <c r="I159" s="9">
        <v>78</v>
      </c>
      <c r="J159" s="9"/>
      <c r="K159" s="7">
        <v>44004372</v>
      </c>
      <c r="L159" s="5" t="str">
        <f t="shared" si="14"/>
        <v>BZ LOTUS MASA 160CM</v>
      </c>
      <c r="M159" s="8">
        <v>0.6</v>
      </c>
      <c r="N159" s="8">
        <v>0.55000000000000004</v>
      </c>
      <c r="O159" s="8">
        <v>60891</v>
      </c>
      <c r="P159" s="8">
        <f t="shared" si="15"/>
        <v>27400.949999999997</v>
      </c>
      <c r="Q159" s="8">
        <f t="shared" si="16"/>
        <v>60891</v>
      </c>
      <c r="R159" s="31">
        <f t="shared" si="17"/>
        <v>60800</v>
      </c>
      <c r="T159" s="12"/>
      <c r="U159" s="12">
        <v>73069</v>
      </c>
      <c r="V159" s="8">
        <f t="shared" si="12"/>
        <v>0</v>
      </c>
      <c r="W159" s="8">
        <f t="shared" si="13"/>
        <v>0</v>
      </c>
    </row>
    <row r="160" spans="1:23" ht="21.95" customHeight="1" x14ac:dyDescent="0.2">
      <c r="A160" s="5" t="s">
        <v>17</v>
      </c>
      <c r="B160" s="5" t="s">
        <v>1581</v>
      </c>
      <c r="C160" s="6" t="s">
        <v>107</v>
      </c>
      <c r="D160" s="6" t="s">
        <v>23</v>
      </c>
      <c r="E160" s="6"/>
      <c r="G160" s="6">
        <v>200</v>
      </c>
      <c r="H160" s="6">
        <v>100</v>
      </c>
      <c r="I160" s="9">
        <v>78</v>
      </c>
      <c r="J160" s="9"/>
      <c r="K160" s="7">
        <v>44004373</v>
      </c>
      <c r="L160" s="5" t="str">
        <f t="shared" si="14"/>
        <v>BZ LOTUS MASA 200CM</v>
      </c>
      <c r="M160" s="8">
        <v>0.6</v>
      </c>
      <c r="N160" s="8">
        <v>0.55000000000000004</v>
      </c>
      <c r="O160" s="8">
        <v>60891</v>
      </c>
      <c r="P160" s="8">
        <f t="shared" si="15"/>
        <v>27400.949999999997</v>
      </c>
      <c r="Q160" s="8">
        <f t="shared" si="16"/>
        <v>60891</v>
      </c>
      <c r="R160" s="31">
        <f t="shared" si="17"/>
        <v>60800</v>
      </c>
      <c r="T160" s="12"/>
      <c r="U160" s="12">
        <v>73069</v>
      </c>
      <c r="V160" s="8">
        <f t="shared" si="12"/>
        <v>0</v>
      </c>
      <c r="W160" s="8">
        <f t="shared" si="13"/>
        <v>0</v>
      </c>
    </row>
    <row r="161" spans="1:23" ht="24.75" customHeight="1" x14ac:dyDescent="0.2">
      <c r="A161" s="5" t="s">
        <v>17</v>
      </c>
      <c r="B161" s="5" t="s">
        <v>1581</v>
      </c>
      <c r="C161" s="6" t="s">
        <v>107</v>
      </c>
      <c r="D161" s="6" t="s">
        <v>24</v>
      </c>
      <c r="E161" s="6"/>
      <c r="G161" s="6">
        <v>240</v>
      </c>
      <c r="H161" s="6">
        <v>110</v>
      </c>
      <c r="I161" s="9">
        <v>78</v>
      </c>
      <c r="J161" s="9"/>
      <c r="K161" s="7">
        <v>44004374</v>
      </c>
      <c r="L161" s="5" t="str">
        <f t="shared" si="14"/>
        <v>BZ LOTUS MASA 240CM</v>
      </c>
      <c r="M161" s="8">
        <v>0.6</v>
      </c>
      <c r="N161" s="8">
        <v>0.55000000000000004</v>
      </c>
      <c r="O161" s="8">
        <v>66981</v>
      </c>
      <c r="P161" s="8">
        <f t="shared" si="15"/>
        <v>30141.449999999997</v>
      </c>
      <c r="Q161" s="8">
        <f t="shared" si="16"/>
        <v>66981</v>
      </c>
      <c r="R161" s="31">
        <f t="shared" si="17"/>
        <v>66900</v>
      </c>
      <c r="T161" s="12"/>
      <c r="U161" s="12">
        <v>80377</v>
      </c>
      <c r="V161" s="8">
        <f t="shared" si="12"/>
        <v>0</v>
      </c>
      <c r="W161" s="8">
        <f t="shared" si="13"/>
        <v>0</v>
      </c>
    </row>
    <row r="162" spans="1:23" ht="21.95" customHeight="1" x14ac:dyDescent="0.2">
      <c r="A162" s="5" t="s">
        <v>17</v>
      </c>
      <c r="B162" s="5" t="s">
        <v>1581</v>
      </c>
      <c r="C162" s="6" t="s">
        <v>107</v>
      </c>
      <c r="D162" s="6" t="s">
        <v>25</v>
      </c>
      <c r="E162" s="6"/>
      <c r="G162" s="6">
        <v>64</v>
      </c>
      <c r="H162" s="6">
        <v>68</v>
      </c>
      <c r="I162" s="9">
        <v>98</v>
      </c>
      <c r="J162" s="9"/>
      <c r="K162" s="7">
        <v>44004375</v>
      </c>
      <c r="L162" s="5" t="str">
        <f t="shared" si="14"/>
        <v>BZ LOTUS SANDALYE</v>
      </c>
      <c r="M162" s="8">
        <v>0.6</v>
      </c>
      <c r="N162" s="8">
        <v>0.55000000000000004</v>
      </c>
      <c r="O162" s="8">
        <v>18748</v>
      </c>
      <c r="P162" s="8">
        <f t="shared" si="15"/>
        <v>8436.5999999999985</v>
      </c>
      <c r="Q162" s="8">
        <f t="shared" si="16"/>
        <v>18748</v>
      </c>
      <c r="R162" s="31">
        <f t="shared" si="17"/>
        <v>18700</v>
      </c>
      <c r="T162" s="12"/>
      <c r="U162" s="12">
        <v>22498</v>
      </c>
      <c r="V162" s="8">
        <f t="shared" si="12"/>
        <v>0</v>
      </c>
      <c r="W162" s="8">
        <f t="shared" si="13"/>
        <v>0</v>
      </c>
    </row>
    <row r="163" spans="1:23" ht="21.95" customHeight="1" x14ac:dyDescent="0.2">
      <c r="A163" s="5" t="s">
        <v>17</v>
      </c>
      <c r="B163" s="5" t="s">
        <v>1581</v>
      </c>
      <c r="C163" s="6" t="s">
        <v>107</v>
      </c>
      <c r="D163" s="6" t="s">
        <v>53</v>
      </c>
      <c r="E163" s="6"/>
      <c r="F163" s="6"/>
      <c r="G163" s="6">
        <v>221</v>
      </c>
      <c r="H163" s="6">
        <v>50</v>
      </c>
      <c r="I163" s="9">
        <v>56</v>
      </c>
      <c r="J163" s="9"/>
      <c r="K163" s="7">
        <v>44004376</v>
      </c>
      <c r="L163" s="5" t="str">
        <f t="shared" si="14"/>
        <v>BZ LOTUS TV ÜNİTESİ ALT BLOK ŞÖMİNELİ</v>
      </c>
      <c r="M163" s="8">
        <v>0.6</v>
      </c>
      <c r="N163" s="8">
        <v>0.55000000000000004</v>
      </c>
      <c r="O163" s="8">
        <v>73259</v>
      </c>
      <c r="P163" s="8">
        <f t="shared" si="15"/>
        <v>32966.549999999996</v>
      </c>
      <c r="Q163" s="8">
        <f t="shared" si="16"/>
        <v>73259</v>
      </c>
      <c r="R163" s="31">
        <f t="shared" si="17"/>
        <v>73200</v>
      </c>
      <c r="T163" s="12"/>
      <c r="U163" s="12">
        <v>87911</v>
      </c>
      <c r="V163" s="8">
        <f t="shared" si="12"/>
        <v>0</v>
      </c>
      <c r="W163" s="8">
        <f t="shared" si="13"/>
        <v>0</v>
      </c>
    </row>
    <row r="164" spans="1:23" ht="21.95" customHeight="1" x14ac:dyDescent="0.2">
      <c r="A164" s="5" t="s">
        <v>17</v>
      </c>
      <c r="B164" s="5" t="s">
        <v>1581</v>
      </c>
      <c r="C164" s="6" t="s">
        <v>107</v>
      </c>
      <c r="D164" s="6" t="s">
        <v>89</v>
      </c>
      <c r="E164" s="6"/>
      <c r="F164" s="6"/>
      <c r="G164" s="6">
        <v>221</v>
      </c>
      <c r="H164" s="6">
        <v>50</v>
      </c>
      <c r="I164" s="9">
        <v>56</v>
      </c>
      <c r="J164" s="9"/>
      <c r="K164" s="7">
        <v>44004377</v>
      </c>
      <c r="L164" s="5" t="str">
        <f t="shared" si="14"/>
        <v>BZ LOTUS TV ÜNİTESİ ALT BLOK 3 ÇEKMECELİ</v>
      </c>
      <c r="M164" s="8">
        <v>0.6</v>
      </c>
      <c r="N164" s="8">
        <v>0.55000000000000004</v>
      </c>
      <c r="O164" s="8">
        <v>64791</v>
      </c>
      <c r="P164" s="8">
        <f t="shared" si="15"/>
        <v>29155.949999999997</v>
      </c>
      <c r="Q164" s="8">
        <f t="shared" si="16"/>
        <v>64791</v>
      </c>
      <c r="R164" s="31">
        <f t="shared" si="17"/>
        <v>64700</v>
      </c>
      <c r="T164" s="12"/>
      <c r="U164" s="12">
        <v>77749</v>
      </c>
      <c r="V164" s="8">
        <f t="shared" si="12"/>
        <v>0</v>
      </c>
      <c r="W164" s="8">
        <f t="shared" si="13"/>
        <v>0</v>
      </c>
    </row>
    <row r="165" spans="1:23" ht="21.95" customHeight="1" x14ac:dyDescent="0.2">
      <c r="A165" s="5" t="s">
        <v>17</v>
      </c>
      <c r="B165" s="5" t="s">
        <v>1581</v>
      </c>
      <c r="C165" s="6" t="s">
        <v>107</v>
      </c>
      <c r="D165" s="6" t="s">
        <v>109</v>
      </c>
      <c r="E165" s="6"/>
      <c r="F165" s="6"/>
      <c r="G165" s="6">
        <v>171</v>
      </c>
      <c r="H165" s="6">
        <v>50</v>
      </c>
      <c r="I165" s="9">
        <v>56</v>
      </c>
      <c r="J165" s="9"/>
      <c r="K165" s="7">
        <v>44004378</v>
      </c>
      <c r="L165" s="5" t="str">
        <f t="shared" si="14"/>
        <v>BZ LOTUS TV ÜNİTESİ ALT  BLOK 2 ÇEKMECELİ</v>
      </c>
      <c r="M165" s="8">
        <v>0.6</v>
      </c>
      <c r="N165" s="8">
        <v>0.55000000000000004</v>
      </c>
      <c r="O165" s="8">
        <v>53643</v>
      </c>
      <c r="P165" s="8">
        <f t="shared" si="15"/>
        <v>24139.35</v>
      </c>
      <c r="Q165" s="8">
        <f t="shared" si="16"/>
        <v>53643</v>
      </c>
      <c r="R165" s="31">
        <f t="shared" si="17"/>
        <v>53600</v>
      </c>
      <c r="T165" s="12"/>
      <c r="U165" s="12">
        <v>64372</v>
      </c>
      <c r="V165" s="8">
        <f t="shared" si="12"/>
        <v>0</v>
      </c>
      <c r="W165" s="8">
        <f t="shared" si="13"/>
        <v>0</v>
      </c>
    </row>
    <row r="166" spans="1:23" ht="21.95" customHeight="1" x14ac:dyDescent="0.2">
      <c r="A166" s="5" t="s">
        <v>17</v>
      </c>
      <c r="B166" s="5" t="s">
        <v>1581</v>
      </c>
      <c r="C166" s="6" t="s">
        <v>107</v>
      </c>
      <c r="D166" s="6" t="s">
        <v>110</v>
      </c>
      <c r="E166" s="6"/>
      <c r="F166" s="6"/>
      <c r="G166" s="6">
        <v>169</v>
      </c>
      <c r="H166" s="6">
        <v>22</v>
      </c>
      <c r="I166" s="9">
        <v>5</v>
      </c>
      <c r="J166" s="9"/>
      <c r="K166" s="7">
        <v>44004379</v>
      </c>
      <c r="L166" s="5" t="str">
        <f t="shared" si="14"/>
        <v>BZ LOTUS TV ÜNİTESİ ÜST MODÜL DÜZ RAF</v>
      </c>
      <c r="M166" s="8">
        <v>0.6</v>
      </c>
      <c r="N166" s="8">
        <v>0.55000000000000004</v>
      </c>
      <c r="O166" s="8">
        <v>4066</v>
      </c>
      <c r="P166" s="8">
        <f t="shared" si="15"/>
        <v>1829.6999999999998</v>
      </c>
      <c r="Q166" s="8">
        <f t="shared" si="16"/>
        <v>4066</v>
      </c>
      <c r="R166" s="31">
        <f t="shared" si="17"/>
        <v>4000</v>
      </c>
      <c r="T166" s="12"/>
      <c r="U166" s="12">
        <v>4879</v>
      </c>
      <c r="V166" s="8">
        <f t="shared" si="12"/>
        <v>0</v>
      </c>
      <c r="W166" s="8">
        <f t="shared" si="13"/>
        <v>0</v>
      </c>
    </row>
    <row r="167" spans="1:23" ht="21.95" customHeight="1" x14ac:dyDescent="0.2">
      <c r="A167" s="5" t="s">
        <v>17</v>
      </c>
      <c r="B167" s="5" t="s">
        <v>1581</v>
      </c>
      <c r="C167" s="6" t="s">
        <v>107</v>
      </c>
      <c r="D167" s="6" t="s">
        <v>111</v>
      </c>
      <c r="E167" s="6"/>
      <c r="F167" s="6"/>
      <c r="G167" s="6">
        <v>67</v>
      </c>
      <c r="H167" s="6">
        <v>20</v>
      </c>
      <c r="I167" s="9">
        <v>27</v>
      </c>
      <c r="J167" s="9"/>
      <c r="K167" s="7">
        <v>44004380</v>
      </c>
      <c r="L167" s="5" t="str">
        <f t="shared" si="14"/>
        <v>BZ LOTUS TV ÜNİTESİ ÜST MODÜL KUTU RAF</v>
      </c>
      <c r="M167" s="8">
        <v>0.6</v>
      </c>
      <c r="N167" s="8">
        <v>0.55000000000000004</v>
      </c>
      <c r="O167" s="8">
        <v>5481</v>
      </c>
      <c r="P167" s="8">
        <f t="shared" si="15"/>
        <v>2466.4499999999998</v>
      </c>
      <c r="Q167" s="8">
        <f t="shared" si="16"/>
        <v>5481</v>
      </c>
      <c r="R167" s="31">
        <f t="shared" si="17"/>
        <v>5400</v>
      </c>
      <c r="T167" s="12"/>
      <c r="U167" s="12">
        <v>6577</v>
      </c>
      <c r="V167" s="8">
        <f t="shared" si="12"/>
        <v>0</v>
      </c>
      <c r="W167" s="8">
        <f t="shared" si="13"/>
        <v>0</v>
      </c>
    </row>
    <row r="168" spans="1:23" ht="21.95" customHeight="1" x14ac:dyDescent="0.2">
      <c r="A168" s="5" t="s">
        <v>17</v>
      </c>
      <c r="B168" s="5" t="s">
        <v>1581</v>
      </c>
      <c r="C168" s="6" t="s">
        <v>107</v>
      </c>
      <c r="D168" s="6" t="s">
        <v>112</v>
      </c>
      <c r="E168" s="6"/>
      <c r="F168" s="6"/>
      <c r="G168" s="6">
        <v>27</v>
      </c>
      <c r="H168" s="6">
        <v>20</v>
      </c>
      <c r="I168" s="9">
        <v>67</v>
      </c>
      <c r="J168" s="9"/>
      <c r="K168" s="7">
        <v>44004381</v>
      </c>
      <c r="L168" s="5" t="str">
        <f t="shared" si="14"/>
        <v>BZ LOTUS TV ÜNİTESİ DÖŞEMELİ MODÜL</v>
      </c>
      <c r="M168" s="8">
        <v>0.6</v>
      </c>
      <c r="N168" s="8">
        <v>0.55000000000000004</v>
      </c>
      <c r="O168" s="8">
        <v>8989</v>
      </c>
      <c r="P168" s="8">
        <f t="shared" si="15"/>
        <v>4045.0499999999997</v>
      </c>
      <c r="Q168" s="8">
        <f t="shared" si="16"/>
        <v>8989</v>
      </c>
      <c r="R168" s="31">
        <f t="shared" si="17"/>
        <v>8900</v>
      </c>
      <c r="T168" s="12"/>
      <c r="U168" s="12">
        <v>10787</v>
      </c>
      <c r="V168" s="8">
        <f t="shared" si="12"/>
        <v>0</v>
      </c>
      <c r="W168" s="8">
        <f t="shared" si="13"/>
        <v>0</v>
      </c>
    </row>
    <row r="169" spans="1:23" ht="21.95" customHeight="1" x14ac:dyDescent="0.2">
      <c r="A169" s="5" t="s">
        <v>17</v>
      </c>
      <c r="B169" s="5" t="s">
        <v>1581</v>
      </c>
      <c r="C169" s="6" t="s">
        <v>107</v>
      </c>
      <c r="D169" s="6" t="s">
        <v>113</v>
      </c>
      <c r="E169" s="6"/>
      <c r="F169" s="6"/>
      <c r="G169" s="6">
        <v>37</v>
      </c>
      <c r="H169" s="6">
        <v>24</v>
      </c>
      <c r="I169" s="9">
        <v>92</v>
      </c>
      <c r="J169" s="9"/>
      <c r="K169" s="7">
        <v>44004382</v>
      </c>
      <c r="L169" s="5" t="str">
        <f t="shared" si="14"/>
        <v>BZ LOTUS TV ÜNİTESİ ÜST MODÜL AYNALI</v>
      </c>
      <c r="M169" s="8">
        <v>0.6</v>
      </c>
      <c r="N169" s="8">
        <v>0.55000000000000004</v>
      </c>
      <c r="O169" s="8">
        <v>11101</v>
      </c>
      <c r="P169" s="8">
        <f t="shared" si="15"/>
        <v>4995.45</v>
      </c>
      <c r="Q169" s="8">
        <f t="shared" si="16"/>
        <v>11101</v>
      </c>
      <c r="R169" s="31">
        <f t="shared" si="17"/>
        <v>11100</v>
      </c>
      <c r="T169" s="12"/>
      <c r="U169" s="12">
        <v>13321</v>
      </c>
      <c r="V169" s="8">
        <f t="shared" si="12"/>
        <v>0</v>
      </c>
      <c r="W169" s="8">
        <f t="shared" si="13"/>
        <v>0</v>
      </c>
    </row>
    <row r="170" spans="1:23" ht="21.95" customHeight="1" x14ac:dyDescent="0.2">
      <c r="A170" s="5" t="s">
        <v>17</v>
      </c>
      <c r="B170" s="5" t="s">
        <v>1581</v>
      </c>
      <c r="C170" s="6" t="s">
        <v>107</v>
      </c>
      <c r="D170" s="6" t="s">
        <v>29</v>
      </c>
      <c r="E170" s="6"/>
      <c r="F170" s="6"/>
      <c r="G170" s="6">
        <v>127</v>
      </c>
      <c r="H170" s="6">
        <v>75</v>
      </c>
      <c r="I170" s="9">
        <v>46</v>
      </c>
      <c r="J170" s="9"/>
      <c r="K170" s="7">
        <v>44004383</v>
      </c>
      <c r="L170" s="5" t="str">
        <f t="shared" si="14"/>
        <v>BZ LOTUS ORTA SEHPA</v>
      </c>
      <c r="M170" s="8">
        <v>0.6</v>
      </c>
      <c r="N170" s="8">
        <v>0.55000000000000004</v>
      </c>
      <c r="O170" s="8">
        <v>41809</v>
      </c>
      <c r="P170" s="8">
        <f t="shared" si="15"/>
        <v>18814.05</v>
      </c>
      <c r="Q170" s="8">
        <f t="shared" si="16"/>
        <v>41809</v>
      </c>
      <c r="R170" s="31">
        <f t="shared" si="17"/>
        <v>41800</v>
      </c>
      <c r="T170" s="12"/>
      <c r="U170" s="12">
        <v>50171</v>
      </c>
      <c r="V170" s="8">
        <f t="shared" si="12"/>
        <v>0</v>
      </c>
      <c r="W170" s="8">
        <f t="shared" si="13"/>
        <v>0</v>
      </c>
    </row>
    <row r="171" spans="1:23" ht="21.95" customHeight="1" x14ac:dyDescent="0.2">
      <c r="A171" s="5" t="s">
        <v>17</v>
      </c>
      <c r="B171" s="5" t="s">
        <v>1581</v>
      </c>
      <c r="C171" s="6" t="s">
        <v>107</v>
      </c>
      <c r="D171" s="6" t="s">
        <v>30</v>
      </c>
      <c r="E171" s="6"/>
      <c r="F171" s="6"/>
      <c r="G171" s="6">
        <v>50</v>
      </c>
      <c r="H171" s="6">
        <v>50</v>
      </c>
      <c r="I171" s="9">
        <v>46</v>
      </c>
      <c r="J171" s="9"/>
      <c r="K171" s="7">
        <v>44004384</v>
      </c>
      <c r="L171" s="5" t="str">
        <f t="shared" si="14"/>
        <v>BZ LOTUS YAN SEHPA</v>
      </c>
      <c r="M171" s="8">
        <v>0.6</v>
      </c>
      <c r="N171" s="8">
        <v>0.55000000000000004</v>
      </c>
      <c r="O171" s="8">
        <v>8056</v>
      </c>
      <c r="P171" s="8">
        <f t="shared" si="15"/>
        <v>3625.2</v>
      </c>
      <c r="Q171" s="8">
        <f t="shared" si="16"/>
        <v>8056</v>
      </c>
      <c r="R171" s="31">
        <f t="shared" si="17"/>
        <v>8000</v>
      </c>
      <c r="T171" s="12"/>
      <c r="U171" s="12">
        <v>9667</v>
      </c>
      <c r="V171" s="8">
        <f t="shared" si="12"/>
        <v>0</v>
      </c>
      <c r="W171" s="8">
        <f t="shared" si="13"/>
        <v>0</v>
      </c>
    </row>
    <row r="172" spans="1:23" ht="21.95" customHeight="1" x14ac:dyDescent="0.2">
      <c r="A172" s="5" t="s">
        <v>17</v>
      </c>
      <c r="B172" s="5" t="s">
        <v>1581</v>
      </c>
      <c r="C172" s="6" t="s">
        <v>107</v>
      </c>
      <c r="D172" s="6" t="s">
        <v>93</v>
      </c>
      <c r="E172" s="6"/>
      <c r="F172" s="6"/>
      <c r="G172" s="6">
        <v>62</v>
      </c>
      <c r="H172" s="6">
        <v>50</v>
      </c>
      <c r="I172" s="9">
        <v>55</v>
      </c>
      <c r="J172" s="9"/>
      <c r="K172" s="7">
        <v>44004385</v>
      </c>
      <c r="L172" s="5" t="str">
        <f t="shared" si="14"/>
        <v>BZ LOTUS ZİGON SEHPA</v>
      </c>
      <c r="M172" s="8">
        <v>0.6</v>
      </c>
      <c r="N172" s="8">
        <v>0.55000000000000004</v>
      </c>
      <c r="O172" s="8">
        <v>17848</v>
      </c>
      <c r="P172" s="8">
        <f t="shared" si="15"/>
        <v>8031.5999999999995</v>
      </c>
      <c r="Q172" s="8">
        <f t="shared" si="16"/>
        <v>17848</v>
      </c>
      <c r="R172" s="31">
        <f t="shared" si="17"/>
        <v>17800</v>
      </c>
      <c r="T172" s="12"/>
      <c r="U172" s="12">
        <v>21418</v>
      </c>
      <c r="V172" s="8">
        <f t="shared" si="12"/>
        <v>0</v>
      </c>
      <c r="W172" s="8">
        <f t="shared" si="13"/>
        <v>0</v>
      </c>
    </row>
    <row r="173" spans="1:23" ht="21.95" customHeight="1" x14ac:dyDescent="0.2">
      <c r="A173" s="5" t="s">
        <v>17</v>
      </c>
      <c r="B173" s="5" t="s">
        <v>1581</v>
      </c>
      <c r="C173" s="6" t="s">
        <v>107</v>
      </c>
      <c r="D173" s="6" t="s">
        <v>58</v>
      </c>
      <c r="E173" s="6"/>
      <c r="F173" s="6"/>
      <c r="G173" s="6">
        <v>127</v>
      </c>
      <c r="H173" s="6">
        <v>75</v>
      </c>
      <c r="I173" s="9">
        <v>46</v>
      </c>
      <c r="J173" s="9"/>
      <c r="K173" s="7">
        <v>44004386</v>
      </c>
      <c r="L173" s="5" t="str">
        <f t="shared" si="14"/>
        <v>BZ LOTUS MİNİ MASA</v>
      </c>
      <c r="M173" s="8">
        <v>0.6</v>
      </c>
      <c r="N173" s="8">
        <v>0.55000000000000004</v>
      </c>
      <c r="O173" s="8">
        <v>31347</v>
      </c>
      <c r="P173" s="8">
        <f t="shared" si="15"/>
        <v>14106.149999999998</v>
      </c>
      <c r="Q173" s="8">
        <f t="shared" si="16"/>
        <v>31347</v>
      </c>
      <c r="R173" s="31">
        <f t="shared" si="17"/>
        <v>31300</v>
      </c>
      <c r="T173" s="12"/>
      <c r="U173" s="12">
        <v>37616</v>
      </c>
      <c r="V173" s="8">
        <f t="shared" si="12"/>
        <v>0</v>
      </c>
      <c r="W173" s="8">
        <f t="shared" si="13"/>
        <v>0</v>
      </c>
    </row>
    <row r="174" spans="1:23" ht="21.95" customHeight="1" x14ac:dyDescent="0.2">
      <c r="A174" s="5" t="s">
        <v>17</v>
      </c>
      <c r="B174" s="5" t="s">
        <v>1581</v>
      </c>
      <c r="C174" s="6" t="s">
        <v>107</v>
      </c>
      <c r="D174" s="6" t="s">
        <v>32</v>
      </c>
      <c r="E174" s="6"/>
      <c r="F174" s="6"/>
      <c r="G174" s="6">
        <v>232</v>
      </c>
      <c r="H174" s="6">
        <v>93</v>
      </c>
      <c r="I174" s="9">
        <v>99</v>
      </c>
      <c r="J174" s="9"/>
      <c r="K174" s="7">
        <v>44004387</v>
      </c>
      <c r="L174" s="5" t="str">
        <f t="shared" si="14"/>
        <v>BZ LOTUS KOLTUK 3 LÜ</v>
      </c>
      <c r="M174" s="8">
        <v>0.6</v>
      </c>
      <c r="N174" s="8">
        <v>0.55000000000000004</v>
      </c>
      <c r="O174" s="8">
        <v>84911</v>
      </c>
      <c r="P174" s="8">
        <f t="shared" si="15"/>
        <v>38209.949999999997</v>
      </c>
      <c r="Q174" s="8">
        <f t="shared" si="16"/>
        <v>84911</v>
      </c>
      <c r="R174" s="31">
        <f t="shared" si="17"/>
        <v>84900</v>
      </c>
      <c r="T174" s="12"/>
      <c r="U174" s="12">
        <v>101893</v>
      </c>
      <c r="V174" s="8">
        <f t="shared" si="12"/>
        <v>0</v>
      </c>
      <c r="W174" s="8">
        <f t="shared" si="13"/>
        <v>0</v>
      </c>
    </row>
    <row r="175" spans="1:23" ht="21.95" customHeight="1" x14ac:dyDescent="0.2">
      <c r="A175" s="5" t="s">
        <v>17</v>
      </c>
      <c r="B175" s="5" t="s">
        <v>1581</v>
      </c>
      <c r="C175" s="6" t="s">
        <v>107</v>
      </c>
      <c r="D175" s="6" t="s">
        <v>33</v>
      </c>
      <c r="E175" s="6"/>
      <c r="F175" s="6"/>
      <c r="G175" s="6">
        <v>80</v>
      </c>
      <c r="H175" s="6">
        <v>92</v>
      </c>
      <c r="I175" s="9">
        <v>100</v>
      </c>
      <c r="J175" s="9"/>
      <c r="K175" s="7">
        <v>44004388</v>
      </c>
      <c r="L175" s="5" t="str">
        <f t="shared" si="14"/>
        <v>BZ LOTUS BERJER</v>
      </c>
      <c r="M175" s="8">
        <v>0.6</v>
      </c>
      <c r="N175" s="8">
        <v>0.55000000000000004</v>
      </c>
      <c r="O175" s="8">
        <v>29767</v>
      </c>
      <c r="P175" s="8">
        <f t="shared" si="15"/>
        <v>13395.149999999998</v>
      </c>
      <c r="Q175" s="8">
        <f t="shared" si="16"/>
        <v>29767</v>
      </c>
      <c r="R175" s="31">
        <f t="shared" si="17"/>
        <v>29700</v>
      </c>
      <c r="T175" s="12"/>
      <c r="U175" s="12">
        <v>35720</v>
      </c>
      <c r="V175" s="8">
        <f t="shared" si="12"/>
        <v>0</v>
      </c>
      <c r="W175" s="8">
        <f t="shared" si="13"/>
        <v>0</v>
      </c>
    </row>
    <row r="176" spans="1:23" ht="21.95" customHeight="1" x14ac:dyDescent="0.2">
      <c r="A176" s="5" t="s">
        <v>17</v>
      </c>
      <c r="B176" s="5" t="s">
        <v>1581</v>
      </c>
      <c r="C176" s="6" t="s">
        <v>107</v>
      </c>
      <c r="D176" s="6" t="s">
        <v>114</v>
      </c>
      <c r="E176" s="6"/>
      <c r="F176" s="6"/>
      <c r="G176" s="6"/>
      <c r="H176" s="6"/>
      <c r="I176" s="9"/>
      <c r="J176" s="9"/>
      <c r="K176" s="7">
        <v>44004389</v>
      </c>
      <c r="L176" s="5" t="str">
        <f t="shared" si="14"/>
        <v>BZ LOTUS DOLAP 4 KAPAKLI ORTA BLOK</v>
      </c>
      <c r="M176" s="8">
        <v>0.6</v>
      </c>
      <c r="N176" s="8">
        <v>0.55000000000000004</v>
      </c>
      <c r="O176" s="8">
        <v>65494</v>
      </c>
      <c r="P176" s="8">
        <f t="shared" si="15"/>
        <v>29472.299999999996</v>
      </c>
      <c r="Q176" s="8">
        <f t="shared" si="16"/>
        <v>65494</v>
      </c>
      <c r="R176" s="31">
        <f t="shared" si="17"/>
        <v>65400</v>
      </c>
      <c r="T176" s="12"/>
      <c r="U176" s="12">
        <v>78593</v>
      </c>
      <c r="V176" s="8">
        <f t="shared" si="12"/>
        <v>0</v>
      </c>
      <c r="W176" s="8">
        <f t="shared" si="13"/>
        <v>0</v>
      </c>
    </row>
    <row r="177" spans="1:23" ht="21.95" customHeight="1" x14ac:dyDescent="0.2">
      <c r="A177" s="5" t="s">
        <v>17</v>
      </c>
      <c r="B177" s="5" t="s">
        <v>1581</v>
      </c>
      <c r="C177" s="6" t="s">
        <v>107</v>
      </c>
      <c r="D177" s="6" t="s">
        <v>115</v>
      </c>
      <c r="E177" s="6"/>
      <c r="F177" s="6"/>
      <c r="G177" s="6"/>
      <c r="H177" s="6"/>
      <c r="I177" s="9"/>
      <c r="J177" s="9"/>
      <c r="K177" s="7">
        <v>44004390</v>
      </c>
      <c r="L177" s="5" t="str">
        <f t="shared" si="14"/>
        <v>BZ LOTUS DOLAP MODÜL SAĞ AYAKLI</v>
      </c>
      <c r="M177" s="8">
        <v>0.6</v>
      </c>
      <c r="N177" s="8">
        <v>0.55000000000000004</v>
      </c>
      <c r="O177" s="8">
        <v>27264</v>
      </c>
      <c r="P177" s="8">
        <f t="shared" si="15"/>
        <v>12268.8</v>
      </c>
      <c r="Q177" s="8">
        <f t="shared" si="16"/>
        <v>27264</v>
      </c>
      <c r="R177" s="31">
        <f t="shared" si="17"/>
        <v>27200</v>
      </c>
      <c r="T177" s="12"/>
      <c r="U177" s="12">
        <v>32717</v>
      </c>
      <c r="V177" s="8">
        <f t="shared" si="12"/>
        <v>0</v>
      </c>
      <c r="W177" s="8">
        <f t="shared" si="13"/>
        <v>0</v>
      </c>
    </row>
    <row r="178" spans="1:23" ht="21.95" customHeight="1" x14ac:dyDescent="0.2">
      <c r="A178" s="5" t="s">
        <v>17</v>
      </c>
      <c r="B178" s="5" t="s">
        <v>1581</v>
      </c>
      <c r="C178" s="6" t="s">
        <v>107</v>
      </c>
      <c r="D178" s="6" t="s">
        <v>116</v>
      </c>
      <c r="E178" s="6"/>
      <c r="F178" s="6"/>
      <c r="G178" s="6"/>
      <c r="H178" s="6"/>
      <c r="I178" s="9"/>
      <c r="J178" s="9"/>
      <c r="K178" s="7">
        <v>44004391</v>
      </c>
      <c r="L178" s="5" t="str">
        <f t="shared" si="14"/>
        <v>BZ LOTUS DOLAP MODÜL SOL AYAKLI</v>
      </c>
      <c r="M178" s="8">
        <v>0.6</v>
      </c>
      <c r="N178" s="8">
        <v>0.55000000000000004</v>
      </c>
      <c r="O178" s="8">
        <v>27264</v>
      </c>
      <c r="P178" s="8">
        <f t="shared" si="15"/>
        <v>12268.8</v>
      </c>
      <c r="Q178" s="8">
        <f t="shared" si="16"/>
        <v>27264</v>
      </c>
      <c r="R178" s="31">
        <f t="shared" si="17"/>
        <v>27200</v>
      </c>
      <c r="T178" s="12"/>
      <c r="U178" s="12">
        <v>32717</v>
      </c>
      <c r="V178" s="8">
        <f t="shared" si="12"/>
        <v>0</v>
      </c>
      <c r="W178" s="8">
        <f t="shared" si="13"/>
        <v>0</v>
      </c>
    </row>
    <row r="179" spans="1:23" ht="21.95" customHeight="1" x14ac:dyDescent="0.2">
      <c r="A179" s="5" t="s">
        <v>17</v>
      </c>
      <c r="B179" s="5" t="s">
        <v>1581</v>
      </c>
      <c r="C179" s="6" t="s">
        <v>107</v>
      </c>
      <c r="D179" s="6" t="s">
        <v>72</v>
      </c>
      <c r="E179" s="6"/>
      <c r="G179" s="6">
        <v>218</v>
      </c>
      <c r="H179" s="6">
        <v>245</v>
      </c>
      <c r="I179" s="9">
        <v>123</v>
      </c>
      <c r="J179" s="9"/>
      <c r="K179" s="7">
        <v>44004392</v>
      </c>
      <c r="L179" s="5" t="str">
        <f t="shared" si="14"/>
        <v>BZ LOTUS KARYOLA 160CM</v>
      </c>
      <c r="M179" s="8">
        <v>0.6</v>
      </c>
      <c r="N179" s="8">
        <v>0.55000000000000004</v>
      </c>
      <c r="O179" s="8">
        <v>90542</v>
      </c>
      <c r="P179" s="8">
        <f t="shared" si="15"/>
        <v>40743.899999999994</v>
      </c>
      <c r="Q179" s="8">
        <f t="shared" si="16"/>
        <v>90542</v>
      </c>
      <c r="R179" s="31">
        <f t="shared" si="17"/>
        <v>90500</v>
      </c>
      <c r="T179" s="12"/>
      <c r="U179" s="12">
        <v>108650</v>
      </c>
      <c r="V179" s="8">
        <f t="shared" si="12"/>
        <v>0</v>
      </c>
      <c r="W179" s="8">
        <f t="shared" si="13"/>
        <v>0</v>
      </c>
    </row>
    <row r="180" spans="1:23" ht="21.95" customHeight="1" x14ac:dyDescent="0.2">
      <c r="A180" s="5" t="s">
        <v>17</v>
      </c>
      <c r="B180" s="5" t="s">
        <v>1581</v>
      </c>
      <c r="C180" s="6" t="s">
        <v>107</v>
      </c>
      <c r="D180" s="6" t="s">
        <v>73</v>
      </c>
      <c r="E180" s="6"/>
      <c r="G180" s="6">
        <v>238</v>
      </c>
      <c r="H180" s="6">
        <v>245</v>
      </c>
      <c r="I180" s="9">
        <v>123</v>
      </c>
      <c r="J180" s="9"/>
      <c r="K180" s="7">
        <v>44004393</v>
      </c>
      <c r="L180" s="5" t="str">
        <f t="shared" si="14"/>
        <v>BZ LOTUS KARYOLA 180CM</v>
      </c>
      <c r="M180" s="8">
        <v>0.6</v>
      </c>
      <c r="N180" s="8">
        <v>0.55000000000000004</v>
      </c>
      <c r="O180" s="8">
        <v>90542</v>
      </c>
      <c r="P180" s="8">
        <f t="shared" si="15"/>
        <v>40743.899999999994</v>
      </c>
      <c r="Q180" s="8">
        <f t="shared" si="16"/>
        <v>90542</v>
      </c>
      <c r="R180" s="31">
        <f t="shared" si="17"/>
        <v>90500</v>
      </c>
      <c r="T180" s="12"/>
      <c r="U180" s="12">
        <v>108650</v>
      </c>
      <c r="V180" s="8">
        <f t="shared" ref="V180:V243" si="18">T180*(1-N180)</f>
        <v>0</v>
      </c>
      <c r="W180" s="8">
        <f t="shared" si="13"/>
        <v>0</v>
      </c>
    </row>
    <row r="181" spans="1:23" ht="21.95" customHeight="1" x14ac:dyDescent="0.2">
      <c r="A181" s="5" t="s">
        <v>17</v>
      </c>
      <c r="B181" s="5" t="s">
        <v>1581</v>
      </c>
      <c r="C181" s="6" t="s">
        <v>107</v>
      </c>
      <c r="D181" s="6" t="s">
        <v>74</v>
      </c>
      <c r="E181" s="6"/>
      <c r="G181" s="6">
        <v>258</v>
      </c>
      <c r="H181" s="6">
        <v>245</v>
      </c>
      <c r="I181" s="9">
        <v>123</v>
      </c>
      <c r="J181" s="9"/>
      <c r="K181" s="7">
        <v>44004394</v>
      </c>
      <c r="L181" s="5" t="str">
        <f t="shared" si="14"/>
        <v>BZ LOTUS KARYOLA 200CM</v>
      </c>
      <c r="M181" s="8">
        <v>0.6</v>
      </c>
      <c r="N181" s="8">
        <v>0.55000000000000004</v>
      </c>
      <c r="O181" s="8">
        <v>90542</v>
      </c>
      <c r="P181" s="8">
        <f t="shared" si="15"/>
        <v>40743.899999999994</v>
      </c>
      <c r="Q181" s="8">
        <f t="shared" si="16"/>
        <v>90542</v>
      </c>
      <c r="R181" s="31">
        <f t="shared" si="17"/>
        <v>90500</v>
      </c>
      <c r="T181" s="12"/>
      <c r="U181" s="12">
        <v>108650</v>
      </c>
      <c r="V181" s="8">
        <f t="shared" si="18"/>
        <v>0</v>
      </c>
      <c r="W181" s="8">
        <f t="shared" ref="W181:W244" si="19">T181</f>
        <v>0</v>
      </c>
    </row>
    <row r="182" spans="1:23" ht="21.95" customHeight="1" x14ac:dyDescent="0.2">
      <c r="A182" s="5" t="s">
        <v>17</v>
      </c>
      <c r="B182" s="5" t="s">
        <v>1581</v>
      </c>
      <c r="C182" s="6" t="s">
        <v>107</v>
      </c>
      <c r="D182" s="6" t="s">
        <v>75</v>
      </c>
      <c r="E182" s="6"/>
      <c r="G182" s="6">
        <v>218</v>
      </c>
      <c r="H182" s="6">
        <v>245</v>
      </c>
      <c r="I182" s="9">
        <v>123</v>
      </c>
      <c r="J182" s="9"/>
      <c r="K182" s="7">
        <v>44004395</v>
      </c>
      <c r="L182" s="5" t="str">
        <f t="shared" si="14"/>
        <v>BZ LOTUS KARYOLA BAZALI 160CM</v>
      </c>
      <c r="M182" s="8">
        <v>0.6</v>
      </c>
      <c r="N182" s="8">
        <v>0.55000000000000004</v>
      </c>
      <c r="O182" s="8">
        <v>94613</v>
      </c>
      <c r="P182" s="8">
        <f t="shared" si="15"/>
        <v>42575.85</v>
      </c>
      <c r="Q182" s="8">
        <f t="shared" si="16"/>
        <v>94613</v>
      </c>
      <c r="R182" s="31">
        <f t="shared" si="17"/>
        <v>94600</v>
      </c>
      <c r="T182" s="12"/>
      <c r="U182" s="12">
        <v>113536</v>
      </c>
      <c r="V182" s="8">
        <f t="shared" si="18"/>
        <v>0</v>
      </c>
      <c r="W182" s="8">
        <f t="shared" si="19"/>
        <v>0</v>
      </c>
    </row>
    <row r="183" spans="1:23" ht="21.95" customHeight="1" x14ac:dyDescent="0.2">
      <c r="A183" s="5" t="s">
        <v>17</v>
      </c>
      <c r="B183" s="5" t="s">
        <v>1581</v>
      </c>
      <c r="C183" s="6" t="s">
        <v>107</v>
      </c>
      <c r="D183" s="6" t="s">
        <v>76</v>
      </c>
      <c r="E183" s="6"/>
      <c r="G183" s="6">
        <v>238</v>
      </c>
      <c r="H183" s="6">
        <v>245</v>
      </c>
      <c r="I183" s="9">
        <v>123</v>
      </c>
      <c r="J183" s="9"/>
      <c r="K183" s="7">
        <v>44004396</v>
      </c>
      <c r="L183" s="5" t="str">
        <f t="shared" si="14"/>
        <v>BZ LOTUS KARYOLA BAZALI 180CM</v>
      </c>
      <c r="M183" s="8">
        <v>0.6</v>
      </c>
      <c r="N183" s="8">
        <v>0.55000000000000004</v>
      </c>
      <c r="O183" s="8">
        <v>94613</v>
      </c>
      <c r="P183" s="8">
        <f t="shared" si="15"/>
        <v>42575.85</v>
      </c>
      <c r="Q183" s="8">
        <f t="shared" si="16"/>
        <v>94613</v>
      </c>
      <c r="R183" s="31">
        <f t="shared" si="17"/>
        <v>94600</v>
      </c>
      <c r="T183" s="12"/>
      <c r="U183" s="12">
        <v>113536</v>
      </c>
      <c r="V183" s="8">
        <f t="shared" si="18"/>
        <v>0</v>
      </c>
      <c r="W183" s="8">
        <f t="shared" si="19"/>
        <v>0</v>
      </c>
    </row>
    <row r="184" spans="1:23" ht="21.95" customHeight="1" x14ac:dyDescent="0.2">
      <c r="A184" s="5" t="s">
        <v>17</v>
      </c>
      <c r="B184" s="5" t="s">
        <v>1581</v>
      </c>
      <c r="C184" s="6" t="s">
        <v>107</v>
      </c>
      <c r="D184" s="6" t="s">
        <v>77</v>
      </c>
      <c r="E184" s="6"/>
      <c r="G184" s="6">
        <v>258</v>
      </c>
      <c r="H184" s="6">
        <v>245</v>
      </c>
      <c r="I184" s="9">
        <v>123</v>
      </c>
      <c r="J184" s="9"/>
      <c r="K184" s="7">
        <v>44004397</v>
      </c>
      <c r="L184" s="5" t="str">
        <f t="shared" si="14"/>
        <v>BZ LOTUS KARYOLA BAZALI 200CM</v>
      </c>
      <c r="M184" s="8">
        <v>0.6</v>
      </c>
      <c r="N184" s="8">
        <v>0.55000000000000004</v>
      </c>
      <c r="O184" s="8">
        <v>94613</v>
      </c>
      <c r="P184" s="8">
        <f t="shared" si="15"/>
        <v>42575.85</v>
      </c>
      <c r="Q184" s="8">
        <f t="shared" si="16"/>
        <v>94613</v>
      </c>
      <c r="R184" s="31">
        <f t="shared" si="17"/>
        <v>94600</v>
      </c>
      <c r="T184" s="12"/>
      <c r="U184" s="12">
        <v>113536</v>
      </c>
      <c r="V184" s="8">
        <f t="shared" si="18"/>
        <v>0</v>
      </c>
      <c r="W184" s="8">
        <f t="shared" si="19"/>
        <v>0</v>
      </c>
    </row>
    <row r="185" spans="1:23" ht="21.95" customHeight="1" x14ac:dyDescent="0.2">
      <c r="A185" s="5" t="s">
        <v>17</v>
      </c>
      <c r="B185" s="5" t="s">
        <v>1581</v>
      </c>
      <c r="C185" s="6" t="s">
        <v>107</v>
      </c>
      <c r="D185" s="6" t="s">
        <v>117</v>
      </c>
      <c r="E185" s="6"/>
      <c r="G185" s="6" t="s">
        <v>118</v>
      </c>
      <c r="H185" s="6">
        <v>50</v>
      </c>
      <c r="I185" s="9">
        <v>76</v>
      </c>
      <c r="J185" s="9"/>
      <c r="K185" s="7">
        <v>44004398</v>
      </c>
      <c r="L185" s="5" t="str">
        <f t="shared" si="14"/>
        <v>BZ LOTUS MÜCEVHERLİK ALT BLOK X2</v>
      </c>
      <c r="M185" s="8">
        <v>0.6</v>
      </c>
      <c r="N185" s="8">
        <v>0.55000000000000004</v>
      </c>
      <c r="O185" s="8">
        <v>50081</v>
      </c>
      <c r="P185" s="8">
        <f t="shared" si="15"/>
        <v>22536.449999999997</v>
      </c>
      <c r="Q185" s="8">
        <f t="shared" si="16"/>
        <v>50081</v>
      </c>
      <c r="R185" s="31">
        <f t="shared" si="17"/>
        <v>50000</v>
      </c>
      <c r="T185" s="12"/>
      <c r="U185" s="12">
        <v>60097</v>
      </c>
      <c r="V185" s="8">
        <f t="shared" si="18"/>
        <v>0</v>
      </c>
      <c r="W185" s="8">
        <f t="shared" si="19"/>
        <v>0</v>
      </c>
    </row>
    <row r="186" spans="1:23" ht="21.95" customHeight="1" x14ac:dyDescent="0.2">
      <c r="A186" s="5" t="s">
        <v>17</v>
      </c>
      <c r="B186" s="5" t="s">
        <v>1581</v>
      </c>
      <c r="C186" s="6" t="s">
        <v>107</v>
      </c>
      <c r="D186" s="6" t="s">
        <v>79</v>
      </c>
      <c r="E186" s="6"/>
      <c r="K186" s="7">
        <v>44004399</v>
      </c>
      <c r="L186" s="5" t="str">
        <f t="shared" si="14"/>
        <v>BZ LOTUS ŞİFONYER AYNASI</v>
      </c>
      <c r="M186" s="8">
        <v>0.6</v>
      </c>
      <c r="N186" s="8">
        <v>0.55000000000000004</v>
      </c>
      <c r="O186" s="8">
        <v>19042</v>
      </c>
      <c r="P186" s="8">
        <f t="shared" si="15"/>
        <v>8568.9</v>
      </c>
      <c r="Q186" s="8">
        <f t="shared" si="16"/>
        <v>19042</v>
      </c>
      <c r="R186" s="31">
        <f t="shared" si="17"/>
        <v>19000</v>
      </c>
      <c r="T186" s="12"/>
      <c r="U186" s="12">
        <v>22850</v>
      </c>
      <c r="V186" s="8">
        <f t="shared" si="18"/>
        <v>0</v>
      </c>
      <c r="W186" s="8">
        <f t="shared" si="19"/>
        <v>0</v>
      </c>
    </row>
    <row r="187" spans="1:23" ht="21.95" customHeight="1" x14ac:dyDescent="0.2">
      <c r="A187" s="5" t="s">
        <v>17</v>
      </c>
      <c r="B187" s="5" t="s">
        <v>1581</v>
      </c>
      <c r="C187" s="6" t="s">
        <v>107</v>
      </c>
      <c r="D187" s="6" t="s">
        <v>119</v>
      </c>
      <c r="E187" s="6"/>
      <c r="G187" s="6">
        <v>48</v>
      </c>
      <c r="H187" s="6">
        <v>48</v>
      </c>
      <c r="I187" s="9">
        <v>48</v>
      </c>
      <c r="J187" s="9"/>
      <c r="K187" s="7">
        <v>44004400</v>
      </c>
      <c r="L187" s="5" t="str">
        <f t="shared" si="14"/>
        <v>BZ LOTUS PUF</v>
      </c>
      <c r="M187" s="8">
        <v>0.6</v>
      </c>
      <c r="N187" s="8">
        <v>0.55000000000000004</v>
      </c>
      <c r="O187" s="8">
        <v>11974</v>
      </c>
      <c r="P187" s="8">
        <f t="shared" si="15"/>
        <v>5388.2999999999993</v>
      </c>
      <c r="Q187" s="8">
        <f t="shared" si="16"/>
        <v>11974</v>
      </c>
      <c r="R187" s="31">
        <f t="shared" si="17"/>
        <v>11900</v>
      </c>
      <c r="T187" s="12"/>
      <c r="U187" s="12">
        <v>14369</v>
      </c>
      <c r="V187" s="8">
        <f t="shared" si="18"/>
        <v>0</v>
      </c>
      <c r="W187" s="8">
        <f t="shared" si="19"/>
        <v>0</v>
      </c>
    </row>
    <row r="188" spans="1:23" ht="21.95" customHeight="1" x14ac:dyDescent="0.2">
      <c r="A188" s="5" t="s">
        <v>17</v>
      </c>
      <c r="B188" s="5" t="s">
        <v>1581</v>
      </c>
      <c r="C188" s="6" t="s">
        <v>107</v>
      </c>
      <c r="D188" s="6" t="s">
        <v>80</v>
      </c>
      <c r="E188" s="6"/>
      <c r="G188" s="6">
        <v>75</v>
      </c>
      <c r="H188" s="6">
        <v>50</v>
      </c>
      <c r="I188" s="9">
        <v>52</v>
      </c>
      <c r="J188" s="9"/>
      <c r="K188" s="7">
        <v>44004401</v>
      </c>
      <c r="L188" s="5" t="str">
        <f t="shared" si="14"/>
        <v>BZ LOTUS KOMODİN X2</v>
      </c>
      <c r="M188" s="8">
        <v>0.6</v>
      </c>
      <c r="N188" s="8">
        <v>0.55000000000000004</v>
      </c>
      <c r="O188" s="8">
        <v>38438</v>
      </c>
      <c r="P188" s="8">
        <f t="shared" si="15"/>
        <v>17297.099999999999</v>
      </c>
      <c r="Q188" s="8">
        <f t="shared" si="16"/>
        <v>38438</v>
      </c>
      <c r="R188" s="31">
        <f t="shared" si="17"/>
        <v>38400</v>
      </c>
      <c r="T188" s="12"/>
      <c r="U188" s="12">
        <v>46126</v>
      </c>
      <c r="V188" s="8">
        <f t="shared" si="18"/>
        <v>0</v>
      </c>
      <c r="W188" s="8">
        <f t="shared" si="19"/>
        <v>0</v>
      </c>
    </row>
    <row r="189" spans="1:23" ht="21.95" customHeight="1" x14ac:dyDescent="0.2">
      <c r="A189" s="5" t="s">
        <v>17</v>
      </c>
      <c r="B189" s="5" t="s">
        <v>1581</v>
      </c>
      <c r="C189" s="6" t="s">
        <v>120</v>
      </c>
      <c r="D189" s="6" t="s">
        <v>19</v>
      </c>
      <c r="E189" s="6"/>
      <c r="G189" s="5">
        <v>218</v>
      </c>
      <c r="H189" s="6">
        <v>48</v>
      </c>
      <c r="I189" s="9">
        <v>78</v>
      </c>
      <c r="J189" s="9"/>
      <c r="K189" s="7">
        <v>44004402</v>
      </c>
      <c r="L189" s="5" t="str">
        <f t="shared" si="14"/>
        <v>BZ TETRA KONSOL 4 KAPAKLI</v>
      </c>
      <c r="M189" s="8">
        <v>0.6</v>
      </c>
      <c r="N189" s="8">
        <v>0.55000000000000004</v>
      </c>
      <c r="O189" s="8">
        <v>56953</v>
      </c>
      <c r="P189" s="8">
        <f t="shared" si="15"/>
        <v>25628.85</v>
      </c>
      <c r="Q189" s="8">
        <f t="shared" si="16"/>
        <v>56953</v>
      </c>
      <c r="R189" s="31">
        <f t="shared" si="17"/>
        <v>56900</v>
      </c>
      <c r="T189" s="12"/>
      <c r="U189" s="12">
        <v>68344</v>
      </c>
      <c r="V189" s="8">
        <f t="shared" si="18"/>
        <v>0</v>
      </c>
      <c r="W189" s="8">
        <f t="shared" si="19"/>
        <v>0</v>
      </c>
    </row>
    <row r="190" spans="1:23" ht="21.95" customHeight="1" x14ac:dyDescent="0.2">
      <c r="A190" s="5" t="s">
        <v>17</v>
      </c>
      <c r="B190" s="5" t="s">
        <v>1581</v>
      </c>
      <c r="C190" s="6" t="s">
        <v>120</v>
      </c>
      <c r="D190" s="6" t="s">
        <v>20</v>
      </c>
      <c r="E190" s="6"/>
      <c r="G190" s="6">
        <v>170</v>
      </c>
      <c r="H190" s="6">
        <v>48</v>
      </c>
      <c r="I190" s="9">
        <v>78</v>
      </c>
      <c r="J190" s="9"/>
      <c r="K190" s="7">
        <v>44004403</v>
      </c>
      <c r="L190" s="5" t="str">
        <f t="shared" si="14"/>
        <v>BZ TETRA KONSOL 3 KAPAKLI</v>
      </c>
      <c r="M190" s="8">
        <v>0.6</v>
      </c>
      <c r="N190" s="8">
        <v>0.55000000000000004</v>
      </c>
      <c r="O190" s="8">
        <v>56953</v>
      </c>
      <c r="P190" s="8">
        <f t="shared" si="15"/>
        <v>25628.85</v>
      </c>
      <c r="Q190" s="8">
        <f t="shared" si="16"/>
        <v>56953</v>
      </c>
      <c r="R190" s="31">
        <f t="shared" si="17"/>
        <v>56900</v>
      </c>
      <c r="T190" s="12"/>
      <c r="U190" s="12">
        <v>68344</v>
      </c>
      <c r="V190" s="8">
        <f t="shared" si="18"/>
        <v>0</v>
      </c>
      <c r="W190" s="8">
        <f t="shared" si="19"/>
        <v>0</v>
      </c>
    </row>
    <row r="191" spans="1:23" ht="21.95" customHeight="1" x14ac:dyDescent="0.2">
      <c r="A191" s="5" t="s">
        <v>17</v>
      </c>
      <c r="B191" s="5" t="s">
        <v>1581</v>
      </c>
      <c r="C191" s="6" t="s">
        <v>120</v>
      </c>
      <c r="D191" s="6" t="s">
        <v>1808</v>
      </c>
      <c r="E191" s="6"/>
      <c r="F191" s="6"/>
      <c r="G191" s="6">
        <v>61</v>
      </c>
      <c r="H191" s="6">
        <v>4</v>
      </c>
      <c r="I191" s="9">
        <v>104</v>
      </c>
      <c r="J191" s="9"/>
      <c r="K191" s="7">
        <v>44004404</v>
      </c>
      <c r="L191" s="5" t="str">
        <f t="shared" si="14"/>
        <v>BZ TETRA KOSNOL AYNASI X2</v>
      </c>
      <c r="M191" s="8">
        <v>0.6</v>
      </c>
      <c r="N191" s="8">
        <v>0.55000000000000004</v>
      </c>
      <c r="O191" s="8">
        <v>21000</v>
      </c>
      <c r="P191" s="8">
        <f t="shared" si="15"/>
        <v>9449.9999999999982</v>
      </c>
      <c r="Q191" s="8">
        <f t="shared" si="16"/>
        <v>21000</v>
      </c>
      <c r="R191" s="31">
        <f t="shared" si="17"/>
        <v>21000</v>
      </c>
      <c r="T191" s="12"/>
      <c r="U191" s="12">
        <v>25200</v>
      </c>
      <c r="V191" s="8">
        <f t="shared" si="18"/>
        <v>0</v>
      </c>
      <c r="W191" s="8">
        <f t="shared" si="19"/>
        <v>0</v>
      </c>
    </row>
    <row r="192" spans="1:23" ht="21.95" customHeight="1" x14ac:dyDescent="0.2">
      <c r="A192" s="5" t="s">
        <v>17</v>
      </c>
      <c r="B192" s="5" t="s">
        <v>1581</v>
      </c>
      <c r="C192" s="6" t="s">
        <v>120</v>
      </c>
      <c r="D192" s="6" t="s">
        <v>22</v>
      </c>
      <c r="E192" s="6"/>
      <c r="F192" s="6"/>
      <c r="G192" s="6">
        <v>160</v>
      </c>
      <c r="H192" s="6">
        <v>93</v>
      </c>
      <c r="I192" s="9">
        <v>79</v>
      </c>
      <c r="J192" s="9"/>
      <c r="K192" s="7">
        <v>44004405</v>
      </c>
      <c r="L192" s="5" t="str">
        <f t="shared" si="14"/>
        <v>BZ TETRA MASA 160CM</v>
      </c>
      <c r="M192" s="8">
        <v>0.6</v>
      </c>
      <c r="N192" s="8">
        <v>0.55000000000000004</v>
      </c>
      <c r="O192" s="8">
        <v>56782</v>
      </c>
      <c r="P192" s="8">
        <f t="shared" si="15"/>
        <v>25551.899999999998</v>
      </c>
      <c r="Q192" s="8">
        <f t="shared" si="16"/>
        <v>56782</v>
      </c>
      <c r="R192" s="31">
        <f t="shared" si="17"/>
        <v>56700</v>
      </c>
      <c r="T192" s="12"/>
      <c r="U192" s="12">
        <v>68138</v>
      </c>
      <c r="V192" s="8">
        <f t="shared" si="18"/>
        <v>0</v>
      </c>
      <c r="W192" s="8">
        <f t="shared" si="19"/>
        <v>0</v>
      </c>
    </row>
    <row r="193" spans="1:23" ht="21.95" customHeight="1" x14ac:dyDescent="0.2">
      <c r="A193" s="5" t="s">
        <v>17</v>
      </c>
      <c r="B193" s="5" t="s">
        <v>1581</v>
      </c>
      <c r="C193" s="6" t="s">
        <v>120</v>
      </c>
      <c r="D193" s="6" t="s">
        <v>23</v>
      </c>
      <c r="E193" s="6"/>
      <c r="G193" s="6">
        <v>200</v>
      </c>
      <c r="H193" s="6">
        <v>93</v>
      </c>
      <c r="I193" s="9">
        <v>79</v>
      </c>
      <c r="J193" s="9"/>
      <c r="K193" s="7">
        <v>44004406</v>
      </c>
      <c r="L193" s="5" t="str">
        <f t="shared" si="14"/>
        <v>BZ TETRA MASA 200CM</v>
      </c>
      <c r="M193" s="8">
        <v>0.6</v>
      </c>
      <c r="N193" s="8">
        <v>0.55000000000000004</v>
      </c>
      <c r="O193" s="8">
        <v>56782</v>
      </c>
      <c r="P193" s="8">
        <f t="shared" si="15"/>
        <v>25551.899999999998</v>
      </c>
      <c r="Q193" s="8">
        <f t="shared" si="16"/>
        <v>56782</v>
      </c>
      <c r="R193" s="31">
        <f t="shared" si="17"/>
        <v>56700</v>
      </c>
      <c r="T193" s="12"/>
      <c r="U193" s="12">
        <v>68138</v>
      </c>
      <c r="V193" s="8">
        <f t="shared" si="18"/>
        <v>0</v>
      </c>
      <c r="W193" s="8">
        <f t="shared" si="19"/>
        <v>0</v>
      </c>
    </row>
    <row r="194" spans="1:23" ht="21.95" customHeight="1" x14ac:dyDescent="0.2">
      <c r="A194" s="5" t="s">
        <v>17</v>
      </c>
      <c r="B194" s="5" t="s">
        <v>1581</v>
      </c>
      <c r="C194" s="6" t="s">
        <v>120</v>
      </c>
      <c r="D194" s="6" t="s">
        <v>24</v>
      </c>
      <c r="E194" s="6"/>
      <c r="G194" s="6">
        <v>240</v>
      </c>
      <c r="H194" s="6">
        <v>103</v>
      </c>
      <c r="I194" s="9">
        <v>79</v>
      </c>
      <c r="J194" s="9"/>
      <c r="K194" s="7">
        <v>44004407</v>
      </c>
      <c r="L194" s="5" t="str">
        <f t="shared" ref="L194:L257" si="20">B194&amp;" "&amp;C194&amp;" "&amp;D194</f>
        <v>BZ TETRA MASA 240CM</v>
      </c>
      <c r="M194" s="8">
        <v>0.6</v>
      </c>
      <c r="N194" s="8">
        <v>0.55000000000000004</v>
      </c>
      <c r="O194" s="8">
        <v>62184</v>
      </c>
      <c r="P194" s="8">
        <f t="shared" ref="P194:P257" si="21">O194*(1-N194)</f>
        <v>27982.799999999996</v>
      </c>
      <c r="Q194" s="8">
        <f t="shared" ref="Q194:Q257" si="22">O194</f>
        <v>62184</v>
      </c>
      <c r="R194" s="31">
        <f t="shared" ref="R194:R257" si="23">ROUNDDOWN(Q194,-2)</f>
        <v>62100</v>
      </c>
      <c r="T194" s="12"/>
      <c r="U194" s="12">
        <v>74621</v>
      </c>
      <c r="V194" s="8">
        <f t="shared" si="18"/>
        <v>0</v>
      </c>
      <c r="W194" s="8">
        <f t="shared" si="19"/>
        <v>0</v>
      </c>
    </row>
    <row r="195" spans="1:23" ht="21.95" customHeight="1" x14ac:dyDescent="0.2">
      <c r="A195" s="5" t="s">
        <v>17</v>
      </c>
      <c r="B195" s="5" t="s">
        <v>1581</v>
      </c>
      <c r="C195" s="6" t="s">
        <v>120</v>
      </c>
      <c r="D195" s="6" t="s">
        <v>25</v>
      </c>
      <c r="E195" s="6"/>
      <c r="G195" s="6">
        <v>51</v>
      </c>
      <c r="H195" s="6">
        <v>67</v>
      </c>
      <c r="I195" s="9">
        <v>93</v>
      </c>
      <c r="J195" s="9"/>
      <c r="K195" s="7">
        <v>44004408</v>
      </c>
      <c r="L195" s="5" t="str">
        <f t="shared" si="20"/>
        <v>BZ TETRA SANDALYE</v>
      </c>
      <c r="M195" s="8">
        <v>0.6</v>
      </c>
      <c r="N195" s="8">
        <v>0.55000000000000004</v>
      </c>
      <c r="O195" s="8">
        <v>10916</v>
      </c>
      <c r="P195" s="8">
        <f t="shared" si="21"/>
        <v>4912.2</v>
      </c>
      <c r="Q195" s="8">
        <f t="shared" si="22"/>
        <v>10916</v>
      </c>
      <c r="R195" s="31">
        <f t="shared" si="23"/>
        <v>10900</v>
      </c>
      <c r="T195" s="12"/>
      <c r="U195" s="12">
        <v>13099</v>
      </c>
      <c r="V195" s="8">
        <f t="shared" si="18"/>
        <v>0</v>
      </c>
      <c r="W195" s="8">
        <f t="shared" si="19"/>
        <v>0</v>
      </c>
    </row>
    <row r="196" spans="1:23" ht="21.95" customHeight="1" x14ac:dyDescent="0.2">
      <c r="A196" s="5" t="s">
        <v>17</v>
      </c>
      <c r="B196" s="5" t="s">
        <v>1581</v>
      </c>
      <c r="C196" s="6" t="s">
        <v>120</v>
      </c>
      <c r="D196" s="6" t="s">
        <v>122</v>
      </c>
      <c r="E196" s="6"/>
      <c r="G196" s="6" t="s">
        <v>123</v>
      </c>
      <c r="H196" s="6">
        <v>44</v>
      </c>
      <c r="I196" s="9">
        <v>42</v>
      </c>
      <c r="J196" s="9"/>
      <c r="K196" s="7">
        <v>44004409</v>
      </c>
      <c r="L196" s="5" t="str">
        <f t="shared" si="20"/>
        <v xml:space="preserve">BZ TETRA BENCH </v>
      </c>
      <c r="M196" s="8">
        <v>0.6</v>
      </c>
      <c r="N196" s="8">
        <v>0.55000000000000004</v>
      </c>
      <c r="O196" s="8">
        <v>12478</v>
      </c>
      <c r="P196" s="8">
        <f t="shared" si="21"/>
        <v>5615.0999999999995</v>
      </c>
      <c r="Q196" s="8">
        <f t="shared" si="22"/>
        <v>12478</v>
      </c>
      <c r="R196" s="31">
        <f t="shared" si="23"/>
        <v>12400</v>
      </c>
      <c r="T196" s="12"/>
      <c r="U196" s="12">
        <v>14974</v>
      </c>
      <c r="V196" s="8">
        <f t="shared" si="18"/>
        <v>0</v>
      </c>
      <c r="W196" s="8">
        <f t="shared" si="19"/>
        <v>0</v>
      </c>
    </row>
    <row r="197" spans="1:23" ht="21.95" customHeight="1" x14ac:dyDescent="0.2">
      <c r="A197" s="5" t="s">
        <v>17</v>
      </c>
      <c r="B197" s="5" t="s">
        <v>1581</v>
      </c>
      <c r="C197" s="6" t="s">
        <v>120</v>
      </c>
      <c r="D197" s="6" t="s">
        <v>53</v>
      </c>
      <c r="E197" s="6"/>
      <c r="G197" s="6">
        <v>230</v>
      </c>
      <c r="H197" s="6">
        <v>48</v>
      </c>
      <c r="I197" s="9">
        <v>56</v>
      </c>
      <c r="J197" s="9"/>
      <c r="K197" s="7">
        <v>44004410</v>
      </c>
      <c r="L197" s="5" t="str">
        <f t="shared" si="20"/>
        <v>BZ TETRA TV ÜNİTESİ ALT BLOK ŞÖMİNELİ</v>
      </c>
      <c r="M197" s="8">
        <v>0.6</v>
      </c>
      <c r="N197" s="8">
        <v>0.55000000000000004</v>
      </c>
      <c r="O197" s="8">
        <v>75638</v>
      </c>
      <c r="P197" s="8">
        <f t="shared" si="21"/>
        <v>34037.1</v>
      </c>
      <c r="Q197" s="8">
        <f t="shared" si="22"/>
        <v>75638</v>
      </c>
      <c r="R197" s="31">
        <f t="shared" si="23"/>
        <v>75600</v>
      </c>
      <c r="T197" s="12"/>
      <c r="U197" s="12">
        <v>90766</v>
      </c>
      <c r="V197" s="8">
        <f t="shared" si="18"/>
        <v>0</v>
      </c>
      <c r="W197" s="8">
        <f t="shared" si="19"/>
        <v>0</v>
      </c>
    </row>
    <row r="198" spans="1:23" ht="21.95" customHeight="1" x14ac:dyDescent="0.2">
      <c r="A198" s="5" t="s">
        <v>17</v>
      </c>
      <c r="B198" s="5" t="s">
        <v>1581</v>
      </c>
      <c r="C198" s="6" t="s">
        <v>120</v>
      </c>
      <c r="D198" s="6" t="s">
        <v>91</v>
      </c>
      <c r="E198" s="6"/>
      <c r="G198" s="6">
        <v>162</v>
      </c>
      <c r="H198" s="6">
        <v>48</v>
      </c>
      <c r="I198" s="9">
        <v>56</v>
      </c>
      <c r="J198" s="9"/>
      <c r="K198" s="7">
        <v>44004411</v>
      </c>
      <c r="L198" s="5" t="str">
        <f t="shared" si="20"/>
        <v>BZ TETRA TV ÜNİTESİ ALT BLOK 2 ÇEKMECELİ</v>
      </c>
      <c r="M198" s="8">
        <v>0.6</v>
      </c>
      <c r="N198" s="8">
        <v>0.55000000000000004</v>
      </c>
      <c r="O198" s="8">
        <v>47976</v>
      </c>
      <c r="P198" s="8">
        <f t="shared" si="21"/>
        <v>21589.199999999997</v>
      </c>
      <c r="Q198" s="8">
        <f t="shared" si="22"/>
        <v>47976</v>
      </c>
      <c r="R198" s="31">
        <f t="shared" si="23"/>
        <v>47900</v>
      </c>
      <c r="T198" s="12"/>
      <c r="U198" s="12">
        <v>57571</v>
      </c>
      <c r="V198" s="8">
        <f t="shared" si="18"/>
        <v>0</v>
      </c>
      <c r="W198" s="8">
        <f t="shared" si="19"/>
        <v>0</v>
      </c>
    </row>
    <row r="199" spans="1:23" ht="21.95" customHeight="1" x14ac:dyDescent="0.2">
      <c r="A199" s="5" t="s">
        <v>17</v>
      </c>
      <c r="B199" s="5" t="s">
        <v>1581</v>
      </c>
      <c r="C199" s="6" t="s">
        <v>120</v>
      </c>
      <c r="D199" s="6" t="s">
        <v>89</v>
      </c>
      <c r="E199" s="6"/>
      <c r="G199" s="6">
        <v>230</v>
      </c>
      <c r="H199" s="6">
        <v>48</v>
      </c>
      <c r="I199" s="9">
        <v>63</v>
      </c>
      <c r="J199" s="9"/>
      <c r="K199" s="7">
        <v>44004412</v>
      </c>
      <c r="L199" s="5" t="str">
        <f t="shared" si="20"/>
        <v>BZ TETRA TV ÜNİTESİ ALT BLOK 3 ÇEKMECELİ</v>
      </c>
      <c r="M199" s="8">
        <v>0.6</v>
      </c>
      <c r="N199" s="8">
        <v>0.55000000000000004</v>
      </c>
      <c r="O199" s="8">
        <v>52940</v>
      </c>
      <c r="P199" s="8">
        <f t="shared" si="21"/>
        <v>23822.999999999996</v>
      </c>
      <c r="Q199" s="8">
        <f t="shared" si="22"/>
        <v>52940</v>
      </c>
      <c r="R199" s="31">
        <f t="shared" si="23"/>
        <v>52900</v>
      </c>
      <c r="T199" s="12"/>
      <c r="U199" s="12">
        <v>63528</v>
      </c>
      <c r="V199" s="8">
        <f t="shared" si="18"/>
        <v>0</v>
      </c>
      <c r="W199" s="8">
        <f t="shared" si="19"/>
        <v>0</v>
      </c>
    </row>
    <row r="200" spans="1:23" ht="21.95" customHeight="1" x14ac:dyDescent="0.2">
      <c r="A200" s="5" t="s">
        <v>17</v>
      </c>
      <c r="B200" s="5" t="s">
        <v>1581</v>
      </c>
      <c r="C200" s="6" t="s">
        <v>120</v>
      </c>
      <c r="D200" s="6" t="s">
        <v>90</v>
      </c>
      <c r="E200" s="6"/>
      <c r="G200" s="6">
        <v>130</v>
      </c>
      <c r="H200" s="6">
        <v>48</v>
      </c>
      <c r="I200" s="9">
        <v>63</v>
      </c>
      <c r="J200" s="9"/>
      <c r="K200" s="7">
        <v>44004413</v>
      </c>
      <c r="L200" s="5" t="str">
        <f t="shared" si="20"/>
        <v>BZ TETRA TV ÜNİTESİ ALT BLOK Ş. ÇEKMECESİZ</v>
      </c>
      <c r="M200" s="8">
        <v>0.6</v>
      </c>
      <c r="N200" s="8">
        <v>0.55000000000000004</v>
      </c>
      <c r="O200" s="8">
        <v>66937</v>
      </c>
      <c r="P200" s="8">
        <f t="shared" si="21"/>
        <v>30121.649999999998</v>
      </c>
      <c r="Q200" s="8">
        <f t="shared" si="22"/>
        <v>66937</v>
      </c>
      <c r="R200" s="31">
        <f t="shared" si="23"/>
        <v>66900</v>
      </c>
      <c r="T200" s="12"/>
      <c r="U200" s="12">
        <v>80324</v>
      </c>
      <c r="V200" s="8">
        <f t="shared" si="18"/>
        <v>0</v>
      </c>
      <c r="W200" s="8">
        <f t="shared" si="19"/>
        <v>0</v>
      </c>
    </row>
    <row r="201" spans="1:23" ht="21.95" customHeight="1" x14ac:dyDescent="0.2">
      <c r="A201" s="5" t="s">
        <v>17</v>
      </c>
      <c r="B201" s="5" t="s">
        <v>1581</v>
      </c>
      <c r="C201" s="6" t="s">
        <v>120</v>
      </c>
      <c r="D201" s="6" t="s">
        <v>124</v>
      </c>
      <c r="E201" s="6"/>
      <c r="G201" s="6">
        <v>39</v>
      </c>
      <c r="H201" s="6">
        <v>22</v>
      </c>
      <c r="I201" s="9">
        <v>115</v>
      </c>
      <c r="J201" s="9"/>
      <c r="K201" s="7">
        <v>44004414</v>
      </c>
      <c r="L201" s="5" t="str">
        <f t="shared" si="20"/>
        <v>BZ TETRA TV ÜNİTESİ ÜST BLOK KAPAKLI</v>
      </c>
      <c r="M201" s="8">
        <v>0.6</v>
      </c>
      <c r="N201" s="8">
        <v>0.55000000000000004</v>
      </c>
      <c r="O201" s="8">
        <v>9046</v>
      </c>
      <c r="P201" s="8">
        <f t="shared" si="21"/>
        <v>4070.7</v>
      </c>
      <c r="Q201" s="8">
        <f t="shared" si="22"/>
        <v>9046</v>
      </c>
      <c r="R201" s="31">
        <f t="shared" si="23"/>
        <v>9000</v>
      </c>
      <c r="T201" s="12"/>
      <c r="U201" s="12">
        <v>10855</v>
      </c>
      <c r="V201" s="8">
        <f t="shared" si="18"/>
        <v>0</v>
      </c>
      <c r="W201" s="8">
        <f t="shared" si="19"/>
        <v>0</v>
      </c>
    </row>
    <row r="202" spans="1:23" ht="21.95" customHeight="1" x14ac:dyDescent="0.2">
      <c r="A202" s="5" t="s">
        <v>17</v>
      </c>
      <c r="B202" s="5" t="s">
        <v>1581</v>
      </c>
      <c r="C202" s="6" t="s">
        <v>120</v>
      </c>
      <c r="D202" s="6" t="s">
        <v>1809</v>
      </c>
      <c r="E202" s="6"/>
      <c r="G202" s="6">
        <v>33</v>
      </c>
      <c r="H202" s="6">
        <v>20</v>
      </c>
      <c r="I202" s="9">
        <v>33</v>
      </c>
      <c r="J202" s="9"/>
      <c r="K202" s="7">
        <v>44004415</v>
      </c>
      <c r="L202" s="5" t="str">
        <f t="shared" si="20"/>
        <v>BZ TETRA TV ÜNİTESİ ÜST MODÜL KUTU X2</v>
      </c>
      <c r="M202" s="8">
        <v>0.6</v>
      </c>
      <c r="N202" s="8">
        <v>0.55000000000000004</v>
      </c>
      <c r="O202" s="8">
        <v>7572</v>
      </c>
      <c r="P202" s="8">
        <f t="shared" si="21"/>
        <v>3407.3999999999996</v>
      </c>
      <c r="Q202" s="8">
        <f t="shared" si="22"/>
        <v>7572</v>
      </c>
      <c r="R202" s="31">
        <f t="shared" si="23"/>
        <v>7500</v>
      </c>
      <c r="T202" s="12"/>
      <c r="U202" s="12">
        <v>9086</v>
      </c>
      <c r="V202" s="8">
        <f t="shared" si="18"/>
        <v>0</v>
      </c>
      <c r="W202" s="8">
        <f t="shared" si="19"/>
        <v>0</v>
      </c>
    </row>
    <row r="203" spans="1:23" ht="21.95" customHeight="1" x14ac:dyDescent="0.2">
      <c r="A203" s="5" t="s">
        <v>17</v>
      </c>
      <c r="B203" s="5" t="s">
        <v>1581</v>
      </c>
      <c r="C203" s="6" t="s">
        <v>120</v>
      </c>
      <c r="D203" s="6" t="s">
        <v>87</v>
      </c>
      <c r="E203" s="6"/>
      <c r="G203" s="6">
        <v>109</v>
      </c>
      <c r="H203" s="6">
        <v>21</v>
      </c>
      <c r="I203" s="9">
        <v>20</v>
      </c>
      <c r="J203" s="9"/>
      <c r="K203" s="7">
        <v>44004416</v>
      </c>
      <c r="L203" s="5" t="str">
        <f t="shared" si="20"/>
        <v>BZ TETRA TV ÜNİTESİ ÜST MODÜL RAF</v>
      </c>
      <c r="M203" s="8">
        <v>0.6</v>
      </c>
      <c r="N203" s="8">
        <v>0.55000000000000004</v>
      </c>
      <c r="O203" s="8">
        <v>4111</v>
      </c>
      <c r="P203" s="8">
        <f t="shared" si="21"/>
        <v>1849.9499999999998</v>
      </c>
      <c r="Q203" s="8">
        <f t="shared" si="22"/>
        <v>4111</v>
      </c>
      <c r="R203" s="31">
        <f t="shared" si="23"/>
        <v>4100</v>
      </c>
      <c r="T203" s="12"/>
      <c r="U203" s="12">
        <v>4933</v>
      </c>
      <c r="V203" s="8">
        <f t="shared" si="18"/>
        <v>0</v>
      </c>
      <c r="W203" s="8">
        <f t="shared" si="19"/>
        <v>0</v>
      </c>
    </row>
    <row r="204" spans="1:23" ht="21.95" customHeight="1" x14ac:dyDescent="0.2">
      <c r="A204" s="5" t="s">
        <v>17</v>
      </c>
      <c r="B204" s="5" t="s">
        <v>1581</v>
      </c>
      <c r="C204" s="6" t="s">
        <v>120</v>
      </c>
      <c r="D204" s="6" t="s">
        <v>29</v>
      </c>
      <c r="E204" s="6"/>
      <c r="G204" s="6">
        <v>124</v>
      </c>
      <c r="H204" s="6">
        <v>72</v>
      </c>
      <c r="I204" s="9">
        <v>46</v>
      </c>
      <c r="J204" s="9"/>
      <c r="K204" s="7">
        <v>44004417</v>
      </c>
      <c r="L204" s="5" t="str">
        <f t="shared" si="20"/>
        <v>BZ TETRA ORTA SEHPA</v>
      </c>
      <c r="M204" s="8">
        <v>0.6</v>
      </c>
      <c r="N204" s="8">
        <v>0.55000000000000004</v>
      </c>
      <c r="O204" s="8">
        <v>35026</v>
      </c>
      <c r="P204" s="8">
        <f t="shared" si="21"/>
        <v>15761.699999999999</v>
      </c>
      <c r="Q204" s="8">
        <f t="shared" si="22"/>
        <v>35026</v>
      </c>
      <c r="R204" s="31">
        <f t="shared" si="23"/>
        <v>35000</v>
      </c>
      <c r="T204" s="12"/>
      <c r="U204" s="12">
        <v>42031</v>
      </c>
      <c r="V204" s="8">
        <f t="shared" si="18"/>
        <v>0</v>
      </c>
      <c r="W204" s="8">
        <f t="shared" si="19"/>
        <v>0</v>
      </c>
    </row>
    <row r="205" spans="1:23" ht="21.95" customHeight="1" x14ac:dyDescent="0.2">
      <c r="A205" s="5" t="s">
        <v>17</v>
      </c>
      <c r="B205" s="5" t="s">
        <v>1581</v>
      </c>
      <c r="C205" s="6" t="s">
        <v>120</v>
      </c>
      <c r="D205" s="6" t="s">
        <v>30</v>
      </c>
      <c r="E205" s="6"/>
      <c r="G205" s="6">
        <v>50</v>
      </c>
      <c r="H205" s="6">
        <v>50</v>
      </c>
      <c r="I205" s="9">
        <v>44</v>
      </c>
      <c r="J205" s="9"/>
      <c r="K205" s="7">
        <v>44004418</v>
      </c>
      <c r="L205" s="5" t="str">
        <f t="shared" si="20"/>
        <v>BZ TETRA YAN SEHPA</v>
      </c>
      <c r="M205" s="8">
        <v>0.6</v>
      </c>
      <c r="N205" s="8">
        <v>0.55000000000000004</v>
      </c>
      <c r="O205" s="8">
        <v>7402</v>
      </c>
      <c r="P205" s="8">
        <f t="shared" si="21"/>
        <v>3330.8999999999996</v>
      </c>
      <c r="Q205" s="8">
        <f t="shared" si="22"/>
        <v>7402</v>
      </c>
      <c r="R205" s="31">
        <f t="shared" si="23"/>
        <v>7400</v>
      </c>
      <c r="T205" s="12"/>
      <c r="U205" s="12">
        <v>8882</v>
      </c>
      <c r="V205" s="8">
        <f t="shared" si="18"/>
        <v>0</v>
      </c>
      <c r="W205" s="8">
        <f t="shared" si="19"/>
        <v>0</v>
      </c>
    </row>
    <row r="206" spans="1:23" ht="21.95" customHeight="1" x14ac:dyDescent="0.2">
      <c r="A206" s="5" t="s">
        <v>17</v>
      </c>
      <c r="B206" s="5" t="s">
        <v>1581</v>
      </c>
      <c r="C206" s="6" t="s">
        <v>120</v>
      </c>
      <c r="D206" s="6" t="s">
        <v>93</v>
      </c>
      <c r="E206" s="6"/>
      <c r="G206" s="6">
        <v>63</v>
      </c>
      <c r="H206" s="6">
        <v>49</v>
      </c>
      <c r="I206" s="9">
        <v>53</v>
      </c>
      <c r="J206" s="9"/>
      <c r="K206" s="7">
        <v>44004419</v>
      </c>
      <c r="L206" s="5" t="str">
        <f t="shared" si="20"/>
        <v>BZ TETRA ZİGON SEHPA</v>
      </c>
      <c r="M206" s="8">
        <v>0.6</v>
      </c>
      <c r="N206" s="8">
        <v>0.55000000000000004</v>
      </c>
      <c r="O206" s="8">
        <v>21063</v>
      </c>
      <c r="P206" s="8">
        <f t="shared" si="21"/>
        <v>9478.3499999999985</v>
      </c>
      <c r="Q206" s="8">
        <f t="shared" si="22"/>
        <v>21063</v>
      </c>
      <c r="R206" s="31">
        <f t="shared" si="23"/>
        <v>21000</v>
      </c>
      <c r="T206" s="12"/>
      <c r="U206" s="12">
        <v>25276</v>
      </c>
      <c r="V206" s="8">
        <f t="shared" si="18"/>
        <v>0</v>
      </c>
      <c r="W206" s="8">
        <f t="shared" si="19"/>
        <v>0</v>
      </c>
    </row>
    <row r="207" spans="1:23" ht="21.95" customHeight="1" x14ac:dyDescent="0.2">
      <c r="A207" s="5" t="s">
        <v>17</v>
      </c>
      <c r="B207" s="5" t="s">
        <v>1581</v>
      </c>
      <c r="C207" s="6" t="s">
        <v>120</v>
      </c>
      <c r="D207" s="6" t="s">
        <v>58</v>
      </c>
      <c r="E207" s="6"/>
      <c r="G207" s="6">
        <v>124</v>
      </c>
      <c r="H207" s="6">
        <v>72</v>
      </c>
      <c r="I207" s="9">
        <v>44</v>
      </c>
      <c r="J207" s="9"/>
      <c r="K207" s="7">
        <v>44004420</v>
      </c>
      <c r="L207" s="5" t="str">
        <f t="shared" si="20"/>
        <v>BZ TETRA MİNİ MASA</v>
      </c>
      <c r="M207" s="8">
        <v>0.6</v>
      </c>
      <c r="N207" s="8">
        <v>0.55000000000000004</v>
      </c>
      <c r="O207" s="8">
        <v>29065</v>
      </c>
      <c r="P207" s="8">
        <f t="shared" si="21"/>
        <v>13079.249999999998</v>
      </c>
      <c r="Q207" s="8">
        <f t="shared" si="22"/>
        <v>29065</v>
      </c>
      <c r="R207" s="31">
        <f t="shared" si="23"/>
        <v>29000</v>
      </c>
      <c r="T207" s="12"/>
      <c r="U207" s="12">
        <v>34878</v>
      </c>
      <c r="V207" s="8">
        <f t="shared" si="18"/>
        <v>0</v>
      </c>
      <c r="W207" s="8">
        <f t="shared" si="19"/>
        <v>0</v>
      </c>
    </row>
    <row r="208" spans="1:23" ht="21.95" customHeight="1" x14ac:dyDescent="0.2">
      <c r="A208" s="5" t="s">
        <v>17</v>
      </c>
      <c r="B208" s="5" t="s">
        <v>1581</v>
      </c>
      <c r="C208" s="6" t="s">
        <v>120</v>
      </c>
      <c r="D208" s="6" t="s">
        <v>32</v>
      </c>
      <c r="E208" s="6"/>
      <c r="F208" s="6"/>
      <c r="G208" s="5">
        <v>223</v>
      </c>
      <c r="H208" s="6">
        <v>103</v>
      </c>
      <c r="I208" s="9">
        <v>87</v>
      </c>
      <c r="J208" s="9"/>
      <c r="K208" s="7">
        <v>44004421</v>
      </c>
      <c r="L208" s="5" t="str">
        <f t="shared" si="20"/>
        <v>BZ TETRA KOLTUK 3 LÜ</v>
      </c>
      <c r="M208" s="8">
        <v>0.6</v>
      </c>
      <c r="N208" s="8">
        <v>0.55000000000000004</v>
      </c>
      <c r="O208" s="8">
        <v>72189</v>
      </c>
      <c r="P208" s="8">
        <f t="shared" si="21"/>
        <v>32485.049999999996</v>
      </c>
      <c r="Q208" s="8">
        <f t="shared" si="22"/>
        <v>72189</v>
      </c>
      <c r="R208" s="31">
        <f t="shared" si="23"/>
        <v>72100</v>
      </c>
      <c r="T208" s="12"/>
      <c r="U208" s="12">
        <v>86627</v>
      </c>
      <c r="V208" s="8">
        <f t="shared" si="18"/>
        <v>0</v>
      </c>
      <c r="W208" s="8">
        <f t="shared" si="19"/>
        <v>0</v>
      </c>
    </row>
    <row r="209" spans="1:23" ht="21.95" customHeight="1" x14ac:dyDescent="0.2">
      <c r="A209" s="5" t="s">
        <v>17</v>
      </c>
      <c r="B209" s="5" t="s">
        <v>1581</v>
      </c>
      <c r="C209" s="6" t="s">
        <v>120</v>
      </c>
      <c r="D209" s="6" t="s">
        <v>33</v>
      </c>
      <c r="E209" s="6"/>
      <c r="G209" s="5">
        <v>74</v>
      </c>
      <c r="H209" s="6">
        <v>74</v>
      </c>
      <c r="I209" s="9">
        <v>100</v>
      </c>
      <c r="J209" s="9"/>
      <c r="K209" s="7">
        <v>44004422</v>
      </c>
      <c r="L209" s="5" t="str">
        <f t="shared" si="20"/>
        <v>BZ TETRA BERJER</v>
      </c>
      <c r="M209" s="8">
        <v>0.6</v>
      </c>
      <c r="N209" s="8">
        <v>0.55000000000000004</v>
      </c>
      <c r="O209" s="8">
        <v>25132</v>
      </c>
      <c r="P209" s="8">
        <f t="shared" si="21"/>
        <v>11309.4</v>
      </c>
      <c r="Q209" s="8">
        <f t="shared" si="22"/>
        <v>25132</v>
      </c>
      <c r="R209" s="31">
        <f t="shared" si="23"/>
        <v>25100</v>
      </c>
      <c r="T209" s="12"/>
      <c r="U209" s="12">
        <v>30158</v>
      </c>
      <c r="V209" s="8">
        <f t="shared" si="18"/>
        <v>0</v>
      </c>
      <c r="W209" s="8">
        <f t="shared" si="19"/>
        <v>0</v>
      </c>
    </row>
    <row r="210" spans="1:23" ht="21.95" customHeight="1" x14ac:dyDescent="0.2">
      <c r="A210" s="5" t="s">
        <v>17</v>
      </c>
      <c r="B210" s="5" t="s">
        <v>1581</v>
      </c>
      <c r="C210" s="6" t="s">
        <v>120</v>
      </c>
      <c r="D210" s="6" t="s">
        <v>114</v>
      </c>
      <c r="E210" s="6"/>
      <c r="G210" s="6"/>
      <c r="H210" s="6"/>
      <c r="I210" s="9"/>
      <c r="J210" s="9"/>
      <c r="K210" s="7">
        <v>44004423</v>
      </c>
      <c r="L210" s="5" t="str">
        <f t="shared" si="20"/>
        <v>BZ TETRA DOLAP 4 KAPAKLI ORTA BLOK</v>
      </c>
      <c r="M210" s="8">
        <v>0.6</v>
      </c>
      <c r="N210" s="8">
        <v>0.55000000000000004</v>
      </c>
      <c r="O210" s="8">
        <v>61801</v>
      </c>
      <c r="P210" s="8">
        <f t="shared" si="21"/>
        <v>27810.449999999997</v>
      </c>
      <c r="Q210" s="8">
        <f t="shared" si="22"/>
        <v>61801</v>
      </c>
      <c r="R210" s="31">
        <f t="shared" si="23"/>
        <v>61800</v>
      </c>
      <c r="T210" s="12"/>
      <c r="U210" s="12">
        <v>74161</v>
      </c>
      <c r="V210" s="8">
        <f t="shared" si="18"/>
        <v>0</v>
      </c>
      <c r="W210" s="8">
        <f t="shared" si="19"/>
        <v>0</v>
      </c>
    </row>
    <row r="211" spans="1:23" ht="21.95" customHeight="1" x14ac:dyDescent="0.2">
      <c r="A211" s="5" t="s">
        <v>17</v>
      </c>
      <c r="B211" s="5" t="s">
        <v>1581</v>
      </c>
      <c r="C211" s="6" t="s">
        <v>120</v>
      </c>
      <c r="D211" s="6" t="s">
        <v>115</v>
      </c>
      <c r="E211" s="6"/>
      <c r="G211" s="6"/>
      <c r="H211" s="6"/>
      <c r="I211" s="9"/>
      <c r="J211" s="9"/>
      <c r="K211" s="7">
        <v>44004424</v>
      </c>
      <c r="L211" s="5" t="str">
        <f t="shared" si="20"/>
        <v>BZ TETRA DOLAP MODÜL SAĞ AYAKLI</v>
      </c>
      <c r="M211" s="8">
        <v>0.6</v>
      </c>
      <c r="N211" s="8">
        <v>0.55000000000000004</v>
      </c>
      <c r="O211" s="8">
        <v>34299</v>
      </c>
      <c r="P211" s="8">
        <f t="shared" si="21"/>
        <v>15434.55</v>
      </c>
      <c r="Q211" s="8">
        <f t="shared" si="22"/>
        <v>34299</v>
      </c>
      <c r="R211" s="31">
        <f t="shared" si="23"/>
        <v>34200</v>
      </c>
      <c r="T211" s="12"/>
      <c r="U211" s="12">
        <v>41159</v>
      </c>
      <c r="V211" s="8">
        <f t="shared" si="18"/>
        <v>0</v>
      </c>
      <c r="W211" s="8">
        <f t="shared" si="19"/>
        <v>0</v>
      </c>
    </row>
    <row r="212" spans="1:23" ht="21.95" customHeight="1" x14ac:dyDescent="0.2">
      <c r="A212" s="5" t="s">
        <v>17</v>
      </c>
      <c r="B212" s="5" t="s">
        <v>1581</v>
      </c>
      <c r="C212" s="6" t="s">
        <v>120</v>
      </c>
      <c r="D212" s="6" t="s">
        <v>116</v>
      </c>
      <c r="E212" s="6"/>
      <c r="G212" s="6"/>
      <c r="H212" s="6"/>
      <c r="I212" s="9"/>
      <c r="J212" s="9"/>
      <c r="K212" s="7">
        <v>44004425</v>
      </c>
      <c r="L212" s="5" t="str">
        <f t="shared" si="20"/>
        <v>BZ TETRA DOLAP MODÜL SOL AYAKLI</v>
      </c>
      <c r="M212" s="8">
        <v>0.6</v>
      </c>
      <c r="N212" s="8">
        <v>0.55000000000000004</v>
      </c>
      <c r="O212" s="8">
        <v>34299</v>
      </c>
      <c r="P212" s="8">
        <f t="shared" si="21"/>
        <v>15434.55</v>
      </c>
      <c r="Q212" s="8">
        <f t="shared" si="22"/>
        <v>34299</v>
      </c>
      <c r="R212" s="31">
        <f t="shared" si="23"/>
        <v>34200</v>
      </c>
      <c r="T212" s="12"/>
      <c r="U212" s="12">
        <v>41159</v>
      </c>
      <c r="V212" s="8">
        <f t="shared" si="18"/>
        <v>0</v>
      </c>
      <c r="W212" s="8">
        <f t="shared" si="19"/>
        <v>0</v>
      </c>
    </row>
    <row r="213" spans="1:23" ht="21.95" customHeight="1" x14ac:dyDescent="0.2">
      <c r="A213" s="5" t="s">
        <v>17</v>
      </c>
      <c r="B213" s="5" t="s">
        <v>1581</v>
      </c>
      <c r="C213" s="6" t="s">
        <v>120</v>
      </c>
      <c r="D213" s="6" t="s">
        <v>72</v>
      </c>
      <c r="E213" s="6"/>
      <c r="G213" s="6">
        <v>217</v>
      </c>
      <c r="H213" s="6">
        <v>212</v>
      </c>
      <c r="I213" s="9">
        <v>125</v>
      </c>
      <c r="J213" s="9"/>
      <c r="K213" s="7">
        <v>44004426</v>
      </c>
      <c r="L213" s="5" t="str">
        <f t="shared" si="20"/>
        <v>BZ TETRA KARYOLA 160CM</v>
      </c>
      <c r="M213" s="8">
        <v>0.6</v>
      </c>
      <c r="N213" s="8">
        <v>0.55000000000000004</v>
      </c>
      <c r="O213" s="8">
        <v>41609</v>
      </c>
      <c r="P213" s="8">
        <f t="shared" si="21"/>
        <v>18724.05</v>
      </c>
      <c r="Q213" s="8">
        <f t="shared" si="22"/>
        <v>41609</v>
      </c>
      <c r="R213" s="31">
        <f t="shared" si="23"/>
        <v>41600</v>
      </c>
      <c r="T213" s="12"/>
      <c r="U213" s="12">
        <v>49931</v>
      </c>
      <c r="V213" s="8">
        <f t="shared" si="18"/>
        <v>0</v>
      </c>
      <c r="W213" s="8">
        <f t="shared" si="19"/>
        <v>0</v>
      </c>
    </row>
    <row r="214" spans="1:23" ht="21.95" customHeight="1" x14ac:dyDescent="0.2">
      <c r="A214" s="5" t="s">
        <v>17</v>
      </c>
      <c r="B214" s="5" t="s">
        <v>1581</v>
      </c>
      <c r="C214" s="6" t="s">
        <v>120</v>
      </c>
      <c r="D214" s="6" t="s">
        <v>73</v>
      </c>
      <c r="E214" s="6"/>
      <c r="G214" s="6">
        <v>237</v>
      </c>
      <c r="H214" s="6">
        <v>212</v>
      </c>
      <c r="I214" s="9">
        <v>125</v>
      </c>
      <c r="J214" s="9"/>
      <c r="K214" s="7">
        <v>44004427</v>
      </c>
      <c r="L214" s="5" t="str">
        <f t="shared" si="20"/>
        <v>BZ TETRA KARYOLA 180CM</v>
      </c>
      <c r="M214" s="8">
        <v>0.6</v>
      </c>
      <c r="N214" s="8">
        <v>0.55000000000000004</v>
      </c>
      <c r="O214" s="8">
        <v>41609</v>
      </c>
      <c r="P214" s="8">
        <f t="shared" si="21"/>
        <v>18724.05</v>
      </c>
      <c r="Q214" s="8">
        <f t="shared" si="22"/>
        <v>41609</v>
      </c>
      <c r="R214" s="31">
        <f t="shared" si="23"/>
        <v>41600</v>
      </c>
      <c r="T214" s="12"/>
      <c r="U214" s="12">
        <v>49931</v>
      </c>
      <c r="V214" s="8">
        <f t="shared" si="18"/>
        <v>0</v>
      </c>
      <c r="W214" s="8">
        <f t="shared" si="19"/>
        <v>0</v>
      </c>
    </row>
    <row r="215" spans="1:23" ht="21.95" customHeight="1" x14ac:dyDescent="0.2">
      <c r="A215" s="5" t="s">
        <v>17</v>
      </c>
      <c r="B215" s="5" t="s">
        <v>1581</v>
      </c>
      <c r="C215" s="6" t="s">
        <v>120</v>
      </c>
      <c r="D215" s="6" t="s">
        <v>74</v>
      </c>
      <c r="E215" s="6"/>
      <c r="G215" s="6">
        <v>257</v>
      </c>
      <c r="H215" s="6">
        <v>212</v>
      </c>
      <c r="I215" s="9">
        <v>125</v>
      </c>
      <c r="J215" s="9"/>
      <c r="K215" s="7">
        <v>44004428</v>
      </c>
      <c r="L215" s="5" t="str">
        <f t="shared" si="20"/>
        <v>BZ TETRA KARYOLA 200CM</v>
      </c>
      <c r="M215" s="8">
        <v>0.6</v>
      </c>
      <c r="N215" s="8">
        <v>0.55000000000000004</v>
      </c>
      <c r="O215" s="8">
        <v>41609</v>
      </c>
      <c r="P215" s="8">
        <f t="shared" si="21"/>
        <v>18724.05</v>
      </c>
      <c r="Q215" s="8">
        <f t="shared" si="22"/>
        <v>41609</v>
      </c>
      <c r="R215" s="31">
        <f t="shared" si="23"/>
        <v>41600</v>
      </c>
      <c r="T215" s="12"/>
      <c r="U215" s="12">
        <v>49931</v>
      </c>
      <c r="V215" s="8">
        <f t="shared" si="18"/>
        <v>0</v>
      </c>
      <c r="W215" s="8">
        <f t="shared" si="19"/>
        <v>0</v>
      </c>
    </row>
    <row r="216" spans="1:23" ht="21.95" customHeight="1" x14ac:dyDescent="0.2">
      <c r="A216" s="5" t="s">
        <v>17</v>
      </c>
      <c r="B216" s="5" t="s">
        <v>1581</v>
      </c>
      <c r="C216" s="6" t="s">
        <v>120</v>
      </c>
      <c r="D216" s="6" t="s">
        <v>75</v>
      </c>
      <c r="E216" s="6"/>
      <c r="F216" s="6"/>
      <c r="G216" s="6">
        <v>217</v>
      </c>
      <c r="H216" s="6">
        <v>212</v>
      </c>
      <c r="I216" s="9">
        <v>125</v>
      </c>
      <c r="J216" s="9"/>
      <c r="K216" s="7">
        <v>44004429</v>
      </c>
      <c r="L216" s="5" t="str">
        <f t="shared" si="20"/>
        <v>BZ TETRA KARYOLA BAZALI 160CM</v>
      </c>
      <c r="M216" s="8">
        <v>0.6</v>
      </c>
      <c r="N216" s="8">
        <v>0.55000000000000004</v>
      </c>
      <c r="O216" s="8">
        <v>49167</v>
      </c>
      <c r="P216" s="8">
        <f t="shared" si="21"/>
        <v>22125.149999999998</v>
      </c>
      <c r="Q216" s="8">
        <f t="shared" si="22"/>
        <v>49167</v>
      </c>
      <c r="R216" s="31">
        <f t="shared" si="23"/>
        <v>49100</v>
      </c>
      <c r="T216" s="12"/>
      <c r="U216" s="12">
        <v>59000</v>
      </c>
      <c r="V216" s="8">
        <f t="shared" si="18"/>
        <v>0</v>
      </c>
      <c r="W216" s="8">
        <f t="shared" si="19"/>
        <v>0</v>
      </c>
    </row>
    <row r="217" spans="1:23" ht="21.95" customHeight="1" x14ac:dyDescent="0.2">
      <c r="A217" s="5" t="s">
        <v>17</v>
      </c>
      <c r="B217" s="5" t="s">
        <v>1581</v>
      </c>
      <c r="C217" s="6" t="s">
        <v>120</v>
      </c>
      <c r="D217" s="6" t="s">
        <v>76</v>
      </c>
      <c r="E217" s="6"/>
      <c r="F217" s="6"/>
      <c r="G217" s="6">
        <v>237</v>
      </c>
      <c r="H217" s="6">
        <v>212</v>
      </c>
      <c r="I217" s="9">
        <v>125</v>
      </c>
      <c r="J217" s="9"/>
      <c r="K217" s="7">
        <v>44004430</v>
      </c>
      <c r="L217" s="5" t="str">
        <f t="shared" si="20"/>
        <v>BZ TETRA KARYOLA BAZALI 180CM</v>
      </c>
      <c r="M217" s="8">
        <v>0.6</v>
      </c>
      <c r="N217" s="8">
        <v>0.55000000000000004</v>
      </c>
      <c r="O217" s="8">
        <v>49167</v>
      </c>
      <c r="P217" s="8">
        <f t="shared" si="21"/>
        <v>22125.149999999998</v>
      </c>
      <c r="Q217" s="8">
        <f t="shared" si="22"/>
        <v>49167</v>
      </c>
      <c r="R217" s="31">
        <f t="shared" si="23"/>
        <v>49100</v>
      </c>
      <c r="T217" s="12"/>
      <c r="U217" s="12">
        <v>59000</v>
      </c>
      <c r="V217" s="8">
        <f t="shared" si="18"/>
        <v>0</v>
      </c>
      <c r="W217" s="8">
        <f t="shared" si="19"/>
        <v>0</v>
      </c>
    </row>
    <row r="218" spans="1:23" ht="21.95" customHeight="1" x14ac:dyDescent="0.2">
      <c r="A218" s="5" t="s">
        <v>17</v>
      </c>
      <c r="B218" s="5" t="s">
        <v>1581</v>
      </c>
      <c r="C218" s="6" t="s">
        <v>120</v>
      </c>
      <c r="D218" s="6" t="s">
        <v>77</v>
      </c>
      <c r="E218" s="6"/>
      <c r="F218" s="6"/>
      <c r="G218" s="6">
        <v>257</v>
      </c>
      <c r="H218" s="6">
        <v>212</v>
      </c>
      <c r="I218" s="9">
        <v>125</v>
      </c>
      <c r="J218" s="9"/>
      <c r="K218" s="7">
        <v>44004431</v>
      </c>
      <c r="L218" s="5" t="str">
        <f t="shared" si="20"/>
        <v>BZ TETRA KARYOLA BAZALI 200CM</v>
      </c>
      <c r="M218" s="8">
        <v>0.6</v>
      </c>
      <c r="N218" s="8">
        <v>0.55000000000000004</v>
      </c>
      <c r="O218" s="8">
        <v>49167</v>
      </c>
      <c r="P218" s="8">
        <f t="shared" si="21"/>
        <v>22125.149999999998</v>
      </c>
      <c r="Q218" s="8">
        <f t="shared" si="22"/>
        <v>49167</v>
      </c>
      <c r="R218" s="31">
        <f t="shared" si="23"/>
        <v>49100</v>
      </c>
      <c r="T218" s="12"/>
      <c r="U218" s="12">
        <v>59000</v>
      </c>
      <c r="V218" s="8">
        <f t="shared" si="18"/>
        <v>0</v>
      </c>
      <c r="W218" s="8">
        <f t="shared" si="19"/>
        <v>0</v>
      </c>
    </row>
    <row r="219" spans="1:23" ht="21.95" customHeight="1" x14ac:dyDescent="0.2">
      <c r="A219" s="5" t="s">
        <v>17</v>
      </c>
      <c r="B219" s="5" t="s">
        <v>1581</v>
      </c>
      <c r="C219" s="6" t="s">
        <v>120</v>
      </c>
      <c r="D219" s="6" t="s">
        <v>125</v>
      </c>
      <c r="E219" s="6"/>
      <c r="F219" s="6"/>
      <c r="G219" s="6">
        <v>100</v>
      </c>
      <c r="H219" s="6">
        <v>38</v>
      </c>
      <c r="I219" s="9">
        <v>11</v>
      </c>
      <c r="J219" s="9"/>
      <c r="K219" s="7">
        <v>44004432</v>
      </c>
      <c r="L219" s="5" t="str">
        <f t="shared" si="20"/>
        <v>BZ TETRA ŞİFONYER MÜCEVHERLİK</v>
      </c>
      <c r="M219" s="8">
        <v>0.6</v>
      </c>
      <c r="N219" s="8">
        <v>0.55000000000000004</v>
      </c>
      <c r="O219" s="8">
        <v>56145</v>
      </c>
      <c r="P219" s="8">
        <f t="shared" si="21"/>
        <v>25265.249999999996</v>
      </c>
      <c r="Q219" s="8">
        <f t="shared" si="22"/>
        <v>56145</v>
      </c>
      <c r="R219" s="31">
        <f t="shared" si="23"/>
        <v>56100</v>
      </c>
      <c r="T219" s="12"/>
      <c r="U219" s="12">
        <v>67374</v>
      </c>
      <c r="V219" s="8">
        <f t="shared" si="18"/>
        <v>0</v>
      </c>
      <c r="W219" s="8">
        <f t="shared" si="19"/>
        <v>0</v>
      </c>
    </row>
    <row r="220" spans="1:23" ht="21.95" customHeight="1" x14ac:dyDescent="0.2">
      <c r="A220" s="5" t="s">
        <v>17</v>
      </c>
      <c r="B220" s="5" t="s">
        <v>1581</v>
      </c>
      <c r="C220" s="6" t="s">
        <v>120</v>
      </c>
      <c r="D220" s="6" t="s">
        <v>79</v>
      </c>
      <c r="E220" s="6"/>
      <c r="F220" s="6"/>
      <c r="G220" s="6">
        <v>74</v>
      </c>
      <c r="H220" s="6">
        <v>3</v>
      </c>
      <c r="I220" s="9">
        <v>125</v>
      </c>
      <c r="J220" s="9"/>
      <c r="K220" s="7">
        <v>44004433</v>
      </c>
      <c r="L220" s="5" t="str">
        <f t="shared" si="20"/>
        <v>BZ TETRA ŞİFONYER AYNASI</v>
      </c>
      <c r="M220" s="8">
        <v>0.6</v>
      </c>
      <c r="N220" s="8">
        <v>0.55000000000000004</v>
      </c>
      <c r="O220" s="8">
        <v>10501</v>
      </c>
      <c r="P220" s="8">
        <f t="shared" si="21"/>
        <v>4725.45</v>
      </c>
      <c r="Q220" s="8">
        <f t="shared" si="22"/>
        <v>10501</v>
      </c>
      <c r="R220" s="31">
        <f t="shared" si="23"/>
        <v>10500</v>
      </c>
      <c r="T220" s="12"/>
      <c r="U220" s="12">
        <v>12601</v>
      </c>
      <c r="V220" s="8">
        <f t="shared" si="18"/>
        <v>0</v>
      </c>
      <c r="W220" s="8">
        <f t="shared" si="19"/>
        <v>0</v>
      </c>
    </row>
    <row r="221" spans="1:23" ht="21.95" customHeight="1" x14ac:dyDescent="0.2">
      <c r="A221" s="5" t="s">
        <v>17</v>
      </c>
      <c r="B221" s="5" t="s">
        <v>1581</v>
      </c>
      <c r="C221" s="6" t="s">
        <v>120</v>
      </c>
      <c r="D221" s="6" t="s">
        <v>80</v>
      </c>
      <c r="E221" s="6"/>
      <c r="F221" s="6"/>
      <c r="G221" s="6">
        <v>75</v>
      </c>
      <c r="H221" s="6">
        <v>42</v>
      </c>
      <c r="I221" s="9">
        <v>52</v>
      </c>
      <c r="J221" s="9"/>
      <c r="K221" s="7">
        <v>44004434</v>
      </c>
      <c r="L221" s="5" t="str">
        <f t="shared" si="20"/>
        <v>BZ TETRA KOMODİN X2</v>
      </c>
      <c r="M221" s="8">
        <v>0.6</v>
      </c>
      <c r="N221" s="8">
        <v>0.55000000000000004</v>
      </c>
      <c r="O221" s="8">
        <v>43946</v>
      </c>
      <c r="P221" s="8">
        <f t="shared" si="21"/>
        <v>19775.699999999997</v>
      </c>
      <c r="Q221" s="8">
        <f t="shared" si="22"/>
        <v>43946</v>
      </c>
      <c r="R221" s="31">
        <f t="shared" si="23"/>
        <v>43900</v>
      </c>
      <c r="T221" s="12"/>
      <c r="U221" s="12">
        <v>52736</v>
      </c>
      <c r="V221" s="8">
        <f t="shared" si="18"/>
        <v>0</v>
      </c>
      <c r="W221" s="8">
        <f t="shared" si="19"/>
        <v>0</v>
      </c>
    </row>
    <row r="222" spans="1:23" ht="21.95" customHeight="1" x14ac:dyDescent="0.2">
      <c r="A222" s="5" t="s">
        <v>17</v>
      </c>
      <c r="B222" s="5" t="s">
        <v>1581</v>
      </c>
      <c r="C222" s="6" t="s">
        <v>120</v>
      </c>
      <c r="D222" s="6" t="s">
        <v>119</v>
      </c>
      <c r="E222" s="6"/>
      <c r="F222" s="6"/>
      <c r="G222" s="6">
        <v>40</v>
      </c>
      <c r="H222" s="6">
        <v>40</v>
      </c>
      <c r="I222" s="9">
        <v>46</v>
      </c>
      <c r="J222" s="9"/>
      <c r="K222" s="7">
        <v>44004435</v>
      </c>
      <c r="L222" s="5" t="str">
        <f t="shared" si="20"/>
        <v>BZ TETRA PUF</v>
      </c>
      <c r="M222" s="8">
        <v>0.6</v>
      </c>
      <c r="N222" s="8">
        <v>0.55000000000000004</v>
      </c>
      <c r="O222" s="8">
        <v>7092</v>
      </c>
      <c r="P222" s="8">
        <f t="shared" si="21"/>
        <v>3191.3999999999996</v>
      </c>
      <c r="Q222" s="8">
        <f t="shared" si="22"/>
        <v>7092</v>
      </c>
      <c r="R222" s="31">
        <f t="shared" si="23"/>
        <v>7000</v>
      </c>
      <c r="T222" s="12"/>
      <c r="U222" s="12">
        <v>8510</v>
      </c>
      <c r="V222" s="8">
        <f t="shared" si="18"/>
        <v>0</v>
      </c>
      <c r="W222" s="8">
        <f t="shared" si="19"/>
        <v>0</v>
      </c>
    </row>
    <row r="223" spans="1:23" ht="21.95" customHeight="1" x14ac:dyDescent="0.2">
      <c r="A223" s="5" t="s">
        <v>17</v>
      </c>
      <c r="B223" s="5" t="s">
        <v>1581</v>
      </c>
      <c r="C223" s="6" t="s">
        <v>120</v>
      </c>
      <c r="D223" s="6" t="s">
        <v>126</v>
      </c>
      <c r="E223" s="6"/>
      <c r="F223" s="6"/>
      <c r="G223" s="6">
        <v>70</v>
      </c>
      <c r="H223" s="6">
        <v>50</v>
      </c>
      <c r="I223" s="9">
        <v>85</v>
      </c>
      <c r="J223" s="9"/>
      <c r="K223" s="7">
        <v>44004436</v>
      </c>
      <c r="L223" s="5" t="str">
        <f t="shared" si="20"/>
        <v>BZ TETRA ÇAMAŞIRLIK</v>
      </c>
      <c r="M223" s="8">
        <v>0.6</v>
      </c>
      <c r="N223" s="8">
        <v>0.55000000000000004</v>
      </c>
      <c r="O223" s="8">
        <v>32842</v>
      </c>
      <c r="P223" s="8">
        <f t="shared" si="21"/>
        <v>14778.899999999998</v>
      </c>
      <c r="Q223" s="8">
        <f t="shared" si="22"/>
        <v>32842</v>
      </c>
      <c r="R223" s="31">
        <f t="shared" si="23"/>
        <v>32800</v>
      </c>
      <c r="T223" s="12"/>
      <c r="U223" s="12">
        <v>39410</v>
      </c>
      <c r="V223" s="8">
        <f t="shared" si="18"/>
        <v>0</v>
      </c>
      <c r="W223" s="8">
        <f t="shared" si="19"/>
        <v>0</v>
      </c>
    </row>
    <row r="224" spans="1:23" ht="21.95" customHeight="1" x14ac:dyDescent="0.2">
      <c r="A224" s="5" t="s">
        <v>17</v>
      </c>
      <c r="B224" s="5" t="s">
        <v>1581</v>
      </c>
      <c r="C224" s="6" t="s">
        <v>127</v>
      </c>
      <c r="D224" s="6" t="s">
        <v>19</v>
      </c>
      <c r="E224" s="6"/>
      <c r="G224" s="6">
        <v>216</v>
      </c>
      <c r="H224" s="6">
        <v>50</v>
      </c>
      <c r="I224" s="9">
        <v>80</v>
      </c>
      <c r="J224" s="9"/>
      <c r="K224" s="7">
        <v>44004437</v>
      </c>
      <c r="L224" s="5" t="str">
        <f t="shared" si="20"/>
        <v>BZ CADILLAC KONSOL 4 KAPAKLI</v>
      </c>
      <c r="M224" s="8">
        <v>0.6</v>
      </c>
      <c r="N224" s="8">
        <v>0.55000000000000004</v>
      </c>
      <c r="O224" s="8">
        <v>56109</v>
      </c>
      <c r="P224" s="8">
        <f t="shared" si="21"/>
        <v>25249.05</v>
      </c>
      <c r="Q224" s="8">
        <f t="shared" si="22"/>
        <v>56109</v>
      </c>
      <c r="R224" s="31">
        <f t="shared" si="23"/>
        <v>56100</v>
      </c>
      <c r="T224" s="12"/>
      <c r="U224" s="12">
        <v>67331</v>
      </c>
      <c r="V224" s="8">
        <f t="shared" si="18"/>
        <v>0</v>
      </c>
      <c r="W224" s="8">
        <f t="shared" si="19"/>
        <v>0</v>
      </c>
    </row>
    <row r="225" spans="1:23" ht="21.95" customHeight="1" x14ac:dyDescent="0.2">
      <c r="A225" s="5" t="s">
        <v>17</v>
      </c>
      <c r="B225" s="5" t="s">
        <v>1581</v>
      </c>
      <c r="C225" s="6" t="s">
        <v>127</v>
      </c>
      <c r="D225" s="6" t="s">
        <v>20</v>
      </c>
      <c r="E225" s="6"/>
      <c r="G225" s="6">
        <v>165</v>
      </c>
      <c r="H225" s="6">
        <v>50</v>
      </c>
      <c r="I225" s="9">
        <v>80</v>
      </c>
      <c r="J225" s="9"/>
      <c r="K225" s="7">
        <v>44004438</v>
      </c>
      <c r="L225" s="5" t="str">
        <f t="shared" si="20"/>
        <v>BZ CADILLAC KONSOL 3 KAPAKLI</v>
      </c>
      <c r="M225" s="8">
        <v>0.6</v>
      </c>
      <c r="N225" s="8">
        <v>0.55000000000000004</v>
      </c>
      <c r="O225" s="8">
        <v>56109</v>
      </c>
      <c r="P225" s="8">
        <f t="shared" si="21"/>
        <v>25249.05</v>
      </c>
      <c r="Q225" s="8">
        <f t="shared" si="22"/>
        <v>56109</v>
      </c>
      <c r="R225" s="31">
        <f t="shared" si="23"/>
        <v>56100</v>
      </c>
      <c r="T225" s="12"/>
      <c r="U225" s="12">
        <v>67331</v>
      </c>
      <c r="V225" s="8">
        <f t="shared" si="18"/>
        <v>0</v>
      </c>
      <c r="W225" s="8">
        <f t="shared" si="19"/>
        <v>0</v>
      </c>
    </row>
    <row r="226" spans="1:23" ht="21.95" customHeight="1" x14ac:dyDescent="0.2">
      <c r="A226" s="5" t="s">
        <v>17</v>
      </c>
      <c r="B226" s="5" t="s">
        <v>1581</v>
      </c>
      <c r="C226" s="6" t="s">
        <v>127</v>
      </c>
      <c r="D226" s="6" t="s">
        <v>50</v>
      </c>
      <c r="E226" s="6"/>
      <c r="G226" s="6">
        <v>41</v>
      </c>
      <c r="H226" s="6">
        <v>4</v>
      </c>
      <c r="I226" s="9">
        <v>118</v>
      </c>
      <c r="J226" s="9"/>
      <c r="K226" s="7">
        <v>44004439</v>
      </c>
      <c r="L226" s="5" t="str">
        <f t="shared" si="20"/>
        <v>BZ CADILLAC KONSOL AYNASI X2</v>
      </c>
      <c r="M226" s="8">
        <v>0.6</v>
      </c>
      <c r="N226" s="8">
        <v>0.55000000000000004</v>
      </c>
      <c r="O226" s="8">
        <v>18854</v>
      </c>
      <c r="P226" s="8">
        <f t="shared" si="21"/>
        <v>8484.2999999999993</v>
      </c>
      <c r="Q226" s="8">
        <f t="shared" si="22"/>
        <v>18854</v>
      </c>
      <c r="R226" s="31">
        <f t="shared" si="23"/>
        <v>18800</v>
      </c>
      <c r="T226" s="12"/>
      <c r="U226" s="12">
        <v>22624</v>
      </c>
      <c r="V226" s="8">
        <f t="shared" si="18"/>
        <v>0</v>
      </c>
      <c r="W226" s="8">
        <f t="shared" si="19"/>
        <v>0</v>
      </c>
    </row>
    <row r="227" spans="1:23" ht="21.95" customHeight="1" x14ac:dyDescent="0.2">
      <c r="A227" s="5" t="s">
        <v>17</v>
      </c>
      <c r="B227" s="5" t="s">
        <v>1581</v>
      </c>
      <c r="C227" s="6" t="s">
        <v>127</v>
      </c>
      <c r="D227" s="6" t="s">
        <v>22</v>
      </c>
      <c r="E227" s="6"/>
      <c r="G227" s="6">
        <v>160</v>
      </c>
      <c r="H227" s="6">
        <v>100</v>
      </c>
      <c r="I227" s="9">
        <v>77</v>
      </c>
      <c r="J227" s="9"/>
      <c r="K227" s="7">
        <v>44004440</v>
      </c>
      <c r="L227" s="5" t="str">
        <f t="shared" si="20"/>
        <v>BZ CADILLAC MASA 160CM</v>
      </c>
      <c r="M227" s="8">
        <v>0.6</v>
      </c>
      <c r="N227" s="8">
        <v>0.55000000000000004</v>
      </c>
      <c r="O227" s="8">
        <v>57427</v>
      </c>
      <c r="P227" s="8">
        <f t="shared" si="21"/>
        <v>25842.149999999998</v>
      </c>
      <c r="Q227" s="8">
        <f t="shared" si="22"/>
        <v>57427</v>
      </c>
      <c r="R227" s="31">
        <f t="shared" si="23"/>
        <v>57400</v>
      </c>
      <c r="T227" s="12"/>
      <c r="U227" s="12">
        <v>68912</v>
      </c>
      <c r="V227" s="8">
        <f t="shared" si="18"/>
        <v>0</v>
      </c>
      <c r="W227" s="8">
        <f t="shared" si="19"/>
        <v>0</v>
      </c>
    </row>
    <row r="228" spans="1:23" ht="21.95" customHeight="1" x14ac:dyDescent="0.2">
      <c r="A228" s="5" t="s">
        <v>17</v>
      </c>
      <c r="B228" s="5" t="s">
        <v>1581</v>
      </c>
      <c r="C228" s="6" t="s">
        <v>127</v>
      </c>
      <c r="D228" s="6" t="s">
        <v>23</v>
      </c>
      <c r="E228" s="6"/>
      <c r="G228" s="6">
        <v>200</v>
      </c>
      <c r="H228" s="6">
        <v>100</v>
      </c>
      <c r="I228" s="9">
        <v>77</v>
      </c>
      <c r="J228" s="9"/>
      <c r="K228" s="7">
        <v>44004441</v>
      </c>
      <c r="L228" s="5" t="str">
        <f t="shared" si="20"/>
        <v>BZ CADILLAC MASA 200CM</v>
      </c>
      <c r="M228" s="8">
        <v>0.6</v>
      </c>
      <c r="N228" s="8">
        <v>0.55000000000000004</v>
      </c>
      <c r="O228" s="8">
        <v>57427</v>
      </c>
      <c r="P228" s="8">
        <f t="shared" si="21"/>
        <v>25842.149999999998</v>
      </c>
      <c r="Q228" s="8">
        <f t="shared" si="22"/>
        <v>57427</v>
      </c>
      <c r="R228" s="31">
        <f t="shared" si="23"/>
        <v>57400</v>
      </c>
      <c r="T228" s="12"/>
      <c r="U228" s="12">
        <v>68912</v>
      </c>
      <c r="V228" s="8">
        <f t="shared" si="18"/>
        <v>0</v>
      </c>
      <c r="W228" s="8">
        <f t="shared" si="19"/>
        <v>0</v>
      </c>
    </row>
    <row r="229" spans="1:23" ht="21.95" customHeight="1" x14ac:dyDescent="0.2">
      <c r="A229" s="5" t="s">
        <v>17</v>
      </c>
      <c r="B229" s="5" t="s">
        <v>1581</v>
      </c>
      <c r="C229" s="6" t="s">
        <v>127</v>
      </c>
      <c r="D229" s="6" t="s">
        <v>24</v>
      </c>
      <c r="E229" s="6"/>
      <c r="G229" s="6">
        <v>240</v>
      </c>
      <c r="H229" s="6">
        <v>110</v>
      </c>
      <c r="I229" s="9">
        <v>77</v>
      </c>
      <c r="J229" s="9"/>
      <c r="K229" s="7">
        <v>44004442</v>
      </c>
      <c r="L229" s="5" t="str">
        <f t="shared" si="20"/>
        <v>BZ CADILLAC MASA 240CM</v>
      </c>
      <c r="M229" s="8">
        <v>0.6</v>
      </c>
      <c r="N229" s="8">
        <v>0.55000000000000004</v>
      </c>
      <c r="O229" s="8">
        <v>62946</v>
      </c>
      <c r="P229" s="8">
        <f t="shared" si="21"/>
        <v>28325.699999999997</v>
      </c>
      <c r="Q229" s="8">
        <f t="shared" si="22"/>
        <v>62946</v>
      </c>
      <c r="R229" s="31">
        <f t="shared" si="23"/>
        <v>62900</v>
      </c>
      <c r="T229" s="12"/>
      <c r="U229" s="12">
        <v>75595</v>
      </c>
      <c r="V229" s="8">
        <f t="shared" si="18"/>
        <v>0</v>
      </c>
      <c r="W229" s="8">
        <f t="shared" si="19"/>
        <v>0</v>
      </c>
    </row>
    <row r="230" spans="1:23" ht="21.95" customHeight="1" x14ac:dyDescent="0.2">
      <c r="A230" s="5" t="s">
        <v>17</v>
      </c>
      <c r="B230" s="5" t="s">
        <v>1581</v>
      </c>
      <c r="C230" s="6" t="s">
        <v>127</v>
      </c>
      <c r="D230" s="6" t="s">
        <v>25</v>
      </c>
      <c r="E230" s="6"/>
      <c r="G230" s="6">
        <v>53</v>
      </c>
      <c r="H230" s="6">
        <v>60</v>
      </c>
      <c r="I230" s="9">
        <v>77</v>
      </c>
      <c r="J230" s="9"/>
      <c r="K230" s="7">
        <v>44004443</v>
      </c>
      <c r="L230" s="5" t="str">
        <f t="shared" si="20"/>
        <v>BZ CADILLAC SANDALYE</v>
      </c>
      <c r="M230" s="8">
        <v>0.6</v>
      </c>
      <c r="N230" s="8">
        <v>0.55000000000000004</v>
      </c>
      <c r="O230" s="8">
        <v>18361</v>
      </c>
      <c r="P230" s="8">
        <f t="shared" si="21"/>
        <v>8262.4499999999989</v>
      </c>
      <c r="Q230" s="8">
        <f t="shared" si="22"/>
        <v>18361</v>
      </c>
      <c r="R230" s="31">
        <f t="shared" si="23"/>
        <v>18300</v>
      </c>
      <c r="T230" s="12"/>
      <c r="U230" s="12">
        <v>22033</v>
      </c>
      <c r="V230" s="8">
        <f t="shared" si="18"/>
        <v>0</v>
      </c>
      <c r="W230" s="8">
        <f t="shared" si="19"/>
        <v>0</v>
      </c>
    </row>
    <row r="231" spans="1:23" ht="21.95" customHeight="1" x14ac:dyDescent="0.2">
      <c r="A231" s="5" t="s">
        <v>17</v>
      </c>
      <c r="B231" s="5" t="s">
        <v>1581</v>
      </c>
      <c r="C231" s="6" t="s">
        <v>127</v>
      </c>
      <c r="D231" s="6" t="s">
        <v>26</v>
      </c>
      <c r="E231" s="6"/>
      <c r="G231" s="6">
        <v>216</v>
      </c>
      <c r="H231" s="6">
        <v>50</v>
      </c>
      <c r="I231" s="9">
        <v>45</v>
      </c>
      <c r="J231" s="9"/>
      <c r="K231" s="7">
        <v>44004444</v>
      </c>
      <c r="L231" s="5" t="str">
        <f t="shared" si="20"/>
        <v>BZ CADILLAC TV ÜNİTESİ ALT BLOK 4 KAPAKLI</v>
      </c>
      <c r="M231" s="8">
        <v>0.6</v>
      </c>
      <c r="N231" s="8">
        <v>0.55000000000000004</v>
      </c>
      <c r="O231" s="8">
        <v>49459</v>
      </c>
      <c r="P231" s="8">
        <f t="shared" si="21"/>
        <v>22256.55</v>
      </c>
      <c r="Q231" s="8">
        <f t="shared" si="22"/>
        <v>49459</v>
      </c>
      <c r="R231" s="31">
        <f t="shared" si="23"/>
        <v>49400</v>
      </c>
      <c r="T231" s="12"/>
      <c r="U231" s="12">
        <v>59351</v>
      </c>
      <c r="V231" s="8">
        <f t="shared" si="18"/>
        <v>0</v>
      </c>
      <c r="W231" s="8">
        <f t="shared" si="19"/>
        <v>0</v>
      </c>
    </row>
    <row r="232" spans="1:23" ht="21.95" customHeight="1" x14ac:dyDescent="0.2">
      <c r="A232" s="5" t="s">
        <v>17</v>
      </c>
      <c r="B232" s="5" t="s">
        <v>1581</v>
      </c>
      <c r="C232" s="6" t="s">
        <v>127</v>
      </c>
      <c r="D232" s="6" t="s">
        <v>27</v>
      </c>
      <c r="E232" s="6"/>
      <c r="G232" s="6">
        <v>165</v>
      </c>
      <c r="H232" s="6">
        <v>50</v>
      </c>
      <c r="I232" s="9">
        <v>45</v>
      </c>
      <c r="J232" s="9"/>
      <c r="K232" s="7">
        <v>44004445</v>
      </c>
      <c r="L232" s="5" t="str">
        <f t="shared" si="20"/>
        <v>BZ CADILLAC TV ÜNİTESİ ALT BLOK 3 KAPAKLI</v>
      </c>
      <c r="M232" s="8">
        <v>0.6</v>
      </c>
      <c r="N232" s="8">
        <v>0.55000000000000004</v>
      </c>
      <c r="O232" s="8">
        <v>49459</v>
      </c>
      <c r="P232" s="8">
        <f t="shared" si="21"/>
        <v>22256.55</v>
      </c>
      <c r="Q232" s="8">
        <f t="shared" si="22"/>
        <v>49459</v>
      </c>
      <c r="R232" s="31">
        <f t="shared" si="23"/>
        <v>49400</v>
      </c>
      <c r="T232" s="12"/>
      <c r="U232" s="12">
        <v>59351</v>
      </c>
      <c r="V232" s="8">
        <f t="shared" si="18"/>
        <v>0</v>
      </c>
      <c r="W232" s="8">
        <f t="shared" si="19"/>
        <v>0</v>
      </c>
    </row>
    <row r="233" spans="1:23" ht="21.95" customHeight="1" x14ac:dyDescent="0.2">
      <c r="A233" s="5" t="s">
        <v>17</v>
      </c>
      <c r="B233" s="5" t="s">
        <v>1581</v>
      </c>
      <c r="C233" s="6" t="s">
        <v>127</v>
      </c>
      <c r="D233" s="6" t="s">
        <v>46</v>
      </c>
      <c r="E233" s="6"/>
      <c r="G233" s="6">
        <v>95</v>
      </c>
      <c r="H233" s="6">
        <v>25</v>
      </c>
      <c r="I233" s="9">
        <v>79</v>
      </c>
      <c r="J233" s="9"/>
      <c r="K233" s="7">
        <v>44004446</v>
      </c>
      <c r="L233" s="5" t="str">
        <f t="shared" si="20"/>
        <v>BZ CADILLAC TV ÜNİTESİ ÜST BLOK</v>
      </c>
      <c r="M233" s="8">
        <v>0.6</v>
      </c>
      <c r="N233" s="8">
        <v>0.55000000000000004</v>
      </c>
      <c r="O233" s="8">
        <v>17253</v>
      </c>
      <c r="P233" s="8">
        <f t="shared" si="21"/>
        <v>7763.8499999999995</v>
      </c>
      <c r="Q233" s="8">
        <f t="shared" si="22"/>
        <v>17253</v>
      </c>
      <c r="R233" s="31">
        <f t="shared" si="23"/>
        <v>17200</v>
      </c>
      <c r="T233" s="12"/>
      <c r="U233" s="12">
        <v>20704</v>
      </c>
      <c r="V233" s="8">
        <f t="shared" si="18"/>
        <v>0</v>
      </c>
      <c r="W233" s="8">
        <f t="shared" si="19"/>
        <v>0</v>
      </c>
    </row>
    <row r="234" spans="1:23" ht="21.95" customHeight="1" x14ac:dyDescent="0.2">
      <c r="A234" s="5" t="s">
        <v>17</v>
      </c>
      <c r="B234" s="5" t="s">
        <v>1581</v>
      </c>
      <c r="C234" s="6" t="s">
        <v>127</v>
      </c>
      <c r="D234" s="6" t="s">
        <v>29</v>
      </c>
      <c r="E234" s="6"/>
      <c r="G234" s="6">
        <v>90</v>
      </c>
      <c r="H234" s="6">
        <v>90</v>
      </c>
      <c r="I234" s="9">
        <v>44</v>
      </c>
      <c r="J234" s="9"/>
      <c r="K234" s="7">
        <v>44004447</v>
      </c>
      <c r="L234" s="5" t="str">
        <f t="shared" si="20"/>
        <v>BZ CADILLAC ORTA SEHPA</v>
      </c>
      <c r="M234" s="8">
        <v>0.6</v>
      </c>
      <c r="N234" s="8">
        <v>0.55000000000000004</v>
      </c>
      <c r="O234" s="8">
        <v>21993</v>
      </c>
      <c r="P234" s="8">
        <f t="shared" si="21"/>
        <v>9896.8499999999985</v>
      </c>
      <c r="Q234" s="8">
        <f t="shared" si="22"/>
        <v>21993</v>
      </c>
      <c r="R234" s="31">
        <f t="shared" si="23"/>
        <v>21900</v>
      </c>
      <c r="T234" s="12"/>
      <c r="U234" s="12">
        <v>26392</v>
      </c>
      <c r="V234" s="8">
        <f t="shared" si="18"/>
        <v>0</v>
      </c>
      <c r="W234" s="8">
        <f t="shared" si="19"/>
        <v>0</v>
      </c>
    </row>
    <row r="235" spans="1:23" ht="21.95" customHeight="1" x14ac:dyDescent="0.2">
      <c r="A235" s="5" t="s">
        <v>17</v>
      </c>
      <c r="B235" s="5" t="s">
        <v>1581</v>
      </c>
      <c r="C235" s="6" t="s">
        <v>127</v>
      </c>
      <c r="D235" s="6" t="s">
        <v>30</v>
      </c>
      <c r="E235" s="6"/>
      <c r="G235" s="6">
        <v>56</v>
      </c>
      <c r="H235" s="6">
        <v>49</v>
      </c>
      <c r="I235" s="9">
        <v>56</v>
      </c>
      <c r="J235" s="9"/>
      <c r="K235" s="7">
        <v>44004448</v>
      </c>
      <c r="L235" s="5" t="str">
        <f t="shared" si="20"/>
        <v>BZ CADILLAC YAN SEHPA</v>
      </c>
      <c r="M235" s="8">
        <v>0.6</v>
      </c>
      <c r="N235" s="8">
        <v>0.55000000000000004</v>
      </c>
      <c r="O235" s="8">
        <v>19029</v>
      </c>
      <c r="P235" s="8">
        <f t="shared" si="21"/>
        <v>8563.0499999999993</v>
      </c>
      <c r="Q235" s="8">
        <f t="shared" si="22"/>
        <v>19029</v>
      </c>
      <c r="R235" s="31">
        <f t="shared" si="23"/>
        <v>19000</v>
      </c>
      <c r="T235" s="12"/>
      <c r="U235" s="12">
        <v>22835</v>
      </c>
      <c r="V235" s="8">
        <f t="shared" si="18"/>
        <v>0</v>
      </c>
      <c r="W235" s="8">
        <f t="shared" si="19"/>
        <v>0</v>
      </c>
    </row>
    <row r="236" spans="1:23" ht="21.95" customHeight="1" x14ac:dyDescent="0.2">
      <c r="A236" s="5" t="s">
        <v>17</v>
      </c>
      <c r="B236" s="5" t="s">
        <v>1581</v>
      </c>
      <c r="C236" s="6" t="s">
        <v>127</v>
      </c>
      <c r="D236" s="6" t="s">
        <v>32</v>
      </c>
      <c r="E236" s="6"/>
      <c r="G236" s="5">
        <v>230</v>
      </c>
      <c r="H236" s="6">
        <v>110</v>
      </c>
      <c r="I236" s="9">
        <v>80</v>
      </c>
      <c r="J236" s="9"/>
      <c r="K236" s="7">
        <v>44004449</v>
      </c>
      <c r="L236" s="5" t="str">
        <f t="shared" si="20"/>
        <v>BZ CADILLAC KOLTUK 3 LÜ</v>
      </c>
      <c r="M236" s="8">
        <v>0.6</v>
      </c>
      <c r="N236" s="8">
        <v>0.55000000000000004</v>
      </c>
      <c r="O236" s="8">
        <v>75096</v>
      </c>
      <c r="P236" s="8">
        <f t="shared" si="21"/>
        <v>33793.199999999997</v>
      </c>
      <c r="Q236" s="8">
        <f t="shared" si="22"/>
        <v>75096</v>
      </c>
      <c r="R236" s="31">
        <f t="shared" si="23"/>
        <v>75000</v>
      </c>
      <c r="T236" s="12"/>
      <c r="U236" s="12">
        <v>90115</v>
      </c>
      <c r="V236" s="8">
        <f t="shared" si="18"/>
        <v>0</v>
      </c>
      <c r="W236" s="8">
        <f t="shared" si="19"/>
        <v>0</v>
      </c>
    </row>
    <row r="237" spans="1:23" ht="21.95" customHeight="1" x14ac:dyDescent="0.2">
      <c r="A237" s="5" t="s">
        <v>17</v>
      </c>
      <c r="B237" s="5" t="s">
        <v>1581</v>
      </c>
      <c r="C237" s="6" t="s">
        <v>127</v>
      </c>
      <c r="D237" s="6" t="s">
        <v>33</v>
      </c>
      <c r="E237" s="6"/>
      <c r="G237" s="6">
        <v>87</v>
      </c>
      <c r="H237" s="5">
        <v>89</v>
      </c>
      <c r="I237" s="7">
        <v>76</v>
      </c>
      <c r="K237" s="7">
        <v>44004450</v>
      </c>
      <c r="L237" s="5" t="str">
        <f t="shared" si="20"/>
        <v>BZ CADILLAC BERJER</v>
      </c>
      <c r="M237" s="8">
        <v>0.6</v>
      </c>
      <c r="N237" s="8">
        <v>0.55000000000000004</v>
      </c>
      <c r="O237" s="8">
        <v>25852</v>
      </c>
      <c r="P237" s="8">
        <f t="shared" si="21"/>
        <v>11633.4</v>
      </c>
      <c r="Q237" s="8">
        <f t="shared" si="22"/>
        <v>25852</v>
      </c>
      <c r="R237" s="31">
        <f t="shared" si="23"/>
        <v>25800</v>
      </c>
      <c r="T237" s="12"/>
      <c r="U237" s="12">
        <v>31022</v>
      </c>
      <c r="V237" s="8">
        <f t="shared" si="18"/>
        <v>0</v>
      </c>
      <c r="W237" s="8">
        <f t="shared" si="19"/>
        <v>0</v>
      </c>
    </row>
    <row r="238" spans="1:23" ht="21.95" customHeight="1" x14ac:dyDescent="0.2">
      <c r="A238" s="5" t="s">
        <v>17</v>
      </c>
      <c r="B238" s="5" t="s">
        <v>1581</v>
      </c>
      <c r="C238" s="6" t="s">
        <v>127</v>
      </c>
      <c r="D238" s="6" t="s">
        <v>66</v>
      </c>
      <c r="E238" s="6"/>
      <c r="G238" s="6">
        <v>50</v>
      </c>
      <c r="H238" s="6">
        <v>60</v>
      </c>
      <c r="I238" s="9">
        <v>225</v>
      </c>
      <c r="J238" s="9"/>
      <c r="K238" s="7">
        <v>44004451</v>
      </c>
      <c r="L238" s="5" t="str">
        <f t="shared" si="20"/>
        <v>BZ CADILLAC DOLAP CAMLI X2</v>
      </c>
      <c r="M238" s="8">
        <v>0.6</v>
      </c>
      <c r="N238" s="8">
        <v>0.55000000000000004</v>
      </c>
      <c r="O238" s="8">
        <v>73868</v>
      </c>
      <c r="P238" s="8">
        <f t="shared" si="21"/>
        <v>33240.6</v>
      </c>
      <c r="Q238" s="8">
        <f t="shared" si="22"/>
        <v>73868</v>
      </c>
      <c r="R238" s="31">
        <f t="shared" si="23"/>
        <v>73800</v>
      </c>
      <c r="T238" s="12"/>
      <c r="U238" s="12">
        <v>88642</v>
      </c>
      <c r="V238" s="8">
        <f t="shared" si="18"/>
        <v>0</v>
      </c>
      <c r="W238" s="8">
        <f t="shared" si="19"/>
        <v>0</v>
      </c>
    </row>
    <row r="239" spans="1:23" ht="21.95" customHeight="1" x14ac:dyDescent="0.2">
      <c r="A239" s="5" t="s">
        <v>17</v>
      </c>
      <c r="B239" s="5" t="s">
        <v>1581</v>
      </c>
      <c r="C239" s="6" t="s">
        <v>127</v>
      </c>
      <c r="D239" s="6" t="s">
        <v>94</v>
      </c>
      <c r="E239" s="6"/>
      <c r="G239" s="6">
        <v>100</v>
      </c>
      <c r="H239" s="6">
        <v>60</v>
      </c>
      <c r="I239" s="9">
        <v>225</v>
      </c>
      <c r="J239" s="9"/>
      <c r="K239" s="7">
        <v>44004452</v>
      </c>
      <c r="L239" s="5" t="str">
        <f t="shared" si="20"/>
        <v>BZ CADILLAC DOLAP PANTOLONLUKLU CAM KAPAK</v>
      </c>
      <c r="M239" s="8">
        <v>0.6</v>
      </c>
      <c r="N239" s="8">
        <v>0.55000000000000004</v>
      </c>
      <c r="O239" s="8">
        <v>56372</v>
      </c>
      <c r="P239" s="8">
        <f t="shared" si="21"/>
        <v>25367.399999999998</v>
      </c>
      <c r="Q239" s="8">
        <f t="shared" si="22"/>
        <v>56372</v>
      </c>
      <c r="R239" s="31">
        <f t="shared" si="23"/>
        <v>56300</v>
      </c>
      <c r="T239" s="12"/>
      <c r="U239" s="12">
        <v>67646</v>
      </c>
      <c r="V239" s="8">
        <f t="shared" si="18"/>
        <v>0</v>
      </c>
      <c r="W239" s="8">
        <f t="shared" si="19"/>
        <v>0</v>
      </c>
    </row>
    <row r="240" spans="1:23" ht="21.95" customHeight="1" x14ac:dyDescent="0.2">
      <c r="A240" s="5" t="s">
        <v>17</v>
      </c>
      <c r="B240" s="5" t="s">
        <v>1581</v>
      </c>
      <c r="C240" s="6" t="s">
        <v>127</v>
      </c>
      <c r="D240" s="6" t="s">
        <v>95</v>
      </c>
      <c r="E240" s="6"/>
      <c r="G240" s="6">
        <v>100</v>
      </c>
      <c r="H240" s="6">
        <v>60</v>
      </c>
      <c r="I240" s="9">
        <v>225</v>
      </c>
      <c r="J240" s="9"/>
      <c r="K240" s="7">
        <v>44004453</v>
      </c>
      <c r="L240" s="5" t="str">
        <f t="shared" si="20"/>
        <v>BZ CADILLAC DOLAP ASKILIKLI CAM KAPAKLI</v>
      </c>
      <c r="M240" s="8">
        <v>0.6</v>
      </c>
      <c r="N240" s="8">
        <v>0.55000000000000004</v>
      </c>
      <c r="O240" s="8">
        <v>38169</v>
      </c>
      <c r="P240" s="8">
        <f t="shared" si="21"/>
        <v>17176.05</v>
      </c>
      <c r="Q240" s="8">
        <f t="shared" si="22"/>
        <v>38169</v>
      </c>
      <c r="R240" s="31">
        <f t="shared" si="23"/>
        <v>38100</v>
      </c>
      <c r="T240" s="12"/>
      <c r="U240" s="12">
        <v>45803</v>
      </c>
      <c r="V240" s="8">
        <f t="shared" si="18"/>
        <v>0</v>
      </c>
      <c r="W240" s="8">
        <f t="shared" si="19"/>
        <v>0</v>
      </c>
    </row>
    <row r="241" spans="1:23" ht="21.95" customHeight="1" x14ac:dyDescent="0.2">
      <c r="A241" s="5" t="s">
        <v>17</v>
      </c>
      <c r="B241" s="5" t="s">
        <v>1581</v>
      </c>
      <c r="C241" s="6" t="s">
        <v>127</v>
      </c>
      <c r="D241" s="6" t="s">
        <v>80</v>
      </c>
      <c r="E241" s="6"/>
      <c r="G241" s="6">
        <v>65</v>
      </c>
      <c r="H241" s="6">
        <v>47</v>
      </c>
      <c r="I241" s="9">
        <v>45</v>
      </c>
      <c r="J241" s="9"/>
      <c r="K241" s="7">
        <v>44004454</v>
      </c>
      <c r="L241" s="5" t="str">
        <f t="shared" si="20"/>
        <v>BZ CADILLAC KOMODİN X2</v>
      </c>
      <c r="M241" s="8">
        <v>0.6</v>
      </c>
      <c r="N241" s="8">
        <v>0.55000000000000004</v>
      </c>
      <c r="O241" s="8">
        <v>40072</v>
      </c>
      <c r="P241" s="8">
        <f t="shared" si="21"/>
        <v>18032.399999999998</v>
      </c>
      <c r="Q241" s="8">
        <f t="shared" si="22"/>
        <v>40072</v>
      </c>
      <c r="R241" s="31">
        <f t="shared" si="23"/>
        <v>40000</v>
      </c>
      <c r="T241" s="12"/>
      <c r="U241" s="12">
        <v>48086</v>
      </c>
      <c r="V241" s="8">
        <f t="shared" si="18"/>
        <v>0</v>
      </c>
      <c r="W241" s="8">
        <f t="shared" si="19"/>
        <v>0</v>
      </c>
    </row>
    <row r="242" spans="1:23" ht="21.95" customHeight="1" x14ac:dyDescent="0.2">
      <c r="A242" s="5" t="s">
        <v>17</v>
      </c>
      <c r="B242" s="5" t="s">
        <v>1581</v>
      </c>
      <c r="C242" s="6" t="s">
        <v>127</v>
      </c>
      <c r="D242" s="6" t="s">
        <v>72</v>
      </c>
      <c r="E242" s="6"/>
      <c r="G242" s="6"/>
      <c r="H242" s="6"/>
      <c r="K242" s="7">
        <v>44004455</v>
      </c>
      <c r="L242" s="5" t="str">
        <f t="shared" si="20"/>
        <v>BZ CADILLAC KARYOLA 160CM</v>
      </c>
      <c r="M242" s="8">
        <v>0.6</v>
      </c>
      <c r="N242" s="8">
        <v>0.55000000000000004</v>
      </c>
      <c r="O242" s="8">
        <v>59336</v>
      </c>
      <c r="P242" s="8">
        <f t="shared" si="21"/>
        <v>26701.199999999997</v>
      </c>
      <c r="Q242" s="8">
        <f t="shared" si="22"/>
        <v>59336</v>
      </c>
      <c r="R242" s="31">
        <f t="shared" si="23"/>
        <v>59300</v>
      </c>
      <c r="T242" s="12"/>
      <c r="U242" s="12">
        <v>71203</v>
      </c>
      <c r="V242" s="8">
        <f t="shared" si="18"/>
        <v>0</v>
      </c>
      <c r="W242" s="8">
        <f t="shared" si="19"/>
        <v>0</v>
      </c>
    </row>
    <row r="243" spans="1:23" ht="21.95" customHeight="1" x14ac:dyDescent="0.2">
      <c r="A243" s="5" t="s">
        <v>17</v>
      </c>
      <c r="B243" s="5" t="s">
        <v>1581</v>
      </c>
      <c r="C243" s="6" t="s">
        <v>127</v>
      </c>
      <c r="D243" s="6" t="s">
        <v>73</v>
      </c>
      <c r="E243" s="6"/>
      <c r="G243" s="6"/>
      <c r="K243" s="7">
        <v>44004456</v>
      </c>
      <c r="L243" s="5" t="str">
        <f t="shared" si="20"/>
        <v>BZ CADILLAC KARYOLA 180CM</v>
      </c>
      <c r="M243" s="8">
        <v>0.6</v>
      </c>
      <c r="N243" s="8">
        <v>0.55000000000000004</v>
      </c>
      <c r="O243" s="8">
        <v>59336</v>
      </c>
      <c r="P243" s="8">
        <f t="shared" si="21"/>
        <v>26701.199999999997</v>
      </c>
      <c r="Q243" s="8">
        <f t="shared" si="22"/>
        <v>59336</v>
      </c>
      <c r="R243" s="31">
        <f t="shared" si="23"/>
        <v>59300</v>
      </c>
      <c r="T243" s="12"/>
      <c r="U243" s="12">
        <v>71203</v>
      </c>
      <c r="V243" s="8">
        <f t="shared" si="18"/>
        <v>0</v>
      </c>
      <c r="W243" s="8">
        <f t="shared" si="19"/>
        <v>0</v>
      </c>
    </row>
    <row r="244" spans="1:23" ht="21.95" customHeight="1" x14ac:dyDescent="0.2">
      <c r="A244" s="5" t="s">
        <v>17</v>
      </c>
      <c r="B244" s="5" t="s">
        <v>1581</v>
      </c>
      <c r="C244" s="6" t="s">
        <v>127</v>
      </c>
      <c r="D244" s="6" t="s">
        <v>74</v>
      </c>
      <c r="E244" s="6"/>
      <c r="H244" s="6"/>
      <c r="I244" s="9"/>
      <c r="J244" s="9"/>
      <c r="K244" s="7">
        <v>44004457</v>
      </c>
      <c r="L244" s="5" t="str">
        <f t="shared" si="20"/>
        <v>BZ CADILLAC KARYOLA 200CM</v>
      </c>
      <c r="M244" s="8">
        <v>0.6</v>
      </c>
      <c r="N244" s="8">
        <v>0.55000000000000004</v>
      </c>
      <c r="O244" s="8">
        <v>59336</v>
      </c>
      <c r="P244" s="8">
        <f t="shared" si="21"/>
        <v>26701.199999999997</v>
      </c>
      <c r="Q244" s="8">
        <f t="shared" si="22"/>
        <v>59336</v>
      </c>
      <c r="R244" s="31">
        <f t="shared" si="23"/>
        <v>59300</v>
      </c>
      <c r="T244" s="12"/>
      <c r="U244" s="12">
        <v>71203</v>
      </c>
      <c r="V244" s="8">
        <f t="shared" ref="V244:V285" si="24">T244*(1-N244)</f>
        <v>0</v>
      </c>
      <c r="W244" s="8">
        <f t="shared" si="19"/>
        <v>0</v>
      </c>
    </row>
    <row r="245" spans="1:23" ht="21.95" customHeight="1" x14ac:dyDescent="0.2">
      <c r="A245" s="5" t="s">
        <v>17</v>
      </c>
      <c r="B245" s="5" t="s">
        <v>1581</v>
      </c>
      <c r="C245" s="6" t="s">
        <v>127</v>
      </c>
      <c r="D245" s="6" t="s">
        <v>75</v>
      </c>
      <c r="E245" s="6"/>
      <c r="H245" s="6"/>
      <c r="K245" s="7">
        <v>44004458</v>
      </c>
      <c r="L245" s="5" t="str">
        <f t="shared" si="20"/>
        <v>BZ CADILLAC KARYOLA BAZALI 160CM</v>
      </c>
      <c r="M245" s="8">
        <v>0.6</v>
      </c>
      <c r="N245" s="8">
        <v>0.55000000000000004</v>
      </c>
      <c r="O245" s="8">
        <v>63389</v>
      </c>
      <c r="P245" s="8">
        <f t="shared" si="21"/>
        <v>28525.049999999996</v>
      </c>
      <c r="Q245" s="8">
        <f t="shared" si="22"/>
        <v>63389</v>
      </c>
      <c r="R245" s="31">
        <f t="shared" si="23"/>
        <v>63300</v>
      </c>
      <c r="T245" s="12"/>
      <c r="U245" s="12">
        <v>76067</v>
      </c>
      <c r="V245" s="8">
        <f t="shared" si="24"/>
        <v>0</v>
      </c>
      <c r="W245" s="8">
        <f t="shared" ref="W245:W277" si="25">T245</f>
        <v>0</v>
      </c>
    </row>
    <row r="246" spans="1:23" ht="21.95" customHeight="1" x14ac:dyDescent="0.2">
      <c r="A246" s="5" t="s">
        <v>17</v>
      </c>
      <c r="B246" s="5" t="s">
        <v>1581</v>
      </c>
      <c r="C246" s="6" t="s">
        <v>127</v>
      </c>
      <c r="D246" s="6" t="s">
        <v>76</v>
      </c>
      <c r="E246" s="6"/>
      <c r="H246" s="6"/>
      <c r="K246" s="7">
        <v>44004459</v>
      </c>
      <c r="L246" s="5" t="str">
        <f t="shared" si="20"/>
        <v>BZ CADILLAC KARYOLA BAZALI 180CM</v>
      </c>
      <c r="M246" s="8">
        <v>0.6</v>
      </c>
      <c r="N246" s="8">
        <v>0.55000000000000004</v>
      </c>
      <c r="O246" s="8">
        <v>63389</v>
      </c>
      <c r="P246" s="8">
        <f t="shared" si="21"/>
        <v>28525.049999999996</v>
      </c>
      <c r="Q246" s="8">
        <f t="shared" si="22"/>
        <v>63389</v>
      </c>
      <c r="R246" s="31">
        <f t="shared" si="23"/>
        <v>63300</v>
      </c>
      <c r="T246" s="12"/>
      <c r="U246" s="12">
        <v>76067</v>
      </c>
      <c r="V246" s="8">
        <f t="shared" si="24"/>
        <v>0</v>
      </c>
      <c r="W246" s="8">
        <f t="shared" si="25"/>
        <v>0</v>
      </c>
    </row>
    <row r="247" spans="1:23" ht="21.95" customHeight="1" x14ac:dyDescent="0.2">
      <c r="A247" s="5" t="s">
        <v>17</v>
      </c>
      <c r="B247" s="5" t="s">
        <v>1581</v>
      </c>
      <c r="C247" s="6" t="s">
        <v>127</v>
      </c>
      <c r="D247" s="6" t="s">
        <v>77</v>
      </c>
      <c r="E247" s="6"/>
      <c r="G247" s="6"/>
      <c r="H247" s="6"/>
      <c r="K247" s="7">
        <v>44004460</v>
      </c>
      <c r="L247" s="5" t="str">
        <f t="shared" si="20"/>
        <v>BZ CADILLAC KARYOLA BAZALI 200CM</v>
      </c>
      <c r="M247" s="8">
        <v>0.6</v>
      </c>
      <c r="N247" s="8">
        <v>0.55000000000000004</v>
      </c>
      <c r="O247" s="8">
        <v>63389</v>
      </c>
      <c r="P247" s="8">
        <f t="shared" si="21"/>
        <v>28525.049999999996</v>
      </c>
      <c r="Q247" s="8">
        <f t="shared" si="22"/>
        <v>63389</v>
      </c>
      <c r="R247" s="31">
        <f t="shared" si="23"/>
        <v>63300</v>
      </c>
      <c r="T247" s="12"/>
      <c r="U247" s="12">
        <v>76067</v>
      </c>
      <c r="V247" s="8">
        <f t="shared" si="24"/>
        <v>0</v>
      </c>
      <c r="W247" s="8">
        <f t="shared" si="25"/>
        <v>0</v>
      </c>
    </row>
    <row r="248" spans="1:23" ht="21.95" customHeight="1" x14ac:dyDescent="0.2">
      <c r="A248" s="5" t="s">
        <v>17</v>
      </c>
      <c r="B248" s="5" t="s">
        <v>1581</v>
      </c>
      <c r="C248" s="6" t="s">
        <v>127</v>
      </c>
      <c r="D248" s="6" t="s">
        <v>78</v>
      </c>
      <c r="E248" s="6"/>
      <c r="G248" s="6">
        <v>142</v>
      </c>
      <c r="H248" s="5">
        <v>54</v>
      </c>
      <c r="I248" s="7">
        <v>96</v>
      </c>
      <c r="K248" s="7">
        <v>44004461</v>
      </c>
      <c r="L248" s="5" t="str">
        <f t="shared" si="20"/>
        <v>BZ CADILLAC ŞİFONYER</v>
      </c>
      <c r="M248" s="8">
        <v>0.6</v>
      </c>
      <c r="N248" s="8">
        <v>0.55000000000000004</v>
      </c>
      <c r="O248" s="8">
        <v>46597</v>
      </c>
      <c r="P248" s="8">
        <f t="shared" si="21"/>
        <v>20968.649999999998</v>
      </c>
      <c r="Q248" s="8">
        <f t="shared" si="22"/>
        <v>46597</v>
      </c>
      <c r="R248" s="31">
        <f t="shared" si="23"/>
        <v>46500</v>
      </c>
      <c r="T248" s="12"/>
      <c r="U248" s="12">
        <v>55916</v>
      </c>
      <c r="V248" s="8">
        <f t="shared" si="24"/>
        <v>0</v>
      </c>
      <c r="W248" s="8">
        <f t="shared" si="25"/>
        <v>0</v>
      </c>
    </row>
    <row r="249" spans="1:23" ht="21.95" customHeight="1" x14ac:dyDescent="0.2">
      <c r="A249" s="5" t="s">
        <v>17</v>
      </c>
      <c r="B249" s="5" t="s">
        <v>1581</v>
      </c>
      <c r="C249" s="6" t="s">
        <v>127</v>
      </c>
      <c r="D249" s="6" t="s">
        <v>79</v>
      </c>
      <c r="E249" s="6"/>
      <c r="G249" s="5">
        <v>74</v>
      </c>
      <c r="H249" s="6">
        <v>4</v>
      </c>
      <c r="I249" s="9">
        <v>57</v>
      </c>
      <c r="J249" s="9"/>
      <c r="K249" s="7">
        <v>44004462</v>
      </c>
      <c r="L249" s="5" t="str">
        <f t="shared" si="20"/>
        <v>BZ CADILLAC ŞİFONYER AYNASI</v>
      </c>
      <c r="M249" s="8">
        <v>0.6</v>
      </c>
      <c r="N249" s="8">
        <v>0.55000000000000004</v>
      </c>
      <c r="O249" s="8">
        <v>9580</v>
      </c>
      <c r="P249" s="8">
        <f t="shared" si="21"/>
        <v>4311</v>
      </c>
      <c r="Q249" s="8">
        <f t="shared" si="22"/>
        <v>9580</v>
      </c>
      <c r="R249" s="31">
        <f t="shared" si="23"/>
        <v>9500</v>
      </c>
      <c r="T249" s="12"/>
      <c r="U249" s="12">
        <v>11496</v>
      </c>
      <c r="V249" s="8">
        <f t="shared" si="24"/>
        <v>0</v>
      </c>
      <c r="W249" s="8">
        <f t="shared" si="25"/>
        <v>0</v>
      </c>
    </row>
    <row r="250" spans="1:23" ht="21.95" customHeight="1" x14ac:dyDescent="0.2">
      <c r="A250" s="5" t="s">
        <v>17</v>
      </c>
      <c r="B250" s="5" t="s">
        <v>1581</v>
      </c>
      <c r="C250" s="6" t="s">
        <v>127</v>
      </c>
      <c r="D250" s="6" t="s">
        <v>97</v>
      </c>
      <c r="E250" s="6"/>
      <c r="I250" s="9"/>
      <c r="J250" s="9"/>
      <c r="K250" s="7">
        <v>44004463</v>
      </c>
      <c r="L250" s="5" t="str">
        <f t="shared" si="20"/>
        <v>BZ CADILLAC KUMANDALI TEK ADAPTÖR</v>
      </c>
      <c r="M250" s="8">
        <v>0.6</v>
      </c>
      <c r="N250" s="8">
        <v>0.55000000000000004</v>
      </c>
      <c r="O250" s="8">
        <v>4843</v>
      </c>
      <c r="P250" s="8">
        <f t="shared" si="21"/>
        <v>2179.35</v>
      </c>
      <c r="Q250" s="8">
        <f t="shared" si="22"/>
        <v>4843</v>
      </c>
      <c r="R250" s="31">
        <f t="shared" si="23"/>
        <v>4800</v>
      </c>
      <c r="T250" s="12"/>
      <c r="U250" s="12">
        <v>5812</v>
      </c>
      <c r="V250" s="8">
        <f t="shared" si="24"/>
        <v>0</v>
      </c>
      <c r="W250" s="8">
        <f t="shared" si="25"/>
        <v>0</v>
      </c>
    </row>
    <row r="251" spans="1:23" ht="21.95" customHeight="1" x14ac:dyDescent="0.2">
      <c r="A251" s="5" t="s">
        <v>17</v>
      </c>
      <c r="B251" s="5" t="s">
        <v>1581</v>
      </c>
      <c r="C251" s="6" t="s">
        <v>127</v>
      </c>
      <c r="D251" s="6" t="s">
        <v>98</v>
      </c>
      <c r="E251" s="6"/>
      <c r="G251" s="5">
        <v>95</v>
      </c>
      <c r="H251" s="5">
        <v>95</v>
      </c>
      <c r="I251" s="7">
        <v>225</v>
      </c>
      <c r="K251" s="7">
        <v>44004464</v>
      </c>
      <c r="L251" s="5" t="str">
        <f t="shared" si="20"/>
        <v>BZ CADILLAC DOLAP KÖŞE CAM KAPAK</v>
      </c>
      <c r="M251" s="8">
        <v>0.6</v>
      </c>
      <c r="N251" s="8">
        <v>0.55000000000000004</v>
      </c>
      <c r="O251" s="8">
        <v>33627</v>
      </c>
      <c r="P251" s="8">
        <f t="shared" si="21"/>
        <v>15132.149999999998</v>
      </c>
      <c r="Q251" s="8">
        <f t="shared" si="22"/>
        <v>33627</v>
      </c>
      <c r="R251" s="31">
        <f t="shared" si="23"/>
        <v>33600</v>
      </c>
      <c r="T251" s="12"/>
      <c r="U251" s="12">
        <v>40352</v>
      </c>
      <c r="V251" s="8">
        <f t="shared" si="24"/>
        <v>0</v>
      </c>
      <c r="W251" s="8">
        <f t="shared" si="25"/>
        <v>0</v>
      </c>
    </row>
    <row r="252" spans="1:23" ht="21.95" customHeight="1" x14ac:dyDescent="0.2">
      <c r="A252" s="5" t="s">
        <v>17</v>
      </c>
      <c r="B252" s="5" t="s">
        <v>1581</v>
      </c>
      <c r="C252" s="6" t="s">
        <v>127</v>
      </c>
      <c r="D252" s="6" t="s">
        <v>69</v>
      </c>
      <c r="E252" s="6"/>
      <c r="G252" s="6">
        <v>100</v>
      </c>
      <c r="H252" s="6">
        <v>60</v>
      </c>
      <c r="I252" s="9">
        <v>225</v>
      </c>
      <c r="J252" s="9"/>
      <c r="K252" s="7">
        <v>44004465</v>
      </c>
      <c r="L252" s="5" t="str">
        <f t="shared" si="20"/>
        <v>BZ CADILLAC DOLAP AYAKKABILIKLI MDF KAPAKLI</v>
      </c>
      <c r="M252" s="8">
        <v>0.6</v>
      </c>
      <c r="N252" s="8">
        <v>0.55000000000000004</v>
      </c>
      <c r="O252" s="8">
        <v>66223</v>
      </c>
      <c r="P252" s="8">
        <f t="shared" si="21"/>
        <v>29800.35</v>
      </c>
      <c r="Q252" s="8">
        <f t="shared" si="22"/>
        <v>66223</v>
      </c>
      <c r="R252" s="31">
        <f t="shared" si="23"/>
        <v>66200</v>
      </c>
      <c r="T252" s="12"/>
      <c r="U252" s="12">
        <v>80075</v>
      </c>
      <c r="V252" s="8">
        <f t="shared" si="24"/>
        <v>0</v>
      </c>
      <c r="W252" s="8">
        <f t="shared" si="25"/>
        <v>0</v>
      </c>
    </row>
    <row r="253" spans="1:23" ht="21.95" customHeight="1" x14ac:dyDescent="0.2">
      <c r="A253" s="5" t="s">
        <v>17</v>
      </c>
      <c r="B253" s="5" t="s">
        <v>1581</v>
      </c>
      <c r="C253" s="6" t="s">
        <v>127</v>
      </c>
      <c r="D253" s="6" t="s">
        <v>128</v>
      </c>
      <c r="E253" s="6"/>
      <c r="G253" s="6">
        <v>50</v>
      </c>
      <c r="H253" s="6">
        <v>60</v>
      </c>
      <c r="I253" s="9">
        <v>225</v>
      </c>
      <c r="J253" s="9"/>
      <c r="K253" s="7">
        <v>44004466</v>
      </c>
      <c r="L253" s="5" t="str">
        <f t="shared" si="20"/>
        <v>BZ CADILLAC DOLAP TEKLİ</v>
      </c>
      <c r="M253" s="8">
        <v>0.6</v>
      </c>
      <c r="N253" s="8">
        <v>0.55000000000000004</v>
      </c>
      <c r="O253" s="8">
        <v>24200</v>
      </c>
      <c r="P253" s="8">
        <f t="shared" si="21"/>
        <v>10889.999999999998</v>
      </c>
      <c r="Q253" s="8">
        <f t="shared" si="22"/>
        <v>24200</v>
      </c>
      <c r="R253" s="31">
        <f t="shared" si="23"/>
        <v>24200</v>
      </c>
      <c r="T253" s="12"/>
      <c r="U253" s="12">
        <v>29040</v>
      </c>
      <c r="V253" s="8">
        <f t="shared" si="24"/>
        <v>0</v>
      </c>
      <c r="W253" s="8">
        <f t="shared" si="25"/>
        <v>0</v>
      </c>
    </row>
    <row r="254" spans="1:23" ht="21.95" customHeight="1" x14ac:dyDescent="0.2">
      <c r="A254" s="5" t="s">
        <v>17</v>
      </c>
      <c r="B254" s="5" t="s">
        <v>1581</v>
      </c>
      <c r="C254" s="6" t="s">
        <v>127</v>
      </c>
      <c r="D254" s="6" t="s">
        <v>82</v>
      </c>
      <c r="E254" s="6"/>
      <c r="G254" s="6">
        <v>52</v>
      </c>
      <c r="H254" s="6">
        <v>50</v>
      </c>
      <c r="I254" s="9">
        <v>180</v>
      </c>
      <c r="J254" s="9"/>
      <c r="K254" s="7">
        <v>44004467</v>
      </c>
      <c r="L254" s="5" t="str">
        <f t="shared" si="20"/>
        <v>BZ CADILLAC BOY AYNASI</v>
      </c>
      <c r="M254" s="8">
        <v>0.6</v>
      </c>
      <c r="N254" s="8">
        <v>0.55000000000000004</v>
      </c>
      <c r="O254" s="8">
        <v>36845</v>
      </c>
      <c r="P254" s="8">
        <f t="shared" si="21"/>
        <v>16580.25</v>
      </c>
      <c r="Q254" s="8">
        <f t="shared" si="22"/>
        <v>36845</v>
      </c>
      <c r="R254" s="31">
        <f t="shared" si="23"/>
        <v>36800</v>
      </c>
      <c r="T254" s="12"/>
      <c r="U254" s="12">
        <v>44214</v>
      </c>
      <c r="V254" s="8">
        <f t="shared" si="24"/>
        <v>0</v>
      </c>
      <c r="W254" s="8">
        <f t="shared" si="25"/>
        <v>0</v>
      </c>
    </row>
    <row r="255" spans="1:23" ht="21.95" customHeight="1" x14ac:dyDescent="0.2">
      <c r="A255" s="5" t="s">
        <v>17</v>
      </c>
      <c r="B255" s="5" t="s">
        <v>1581</v>
      </c>
      <c r="C255" s="6" t="s">
        <v>127</v>
      </c>
      <c r="D255" s="6" t="s">
        <v>119</v>
      </c>
      <c r="E255" s="6"/>
      <c r="G255" s="6">
        <v>112</v>
      </c>
      <c r="H255" s="6">
        <v>90</v>
      </c>
      <c r="I255" s="9">
        <v>86</v>
      </c>
      <c r="J255" s="9"/>
      <c r="K255" s="7">
        <v>44004468</v>
      </c>
      <c r="L255" s="5" t="str">
        <f t="shared" si="20"/>
        <v>BZ CADILLAC PUF</v>
      </c>
      <c r="M255" s="8">
        <v>0.6</v>
      </c>
      <c r="N255" s="8">
        <v>0.55000000000000004</v>
      </c>
      <c r="O255" s="8">
        <v>9287</v>
      </c>
      <c r="P255" s="8">
        <f t="shared" si="21"/>
        <v>4179.1499999999996</v>
      </c>
      <c r="Q255" s="8">
        <f t="shared" si="22"/>
        <v>9287</v>
      </c>
      <c r="R255" s="31">
        <f t="shared" si="23"/>
        <v>9200</v>
      </c>
      <c r="T255" s="12"/>
      <c r="U255" s="12">
        <v>11144</v>
      </c>
      <c r="V255" s="8">
        <f t="shared" si="24"/>
        <v>0</v>
      </c>
      <c r="W255" s="8">
        <f t="shared" si="25"/>
        <v>0</v>
      </c>
    </row>
    <row r="256" spans="1:23" ht="21.95" customHeight="1" x14ac:dyDescent="0.2">
      <c r="A256" s="5" t="s">
        <v>17</v>
      </c>
      <c r="B256" s="5" t="s">
        <v>1581</v>
      </c>
      <c r="C256" s="6" t="s">
        <v>129</v>
      </c>
      <c r="D256" s="6" t="s">
        <v>130</v>
      </c>
      <c r="E256" s="6"/>
      <c r="G256" s="6">
        <v>74</v>
      </c>
      <c r="H256" s="6">
        <v>62</v>
      </c>
      <c r="I256" s="9">
        <v>229</v>
      </c>
      <c r="J256" s="9"/>
      <c r="K256" s="7">
        <v>44004469</v>
      </c>
      <c r="L256" s="5" t="str">
        <f t="shared" si="20"/>
        <v>BZ OPSİYON LOTUS DOLAP ORTA BLOK 2 KAPAKLI</v>
      </c>
      <c r="M256" s="8">
        <v>0.6</v>
      </c>
      <c r="N256" s="8">
        <v>0.55000000000000004</v>
      </c>
      <c r="O256" s="8">
        <v>42571</v>
      </c>
      <c r="P256" s="8">
        <f t="shared" si="21"/>
        <v>19156.949999999997</v>
      </c>
      <c r="Q256" s="8">
        <f t="shared" si="22"/>
        <v>42571</v>
      </c>
      <c r="R256" s="31">
        <f t="shared" si="23"/>
        <v>42500</v>
      </c>
      <c r="T256" s="12"/>
      <c r="U256" s="12">
        <v>51085</v>
      </c>
      <c r="V256" s="8">
        <f t="shared" si="24"/>
        <v>0</v>
      </c>
      <c r="W256" s="8">
        <f t="shared" si="25"/>
        <v>0</v>
      </c>
    </row>
    <row r="257" spans="1:23" ht="21.95" customHeight="1" x14ac:dyDescent="0.2">
      <c r="A257" s="5" t="s">
        <v>17</v>
      </c>
      <c r="B257" s="5" t="s">
        <v>1581</v>
      </c>
      <c r="C257" s="6" t="s">
        <v>129</v>
      </c>
      <c r="D257" s="6" t="s">
        <v>131</v>
      </c>
      <c r="E257" s="6"/>
      <c r="H257" s="6"/>
      <c r="I257" s="9"/>
      <c r="J257" s="9"/>
      <c r="K257" s="7">
        <v>44004470</v>
      </c>
      <c r="L257" s="5" t="str">
        <f t="shared" si="20"/>
        <v>BZ OPSİYON LOTUS KARYOLA 180X200</v>
      </c>
      <c r="M257" s="8">
        <v>0.6</v>
      </c>
      <c r="N257" s="8">
        <v>0.55000000000000004</v>
      </c>
      <c r="O257" s="8">
        <v>99556</v>
      </c>
      <c r="P257" s="8">
        <f t="shared" si="21"/>
        <v>44800.2</v>
      </c>
      <c r="Q257" s="8">
        <f t="shared" si="22"/>
        <v>99556</v>
      </c>
      <c r="R257" s="31">
        <f t="shared" si="23"/>
        <v>99500</v>
      </c>
      <c r="T257" s="12"/>
      <c r="U257" s="12">
        <v>119515</v>
      </c>
      <c r="V257" s="8">
        <f t="shared" si="24"/>
        <v>0</v>
      </c>
      <c r="W257" s="8">
        <f t="shared" si="25"/>
        <v>0</v>
      </c>
    </row>
    <row r="258" spans="1:23" ht="21.95" customHeight="1" x14ac:dyDescent="0.2">
      <c r="A258" s="5" t="s">
        <v>17</v>
      </c>
      <c r="B258" s="5" t="s">
        <v>1581</v>
      </c>
      <c r="C258" s="6" t="s">
        <v>129</v>
      </c>
      <c r="D258" s="6" t="s">
        <v>132</v>
      </c>
      <c r="E258" s="6"/>
      <c r="G258" s="6"/>
      <c r="H258" s="6"/>
      <c r="I258" s="9"/>
      <c r="J258" s="9"/>
      <c r="K258" s="7">
        <v>44004471</v>
      </c>
      <c r="L258" s="5" t="str">
        <f t="shared" ref="L258:L324" si="26">B258&amp;" "&amp;C258&amp;" "&amp;D258</f>
        <v>BZ OPSİYON LOTUS KARYOLA 200X200</v>
      </c>
      <c r="M258" s="8">
        <v>0.6</v>
      </c>
      <c r="N258" s="8">
        <v>0.55000000000000004</v>
      </c>
      <c r="O258" s="8">
        <v>109556</v>
      </c>
      <c r="P258" s="8">
        <f t="shared" ref="P258:P324" si="27">O258*(1-N258)</f>
        <v>49300.2</v>
      </c>
      <c r="Q258" s="8">
        <f t="shared" ref="Q258:Q277" si="28">O258</f>
        <v>109556</v>
      </c>
      <c r="R258" s="31">
        <f t="shared" ref="R258:R324" si="29">ROUNDDOWN(Q258,-2)</f>
        <v>109500</v>
      </c>
      <c r="T258" s="12"/>
      <c r="U258" s="12">
        <v>131467</v>
      </c>
      <c r="V258" s="8">
        <f t="shared" si="24"/>
        <v>0</v>
      </c>
      <c r="W258" s="8">
        <f t="shared" si="25"/>
        <v>0</v>
      </c>
    </row>
    <row r="259" spans="1:23" ht="21.95" customHeight="1" x14ac:dyDescent="0.2">
      <c r="A259" s="5" t="s">
        <v>17</v>
      </c>
      <c r="B259" s="5" t="s">
        <v>1581</v>
      </c>
      <c r="C259" s="6" t="s">
        <v>129</v>
      </c>
      <c r="D259" s="6" t="s">
        <v>133</v>
      </c>
      <c r="E259" s="6"/>
      <c r="G259" s="6"/>
      <c r="H259" s="6"/>
      <c r="I259" s="9"/>
      <c r="J259" s="9"/>
      <c r="K259" s="7">
        <v>44004472</v>
      </c>
      <c r="L259" s="5" t="str">
        <f t="shared" si="26"/>
        <v>BZ OPSİYON LOTUS BAZALI KARYOLA 180X200</v>
      </c>
      <c r="M259" s="8">
        <v>0.6</v>
      </c>
      <c r="N259" s="8">
        <v>0.55000000000000004</v>
      </c>
      <c r="O259" s="8">
        <v>104074</v>
      </c>
      <c r="P259" s="8">
        <f t="shared" si="27"/>
        <v>46833.299999999996</v>
      </c>
      <c r="Q259" s="8">
        <f t="shared" si="28"/>
        <v>104074</v>
      </c>
      <c r="R259" s="31">
        <f t="shared" si="29"/>
        <v>104000</v>
      </c>
      <c r="T259" s="12"/>
      <c r="U259" s="12">
        <v>124889</v>
      </c>
      <c r="V259" s="8">
        <f t="shared" si="24"/>
        <v>0</v>
      </c>
      <c r="W259" s="8">
        <f t="shared" si="25"/>
        <v>0</v>
      </c>
    </row>
    <row r="260" spans="1:23" ht="21.95" customHeight="1" x14ac:dyDescent="0.2">
      <c r="A260" s="5" t="s">
        <v>17</v>
      </c>
      <c r="B260" s="5" t="s">
        <v>1581</v>
      </c>
      <c r="C260" s="6" t="s">
        <v>129</v>
      </c>
      <c r="D260" s="6" t="s">
        <v>134</v>
      </c>
      <c r="E260" s="6"/>
      <c r="G260" s="6"/>
      <c r="H260" s="6"/>
      <c r="I260" s="9"/>
      <c r="J260" s="9"/>
      <c r="K260" s="7">
        <v>44004473</v>
      </c>
      <c r="L260" s="5" t="str">
        <f t="shared" si="26"/>
        <v>BZ OPSİYON LOTUS BAZALI KARYOLA 200X200</v>
      </c>
      <c r="M260" s="8">
        <v>0.6</v>
      </c>
      <c r="N260" s="8">
        <v>0.55000000000000004</v>
      </c>
      <c r="O260" s="8">
        <v>114482</v>
      </c>
      <c r="P260" s="8">
        <f t="shared" si="27"/>
        <v>51516.899999999994</v>
      </c>
      <c r="Q260" s="8">
        <f t="shared" si="28"/>
        <v>114482</v>
      </c>
      <c r="R260" s="31">
        <f t="shared" si="29"/>
        <v>114400</v>
      </c>
      <c r="T260" s="12"/>
      <c r="U260" s="12">
        <v>137378</v>
      </c>
      <c r="V260" s="8">
        <f t="shared" si="24"/>
        <v>0</v>
      </c>
      <c r="W260" s="8">
        <f t="shared" si="25"/>
        <v>0</v>
      </c>
    </row>
    <row r="261" spans="1:23" ht="21.95" customHeight="1" x14ac:dyDescent="0.2">
      <c r="A261" s="5" t="s">
        <v>17</v>
      </c>
      <c r="B261" s="5" t="s">
        <v>1581</v>
      </c>
      <c r="C261" s="6" t="s">
        <v>129</v>
      </c>
      <c r="D261" s="6" t="s">
        <v>135</v>
      </c>
      <c r="E261" s="6"/>
      <c r="G261" s="6">
        <v>182</v>
      </c>
      <c r="H261" s="6">
        <v>93</v>
      </c>
      <c r="I261" s="9">
        <v>99</v>
      </c>
      <c r="J261" s="9"/>
      <c r="K261" s="7">
        <v>44004474</v>
      </c>
      <c r="L261" s="5" t="str">
        <f t="shared" si="26"/>
        <v>BZ OPSİYON LOTUS KOLTUK 2 Lİ</v>
      </c>
      <c r="M261" s="8">
        <v>0.6</v>
      </c>
      <c r="N261" s="8">
        <v>0.55000000000000004</v>
      </c>
      <c r="O261" s="8">
        <v>76420</v>
      </c>
      <c r="P261" s="8">
        <f t="shared" si="27"/>
        <v>34389</v>
      </c>
      <c r="Q261" s="8">
        <f t="shared" si="28"/>
        <v>76420</v>
      </c>
      <c r="R261" s="31">
        <f t="shared" si="29"/>
        <v>76400</v>
      </c>
      <c r="T261" s="12"/>
      <c r="U261" s="12">
        <v>91704</v>
      </c>
      <c r="V261" s="8">
        <f t="shared" si="24"/>
        <v>0</v>
      </c>
      <c r="W261" s="8">
        <f t="shared" si="25"/>
        <v>0</v>
      </c>
    </row>
    <row r="262" spans="1:23" ht="21.95" customHeight="1" x14ac:dyDescent="0.2">
      <c r="A262" s="5" t="s">
        <v>17</v>
      </c>
      <c r="B262" s="5" t="s">
        <v>1581</v>
      </c>
      <c r="C262" s="6" t="s">
        <v>129</v>
      </c>
      <c r="D262" s="6" t="s">
        <v>136</v>
      </c>
      <c r="E262" s="6"/>
      <c r="G262" s="6">
        <v>293</v>
      </c>
      <c r="H262" s="5">
        <v>93</v>
      </c>
      <c r="I262" s="7">
        <v>99</v>
      </c>
      <c r="K262" s="7">
        <v>44004475</v>
      </c>
      <c r="L262" s="5" t="str">
        <f t="shared" si="26"/>
        <v>BZ OPSİYON LOTUS KOLTUK 4 LÜ</v>
      </c>
      <c r="M262" s="8">
        <v>0.6</v>
      </c>
      <c r="N262" s="8">
        <v>0.55000000000000004</v>
      </c>
      <c r="O262" s="8">
        <v>97647</v>
      </c>
      <c r="P262" s="8">
        <f t="shared" si="27"/>
        <v>43941.149999999994</v>
      </c>
      <c r="Q262" s="8">
        <f t="shared" si="28"/>
        <v>97647</v>
      </c>
      <c r="R262" s="31">
        <f t="shared" si="29"/>
        <v>97600</v>
      </c>
      <c r="T262" s="12"/>
      <c r="U262" s="12">
        <v>117176</v>
      </c>
      <c r="V262" s="8">
        <f t="shared" si="24"/>
        <v>0</v>
      </c>
      <c r="W262" s="8">
        <f t="shared" si="25"/>
        <v>0</v>
      </c>
    </row>
    <row r="263" spans="1:23" ht="21.95" customHeight="1" x14ac:dyDescent="0.2">
      <c r="A263" s="5" t="s">
        <v>17</v>
      </c>
      <c r="B263" s="5" t="s">
        <v>1581</v>
      </c>
      <c r="C263" s="6" t="s">
        <v>129</v>
      </c>
      <c r="D263" s="6" t="s">
        <v>137</v>
      </c>
      <c r="E263" s="6"/>
      <c r="G263" s="6">
        <v>171</v>
      </c>
      <c r="H263" s="5">
        <v>50</v>
      </c>
      <c r="I263" s="7">
        <v>56</v>
      </c>
      <c r="K263" s="7">
        <v>44004476</v>
      </c>
      <c r="L263" s="5" t="str">
        <f t="shared" si="26"/>
        <v>BZ OPSİYON LOTUS TV ÜNİTESİ ALT BLOK 2 ÇEKMECELİ</v>
      </c>
      <c r="M263" s="8">
        <v>0.6</v>
      </c>
      <c r="N263" s="8">
        <v>0.55000000000000004</v>
      </c>
      <c r="O263" s="8">
        <v>53643</v>
      </c>
      <c r="P263" s="8">
        <f t="shared" si="27"/>
        <v>24139.35</v>
      </c>
      <c r="Q263" s="8">
        <f t="shared" si="28"/>
        <v>53643</v>
      </c>
      <c r="R263" s="31">
        <f t="shared" si="29"/>
        <v>53600</v>
      </c>
      <c r="T263" s="12"/>
      <c r="U263" s="12">
        <v>64372</v>
      </c>
      <c r="V263" s="8">
        <f t="shared" si="24"/>
        <v>0</v>
      </c>
      <c r="W263" s="8">
        <f t="shared" si="25"/>
        <v>0</v>
      </c>
    </row>
    <row r="264" spans="1:23" ht="21.95" customHeight="1" x14ac:dyDescent="0.2">
      <c r="A264" s="5" t="s">
        <v>17</v>
      </c>
      <c r="B264" s="5" t="s">
        <v>1581</v>
      </c>
      <c r="C264" s="6" t="s">
        <v>129</v>
      </c>
      <c r="D264" s="6" t="s">
        <v>138</v>
      </c>
      <c r="E264" s="6"/>
      <c r="G264" s="6"/>
      <c r="K264" s="7">
        <v>44004477</v>
      </c>
      <c r="L264" s="5" t="str">
        <f t="shared" si="26"/>
        <v>BZ OPSİYON TETRA KARYOLA 180X200</v>
      </c>
      <c r="M264" s="8">
        <v>0.6</v>
      </c>
      <c r="N264" s="8">
        <v>0.55000000000000004</v>
      </c>
      <c r="O264" s="8">
        <v>45770</v>
      </c>
      <c r="P264" s="8">
        <f t="shared" si="27"/>
        <v>20596.499999999996</v>
      </c>
      <c r="Q264" s="8">
        <f t="shared" si="28"/>
        <v>45770</v>
      </c>
      <c r="R264" s="31">
        <f t="shared" si="29"/>
        <v>45700</v>
      </c>
      <c r="T264" s="12"/>
      <c r="U264" s="12">
        <v>54924</v>
      </c>
      <c r="V264" s="8">
        <f t="shared" si="24"/>
        <v>0</v>
      </c>
      <c r="W264" s="8">
        <f t="shared" si="25"/>
        <v>0</v>
      </c>
    </row>
    <row r="265" spans="1:23" ht="21.95" customHeight="1" x14ac:dyDescent="0.2">
      <c r="A265" s="5" t="s">
        <v>17</v>
      </c>
      <c r="B265" s="5" t="s">
        <v>1581</v>
      </c>
      <c r="C265" s="6" t="s">
        <v>129</v>
      </c>
      <c r="D265" s="6" t="s">
        <v>139</v>
      </c>
      <c r="E265" s="6"/>
      <c r="K265" s="7">
        <v>44004478</v>
      </c>
      <c r="L265" s="5" t="str">
        <f t="shared" si="26"/>
        <v>BZ OPSİYON TETRA KARYOLA 200X200</v>
      </c>
      <c r="M265" s="8">
        <v>0.6</v>
      </c>
      <c r="N265" s="8">
        <v>0.55000000000000004</v>
      </c>
      <c r="O265" s="8">
        <v>50347</v>
      </c>
      <c r="P265" s="8">
        <f t="shared" si="27"/>
        <v>22656.149999999998</v>
      </c>
      <c r="Q265" s="8">
        <f t="shared" si="28"/>
        <v>50347</v>
      </c>
      <c r="R265" s="31">
        <f t="shared" si="29"/>
        <v>50300</v>
      </c>
      <c r="T265" s="12"/>
      <c r="U265" s="12">
        <v>60416</v>
      </c>
      <c r="V265" s="8">
        <f t="shared" si="24"/>
        <v>0</v>
      </c>
      <c r="W265" s="8">
        <f t="shared" si="25"/>
        <v>0</v>
      </c>
    </row>
    <row r="266" spans="1:23" ht="21.95" customHeight="1" x14ac:dyDescent="0.2">
      <c r="A266" s="5" t="s">
        <v>17</v>
      </c>
      <c r="B266" s="5" t="s">
        <v>1581</v>
      </c>
      <c r="C266" s="6" t="s">
        <v>129</v>
      </c>
      <c r="D266" s="6" t="s">
        <v>140</v>
      </c>
      <c r="E266" s="6"/>
      <c r="K266" s="7">
        <v>44004479</v>
      </c>
      <c r="L266" s="5" t="str">
        <f t="shared" si="26"/>
        <v>BZ OPSİYON TETRA BAZALI KARYOLA 180X200</v>
      </c>
      <c r="M266" s="8">
        <v>0.6</v>
      </c>
      <c r="N266" s="8">
        <v>0.55000000000000004</v>
      </c>
      <c r="O266" s="8">
        <v>54084</v>
      </c>
      <c r="P266" s="8">
        <f t="shared" si="27"/>
        <v>24337.8</v>
      </c>
      <c r="Q266" s="8">
        <f t="shared" si="28"/>
        <v>54084</v>
      </c>
      <c r="R266" s="31">
        <f t="shared" si="29"/>
        <v>54000</v>
      </c>
      <c r="T266" s="12"/>
      <c r="U266" s="12">
        <v>64901</v>
      </c>
      <c r="V266" s="8">
        <f t="shared" si="24"/>
        <v>0</v>
      </c>
      <c r="W266" s="8">
        <f t="shared" si="25"/>
        <v>0</v>
      </c>
    </row>
    <row r="267" spans="1:23" ht="21.95" customHeight="1" x14ac:dyDescent="0.2">
      <c r="A267" s="5" t="s">
        <v>17</v>
      </c>
      <c r="B267" s="5" t="s">
        <v>1581</v>
      </c>
      <c r="C267" s="6" t="s">
        <v>129</v>
      </c>
      <c r="D267" s="6" t="s">
        <v>141</v>
      </c>
      <c r="E267" s="6"/>
      <c r="K267" s="7">
        <v>44004480</v>
      </c>
      <c r="L267" s="5" t="str">
        <f t="shared" si="26"/>
        <v>BZ OPSİYON TETRA BAZALI KARYOLA 200X200</v>
      </c>
      <c r="M267" s="8">
        <v>0.6</v>
      </c>
      <c r="N267" s="8">
        <v>0.55000000000000004</v>
      </c>
      <c r="O267" s="8">
        <v>59492</v>
      </c>
      <c r="P267" s="8">
        <f t="shared" si="27"/>
        <v>26771.399999999998</v>
      </c>
      <c r="Q267" s="8">
        <f t="shared" si="28"/>
        <v>59492</v>
      </c>
      <c r="R267" s="31">
        <f t="shared" si="29"/>
        <v>59400</v>
      </c>
      <c r="T267" s="12"/>
      <c r="U267" s="12">
        <v>71390</v>
      </c>
      <c r="V267" s="8">
        <f t="shared" si="24"/>
        <v>0</v>
      </c>
      <c r="W267" s="8">
        <f t="shared" si="25"/>
        <v>0</v>
      </c>
    </row>
    <row r="268" spans="1:23" ht="21.95" customHeight="1" x14ac:dyDescent="0.2">
      <c r="A268" s="5" t="s">
        <v>17</v>
      </c>
      <c r="B268" s="5" t="s">
        <v>1581</v>
      </c>
      <c r="C268" s="6" t="s">
        <v>129</v>
      </c>
      <c r="D268" s="6" t="s">
        <v>142</v>
      </c>
      <c r="E268" s="6"/>
      <c r="F268" s="6"/>
      <c r="G268" s="5">
        <v>183</v>
      </c>
      <c r="H268" s="6">
        <v>88</v>
      </c>
      <c r="I268" s="9">
        <v>87</v>
      </c>
      <c r="J268" s="9"/>
      <c r="K268" s="7">
        <v>44004481</v>
      </c>
      <c r="L268" s="5" t="str">
        <f t="shared" si="26"/>
        <v>BZ OPSİYON TETRA KOLTUK 2 Lİ</v>
      </c>
      <c r="M268" s="8">
        <v>0.6</v>
      </c>
      <c r="N268" s="8">
        <v>0.55000000000000004</v>
      </c>
      <c r="O268" s="8">
        <v>64970</v>
      </c>
      <c r="P268" s="8">
        <f t="shared" si="27"/>
        <v>29236.499999999996</v>
      </c>
      <c r="Q268" s="8">
        <f t="shared" si="28"/>
        <v>64970</v>
      </c>
      <c r="R268" s="31">
        <f t="shared" si="29"/>
        <v>64900</v>
      </c>
      <c r="T268" s="12"/>
      <c r="U268" s="12">
        <v>77964</v>
      </c>
      <c r="V268" s="8">
        <f t="shared" si="24"/>
        <v>0</v>
      </c>
      <c r="W268" s="8">
        <f t="shared" si="25"/>
        <v>0</v>
      </c>
    </row>
    <row r="269" spans="1:23" ht="21.95" customHeight="1" x14ac:dyDescent="0.2">
      <c r="A269" s="5" t="s">
        <v>17</v>
      </c>
      <c r="B269" s="5" t="s">
        <v>1581</v>
      </c>
      <c r="C269" s="6" t="s">
        <v>129</v>
      </c>
      <c r="D269" s="6" t="s">
        <v>143</v>
      </c>
      <c r="E269" s="6"/>
      <c r="G269" s="5">
        <v>283</v>
      </c>
      <c r="H269" s="5">
        <v>88</v>
      </c>
      <c r="I269" s="7">
        <v>87</v>
      </c>
      <c r="K269" s="7">
        <v>44004482</v>
      </c>
      <c r="L269" s="5" t="str">
        <f t="shared" si="26"/>
        <v>BZ OPSİYON TETRA KOLTUK KOLTUK 4 LÜ</v>
      </c>
      <c r="M269" s="8">
        <v>0.6</v>
      </c>
      <c r="N269" s="8">
        <v>0.55000000000000004</v>
      </c>
      <c r="O269" s="8">
        <v>83017</v>
      </c>
      <c r="P269" s="8">
        <f t="shared" si="27"/>
        <v>37357.649999999994</v>
      </c>
      <c r="Q269" s="8">
        <f t="shared" si="28"/>
        <v>83017</v>
      </c>
      <c r="R269" s="31">
        <f t="shared" si="29"/>
        <v>83000</v>
      </c>
      <c r="T269" s="12"/>
      <c r="U269" s="12">
        <v>99620</v>
      </c>
      <c r="V269" s="8">
        <f t="shared" si="24"/>
        <v>0</v>
      </c>
      <c r="W269" s="8">
        <f t="shared" si="25"/>
        <v>0</v>
      </c>
    </row>
    <row r="270" spans="1:23" ht="21.95" customHeight="1" x14ac:dyDescent="0.2">
      <c r="A270" s="5" t="s">
        <v>17</v>
      </c>
      <c r="B270" s="5" t="s">
        <v>1581</v>
      </c>
      <c r="C270" s="6" t="s">
        <v>129</v>
      </c>
      <c r="D270" s="6" t="s">
        <v>144</v>
      </c>
      <c r="E270" s="6"/>
      <c r="K270" s="7">
        <v>44004483</v>
      </c>
      <c r="L270" s="5" t="str">
        <f t="shared" si="26"/>
        <v>BZ OPSİYON ASTON KARYOLA 180X200</v>
      </c>
      <c r="M270" s="8">
        <v>0.6</v>
      </c>
      <c r="N270" s="8">
        <v>0.55000000000000004</v>
      </c>
      <c r="O270" s="8">
        <v>64085</v>
      </c>
      <c r="P270" s="8">
        <f t="shared" si="27"/>
        <v>28838.249999999996</v>
      </c>
      <c r="Q270" s="8">
        <f t="shared" si="28"/>
        <v>64085</v>
      </c>
      <c r="R270" s="31">
        <f t="shared" si="29"/>
        <v>64000</v>
      </c>
      <c r="T270" s="12"/>
      <c r="U270" s="12">
        <v>76902</v>
      </c>
      <c r="V270" s="8">
        <f t="shared" si="24"/>
        <v>0</v>
      </c>
      <c r="W270" s="8">
        <f t="shared" si="25"/>
        <v>0</v>
      </c>
    </row>
    <row r="271" spans="1:23" ht="21.95" customHeight="1" x14ac:dyDescent="0.2">
      <c r="A271" s="5" t="s">
        <v>17</v>
      </c>
      <c r="B271" s="5" t="s">
        <v>1581</v>
      </c>
      <c r="C271" s="6" t="s">
        <v>129</v>
      </c>
      <c r="D271" s="6" t="s">
        <v>1810</v>
      </c>
      <c r="E271" s="6"/>
      <c r="G271" s="6"/>
      <c r="K271" s="7">
        <v>44004484</v>
      </c>
      <c r="L271" s="5" t="str">
        <f t="shared" si="26"/>
        <v>BZ OPSİYON ASTON KARYOLA 200X200</v>
      </c>
      <c r="M271" s="8">
        <v>0.6</v>
      </c>
      <c r="N271" s="8">
        <v>0.55000000000000004</v>
      </c>
      <c r="O271" s="8">
        <v>70493</v>
      </c>
      <c r="P271" s="8">
        <f t="shared" si="27"/>
        <v>31721.85</v>
      </c>
      <c r="Q271" s="8">
        <f t="shared" si="28"/>
        <v>70493</v>
      </c>
      <c r="R271" s="31">
        <f t="shared" si="29"/>
        <v>70400</v>
      </c>
      <c r="T271" s="12"/>
      <c r="U271" s="12">
        <v>84592</v>
      </c>
      <c r="V271" s="8">
        <f t="shared" si="24"/>
        <v>0</v>
      </c>
      <c r="W271" s="8">
        <f t="shared" si="25"/>
        <v>0</v>
      </c>
    </row>
    <row r="272" spans="1:23" ht="21.95" customHeight="1" x14ac:dyDescent="0.2">
      <c r="A272" s="5" t="s">
        <v>17</v>
      </c>
      <c r="B272" s="5" t="s">
        <v>1581</v>
      </c>
      <c r="C272" s="6" t="s">
        <v>129</v>
      </c>
      <c r="D272" s="6" t="s">
        <v>145</v>
      </c>
      <c r="E272" s="6"/>
      <c r="K272" s="7">
        <v>44004485</v>
      </c>
      <c r="L272" s="5" t="str">
        <f t="shared" si="26"/>
        <v>BZ OPSİYON ASTON BAZALI KARYOLA 180X200</v>
      </c>
      <c r="M272" s="8">
        <v>0.6</v>
      </c>
      <c r="N272" s="8">
        <v>0.55000000000000004</v>
      </c>
      <c r="O272" s="8">
        <v>80991</v>
      </c>
      <c r="P272" s="8">
        <f t="shared" si="27"/>
        <v>36445.949999999997</v>
      </c>
      <c r="Q272" s="8">
        <f t="shared" si="28"/>
        <v>80991</v>
      </c>
      <c r="R272" s="31">
        <f t="shared" si="29"/>
        <v>80900</v>
      </c>
      <c r="T272" s="12"/>
      <c r="U272" s="12">
        <v>97189</v>
      </c>
      <c r="V272" s="8">
        <f t="shared" si="24"/>
        <v>0</v>
      </c>
      <c r="W272" s="8">
        <f t="shared" si="25"/>
        <v>0</v>
      </c>
    </row>
    <row r="273" spans="1:24" ht="21.95" customHeight="1" x14ac:dyDescent="0.2">
      <c r="A273" s="5" t="s">
        <v>17</v>
      </c>
      <c r="B273" s="5" t="s">
        <v>1581</v>
      </c>
      <c r="C273" s="6" t="s">
        <v>129</v>
      </c>
      <c r="D273" s="6" t="s">
        <v>146</v>
      </c>
      <c r="E273" s="6"/>
      <c r="K273" s="7">
        <v>44004486</v>
      </c>
      <c r="L273" s="5" t="str">
        <f t="shared" si="26"/>
        <v>BZ OPSİYON ASTON BAZALI KARYOLA 200X200</v>
      </c>
      <c r="M273" s="8">
        <v>0.6</v>
      </c>
      <c r="N273" s="8">
        <v>0.55000000000000004</v>
      </c>
      <c r="O273" s="8">
        <v>89090</v>
      </c>
      <c r="P273" s="8">
        <f t="shared" si="27"/>
        <v>40090.499999999993</v>
      </c>
      <c r="Q273" s="8">
        <f t="shared" si="28"/>
        <v>89090</v>
      </c>
      <c r="R273" s="31">
        <f t="shared" si="29"/>
        <v>89000</v>
      </c>
      <c r="T273" s="12"/>
      <c r="U273" s="12">
        <v>106908</v>
      </c>
      <c r="V273" s="8">
        <f t="shared" si="24"/>
        <v>0</v>
      </c>
      <c r="W273" s="8">
        <f t="shared" si="25"/>
        <v>0</v>
      </c>
    </row>
    <row r="274" spans="1:24" ht="21.95" customHeight="1" x14ac:dyDescent="0.2">
      <c r="A274" s="5" t="s">
        <v>17</v>
      </c>
      <c r="B274" s="5" t="s">
        <v>1581</v>
      </c>
      <c r="C274" s="6" t="s">
        <v>129</v>
      </c>
      <c r="D274" s="6" t="s">
        <v>147</v>
      </c>
      <c r="E274" s="6"/>
      <c r="K274" s="7">
        <v>44004487</v>
      </c>
      <c r="L274" s="5" t="str">
        <f t="shared" si="26"/>
        <v>BZ OPSİYON MASERATİ KARYOLA 180X200</v>
      </c>
      <c r="M274" s="8">
        <v>0.6</v>
      </c>
      <c r="N274" s="8">
        <v>0.55000000000000004</v>
      </c>
      <c r="O274" s="8">
        <v>62590</v>
      </c>
      <c r="P274" s="8">
        <f t="shared" si="27"/>
        <v>28165.499999999996</v>
      </c>
      <c r="Q274" s="8">
        <f t="shared" si="28"/>
        <v>62590</v>
      </c>
      <c r="R274" s="31">
        <f t="shared" si="29"/>
        <v>62500</v>
      </c>
      <c r="T274" s="12"/>
      <c r="U274" s="12">
        <v>75108</v>
      </c>
      <c r="V274" s="8">
        <f t="shared" si="24"/>
        <v>0</v>
      </c>
      <c r="W274" s="8">
        <f t="shared" si="25"/>
        <v>0</v>
      </c>
    </row>
    <row r="275" spans="1:24" ht="21.95" customHeight="1" x14ac:dyDescent="0.2">
      <c r="A275" s="5" t="s">
        <v>17</v>
      </c>
      <c r="B275" s="5" t="s">
        <v>1581</v>
      </c>
      <c r="C275" s="6" t="s">
        <v>129</v>
      </c>
      <c r="D275" s="6" t="s">
        <v>148</v>
      </c>
      <c r="E275" s="6"/>
      <c r="K275" s="7">
        <v>44004488</v>
      </c>
      <c r="L275" s="5" t="str">
        <f t="shared" si="26"/>
        <v>BZ OPSİYON MASERATİ KARYOLA 200X200</v>
      </c>
      <c r="M275" s="8">
        <v>0.6</v>
      </c>
      <c r="N275" s="8">
        <v>0.55000000000000004</v>
      </c>
      <c r="O275" s="8">
        <v>68849</v>
      </c>
      <c r="P275" s="8">
        <f t="shared" si="27"/>
        <v>30982.049999999996</v>
      </c>
      <c r="Q275" s="8">
        <f t="shared" si="28"/>
        <v>68849</v>
      </c>
      <c r="R275" s="31">
        <f t="shared" si="29"/>
        <v>68800</v>
      </c>
      <c r="T275" s="12"/>
      <c r="U275" s="12">
        <v>82619</v>
      </c>
      <c r="V275" s="8">
        <f t="shared" si="24"/>
        <v>0</v>
      </c>
      <c r="W275" s="8">
        <f t="shared" si="25"/>
        <v>0</v>
      </c>
    </row>
    <row r="276" spans="1:24" ht="21.95" customHeight="1" x14ac:dyDescent="0.2">
      <c r="A276" s="5" t="s">
        <v>17</v>
      </c>
      <c r="B276" s="5" t="s">
        <v>1581</v>
      </c>
      <c r="C276" s="6" t="s">
        <v>129</v>
      </c>
      <c r="D276" s="6" t="s">
        <v>149</v>
      </c>
      <c r="E276" s="6"/>
      <c r="K276" s="7">
        <v>44004489</v>
      </c>
      <c r="L276" s="5" t="str">
        <f t="shared" si="26"/>
        <v>BZ OPSİYON MASERATİ BAZALI KARYOLA 180X200</v>
      </c>
      <c r="M276" s="8">
        <v>0.6</v>
      </c>
      <c r="N276" s="8">
        <v>0.55000000000000004</v>
      </c>
      <c r="O276" s="8">
        <v>78644</v>
      </c>
      <c r="P276" s="8">
        <f t="shared" si="27"/>
        <v>35389.799999999996</v>
      </c>
      <c r="Q276" s="8">
        <f t="shared" si="28"/>
        <v>78644</v>
      </c>
      <c r="R276" s="31">
        <f t="shared" si="29"/>
        <v>78600</v>
      </c>
      <c r="T276" s="12"/>
      <c r="U276" s="12">
        <v>94373</v>
      </c>
      <c r="V276" s="8">
        <f t="shared" si="24"/>
        <v>0</v>
      </c>
      <c r="W276" s="8">
        <f t="shared" si="25"/>
        <v>0</v>
      </c>
    </row>
    <row r="277" spans="1:24" ht="21.95" customHeight="1" x14ac:dyDescent="0.2">
      <c r="A277" s="5" t="s">
        <v>17</v>
      </c>
      <c r="B277" s="5" t="s">
        <v>1581</v>
      </c>
      <c r="C277" s="6" t="s">
        <v>129</v>
      </c>
      <c r="D277" s="6" t="s">
        <v>150</v>
      </c>
      <c r="E277" s="6"/>
      <c r="K277" s="7">
        <v>44004490</v>
      </c>
      <c r="L277" s="5" t="str">
        <f t="shared" si="26"/>
        <v>BZ OPSİYON MASERATİ BAZALI KARYOLA 200X200</v>
      </c>
      <c r="M277" s="8">
        <v>0.6</v>
      </c>
      <c r="N277" s="8">
        <v>0.55000000000000004</v>
      </c>
      <c r="O277" s="8">
        <v>86508</v>
      </c>
      <c r="P277" s="8">
        <f t="shared" si="27"/>
        <v>38928.6</v>
      </c>
      <c r="Q277" s="8">
        <f t="shared" si="28"/>
        <v>86508</v>
      </c>
      <c r="R277" s="31">
        <f t="shared" si="29"/>
        <v>86500</v>
      </c>
      <c r="T277" s="12"/>
      <c r="U277" s="12">
        <v>103810</v>
      </c>
      <c r="V277" s="8">
        <f t="shared" si="24"/>
        <v>0</v>
      </c>
      <c r="W277" s="8">
        <f t="shared" si="25"/>
        <v>0</v>
      </c>
    </row>
    <row r="278" spans="1:24" ht="21.95" customHeight="1" x14ac:dyDescent="0.2">
      <c r="A278" s="5" t="s">
        <v>17</v>
      </c>
      <c r="B278" s="5" t="s">
        <v>1588</v>
      </c>
      <c r="C278" s="5" t="s">
        <v>151</v>
      </c>
      <c r="D278" s="5" t="s">
        <v>25</v>
      </c>
      <c r="G278" s="5">
        <v>56</v>
      </c>
      <c r="H278" s="5">
        <v>90</v>
      </c>
      <c r="I278" s="7">
        <v>58</v>
      </c>
      <c r="K278" s="7">
        <v>44004491</v>
      </c>
      <c r="L278" s="5" t="str">
        <f t="shared" si="26"/>
        <v>HL GUES SANDALYE</v>
      </c>
      <c r="M278" s="8">
        <v>0.4</v>
      </c>
      <c r="N278" s="8">
        <v>0.4</v>
      </c>
      <c r="O278" s="8">
        <v>5133</v>
      </c>
      <c r="P278" s="8">
        <f t="shared" si="27"/>
        <v>3079.7999999999997</v>
      </c>
      <c r="Q278" s="12">
        <f t="shared" ref="Q278:Q344" si="30">O278*(1-N278)*2.1</f>
        <v>6467.58</v>
      </c>
      <c r="R278" s="31">
        <f t="shared" si="29"/>
        <v>6400</v>
      </c>
      <c r="U278" s="8">
        <v>6160</v>
      </c>
      <c r="V278" s="8">
        <f t="shared" si="24"/>
        <v>0</v>
      </c>
      <c r="W278" s="8">
        <f t="shared" ref="W278:W344" si="31">P278*2.5</f>
        <v>7699.4999999999991</v>
      </c>
      <c r="X278" s="8">
        <f t="shared" ref="X278:X344" si="32">ROUNDDOWN(W278,-2)</f>
        <v>7600</v>
      </c>
    </row>
    <row r="279" spans="1:24" ht="21.95" customHeight="1" x14ac:dyDescent="0.2">
      <c r="A279" s="5" t="s">
        <v>17</v>
      </c>
      <c r="B279" s="5" t="s">
        <v>1588</v>
      </c>
      <c r="C279" s="5" t="s">
        <v>151</v>
      </c>
      <c r="D279" s="5" t="s">
        <v>49</v>
      </c>
      <c r="G279" s="5">
        <v>226</v>
      </c>
      <c r="H279" s="5">
        <v>80</v>
      </c>
      <c r="I279" s="7">
        <v>48</v>
      </c>
      <c r="K279" s="7">
        <v>44004492</v>
      </c>
      <c r="L279" s="5" t="str">
        <f t="shared" si="26"/>
        <v>HL GUES KONSOL</v>
      </c>
      <c r="M279" s="8">
        <v>0.4</v>
      </c>
      <c r="N279" s="8">
        <v>0.4</v>
      </c>
      <c r="O279" s="8">
        <v>53777</v>
      </c>
      <c r="P279" s="8">
        <f t="shared" si="27"/>
        <v>32266.199999999997</v>
      </c>
      <c r="Q279" s="12">
        <f t="shared" si="30"/>
        <v>67759.01999999999</v>
      </c>
      <c r="R279" s="31">
        <f t="shared" si="29"/>
        <v>67700</v>
      </c>
      <c r="U279" s="8">
        <v>64532</v>
      </c>
      <c r="V279" s="8">
        <f t="shared" si="24"/>
        <v>0</v>
      </c>
      <c r="W279" s="8">
        <f t="shared" si="31"/>
        <v>80665.5</v>
      </c>
      <c r="X279" s="8">
        <f t="shared" si="32"/>
        <v>80600</v>
      </c>
    </row>
    <row r="280" spans="1:24" ht="21.95" customHeight="1" x14ac:dyDescent="0.2">
      <c r="A280" s="5" t="s">
        <v>17</v>
      </c>
      <c r="B280" s="5" t="s">
        <v>1588</v>
      </c>
      <c r="C280" s="5" t="s">
        <v>151</v>
      </c>
      <c r="D280" s="5" t="s">
        <v>152</v>
      </c>
      <c r="K280" s="7">
        <v>44004493</v>
      </c>
      <c r="L280" s="5" t="str">
        <f t="shared" si="26"/>
        <v>HL GUES AYNA</v>
      </c>
      <c r="M280" s="8">
        <v>0.4</v>
      </c>
      <c r="N280" s="8">
        <v>0.4</v>
      </c>
      <c r="O280" s="8">
        <v>5830</v>
      </c>
      <c r="P280" s="8">
        <f t="shared" si="27"/>
        <v>3498</v>
      </c>
      <c r="Q280" s="12">
        <f t="shared" si="30"/>
        <v>7345.8</v>
      </c>
      <c r="R280" s="31">
        <f t="shared" si="29"/>
        <v>7300</v>
      </c>
      <c r="U280" s="8">
        <v>6996</v>
      </c>
      <c r="V280" s="8">
        <f t="shared" si="24"/>
        <v>0</v>
      </c>
      <c r="W280" s="8">
        <f t="shared" si="31"/>
        <v>8745</v>
      </c>
      <c r="X280" s="8">
        <f t="shared" si="32"/>
        <v>8700</v>
      </c>
    </row>
    <row r="281" spans="1:24" ht="21.95" customHeight="1" x14ac:dyDescent="0.2">
      <c r="A281" s="5" t="s">
        <v>17</v>
      </c>
      <c r="B281" s="5" t="s">
        <v>1588</v>
      </c>
      <c r="C281" s="5" t="s">
        <v>151</v>
      </c>
      <c r="D281" s="5" t="s">
        <v>153</v>
      </c>
      <c r="G281" s="5">
        <v>208</v>
      </c>
      <c r="H281" s="5">
        <v>78</v>
      </c>
      <c r="I281" s="7">
        <v>103</v>
      </c>
      <c r="K281" s="7">
        <v>44004494</v>
      </c>
      <c r="L281" s="5" t="str">
        <f t="shared" si="26"/>
        <v>HL GUES MASA SABİT</v>
      </c>
      <c r="M281" s="8">
        <v>0.4</v>
      </c>
      <c r="N281" s="8">
        <v>0.4</v>
      </c>
      <c r="O281" s="8">
        <v>41900</v>
      </c>
      <c r="P281" s="8">
        <f t="shared" si="27"/>
        <v>25140</v>
      </c>
      <c r="Q281" s="12">
        <f t="shared" si="30"/>
        <v>52794</v>
      </c>
      <c r="R281" s="31">
        <f t="shared" si="29"/>
        <v>52700</v>
      </c>
      <c r="U281" s="8">
        <v>50280</v>
      </c>
      <c r="V281" s="8">
        <f t="shared" si="24"/>
        <v>0</v>
      </c>
      <c r="W281" s="8">
        <f t="shared" si="31"/>
        <v>62850</v>
      </c>
      <c r="X281" s="8">
        <f t="shared" si="32"/>
        <v>62800</v>
      </c>
    </row>
    <row r="282" spans="1:24" ht="21.95" customHeight="1" x14ac:dyDescent="0.2">
      <c r="A282" s="5" t="s">
        <v>17</v>
      </c>
      <c r="B282" s="5" t="s">
        <v>1588</v>
      </c>
      <c r="C282" s="5" t="s">
        <v>151</v>
      </c>
      <c r="D282" s="5" t="s">
        <v>102</v>
      </c>
      <c r="G282" s="5">
        <v>226</v>
      </c>
      <c r="H282" s="5">
        <v>63</v>
      </c>
      <c r="I282" s="7">
        <v>48</v>
      </c>
      <c r="K282" s="7">
        <v>44004495</v>
      </c>
      <c r="L282" s="5" t="str">
        <f t="shared" si="26"/>
        <v>HL GUES TV ÜNİTESİ ALT BLOK</v>
      </c>
      <c r="M282" s="8">
        <v>0.4</v>
      </c>
      <c r="N282" s="8">
        <v>0.4</v>
      </c>
      <c r="O282" s="8">
        <v>49626</v>
      </c>
      <c r="P282" s="8">
        <f t="shared" si="27"/>
        <v>29775.599999999999</v>
      </c>
      <c r="Q282" s="12">
        <f t="shared" si="30"/>
        <v>62528.76</v>
      </c>
      <c r="R282" s="31">
        <f t="shared" si="29"/>
        <v>62500</v>
      </c>
      <c r="U282" s="8">
        <v>59551</v>
      </c>
      <c r="V282" s="8">
        <f t="shared" si="24"/>
        <v>0</v>
      </c>
      <c r="W282" s="8">
        <f t="shared" si="31"/>
        <v>74439</v>
      </c>
      <c r="X282" s="8">
        <f t="shared" si="32"/>
        <v>74400</v>
      </c>
    </row>
    <row r="283" spans="1:24" ht="21.95" customHeight="1" x14ac:dyDescent="0.2">
      <c r="A283" s="5" t="s">
        <v>17</v>
      </c>
      <c r="B283" s="5" t="s">
        <v>1588</v>
      </c>
      <c r="C283" s="5" t="s">
        <v>151</v>
      </c>
      <c r="D283" s="5" t="s">
        <v>46</v>
      </c>
      <c r="G283" s="5">
        <v>66</v>
      </c>
      <c r="H283" s="5">
        <v>110</v>
      </c>
      <c r="I283" s="7">
        <v>29</v>
      </c>
      <c r="K283" s="7">
        <v>44004496</v>
      </c>
      <c r="L283" s="5" t="str">
        <f t="shared" si="26"/>
        <v>HL GUES TV ÜNİTESİ ÜST BLOK</v>
      </c>
      <c r="M283" s="8">
        <v>0.4</v>
      </c>
      <c r="N283" s="8">
        <v>0.4</v>
      </c>
      <c r="O283" s="8">
        <v>12390</v>
      </c>
      <c r="P283" s="8">
        <f t="shared" si="27"/>
        <v>7434</v>
      </c>
      <c r="Q283" s="12">
        <f t="shared" si="30"/>
        <v>15611.400000000001</v>
      </c>
      <c r="R283" s="31">
        <f t="shared" si="29"/>
        <v>15600</v>
      </c>
      <c r="U283" s="8">
        <v>14868</v>
      </c>
      <c r="V283" s="8">
        <f t="shared" si="24"/>
        <v>0</v>
      </c>
      <c r="W283" s="8">
        <f t="shared" si="31"/>
        <v>18585</v>
      </c>
      <c r="X283" s="8">
        <f t="shared" si="32"/>
        <v>18500</v>
      </c>
    </row>
    <row r="284" spans="1:24" ht="21.95" customHeight="1" x14ac:dyDescent="0.2">
      <c r="A284" s="5" t="s">
        <v>17</v>
      </c>
      <c r="B284" s="5" t="s">
        <v>1588</v>
      </c>
      <c r="C284" s="5" t="s">
        <v>151</v>
      </c>
      <c r="D284" s="5" t="s">
        <v>29</v>
      </c>
      <c r="G284" s="5">
        <v>136</v>
      </c>
      <c r="H284" s="5">
        <v>48</v>
      </c>
      <c r="I284" s="7">
        <v>76</v>
      </c>
      <c r="K284" s="7">
        <v>44004497</v>
      </c>
      <c r="L284" s="5" t="str">
        <f t="shared" si="26"/>
        <v>HL GUES ORTA SEHPA</v>
      </c>
      <c r="M284" s="8">
        <v>0.4</v>
      </c>
      <c r="N284" s="8">
        <v>0.4</v>
      </c>
      <c r="O284" s="8">
        <v>14900</v>
      </c>
      <c r="P284" s="8">
        <f t="shared" si="27"/>
        <v>8940</v>
      </c>
      <c r="Q284" s="12">
        <f t="shared" si="30"/>
        <v>18774</v>
      </c>
      <c r="R284" s="31">
        <f t="shared" si="29"/>
        <v>18700</v>
      </c>
      <c r="U284" s="8">
        <v>18775</v>
      </c>
      <c r="V284" s="8">
        <f t="shared" si="24"/>
        <v>0</v>
      </c>
      <c r="W284" s="8">
        <f t="shared" si="31"/>
        <v>22350</v>
      </c>
      <c r="X284" s="8">
        <f t="shared" si="32"/>
        <v>22300</v>
      </c>
    </row>
    <row r="285" spans="1:24" ht="21.95" customHeight="1" x14ac:dyDescent="0.2">
      <c r="A285" s="5" t="s">
        <v>17</v>
      </c>
      <c r="B285" s="5" t="s">
        <v>1588</v>
      </c>
      <c r="C285" s="5" t="s">
        <v>151</v>
      </c>
      <c r="D285" s="5" t="s">
        <v>30</v>
      </c>
      <c r="G285" s="5">
        <v>55</v>
      </c>
      <c r="H285" s="5">
        <v>55</v>
      </c>
      <c r="I285" s="7">
        <v>55</v>
      </c>
      <c r="K285" s="7">
        <v>44004498</v>
      </c>
      <c r="L285" s="5" t="str">
        <f t="shared" si="26"/>
        <v>HL GUES YAN SEHPA</v>
      </c>
      <c r="M285" s="8">
        <v>0.4</v>
      </c>
      <c r="N285" s="8">
        <v>0.4</v>
      </c>
      <c r="O285" s="8">
        <v>7800</v>
      </c>
      <c r="P285" s="8">
        <f t="shared" si="27"/>
        <v>4680</v>
      </c>
      <c r="Q285" s="12">
        <f t="shared" si="30"/>
        <v>9828</v>
      </c>
      <c r="R285" s="31">
        <f t="shared" si="29"/>
        <v>9800</v>
      </c>
      <c r="U285" s="8">
        <v>9830</v>
      </c>
      <c r="V285" s="8">
        <f t="shared" si="24"/>
        <v>0</v>
      </c>
      <c r="W285" s="8">
        <f t="shared" si="31"/>
        <v>11700</v>
      </c>
      <c r="X285" s="8">
        <f t="shared" si="32"/>
        <v>11700</v>
      </c>
    </row>
    <row r="286" spans="1:24" s="6" customFormat="1" ht="21.95" customHeight="1" x14ac:dyDescent="0.2">
      <c r="B286" s="6" t="s">
        <v>1588</v>
      </c>
      <c r="C286" s="6" t="s">
        <v>151</v>
      </c>
      <c r="D286" s="6" t="s">
        <v>1857</v>
      </c>
      <c r="I286" s="9"/>
      <c r="J286" s="9"/>
      <c r="K286" s="9">
        <v>44004499</v>
      </c>
      <c r="L286" s="6" t="str">
        <f t="shared" si="26"/>
        <v xml:space="preserve">HL GUES 3 LÜ KOLTUK </v>
      </c>
      <c r="M286" s="12">
        <v>0.4</v>
      </c>
      <c r="N286" s="12">
        <v>0.4</v>
      </c>
      <c r="O286" s="12">
        <v>38500</v>
      </c>
      <c r="P286" s="12">
        <f t="shared" si="27"/>
        <v>23100</v>
      </c>
      <c r="Q286" s="12">
        <f t="shared" si="30"/>
        <v>48510</v>
      </c>
      <c r="R286" s="33">
        <f t="shared" si="29"/>
        <v>48500</v>
      </c>
      <c r="T286" s="12"/>
      <c r="U286" s="12"/>
      <c r="V286" s="12"/>
      <c r="W286" s="12">
        <f t="shared" si="31"/>
        <v>57750</v>
      </c>
      <c r="X286" s="12">
        <f t="shared" si="32"/>
        <v>57700</v>
      </c>
    </row>
    <row r="287" spans="1:24" s="6" customFormat="1" ht="21.95" customHeight="1" x14ac:dyDescent="0.2">
      <c r="B287" s="6" t="s">
        <v>1588</v>
      </c>
      <c r="C287" s="6" t="s">
        <v>151</v>
      </c>
      <c r="D287" s="6" t="s">
        <v>33</v>
      </c>
      <c r="I287" s="9"/>
      <c r="J287" s="9"/>
      <c r="K287" s="9">
        <v>44004500</v>
      </c>
      <c r="L287" s="6" t="str">
        <f t="shared" si="26"/>
        <v>HL GUES BERJER</v>
      </c>
      <c r="M287" s="12">
        <v>0.4</v>
      </c>
      <c r="N287" s="12">
        <v>0.4</v>
      </c>
      <c r="O287" s="12">
        <v>18833</v>
      </c>
      <c r="P287" s="12">
        <f t="shared" si="27"/>
        <v>11299.8</v>
      </c>
      <c r="Q287" s="12">
        <f t="shared" si="30"/>
        <v>23729.579999999998</v>
      </c>
      <c r="R287" s="33">
        <f t="shared" si="29"/>
        <v>23700</v>
      </c>
      <c r="T287" s="12"/>
      <c r="U287" s="12"/>
      <c r="V287" s="12"/>
      <c r="W287" s="12">
        <f t="shared" si="31"/>
        <v>28249.5</v>
      </c>
      <c r="X287" s="12">
        <f t="shared" si="32"/>
        <v>28200</v>
      </c>
    </row>
    <row r="288" spans="1:24" s="6" customFormat="1" ht="21.95" customHeight="1" x14ac:dyDescent="0.2">
      <c r="A288" s="6" t="s">
        <v>17</v>
      </c>
      <c r="B288" s="6" t="s">
        <v>1588</v>
      </c>
      <c r="C288" s="6" t="s">
        <v>154</v>
      </c>
      <c r="D288" s="6" t="s">
        <v>25</v>
      </c>
      <c r="G288" s="6">
        <v>50</v>
      </c>
      <c r="H288" s="6">
        <v>84</v>
      </c>
      <c r="I288" s="9">
        <v>67</v>
      </c>
      <c r="J288" s="9"/>
      <c r="K288" s="9">
        <v>44004501</v>
      </c>
      <c r="L288" s="6" t="str">
        <f t="shared" si="26"/>
        <v>HL İZNİK SANDALYE</v>
      </c>
      <c r="M288" s="12">
        <v>0.4</v>
      </c>
      <c r="N288" s="12">
        <v>0.4</v>
      </c>
      <c r="O288" s="12">
        <v>5729</v>
      </c>
      <c r="P288" s="12">
        <f t="shared" si="27"/>
        <v>3437.4</v>
      </c>
      <c r="Q288" s="12">
        <f t="shared" si="30"/>
        <v>7218.5400000000009</v>
      </c>
      <c r="R288" s="33">
        <f t="shared" si="29"/>
        <v>7200</v>
      </c>
      <c r="T288" s="12"/>
      <c r="U288" s="12">
        <v>6875</v>
      </c>
      <c r="V288" s="12"/>
      <c r="W288" s="12">
        <f t="shared" si="31"/>
        <v>8593.5</v>
      </c>
      <c r="X288" s="12">
        <f t="shared" si="32"/>
        <v>8500</v>
      </c>
    </row>
    <row r="289" spans="1:24" s="6" customFormat="1" ht="21.95" customHeight="1" x14ac:dyDescent="0.2">
      <c r="A289" s="6" t="s">
        <v>17</v>
      </c>
      <c r="B289" s="6" t="s">
        <v>1588</v>
      </c>
      <c r="C289" s="6" t="s">
        <v>154</v>
      </c>
      <c r="D289" s="6" t="s">
        <v>49</v>
      </c>
      <c r="G289" s="6">
        <v>220</v>
      </c>
      <c r="H289" s="6">
        <v>80</v>
      </c>
      <c r="I289" s="9">
        <v>49</v>
      </c>
      <c r="J289" s="9"/>
      <c r="K289" s="9">
        <v>44004502</v>
      </c>
      <c r="L289" s="6" t="str">
        <f t="shared" si="26"/>
        <v>HL İZNİK KONSOL</v>
      </c>
      <c r="M289" s="12">
        <v>0.4</v>
      </c>
      <c r="N289" s="12">
        <v>0.4</v>
      </c>
      <c r="O289" s="12">
        <v>33000</v>
      </c>
      <c r="P289" s="12">
        <f t="shared" si="27"/>
        <v>19800</v>
      </c>
      <c r="Q289" s="12">
        <f t="shared" si="30"/>
        <v>41580</v>
      </c>
      <c r="R289" s="33">
        <f t="shared" si="29"/>
        <v>41500</v>
      </c>
      <c r="T289" s="12"/>
      <c r="U289" s="12">
        <v>39600</v>
      </c>
      <c r="V289" s="12"/>
      <c r="W289" s="12">
        <f t="shared" si="31"/>
        <v>49500</v>
      </c>
      <c r="X289" s="12">
        <f t="shared" si="32"/>
        <v>49500</v>
      </c>
    </row>
    <row r="290" spans="1:24" s="6" customFormat="1" ht="21.95" customHeight="1" x14ac:dyDescent="0.2">
      <c r="A290" s="6" t="s">
        <v>17</v>
      </c>
      <c r="B290" s="6" t="s">
        <v>1588</v>
      </c>
      <c r="C290" s="6" t="s">
        <v>154</v>
      </c>
      <c r="D290" s="6" t="s">
        <v>152</v>
      </c>
      <c r="G290" s="6">
        <v>105</v>
      </c>
      <c r="H290" s="6">
        <v>105</v>
      </c>
      <c r="I290" s="9">
        <v>4</v>
      </c>
      <c r="J290" s="9"/>
      <c r="K290" s="9">
        <v>44004503</v>
      </c>
      <c r="L290" s="6" t="str">
        <f t="shared" si="26"/>
        <v>HL İZNİK AYNA</v>
      </c>
      <c r="M290" s="12">
        <v>0.4</v>
      </c>
      <c r="N290" s="12">
        <v>0.4</v>
      </c>
      <c r="O290" s="12">
        <v>4638</v>
      </c>
      <c r="P290" s="12">
        <f t="shared" si="27"/>
        <v>2782.7999999999997</v>
      </c>
      <c r="Q290" s="12">
        <f t="shared" si="30"/>
        <v>5843.88</v>
      </c>
      <c r="R290" s="33">
        <f t="shared" si="29"/>
        <v>5800</v>
      </c>
      <c r="T290" s="12"/>
      <c r="U290" s="12">
        <v>5566</v>
      </c>
      <c r="V290" s="12"/>
      <c r="W290" s="12">
        <f t="shared" si="31"/>
        <v>6956.9999999999991</v>
      </c>
      <c r="X290" s="12">
        <f t="shared" si="32"/>
        <v>6900</v>
      </c>
    </row>
    <row r="291" spans="1:24" s="6" customFormat="1" ht="21.95" customHeight="1" x14ac:dyDescent="0.2">
      <c r="A291" s="6" t="s">
        <v>17</v>
      </c>
      <c r="B291" s="6" t="s">
        <v>1588</v>
      </c>
      <c r="C291" s="6" t="s">
        <v>154</v>
      </c>
      <c r="D291" s="6" t="s">
        <v>155</v>
      </c>
      <c r="G291" s="6">
        <v>208</v>
      </c>
      <c r="H291" s="6">
        <v>104</v>
      </c>
      <c r="I291" s="9">
        <v>77</v>
      </c>
      <c r="J291" s="9"/>
      <c r="K291" s="9">
        <v>44004504</v>
      </c>
      <c r="L291" s="6" t="str">
        <f t="shared" si="26"/>
        <v>HL İZNİK MASA</v>
      </c>
      <c r="M291" s="12">
        <v>0.4</v>
      </c>
      <c r="N291" s="12">
        <v>0.4</v>
      </c>
      <c r="O291" s="12">
        <v>27602</v>
      </c>
      <c r="P291" s="12">
        <f t="shared" si="27"/>
        <v>16561.2</v>
      </c>
      <c r="Q291" s="12">
        <f t="shared" si="30"/>
        <v>34778.520000000004</v>
      </c>
      <c r="R291" s="33">
        <f t="shared" si="29"/>
        <v>34700</v>
      </c>
      <c r="T291" s="12"/>
      <c r="U291" s="12">
        <v>33122</v>
      </c>
      <c r="V291" s="12"/>
      <c r="W291" s="12">
        <f t="shared" si="31"/>
        <v>41403</v>
      </c>
      <c r="X291" s="12">
        <f t="shared" si="32"/>
        <v>41400</v>
      </c>
    </row>
    <row r="292" spans="1:24" s="6" customFormat="1" ht="21.95" customHeight="1" x14ac:dyDescent="0.2">
      <c r="B292" s="6" t="s">
        <v>1588</v>
      </c>
      <c r="C292" s="6" t="s">
        <v>154</v>
      </c>
      <c r="D292" s="6" t="s">
        <v>495</v>
      </c>
      <c r="G292" s="6">
        <v>208</v>
      </c>
      <c r="H292" s="6">
        <v>104</v>
      </c>
      <c r="I292" s="9">
        <v>77</v>
      </c>
      <c r="J292" s="9"/>
      <c r="K292" s="9"/>
      <c r="L292" s="6" t="str">
        <f t="shared" si="26"/>
        <v>HL İZNİK AÇILIR MASA</v>
      </c>
      <c r="M292" s="12"/>
      <c r="N292" s="12"/>
      <c r="O292" s="12"/>
      <c r="P292" s="12"/>
      <c r="Q292" s="12"/>
      <c r="R292" s="33"/>
      <c r="T292" s="12"/>
      <c r="U292" s="12">
        <v>41520</v>
      </c>
      <c r="V292" s="12"/>
      <c r="W292" s="12"/>
      <c r="X292" s="12"/>
    </row>
    <row r="293" spans="1:24" s="6" customFormat="1" ht="21.95" customHeight="1" x14ac:dyDescent="0.2">
      <c r="A293" s="6" t="s">
        <v>17</v>
      </c>
      <c r="B293" s="6" t="s">
        <v>1588</v>
      </c>
      <c r="C293" s="6" t="s">
        <v>154</v>
      </c>
      <c r="D293" s="6" t="s">
        <v>102</v>
      </c>
      <c r="G293" s="6">
        <v>220</v>
      </c>
      <c r="H293" s="6">
        <v>60</v>
      </c>
      <c r="I293" s="9">
        <v>49</v>
      </c>
      <c r="J293" s="9"/>
      <c r="K293" s="9">
        <v>44004505</v>
      </c>
      <c r="L293" s="6" t="str">
        <f t="shared" si="26"/>
        <v>HL İZNİK TV ÜNİTESİ ALT BLOK</v>
      </c>
      <c r="M293" s="12">
        <v>0.4</v>
      </c>
      <c r="N293" s="12">
        <v>0.4</v>
      </c>
      <c r="O293" s="12">
        <v>37065</v>
      </c>
      <c r="P293" s="12">
        <f t="shared" si="27"/>
        <v>22239</v>
      </c>
      <c r="Q293" s="12">
        <f t="shared" si="30"/>
        <v>46701.9</v>
      </c>
      <c r="R293" s="33">
        <f t="shared" si="29"/>
        <v>46700</v>
      </c>
      <c r="T293" s="12"/>
      <c r="U293" s="12">
        <v>44478</v>
      </c>
      <c r="V293" s="12"/>
      <c r="W293" s="12">
        <f t="shared" si="31"/>
        <v>55597.5</v>
      </c>
      <c r="X293" s="12">
        <f t="shared" si="32"/>
        <v>55500</v>
      </c>
    </row>
    <row r="294" spans="1:24" s="6" customFormat="1" ht="21.95" customHeight="1" x14ac:dyDescent="0.2">
      <c r="A294" s="6" t="s">
        <v>17</v>
      </c>
      <c r="B294" s="6" t="s">
        <v>1588</v>
      </c>
      <c r="C294" s="6" t="s">
        <v>154</v>
      </c>
      <c r="D294" s="6" t="s">
        <v>46</v>
      </c>
      <c r="G294" s="6">
        <v>78</v>
      </c>
      <c r="H294" s="6">
        <v>98</v>
      </c>
      <c r="I294" s="9">
        <v>20</v>
      </c>
      <c r="J294" s="9"/>
      <c r="K294" s="9">
        <v>44004506</v>
      </c>
      <c r="L294" s="6" t="str">
        <f t="shared" si="26"/>
        <v>HL İZNİK TV ÜNİTESİ ÜST BLOK</v>
      </c>
      <c r="M294" s="12">
        <v>0.4</v>
      </c>
      <c r="N294" s="12">
        <v>0.4</v>
      </c>
      <c r="O294" s="12">
        <v>10277</v>
      </c>
      <c r="P294" s="12">
        <f t="shared" si="27"/>
        <v>6166.2</v>
      </c>
      <c r="Q294" s="12">
        <f t="shared" si="30"/>
        <v>12949.02</v>
      </c>
      <c r="R294" s="33">
        <f t="shared" si="29"/>
        <v>12900</v>
      </c>
      <c r="T294" s="12"/>
      <c r="U294" s="12">
        <v>12332</v>
      </c>
      <c r="V294" s="12"/>
      <c r="W294" s="12">
        <f t="shared" si="31"/>
        <v>15415.5</v>
      </c>
      <c r="X294" s="12">
        <f t="shared" si="32"/>
        <v>15400</v>
      </c>
    </row>
    <row r="295" spans="1:24" s="6" customFormat="1" ht="21.95" customHeight="1" x14ac:dyDescent="0.2">
      <c r="A295" s="6" t="s">
        <v>17</v>
      </c>
      <c r="B295" s="6" t="s">
        <v>1588</v>
      </c>
      <c r="C295" s="6" t="s">
        <v>154</v>
      </c>
      <c r="D295" s="6" t="s">
        <v>29</v>
      </c>
      <c r="G295" s="6">
        <v>105</v>
      </c>
      <c r="H295" s="6">
        <v>46</v>
      </c>
      <c r="I295" s="9">
        <v>105</v>
      </c>
      <c r="J295" s="9"/>
      <c r="K295" s="9">
        <v>44004507</v>
      </c>
      <c r="L295" s="6" t="str">
        <f t="shared" si="26"/>
        <v>HL İZNİK ORTA SEHPA</v>
      </c>
      <c r="M295" s="12">
        <v>0.4</v>
      </c>
      <c r="N295" s="12">
        <v>0.4</v>
      </c>
      <c r="O295" s="12">
        <v>12100</v>
      </c>
      <c r="P295" s="12">
        <f t="shared" si="27"/>
        <v>7260</v>
      </c>
      <c r="Q295" s="12">
        <f t="shared" si="30"/>
        <v>15246</v>
      </c>
      <c r="R295" s="33">
        <f t="shared" si="29"/>
        <v>15200</v>
      </c>
      <c r="T295" s="12"/>
      <c r="U295" s="12">
        <v>15250</v>
      </c>
      <c r="V295" s="12"/>
      <c r="W295" s="12">
        <f t="shared" si="31"/>
        <v>18150</v>
      </c>
      <c r="X295" s="12">
        <f t="shared" si="32"/>
        <v>18100</v>
      </c>
    </row>
    <row r="296" spans="1:24" s="6" customFormat="1" ht="21.95" customHeight="1" x14ac:dyDescent="0.2">
      <c r="A296" s="6" t="s">
        <v>17</v>
      </c>
      <c r="B296" s="6" t="s">
        <v>1588</v>
      </c>
      <c r="C296" s="6" t="s">
        <v>154</v>
      </c>
      <c r="D296" s="6" t="s">
        <v>156</v>
      </c>
      <c r="G296" s="6">
        <v>330</v>
      </c>
      <c r="H296" s="6">
        <v>78</v>
      </c>
      <c r="I296" s="9">
        <v>170</v>
      </c>
      <c r="J296" s="9"/>
      <c r="K296" s="9">
        <v>44004508</v>
      </c>
      <c r="L296" s="6" t="str">
        <f t="shared" si="26"/>
        <v>HL İZNİK KOLTUK RELAX 3 LÜ</v>
      </c>
      <c r="M296" s="12">
        <v>0.4</v>
      </c>
      <c r="N296" s="12">
        <v>0.4</v>
      </c>
      <c r="O296" s="12">
        <v>62445</v>
      </c>
      <c r="P296" s="12">
        <f t="shared" si="27"/>
        <v>37467</v>
      </c>
      <c r="Q296" s="12">
        <f t="shared" si="30"/>
        <v>78680.7</v>
      </c>
      <c r="R296" s="33">
        <f t="shared" si="29"/>
        <v>78600</v>
      </c>
      <c r="T296" s="12"/>
      <c r="U296" s="12">
        <v>72436</v>
      </c>
      <c r="V296" s="12"/>
      <c r="W296" s="12">
        <f t="shared" si="31"/>
        <v>93667.5</v>
      </c>
      <c r="X296" s="12">
        <f t="shared" si="32"/>
        <v>93600</v>
      </c>
    </row>
    <row r="297" spans="1:24" s="6" customFormat="1" ht="21.95" customHeight="1" x14ac:dyDescent="0.2">
      <c r="A297" s="6" t="s">
        <v>17</v>
      </c>
      <c r="B297" s="6" t="s">
        <v>1588</v>
      </c>
      <c r="C297" s="6" t="s">
        <v>154</v>
      </c>
      <c r="D297" s="6" t="s">
        <v>32</v>
      </c>
      <c r="G297" s="6">
        <v>240</v>
      </c>
      <c r="H297" s="6">
        <v>78</v>
      </c>
      <c r="I297" s="9">
        <v>104</v>
      </c>
      <c r="J297" s="9"/>
      <c r="K297" s="9">
        <v>44004509</v>
      </c>
      <c r="L297" s="6" t="str">
        <f t="shared" si="26"/>
        <v>HL İZNİK KOLTUK 3 LÜ</v>
      </c>
      <c r="M297" s="12">
        <v>0.4</v>
      </c>
      <c r="N297" s="12">
        <v>0.4</v>
      </c>
      <c r="O297" s="12">
        <v>36614</v>
      </c>
      <c r="P297" s="12">
        <f t="shared" si="27"/>
        <v>21968.399999999998</v>
      </c>
      <c r="Q297" s="12">
        <f t="shared" si="30"/>
        <v>46133.64</v>
      </c>
      <c r="R297" s="33">
        <f t="shared" si="29"/>
        <v>46100</v>
      </c>
      <c r="T297" s="12"/>
      <c r="U297" s="12">
        <v>42472</v>
      </c>
      <c r="V297" s="12"/>
      <c r="W297" s="12">
        <f t="shared" si="31"/>
        <v>54920.999999999993</v>
      </c>
      <c r="X297" s="12">
        <f t="shared" si="32"/>
        <v>54900</v>
      </c>
    </row>
    <row r="298" spans="1:24" s="6" customFormat="1" ht="21.95" customHeight="1" x14ac:dyDescent="0.2">
      <c r="A298" s="6" t="s">
        <v>17</v>
      </c>
      <c r="B298" s="6" t="s">
        <v>1588</v>
      </c>
      <c r="C298" s="6" t="s">
        <v>154</v>
      </c>
      <c r="D298" s="6" t="s">
        <v>33</v>
      </c>
      <c r="G298" s="6">
        <v>85</v>
      </c>
      <c r="H298" s="6">
        <v>69</v>
      </c>
      <c r="I298" s="9">
        <v>73</v>
      </c>
      <c r="J298" s="9"/>
      <c r="K298" s="9">
        <v>44004510</v>
      </c>
      <c r="L298" s="6" t="str">
        <f t="shared" si="26"/>
        <v>HL İZNİK BERJER</v>
      </c>
      <c r="M298" s="12">
        <v>0.4</v>
      </c>
      <c r="N298" s="12">
        <v>0.4</v>
      </c>
      <c r="O298" s="12">
        <v>18150</v>
      </c>
      <c r="P298" s="12">
        <f t="shared" si="27"/>
        <v>10890</v>
      </c>
      <c r="Q298" s="12">
        <f t="shared" si="30"/>
        <v>22869</v>
      </c>
      <c r="R298" s="33">
        <f t="shared" si="29"/>
        <v>22800</v>
      </c>
      <c r="T298" s="12"/>
      <c r="U298" s="12">
        <v>21054</v>
      </c>
      <c r="V298" s="12"/>
      <c r="W298" s="12">
        <f t="shared" si="31"/>
        <v>27225</v>
      </c>
      <c r="X298" s="12">
        <f t="shared" si="32"/>
        <v>27200</v>
      </c>
    </row>
    <row r="299" spans="1:24" s="6" customFormat="1" ht="21.95" customHeight="1" x14ac:dyDescent="0.2">
      <c r="A299" s="6" t="s">
        <v>17</v>
      </c>
      <c r="B299" s="6" t="s">
        <v>1588</v>
      </c>
      <c r="C299" s="6" t="s">
        <v>154</v>
      </c>
      <c r="D299" s="6" t="s">
        <v>157</v>
      </c>
      <c r="G299" s="6">
        <v>90</v>
      </c>
      <c r="H299" s="6">
        <v>78</v>
      </c>
      <c r="I299" s="9">
        <v>104</v>
      </c>
      <c r="J299" s="9"/>
      <c r="K299" s="9">
        <v>44004511</v>
      </c>
      <c r="L299" s="6" t="str">
        <f t="shared" si="26"/>
        <v>HL İZNİK ARA MODÜL</v>
      </c>
      <c r="M299" s="12">
        <v>0.4</v>
      </c>
      <c r="N299" s="12">
        <v>0.4</v>
      </c>
      <c r="O299" s="12">
        <v>16684</v>
      </c>
      <c r="P299" s="12">
        <f t="shared" si="27"/>
        <v>10010.4</v>
      </c>
      <c r="Q299" s="12">
        <f t="shared" si="30"/>
        <v>21021.84</v>
      </c>
      <c r="R299" s="33">
        <f t="shared" si="29"/>
        <v>21000</v>
      </c>
      <c r="T299" s="12"/>
      <c r="U299" s="12">
        <v>19353</v>
      </c>
      <c r="V299" s="12"/>
      <c r="W299" s="12">
        <f t="shared" si="31"/>
        <v>25026</v>
      </c>
      <c r="X299" s="12">
        <f t="shared" si="32"/>
        <v>25000</v>
      </c>
    </row>
    <row r="300" spans="1:24" s="6" customFormat="1" ht="21.95" customHeight="1" x14ac:dyDescent="0.2">
      <c r="C300" s="6" t="s">
        <v>154</v>
      </c>
      <c r="D300" s="6" t="s">
        <v>59</v>
      </c>
      <c r="I300" s="9"/>
      <c r="J300" s="9"/>
      <c r="K300" s="9"/>
      <c r="L300" s="6" t="str">
        <f t="shared" si="26"/>
        <v xml:space="preserve"> İZNİK KÖŞE MODÜL</v>
      </c>
      <c r="M300" s="12"/>
      <c r="N300" s="12"/>
      <c r="O300" s="12"/>
      <c r="P300" s="12"/>
      <c r="Q300" s="12"/>
      <c r="R300" s="33"/>
      <c r="T300" s="12"/>
      <c r="U300" s="12">
        <v>24418</v>
      </c>
      <c r="V300" s="12"/>
      <c r="W300" s="12"/>
      <c r="X300" s="12"/>
    </row>
    <row r="301" spans="1:24" s="6" customFormat="1" ht="21.95" customHeight="1" x14ac:dyDescent="0.2">
      <c r="C301" s="6" t="s">
        <v>154</v>
      </c>
      <c r="D301" s="6" t="s">
        <v>2309</v>
      </c>
      <c r="I301" s="9"/>
      <c r="J301" s="9"/>
      <c r="K301" s="9"/>
      <c r="L301" s="6" t="str">
        <f t="shared" si="26"/>
        <v xml:space="preserve"> İZNİK KOLLU MODÜL </v>
      </c>
      <c r="M301" s="12"/>
      <c r="N301" s="12"/>
      <c r="O301" s="12"/>
      <c r="P301" s="12"/>
      <c r="Q301" s="12"/>
      <c r="R301" s="33"/>
      <c r="T301" s="12"/>
      <c r="U301" s="12"/>
      <c r="V301" s="12"/>
      <c r="W301" s="12"/>
      <c r="X301" s="12"/>
    </row>
    <row r="302" spans="1:24" s="6" customFormat="1" ht="21.95" customHeight="1" x14ac:dyDescent="0.2">
      <c r="A302" s="6" t="s">
        <v>17</v>
      </c>
      <c r="B302" s="6" t="s">
        <v>1588</v>
      </c>
      <c r="C302" s="6" t="s">
        <v>154</v>
      </c>
      <c r="D302" s="6" t="s">
        <v>158</v>
      </c>
      <c r="G302" s="6">
        <v>120</v>
      </c>
      <c r="H302" s="6">
        <v>78</v>
      </c>
      <c r="I302" s="9">
        <v>170</v>
      </c>
      <c r="J302" s="9"/>
      <c r="K302" s="9">
        <v>44004512</v>
      </c>
      <c r="L302" s="6" t="str">
        <f t="shared" si="26"/>
        <v>HL İZNİK RELAX MODÜL</v>
      </c>
      <c r="M302" s="12">
        <v>0.4</v>
      </c>
      <c r="N302" s="12">
        <v>0.4</v>
      </c>
      <c r="O302" s="12">
        <v>27454</v>
      </c>
      <c r="P302" s="12">
        <f t="shared" si="27"/>
        <v>16472.399999999998</v>
      </c>
      <c r="Q302" s="12">
        <f t="shared" si="30"/>
        <v>34592.039999999994</v>
      </c>
      <c r="R302" s="33">
        <f t="shared" si="29"/>
        <v>34500</v>
      </c>
      <c r="T302" s="12"/>
      <c r="U302" s="12">
        <v>31847</v>
      </c>
      <c r="V302" s="12"/>
      <c r="W302" s="12">
        <f t="shared" si="31"/>
        <v>41180.999999999993</v>
      </c>
      <c r="X302" s="12">
        <f t="shared" si="32"/>
        <v>41100</v>
      </c>
    </row>
    <row r="303" spans="1:24" s="6" customFormat="1" ht="21.95" customHeight="1" x14ac:dyDescent="0.2">
      <c r="A303" s="6" t="s">
        <v>17</v>
      </c>
      <c r="B303" s="6" t="s">
        <v>1588</v>
      </c>
      <c r="C303" s="6" t="s">
        <v>159</v>
      </c>
      <c r="D303" s="6" t="s">
        <v>25</v>
      </c>
      <c r="G303" s="6">
        <v>56</v>
      </c>
      <c r="H303" s="6">
        <v>90</v>
      </c>
      <c r="I303" s="9">
        <v>58</v>
      </c>
      <c r="J303" s="9"/>
      <c r="K303" s="9">
        <v>44004513</v>
      </c>
      <c r="L303" s="6" t="str">
        <f t="shared" si="26"/>
        <v>HL MOON SANDALYE</v>
      </c>
      <c r="M303" s="12">
        <v>0.4</v>
      </c>
      <c r="N303" s="12">
        <v>0.4</v>
      </c>
      <c r="O303" s="12">
        <v>5133</v>
      </c>
      <c r="P303" s="12">
        <f t="shared" si="27"/>
        <v>3079.7999999999997</v>
      </c>
      <c r="Q303" s="12">
        <f t="shared" si="30"/>
        <v>6467.58</v>
      </c>
      <c r="R303" s="33">
        <f t="shared" si="29"/>
        <v>6400</v>
      </c>
      <c r="T303" s="12"/>
      <c r="U303" s="12"/>
      <c r="V303" s="12"/>
      <c r="W303" s="12">
        <f t="shared" si="31"/>
        <v>7699.4999999999991</v>
      </c>
      <c r="X303" s="12">
        <f t="shared" si="32"/>
        <v>7600</v>
      </c>
    </row>
    <row r="304" spans="1:24" s="6" customFormat="1" ht="21.95" customHeight="1" x14ac:dyDescent="0.2">
      <c r="A304" s="6" t="s">
        <v>17</v>
      </c>
      <c r="B304" s="6" t="s">
        <v>1588</v>
      </c>
      <c r="C304" s="6" t="s">
        <v>159</v>
      </c>
      <c r="D304" s="6" t="s">
        <v>49</v>
      </c>
      <c r="G304" s="6">
        <v>220</v>
      </c>
      <c r="H304" s="6">
        <v>74</v>
      </c>
      <c r="I304" s="9">
        <v>50</v>
      </c>
      <c r="J304" s="9"/>
      <c r="K304" s="9">
        <v>44004514</v>
      </c>
      <c r="L304" s="6" t="str">
        <f t="shared" si="26"/>
        <v>HL MOON KONSOL</v>
      </c>
      <c r="M304" s="12">
        <v>0.4</v>
      </c>
      <c r="N304" s="12">
        <v>0.4</v>
      </c>
      <c r="O304" s="12">
        <v>31878</v>
      </c>
      <c r="P304" s="12">
        <f t="shared" si="27"/>
        <v>19126.8</v>
      </c>
      <c r="Q304" s="12">
        <f t="shared" si="30"/>
        <v>40166.28</v>
      </c>
      <c r="R304" s="33">
        <f t="shared" si="29"/>
        <v>40100</v>
      </c>
      <c r="T304" s="12"/>
      <c r="U304" s="12"/>
      <c r="V304" s="12"/>
      <c r="W304" s="12">
        <f t="shared" si="31"/>
        <v>47817</v>
      </c>
      <c r="X304" s="12">
        <f t="shared" si="32"/>
        <v>47800</v>
      </c>
    </row>
    <row r="305" spans="1:24" s="6" customFormat="1" ht="21.95" customHeight="1" x14ac:dyDescent="0.2">
      <c r="A305" s="6" t="s">
        <v>17</v>
      </c>
      <c r="B305" s="6" t="s">
        <v>1588</v>
      </c>
      <c r="C305" s="6" t="s">
        <v>159</v>
      </c>
      <c r="D305" s="6" t="s">
        <v>152</v>
      </c>
      <c r="G305" s="6">
        <v>105</v>
      </c>
      <c r="H305" s="6">
        <v>105</v>
      </c>
      <c r="I305" s="9">
        <v>4</v>
      </c>
      <c r="J305" s="9"/>
      <c r="K305" s="9">
        <v>44004515</v>
      </c>
      <c r="L305" s="6" t="str">
        <f t="shared" si="26"/>
        <v>HL MOON AYNA</v>
      </c>
      <c r="M305" s="12">
        <v>0.4</v>
      </c>
      <c r="N305" s="12">
        <v>0.4</v>
      </c>
      <c r="O305" s="12">
        <v>5314</v>
      </c>
      <c r="P305" s="12">
        <f t="shared" si="27"/>
        <v>3188.4</v>
      </c>
      <c r="Q305" s="12">
        <f t="shared" si="30"/>
        <v>6695.64</v>
      </c>
      <c r="R305" s="33">
        <f t="shared" si="29"/>
        <v>6600</v>
      </c>
      <c r="T305" s="12"/>
      <c r="U305" s="12"/>
      <c r="V305" s="12"/>
      <c r="W305" s="12">
        <f t="shared" si="31"/>
        <v>7971</v>
      </c>
      <c r="X305" s="12">
        <f t="shared" si="32"/>
        <v>7900</v>
      </c>
    </row>
    <row r="306" spans="1:24" s="6" customFormat="1" ht="21.95" customHeight="1" x14ac:dyDescent="0.2">
      <c r="A306" s="6" t="s">
        <v>17</v>
      </c>
      <c r="B306" s="6" t="s">
        <v>1588</v>
      </c>
      <c r="C306" s="6" t="s">
        <v>159</v>
      </c>
      <c r="D306" s="6" t="s">
        <v>153</v>
      </c>
      <c r="G306" s="6">
        <v>208</v>
      </c>
      <c r="H306" s="6">
        <v>76</v>
      </c>
      <c r="I306" s="9">
        <v>104</v>
      </c>
      <c r="J306" s="9"/>
      <c r="K306" s="9">
        <v>44004516</v>
      </c>
      <c r="L306" s="6" t="str">
        <f t="shared" si="26"/>
        <v>HL MOON MASA SABİT</v>
      </c>
      <c r="M306" s="12">
        <v>0.4</v>
      </c>
      <c r="N306" s="12">
        <v>0.4</v>
      </c>
      <c r="O306" s="12">
        <v>38400</v>
      </c>
      <c r="P306" s="12">
        <f t="shared" si="27"/>
        <v>23040</v>
      </c>
      <c r="Q306" s="12">
        <f t="shared" si="30"/>
        <v>48384</v>
      </c>
      <c r="R306" s="33">
        <f t="shared" si="29"/>
        <v>48300</v>
      </c>
      <c r="T306" s="12"/>
      <c r="U306" s="12"/>
      <c r="V306" s="12"/>
      <c r="W306" s="12">
        <f t="shared" si="31"/>
        <v>57600</v>
      </c>
      <c r="X306" s="12">
        <f t="shared" si="32"/>
        <v>57600</v>
      </c>
    </row>
    <row r="307" spans="1:24" s="6" customFormat="1" ht="21.95" customHeight="1" x14ac:dyDescent="0.2">
      <c r="A307" s="6" t="s">
        <v>17</v>
      </c>
      <c r="B307" s="6" t="s">
        <v>1588</v>
      </c>
      <c r="C307" s="6" t="s">
        <v>159</v>
      </c>
      <c r="D307" s="6" t="s">
        <v>160</v>
      </c>
      <c r="G307" s="6">
        <v>180</v>
      </c>
      <c r="H307" s="6">
        <v>76</v>
      </c>
      <c r="I307" s="9">
        <v>104</v>
      </c>
      <c r="J307" s="9"/>
      <c r="K307" s="9">
        <v>44004517</v>
      </c>
      <c r="L307" s="6" t="str">
        <f t="shared" si="26"/>
        <v>HL MOON MASA AÇILIR</v>
      </c>
      <c r="M307" s="12">
        <v>0.4</v>
      </c>
      <c r="N307" s="12">
        <v>0.4</v>
      </c>
      <c r="O307" s="12">
        <v>42166</v>
      </c>
      <c r="P307" s="12">
        <f t="shared" si="27"/>
        <v>25299.599999999999</v>
      </c>
      <c r="Q307" s="12">
        <f t="shared" si="30"/>
        <v>53129.159999999996</v>
      </c>
      <c r="R307" s="33">
        <f t="shared" si="29"/>
        <v>53100</v>
      </c>
      <c r="T307" s="12"/>
      <c r="U307" s="12"/>
      <c r="V307" s="12"/>
      <c r="W307" s="12">
        <f t="shared" si="31"/>
        <v>63249</v>
      </c>
      <c r="X307" s="12">
        <f t="shared" si="32"/>
        <v>63200</v>
      </c>
    </row>
    <row r="308" spans="1:24" s="6" customFormat="1" ht="21.95" customHeight="1" x14ac:dyDescent="0.2">
      <c r="A308" s="6" t="s">
        <v>17</v>
      </c>
      <c r="B308" s="6" t="s">
        <v>1588</v>
      </c>
      <c r="C308" s="6" t="s">
        <v>159</v>
      </c>
      <c r="D308" s="6" t="s">
        <v>102</v>
      </c>
      <c r="G308" s="6">
        <v>220</v>
      </c>
      <c r="H308" s="6">
        <v>54</v>
      </c>
      <c r="I308" s="9">
        <v>50</v>
      </c>
      <c r="J308" s="9"/>
      <c r="K308" s="9">
        <v>44004518</v>
      </c>
      <c r="L308" s="6" t="str">
        <f t="shared" si="26"/>
        <v>HL MOON TV ÜNİTESİ ALT BLOK</v>
      </c>
      <c r="M308" s="12">
        <v>0.4</v>
      </c>
      <c r="N308" s="12">
        <v>0.4</v>
      </c>
      <c r="O308" s="12">
        <v>28600</v>
      </c>
      <c r="P308" s="12">
        <f t="shared" si="27"/>
        <v>17160</v>
      </c>
      <c r="Q308" s="12">
        <f t="shared" si="30"/>
        <v>36036</v>
      </c>
      <c r="R308" s="33">
        <f t="shared" si="29"/>
        <v>36000</v>
      </c>
      <c r="T308" s="12"/>
      <c r="U308" s="12"/>
      <c r="V308" s="12"/>
      <c r="W308" s="12">
        <f t="shared" si="31"/>
        <v>42900</v>
      </c>
      <c r="X308" s="12">
        <f t="shared" si="32"/>
        <v>42900</v>
      </c>
    </row>
    <row r="309" spans="1:24" s="6" customFormat="1" ht="21.95" customHeight="1" x14ac:dyDescent="0.2">
      <c r="A309" s="6" t="s">
        <v>17</v>
      </c>
      <c r="B309" s="6" t="s">
        <v>1588</v>
      </c>
      <c r="C309" s="6" t="s">
        <v>159</v>
      </c>
      <c r="D309" s="6" t="s">
        <v>46</v>
      </c>
      <c r="I309" s="9"/>
      <c r="J309" s="9"/>
      <c r="K309" s="9">
        <v>44004519</v>
      </c>
      <c r="L309" s="6" t="str">
        <f t="shared" si="26"/>
        <v>HL MOON TV ÜNİTESİ ÜST BLOK</v>
      </c>
      <c r="M309" s="12">
        <v>0.4</v>
      </c>
      <c r="N309" s="12">
        <v>0.4</v>
      </c>
      <c r="O309" s="12">
        <v>16005</v>
      </c>
      <c r="P309" s="12">
        <f t="shared" si="27"/>
        <v>9603</v>
      </c>
      <c r="Q309" s="12">
        <f t="shared" si="30"/>
        <v>20166.3</v>
      </c>
      <c r="R309" s="33">
        <f t="shared" si="29"/>
        <v>20100</v>
      </c>
      <c r="T309" s="12"/>
      <c r="U309" s="12"/>
      <c r="V309" s="12"/>
      <c r="W309" s="12">
        <f t="shared" si="31"/>
        <v>24007.5</v>
      </c>
      <c r="X309" s="12">
        <f t="shared" si="32"/>
        <v>24000</v>
      </c>
    </row>
    <row r="310" spans="1:24" s="6" customFormat="1" ht="21.95" customHeight="1" x14ac:dyDescent="0.2">
      <c r="A310" s="6" t="s">
        <v>17</v>
      </c>
      <c r="B310" s="6" t="s">
        <v>1588</v>
      </c>
      <c r="C310" s="6" t="s">
        <v>159</v>
      </c>
      <c r="D310" s="6" t="s">
        <v>29</v>
      </c>
      <c r="I310" s="9"/>
      <c r="J310" s="9"/>
      <c r="K310" s="9">
        <v>44004520</v>
      </c>
      <c r="L310" s="6" t="str">
        <f t="shared" si="26"/>
        <v>HL MOON ORTA SEHPA</v>
      </c>
      <c r="M310" s="12">
        <v>0.4</v>
      </c>
      <c r="N310" s="12">
        <v>0.4</v>
      </c>
      <c r="O310" s="12">
        <v>29600</v>
      </c>
      <c r="P310" s="12">
        <f t="shared" si="27"/>
        <v>17760</v>
      </c>
      <c r="Q310" s="12">
        <f t="shared" si="30"/>
        <v>37296</v>
      </c>
      <c r="R310" s="33">
        <f t="shared" si="29"/>
        <v>37200</v>
      </c>
      <c r="T310" s="12"/>
      <c r="U310" s="12"/>
      <c r="V310" s="12"/>
      <c r="W310" s="12">
        <f t="shared" si="31"/>
        <v>44400</v>
      </c>
      <c r="X310" s="12">
        <f t="shared" si="32"/>
        <v>44400</v>
      </c>
    </row>
    <row r="311" spans="1:24" s="6" customFormat="1" ht="21.95" customHeight="1" x14ac:dyDescent="0.2">
      <c r="A311" s="6" t="s">
        <v>17</v>
      </c>
      <c r="B311" s="6" t="s">
        <v>1588</v>
      </c>
      <c r="C311" s="6" t="s">
        <v>159</v>
      </c>
      <c r="D311" s="6" t="s">
        <v>161</v>
      </c>
      <c r="G311" s="6">
        <v>288</v>
      </c>
      <c r="H311" s="6">
        <v>74</v>
      </c>
      <c r="I311" s="9"/>
      <c r="J311" s="9"/>
      <c r="K311" s="9">
        <v>44004521</v>
      </c>
      <c r="L311" s="6" t="str">
        <f t="shared" si="26"/>
        <v>HL MOON KOLTUK 3 LÜ SEHPALI</v>
      </c>
      <c r="M311" s="12">
        <v>0.4</v>
      </c>
      <c r="N311" s="12">
        <v>0.4</v>
      </c>
      <c r="O311" s="12">
        <v>52819</v>
      </c>
      <c r="P311" s="12">
        <f t="shared" si="27"/>
        <v>31691.399999999998</v>
      </c>
      <c r="Q311" s="12">
        <f t="shared" si="30"/>
        <v>66551.94</v>
      </c>
      <c r="R311" s="33">
        <f t="shared" si="29"/>
        <v>66500</v>
      </c>
      <c r="T311" s="12"/>
      <c r="U311" s="12">
        <v>61270</v>
      </c>
      <c r="V311" s="12"/>
      <c r="W311" s="12">
        <f t="shared" si="31"/>
        <v>79228.5</v>
      </c>
      <c r="X311" s="12">
        <f t="shared" si="32"/>
        <v>79200</v>
      </c>
    </row>
    <row r="312" spans="1:24" s="6" customFormat="1" ht="21.95" customHeight="1" x14ac:dyDescent="0.2">
      <c r="A312" s="6" t="s">
        <v>17</v>
      </c>
      <c r="B312" s="6" t="s">
        <v>1588</v>
      </c>
      <c r="C312" s="6" t="s">
        <v>159</v>
      </c>
      <c r="D312" s="6" t="s">
        <v>162</v>
      </c>
      <c r="G312" s="6">
        <v>240</v>
      </c>
      <c r="H312" s="6">
        <v>74</v>
      </c>
      <c r="I312" s="9">
        <v>104</v>
      </c>
      <c r="J312" s="9"/>
      <c r="K312" s="9">
        <v>44004522</v>
      </c>
      <c r="L312" s="6" t="str">
        <f t="shared" si="26"/>
        <v xml:space="preserve">HL MOON KOLTUK 3 LÜ </v>
      </c>
      <c r="M312" s="12">
        <v>0.4</v>
      </c>
      <c r="N312" s="12">
        <v>0.4</v>
      </c>
      <c r="O312" s="12">
        <v>36614</v>
      </c>
      <c r="P312" s="12">
        <f t="shared" si="27"/>
        <v>21968.399999999998</v>
      </c>
      <c r="Q312" s="12">
        <f t="shared" si="30"/>
        <v>46133.64</v>
      </c>
      <c r="R312" s="33">
        <f t="shared" si="29"/>
        <v>46100</v>
      </c>
      <c r="T312" s="12"/>
      <c r="U312" s="12">
        <v>42472</v>
      </c>
      <c r="V312" s="12"/>
      <c r="W312" s="12">
        <f t="shared" si="31"/>
        <v>54920.999999999993</v>
      </c>
      <c r="X312" s="12">
        <f t="shared" si="32"/>
        <v>54900</v>
      </c>
    </row>
    <row r="313" spans="1:24" s="6" customFormat="1" ht="21.95" customHeight="1" x14ac:dyDescent="0.2">
      <c r="A313" s="6" t="s">
        <v>17</v>
      </c>
      <c r="B313" s="6" t="s">
        <v>1588</v>
      </c>
      <c r="C313" s="6" t="s">
        <v>159</v>
      </c>
      <c r="D313" s="6" t="s">
        <v>33</v>
      </c>
      <c r="G313" s="6">
        <v>90</v>
      </c>
      <c r="H313" s="6">
        <v>80</v>
      </c>
      <c r="I313" s="9">
        <v>73</v>
      </c>
      <c r="J313" s="9"/>
      <c r="K313" s="9">
        <v>44004523</v>
      </c>
      <c r="L313" s="6" t="str">
        <f t="shared" si="26"/>
        <v>HL MOON BERJER</v>
      </c>
      <c r="M313" s="12">
        <v>0.4</v>
      </c>
      <c r="N313" s="12">
        <v>0.4</v>
      </c>
      <c r="O313" s="12">
        <v>19159</v>
      </c>
      <c r="P313" s="12">
        <f t="shared" si="27"/>
        <v>11495.4</v>
      </c>
      <c r="Q313" s="12">
        <f t="shared" si="30"/>
        <v>24140.34</v>
      </c>
      <c r="R313" s="33">
        <f t="shared" si="29"/>
        <v>24100</v>
      </c>
      <c r="T313" s="12"/>
      <c r="U313" s="12">
        <v>22224</v>
      </c>
      <c r="V313" s="12"/>
      <c r="W313" s="12">
        <f t="shared" si="31"/>
        <v>28738.5</v>
      </c>
      <c r="X313" s="12">
        <f t="shared" si="32"/>
        <v>28700</v>
      </c>
    </row>
    <row r="314" spans="1:24" s="6" customFormat="1" ht="21.95" customHeight="1" x14ac:dyDescent="0.2">
      <c r="A314" s="6" t="s">
        <v>17</v>
      </c>
      <c r="B314" s="6" t="s">
        <v>1588</v>
      </c>
      <c r="C314" s="6" t="s">
        <v>159</v>
      </c>
      <c r="D314" s="6" t="s">
        <v>163</v>
      </c>
      <c r="G314" s="6">
        <v>120</v>
      </c>
      <c r="H314" s="6">
        <v>74</v>
      </c>
      <c r="I314" s="9">
        <v>104</v>
      </c>
      <c r="J314" s="9"/>
      <c r="K314" s="9">
        <v>44004524</v>
      </c>
      <c r="L314" s="6" t="str">
        <f t="shared" si="26"/>
        <v>HL MOON KOLTUK TEK KOLLU MODÜL</v>
      </c>
      <c r="M314" s="12">
        <v>0.4</v>
      </c>
      <c r="N314" s="12">
        <v>0.4</v>
      </c>
      <c r="O314" s="12">
        <v>18389</v>
      </c>
      <c r="P314" s="12">
        <f t="shared" si="27"/>
        <v>11033.4</v>
      </c>
      <c r="Q314" s="12">
        <f t="shared" si="30"/>
        <v>23170.14</v>
      </c>
      <c r="R314" s="33">
        <f t="shared" si="29"/>
        <v>23100</v>
      </c>
      <c r="T314" s="12"/>
      <c r="U314" s="12"/>
      <c r="V314" s="12"/>
      <c r="W314" s="12">
        <f t="shared" si="31"/>
        <v>27583.5</v>
      </c>
      <c r="X314" s="12">
        <f t="shared" si="32"/>
        <v>27500</v>
      </c>
    </row>
    <row r="315" spans="1:24" s="6" customFormat="1" ht="21.95" customHeight="1" x14ac:dyDescent="0.2">
      <c r="A315" s="6" t="s">
        <v>17</v>
      </c>
      <c r="B315" s="6" t="s">
        <v>1588</v>
      </c>
      <c r="C315" s="6" t="s">
        <v>159</v>
      </c>
      <c r="D315" s="6" t="s">
        <v>164</v>
      </c>
      <c r="I315" s="9"/>
      <c r="J315" s="9"/>
      <c r="K315" s="9">
        <v>44004525</v>
      </c>
      <c r="L315" s="6" t="str">
        <f t="shared" si="26"/>
        <v>HL MOON KOLTUK ARA MODÜL</v>
      </c>
      <c r="M315" s="12">
        <v>0.4</v>
      </c>
      <c r="N315" s="12">
        <v>0.4</v>
      </c>
      <c r="O315" s="12">
        <v>16316</v>
      </c>
      <c r="P315" s="12">
        <f t="shared" si="27"/>
        <v>9789.6</v>
      </c>
      <c r="Q315" s="12">
        <f t="shared" si="30"/>
        <v>20558.16</v>
      </c>
      <c r="R315" s="33">
        <f t="shared" si="29"/>
        <v>20500</v>
      </c>
      <c r="T315" s="12"/>
      <c r="U315" s="12"/>
      <c r="V315" s="12"/>
      <c r="W315" s="12">
        <f t="shared" si="31"/>
        <v>24474</v>
      </c>
      <c r="X315" s="12">
        <f t="shared" si="32"/>
        <v>24400</v>
      </c>
    </row>
    <row r="316" spans="1:24" s="6" customFormat="1" ht="21.95" customHeight="1" x14ac:dyDescent="0.2">
      <c r="A316" s="6" t="s">
        <v>17</v>
      </c>
      <c r="B316" s="6" t="s">
        <v>1588</v>
      </c>
      <c r="C316" s="6" t="s">
        <v>159</v>
      </c>
      <c r="D316" s="6" t="s">
        <v>165</v>
      </c>
      <c r="I316" s="9"/>
      <c r="J316" s="9"/>
      <c r="K316" s="9">
        <v>44004526</v>
      </c>
      <c r="L316" s="6" t="str">
        <f t="shared" si="26"/>
        <v>HL MOON KOLTUK SEHPALI MODÜL</v>
      </c>
      <c r="M316" s="12">
        <v>0.4</v>
      </c>
      <c r="N316" s="12">
        <v>0.4</v>
      </c>
      <c r="O316" s="12">
        <v>16041</v>
      </c>
      <c r="P316" s="12">
        <f t="shared" si="27"/>
        <v>9624.6</v>
      </c>
      <c r="Q316" s="12">
        <f t="shared" si="30"/>
        <v>20211.66</v>
      </c>
      <c r="R316" s="33">
        <f t="shared" si="29"/>
        <v>20200</v>
      </c>
      <c r="T316" s="12"/>
      <c r="U316" s="12"/>
      <c r="V316" s="12"/>
      <c r="W316" s="12">
        <f t="shared" si="31"/>
        <v>24061.5</v>
      </c>
      <c r="X316" s="12">
        <f t="shared" si="32"/>
        <v>24000</v>
      </c>
    </row>
    <row r="317" spans="1:24" s="6" customFormat="1" ht="21.95" customHeight="1" x14ac:dyDescent="0.2">
      <c r="A317" s="6" t="s">
        <v>17</v>
      </c>
      <c r="B317" s="6" t="s">
        <v>1588</v>
      </c>
      <c r="C317" s="6" t="s">
        <v>166</v>
      </c>
      <c r="D317" s="6" t="s">
        <v>25</v>
      </c>
      <c r="G317" s="6">
        <v>52</v>
      </c>
      <c r="H317" s="6">
        <v>80</v>
      </c>
      <c r="I317" s="9">
        <v>52</v>
      </c>
      <c r="J317" s="9"/>
      <c r="K317" s="9">
        <v>44004527</v>
      </c>
      <c r="L317" s="6" t="str">
        <f t="shared" si="26"/>
        <v>HL AKSA SANDALYE</v>
      </c>
      <c r="M317" s="12">
        <v>0.4</v>
      </c>
      <c r="N317" s="12">
        <v>0.4</v>
      </c>
      <c r="O317" s="12">
        <v>8708</v>
      </c>
      <c r="P317" s="12">
        <f t="shared" si="27"/>
        <v>5224.8</v>
      </c>
      <c r="Q317" s="12">
        <f t="shared" si="30"/>
        <v>10972.080000000002</v>
      </c>
      <c r="R317" s="33">
        <f t="shared" si="29"/>
        <v>10900</v>
      </c>
      <c r="T317" s="12"/>
      <c r="U317" s="12">
        <v>10450</v>
      </c>
      <c r="V317" s="12"/>
      <c r="W317" s="12">
        <f t="shared" si="31"/>
        <v>13062</v>
      </c>
      <c r="X317" s="12">
        <f t="shared" si="32"/>
        <v>13000</v>
      </c>
    </row>
    <row r="318" spans="1:24" s="6" customFormat="1" ht="21.95" customHeight="1" x14ac:dyDescent="0.2">
      <c r="A318" s="6" t="s">
        <v>17</v>
      </c>
      <c r="B318" s="6" t="s">
        <v>1588</v>
      </c>
      <c r="C318" s="6" t="s">
        <v>166</v>
      </c>
      <c r="D318" s="6" t="s">
        <v>49</v>
      </c>
      <c r="G318" s="6">
        <v>226</v>
      </c>
      <c r="H318" s="6">
        <v>80</v>
      </c>
      <c r="I318" s="9">
        <v>50</v>
      </c>
      <c r="J318" s="9"/>
      <c r="K318" s="9">
        <v>44004528</v>
      </c>
      <c r="L318" s="6" t="str">
        <f t="shared" si="26"/>
        <v>HL AKSA KONSOL</v>
      </c>
      <c r="M318" s="12">
        <v>0.4</v>
      </c>
      <c r="N318" s="12">
        <v>0.4</v>
      </c>
      <c r="O318" s="12">
        <v>40205</v>
      </c>
      <c r="P318" s="12">
        <f t="shared" si="27"/>
        <v>24123</v>
      </c>
      <c r="Q318" s="12">
        <f t="shared" si="30"/>
        <v>50658.3</v>
      </c>
      <c r="R318" s="33">
        <f t="shared" si="29"/>
        <v>50600</v>
      </c>
      <c r="T318" s="12"/>
      <c r="U318" s="12">
        <v>48246</v>
      </c>
      <c r="V318" s="12"/>
      <c r="W318" s="12">
        <f t="shared" si="31"/>
        <v>60307.5</v>
      </c>
      <c r="X318" s="12">
        <f t="shared" si="32"/>
        <v>60300</v>
      </c>
    </row>
    <row r="319" spans="1:24" s="6" customFormat="1" ht="21.95" customHeight="1" x14ac:dyDescent="0.2">
      <c r="A319" s="6" t="s">
        <v>17</v>
      </c>
      <c r="B319" s="6" t="s">
        <v>1588</v>
      </c>
      <c r="C319" s="6" t="s">
        <v>166</v>
      </c>
      <c r="D319" s="6" t="s">
        <v>152</v>
      </c>
      <c r="G319" s="6">
        <v>98</v>
      </c>
      <c r="H319" s="6">
        <v>98</v>
      </c>
      <c r="I319" s="9">
        <v>4</v>
      </c>
      <c r="J319" s="9"/>
      <c r="K319" s="9">
        <v>44004529</v>
      </c>
      <c r="L319" s="6" t="str">
        <f t="shared" si="26"/>
        <v>HL AKSA AYNA</v>
      </c>
      <c r="M319" s="12">
        <v>0.4</v>
      </c>
      <c r="N319" s="12">
        <v>0.4</v>
      </c>
      <c r="O319" s="12">
        <v>5500</v>
      </c>
      <c r="P319" s="12">
        <f t="shared" si="27"/>
        <v>3300</v>
      </c>
      <c r="Q319" s="12">
        <f t="shared" si="30"/>
        <v>6930</v>
      </c>
      <c r="R319" s="33">
        <f t="shared" si="29"/>
        <v>6900</v>
      </c>
      <c r="T319" s="12"/>
      <c r="U319" s="12">
        <v>6600</v>
      </c>
      <c r="V319" s="12"/>
      <c r="W319" s="12">
        <f t="shared" si="31"/>
        <v>8250</v>
      </c>
      <c r="X319" s="12">
        <f t="shared" si="32"/>
        <v>8200</v>
      </c>
    </row>
    <row r="320" spans="1:24" s="6" customFormat="1" ht="21.95" customHeight="1" x14ac:dyDescent="0.2">
      <c r="A320" s="6" t="s">
        <v>17</v>
      </c>
      <c r="B320" s="6" t="s">
        <v>1588</v>
      </c>
      <c r="C320" s="6" t="s">
        <v>166</v>
      </c>
      <c r="D320" s="6" t="s">
        <v>153</v>
      </c>
      <c r="G320" s="6">
        <v>208</v>
      </c>
      <c r="H320" s="6">
        <v>77</v>
      </c>
      <c r="I320" s="9">
        <v>104</v>
      </c>
      <c r="J320" s="9"/>
      <c r="K320" s="9">
        <v>44004530</v>
      </c>
      <c r="L320" s="6" t="str">
        <f t="shared" si="26"/>
        <v>HL AKSA MASA SABİT</v>
      </c>
      <c r="M320" s="12">
        <v>0.4</v>
      </c>
      <c r="N320" s="12">
        <v>0.4</v>
      </c>
      <c r="O320" s="12">
        <v>39935</v>
      </c>
      <c r="P320" s="12">
        <f t="shared" si="27"/>
        <v>23961</v>
      </c>
      <c r="Q320" s="12">
        <f t="shared" si="30"/>
        <v>50318.1</v>
      </c>
      <c r="R320" s="33">
        <f t="shared" si="29"/>
        <v>50300</v>
      </c>
      <c r="T320" s="12"/>
      <c r="U320" s="12">
        <v>47922</v>
      </c>
      <c r="V320" s="12"/>
      <c r="W320" s="12">
        <f t="shared" si="31"/>
        <v>59902.5</v>
      </c>
      <c r="X320" s="12">
        <f t="shared" si="32"/>
        <v>59900</v>
      </c>
    </row>
    <row r="321" spans="1:24" s="6" customFormat="1" ht="21.95" customHeight="1" x14ac:dyDescent="0.2">
      <c r="A321" s="6" t="s">
        <v>17</v>
      </c>
      <c r="B321" s="6" t="s">
        <v>1588</v>
      </c>
      <c r="C321" s="6" t="s">
        <v>166</v>
      </c>
      <c r="D321" s="6" t="s">
        <v>102</v>
      </c>
      <c r="G321" s="6">
        <v>226</v>
      </c>
      <c r="H321" s="6">
        <v>60</v>
      </c>
      <c r="I321" s="9">
        <v>50</v>
      </c>
      <c r="J321" s="9"/>
      <c r="K321" s="9">
        <v>44004531</v>
      </c>
      <c r="L321" s="6" t="str">
        <f t="shared" si="26"/>
        <v>HL AKSA TV ÜNİTESİ ALT BLOK</v>
      </c>
      <c r="M321" s="12">
        <v>0.4</v>
      </c>
      <c r="N321" s="12">
        <v>0.4</v>
      </c>
      <c r="O321" s="12">
        <v>40884</v>
      </c>
      <c r="P321" s="12">
        <f t="shared" si="27"/>
        <v>24530.399999999998</v>
      </c>
      <c r="Q321" s="12">
        <f t="shared" si="30"/>
        <v>51513.84</v>
      </c>
      <c r="R321" s="33">
        <f t="shared" si="29"/>
        <v>51500</v>
      </c>
      <c r="T321" s="12"/>
      <c r="U321" s="12">
        <v>49061</v>
      </c>
      <c r="V321" s="12"/>
      <c r="W321" s="12">
        <f t="shared" si="31"/>
        <v>61325.999999999993</v>
      </c>
      <c r="X321" s="12">
        <f t="shared" si="32"/>
        <v>61300</v>
      </c>
    </row>
    <row r="322" spans="1:24" s="6" customFormat="1" ht="21.95" customHeight="1" x14ac:dyDescent="0.2">
      <c r="A322" s="6" t="s">
        <v>17</v>
      </c>
      <c r="B322" s="6" t="s">
        <v>1588</v>
      </c>
      <c r="C322" s="6" t="s">
        <v>166</v>
      </c>
      <c r="D322" s="6" t="s">
        <v>46</v>
      </c>
      <c r="G322" s="6">
        <v>98</v>
      </c>
      <c r="H322" s="6">
        <v>100</v>
      </c>
      <c r="I322" s="9">
        <v>21</v>
      </c>
      <c r="J322" s="9"/>
      <c r="K322" s="9">
        <v>44004532</v>
      </c>
      <c r="L322" s="6" t="str">
        <f t="shared" si="26"/>
        <v>HL AKSA TV ÜNİTESİ ÜST BLOK</v>
      </c>
      <c r="M322" s="12">
        <v>0.4</v>
      </c>
      <c r="N322" s="12">
        <v>0.4</v>
      </c>
      <c r="O322" s="12">
        <v>6875</v>
      </c>
      <c r="P322" s="12">
        <f t="shared" si="27"/>
        <v>4125</v>
      </c>
      <c r="Q322" s="12">
        <f t="shared" si="30"/>
        <v>8662.5</v>
      </c>
      <c r="R322" s="33">
        <f t="shared" si="29"/>
        <v>8600</v>
      </c>
      <c r="T322" s="12"/>
      <c r="U322" s="12">
        <v>8250</v>
      </c>
      <c r="V322" s="12"/>
      <c r="W322" s="12">
        <f t="shared" si="31"/>
        <v>10312.5</v>
      </c>
      <c r="X322" s="12">
        <f t="shared" si="32"/>
        <v>10300</v>
      </c>
    </row>
    <row r="323" spans="1:24" s="6" customFormat="1" ht="21.95" customHeight="1" x14ac:dyDescent="0.2">
      <c r="A323" s="6" t="s">
        <v>17</v>
      </c>
      <c r="B323" s="6" t="s">
        <v>1588</v>
      </c>
      <c r="C323" s="6" t="s">
        <v>166</v>
      </c>
      <c r="D323" s="6" t="s">
        <v>29</v>
      </c>
      <c r="I323" s="9"/>
      <c r="J323" s="9"/>
      <c r="K323" s="9">
        <v>44004533</v>
      </c>
      <c r="L323" s="6" t="str">
        <f t="shared" si="26"/>
        <v>HL AKSA ORTA SEHPA</v>
      </c>
      <c r="M323" s="12">
        <v>0.4</v>
      </c>
      <c r="N323" s="12">
        <v>0.4</v>
      </c>
      <c r="O323" s="12">
        <v>16866</v>
      </c>
      <c r="P323" s="12">
        <f t="shared" si="27"/>
        <v>10119.6</v>
      </c>
      <c r="Q323" s="12">
        <f t="shared" si="30"/>
        <v>21251.16</v>
      </c>
      <c r="R323" s="33">
        <f t="shared" si="29"/>
        <v>21200</v>
      </c>
      <c r="T323" s="12"/>
      <c r="U323" s="12">
        <v>21315</v>
      </c>
      <c r="V323" s="12"/>
      <c r="W323" s="12">
        <f t="shared" si="31"/>
        <v>25299</v>
      </c>
      <c r="X323" s="12">
        <f t="shared" si="32"/>
        <v>25200</v>
      </c>
    </row>
    <row r="324" spans="1:24" s="6" customFormat="1" ht="21.95" customHeight="1" x14ac:dyDescent="0.2">
      <c r="A324" s="6" t="s">
        <v>17</v>
      </c>
      <c r="B324" s="6" t="s">
        <v>1588</v>
      </c>
      <c r="C324" s="6" t="s">
        <v>166</v>
      </c>
      <c r="D324" s="6" t="s">
        <v>162</v>
      </c>
      <c r="G324" s="6">
        <v>232</v>
      </c>
      <c r="H324" s="6">
        <v>70</v>
      </c>
      <c r="I324" s="9">
        <v>93</v>
      </c>
      <c r="J324" s="9"/>
      <c r="K324" s="9">
        <v>44004534</v>
      </c>
      <c r="L324" s="6" t="str">
        <f t="shared" si="26"/>
        <v xml:space="preserve">HL AKSA KOLTUK 3 LÜ </v>
      </c>
      <c r="M324" s="12">
        <v>0.4</v>
      </c>
      <c r="N324" s="12">
        <v>0.4</v>
      </c>
      <c r="O324" s="12">
        <v>34741</v>
      </c>
      <c r="P324" s="12">
        <f t="shared" si="27"/>
        <v>20844.599999999999</v>
      </c>
      <c r="Q324" s="12">
        <f t="shared" si="30"/>
        <v>43773.659999999996</v>
      </c>
      <c r="R324" s="33">
        <f t="shared" si="29"/>
        <v>43700</v>
      </c>
      <c r="T324" s="12"/>
      <c r="U324" s="12">
        <v>40300</v>
      </c>
      <c r="V324" s="12"/>
      <c r="W324" s="12">
        <f t="shared" si="31"/>
        <v>52111.5</v>
      </c>
      <c r="X324" s="12">
        <f t="shared" si="32"/>
        <v>52100</v>
      </c>
    </row>
    <row r="325" spans="1:24" s="6" customFormat="1" ht="21.95" customHeight="1" x14ac:dyDescent="0.2">
      <c r="A325" s="6" t="s">
        <v>17</v>
      </c>
      <c r="B325" s="6" t="s">
        <v>1588</v>
      </c>
      <c r="C325" s="6" t="s">
        <v>166</v>
      </c>
      <c r="D325" s="6" t="s">
        <v>167</v>
      </c>
      <c r="G325" s="6">
        <v>330</v>
      </c>
      <c r="H325" s="6">
        <v>70</v>
      </c>
      <c r="I325" s="9">
        <v>93</v>
      </c>
      <c r="J325" s="9"/>
      <c r="K325" s="9">
        <v>44004535</v>
      </c>
      <c r="L325" s="6" t="str">
        <f t="shared" ref="L325:L388" si="33">B325&amp;" "&amp;C325&amp;" "&amp;D325</f>
        <v>HL AKSA RELAX</v>
      </c>
      <c r="M325" s="12">
        <v>0.4</v>
      </c>
      <c r="N325" s="12">
        <v>0.4</v>
      </c>
      <c r="O325" s="12">
        <v>66000</v>
      </c>
      <c r="P325" s="12">
        <f t="shared" ref="P325:P388" si="34">O325*(1-N325)</f>
        <v>39600</v>
      </c>
      <c r="Q325" s="12">
        <f t="shared" si="30"/>
        <v>83160</v>
      </c>
      <c r="R325" s="33">
        <f t="shared" ref="R325:R388" si="35">ROUNDDOWN(Q325,-2)</f>
        <v>83100</v>
      </c>
      <c r="T325" s="12"/>
      <c r="U325" s="12">
        <v>76560</v>
      </c>
      <c r="V325" s="12"/>
      <c r="W325" s="12">
        <f t="shared" si="31"/>
        <v>99000</v>
      </c>
      <c r="X325" s="12">
        <f t="shared" si="32"/>
        <v>99000</v>
      </c>
    </row>
    <row r="326" spans="1:24" s="6" customFormat="1" ht="21.95" customHeight="1" x14ac:dyDescent="0.2">
      <c r="A326" s="6" t="s">
        <v>17</v>
      </c>
      <c r="B326" s="6" t="s">
        <v>1588</v>
      </c>
      <c r="C326" s="6" t="s">
        <v>166</v>
      </c>
      <c r="D326" s="6" t="s">
        <v>168</v>
      </c>
      <c r="G326" s="6">
        <v>73</v>
      </c>
      <c r="H326" s="6">
        <v>73</v>
      </c>
      <c r="I326" s="9">
        <v>73</v>
      </c>
      <c r="J326" s="9"/>
      <c r="K326" s="9">
        <v>44004536</v>
      </c>
      <c r="L326" s="6" t="str">
        <f t="shared" si="33"/>
        <v xml:space="preserve">HL AKSA BERJER </v>
      </c>
      <c r="M326" s="12">
        <v>0.4</v>
      </c>
      <c r="N326" s="12">
        <v>0.4</v>
      </c>
      <c r="O326" s="12">
        <v>15766</v>
      </c>
      <c r="P326" s="12">
        <f t="shared" si="34"/>
        <v>9459.6</v>
      </c>
      <c r="Q326" s="12">
        <f t="shared" si="30"/>
        <v>19865.16</v>
      </c>
      <c r="R326" s="33">
        <f t="shared" si="35"/>
        <v>19800</v>
      </c>
      <c r="T326" s="12"/>
      <c r="U326" s="12">
        <v>18289</v>
      </c>
      <c r="V326" s="12"/>
      <c r="W326" s="12">
        <f t="shared" si="31"/>
        <v>23649</v>
      </c>
      <c r="X326" s="12">
        <f t="shared" si="32"/>
        <v>23600</v>
      </c>
    </row>
    <row r="327" spans="1:24" s="6" customFormat="1" ht="21.95" customHeight="1" x14ac:dyDescent="0.2">
      <c r="A327" s="6" t="s">
        <v>17</v>
      </c>
      <c r="B327" s="6" t="s">
        <v>1588</v>
      </c>
      <c r="C327" s="6" t="s">
        <v>169</v>
      </c>
      <c r="D327" s="6" t="s">
        <v>25</v>
      </c>
      <c r="G327" s="6">
        <v>56</v>
      </c>
      <c r="H327" s="6">
        <v>90</v>
      </c>
      <c r="I327" s="9">
        <v>58</v>
      </c>
      <c r="J327" s="9"/>
      <c r="K327" s="9">
        <v>44004537</v>
      </c>
      <c r="L327" s="6" t="str">
        <f t="shared" si="33"/>
        <v>HL SENFONİ SANDALYE</v>
      </c>
      <c r="M327" s="12">
        <v>0.4</v>
      </c>
      <c r="N327" s="12">
        <v>0.4</v>
      </c>
      <c r="O327" s="12">
        <v>5133</v>
      </c>
      <c r="P327" s="12">
        <f t="shared" si="34"/>
        <v>3079.7999999999997</v>
      </c>
      <c r="Q327" s="12">
        <f t="shared" si="30"/>
        <v>6467.58</v>
      </c>
      <c r="R327" s="33">
        <f t="shared" si="35"/>
        <v>6400</v>
      </c>
      <c r="T327" s="12"/>
      <c r="U327" s="12"/>
      <c r="V327" s="12"/>
      <c r="W327" s="12">
        <f t="shared" si="31"/>
        <v>7699.4999999999991</v>
      </c>
      <c r="X327" s="12">
        <f t="shared" si="32"/>
        <v>7600</v>
      </c>
    </row>
    <row r="328" spans="1:24" s="6" customFormat="1" ht="21.95" customHeight="1" x14ac:dyDescent="0.2">
      <c r="A328" s="6" t="s">
        <v>17</v>
      </c>
      <c r="B328" s="6" t="s">
        <v>1588</v>
      </c>
      <c r="C328" s="6" t="s">
        <v>169</v>
      </c>
      <c r="D328" s="6" t="s">
        <v>49</v>
      </c>
      <c r="G328" s="6">
        <v>238</v>
      </c>
      <c r="H328" s="6">
        <v>86</v>
      </c>
      <c r="I328" s="9">
        <v>46</v>
      </c>
      <c r="J328" s="9"/>
      <c r="K328" s="9">
        <v>44004538</v>
      </c>
      <c r="L328" s="6" t="str">
        <f t="shared" si="33"/>
        <v>HL SENFONİ KONSOL</v>
      </c>
      <c r="M328" s="12">
        <v>0.4</v>
      </c>
      <c r="N328" s="12">
        <v>0.4</v>
      </c>
      <c r="O328" s="12">
        <v>45375</v>
      </c>
      <c r="P328" s="12">
        <f t="shared" si="34"/>
        <v>27225</v>
      </c>
      <c r="Q328" s="12">
        <f t="shared" si="30"/>
        <v>57172.5</v>
      </c>
      <c r="R328" s="33">
        <f t="shared" si="35"/>
        <v>57100</v>
      </c>
      <c r="T328" s="12"/>
      <c r="U328" s="12"/>
      <c r="V328" s="12"/>
      <c r="W328" s="12">
        <f t="shared" si="31"/>
        <v>68062.5</v>
      </c>
      <c r="X328" s="12">
        <f t="shared" si="32"/>
        <v>68000</v>
      </c>
    </row>
    <row r="329" spans="1:24" s="6" customFormat="1" ht="21.95" customHeight="1" x14ac:dyDescent="0.2">
      <c r="A329" s="6" t="s">
        <v>17</v>
      </c>
      <c r="B329" s="6" t="s">
        <v>1588</v>
      </c>
      <c r="C329" s="6" t="s">
        <v>169</v>
      </c>
      <c r="D329" s="6" t="s">
        <v>152</v>
      </c>
      <c r="I329" s="9"/>
      <c r="J329" s="9"/>
      <c r="K329" s="9">
        <v>44004539</v>
      </c>
      <c r="L329" s="6" t="str">
        <f t="shared" si="33"/>
        <v>HL SENFONİ AYNA</v>
      </c>
      <c r="M329" s="12">
        <v>0.4</v>
      </c>
      <c r="N329" s="12">
        <v>0.4</v>
      </c>
      <c r="O329" s="12">
        <v>6050</v>
      </c>
      <c r="P329" s="12">
        <f t="shared" si="34"/>
        <v>3630</v>
      </c>
      <c r="Q329" s="12">
        <f t="shared" si="30"/>
        <v>7623</v>
      </c>
      <c r="R329" s="33">
        <f t="shared" si="35"/>
        <v>7600</v>
      </c>
      <c r="T329" s="12"/>
      <c r="U329" s="12"/>
      <c r="V329" s="12"/>
      <c r="W329" s="12">
        <f t="shared" si="31"/>
        <v>9075</v>
      </c>
      <c r="X329" s="12">
        <f t="shared" si="32"/>
        <v>9000</v>
      </c>
    </row>
    <row r="330" spans="1:24" s="6" customFormat="1" ht="21.95" customHeight="1" x14ac:dyDescent="0.2">
      <c r="A330" s="6" t="s">
        <v>17</v>
      </c>
      <c r="B330" s="6" t="s">
        <v>1588</v>
      </c>
      <c r="C330" s="6" t="s">
        <v>169</v>
      </c>
      <c r="D330" s="6" t="s">
        <v>153</v>
      </c>
      <c r="G330" s="6">
        <v>208</v>
      </c>
      <c r="H330" s="6">
        <v>76</v>
      </c>
      <c r="I330" s="9">
        <v>104</v>
      </c>
      <c r="J330" s="9"/>
      <c r="K330" s="9">
        <v>44004540</v>
      </c>
      <c r="L330" s="6" t="str">
        <f t="shared" si="33"/>
        <v>HL SENFONİ MASA SABİT</v>
      </c>
      <c r="M330" s="12">
        <v>0.4</v>
      </c>
      <c r="N330" s="12">
        <v>0.4</v>
      </c>
      <c r="O330" s="12">
        <v>36548</v>
      </c>
      <c r="P330" s="12">
        <f t="shared" si="34"/>
        <v>21928.799999999999</v>
      </c>
      <c r="Q330" s="12">
        <f t="shared" si="30"/>
        <v>46050.48</v>
      </c>
      <c r="R330" s="33">
        <f t="shared" si="35"/>
        <v>46000</v>
      </c>
      <c r="T330" s="12"/>
      <c r="U330" s="12"/>
      <c r="V330" s="12"/>
      <c r="W330" s="12">
        <f t="shared" si="31"/>
        <v>54822</v>
      </c>
      <c r="X330" s="12">
        <f t="shared" si="32"/>
        <v>54800</v>
      </c>
    </row>
    <row r="331" spans="1:24" s="6" customFormat="1" ht="21.95" customHeight="1" x14ac:dyDescent="0.2">
      <c r="A331" s="6" t="s">
        <v>17</v>
      </c>
      <c r="B331" s="6" t="s">
        <v>1588</v>
      </c>
      <c r="C331" s="6" t="s">
        <v>169</v>
      </c>
      <c r="D331" s="6" t="s">
        <v>102</v>
      </c>
      <c r="G331" s="6">
        <v>238</v>
      </c>
      <c r="H331" s="6">
        <v>57</v>
      </c>
      <c r="I331" s="9">
        <v>46</v>
      </c>
      <c r="J331" s="9"/>
      <c r="K331" s="9">
        <v>44004541</v>
      </c>
      <c r="L331" s="6" t="str">
        <f t="shared" si="33"/>
        <v>HL SENFONİ TV ÜNİTESİ ALT BLOK</v>
      </c>
      <c r="M331" s="12">
        <v>0.4</v>
      </c>
      <c r="N331" s="12">
        <v>0.4</v>
      </c>
      <c r="O331" s="12">
        <v>39784</v>
      </c>
      <c r="P331" s="12">
        <f t="shared" si="34"/>
        <v>23870.399999999998</v>
      </c>
      <c r="Q331" s="12">
        <f t="shared" si="30"/>
        <v>50127.839999999997</v>
      </c>
      <c r="R331" s="33">
        <f t="shared" si="35"/>
        <v>50100</v>
      </c>
      <c r="T331" s="12"/>
      <c r="U331" s="12"/>
      <c r="V331" s="12"/>
      <c r="W331" s="12">
        <f t="shared" si="31"/>
        <v>59675.999999999993</v>
      </c>
      <c r="X331" s="12">
        <f t="shared" si="32"/>
        <v>59600</v>
      </c>
    </row>
    <row r="332" spans="1:24" s="6" customFormat="1" ht="21.95" customHeight="1" x14ac:dyDescent="0.2">
      <c r="A332" s="6" t="s">
        <v>17</v>
      </c>
      <c r="B332" s="6" t="s">
        <v>1588</v>
      </c>
      <c r="C332" s="6" t="s">
        <v>169</v>
      </c>
      <c r="D332" s="6" t="s">
        <v>46</v>
      </c>
      <c r="G332" s="6">
        <v>99</v>
      </c>
      <c r="H332" s="6">
        <v>72</v>
      </c>
      <c r="I332" s="9">
        <v>25</v>
      </c>
      <c r="J332" s="9"/>
      <c r="K332" s="9">
        <v>44004542</v>
      </c>
      <c r="L332" s="6" t="str">
        <f t="shared" si="33"/>
        <v>HL SENFONİ TV ÜNİTESİ ÜST BLOK</v>
      </c>
      <c r="M332" s="12">
        <v>0.4</v>
      </c>
      <c r="N332" s="12">
        <v>0.4</v>
      </c>
      <c r="O332" s="12">
        <v>10450</v>
      </c>
      <c r="P332" s="12">
        <f t="shared" si="34"/>
        <v>6270</v>
      </c>
      <c r="Q332" s="12">
        <f t="shared" si="30"/>
        <v>13167</v>
      </c>
      <c r="R332" s="33">
        <f t="shared" si="35"/>
        <v>13100</v>
      </c>
      <c r="T332" s="12"/>
      <c r="U332" s="12"/>
      <c r="V332" s="12"/>
      <c r="W332" s="12">
        <f t="shared" si="31"/>
        <v>15675</v>
      </c>
      <c r="X332" s="12">
        <f t="shared" si="32"/>
        <v>15600</v>
      </c>
    </row>
    <row r="333" spans="1:24" s="6" customFormat="1" ht="21.95" customHeight="1" x14ac:dyDescent="0.2">
      <c r="A333" s="6" t="s">
        <v>17</v>
      </c>
      <c r="B333" s="6" t="s">
        <v>1588</v>
      </c>
      <c r="C333" s="6" t="s">
        <v>169</v>
      </c>
      <c r="D333" s="6" t="s">
        <v>170</v>
      </c>
      <c r="G333" s="6">
        <v>120</v>
      </c>
      <c r="H333" s="6">
        <v>29</v>
      </c>
      <c r="I333" s="9">
        <v>120</v>
      </c>
      <c r="J333" s="9"/>
      <c r="K333" s="9">
        <v>44004543</v>
      </c>
      <c r="L333" s="6" t="str">
        <f t="shared" si="33"/>
        <v>HL SENFONİ ORTA SEHPA BÜYÜK BOY</v>
      </c>
      <c r="M333" s="12">
        <v>0.4</v>
      </c>
      <c r="N333" s="12">
        <v>0.4</v>
      </c>
      <c r="O333" s="12">
        <v>16041</v>
      </c>
      <c r="P333" s="12">
        <f t="shared" si="34"/>
        <v>9624.6</v>
      </c>
      <c r="Q333" s="12">
        <f t="shared" si="30"/>
        <v>20211.66</v>
      </c>
      <c r="R333" s="33">
        <f t="shared" si="35"/>
        <v>20200</v>
      </c>
      <c r="T333" s="12"/>
      <c r="U333" s="12"/>
      <c r="V333" s="12"/>
      <c r="W333" s="12">
        <f t="shared" si="31"/>
        <v>24061.5</v>
      </c>
      <c r="X333" s="12">
        <f t="shared" si="32"/>
        <v>24000</v>
      </c>
    </row>
    <row r="334" spans="1:24" s="6" customFormat="1" ht="21.95" customHeight="1" x14ac:dyDescent="0.2">
      <c r="A334" s="6" t="s">
        <v>17</v>
      </c>
      <c r="B334" s="6" t="s">
        <v>1588</v>
      </c>
      <c r="C334" s="6" t="s">
        <v>169</v>
      </c>
      <c r="D334" s="6" t="s">
        <v>171</v>
      </c>
      <c r="G334" s="6">
        <v>60</v>
      </c>
      <c r="H334" s="6">
        <v>36</v>
      </c>
      <c r="I334" s="9">
        <v>60</v>
      </c>
      <c r="J334" s="9"/>
      <c r="K334" s="9">
        <v>44004544</v>
      </c>
      <c r="L334" s="6" t="str">
        <f t="shared" si="33"/>
        <v>HL SENFONİ ORTA SEHPA KÜÇÜK BOY</v>
      </c>
      <c r="M334" s="12">
        <v>0.4</v>
      </c>
      <c r="N334" s="12">
        <v>0.4</v>
      </c>
      <c r="O334" s="12">
        <v>12100</v>
      </c>
      <c r="P334" s="12">
        <f t="shared" si="34"/>
        <v>7260</v>
      </c>
      <c r="Q334" s="12">
        <f t="shared" si="30"/>
        <v>15246</v>
      </c>
      <c r="R334" s="33">
        <f t="shared" si="35"/>
        <v>15200</v>
      </c>
      <c r="T334" s="12"/>
      <c r="U334" s="12"/>
      <c r="V334" s="12"/>
      <c r="W334" s="12">
        <f t="shared" si="31"/>
        <v>18150</v>
      </c>
      <c r="X334" s="12">
        <f t="shared" si="32"/>
        <v>18100</v>
      </c>
    </row>
    <row r="335" spans="1:24" s="6" customFormat="1" ht="21.95" customHeight="1" x14ac:dyDescent="0.2">
      <c r="A335" s="6" t="s">
        <v>17</v>
      </c>
      <c r="B335" s="6" t="s">
        <v>1588</v>
      </c>
      <c r="C335" s="6" t="s">
        <v>169</v>
      </c>
      <c r="D335" s="6" t="s">
        <v>172</v>
      </c>
      <c r="G335" s="6">
        <v>260</v>
      </c>
      <c r="H335" s="6">
        <v>77</v>
      </c>
      <c r="I335" s="9">
        <v>102</v>
      </c>
      <c r="J335" s="9"/>
      <c r="K335" s="9">
        <v>44004545</v>
      </c>
      <c r="L335" s="6" t="str">
        <f t="shared" si="33"/>
        <v xml:space="preserve">HL SENFONİ KOLTUK 4 LÜ </v>
      </c>
      <c r="M335" s="12">
        <v>0.4</v>
      </c>
      <c r="N335" s="12">
        <v>0.4</v>
      </c>
      <c r="O335" s="12">
        <v>49409</v>
      </c>
      <c r="P335" s="12">
        <f t="shared" si="34"/>
        <v>29645.399999999998</v>
      </c>
      <c r="Q335" s="12">
        <f t="shared" si="30"/>
        <v>62255.34</v>
      </c>
      <c r="R335" s="33">
        <f t="shared" si="35"/>
        <v>62200</v>
      </c>
      <c r="T335" s="12"/>
      <c r="U335" s="12">
        <v>57314</v>
      </c>
      <c r="V335" s="12"/>
      <c r="W335" s="12">
        <f t="shared" si="31"/>
        <v>74113.5</v>
      </c>
      <c r="X335" s="12">
        <f t="shared" si="32"/>
        <v>74100</v>
      </c>
    </row>
    <row r="336" spans="1:24" s="6" customFormat="1" ht="21.95" customHeight="1" x14ac:dyDescent="0.2">
      <c r="A336" s="5" t="s">
        <v>17</v>
      </c>
      <c r="B336" s="6" t="s">
        <v>1588</v>
      </c>
      <c r="C336" s="6" t="s">
        <v>169</v>
      </c>
      <c r="D336" s="6" t="s">
        <v>33</v>
      </c>
      <c r="E336" s="5"/>
      <c r="F336" s="5"/>
      <c r="I336" s="9"/>
      <c r="J336" s="9"/>
      <c r="K336" s="9">
        <v>44004546</v>
      </c>
      <c r="L336" s="6" t="str">
        <f t="shared" si="33"/>
        <v>HL SENFONİ BERJER</v>
      </c>
      <c r="M336" s="8">
        <v>0.4</v>
      </c>
      <c r="N336" s="8">
        <v>0.4</v>
      </c>
      <c r="O336" s="12">
        <v>20075</v>
      </c>
      <c r="P336" s="8">
        <f t="shared" si="34"/>
        <v>12045</v>
      </c>
      <c r="Q336" s="12">
        <f t="shared" si="30"/>
        <v>25294.5</v>
      </c>
      <c r="R336" s="31">
        <f t="shared" si="35"/>
        <v>25200</v>
      </c>
      <c r="S336" s="5"/>
      <c r="T336" s="8"/>
      <c r="U336" s="8">
        <v>23287</v>
      </c>
      <c r="V336" s="12"/>
      <c r="W336" s="12">
        <f t="shared" si="31"/>
        <v>30112.5</v>
      </c>
      <c r="X336" s="12">
        <f t="shared" si="32"/>
        <v>30100</v>
      </c>
    </row>
    <row r="337" spans="1:24" s="6" customFormat="1" ht="21.95" customHeight="1" x14ac:dyDescent="0.2">
      <c r="A337" s="5" t="s">
        <v>17</v>
      </c>
      <c r="B337" s="6" t="s">
        <v>1588</v>
      </c>
      <c r="C337" s="6" t="s">
        <v>169</v>
      </c>
      <c r="D337" s="6" t="s">
        <v>157</v>
      </c>
      <c r="E337" s="5"/>
      <c r="F337" s="5"/>
      <c r="G337" s="6">
        <v>80</v>
      </c>
      <c r="H337" s="6">
        <v>77</v>
      </c>
      <c r="I337" s="9">
        <v>100</v>
      </c>
      <c r="J337" s="9"/>
      <c r="K337" s="9">
        <v>44004547</v>
      </c>
      <c r="L337" s="6" t="str">
        <f t="shared" si="33"/>
        <v>HL SENFONİ ARA MODÜL</v>
      </c>
      <c r="M337" s="8">
        <v>0.4</v>
      </c>
      <c r="N337" s="8">
        <v>0.4</v>
      </c>
      <c r="O337" s="12">
        <v>19800</v>
      </c>
      <c r="P337" s="8">
        <f t="shared" si="34"/>
        <v>11880</v>
      </c>
      <c r="Q337" s="12">
        <f t="shared" si="30"/>
        <v>24948</v>
      </c>
      <c r="R337" s="31">
        <f t="shared" si="35"/>
        <v>24900</v>
      </c>
      <c r="S337" s="5"/>
      <c r="T337" s="8"/>
      <c r="U337" s="8">
        <v>24457</v>
      </c>
      <c r="V337" s="12"/>
      <c r="W337" s="12">
        <f t="shared" si="31"/>
        <v>29700</v>
      </c>
      <c r="X337" s="12">
        <f t="shared" si="32"/>
        <v>29700</v>
      </c>
    </row>
    <row r="338" spans="1:24" s="6" customFormat="1" ht="21.95" customHeight="1" x14ac:dyDescent="0.2">
      <c r="A338" s="5" t="s">
        <v>17</v>
      </c>
      <c r="B338" s="6" t="s">
        <v>1588</v>
      </c>
      <c r="C338" s="6" t="s">
        <v>169</v>
      </c>
      <c r="D338" s="6" t="s">
        <v>59</v>
      </c>
      <c r="E338" s="5"/>
      <c r="F338" s="5"/>
      <c r="I338" s="9"/>
      <c r="J338" s="9"/>
      <c r="K338" s="9">
        <v>44004548</v>
      </c>
      <c r="L338" s="6" t="str">
        <f t="shared" si="33"/>
        <v>HL SENFONİ KÖŞE MODÜL</v>
      </c>
      <c r="M338" s="8">
        <v>0.4</v>
      </c>
      <c r="N338" s="8">
        <v>0.4</v>
      </c>
      <c r="O338" s="12">
        <v>21084</v>
      </c>
      <c r="P338" s="8">
        <f t="shared" si="34"/>
        <v>12650.4</v>
      </c>
      <c r="Q338" s="12">
        <f t="shared" si="30"/>
        <v>26565.84</v>
      </c>
      <c r="R338" s="31">
        <f t="shared" si="35"/>
        <v>26500</v>
      </c>
      <c r="S338" s="5"/>
      <c r="T338" s="8"/>
      <c r="U338" s="8"/>
      <c r="V338" s="12"/>
      <c r="W338" s="12">
        <f t="shared" si="31"/>
        <v>31626</v>
      </c>
      <c r="X338" s="12">
        <f t="shared" si="32"/>
        <v>31600</v>
      </c>
    </row>
    <row r="339" spans="1:24" s="6" customFormat="1" ht="21.95" customHeight="1" x14ac:dyDescent="0.2">
      <c r="A339" s="5" t="s">
        <v>17</v>
      </c>
      <c r="B339" s="6" t="s">
        <v>1588</v>
      </c>
      <c r="C339" s="6" t="s">
        <v>169</v>
      </c>
      <c r="D339" s="6" t="s">
        <v>173</v>
      </c>
      <c r="E339" s="5"/>
      <c r="F339" s="5"/>
      <c r="G339" s="6">
        <v>130</v>
      </c>
      <c r="H339" s="6">
        <v>77</v>
      </c>
      <c r="I339" s="9">
        <v>102</v>
      </c>
      <c r="J339" s="9"/>
      <c r="K339" s="9">
        <v>44004549</v>
      </c>
      <c r="L339" s="6" t="str">
        <f t="shared" si="33"/>
        <v>HL SENFONİ TEK KOLLU MODÜL</v>
      </c>
      <c r="M339" s="8">
        <v>0.4</v>
      </c>
      <c r="N339" s="8">
        <v>0.4</v>
      </c>
      <c r="O339" s="12">
        <v>24704</v>
      </c>
      <c r="P339" s="8">
        <f t="shared" si="34"/>
        <v>14822.4</v>
      </c>
      <c r="Q339" s="12">
        <f t="shared" si="30"/>
        <v>31127.040000000001</v>
      </c>
      <c r="R339" s="31">
        <f t="shared" si="35"/>
        <v>31100</v>
      </c>
      <c r="S339" s="5"/>
      <c r="T339" s="8"/>
      <c r="U339" s="8">
        <v>28657</v>
      </c>
      <c r="V339" s="12"/>
      <c r="W339" s="12">
        <f t="shared" si="31"/>
        <v>37056</v>
      </c>
      <c r="X339" s="12">
        <f t="shared" si="32"/>
        <v>37000</v>
      </c>
    </row>
    <row r="340" spans="1:24" ht="21.95" customHeight="1" x14ac:dyDescent="0.2">
      <c r="A340" s="5" t="s">
        <v>17</v>
      </c>
      <c r="B340" s="5" t="s">
        <v>1588</v>
      </c>
      <c r="C340" s="5" t="s">
        <v>174</v>
      </c>
      <c r="D340" s="5" t="s">
        <v>25</v>
      </c>
      <c r="G340" s="5">
        <v>51</v>
      </c>
      <c r="H340" s="5">
        <v>84</v>
      </c>
      <c r="I340" s="7">
        <v>63</v>
      </c>
      <c r="K340" s="7">
        <v>44004550</v>
      </c>
      <c r="L340" s="5" t="str">
        <f t="shared" si="33"/>
        <v>HL HARLEY SANDALYE</v>
      </c>
      <c r="M340" s="8">
        <v>0.4</v>
      </c>
      <c r="N340" s="8">
        <v>0.4</v>
      </c>
      <c r="O340" s="8">
        <v>5333</v>
      </c>
      <c r="P340" s="8">
        <f t="shared" si="34"/>
        <v>3199.7999999999997</v>
      </c>
      <c r="Q340" s="12">
        <f t="shared" si="30"/>
        <v>6719.58</v>
      </c>
      <c r="R340" s="31">
        <f t="shared" si="35"/>
        <v>6700</v>
      </c>
      <c r="U340" s="8">
        <v>6400</v>
      </c>
      <c r="W340" s="8">
        <f t="shared" si="31"/>
        <v>7999.4999999999991</v>
      </c>
      <c r="X340" s="8">
        <f t="shared" si="32"/>
        <v>7900</v>
      </c>
    </row>
    <row r="341" spans="1:24" ht="21.95" customHeight="1" x14ac:dyDescent="0.2">
      <c r="A341" s="5" t="s">
        <v>17</v>
      </c>
      <c r="B341" s="5" t="s">
        <v>1588</v>
      </c>
      <c r="C341" s="5" t="s">
        <v>174</v>
      </c>
      <c r="D341" s="5" t="s">
        <v>49</v>
      </c>
      <c r="G341" s="5">
        <v>220</v>
      </c>
      <c r="H341" s="5">
        <v>85</v>
      </c>
      <c r="I341" s="7">
        <v>50</v>
      </c>
      <c r="K341" s="7">
        <v>44004551</v>
      </c>
      <c r="L341" s="5" t="str">
        <f t="shared" si="33"/>
        <v>HL HARLEY KONSOL</v>
      </c>
      <c r="M341" s="8">
        <v>0.4</v>
      </c>
      <c r="N341" s="8">
        <v>0.4</v>
      </c>
      <c r="O341" s="8">
        <v>37650</v>
      </c>
      <c r="P341" s="8">
        <f t="shared" si="34"/>
        <v>22590</v>
      </c>
      <c r="Q341" s="12">
        <f t="shared" si="30"/>
        <v>47439</v>
      </c>
      <c r="R341" s="31">
        <f t="shared" si="35"/>
        <v>47400</v>
      </c>
      <c r="U341" s="8">
        <v>45180</v>
      </c>
      <c r="W341" s="8">
        <f t="shared" si="31"/>
        <v>56475</v>
      </c>
      <c r="X341" s="8">
        <f t="shared" si="32"/>
        <v>56400</v>
      </c>
    </row>
    <row r="342" spans="1:24" ht="21.95" customHeight="1" x14ac:dyDescent="0.2">
      <c r="A342" s="5" t="s">
        <v>17</v>
      </c>
      <c r="B342" s="5" t="s">
        <v>1588</v>
      </c>
      <c r="C342" s="5" t="s">
        <v>174</v>
      </c>
      <c r="D342" s="5" t="s">
        <v>155</v>
      </c>
      <c r="G342" s="5">
        <v>220</v>
      </c>
      <c r="H342" s="5">
        <v>78</v>
      </c>
      <c r="I342" s="7">
        <v>105</v>
      </c>
      <c r="K342" s="7">
        <v>44004552</v>
      </c>
      <c r="L342" s="5" t="str">
        <f t="shared" si="33"/>
        <v>HL HARLEY MASA</v>
      </c>
      <c r="M342" s="8">
        <v>0.4</v>
      </c>
      <c r="N342" s="8">
        <v>0.4</v>
      </c>
      <c r="O342" s="8">
        <v>29600</v>
      </c>
      <c r="P342" s="8">
        <f t="shared" si="34"/>
        <v>17760</v>
      </c>
      <c r="Q342" s="12">
        <f t="shared" si="30"/>
        <v>37296</v>
      </c>
      <c r="R342" s="31">
        <f t="shared" si="35"/>
        <v>37200</v>
      </c>
      <c r="U342" s="8">
        <v>35520</v>
      </c>
      <c r="W342" s="8">
        <f t="shared" si="31"/>
        <v>44400</v>
      </c>
      <c r="X342" s="8">
        <f t="shared" si="32"/>
        <v>44400</v>
      </c>
    </row>
    <row r="343" spans="1:24" ht="21.95" customHeight="1" x14ac:dyDescent="0.2">
      <c r="A343" s="5" t="s">
        <v>17</v>
      </c>
      <c r="B343" s="5" t="s">
        <v>1588</v>
      </c>
      <c r="C343" s="5" t="s">
        <v>174</v>
      </c>
      <c r="D343" s="5" t="s">
        <v>152</v>
      </c>
      <c r="G343" s="5">
        <v>86</v>
      </c>
      <c r="H343" s="5">
        <v>95</v>
      </c>
      <c r="I343" s="7">
        <v>4</v>
      </c>
      <c r="K343" s="7">
        <v>44004553</v>
      </c>
      <c r="L343" s="5" t="str">
        <f t="shared" si="33"/>
        <v>HL HARLEY AYNA</v>
      </c>
      <c r="M343" s="8">
        <v>0.4</v>
      </c>
      <c r="N343" s="8">
        <v>0.4</v>
      </c>
      <c r="O343" s="8">
        <v>7340</v>
      </c>
      <c r="P343" s="8">
        <f t="shared" si="34"/>
        <v>4404</v>
      </c>
      <c r="Q343" s="12">
        <f t="shared" si="30"/>
        <v>9248.4</v>
      </c>
      <c r="R343" s="31">
        <f t="shared" si="35"/>
        <v>9200</v>
      </c>
      <c r="U343" s="8">
        <v>8808</v>
      </c>
      <c r="W343" s="8">
        <f t="shared" si="31"/>
        <v>11010</v>
      </c>
      <c r="X343" s="8">
        <f t="shared" si="32"/>
        <v>11000</v>
      </c>
    </row>
    <row r="344" spans="1:24" ht="21.95" customHeight="1" x14ac:dyDescent="0.2">
      <c r="A344" s="5" t="s">
        <v>17</v>
      </c>
      <c r="B344" s="5" t="s">
        <v>1588</v>
      </c>
      <c r="C344" s="5" t="s">
        <v>174</v>
      </c>
      <c r="D344" s="5" t="s">
        <v>102</v>
      </c>
      <c r="G344" s="5">
        <v>220</v>
      </c>
      <c r="H344" s="5">
        <v>65</v>
      </c>
      <c r="I344" s="7">
        <v>50</v>
      </c>
      <c r="K344" s="7">
        <v>44004554</v>
      </c>
      <c r="L344" s="5" t="str">
        <f t="shared" si="33"/>
        <v>HL HARLEY TV ÜNİTESİ ALT BLOK</v>
      </c>
      <c r="M344" s="8">
        <v>0.4</v>
      </c>
      <c r="N344" s="8">
        <v>0.4</v>
      </c>
      <c r="O344" s="8">
        <v>37065</v>
      </c>
      <c r="P344" s="8">
        <f t="shared" si="34"/>
        <v>22239</v>
      </c>
      <c r="Q344" s="12">
        <f t="shared" si="30"/>
        <v>46701.9</v>
      </c>
      <c r="R344" s="31">
        <f t="shared" si="35"/>
        <v>46700</v>
      </c>
      <c r="U344" s="8">
        <v>44478</v>
      </c>
      <c r="W344" s="8">
        <f t="shared" si="31"/>
        <v>55597.5</v>
      </c>
      <c r="X344" s="8">
        <f t="shared" si="32"/>
        <v>55500</v>
      </c>
    </row>
    <row r="345" spans="1:24" ht="21.95" customHeight="1" x14ac:dyDescent="0.2">
      <c r="A345" s="5" t="s">
        <v>17</v>
      </c>
      <c r="B345" s="5" t="s">
        <v>1588</v>
      </c>
      <c r="C345" s="5" t="s">
        <v>174</v>
      </c>
      <c r="D345" s="5" t="s">
        <v>46</v>
      </c>
      <c r="G345" s="5">
        <v>58</v>
      </c>
      <c r="H345" s="5">
        <v>98</v>
      </c>
      <c r="I345" s="7">
        <v>28</v>
      </c>
      <c r="K345" s="7">
        <v>44004555</v>
      </c>
      <c r="L345" s="5" t="str">
        <f t="shared" si="33"/>
        <v>HL HARLEY TV ÜNİTESİ ÜST BLOK</v>
      </c>
      <c r="M345" s="8">
        <v>0.4</v>
      </c>
      <c r="N345" s="8">
        <v>0.4</v>
      </c>
      <c r="O345" s="8">
        <v>10277</v>
      </c>
      <c r="P345" s="8">
        <f t="shared" si="34"/>
        <v>6166.2</v>
      </c>
      <c r="Q345" s="12">
        <f t="shared" ref="Q345:Q411" si="36">O345*(1-N345)*2.1</f>
        <v>12949.02</v>
      </c>
      <c r="R345" s="31">
        <f t="shared" si="35"/>
        <v>12900</v>
      </c>
      <c r="U345" s="8">
        <v>12332</v>
      </c>
      <c r="W345" s="8">
        <f t="shared" ref="W345:W411" si="37">P345*2.5</f>
        <v>15415.5</v>
      </c>
      <c r="X345" s="8">
        <f t="shared" ref="X345:X411" si="38">ROUNDDOWN(W345,-2)</f>
        <v>15400</v>
      </c>
    </row>
    <row r="346" spans="1:24" ht="21.95" customHeight="1" x14ac:dyDescent="0.2">
      <c r="A346" s="5" t="s">
        <v>17</v>
      </c>
      <c r="B346" s="5" t="s">
        <v>1588</v>
      </c>
      <c r="C346" s="5" t="s">
        <v>174</v>
      </c>
      <c r="D346" s="5" t="s">
        <v>29</v>
      </c>
      <c r="G346" s="5">
        <v>136</v>
      </c>
      <c r="H346" s="5">
        <v>45</v>
      </c>
      <c r="I346" s="7">
        <v>71</v>
      </c>
      <c r="K346" s="7">
        <v>44004556</v>
      </c>
      <c r="L346" s="5" t="str">
        <f t="shared" si="33"/>
        <v>HL HARLEY ORTA SEHPA</v>
      </c>
      <c r="M346" s="8">
        <v>0.4</v>
      </c>
      <c r="N346" s="8">
        <v>0.4</v>
      </c>
      <c r="O346" s="8">
        <v>12100</v>
      </c>
      <c r="P346" s="8">
        <f t="shared" si="34"/>
        <v>7260</v>
      </c>
      <c r="Q346" s="12">
        <f t="shared" si="36"/>
        <v>15246</v>
      </c>
      <c r="R346" s="31">
        <f t="shared" si="35"/>
        <v>15200</v>
      </c>
      <c r="U346" s="8">
        <v>15250</v>
      </c>
      <c r="W346" s="8">
        <f t="shared" si="37"/>
        <v>18150</v>
      </c>
      <c r="X346" s="8">
        <f t="shared" si="38"/>
        <v>18100</v>
      </c>
    </row>
    <row r="347" spans="1:24" ht="21.95" customHeight="1" x14ac:dyDescent="0.2">
      <c r="A347" s="5" t="s">
        <v>17</v>
      </c>
      <c r="B347" s="5" t="s">
        <v>1588</v>
      </c>
      <c r="C347" s="5" t="s">
        <v>174</v>
      </c>
      <c r="D347" s="5" t="s">
        <v>30</v>
      </c>
      <c r="G347" s="5">
        <v>55</v>
      </c>
      <c r="H347" s="5">
        <v>54</v>
      </c>
      <c r="I347" s="7">
        <v>55</v>
      </c>
      <c r="K347" s="7">
        <v>44004557</v>
      </c>
      <c r="L347" s="5" t="str">
        <f t="shared" si="33"/>
        <v>HL HARLEY YAN SEHPA</v>
      </c>
      <c r="M347" s="8">
        <v>0.4</v>
      </c>
      <c r="N347" s="8">
        <v>0.4</v>
      </c>
      <c r="O347" s="8">
        <v>6600</v>
      </c>
      <c r="P347" s="8">
        <f t="shared" si="34"/>
        <v>3960</v>
      </c>
      <c r="Q347" s="12">
        <f t="shared" si="36"/>
        <v>8316</v>
      </c>
      <c r="R347" s="31">
        <f t="shared" si="35"/>
        <v>8300</v>
      </c>
      <c r="U347" s="8">
        <v>8320</v>
      </c>
      <c r="W347" s="8">
        <f t="shared" si="37"/>
        <v>9900</v>
      </c>
      <c r="X347" s="8">
        <f t="shared" si="38"/>
        <v>9900</v>
      </c>
    </row>
    <row r="348" spans="1:24" ht="21.95" customHeight="1" x14ac:dyDescent="0.2">
      <c r="A348" s="5" t="s">
        <v>17</v>
      </c>
      <c r="B348" s="5" t="s">
        <v>1588</v>
      </c>
      <c r="C348" s="5" t="s">
        <v>174</v>
      </c>
      <c r="D348" s="5" t="s">
        <v>119</v>
      </c>
      <c r="G348" s="5">
        <v>86</v>
      </c>
      <c r="H348" s="5">
        <v>37</v>
      </c>
      <c r="I348" s="7">
        <v>49</v>
      </c>
      <c r="K348" s="7">
        <v>44004558</v>
      </c>
      <c r="L348" s="5" t="str">
        <f t="shared" si="33"/>
        <v>HL HARLEY PUF</v>
      </c>
      <c r="M348" s="8">
        <v>0.4</v>
      </c>
      <c r="N348" s="8">
        <v>0.4</v>
      </c>
      <c r="O348" s="8">
        <v>9716</v>
      </c>
      <c r="P348" s="8">
        <f t="shared" si="34"/>
        <v>5829.5999999999995</v>
      </c>
      <c r="Q348" s="12">
        <f t="shared" si="36"/>
        <v>12242.16</v>
      </c>
      <c r="R348" s="31">
        <f t="shared" si="35"/>
        <v>12200</v>
      </c>
      <c r="W348" s="8">
        <f t="shared" si="37"/>
        <v>14573.999999999998</v>
      </c>
      <c r="X348" s="8">
        <f t="shared" si="38"/>
        <v>14500</v>
      </c>
    </row>
    <row r="349" spans="1:24" ht="21.95" customHeight="1" x14ac:dyDescent="0.2">
      <c r="A349" s="5" t="s">
        <v>17</v>
      </c>
      <c r="B349" s="5" t="s">
        <v>1588</v>
      </c>
      <c r="C349" s="5" t="s">
        <v>174</v>
      </c>
      <c r="D349" s="5" t="s">
        <v>162</v>
      </c>
      <c r="G349" s="5">
        <v>243</v>
      </c>
      <c r="H349" s="5">
        <v>71</v>
      </c>
      <c r="I349" s="7">
        <v>95</v>
      </c>
      <c r="K349" s="7">
        <v>44004559</v>
      </c>
      <c r="L349" s="5" t="str">
        <f t="shared" si="33"/>
        <v xml:space="preserve">HL HARLEY KOLTUK 3 LÜ </v>
      </c>
      <c r="M349" s="8">
        <v>0.4</v>
      </c>
      <c r="N349" s="8">
        <v>0.4</v>
      </c>
      <c r="O349" s="8">
        <v>37571</v>
      </c>
      <c r="P349" s="8">
        <f t="shared" si="34"/>
        <v>22542.6</v>
      </c>
      <c r="Q349" s="12">
        <f t="shared" si="36"/>
        <v>47339.46</v>
      </c>
      <c r="R349" s="31">
        <f t="shared" si="35"/>
        <v>47300</v>
      </c>
      <c r="U349" s="8">
        <v>43582</v>
      </c>
      <c r="W349" s="8">
        <f t="shared" si="37"/>
        <v>56356.5</v>
      </c>
      <c r="X349" s="8">
        <f t="shared" si="38"/>
        <v>56300</v>
      </c>
    </row>
    <row r="350" spans="1:24" ht="21.95" customHeight="1" x14ac:dyDescent="0.2">
      <c r="A350" s="5" t="s">
        <v>17</v>
      </c>
      <c r="B350" s="5" t="s">
        <v>1588</v>
      </c>
      <c r="C350" s="5" t="s">
        <v>174</v>
      </c>
      <c r="D350" s="5" t="s">
        <v>33</v>
      </c>
      <c r="G350" s="5">
        <v>66</v>
      </c>
      <c r="H350" s="5">
        <v>71</v>
      </c>
      <c r="I350" s="7">
        <v>95</v>
      </c>
      <c r="K350" s="7">
        <v>44004560</v>
      </c>
      <c r="L350" s="5" t="str">
        <f t="shared" si="33"/>
        <v>HL HARLEY BERJER</v>
      </c>
      <c r="M350" s="8">
        <v>0.4</v>
      </c>
      <c r="N350" s="8">
        <v>0.4</v>
      </c>
      <c r="O350" s="8">
        <v>16340</v>
      </c>
      <c r="P350" s="8">
        <f t="shared" si="34"/>
        <v>9804</v>
      </c>
      <c r="Q350" s="12">
        <f t="shared" si="36"/>
        <v>20588.400000000001</v>
      </c>
      <c r="R350" s="31">
        <f t="shared" si="35"/>
        <v>20500</v>
      </c>
      <c r="U350" s="8">
        <v>18954</v>
      </c>
      <c r="W350" s="8">
        <f t="shared" si="37"/>
        <v>24510</v>
      </c>
      <c r="X350" s="8">
        <f t="shared" si="38"/>
        <v>24500</v>
      </c>
    </row>
    <row r="351" spans="1:24" ht="21.95" customHeight="1" x14ac:dyDescent="0.2">
      <c r="A351" s="5" t="s">
        <v>17</v>
      </c>
      <c r="B351" s="5" t="s">
        <v>1588</v>
      </c>
      <c r="C351" s="5" t="s">
        <v>174</v>
      </c>
      <c r="D351" s="5" t="s">
        <v>175</v>
      </c>
      <c r="K351" s="7">
        <v>44004561</v>
      </c>
      <c r="L351" s="5" t="str">
        <f t="shared" si="33"/>
        <v>HL HARLEY PUF AÇILI</v>
      </c>
      <c r="M351" s="8">
        <v>0.4</v>
      </c>
      <c r="N351" s="8">
        <v>0.4</v>
      </c>
      <c r="O351" s="8">
        <v>9857</v>
      </c>
      <c r="P351" s="8">
        <f t="shared" si="34"/>
        <v>5914.2</v>
      </c>
      <c r="Q351" s="12">
        <f t="shared" si="36"/>
        <v>12419.82</v>
      </c>
      <c r="R351" s="31">
        <f t="shared" si="35"/>
        <v>12400</v>
      </c>
      <c r="W351" s="8">
        <f t="shared" si="37"/>
        <v>14785.5</v>
      </c>
      <c r="X351" s="8">
        <f t="shared" si="38"/>
        <v>14700</v>
      </c>
    </row>
    <row r="352" spans="1:24" s="6" customFormat="1" ht="21.95" customHeight="1" x14ac:dyDescent="0.2">
      <c r="A352" s="6" t="s">
        <v>17</v>
      </c>
      <c r="B352" s="6" t="s">
        <v>1588</v>
      </c>
      <c r="C352" s="6" t="s">
        <v>176</v>
      </c>
      <c r="D352" s="6" t="s">
        <v>25</v>
      </c>
      <c r="G352" s="6">
        <v>56</v>
      </c>
      <c r="H352" s="6">
        <v>90</v>
      </c>
      <c r="I352" s="9">
        <v>58</v>
      </c>
      <c r="J352" s="9"/>
      <c r="K352" s="9">
        <v>44004562</v>
      </c>
      <c r="L352" s="6" t="str">
        <f t="shared" si="33"/>
        <v>HL SLOPE SANDALYE</v>
      </c>
      <c r="M352" s="12">
        <v>0.4</v>
      </c>
      <c r="N352" s="12">
        <v>0.4</v>
      </c>
      <c r="O352" s="12">
        <v>5133</v>
      </c>
      <c r="P352" s="12">
        <f t="shared" si="34"/>
        <v>3079.7999999999997</v>
      </c>
      <c r="Q352" s="12">
        <f t="shared" si="36"/>
        <v>6467.58</v>
      </c>
      <c r="R352" s="33">
        <f t="shared" si="35"/>
        <v>6400</v>
      </c>
      <c r="T352" s="12"/>
      <c r="U352" s="12"/>
      <c r="V352" s="12"/>
      <c r="W352" s="12">
        <f t="shared" si="37"/>
        <v>7699.4999999999991</v>
      </c>
      <c r="X352" s="12">
        <f t="shared" si="38"/>
        <v>7600</v>
      </c>
    </row>
    <row r="353" spans="1:24" s="6" customFormat="1" ht="21.95" customHeight="1" x14ac:dyDescent="0.2">
      <c r="A353" s="6" t="s">
        <v>17</v>
      </c>
      <c r="B353" s="6" t="s">
        <v>1588</v>
      </c>
      <c r="C353" s="6" t="s">
        <v>176</v>
      </c>
      <c r="D353" s="6" t="s">
        <v>177</v>
      </c>
      <c r="G353" s="6">
        <v>230</v>
      </c>
      <c r="H353" s="6">
        <v>80</v>
      </c>
      <c r="I353" s="9">
        <v>48</v>
      </c>
      <c r="J353" s="9"/>
      <c r="K353" s="9">
        <v>44004563</v>
      </c>
      <c r="L353" s="6" t="str">
        <f t="shared" si="33"/>
        <v>HL SLOPE KONSOL BASKILI</v>
      </c>
      <c r="M353" s="12">
        <v>0.4</v>
      </c>
      <c r="N353" s="12">
        <v>0.4</v>
      </c>
      <c r="O353" s="12">
        <v>35715</v>
      </c>
      <c r="P353" s="12">
        <f t="shared" si="34"/>
        <v>21429</v>
      </c>
      <c r="Q353" s="12">
        <f t="shared" si="36"/>
        <v>45000.9</v>
      </c>
      <c r="R353" s="33">
        <f t="shared" si="35"/>
        <v>45000</v>
      </c>
      <c r="T353" s="12"/>
      <c r="U353" s="12"/>
      <c r="V353" s="12"/>
      <c r="W353" s="12">
        <f t="shared" si="37"/>
        <v>53572.5</v>
      </c>
      <c r="X353" s="12">
        <f t="shared" si="38"/>
        <v>53500</v>
      </c>
    </row>
    <row r="354" spans="1:24" s="6" customFormat="1" ht="21.95" customHeight="1" x14ac:dyDescent="0.2">
      <c r="A354" s="6" t="s">
        <v>17</v>
      </c>
      <c r="B354" s="6" t="s">
        <v>1588</v>
      </c>
      <c r="C354" s="6" t="s">
        <v>176</v>
      </c>
      <c r="D354" s="6" t="s">
        <v>178</v>
      </c>
      <c r="G354" s="6">
        <v>200</v>
      </c>
      <c r="H354" s="6">
        <v>78</v>
      </c>
      <c r="I354" s="9">
        <v>100</v>
      </c>
      <c r="J354" s="9"/>
      <c r="K354" s="9">
        <v>44004564</v>
      </c>
      <c r="L354" s="6" t="str">
        <f t="shared" si="33"/>
        <v>HL SLOPE MASA BASKILI</v>
      </c>
      <c r="M354" s="12">
        <v>0.4</v>
      </c>
      <c r="N354" s="12">
        <v>0.4</v>
      </c>
      <c r="O354" s="12">
        <v>30613</v>
      </c>
      <c r="P354" s="12">
        <f t="shared" si="34"/>
        <v>18367.8</v>
      </c>
      <c r="Q354" s="12">
        <f t="shared" si="36"/>
        <v>38572.379999999997</v>
      </c>
      <c r="R354" s="33">
        <f t="shared" si="35"/>
        <v>38500</v>
      </c>
      <c r="T354" s="12"/>
      <c r="U354" s="12"/>
      <c r="V354" s="12"/>
      <c r="W354" s="12">
        <f t="shared" si="37"/>
        <v>45919.5</v>
      </c>
      <c r="X354" s="12">
        <f t="shared" si="38"/>
        <v>45900</v>
      </c>
    </row>
    <row r="355" spans="1:24" s="6" customFormat="1" ht="21.95" customHeight="1" x14ac:dyDescent="0.2">
      <c r="A355" s="6" t="s">
        <v>17</v>
      </c>
      <c r="B355" s="6" t="s">
        <v>1588</v>
      </c>
      <c r="C355" s="6" t="s">
        <v>176</v>
      </c>
      <c r="D355" s="6" t="s">
        <v>179</v>
      </c>
      <c r="G355" s="6">
        <v>230</v>
      </c>
      <c r="H355" s="6">
        <v>80</v>
      </c>
      <c r="I355" s="9">
        <v>48</v>
      </c>
      <c r="J355" s="9"/>
      <c r="K355" s="9">
        <v>44004565</v>
      </c>
      <c r="L355" s="6" t="str">
        <f t="shared" si="33"/>
        <v>HL SLOPE KONSOL SİNTERFLEX</v>
      </c>
      <c r="M355" s="12">
        <v>0.4</v>
      </c>
      <c r="N355" s="12">
        <v>0.4</v>
      </c>
      <c r="O355" s="12">
        <v>40480</v>
      </c>
      <c r="P355" s="12">
        <f t="shared" si="34"/>
        <v>24288</v>
      </c>
      <c r="Q355" s="12">
        <f t="shared" si="36"/>
        <v>51004.800000000003</v>
      </c>
      <c r="R355" s="33">
        <f t="shared" si="35"/>
        <v>51000</v>
      </c>
      <c r="T355" s="12"/>
      <c r="U355" s="12"/>
      <c r="V355" s="12"/>
      <c r="W355" s="12">
        <f t="shared" si="37"/>
        <v>60720</v>
      </c>
      <c r="X355" s="12">
        <f t="shared" si="38"/>
        <v>60700</v>
      </c>
    </row>
    <row r="356" spans="1:24" s="6" customFormat="1" ht="21.95" customHeight="1" x14ac:dyDescent="0.2">
      <c r="A356" s="6" t="s">
        <v>17</v>
      </c>
      <c r="B356" s="6" t="s">
        <v>1588</v>
      </c>
      <c r="C356" s="6" t="s">
        <v>176</v>
      </c>
      <c r="D356" s="6" t="s">
        <v>180</v>
      </c>
      <c r="G356" s="6">
        <v>200</v>
      </c>
      <c r="H356" s="6">
        <v>78</v>
      </c>
      <c r="I356" s="9">
        <v>100</v>
      </c>
      <c r="J356" s="9"/>
      <c r="K356" s="9">
        <v>44004566</v>
      </c>
      <c r="L356" s="6" t="str">
        <f t="shared" si="33"/>
        <v>HL SLOPE MASA SİNTERFLEX</v>
      </c>
      <c r="M356" s="12">
        <v>0.4</v>
      </c>
      <c r="N356" s="12">
        <v>0.4</v>
      </c>
      <c r="O356" s="12">
        <v>69786</v>
      </c>
      <c r="P356" s="12">
        <f t="shared" si="34"/>
        <v>41871.599999999999</v>
      </c>
      <c r="Q356" s="12">
        <f t="shared" si="36"/>
        <v>87930.36</v>
      </c>
      <c r="R356" s="33">
        <f t="shared" si="35"/>
        <v>87900</v>
      </c>
      <c r="T356" s="12"/>
      <c r="U356" s="12"/>
      <c r="V356" s="12"/>
      <c r="W356" s="12">
        <f t="shared" si="37"/>
        <v>104679</v>
      </c>
      <c r="X356" s="12">
        <f t="shared" si="38"/>
        <v>104600</v>
      </c>
    </row>
    <row r="357" spans="1:24" s="6" customFormat="1" ht="21.95" customHeight="1" x14ac:dyDescent="0.2">
      <c r="A357" s="6" t="s">
        <v>17</v>
      </c>
      <c r="B357" s="6" t="s">
        <v>1588</v>
      </c>
      <c r="C357" s="6" t="s">
        <v>176</v>
      </c>
      <c r="D357" s="6" t="s">
        <v>181</v>
      </c>
      <c r="G357" s="6">
        <v>230</v>
      </c>
      <c r="H357" s="6">
        <v>60</v>
      </c>
      <c r="I357" s="9">
        <v>48</v>
      </c>
      <c r="J357" s="9"/>
      <c r="K357" s="9">
        <v>44004567</v>
      </c>
      <c r="L357" s="6" t="str">
        <f t="shared" si="33"/>
        <v>HL SLOPE TV ÜNİTESİ ALT BLOK BASKILI</v>
      </c>
      <c r="M357" s="12">
        <v>0.4</v>
      </c>
      <c r="N357" s="12">
        <v>0.4</v>
      </c>
      <c r="O357" s="12">
        <v>24879</v>
      </c>
      <c r="P357" s="12">
        <f t="shared" si="34"/>
        <v>14927.4</v>
      </c>
      <c r="Q357" s="12">
        <f t="shared" si="36"/>
        <v>31347.54</v>
      </c>
      <c r="R357" s="33">
        <f t="shared" si="35"/>
        <v>31300</v>
      </c>
      <c r="T357" s="12"/>
      <c r="U357" s="12"/>
      <c r="V357" s="12"/>
      <c r="W357" s="12">
        <f t="shared" si="37"/>
        <v>37318.5</v>
      </c>
      <c r="X357" s="12">
        <f t="shared" si="38"/>
        <v>37300</v>
      </c>
    </row>
    <row r="358" spans="1:24" s="6" customFormat="1" ht="21.95" customHeight="1" x14ac:dyDescent="0.2">
      <c r="A358" s="6" t="s">
        <v>17</v>
      </c>
      <c r="B358" s="6" t="s">
        <v>1588</v>
      </c>
      <c r="C358" s="6" t="s">
        <v>176</v>
      </c>
      <c r="D358" s="6" t="s">
        <v>182</v>
      </c>
      <c r="G358" s="6">
        <v>29</v>
      </c>
      <c r="H358" s="6">
        <v>90</v>
      </c>
      <c r="I358" s="9">
        <v>30</v>
      </c>
      <c r="J358" s="9"/>
      <c r="K358" s="9">
        <v>44004568</v>
      </c>
      <c r="L358" s="6" t="str">
        <f t="shared" si="33"/>
        <v>HL SLOPE TV ÜNİTESİ ÜST BLOK BASKILI (2 ADET)</v>
      </c>
      <c r="M358" s="12">
        <v>0.4</v>
      </c>
      <c r="N358" s="12">
        <v>0.4</v>
      </c>
      <c r="O358" s="12">
        <v>13219</v>
      </c>
      <c r="P358" s="12">
        <f t="shared" si="34"/>
        <v>7931.4</v>
      </c>
      <c r="Q358" s="12">
        <f t="shared" si="36"/>
        <v>16655.939999999999</v>
      </c>
      <c r="R358" s="33">
        <f t="shared" si="35"/>
        <v>16600</v>
      </c>
      <c r="T358" s="12"/>
      <c r="U358" s="12"/>
      <c r="V358" s="12"/>
      <c r="W358" s="12">
        <f t="shared" si="37"/>
        <v>19828.5</v>
      </c>
      <c r="X358" s="12">
        <f t="shared" si="38"/>
        <v>19800</v>
      </c>
    </row>
    <row r="359" spans="1:24" s="6" customFormat="1" ht="21.95" customHeight="1" x14ac:dyDescent="0.2">
      <c r="A359" s="6" t="s">
        <v>17</v>
      </c>
      <c r="B359" s="6" t="s">
        <v>1588</v>
      </c>
      <c r="C359" s="6" t="s">
        <v>176</v>
      </c>
      <c r="D359" s="6" t="s">
        <v>183</v>
      </c>
      <c r="G359" s="6">
        <v>140</v>
      </c>
      <c r="H359" s="6">
        <v>90</v>
      </c>
      <c r="I359" s="9">
        <v>4</v>
      </c>
      <c r="J359" s="9"/>
      <c r="K359" s="9">
        <v>44004569</v>
      </c>
      <c r="L359" s="6" t="str">
        <f t="shared" si="33"/>
        <v>HL SLOPE TV PANO BASKILI</v>
      </c>
      <c r="M359" s="12">
        <v>0.4</v>
      </c>
      <c r="N359" s="12">
        <v>0.4</v>
      </c>
      <c r="O359" s="12">
        <v>7537</v>
      </c>
      <c r="P359" s="12">
        <f t="shared" si="34"/>
        <v>4522.2</v>
      </c>
      <c r="Q359" s="12">
        <f t="shared" si="36"/>
        <v>9496.6200000000008</v>
      </c>
      <c r="R359" s="33">
        <f t="shared" si="35"/>
        <v>9400</v>
      </c>
      <c r="T359" s="12"/>
      <c r="U359" s="12"/>
      <c r="V359" s="12"/>
      <c r="W359" s="12">
        <f t="shared" si="37"/>
        <v>11305.5</v>
      </c>
      <c r="X359" s="12">
        <f t="shared" si="38"/>
        <v>11300</v>
      </c>
    </row>
    <row r="360" spans="1:24" s="6" customFormat="1" ht="21.95" customHeight="1" x14ac:dyDescent="0.2">
      <c r="A360" s="6" t="s">
        <v>17</v>
      </c>
      <c r="B360" s="6" t="s">
        <v>1588</v>
      </c>
      <c r="C360" s="6" t="s">
        <v>176</v>
      </c>
      <c r="D360" s="6" t="s">
        <v>184</v>
      </c>
      <c r="G360" s="6">
        <v>230</v>
      </c>
      <c r="H360" s="6">
        <v>60</v>
      </c>
      <c r="I360" s="9">
        <v>48</v>
      </c>
      <c r="J360" s="9"/>
      <c r="K360" s="9">
        <v>44004570</v>
      </c>
      <c r="L360" s="6" t="str">
        <f t="shared" si="33"/>
        <v>HL SLOPE TV ÜNİTESİ ALT BLOK SİNTERFLEX</v>
      </c>
      <c r="M360" s="12">
        <v>0.4</v>
      </c>
      <c r="N360" s="12">
        <v>0.4</v>
      </c>
      <c r="O360" s="12">
        <v>33860</v>
      </c>
      <c r="P360" s="12">
        <f t="shared" si="34"/>
        <v>20316</v>
      </c>
      <c r="Q360" s="12">
        <f t="shared" si="36"/>
        <v>42663.6</v>
      </c>
      <c r="R360" s="33">
        <f t="shared" si="35"/>
        <v>42600</v>
      </c>
      <c r="T360" s="12"/>
      <c r="U360" s="12"/>
      <c r="V360" s="12"/>
      <c r="W360" s="12">
        <f t="shared" si="37"/>
        <v>50790</v>
      </c>
      <c r="X360" s="12">
        <f t="shared" si="38"/>
        <v>50700</v>
      </c>
    </row>
    <row r="361" spans="1:24" s="6" customFormat="1" ht="21.95" customHeight="1" x14ac:dyDescent="0.2">
      <c r="A361" s="6" t="s">
        <v>17</v>
      </c>
      <c r="B361" s="6" t="s">
        <v>1588</v>
      </c>
      <c r="C361" s="6" t="s">
        <v>176</v>
      </c>
      <c r="D361" s="6" t="s">
        <v>29</v>
      </c>
      <c r="G361" s="6">
        <v>80</v>
      </c>
      <c r="H361" s="6">
        <v>38</v>
      </c>
      <c r="I361" s="9">
        <v>80</v>
      </c>
      <c r="J361" s="9"/>
      <c r="K361" s="9">
        <v>44004571</v>
      </c>
      <c r="L361" s="6" t="str">
        <f t="shared" si="33"/>
        <v>HL SLOPE ORTA SEHPA</v>
      </c>
      <c r="M361" s="12">
        <v>0.4</v>
      </c>
      <c r="N361" s="12">
        <v>0.4</v>
      </c>
      <c r="O361" s="12">
        <v>17162</v>
      </c>
      <c r="P361" s="12">
        <f t="shared" si="34"/>
        <v>10297.199999999999</v>
      </c>
      <c r="Q361" s="12">
        <f t="shared" si="36"/>
        <v>21624.12</v>
      </c>
      <c r="R361" s="33">
        <f t="shared" si="35"/>
        <v>21600</v>
      </c>
      <c r="T361" s="12"/>
      <c r="U361" s="12"/>
      <c r="V361" s="12"/>
      <c r="W361" s="12">
        <f t="shared" si="37"/>
        <v>25742.999999999996</v>
      </c>
      <c r="X361" s="12">
        <f t="shared" si="38"/>
        <v>25700</v>
      </c>
    </row>
    <row r="362" spans="1:24" s="6" customFormat="1" ht="21.95" customHeight="1" x14ac:dyDescent="0.2">
      <c r="A362" s="6" t="s">
        <v>17</v>
      </c>
      <c r="B362" s="6" t="s">
        <v>1588</v>
      </c>
      <c r="C362" s="6" t="s">
        <v>176</v>
      </c>
      <c r="D362" s="6" t="s">
        <v>30</v>
      </c>
      <c r="G362" s="6">
        <v>30</v>
      </c>
      <c r="H362" s="6">
        <v>53</v>
      </c>
      <c r="I362" s="9">
        <v>30</v>
      </c>
      <c r="J362" s="9"/>
      <c r="K362" s="9">
        <v>44004572</v>
      </c>
      <c r="L362" s="6" t="str">
        <f t="shared" si="33"/>
        <v>HL SLOPE YAN SEHPA</v>
      </c>
      <c r="M362" s="12">
        <v>0.4</v>
      </c>
      <c r="N362" s="12">
        <v>0.4</v>
      </c>
      <c r="O362" s="12">
        <v>7885</v>
      </c>
      <c r="P362" s="12">
        <f t="shared" si="34"/>
        <v>4731</v>
      </c>
      <c r="Q362" s="12">
        <f t="shared" si="36"/>
        <v>9935.1</v>
      </c>
      <c r="R362" s="33">
        <f t="shared" si="35"/>
        <v>9900</v>
      </c>
      <c r="T362" s="12"/>
      <c r="U362" s="12"/>
      <c r="V362" s="12"/>
      <c r="W362" s="12">
        <f t="shared" si="37"/>
        <v>11827.5</v>
      </c>
      <c r="X362" s="12">
        <f t="shared" si="38"/>
        <v>11800</v>
      </c>
    </row>
    <row r="363" spans="1:24" s="6" customFormat="1" ht="21.95" customHeight="1" x14ac:dyDescent="0.2">
      <c r="A363" s="6" t="s">
        <v>17</v>
      </c>
      <c r="B363" s="6" t="s">
        <v>1588</v>
      </c>
      <c r="C363" s="6" t="s">
        <v>176</v>
      </c>
      <c r="D363" s="6" t="s">
        <v>185</v>
      </c>
      <c r="G363" s="6">
        <v>55</v>
      </c>
      <c r="H363" s="6">
        <v>43</v>
      </c>
      <c r="I363" s="9">
        <v>55</v>
      </c>
      <c r="J363" s="9"/>
      <c r="K363" s="9">
        <v>44004573</v>
      </c>
      <c r="L363" s="6" t="str">
        <f t="shared" si="33"/>
        <v>HL SLOPE ORTA 2. SEHPA</v>
      </c>
      <c r="M363" s="12">
        <v>0.4</v>
      </c>
      <c r="N363" s="12">
        <v>0.4</v>
      </c>
      <c r="O363" s="12">
        <v>12060</v>
      </c>
      <c r="P363" s="12">
        <f t="shared" si="34"/>
        <v>7236</v>
      </c>
      <c r="Q363" s="12">
        <f t="shared" si="36"/>
        <v>15195.6</v>
      </c>
      <c r="R363" s="33">
        <f t="shared" si="35"/>
        <v>15100</v>
      </c>
      <c r="T363" s="12"/>
      <c r="U363" s="12"/>
      <c r="V363" s="12"/>
      <c r="W363" s="12">
        <f t="shared" si="37"/>
        <v>18090</v>
      </c>
      <c r="X363" s="12">
        <f t="shared" si="38"/>
        <v>18000</v>
      </c>
    </row>
    <row r="364" spans="1:24" s="6" customFormat="1" ht="21.95" customHeight="1" x14ac:dyDescent="0.2">
      <c r="A364" s="6" t="s">
        <v>17</v>
      </c>
      <c r="B364" s="6" t="s">
        <v>1588</v>
      </c>
      <c r="C364" s="6" t="s">
        <v>176</v>
      </c>
      <c r="D364" s="6" t="s">
        <v>186</v>
      </c>
      <c r="G364" s="6">
        <v>330</v>
      </c>
      <c r="H364" s="6">
        <v>72</v>
      </c>
      <c r="I364" s="9">
        <v>176</v>
      </c>
      <c r="J364" s="9"/>
      <c r="K364" s="9">
        <v>44004574</v>
      </c>
      <c r="L364" s="6" t="str">
        <f t="shared" si="33"/>
        <v>HL SLOPE KOLTUK AMORF</v>
      </c>
      <c r="M364" s="12">
        <v>0.4</v>
      </c>
      <c r="N364" s="12">
        <v>0.4</v>
      </c>
      <c r="O364" s="12">
        <v>57052</v>
      </c>
      <c r="P364" s="12">
        <f t="shared" si="34"/>
        <v>34231.199999999997</v>
      </c>
      <c r="Q364" s="12">
        <f t="shared" si="36"/>
        <v>71885.52</v>
      </c>
      <c r="R364" s="33">
        <f t="shared" si="35"/>
        <v>71800</v>
      </c>
      <c r="T364" s="12"/>
      <c r="U364" s="12"/>
      <c r="V364" s="12"/>
      <c r="W364" s="12">
        <f t="shared" si="37"/>
        <v>85578</v>
      </c>
      <c r="X364" s="12">
        <f t="shared" si="38"/>
        <v>85500</v>
      </c>
    </row>
    <row r="365" spans="1:24" s="6" customFormat="1" ht="21.95" customHeight="1" x14ac:dyDescent="0.2">
      <c r="A365" s="6" t="s">
        <v>17</v>
      </c>
      <c r="B365" s="6" t="s">
        <v>1588</v>
      </c>
      <c r="C365" s="6" t="s">
        <v>176</v>
      </c>
      <c r="D365" s="6" t="s">
        <v>187</v>
      </c>
      <c r="G365" s="6">
        <v>245</v>
      </c>
      <c r="H365" s="6">
        <v>72</v>
      </c>
      <c r="I365" s="9">
        <v>90</v>
      </c>
      <c r="J365" s="9"/>
      <c r="K365" s="9">
        <v>44004575</v>
      </c>
      <c r="L365" s="6" t="str">
        <f t="shared" si="33"/>
        <v>HL SLOPE KOLTUK 3 LÜ DÜZ YÜKSEK</v>
      </c>
      <c r="M365" s="12">
        <v>0.4</v>
      </c>
      <c r="N365" s="12">
        <v>0.4</v>
      </c>
      <c r="O365" s="12">
        <v>37919</v>
      </c>
      <c r="P365" s="12">
        <f t="shared" si="34"/>
        <v>22751.399999999998</v>
      </c>
      <c r="Q365" s="12">
        <f t="shared" si="36"/>
        <v>47777.939999999995</v>
      </c>
      <c r="R365" s="33">
        <f t="shared" si="35"/>
        <v>47700</v>
      </c>
      <c r="T365" s="12"/>
      <c r="U365" s="12"/>
      <c r="V365" s="12"/>
      <c r="W365" s="12">
        <f t="shared" si="37"/>
        <v>56878.499999999993</v>
      </c>
      <c r="X365" s="12">
        <f t="shared" si="38"/>
        <v>56800</v>
      </c>
    </row>
    <row r="366" spans="1:24" s="6" customFormat="1" ht="21.95" customHeight="1" x14ac:dyDescent="0.2">
      <c r="A366" s="6" t="s">
        <v>17</v>
      </c>
      <c r="B366" s="6" t="s">
        <v>1588</v>
      </c>
      <c r="C366" s="6" t="s">
        <v>176</v>
      </c>
      <c r="D366" s="6" t="s">
        <v>33</v>
      </c>
      <c r="G366" s="6">
        <v>65</v>
      </c>
      <c r="H366" s="6">
        <v>76</v>
      </c>
      <c r="I366" s="9">
        <v>88</v>
      </c>
      <c r="J366" s="9"/>
      <c r="K366" s="9">
        <v>44004576</v>
      </c>
      <c r="L366" s="6" t="str">
        <f t="shared" si="33"/>
        <v>HL SLOPE BERJER</v>
      </c>
      <c r="M366" s="12">
        <v>0.4</v>
      </c>
      <c r="N366" s="12">
        <v>0.4</v>
      </c>
      <c r="O366" s="12">
        <v>16791</v>
      </c>
      <c r="P366" s="12">
        <f t="shared" si="34"/>
        <v>10074.6</v>
      </c>
      <c r="Q366" s="12">
        <f t="shared" si="36"/>
        <v>21156.66</v>
      </c>
      <c r="R366" s="33">
        <f t="shared" si="35"/>
        <v>21100</v>
      </c>
      <c r="T366" s="12"/>
      <c r="U366" s="12"/>
      <c r="V366" s="12"/>
      <c r="W366" s="12">
        <f t="shared" si="37"/>
        <v>25186.5</v>
      </c>
      <c r="X366" s="12">
        <f t="shared" si="38"/>
        <v>25100</v>
      </c>
    </row>
    <row r="367" spans="1:24" s="6" customFormat="1" ht="21.95" customHeight="1" x14ac:dyDescent="0.2">
      <c r="A367" s="6" t="s">
        <v>17</v>
      </c>
      <c r="B367" s="6" t="s">
        <v>1588</v>
      </c>
      <c r="C367" s="6" t="s">
        <v>176</v>
      </c>
      <c r="D367" s="6" t="s">
        <v>188</v>
      </c>
      <c r="I367" s="9"/>
      <c r="J367" s="9"/>
      <c r="K367" s="9">
        <v>44004577</v>
      </c>
      <c r="L367" s="6" t="str">
        <f t="shared" si="33"/>
        <v>HL SLOPE PUFF BÜYÜK</v>
      </c>
      <c r="M367" s="12">
        <v>0.4</v>
      </c>
      <c r="N367" s="12">
        <v>0.4</v>
      </c>
      <c r="O367" s="12">
        <v>4638</v>
      </c>
      <c r="P367" s="12">
        <f t="shared" si="34"/>
        <v>2782.7999999999997</v>
      </c>
      <c r="Q367" s="12">
        <f t="shared" si="36"/>
        <v>5843.88</v>
      </c>
      <c r="R367" s="33">
        <f t="shared" si="35"/>
        <v>5800</v>
      </c>
      <c r="T367" s="12"/>
      <c r="U367" s="12"/>
      <c r="V367" s="12"/>
      <c r="W367" s="12">
        <f t="shared" si="37"/>
        <v>6956.9999999999991</v>
      </c>
      <c r="X367" s="12">
        <f t="shared" si="38"/>
        <v>6900</v>
      </c>
    </row>
    <row r="368" spans="1:24" s="6" customFormat="1" ht="21.95" customHeight="1" x14ac:dyDescent="0.2">
      <c r="A368" s="6" t="s">
        <v>17</v>
      </c>
      <c r="B368" s="6" t="s">
        <v>1588</v>
      </c>
      <c r="C368" s="6" t="s">
        <v>176</v>
      </c>
      <c r="D368" s="6" t="s">
        <v>189</v>
      </c>
      <c r="I368" s="9"/>
      <c r="J368" s="9"/>
      <c r="K368" s="9">
        <v>44004578</v>
      </c>
      <c r="L368" s="6" t="str">
        <f t="shared" si="33"/>
        <v>HL SLOPE PUFF KÜÇÜK</v>
      </c>
      <c r="M368" s="12">
        <v>0.4</v>
      </c>
      <c r="N368" s="12">
        <v>0.4</v>
      </c>
      <c r="O368" s="12">
        <v>4175</v>
      </c>
      <c r="P368" s="12">
        <f t="shared" si="34"/>
        <v>2505</v>
      </c>
      <c r="Q368" s="12">
        <f t="shared" si="36"/>
        <v>5260.5</v>
      </c>
      <c r="R368" s="33">
        <f t="shared" si="35"/>
        <v>5200</v>
      </c>
      <c r="T368" s="12"/>
      <c r="U368" s="12"/>
      <c r="V368" s="12"/>
      <c r="W368" s="12">
        <f t="shared" si="37"/>
        <v>6262.5</v>
      </c>
      <c r="X368" s="12">
        <f t="shared" si="38"/>
        <v>6200</v>
      </c>
    </row>
    <row r="369" spans="1:24" s="6" customFormat="1" ht="21.95" customHeight="1" x14ac:dyDescent="0.2">
      <c r="A369" s="6" t="s">
        <v>17</v>
      </c>
      <c r="B369" s="6" t="s">
        <v>1588</v>
      </c>
      <c r="C369" s="6" t="s">
        <v>176</v>
      </c>
      <c r="D369" s="6" t="s">
        <v>190</v>
      </c>
      <c r="G369" s="6">
        <v>136</v>
      </c>
      <c r="H369" s="6">
        <v>72</v>
      </c>
      <c r="I369" s="9">
        <v>93</v>
      </c>
      <c r="J369" s="9"/>
      <c r="K369" s="9">
        <v>44004579</v>
      </c>
      <c r="L369" s="6" t="str">
        <f t="shared" si="33"/>
        <v>HL SLOPE KOLTUK AÇILI MODÜL</v>
      </c>
      <c r="M369" s="12">
        <v>0.4</v>
      </c>
      <c r="N369" s="12">
        <v>0.4</v>
      </c>
      <c r="O369" s="12">
        <v>20641</v>
      </c>
      <c r="P369" s="12">
        <f t="shared" si="34"/>
        <v>12384.6</v>
      </c>
      <c r="Q369" s="12">
        <f t="shared" si="36"/>
        <v>26007.660000000003</v>
      </c>
      <c r="R369" s="33">
        <f t="shared" si="35"/>
        <v>26000</v>
      </c>
      <c r="T369" s="12"/>
      <c r="U369" s="12"/>
      <c r="V369" s="12"/>
      <c r="W369" s="12">
        <f t="shared" si="37"/>
        <v>30961.5</v>
      </c>
      <c r="X369" s="12">
        <f t="shared" si="38"/>
        <v>30900</v>
      </c>
    </row>
    <row r="370" spans="1:24" s="6" customFormat="1" ht="21.95" customHeight="1" x14ac:dyDescent="0.2">
      <c r="A370" s="6" t="s">
        <v>17</v>
      </c>
      <c r="B370" s="6" t="s">
        <v>1588</v>
      </c>
      <c r="C370" s="6" t="s">
        <v>176</v>
      </c>
      <c r="D370" s="6" t="s">
        <v>191</v>
      </c>
      <c r="G370" s="6">
        <v>125</v>
      </c>
      <c r="H370" s="6">
        <v>72</v>
      </c>
      <c r="I370" s="9">
        <v>93</v>
      </c>
      <c r="J370" s="9"/>
      <c r="K370" s="9">
        <v>44004580</v>
      </c>
      <c r="L370" s="6" t="str">
        <f t="shared" si="33"/>
        <v>HL SLOPE KOLTUK KOLLU MODÜL</v>
      </c>
      <c r="M370" s="12">
        <v>0.4</v>
      </c>
      <c r="N370" s="12">
        <v>0.4</v>
      </c>
      <c r="O370" s="12">
        <v>19713</v>
      </c>
      <c r="P370" s="12">
        <f t="shared" si="34"/>
        <v>11827.8</v>
      </c>
      <c r="Q370" s="12">
        <f t="shared" si="36"/>
        <v>24838.38</v>
      </c>
      <c r="R370" s="33">
        <f t="shared" si="35"/>
        <v>24800</v>
      </c>
      <c r="T370" s="12"/>
      <c r="U370" s="12"/>
      <c r="V370" s="12"/>
      <c r="W370" s="12">
        <f t="shared" si="37"/>
        <v>29569.5</v>
      </c>
      <c r="X370" s="12">
        <f t="shared" si="38"/>
        <v>29500</v>
      </c>
    </row>
    <row r="371" spans="1:24" s="6" customFormat="1" ht="21.95" customHeight="1" x14ac:dyDescent="0.2">
      <c r="A371" s="6" t="s">
        <v>17</v>
      </c>
      <c r="B371" s="6" t="s">
        <v>1588</v>
      </c>
      <c r="C371" s="6" t="s">
        <v>176</v>
      </c>
      <c r="D371" s="6" t="s">
        <v>157</v>
      </c>
      <c r="G371" s="6">
        <v>80</v>
      </c>
      <c r="H371" s="6">
        <v>72</v>
      </c>
      <c r="I371" s="9">
        <v>93</v>
      </c>
      <c r="J371" s="9"/>
      <c r="K371" s="9">
        <v>44004581</v>
      </c>
      <c r="L371" s="6" t="str">
        <f t="shared" si="33"/>
        <v>HL SLOPE ARA MODÜL</v>
      </c>
      <c r="M371" s="12">
        <v>0.4</v>
      </c>
      <c r="N371" s="12">
        <v>0.4</v>
      </c>
      <c r="O371" s="12">
        <v>12756</v>
      </c>
      <c r="P371" s="12">
        <f t="shared" si="34"/>
        <v>7653.5999999999995</v>
      </c>
      <c r="Q371" s="12">
        <f t="shared" si="36"/>
        <v>16072.56</v>
      </c>
      <c r="R371" s="33">
        <f t="shared" si="35"/>
        <v>16000</v>
      </c>
      <c r="T371" s="12"/>
      <c r="U371" s="12"/>
      <c r="V371" s="12"/>
      <c r="W371" s="12">
        <f t="shared" si="37"/>
        <v>19134</v>
      </c>
      <c r="X371" s="12">
        <f t="shared" si="38"/>
        <v>19100</v>
      </c>
    </row>
    <row r="372" spans="1:24" ht="21.95" customHeight="1" x14ac:dyDescent="0.2">
      <c r="A372" s="5" t="s">
        <v>17</v>
      </c>
      <c r="B372" s="5" t="s">
        <v>1588</v>
      </c>
      <c r="C372" s="6" t="s">
        <v>192</v>
      </c>
      <c r="D372" s="6" t="s">
        <v>25</v>
      </c>
      <c r="E372" s="6"/>
      <c r="F372" s="6" t="s">
        <v>193</v>
      </c>
      <c r="G372" s="6">
        <v>54</v>
      </c>
      <c r="H372" s="6">
        <v>88</v>
      </c>
      <c r="I372" s="9">
        <v>54</v>
      </c>
      <c r="J372" s="9"/>
      <c r="K372" s="7">
        <v>44004582</v>
      </c>
      <c r="L372" s="5" t="str">
        <f t="shared" si="33"/>
        <v>HL LOTUS PLUS SANDALYE</v>
      </c>
      <c r="M372" s="8">
        <v>0.4</v>
      </c>
      <c r="N372" s="8">
        <v>0.4</v>
      </c>
      <c r="O372" s="8">
        <v>6500</v>
      </c>
      <c r="P372" s="8">
        <f t="shared" si="34"/>
        <v>3900</v>
      </c>
      <c r="Q372" s="12">
        <f t="shared" si="36"/>
        <v>8190</v>
      </c>
      <c r="R372" s="31">
        <f t="shared" si="35"/>
        <v>8100</v>
      </c>
      <c r="U372" s="8">
        <v>7800</v>
      </c>
      <c r="W372" s="8">
        <f t="shared" si="37"/>
        <v>9750</v>
      </c>
      <c r="X372" s="8">
        <f t="shared" si="38"/>
        <v>9700</v>
      </c>
    </row>
    <row r="373" spans="1:24" ht="21.95" customHeight="1" x14ac:dyDescent="0.2">
      <c r="A373" s="5" t="s">
        <v>17</v>
      </c>
      <c r="B373" s="5" t="s">
        <v>1588</v>
      </c>
      <c r="C373" s="6" t="s">
        <v>192</v>
      </c>
      <c r="D373" s="6" t="s">
        <v>194</v>
      </c>
      <c r="E373" s="6"/>
      <c r="F373" s="6" t="s">
        <v>195</v>
      </c>
      <c r="G373" s="6">
        <v>220</v>
      </c>
      <c r="H373" s="6">
        <v>80</v>
      </c>
      <c r="I373" s="9">
        <v>50</v>
      </c>
      <c r="J373" s="9"/>
      <c r="K373" s="7">
        <v>44004583</v>
      </c>
      <c r="L373" s="5" t="str">
        <f t="shared" si="33"/>
        <v xml:space="preserve">HL LOTUS PLUS KONSOL </v>
      </c>
      <c r="M373" s="8">
        <v>0.4</v>
      </c>
      <c r="N373" s="8">
        <v>0.4</v>
      </c>
      <c r="O373" s="8">
        <v>45330</v>
      </c>
      <c r="P373" s="8">
        <f t="shared" si="34"/>
        <v>27198</v>
      </c>
      <c r="Q373" s="12">
        <f t="shared" si="36"/>
        <v>57115.8</v>
      </c>
      <c r="R373" s="31">
        <f t="shared" si="35"/>
        <v>57100</v>
      </c>
      <c r="U373" s="8">
        <v>54396</v>
      </c>
      <c r="W373" s="8">
        <f t="shared" si="37"/>
        <v>67995</v>
      </c>
      <c r="X373" s="8">
        <f t="shared" si="38"/>
        <v>67900</v>
      </c>
    </row>
    <row r="374" spans="1:24" ht="21.95" customHeight="1" x14ac:dyDescent="0.2">
      <c r="A374" s="5" t="s">
        <v>17</v>
      </c>
      <c r="B374" s="5" t="s">
        <v>1588</v>
      </c>
      <c r="C374" s="6" t="s">
        <v>192</v>
      </c>
      <c r="D374" s="6" t="s">
        <v>153</v>
      </c>
      <c r="E374" s="6"/>
      <c r="F374" s="6" t="s">
        <v>196</v>
      </c>
      <c r="G374" s="6">
        <v>210</v>
      </c>
      <c r="H374" s="6">
        <v>76</v>
      </c>
      <c r="I374" s="9">
        <v>98</v>
      </c>
      <c r="J374" s="9"/>
      <c r="K374" s="7">
        <v>44004584</v>
      </c>
      <c r="L374" s="5" t="str">
        <f t="shared" si="33"/>
        <v>HL LOTUS PLUS MASA SABİT</v>
      </c>
      <c r="M374" s="8">
        <v>0.4</v>
      </c>
      <c r="N374" s="8">
        <v>0.4</v>
      </c>
      <c r="O374" s="8">
        <v>31625</v>
      </c>
      <c r="P374" s="8">
        <f t="shared" si="34"/>
        <v>18975</v>
      </c>
      <c r="Q374" s="12">
        <f t="shared" si="36"/>
        <v>39847.5</v>
      </c>
      <c r="R374" s="31">
        <f t="shared" si="35"/>
        <v>39800</v>
      </c>
      <c r="U374" s="8">
        <v>37950</v>
      </c>
      <c r="W374" s="8">
        <f t="shared" si="37"/>
        <v>47437.5</v>
      </c>
      <c r="X374" s="8">
        <f t="shared" si="38"/>
        <v>47400</v>
      </c>
    </row>
    <row r="375" spans="1:24" ht="21.95" customHeight="1" x14ac:dyDescent="0.2">
      <c r="A375" s="5" t="s">
        <v>17</v>
      </c>
      <c r="B375" s="5" t="s">
        <v>1588</v>
      </c>
      <c r="C375" s="6" t="s">
        <v>192</v>
      </c>
      <c r="D375" s="6" t="s">
        <v>160</v>
      </c>
      <c r="E375" s="6"/>
      <c r="G375" s="6">
        <v>180</v>
      </c>
      <c r="H375" s="6">
        <v>76</v>
      </c>
      <c r="I375" s="9">
        <v>92</v>
      </c>
      <c r="J375" s="9"/>
      <c r="K375" s="7">
        <v>44004585</v>
      </c>
      <c r="L375" s="5" t="str">
        <f t="shared" si="33"/>
        <v>HL LOTUS PLUS MASA AÇILIR</v>
      </c>
      <c r="M375" s="8">
        <v>0.4</v>
      </c>
      <c r="N375" s="8">
        <v>0.4</v>
      </c>
      <c r="O375" s="8">
        <v>35209</v>
      </c>
      <c r="P375" s="8">
        <f t="shared" si="34"/>
        <v>21125.399999999998</v>
      </c>
      <c r="Q375" s="12">
        <f t="shared" si="36"/>
        <v>44363.34</v>
      </c>
      <c r="R375" s="31">
        <f t="shared" si="35"/>
        <v>44300</v>
      </c>
      <c r="W375" s="8">
        <f t="shared" si="37"/>
        <v>52813.499999999993</v>
      </c>
      <c r="X375" s="8">
        <f t="shared" si="38"/>
        <v>52800</v>
      </c>
    </row>
    <row r="376" spans="1:24" ht="21.95" customHeight="1" x14ac:dyDescent="0.2">
      <c r="A376" s="5" t="s">
        <v>17</v>
      </c>
      <c r="B376" s="5" t="s">
        <v>1588</v>
      </c>
      <c r="C376" s="6" t="s">
        <v>192</v>
      </c>
      <c r="D376" s="6" t="s">
        <v>197</v>
      </c>
      <c r="E376" s="6"/>
      <c r="G376" s="6">
        <v>145</v>
      </c>
      <c r="H376" s="6">
        <v>47</v>
      </c>
      <c r="I376" s="9">
        <v>45</v>
      </c>
      <c r="J376" s="9"/>
      <c r="K376" s="7">
        <v>44004586</v>
      </c>
      <c r="L376" s="5" t="str">
        <f t="shared" si="33"/>
        <v>HL LOTUS PLUS BENCH</v>
      </c>
      <c r="M376" s="8">
        <v>0.4</v>
      </c>
      <c r="N376" s="8">
        <v>0.4</v>
      </c>
      <c r="O376" s="8">
        <v>13072</v>
      </c>
      <c r="P376" s="8">
        <f t="shared" si="34"/>
        <v>7843.2</v>
      </c>
      <c r="Q376" s="12">
        <f t="shared" si="36"/>
        <v>16470.72</v>
      </c>
      <c r="R376" s="31">
        <f t="shared" si="35"/>
        <v>16400</v>
      </c>
      <c r="W376" s="8">
        <f t="shared" si="37"/>
        <v>19608</v>
      </c>
      <c r="X376" s="8">
        <f t="shared" si="38"/>
        <v>19600</v>
      </c>
    </row>
    <row r="377" spans="1:24" ht="21.95" customHeight="1" x14ac:dyDescent="0.2">
      <c r="A377" s="5" t="s">
        <v>17</v>
      </c>
      <c r="B377" s="5" t="s">
        <v>1588</v>
      </c>
      <c r="C377" s="6" t="s">
        <v>192</v>
      </c>
      <c r="D377" s="6" t="s">
        <v>102</v>
      </c>
      <c r="E377" s="6"/>
      <c r="F377" s="6" t="s">
        <v>198</v>
      </c>
      <c r="G377" s="6">
        <v>220</v>
      </c>
      <c r="H377" s="6">
        <v>60</v>
      </c>
      <c r="I377" s="9">
        <v>50</v>
      </c>
      <c r="J377" s="9"/>
      <c r="K377" s="7">
        <v>44004587</v>
      </c>
      <c r="L377" s="5" t="str">
        <f t="shared" si="33"/>
        <v>HL LOTUS PLUS TV ÜNİTESİ ALT BLOK</v>
      </c>
      <c r="M377" s="8">
        <v>0.4</v>
      </c>
      <c r="N377" s="8">
        <v>0.4</v>
      </c>
      <c r="O377" s="8">
        <v>43010</v>
      </c>
      <c r="P377" s="8">
        <f t="shared" si="34"/>
        <v>25806</v>
      </c>
      <c r="Q377" s="12">
        <f t="shared" si="36"/>
        <v>54192.600000000006</v>
      </c>
      <c r="R377" s="31">
        <f t="shared" si="35"/>
        <v>54100</v>
      </c>
      <c r="U377" s="8">
        <v>51612</v>
      </c>
      <c r="W377" s="8">
        <f t="shared" si="37"/>
        <v>64515</v>
      </c>
      <c r="X377" s="8">
        <f t="shared" si="38"/>
        <v>64500</v>
      </c>
    </row>
    <row r="378" spans="1:24" ht="21.95" customHeight="1" x14ac:dyDescent="0.2">
      <c r="A378" s="5" t="s">
        <v>17</v>
      </c>
      <c r="B378" s="5" t="s">
        <v>1588</v>
      </c>
      <c r="C378" s="6" t="s">
        <v>192</v>
      </c>
      <c r="D378" s="6" t="s">
        <v>46</v>
      </c>
      <c r="E378" s="6"/>
      <c r="F378" s="6" t="s">
        <v>199</v>
      </c>
      <c r="G378" s="6">
        <v>91</v>
      </c>
      <c r="H378" s="6">
        <v>104</v>
      </c>
      <c r="I378" s="9">
        <v>22</v>
      </c>
      <c r="J378" s="9"/>
      <c r="K378" s="7">
        <v>44004588</v>
      </c>
      <c r="L378" s="5" t="str">
        <f t="shared" si="33"/>
        <v>HL LOTUS PLUS TV ÜNİTESİ ÜST BLOK</v>
      </c>
      <c r="M378" s="8">
        <v>0.4</v>
      </c>
      <c r="N378" s="8">
        <v>0.4</v>
      </c>
      <c r="O378" s="8">
        <v>8686</v>
      </c>
      <c r="P378" s="8">
        <f t="shared" si="34"/>
        <v>5211.5999999999995</v>
      </c>
      <c r="Q378" s="12">
        <f t="shared" si="36"/>
        <v>10944.359999999999</v>
      </c>
      <c r="R378" s="31">
        <f t="shared" si="35"/>
        <v>10900</v>
      </c>
      <c r="U378" s="8">
        <v>10423</v>
      </c>
      <c r="W378" s="8">
        <f t="shared" si="37"/>
        <v>13028.999999999998</v>
      </c>
      <c r="X378" s="8">
        <f t="shared" si="38"/>
        <v>13000</v>
      </c>
    </row>
    <row r="379" spans="1:24" ht="21.95" customHeight="1" x14ac:dyDescent="0.2">
      <c r="A379" s="5" t="s">
        <v>17</v>
      </c>
      <c r="B379" s="5" t="s">
        <v>1588</v>
      </c>
      <c r="C379" s="6" t="s">
        <v>192</v>
      </c>
      <c r="D379" s="6" t="s">
        <v>29</v>
      </c>
      <c r="E379" s="6"/>
      <c r="F379" s="5">
        <v>0.2</v>
      </c>
      <c r="G379" s="6">
        <v>105</v>
      </c>
      <c r="H379" s="6">
        <v>45</v>
      </c>
      <c r="I379" s="9">
        <v>105</v>
      </c>
      <c r="J379" s="9"/>
      <c r="K379" s="7">
        <v>44004589</v>
      </c>
      <c r="L379" s="5" t="str">
        <f t="shared" si="33"/>
        <v>HL LOTUS PLUS ORTA SEHPA</v>
      </c>
      <c r="M379" s="8">
        <v>0.4</v>
      </c>
      <c r="N379" s="8">
        <v>0.4</v>
      </c>
      <c r="O379" s="8">
        <v>14252</v>
      </c>
      <c r="P379" s="8">
        <f t="shared" si="34"/>
        <v>8551.1999999999989</v>
      </c>
      <c r="Q379" s="12">
        <f t="shared" si="36"/>
        <v>17957.519999999997</v>
      </c>
      <c r="R379" s="31">
        <f t="shared" si="35"/>
        <v>17900</v>
      </c>
      <c r="U379" s="8">
        <v>17960</v>
      </c>
      <c r="W379" s="8">
        <f t="shared" si="37"/>
        <v>21377.999999999996</v>
      </c>
      <c r="X379" s="8">
        <f t="shared" si="38"/>
        <v>21300</v>
      </c>
    </row>
    <row r="380" spans="1:24" ht="21.95" customHeight="1" x14ac:dyDescent="0.2">
      <c r="A380" s="5" t="s">
        <v>17</v>
      </c>
      <c r="B380" s="5" t="s">
        <v>1588</v>
      </c>
      <c r="C380" s="6" t="s">
        <v>192</v>
      </c>
      <c r="D380" s="6" t="s">
        <v>30</v>
      </c>
      <c r="E380" s="6"/>
      <c r="F380" s="5">
        <v>0.1</v>
      </c>
      <c r="G380" s="6">
        <v>50</v>
      </c>
      <c r="H380" s="6">
        <v>52</v>
      </c>
      <c r="I380" s="9">
        <v>50</v>
      </c>
      <c r="J380" s="9"/>
      <c r="K380" s="7">
        <v>44004590</v>
      </c>
      <c r="L380" s="5" t="str">
        <f t="shared" si="33"/>
        <v>HL LOTUS PLUS YAN SEHPA</v>
      </c>
      <c r="M380" s="8">
        <v>0.4</v>
      </c>
      <c r="N380" s="8">
        <v>0.4</v>
      </c>
      <c r="O380" s="8">
        <v>8855</v>
      </c>
      <c r="P380" s="8">
        <f t="shared" si="34"/>
        <v>5313</v>
      </c>
      <c r="Q380" s="12">
        <f t="shared" si="36"/>
        <v>11157.300000000001</v>
      </c>
      <c r="R380" s="31">
        <f t="shared" si="35"/>
        <v>11100</v>
      </c>
      <c r="U380" s="8">
        <v>11185</v>
      </c>
      <c r="W380" s="8">
        <f t="shared" si="37"/>
        <v>13282.5</v>
      </c>
      <c r="X380" s="8">
        <f t="shared" si="38"/>
        <v>13200</v>
      </c>
    </row>
    <row r="381" spans="1:24" ht="21.95" customHeight="1" x14ac:dyDescent="0.2">
      <c r="A381" s="5" t="s">
        <v>17</v>
      </c>
      <c r="B381" s="5" t="s">
        <v>1588</v>
      </c>
      <c r="C381" s="6" t="s">
        <v>192</v>
      </c>
      <c r="D381" s="6" t="s">
        <v>200</v>
      </c>
      <c r="E381" s="6"/>
      <c r="F381" s="6"/>
      <c r="K381" s="7">
        <v>44004591</v>
      </c>
      <c r="L381" s="5" t="str">
        <f t="shared" si="33"/>
        <v xml:space="preserve">HL LOTUS PLUS ZİGON </v>
      </c>
      <c r="M381" s="8">
        <v>0.4</v>
      </c>
      <c r="N381" s="8">
        <v>0.4</v>
      </c>
      <c r="O381" s="8">
        <v>17394</v>
      </c>
      <c r="P381" s="8">
        <f t="shared" si="34"/>
        <v>10436.4</v>
      </c>
      <c r="Q381" s="12">
        <f t="shared" si="36"/>
        <v>21916.44</v>
      </c>
      <c r="R381" s="31">
        <f t="shared" si="35"/>
        <v>21900</v>
      </c>
      <c r="U381" s="8">
        <v>21920</v>
      </c>
      <c r="W381" s="8">
        <f t="shared" si="37"/>
        <v>26091</v>
      </c>
      <c r="X381" s="8">
        <f t="shared" si="38"/>
        <v>26000</v>
      </c>
    </row>
    <row r="382" spans="1:24" ht="21.95" customHeight="1" x14ac:dyDescent="0.2">
      <c r="A382" s="5" t="s">
        <v>17</v>
      </c>
      <c r="B382" s="5" t="s">
        <v>1588</v>
      </c>
      <c r="C382" s="6" t="s">
        <v>192</v>
      </c>
      <c r="D382" s="6" t="s">
        <v>31</v>
      </c>
      <c r="E382" s="6"/>
      <c r="F382" s="6" t="s">
        <v>201</v>
      </c>
      <c r="G382" s="6">
        <v>274</v>
      </c>
      <c r="H382" s="6">
        <v>70</v>
      </c>
      <c r="I382" s="9">
        <v>98</v>
      </c>
      <c r="J382" s="9"/>
      <c r="K382" s="7">
        <v>44004592</v>
      </c>
      <c r="L382" s="5" t="str">
        <f t="shared" si="33"/>
        <v>HL LOTUS PLUS KOLTUK 4 LÜ</v>
      </c>
      <c r="M382" s="8">
        <v>0.4</v>
      </c>
      <c r="N382" s="8">
        <v>0.4</v>
      </c>
      <c r="O382" s="8">
        <v>41189</v>
      </c>
      <c r="P382" s="8">
        <f t="shared" si="34"/>
        <v>24713.399999999998</v>
      </c>
      <c r="Q382" s="12">
        <f t="shared" si="36"/>
        <v>51898.14</v>
      </c>
      <c r="R382" s="31">
        <f t="shared" si="35"/>
        <v>51800</v>
      </c>
      <c r="W382" s="8">
        <f t="shared" si="37"/>
        <v>61783.499999999993</v>
      </c>
      <c r="X382" s="8">
        <f t="shared" si="38"/>
        <v>61700</v>
      </c>
    </row>
    <row r="383" spans="1:24" ht="21.95" customHeight="1" x14ac:dyDescent="0.2">
      <c r="A383" s="5" t="s">
        <v>17</v>
      </c>
      <c r="B383" s="5" t="s">
        <v>1588</v>
      </c>
      <c r="C383" s="6" t="s">
        <v>192</v>
      </c>
      <c r="D383" s="6" t="s">
        <v>162</v>
      </c>
      <c r="E383" s="6"/>
      <c r="F383" s="11" t="s">
        <v>202</v>
      </c>
      <c r="G383" s="6">
        <v>244</v>
      </c>
      <c r="H383" s="6">
        <v>70</v>
      </c>
      <c r="I383" s="9">
        <v>98</v>
      </c>
      <c r="J383" s="9"/>
      <c r="K383" s="7">
        <v>44004593</v>
      </c>
      <c r="L383" s="5" t="str">
        <f t="shared" si="33"/>
        <v xml:space="preserve">HL LOTUS PLUS KOLTUK 3 LÜ </v>
      </c>
      <c r="M383" s="8">
        <v>0.4</v>
      </c>
      <c r="N383" s="8">
        <v>0.4</v>
      </c>
      <c r="O383" s="8">
        <v>37961</v>
      </c>
      <c r="P383" s="8">
        <f t="shared" si="34"/>
        <v>22776.6</v>
      </c>
      <c r="Q383" s="12">
        <f t="shared" si="36"/>
        <v>47830.86</v>
      </c>
      <c r="R383" s="31">
        <f t="shared" si="35"/>
        <v>47800</v>
      </c>
      <c r="U383" s="8">
        <v>44035</v>
      </c>
      <c r="W383" s="8">
        <f t="shared" si="37"/>
        <v>56941.5</v>
      </c>
      <c r="X383" s="8">
        <f t="shared" si="38"/>
        <v>56900</v>
      </c>
    </row>
    <row r="384" spans="1:24" ht="21.95" customHeight="1" x14ac:dyDescent="0.2">
      <c r="A384" s="5" t="s">
        <v>17</v>
      </c>
      <c r="B384" s="5" t="s">
        <v>1588</v>
      </c>
      <c r="C384" s="6" t="s">
        <v>192</v>
      </c>
      <c r="D384" s="6" t="s">
        <v>33</v>
      </c>
      <c r="E384" s="6"/>
      <c r="F384" s="6" t="s">
        <v>203</v>
      </c>
      <c r="G384" s="6">
        <v>70</v>
      </c>
      <c r="H384" s="6">
        <v>70</v>
      </c>
      <c r="I384" s="9">
        <v>78</v>
      </c>
      <c r="J384" s="9"/>
      <c r="K384" s="7">
        <v>44004594</v>
      </c>
      <c r="L384" s="5" t="str">
        <f t="shared" si="33"/>
        <v>HL LOTUS PLUS BERJER</v>
      </c>
      <c r="M384" s="8">
        <v>0.4</v>
      </c>
      <c r="N384" s="8">
        <v>0.4</v>
      </c>
      <c r="O384" s="8">
        <v>16814</v>
      </c>
      <c r="P384" s="8">
        <f t="shared" si="34"/>
        <v>10088.4</v>
      </c>
      <c r="Q384" s="12">
        <f t="shared" si="36"/>
        <v>21185.64</v>
      </c>
      <c r="R384" s="31">
        <f t="shared" si="35"/>
        <v>21100</v>
      </c>
      <c r="U384" s="8">
        <v>19504</v>
      </c>
      <c r="W384" s="8">
        <f t="shared" si="37"/>
        <v>25221</v>
      </c>
      <c r="X384" s="8">
        <f t="shared" si="38"/>
        <v>25200</v>
      </c>
    </row>
    <row r="385" spans="1:24" ht="21.95" customHeight="1" x14ac:dyDescent="0.2">
      <c r="A385" s="5" t="s">
        <v>17</v>
      </c>
      <c r="B385" s="5" t="s">
        <v>1588</v>
      </c>
      <c r="C385" s="6" t="s">
        <v>192</v>
      </c>
      <c r="D385" s="6" t="s">
        <v>204</v>
      </c>
      <c r="E385" s="6"/>
      <c r="F385" s="6" t="s">
        <v>205</v>
      </c>
      <c r="G385" s="6">
        <v>50</v>
      </c>
      <c r="H385" s="6">
        <v>65</v>
      </c>
      <c r="I385" s="9">
        <v>98</v>
      </c>
      <c r="J385" s="9"/>
      <c r="K385" s="7">
        <v>44004595</v>
      </c>
      <c r="L385" s="5" t="str">
        <f t="shared" si="33"/>
        <v>HL LOTUS PLUS AHŞAP KOL DAYANAĞI</v>
      </c>
      <c r="M385" s="8">
        <v>0.4</v>
      </c>
      <c r="N385" s="8">
        <v>0.4</v>
      </c>
      <c r="O385" s="8">
        <v>16656</v>
      </c>
      <c r="P385" s="8">
        <f t="shared" si="34"/>
        <v>9993.6</v>
      </c>
      <c r="Q385" s="12">
        <f t="shared" si="36"/>
        <v>20986.560000000001</v>
      </c>
      <c r="R385" s="31">
        <f t="shared" si="35"/>
        <v>20900</v>
      </c>
      <c r="U385" s="8">
        <v>19319</v>
      </c>
      <c r="W385" s="8">
        <f t="shared" si="37"/>
        <v>24984</v>
      </c>
      <c r="X385" s="8">
        <f t="shared" si="38"/>
        <v>24900</v>
      </c>
    </row>
    <row r="386" spans="1:24" ht="21.95" customHeight="1" x14ac:dyDescent="0.2">
      <c r="A386" s="5" t="s">
        <v>17</v>
      </c>
      <c r="B386" s="5" t="s">
        <v>1588</v>
      </c>
      <c r="C386" s="6" t="s">
        <v>192</v>
      </c>
      <c r="D386" s="6" t="s">
        <v>206</v>
      </c>
      <c r="E386" s="6"/>
      <c r="G386" s="6">
        <v>264</v>
      </c>
      <c r="H386" s="6">
        <v>70</v>
      </c>
      <c r="I386" s="9">
        <v>98</v>
      </c>
      <c r="J386" s="9"/>
      <c r="K386" s="7">
        <v>44004596</v>
      </c>
      <c r="L386" s="5" t="str">
        <f t="shared" si="33"/>
        <v>HL LOTUS PLUS 3 LÜ AHŞAPLI</v>
      </c>
      <c r="M386" s="8">
        <v>0.4</v>
      </c>
      <c r="N386" s="8">
        <v>0.4</v>
      </c>
      <c r="O386" s="8">
        <v>50204</v>
      </c>
      <c r="P386" s="8">
        <f t="shared" si="34"/>
        <v>30122.399999999998</v>
      </c>
      <c r="Q386" s="12">
        <f t="shared" si="36"/>
        <v>63257.04</v>
      </c>
      <c r="R386" s="31">
        <f t="shared" si="35"/>
        <v>63200</v>
      </c>
      <c r="W386" s="8">
        <f t="shared" si="37"/>
        <v>75306</v>
      </c>
      <c r="X386" s="8">
        <f t="shared" si="38"/>
        <v>75300</v>
      </c>
    </row>
    <row r="387" spans="1:24" ht="21.95" customHeight="1" x14ac:dyDescent="0.2">
      <c r="A387" s="5" t="s">
        <v>17</v>
      </c>
      <c r="B387" s="5" t="s">
        <v>1588</v>
      </c>
      <c r="C387" s="6" t="s">
        <v>192</v>
      </c>
      <c r="D387" s="6" t="s">
        <v>207</v>
      </c>
      <c r="E387" s="6"/>
      <c r="F387" s="6" t="s">
        <v>208</v>
      </c>
      <c r="G387" s="6">
        <v>106</v>
      </c>
      <c r="H387" s="6">
        <v>70</v>
      </c>
      <c r="I387" s="9">
        <v>98</v>
      </c>
      <c r="J387" s="9"/>
      <c r="K387" s="7">
        <v>44004597</v>
      </c>
      <c r="L387" s="5" t="str">
        <f t="shared" si="33"/>
        <v xml:space="preserve">HL LOTUS PLUS 75CM+KOL </v>
      </c>
      <c r="M387" s="8">
        <v>0.4</v>
      </c>
      <c r="N387" s="8">
        <v>0.4</v>
      </c>
      <c r="O387" s="8">
        <v>16778</v>
      </c>
      <c r="P387" s="8">
        <f t="shared" si="34"/>
        <v>10066.799999999999</v>
      </c>
      <c r="Q387" s="12">
        <f t="shared" si="36"/>
        <v>21140.28</v>
      </c>
      <c r="R387" s="31">
        <f t="shared" si="35"/>
        <v>21100</v>
      </c>
      <c r="W387" s="8">
        <f t="shared" si="37"/>
        <v>25167</v>
      </c>
      <c r="X387" s="8">
        <f t="shared" si="38"/>
        <v>25100</v>
      </c>
    </row>
    <row r="388" spans="1:24" ht="21.95" customHeight="1" x14ac:dyDescent="0.2">
      <c r="A388" s="5" t="s">
        <v>17</v>
      </c>
      <c r="B388" s="5" t="s">
        <v>1588</v>
      </c>
      <c r="C388" s="6" t="s">
        <v>192</v>
      </c>
      <c r="D388" s="6" t="s">
        <v>209</v>
      </c>
      <c r="E388" s="6"/>
      <c r="F388" s="5" t="s">
        <v>210</v>
      </c>
      <c r="G388" s="6">
        <v>121</v>
      </c>
      <c r="H388" s="6">
        <v>70</v>
      </c>
      <c r="I388" s="9">
        <v>98</v>
      </c>
      <c r="J388" s="9"/>
      <c r="K388" s="7">
        <v>44004598</v>
      </c>
      <c r="L388" s="5" t="str">
        <f t="shared" si="33"/>
        <v>HL LOTUS PLUS 90CM+KOL</v>
      </c>
      <c r="M388" s="8">
        <v>0.4</v>
      </c>
      <c r="N388" s="8">
        <v>0.4</v>
      </c>
      <c r="O388" s="8">
        <v>19471</v>
      </c>
      <c r="P388" s="8">
        <f t="shared" si="34"/>
        <v>11682.6</v>
      </c>
      <c r="Q388" s="12">
        <f t="shared" si="36"/>
        <v>24533.460000000003</v>
      </c>
      <c r="R388" s="31">
        <f t="shared" si="35"/>
        <v>24500</v>
      </c>
      <c r="W388" s="8">
        <f t="shared" si="37"/>
        <v>29206.5</v>
      </c>
      <c r="X388" s="8">
        <f t="shared" si="38"/>
        <v>29200</v>
      </c>
    </row>
    <row r="389" spans="1:24" ht="21.95" customHeight="1" x14ac:dyDescent="0.2">
      <c r="A389" s="5" t="s">
        <v>17</v>
      </c>
      <c r="B389" s="5" t="s">
        <v>1588</v>
      </c>
      <c r="C389" s="6" t="s">
        <v>192</v>
      </c>
      <c r="D389" s="6" t="s">
        <v>211</v>
      </c>
      <c r="E389" s="6"/>
      <c r="F389" s="6" t="s">
        <v>212</v>
      </c>
      <c r="G389" s="6">
        <v>75</v>
      </c>
      <c r="H389" s="6">
        <v>70</v>
      </c>
      <c r="I389" s="9">
        <v>98</v>
      </c>
      <c r="J389" s="9"/>
      <c r="K389" s="7">
        <v>44004599</v>
      </c>
      <c r="L389" s="5" t="str">
        <f t="shared" ref="L389:L456" si="39">B389&amp;" "&amp;C389&amp;" "&amp;D389</f>
        <v xml:space="preserve">HL LOTUS PLUS 75 SABİT </v>
      </c>
      <c r="M389" s="8">
        <v>0.4</v>
      </c>
      <c r="N389" s="8">
        <v>0.4</v>
      </c>
      <c r="O389" s="8">
        <v>12893</v>
      </c>
      <c r="P389" s="8">
        <f t="shared" ref="P389:P456" si="40">O389*(1-N389)</f>
        <v>7735.7999999999993</v>
      </c>
      <c r="Q389" s="12">
        <f t="shared" si="36"/>
        <v>16245.179999999998</v>
      </c>
      <c r="R389" s="31">
        <f t="shared" ref="R389:R456" si="41">ROUNDDOWN(Q389,-2)</f>
        <v>16200</v>
      </c>
      <c r="U389" s="8">
        <v>14956</v>
      </c>
      <c r="W389" s="8">
        <f t="shared" si="37"/>
        <v>19339.5</v>
      </c>
      <c r="X389" s="8">
        <f t="shared" si="38"/>
        <v>19300</v>
      </c>
    </row>
    <row r="390" spans="1:24" ht="21.95" customHeight="1" x14ac:dyDescent="0.2">
      <c r="A390" s="5" t="s">
        <v>17</v>
      </c>
      <c r="B390" s="5" t="s">
        <v>1588</v>
      </c>
      <c r="C390" s="6" t="s">
        <v>192</v>
      </c>
      <c r="D390" s="6" t="s">
        <v>213</v>
      </c>
      <c r="E390" s="6"/>
      <c r="F390" s="6" t="s">
        <v>214</v>
      </c>
      <c r="G390" s="6">
        <v>90</v>
      </c>
      <c r="H390" s="6">
        <v>70</v>
      </c>
      <c r="I390" s="9">
        <v>98</v>
      </c>
      <c r="J390" s="9"/>
      <c r="K390" s="7">
        <v>44004600</v>
      </c>
      <c r="L390" s="5" t="str">
        <f t="shared" si="39"/>
        <v xml:space="preserve">HL LOTUS PLUS 90 SABİT </v>
      </c>
      <c r="M390" s="8">
        <v>0.4</v>
      </c>
      <c r="N390" s="8">
        <v>0.4</v>
      </c>
      <c r="O390" s="8">
        <v>13359</v>
      </c>
      <c r="P390" s="8">
        <f t="shared" si="40"/>
        <v>8015.4</v>
      </c>
      <c r="Q390" s="12">
        <f t="shared" si="36"/>
        <v>16832.34</v>
      </c>
      <c r="R390" s="31">
        <f t="shared" si="41"/>
        <v>16800</v>
      </c>
      <c r="W390" s="8">
        <f t="shared" si="37"/>
        <v>20038.5</v>
      </c>
      <c r="X390" s="8">
        <f t="shared" si="38"/>
        <v>20000</v>
      </c>
    </row>
    <row r="391" spans="1:24" ht="21.95" customHeight="1" x14ac:dyDescent="0.2">
      <c r="B391" s="5" t="s">
        <v>1588</v>
      </c>
      <c r="C391" s="6" t="s">
        <v>192</v>
      </c>
      <c r="D391" s="6" t="s">
        <v>2310</v>
      </c>
      <c r="E391" s="6"/>
      <c r="F391" s="6"/>
      <c r="G391" s="6"/>
      <c r="H391" s="6"/>
      <c r="I391" s="9"/>
      <c r="J391" s="9"/>
      <c r="L391" s="6" t="str">
        <f t="shared" si="39"/>
        <v xml:space="preserve">HL LOTUS PLUS ADA KÖŞE MODÜL </v>
      </c>
      <c r="P391" s="8"/>
      <c r="Q391" s="12"/>
      <c r="U391" s="8">
        <v>24290</v>
      </c>
      <c r="X391" s="8"/>
    </row>
    <row r="392" spans="1:24" ht="21.95" customHeight="1" x14ac:dyDescent="0.2">
      <c r="B392" s="5" t="s">
        <v>1588</v>
      </c>
      <c r="C392" s="6" t="s">
        <v>192</v>
      </c>
      <c r="D392" s="6" t="s">
        <v>2311</v>
      </c>
      <c r="E392" s="6"/>
      <c r="F392" s="6"/>
      <c r="G392" s="6"/>
      <c r="H392" s="6"/>
      <c r="I392" s="9"/>
      <c r="J392" s="9"/>
      <c r="L392" s="6" t="str">
        <f t="shared" si="39"/>
        <v xml:space="preserve">HL LOTUS PLUS 212 CM KOLLU MODÜL </v>
      </c>
      <c r="P392" s="8"/>
      <c r="Q392" s="12"/>
      <c r="U392" s="8">
        <v>37642</v>
      </c>
      <c r="X392" s="8"/>
    </row>
    <row r="393" spans="1:24" ht="21.95" customHeight="1" x14ac:dyDescent="0.2">
      <c r="B393" s="5" t="s">
        <v>1588</v>
      </c>
      <c r="C393" s="6" t="s">
        <v>192</v>
      </c>
      <c r="D393" s="6" t="s">
        <v>2312</v>
      </c>
      <c r="E393" s="6"/>
      <c r="F393" s="6"/>
      <c r="G393" s="6"/>
      <c r="H393" s="6"/>
      <c r="I393" s="9"/>
      <c r="J393" s="9"/>
      <c r="L393" s="6" t="str">
        <f t="shared" si="39"/>
        <v xml:space="preserve">HL LOTUS PLUS 105 CM KOLLU MODÜL </v>
      </c>
      <c r="P393" s="8"/>
      <c r="Q393" s="12"/>
      <c r="U393" s="8">
        <v>19462</v>
      </c>
      <c r="X393" s="8"/>
    </row>
    <row r="394" spans="1:24" s="6" customFormat="1" ht="21.95" customHeight="1" x14ac:dyDescent="0.2">
      <c r="A394" s="6" t="s">
        <v>17</v>
      </c>
      <c r="B394" s="6" t="s">
        <v>1588</v>
      </c>
      <c r="C394" s="6" t="s">
        <v>215</v>
      </c>
      <c r="D394" s="6" t="s">
        <v>25</v>
      </c>
      <c r="G394" s="6">
        <v>58</v>
      </c>
      <c r="H394" s="6">
        <v>78</v>
      </c>
      <c r="I394" s="9">
        <v>62</v>
      </c>
      <c r="J394" s="9"/>
      <c r="K394" s="9">
        <v>44004601</v>
      </c>
      <c r="L394" s="6" t="str">
        <f t="shared" si="39"/>
        <v>HL OPERA PLUS SANDALYE</v>
      </c>
      <c r="M394" s="12">
        <v>0.4</v>
      </c>
      <c r="N394" s="12">
        <v>0.4</v>
      </c>
      <c r="O394" s="12">
        <v>5041</v>
      </c>
      <c r="P394" s="12">
        <f t="shared" si="40"/>
        <v>3024.6</v>
      </c>
      <c r="Q394" s="12">
        <f t="shared" si="36"/>
        <v>6351.66</v>
      </c>
      <c r="R394" s="33">
        <f t="shared" si="41"/>
        <v>6300</v>
      </c>
      <c r="T394" s="12"/>
      <c r="U394" s="12"/>
      <c r="V394" s="12"/>
      <c r="W394" s="12">
        <f t="shared" si="37"/>
        <v>7561.5</v>
      </c>
      <c r="X394" s="12">
        <f t="shared" si="38"/>
        <v>7500</v>
      </c>
    </row>
    <row r="395" spans="1:24" s="6" customFormat="1" ht="21.95" customHeight="1" x14ac:dyDescent="0.2">
      <c r="A395" s="6" t="s">
        <v>17</v>
      </c>
      <c r="B395" s="6" t="s">
        <v>1588</v>
      </c>
      <c r="C395" s="6" t="s">
        <v>215</v>
      </c>
      <c r="D395" s="6" t="s">
        <v>194</v>
      </c>
      <c r="G395" s="6">
        <v>220</v>
      </c>
      <c r="H395" s="6">
        <v>80</v>
      </c>
      <c r="I395" s="9">
        <v>52</v>
      </c>
      <c r="J395" s="9"/>
      <c r="K395" s="9">
        <v>44004602</v>
      </c>
      <c r="L395" s="6" t="str">
        <f t="shared" si="39"/>
        <v xml:space="preserve">HL OPERA PLUS KONSOL </v>
      </c>
      <c r="M395" s="12">
        <v>0.4</v>
      </c>
      <c r="N395" s="12">
        <v>0.4</v>
      </c>
      <c r="O395" s="12">
        <v>38907</v>
      </c>
      <c r="P395" s="12">
        <f t="shared" si="40"/>
        <v>23344.2</v>
      </c>
      <c r="Q395" s="12">
        <f t="shared" si="36"/>
        <v>49022.820000000007</v>
      </c>
      <c r="R395" s="33">
        <f t="shared" si="41"/>
        <v>49000</v>
      </c>
      <c r="T395" s="12"/>
      <c r="U395" s="12"/>
      <c r="V395" s="12"/>
      <c r="W395" s="12">
        <f t="shared" si="37"/>
        <v>58360.5</v>
      </c>
      <c r="X395" s="12">
        <f t="shared" si="38"/>
        <v>58300</v>
      </c>
    </row>
    <row r="396" spans="1:24" s="6" customFormat="1" ht="21.95" customHeight="1" x14ac:dyDescent="0.2">
      <c r="A396" s="6" t="s">
        <v>17</v>
      </c>
      <c r="B396" s="6" t="s">
        <v>1588</v>
      </c>
      <c r="C396" s="6" t="s">
        <v>215</v>
      </c>
      <c r="D396" s="6" t="s">
        <v>21</v>
      </c>
      <c r="I396" s="9"/>
      <c r="J396" s="9"/>
      <c r="K396" s="9">
        <v>44004603</v>
      </c>
      <c r="L396" s="6" t="str">
        <f t="shared" si="39"/>
        <v>HL OPERA PLUS KONSOL AYNASI</v>
      </c>
      <c r="M396" s="12">
        <v>0.4</v>
      </c>
      <c r="N396" s="12">
        <v>0.4</v>
      </c>
      <c r="O396" s="12">
        <v>6011</v>
      </c>
      <c r="P396" s="12">
        <f t="shared" si="40"/>
        <v>3606.6</v>
      </c>
      <c r="Q396" s="12">
        <f t="shared" si="36"/>
        <v>7573.8600000000006</v>
      </c>
      <c r="R396" s="33">
        <f t="shared" si="41"/>
        <v>7500</v>
      </c>
      <c r="T396" s="12"/>
      <c r="U396" s="12"/>
      <c r="V396" s="12"/>
      <c r="W396" s="12">
        <f t="shared" si="37"/>
        <v>9016.5</v>
      </c>
      <c r="X396" s="12">
        <f t="shared" si="38"/>
        <v>9000</v>
      </c>
    </row>
    <row r="397" spans="1:24" s="6" customFormat="1" ht="21.95" customHeight="1" x14ac:dyDescent="0.2">
      <c r="A397" s="6" t="s">
        <v>17</v>
      </c>
      <c r="B397" s="6" t="s">
        <v>1588</v>
      </c>
      <c r="C397" s="6" t="s">
        <v>215</v>
      </c>
      <c r="D397" s="6" t="s">
        <v>155</v>
      </c>
      <c r="G397" s="6">
        <v>208</v>
      </c>
      <c r="H397" s="6">
        <v>78</v>
      </c>
      <c r="I397" s="9">
        <v>98</v>
      </c>
      <c r="J397" s="9"/>
      <c r="K397" s="9">
        <v>44004604</v>
      </c>
      <c r="L397" s="6" t="str">
        <f t="shared" si="39"/>
        <v>HL OPERA PLUS MASA</v>
      </c>
      <c r="M397" s="12">
        <v>0.4</v>
      </c>
      <c r="N397" s="12">
        <v>0.4</v>
      </c>
      <c r="O397" s="12">
        <v>31754</v>
      </c>
      <c r="P397" s="12">
        <f t="shared" si="40"/>
        <v>19052.399999999998</v>
      </c>
      <c r="Q397" s="12">
        <f t="shared" si="36"/>
        <v>40010.039999999994</v>
      </c>
      <c r="R397" s="33">
        <f t="shared" si="41"/>
        <v>40000</v>
      </c>
      <c r="T397" s="12"/>
      <c r="U397" s="12"/>
      <c r="V397" s="12"/>
      <c r="W397" s="12">
        <f t="shared" si="37"/>
        <v>47630.999999999993</v>
      </c>
      <c r="X397" s="12">
        <f t="shared" si="38"/>
        <v>47600</v>
      </c>
    </row>
    <row r="398" spans="1:24" s="6" customFormat="1" ht="21.95" customHeight="1" x14ac:dyDescent="0.2">
      <c r="A398" s="6" t="s">
        <v>17</v>
      </c>
      <c r="B398" s="6" t="s">
        <v>1588</v>
      </c>
      <c r="C398" s="6" t="s">
        <v>215</v>
      </c>
      <c r="D398" s="6" t="s">
        <v>102</v>
      </c>
      <c r="G398" s="6">
        <v>220</v>
      </c>
      <c r="H398" s="6">
        <v>60</v>
      </c>
      <c r="I398" s="9">
        <v>52</v>
      </c>
      <c r="J398" s="9"/>
      <c r="K398" s="9">
        <v>44004605</v>
      </c>
      <c r="L398" s="6" t="str">
        <f t="shared" si="39"/>
        <v>HL OPERA PLUS TV ÜNİTESİ ALT BLOK</v>
      </c>
      <c r="M398" s="12">
        <v>0.4</v>
      </c>
      <c r="N398" s="12">
        <v>0.4</v>
      </c>
      <c r="O398" s="12">
        <v>37402</v>
      </c>
      <c r="P398" s="12">
        <f t="shared" si="40"/>
        <v>22441.200000000001</v>
      </c>
      <c r="Q398" s="12">
        <f t="shared" si="36"/>
        <v>47126.520000000004</v>
      </c>
      <c r="R398" s="33">
        <f t="shared" si="41"/>
        <v>47100</v>
      </c>
      <c r="T398" s="12"/>
      <c r="U398" s="12"/>
      <c r="V398" s="12"/>
      <c r="W398" s="12">
        <f t="shared" si="37"/>
        <v>56103</v>
      </c>
      <c r="X398" s="12">
        <f t="shared" si="38"/>
        <v>56100</v>
      </c>
    </row>
    <row r="399" spans="1:24" s="6" customFormat="1" ht="21.95" customHeight="1" x14ac:dyDescent="0.2">
      <c r="A399" s="6" t="s">
        <v>17</v>
      </c>
      <c r="B399" s="6" t="s">
        <v>1588</v>
      </c>
      <c r="C399" s="6" t="s">
        <v>215</v>
      </c>
      <c r="D399" s="6" t="s">
        <v>55</v>
      </c>
      <c r="G399" s="6">
        <v>92</v>
      </c>
      <c r="H399" s="6">
        <v>16</v>
      </c>
      <c r="I399" s="9">
        <v>4</v>
      </c>
      <c r="J399" s="9"/>
      <c r="K399" s="9">
        <v>44004606</v>
      </c>
      <c r="L399" s="6" t="str">
        <f t="shared" si="39"/>
        <v>HL OPERA PLUS TV ÜNİTESİ ÜST RAF</v>
      </c>
      <c r="M399" s="12">
        <v>0.4</v>
      </c>
      <c r="N399" s="12">
        <v>0.4</v>
      </c>
      <c r="O399" s="12">
        <v>4744</v>
      </c>
      <c r="P399" s="12">
        <f t="shared" si="40"/>
        <v>2846.4</v>
      </c>
      <c r="Q399" s="12">
        <f t="shared" si="36"/>
        <v>5977.4400000000005</v>
      </c>
      <c r="R399" s="33">
        <f t="shared" si="41"/>
        <v>5900</v>
      </c>
      <c r="T399" s="12"/>
      <c r="U399" s="12"/>
      <c r="V399" s="12"/>
      <c r="W399" s="12">
        <f t="shared" si="37"/>
        <v>7116</v>
      </c>
      <c r="X399" s="12">
        <f t="shared" si="38"/>
        <v>7100</v>
      </c>
    </row>
    <row r="400" spans="1:24" s="6" customFormat="1" ht="21.95" customHeight="1" x14ac:dyDescent="0.2">
      <c r="A400" s="6" t="s">
        <v>17</v>
      </c>
      <c r="B400" s="6" t="s">
        <v>1588</v>
      </c>
      <c r="C400" s="6" t="s">
        <v>215</v>
      </c>
      <c r="D400" s="6" t="s">
        <v>216</v>
      </c>
      <c r="I400" s="9"/>
      <c r="J400" s="9"/>
      <c r="K400" s="9">
        <v>44004607</v>
      </c>
      <c r="L400" s="6" t="str">
        <f t="shared" si="39"/>
        <v>HL OPERA PLUS ORTA SEHPA TAKIM</v>
      </c>
      <c r="M400" s="12">
        <v>0.4</v>
      </c>
      <c r="N400" s="12">
        <v>0.4</v>
      </c>
      <c r="O400" s="12">
        <v>24246</v>
      </c>
      <c r="P400" s="12">
        <f t="shared" si="40"/>
        <v>14547.6</v>
      </c>
      <c r="Q400" s="12">
        <f t="shared" si="36"/>
        <v>30549.960000000003</v>
      </c>
      <c r="R400" s="33">
        <f t="shared" si="41"/>
        <v>30500</v>
      </c>
      <c r="T400" s="12"/>
      <c r="U400" s="12"/>
      <c r="V400" s="12"/>
      <c r="W400" s="12">
        <f t="shared" si="37"/>
        <v>36369</v>
      </c>
      <c r="X400" s="12">
        <f t="shared" si="38"/>
        <v>36300</v>
      </c>
    </row>
    <row r="401" spans="1:24" s="6" customFormat="1" ht="21.95" customHeight="1" x14ac:dyDescent="0.2">
      <c r="A401" s="6" t="s">
        <v>17</v>
      </c>
      <c r="B401" s="6" t="s">
        <v>1588</v>
      </c>
      <c r="C401" s="6" t="s">
        <v>217</v>
      </c>
      <c r="D401" s="6" t="s">
        <v>25</v>
      </c>
      <c r="G401" s="6">
        <v>52</v>
      </c>
      <c r="H401" s="6">
        <v>80</v>
      </c>
      <c r="I401" s="9">
        <v>52</v>
      </c>
      <c r="J401" s="9"/>
      <c r="K401" s="9">
        <v>44004608</v>
      </c>
      <c r="L401" s="6" t="str">
        <f t="shared" si="39"/>
        <v>HL SOLİD SANDALYE</v>
      </c>
      <c r="M401" s="12">
        <v>0.4</v>
      </c>
      <c r="N401" s="12">
        <v>0.4</v>
      </c>
      <c r="O401" s="12">
        <v>8330</v>
      </c>
      <c r="P401" s="12">
        <f t="shared" si="40"/>
        <v>4998</v>
      </c>
      <c r="Q401" s="12">
        <f t="shared" si="36"/>
        <v>10495.800000000001</v>
      </c>
      <c r="R401" s="33">
        <f t="shared" si="41"/>
        <v>10400</v>
      </c>
      <c r="T401" s="12"/>
      <c r="U401" s="12"/>
      <c r="V401" s="12"/>
      <c r="W401" s="12">
        <f t="shared" si="37"/>
        <v>12495</v>
      </c>
      <c r="X401" s="12">
        <f t="shared" si="38"/>
        <v>12400</v>
      </c>
    </row>
    <row r="402" spans="1:24" s="6" customFormat="1" ht="21.95" customHeight="1" x14ac:dyDescent="0.2">
      <c r="A402" s="6" t="s">
        <v>17</v>
      </c>
      <c r="B402" s="6" t="s">
        <v>1588</v>
      </c>
      <c r="C402" s="6" t="s">
        <v>217</v>
      </c>
      <c r="D402" s="6" t="s">
        <v>49</v>
      </c>
      <c r="G402" s="6">
        <v>220</v>
      </c>
      <c r="H402" s="6">
        <v>80</v>
      </c>
      <c r="I402" s="9">
        <v>48</v>
      </c>
      <c r="J402" s="9"/>
      <c r="K402" s="9">
        <v>44004609</v>
      </c>
      <c r="L402" s="6" t="str">
        <f t="shared" si="39"/>
        <v>HL SOLİD KONSOL</v>
      </c>
      <c r="M402" s="12">
        <v>0.4</v>
      </c>
      <c r="N402" s="12">
        <v>0.4</v>
      </c>
      <c r="O402" s="12">
        <v>43972</v>
      </c>
      <c r="P402" s="12">
        <f t="shared" si="40"/>
        <v>26383.200000000001</v>
      </c>
      <c r="Q402" s="12">
        <f t="shared" si="36"/>
        <v>55404.72</v>
      </c>
      <c r="R402" s="33">
        <f t="shared" si="41"/>
        <v>55400</v>
      </c>
      <c r="T402" s="12"/>
      <c r="U402" s="12"/>
      <c r="V402" s="12"/>
      <c r="W402" s="12">
        <f t="shared" si="37"/>
        <v>65958</v>
      </c>
      <c r="X402" s="12">
        <f t="shared" si="38"/>
        <v>65900</v>
      </c>
    </row>
    <row r="403" spans="1:24" s="6" customFormat="1" ht="21.95" customHeight="1" x14ac:dyDescent="0.2">
      <c r="A403" s="6" t="s">
        <v>17</v>
      </c>
      <c r="B403" s="6" t="s">
        <v>1588</v>
      </c>
      <c r="C403" s="6" t="s">
        <v>217</v>
      </c>
      <c r="D403" s="6" t="s">
        <v>155</v>
      </c>
      <c r="G403" s="6">
        <v>208</v>
      </c>
      <c r="H403" s="6">
        <v>78</v>
      </c>
      <c r="I403" s="9">
        <v>98</v>
      </c>
      <c r="J403" s="9"/>
      <c r="K403" s="9">
        <v>44004610</v>
      </c>
      <c r="L403" s="6" t="str">
        <f t="shared" si="39"/>
        <v>HL SOLİD MASA</v>
      </c>
      <c r="M403" s="12">
        <v>0.4</v>
      </c>
      <c r="N403" s="12">
        <v>0.4</v>
      </c>
      <c r="O403" s="12">
        <v>30057</v>
      </c>
      <c r="P403" s="12">
        <f t="shared" si="40"/>
        <v>18034.2</v>
      </c>
      <c r="Q403" s="12">
        <f t="shared" si="36"/>
        <v>37871.82</v>
      </c>
      <c r="R403" s="33">
        <f t="shared" si="41"/>
        <v>37800</v>
      </c>
      <c r="T403" s="12"/>
      <c r="U403" s="12"/>
      <c r="V403" s="12"/>
      <c r="W403" s="12">
        <f t="shared" si="37"/>
        <v>45085.5</v>
      </c>
      <c r="X403" s="12">
        <f t="shared" si="38"/>
        <v>45000</v>
      </c>
    </row>
    <row r="404" spans="1:24" s="6" customFormat="1" ht="21.95" customHeight="1" x14ac:dyDescent="0.2">
      <c r="A404" s="6" t="s">
        <v>17</v>
      </c>
      <c r="B404" s="6" t="s">
        <v>1588</v>
      </c>
      <c r="C404" s="6" t="s">
        <v>217</v>
      </c>
      <c r="D404" s="6" t="s">
        <v>102</v>
      </c>
      <c r="G404" s="6">
        <v>220</v>
      </c>
      <c r="H404" s="6">
        <v>60</v>
      </c>
      <c r="I404" s="9">
        <v>48</v>
      </c>
      <c r="J404" s="9"/>
      <c r="K404" s="9">
        <v>44004611</v>
      </c>
      <c r="L404" s="6" t="str">
        <f t="shared" si="39"/>
        <v>HL SOLİD TV ÜNİTESİ ALT BLOK</v>
      </c>
      <c r="M404" s="12">
        <v>0.4</v>
      </c>
      <c r="N404" s="12">
        <v>0.4</v>
      </c>
      <c r="O404" s="12">
        <v>35511</v>
      </c>
      <c r="P404" s="12">
        <f t="shared" si="40"/>
        <v>21306.6</v>
      </c>
      <c r="Q404" s="12">
        <f t="shared" si="36"/>
        <v>44743.86</v>
      </c>
      <c r="R404" s="33">
        <f t="shared" si="41"/>
        <v>44700</v>
      </c>
      <c r="T404" s="12"/>
      <c r="U404" s="12"/>
      <c r="V404" s="12"/>
      <c r="W404" s="12">
        <f t="shared" si="37"/>
        <v>53266.5</v>
      </c>
      <c r="X404" s="12">
        <f t="shared" si="38"/>
        <v>53200</v>
      </c>
    </row>
    <row r="405" spans="1:24" s="6" customFormat="1" ht="21.95" customHeight="1" x14ac:dyDescent="0.2">
      <c r="A405" s="6" t="s">
        <v>17</v>
      </c>
      <c r="B405" s="6" t="s">
        <v>1588</v>
      </c>
      <c r="C405" s="6" t="s">
        <v>217</v>
      </c>
      <c r="D405" s="6" t="s">
        <v>218</v>
      </c>
      <c r="G405" s="6">
        <v>28</v>
      </c>
      <c r="H405" s="6">
        <v>81</v>
      </c>
      <c r="I405" s="9">
        <v>31</v>
      </c>
      <c r="J405" s="9"/>
      <c r="K405" s="9">
        <v>44004612</v>
      </c>
      <c r="L405" s="6" t="str">
        <f t="shared" si="39"/>
        <v>HL SOLİD TV ÜNİTESİ ÜST BLOK (ADET)</v>
      </c>
      <c r="M405" s="12">
        <v>0.4</v>
      </c>
      <c r="N405" s="12">
        <v>0.4</v>
      </c>
      <c r="O405" s="12">
        <v>11756</v>
      </c>
      <c r="P405" s="12">
        <f t="shared" si="40"/>
        <v>7053.5999999999995</v>
      </c>
      <c r="Q405" s="12">
        <f t="shared" si="36"/>
        <v>14812.56</v>
      </c>
      <c r="R405" s="33">
        <f t="shared" si="41"/>
        <v>14800</v>
      </c>
      <c r="T405" s="12"/>
      <c r="U405" s="12"/>
      <c r="V405" s="12"/>
      <c r="W405" s="12">
        <f t="shared" si="37"/>
        <v>17634</v>
      </c>
      <c r="X405" s="12">
        <f t="shared" si="38"/>
        <v>17600</v>
      </c>
    </row>
    <row r="406" spans="1:24" s="6" customFormat="1" ht="21.95" customHeight="1" x14ac:dyDescent="0.2">
      <c r="A406" s="6" t="s">
        <v>17</v>
      </c>
      <c r="B406" s="6" t="s">
        <v>1588</v>
      </c>
      <c r="C406" s="6" t="s">
        <v>217</v>
      </c>
      <c r="D406" s="6" t="s">
        <v>219</v>
      </c>
      <c r="G406" s="6">
        <v>105</v>
      </c>
      <c r="H406" s="6">
        <v>4</v>
      </c>
      <c r="I406" s="9">
        <v>16</v>
      </c>
      <c r="J406" s="9"/>
      <c r="K406" s="9">
        <v>44004613</v>
      </c>
      <c r="L406" s="6" t="str">
        <f t="shared" si="39"/>
        <v>HL SOLİD TV ÜNİTESİ RAF</v>
      </c>
      <c r="M406" s="12">
        <v>0.4</v>
      </c>
      <c r="N406" s="12">
        <v>0.4</v>
      </c>
      <c r="O406" s="12">
        <v>2382</v>
      </c>
      <c r="P406" s="12">
        <f t="shared" si="40"/>
        <v>1429.2</v>
      </c>
      <c r="Q406" s="12">
        <f t="shared" si="36"/>
        <v>3001.32</v>
      </c>
      <c r="R406" s="33">
        <f t="shared" si="41"/>
        <v>3000</v>
      </c>
      <c r="T406" s="12"/>
      <c r="U406" s="12"/>
      <c r="V406" s="12"/>
      <c r="W406" s="12">
        <f t="shared" si="37"/>
        <v>3573</v>
      </c>
      <c r="X406" s="12">
        <f t="shared" si="38"/>
        <v>3500</v>
      </c>
    </row>
    <row r="407" spans="1:24" s="6" customFormat="1" ht="21.95" customHeight="1" x14ac:dyDescent="0.2">
      <c r="A407" s="6" t="s">
        <v>17</v>
      </c>
      <c r="B407" s="6" t="s">
        <v>1588</v>
      </c>
      <c r="C407" s="6" t="s">
        <v>217</v>
      </c>
      <c r="D407" s="6" t="s">
        <v>220</v>
      </c>
      <c r="G407" s="6">
        <v>90</v>
      </c>
      <c r="H407" s="6" t="s">
        <v>221</v>
      </c>
      <c r="I407" s="9">
        <v>90</v>
      </c>
      <c r="J407" s="9"/>
      <c r="K407" s="9">
        <v>44004614</v>
      </c>
      <c r="L407" s="6" t="str">
        <f t="shared" si="39"/>
        <v>HL SOLİD ORTA SEHPA (ADET)</v>
      </c>
      <c r="M407" s="12">
        <v>0.4</v>
      </c>
      <c r="N407" s="12">
        <v>0.4</v>
      </c>
      <c r="O407" s="12">
        <v>14453</v>
      </c>
      <c r="P407" s="12">
        <f t="shared" si="40"/>
        <v>8671.7999999999993</v>
      </c>
      <c r="Q407" s="12">
        <f t="shared" si="36"/>
        <v>18210.78</v>
      </c>
      <c r="R407" s="33">
        <f t="shared" si="41"/>
        <v>18200</v>
      </c>
      <c r="T407" s="12"/>
      <c r="U407" s="12"/>
      <c r="V407" s="12"/>
      <c r="W407" s="12">
        <f t="shared" si="37"/>
        <v>21679.5</v>
      </c>
      <c r="X407" s="12">
        <f t="shared" si="38"/>
        <v>21600</v>
      </c>
    </row>
    <row r="408" spans="1:24" s="6" customFormat="1" ht="21.95" customHeight="1" x14ac:dyDescent="0.2">
      <c r="A408" s="5" t="s">
        <v>17</v>
      </c>
      <c r="B408" s="6" t="s">
        <v>1588</v>
      </c>
      <c r="C408" s="6" t="s">
        <v>217</v>
      </c>
      <c r="D408" s="6" t="s">
        <v>222</v>
      </c>
      <c r="F408" s="5"/>
      <c r="H408" s="6">
        <v>72</v>
      </c>
      <c r="I408" s="9">
        <v>100</v>
      </c>
      <c r="J408" s="9"/>
      <c r="K408" s="9">
        <v>44004615</v>
      </c>
      <c r="L408" s="6" t="str">
        <f t="shared" si="39"/>
        <v>HL SOLİD KOLTUK 4 LÜ KIRIK</v>
      </c>
      <c r="M408" s="8">
        <v>0.4</v>
      </c>
      <c r="N408" s="8">
        <v>0.4</v>
      </c>
      <c r="O408" s="12">
        <v>51645</v>
      </c>
      <c r="P408" s="8">
        <f t="shared" si="40"/>
        <v>30987</v>
      </c>
      <c r="Q408" s="12">
        <f t="shared" si="36"/>
        <v>65072.700000000004</v>
      </c>
      <c r="R408" s="31">
        <f t="shared" si="41"/>
        <v>65000</v>
      </c>
      <c r="S408" s="5"/>
      <c r="T408" s="8"/>
      <c r="U408" s="8">
        <v>59924</v>
      </c>
      <c r="V408" s="12"/>
      <c r="W408" s="12">
        <f t="shared" si="37"/>
        <v>77467.5</v>
      </c>
      <c r="X408" s="12">
        <f t="shared" si="38"/>
        <v>77400</v>
      </c>
    </row>
    <row r="409" spans="1:24" s="6" customFormat="1" ht="21.95" customHeight="1" x14ac:dyDescent="0.2">
      <c r="A409" s="5" t="s">
        <v>17</v>
      </c>
      <c r="B409" s="6" t="s">
        <v>1588</v>
      </c>
      <c r="C409" s="6" t="s">
        <v>217</v>
      </c>
      <c r="D409" s="6" t="s">
        <v>223</v>
      </c>
      <c r="F409" s="5"/>
      <c r="G409" s="6">
        <v>115</v>
      </c>
      <c r="H409" s="6">
        <v>72</v>
      </c>
      <c r="I409" s="9">
        <v>100</v>
      </c>
      <c r="J409" s="9"/>
      <c r="K409" s="9">
        <v>44004616</v>
      </c>
      <c r="L409" s="6" t="str">
        <f t="shared" si="39"/>
        <v xml:space="preserve">HL SOLİD 90CM KOLLU MODÜL </v>
      </c>
      <c r="M409" s="8">
        <v>0.4</v>
      </c>
      <c r="N409" s="8">
        <v>0.4</v>
      </c>
      <c r="O409" s="12">
        <v>21036</v>
      </c>
      <c r="P409" s="8">
        <f t="shared" si="40"/>
        <v>12621.6</v>
      </c>
      <c r="Q409" s="12">
        <f t="shared" si="36"/>
        <v>26505.360000000001</v>
      </c>
      <c r="R409" s="31">
        <f t="shared" si="41"/>
        <v>26500</v>
      </c>
      <c r="S409" s="5"/>
      <c r="T409" s="8"/>
      <c r="U409" s="8">
        <v>24402</v>
      </c>
      <c r="V409" s="12"/>
      <c r="W409" s="12">
        <f t="shared" si="37"/>
        <v>31554</v>
      </c>
      <c r="X409" s="12">
        <f t="shared" si="38"/>
        <v>31500</v>
      </c>
    </row>
    <row r="410" spans="1:24" s="6" customFormat="1" ht="21.95" customHeight="1" x14ac:dyDescent="0.2">
      <c r="A410" s="5" t="s">
        <v>17</v>
      </c>
      <c r="B410" s="6" t="s">
        <v>1588</v>
      </c>
      <c r="C410" s="6" t="s">
        <v>217</v>
      </c>
      <c r="D410" s="6" t="s">
        <v>224</v>
      </c>
      <c r="E410" s="5"/>
      <c r="F410" s="5"/>
      <c r="G410" s="6">
        <v>90</v>
      </c>
      <c r="H410" s="6">
        <v>72</v>
      </c>
      <c r="I410" s="9">
        <v>100</v>
      </c>
      <c r="J410" s="9"/>
      <c r="K410" s="9">
        <v>44004617</v>
      </c>
      <c r="L410" s="6" t="str">
        <f t="shared" si="39"/>
        <v>HL SOLİD 90CM ARA MODÜL</v>
      </c>
      <c r="M410" s="8">
        <v>0.4</v>
      </c>
      <c r="N410" s="8">
        <v>0.4</v>
      </c>
      <c r="O410" s="12">
        <v>15306</v>
      </c>
      <c r="P410" s="8">
        <f t="shared" si="40"/>
        <v>9183.6</v>
      </c>
      <c r="Q410" s="12">
        <f t="shared" si="36"/>
        <v>19285.560000000001</v>
      </c>
      <c r="R410" s="31">
        <f t="shared" si="41"/>
        <v>19200</v>
      </c>
      <c r="S410" s="5"/>
      <c r="T410" s="8"/>
      <c r="U410" s="8">
        <v>17755</v>
      </c>
      <c r="V410" s="12"/>
      <c r="W410" s="12">
        <f t="shared" si="37"/>
        <v>22959</v>
      </c>
      <c r="X410" s="12">
        <f t="shared" si="38"/>
        <v>22900</v>
      </c>
    </row>
    <row r="411" spans="1:24" s="6" customFormat="1" ht="21.6" customHeight="1" x14ac:dyDescent="0.2">
      <c r="A411" s="5" t="s">
        <v>17</v>
      </c>
      <c r="B411" s="6" t="s">
        <v>1588</v>
      </c>
      <c r="C411" s="6" t="s">
        <v>217</v>
      </c>
      <c r="D411" s="6" t="s">
        <v>225</v>
      </c>
      <c r="F411" s="5"/>
      <c r="G411" s="6">
        <v>131</v>
      </c>
      <c r="H411" s="6">
        <v>72</v>
      </c>
      <c r="I411" s="9">
        <v>100</v>
      </c>
      <c r="J411" s="9"/>
      <c r="K411" s="9">
        <v>44004618</v>
      </c>
      <c r="L411" s="6" t="str">
        <f t="shared" si="39"/>
        <v>HL SOLİD 90CM SEHPALI MODÜL</v>
      </c>
      <c r="M411" s="8">
        <v>0.4</v>
      </c>
      <c r="N411" s="8">
        <v>0.4</v>
      </c>
      <c r="O411" s="12">
        <v>21036</v>
      </c>
      <c r="P411" s="8">
        <f t="shared" si="40"/>
        <v>12621.6</v>
      </c>
      <c r="Q411" s="12">
        <f t="shared" si="36"/>
        <v>26505.360000000001</v>
      </c>
      <c r="R411" s="31">
        <f t="shared" si="41"/>
        <v>26500</v>
      </c>
      <c r="S411" s="5"/>
      <c r="T411" s="8"/>
      <c r="U411" s="8">
        <v>24402</v>
      </c>
      <c r="V411" s="12"/>
      <c r="W411" s="12">
        <f t="shared" si="37"/>
        <v>31554</v>
      </c>
      <c r="X411" s="12">
        <f t="shared" si="38"/>
        <v>31500</v>
      </c>
    </row>
    <row r="412" spans="1:24" s="6" customFormat="1" ht="21.6" customHeight="1" x14ac:dyDescent="0.2">
      <c r="A412" s="5" t="s">
        <v>17</v>
      </c>
      <c r="B412" s="6" t="s">
        <v>1588</v>
      </c>
      <c r="C412" s="6" t="s">
        <v>217</v>
      </c>
      <c r="D412" s="6" t="s">
        <v>33</v>
      </c>
      <c r="F412" s="5"/>
      <c r="G412" s="6">
        <v>80</v>
      </c>
      <c r="H412" s="6">
        <v>86</v>
      </c>
      <c r="I412" s="9">
        <v>100</v>
      </c>
      <c r="J412" s="9"/>
      <c r="K412" s="9">
        <v>44004619</v>
      </c>
      <c r="L412" s="6" t="str">
        <f t="shared" si="39"/>
        <v>HL SOLİD BERJER</v>
      </c>
      <c r="M412" s="8">
        <v>0.4</v>
      </c>
      <c r="N412" s="8">
        <v>0.4</v>
      </c>
      <c r="O412" s="12">
        <v>15767</v>
      </c>
      <c r="P412" s="8">
        <f t="shared" si="40"/>
        <v>9460.1999999999989</v>
      </c>
      <c r="Q412" s="12">
        <f t="shared" ref="Q412:Q476" si="42">O412*(1-N412)*2.1</f>
        <v>19866.419999999998</v>
      </c>
      <c r="R412" s="31">
        <f t="shared" si="41"/>
        <v>19800</v>
      </c>
      <c r="S412" s="5"/>
      <c r="T412" s="8"/>
      <c r="U412" s="8">
        <v>18290</v>
      </c>
      <c r="V412" s="12"/>
      <c r="W412" s="12">
        <f t="shared" ref="W412:W476" si="43">P412*2.5</f>
        <v>23650.499999999996</v>
      </c>
      <c r="X412" s="12">
        <f t="shared" ref="X412:X476" si="44">ROUNDDOWN(W412,-2)</f>
        <v>23600</v>
      </c>
    </row>
    <row r="413" spans="1:24" s="6" customFormat="1" ht="21.95" customHeight="1" x14ac:dyDescent="0.2">
      <c r="A413" s="5" t="s">
        <v>17</v>
      </c>
      <c r="B413" s="6" t="s">
        <v>1588</v>
      </c>
      <c r="C413" s="6" t="s">
        <v>217</v>
      </c>
      <c r="D413" s="6" t="s">
        <v>226</v>
      </c>
      <c r="E413" s="5"/>
      <c r="F413" s="5"/>
      <c r="G413" s="6">
        <v>135</v>
      </c>
      <c r="H413" s="6">
        <v>72</v>
      </c>
      <c r="I413" s="9">
        <v>100</v>
      </c>
      <c r="J413" s="9"/>
      <c r="K413" s="9">
        <v>44004620</v>
      </c>
      <c r="L413" s="6" t="str">
        <f t="shared" si="39"/>
        <v>HL SOLİD 110CM KOLLU MODÜL</v>
      </c>
      <c r="M413" s="8">
        <v>0.4</v>
      </c>
      <c r="N413" s="8">
        <v>0.4</v>
      </c>
      <c r="O413" s="12">
        <v>21850</v>
      </c>
      <c r="P413" s="8">
        <f t="shared" si="40"/>
        <v>13110</v>
      </c>
      <c r="Q413" s="12">
        <f t="shared" si="42"/>
        <v>27531</v>
      </c>
      <c r="R413" s="31">
        <f t="shared" si="41"/>
        <v>27500</v>
      </c>
      <c r="S413" s="5"/>
      <c r="T413" s="8"/>
      <c r="U413" s="8">
        <v>25345</v>
      </c>
      <c r="V413" s="12"/>
      <c r="W413" s="12">
        <f t="shared" si="43"/>
        <v>32775</v>
      </c>
      <c r="X413" s="12">
        <f t="shared" si="44"/>
        <v>32700</v>
      </c>
    </row>
    <row r="414" spans="1:24" s="6" customFormat="1" ht="21.95" customHeight="1" x14ac:dyDescent="0.2">
      <c r="A414" s="5" t="s">
        <v>17</v>
      </c>
      <c r="B414" s="6" t="s">
        <v>1588</v>
      </c>
      <c r="C414" s="6" t="s">
        <v>217</v>
      </c>
      <c r="D414" s="6" t="s">
        <v>227</v>
      </c>
      <c r="F414" s="5"/>
      <c r="G414" s="6">
        <v>151</v>
      </c>
      <c r="H414" s="6">
        <v>72</v>
      </c>
      <c r="I414" s="9">
        <v>100</v>
      </c>
      <c r="J414" s="9"/>
      <c r="K414" s="9">
        <v>44004621</v>
      </c>
      <c r="L414" s="6" t="str">
        <f t="shared" si="39"/>
        <v>HL SOLİD 110CM SEHPALI MODÜL</v>
      </c>
      <c r="M414" s="8">
        <v>0.4</v>
      </c>
      <c r="N414" s="8">
        <v>0.4</v>
      </c>
      <c r="O414" s="12">
        <v>21850</v>
      </c>
      <c r="P414" s="8">
        <f t="shared" si="40"/>
        <v>13110</v>
      </c>
      <c r="Q414" s="12">
        <f t="shared" si="42"/>
        <v>27531</v>
      </c>
      <c r="R414" s="31">
        <f t="shared" si="41"/>
        <v>27500</v>
      </c>
      <c r="S414" s="5"/>
      <c r="T414" s="8"/>
      <c r="U414" s="8">
        <v>25345</v>
      </c>
      <c r="V414" s="12"/>
      <c r="W414" s="12">
        <f t="shared" si="43"/>
        <v>32775</v>
      </c>
      <c r="X414" s="12">
        <f t="shared" si="44"/>
        <v>32700</v>
      </c>
    </row>
    <row r="415" spans="1:24" s="6" customFormat="1" ht="21.95" customHeight="1" x14ac:dyDescent="0.2">
      <c r="A415" s="5" t="s">
        <v>17</v>
      </c>
      <c r="B415" s="6" t="s">
        <v>1588</v>
      </c>
      <c r="C415" s="6" t="s">
        <v>217</v>
      </c>
      <c r="D415" s="6" t="s">
        <v>228</v>
      </c>
      <c r="F415" s="5"/>
      <c r="G415" s="6">
        <v>110</v>
      </c>
      <c r="H415" s="6">
        <v>72</v>
      </c>
      <c r="I415" s="9">
        <v>100</v>
      </c>
      <c r="J415" s="9"/>
      <c r="K415" s="9">
        <v>44004622</v>
      </c>
      <c r="L415" s="6" t="str">
        <f t="shared" si="39"/>
        <v>HL SOLİD 110CM+ARA MODÜL</v>
      </c>
      <c r="M415" s="8">
        <v>0.4</v>
      </c>
      <c r="N415" s="8">
        <v>0.4</v>
      </c>
      <c r="O415" s="12">
        <v>15872</v>
      </c>
      <c r="P415" s="8">
        <f t="shared" si="40"/>
        <v>9523.1999999999989</v>
      </c>
      <c r="Q415" s="12">
        <f t="shared" si="42"/>
        <v>19998.719999999998</v>
      </c>
      <c r="R415" s="31">
        <f t="shared" si="41"/>
        <v>19900</v>
      </c>
      <c r="S415" s="5"/>
      <c r="T415" s="8"/>
      <c r="U415" s="8">
        <v>18412</v>
      </c>
      <c r="V415" s="12"/>
      <c r="W415" s="12">
        <f t="shared" si="43"/>
        <v>23807.999999999996</v>
      </c>
      <c r="X415" s="12">
        <f t="shared" si="44"/>
        <v>23800</v>
      </c>
    </row>
    <row r="416" spans="1:24" s="6" customFormat="1" ht="21.95" customHeight="1" x14ac:dyDescent="0.2">
      <c r="A416" s="5" t="s">
        <v>17</v>
      </c>
      <c r="B416" s="6" t="s">
        <v>1588</v>
      </c>
      <c r="C416" s="6" t="s">
        <v>217</v>
      </c>
      <c r="D416" s="6" t="s">
        <v>229</v>
      </c>
      <c r="F416" s="5"/>
      <c r="G416" s="6">
        <v>105</v>
      </c>
      <c r="H416" s="6">
        <v>72</v>
      </c>
      <c r="I416" s="9">
        <v>100</v>
      </c>
      <c r="J416" s="9"/>
      <c r="K416" s="9">
        <v>44004623</v>
      </c>
      <c r="L416" s="6" t="str">
        <f t="shared" si="39"/>
        <v>HL SOLİD 80CM KOLLU MODÜL</v>
      </c>
      <c r="M416" s="8">
        <v>0.4</v>
      </c>
      <c r="N416" s="8">
        <v>0.4</v>
      </c>
      <c r="O416" s="12">
        <v>20283</v>
      </c>
      <c r="P416" s="8">
        <f t="shared" si="40"/>
        <v>12169.8</v>
      </c>
      <c r="Q416" s="12">
        <f t="shared" si="42"/>
        <v>25556.579999999998</v>
      </c>
      <c r="R416" s="31">
        <f t="shared" si="41"/>
        <v>25500</v>
      </c>
      <c r="S416" s="5"/>
      <c r="T416" s="8"/>
      <c r="U416" s="8">
        <v>23528</v>
      </c>
      <c r="V416" s="12"/>
      <c r="W416" s="12">
        <f t="shared" si="43"/>
        <v>30424.5</v>
      </c>
      <c r="X416" s="12">
        <f t="shared" si="44"/>
        <v>30400</v>
      </c>
    </row>
    <row r="417" spans="1:24" s="6" customFormat="1" ht="21.95" customHeight="1" x14ac:dyDescent="0.2">
      <c r="A417" s="5"/>
      <c r="C417" s="6" t="s">
        <v>217</v>
      </c>
      <c r="D417" s="6" t="s">
        <v>1576</v>
      </c>
      <c r="F417" s="5"/>
      <c r="I417" s="9"/>
      <c r="J417" s="9"/>
      <c r="K417" s="9"/>
      <c r="L417" s="6" t="str">
        <f t="shared" si="39"/>
        <v xml:space="preserve"> SOLİD KÖŞE MODÜL </v>
      </c>
      <c r="M417" s="8"/>
      <c r="N417" s="8"/>
      <c r="O417" s="12"/>
      <c r="P417" s="8"/>
      <c r="Q417" s="12"/>
      <c r="R417" s="31"/>
      <c r="S417" s="5"/>
      <c r="T417" s="8"/>
      <c r="U417" s="8">
        <v>25345</v>
      </c>
      <c r="V417" s="12"/>
      <c r="W417" s="12"/>
      <c r="X417" s="12"/>
    </row>
    <row r="418" spans="1:24" s="6" customFormat="1" ht="21.95" customHeight="1" x14ac:dyDescent="0.2">
      <c r="A418" s="5" t="s">
        <v>17</v>
      </c>
      <c r="B418" s="6" t="s">
        <v>1588</v>
      </c>
      <c r="C418" s="6" t="s">
        <v>217</v>
      </c>
      <c r="D418" s="6" t="s">
        <v>230</v>
      </c>
      <c r="F418" s="5"/>
      <c r="G418" s="6">
        <v>121</v>
      </c>
      <c r="H418" s="6">
        <v>72</v>
      </c>
      <c r="I418" s="9">
        <v>100</v>
      </c>
      <c r="J418" s="9"/>
      <c r="K418" s="9">
        <v>44004624</v>
      </c>
      <c r="L418" s="6" t="str">
        <f t="shared" si="39"/>
        <v>HL SOLİD 80CM SEHPALI MODÜL</v>
      </c>
      <c r="M418" s="8">
        <v>0.4</v>
      </c>
      <c r="N418" s="8">
        <v>0.4</v>
      </c>
      <c r="O418" s="12">
        <v>20283</v>
      </c>
      <c r="P418" s="8">
        <f t="shared" si="40"/>
        <v>12169.8</v>
      </c>
      <c r="Q418" s="12">
        <f t="shared" si="42"/>
        <v>25556.579999999998</v>
      </c>
      <c r="R418" s="31">
        <f t="shared" si="41"/>
        <v>25500</v>
      </c>
      <c r="S418" s="5"/>
      <c r="T418" s="8"/>
      <c r="U418" s="8">
        <v>23528</v>
      </c>
      <c r="V418" s="12"/>
      <c r="W418" s="12">
        <f t="shared" si="43"/>
        <v>30424.5</v>
      </c>
      <c r="X418" s="12">
        <f t="shared" si="44"/>
        <v>30400</v>
      </c>
    </row>
    <row r="419" spans="1:24" s="6" customFormat="1" ht="21.95" customHeight="1" x14ac:dyDescent="0.2">
      <c r="A419" s="5" t="s">
        <v>17</v>
      </c>
      <c r="B419" s="6" t="s">
        <v>1588</v>
      </c>
      <c r="C419" s="6" t="s">
        <v>217</v>
      </c>
      <c r="D419" s="6" t="s">
        <v>231</v>
      </c>
      <c r="F419" s="5"/>
      <c r="G419" s="6">
        <v>80</v>
      </c>
      <c r="H419" s="6">
        <v>72</v>
      </c>
      <c r="I419" s="9">
        <v>100</v>
      </c>
      <c r="J419" s="9"/>
      <c r="K419" s="9">
        <v>44004625</v>
      </c>
      <c r="L419" s="6" t="str">
        <f t="shared" si="39"/>
        <v>HL SOLİD 80CM ARA MODÜL</v>
      </c>
      <c r="M419" s="8">
        <v>0.4</v>
      </c>
      <c r="N419" s="8">
        <v>0.4</v>
      </c>
      <c r="O419" s="12">
        <v>14490</v>
      </c>
      <c r="P419" s="8">
        <f t="shared" si="40"/>
        <v>8694</v>
      </c>
      <c r="Q419" s="12">
        <f t="shared" si="42"/>
        <v>18257.400000000001</v>
      </c>
      <c r="R419" s="31">
        <f t="shared" si="41"/>
        <v>18200</v>
      </c>
      <c r="S419" s="5"/>
      <c r="T419" s="8"/>
      <c r="U419" s="8">
        <v>16808</v>
      </c>
      <c r="V419" s="12"/>
      <c r="W419" s="12">
        <f t="shared" si="43"/>
        <v>21735</v>
      </c>
      <c r="X419" s="12">
        <f t="shared" si="44"/>
        <v>21700</v>
      </c>
    </row>
    <row r="420" spans="1:24" s="6" customFormat="1" ht="21.95" customHeight="1" x14ac:dyDescent="0.2">
      <c r="A420" s="6" t="s">
        <v>17</v>
      </c>
      <c r="B420" s="6" t="s">
        <v>1588</v>
      </c>
      <c r="C420" s="6" t="s">
        <v>232</v>
      </c>
      <c r="D420" s="6" t="s">
        <v>25</v>
      </c>
      <c r="F420" s="6" t="s">
        <v>233</v>
      </c>
      <c r="I420" s="9"/>
      <c r="J420" s="9"/>
      <c r="K420" s="9">
        <v>44004626</v>
      </c>
      <c r="L420" s="6" t="str">
        <f t="shared" si="39"/>
        <v>HL WOODY SANDALYE</v>
      </c>
      <c r="M420" s="12">
        <v>0.4</v>
      </c>
      <c r="N420" s="12">
        <v>0.4</v>
      </c>
      <c r="O420" s="12">
        <v>6104</v>
      </c>
      <c r="P420" s="12">
        <f t="shared" si="40"/>
        <v>3662.4</v>
      </c>
      <c r="Q420" s="12">
        <f t="shared" si="42"/>
        <v>7691.0400000000009</v>
      </c>
      <c r="R420" s="33">
        <f t="shared" si="41"/>
        <v>7600</v>
      </c>
      <c r="T420" s="12"/>
      <c r="U420" s="12"/>
      <c r="V420" s="12"/>
      <c r="W420" s="12">
        <f t="shared" si="43"/>
        <v>9156</v>
      </c>
      <c r="X420" s="12">
        <f t="shared" si="44"/>
        <v>9100</v>
      </c>
    </row>
    <row r="421" spans="1:24" s="6" customFormat="1" ht="21.95" customHeight="1" x14ac:dyDescent="0.2">
      <c r="A421" s="6" t="s">
        <v>17</v>
      </c>
      <c r="B421" s="6" t="s">
        <v>1588</v>
      </c>
      <c r="C421" s="6" t="s">
        <v>232</v>
      </c>
      <c r="D421" s="6" t="s">
        <v>49</v>
      </c>
      <c r="F421" s="6" t="s">
        <v>234</v>
      </c>
      <c r="G421" s="6">
        <v>220</v>
      </c>
      <c r="H421" s="6">
        <v>81</v>
      </c>
      <c r="I421" s="9">
        <v>48</v>
      </c>
      <c r="J421" s="9"/>
      <c r="K421" s="9">
        <v>44004627</v>
      </c>
      <c r="L421" s="6" t="str">
        <f t="shared" si="39"/>
        <v>HL WOODY KONSOL</v>
      </c>
      <c r="M421" s="12">
        <v>0.4</v>
      </c>
      <c r="N421" s="12">
        <v>0.4</v>
      </c>
      <c r="O421" s="12">
        <v>42859</v>
      </c>
      <c r="P421" s="12">
        <f t="shared" si="40"/>
        <v>25715.399999999998</v>
      </c>
      <c r="Q421" s="12">
        <f t="shared" si="42"/>
        <v>54002.34</v>
      </c>
      <c r="R421" s="33">
        <f t="shared" si="41"/>
        <v>54000</v>
      </c>
      <c r="T421" s="12"/>
      <c r="U421" s="12"/>
      <c r="V421" s="12"/>
      <c r="W421" s="12">
        <f t="shared" si="43"/>
        <v>64288.499999999993</v>
      </c>
      <c r="X421" s="12">
        <f t="shared" si="44"/>
        <v>64200</v>
      </c>
    </row>
    <row r="422" spans="1:24" s="6" customFormat="1" ht="21.95" customHeight="1" x14ac:dyDescent="0.2">
      <c r="A422" s="6" t="s">
        <v>17</v>
      </c>
      <c r="B422" s="6" t="s">
        <v>1588</v>
      </c>
      <c r="C422" s="6" t="s">
        <v>232</v>
      </c>
      <c r="D422" s="6" t="s">
        <v>21</v>
      </c>
      <c r="F422" s="6" t="s">
        <v>235</v>
      </c>
      <c r="G422" s="6">
        <v>90</v>
      </c>
      <c r="H422" s="6">
        <v>90</v>
      </c>
      <c r="I422" s="9">
        <v>4</v>
      </c>
      <c r="J422" s="9"/>
      <c r="K422" s="9">
        <v>44004628</v>
      </c>
      <c r="L422" s="6" t="str">
        <f t="shared" si="39"/>
        <v>HL WOODY KONSOL AYNASI</v>
      </c>
      <c r="M422" s="12">
        <v>0.4</v>
      </c>
      <c r="N422" s="12">
        <v>0.4</v>
      </c>
      <c r="O422" s="12">
        <v>7348</v>
      </c>
      <c r="P422" s="12">
        <f t="shared" si="40"/>
        <v>4408.8</v>
      </c>
      <c r="Q422" s="12">
        <f t="shared" si="42"/>
        <v>9258.4800000000014</v>
      </c>
      <c r="R422" s="33">
        <f t="shared" si="41"/>
        <v>9200</v>
      </c>
      <c r="T422" s="12"/>
      <c r="U422" s="12"/>
      <c r="V422" s="12"/>
      <c r="W422" s="12">
        <f t="shared" si="43"/>
        <v>11022</v>
      </c>
      <c r="X422" s="12">
        <f t="shared" si="44"/>
        <v>11000</v>
      </c>
    </row>
    <row r="423" spans="1:24" s="6" customFormat="1" ht="21.95" customHeight="1" x14ac:dyDescent="0.2">
      <c r="A423" s="6" t="s">
        <v>17</v>
      </c>
      <c r="B423" s="6" t="s">
        <v>1588</v>
      </c>
      <c r="C423" s="6" t="s">
        <v>232</v>
      </c>
      <c r="D423" s="6" t="s">
        <v>155</v>
      </c>
      <c r="F423" s="6" t="s">
        <v>236</v>
      </c>
      <c r="G423" s="6">
        <v>208</v>
      </c>
      <c r="H423" s="6">
        <v>76</v>
      </c>
      <c r="I423" s="9">
        <v>98</v>
      </c>
      <c r="J423" s="9"/>
      <c r="K423" s="9">
        <v>44004629</v>
      </c>
      <c r="L423" s="6" t="str">
        <f t="shared" si="39"/>
        <v>HL WOODY MASA</v>
      </c>
      <c r="M423" s="12">
        <v>0.4</v>
      </c>
      <c r="N423" s="12">
        <v>0.4</v>
      </c>
      <c r="O423" s="12">
        <v>30725</v>
      </c>
      <c r="P423" s="12">
        <f t="shared" si="40"/>
        <v>18435</v>
      </c>
      <c r="Q423" s="12">
        <f t="shared" si="42"/>
        <v>38713.5</v>
      </c>
      <c r="R423" s="33">
        <f t="shared" si="41"/>
        <v>38700</v>
      </c>
      <c r="T423" s="12"/>
      <c r="U423" s="12"/>
      <c r="V423" s="12"/>
      <c r="W423" s="12">
        <f t="shared" si="43"/>
        <v>46087.5</v>
      </c>
      <c r="X423" s="12">
        <f t="shared" si="44"/>
        <v>46000</v>
      </c>
    </row>
    <row r="424" spans="1:24" s="6" customFormat="1" ht="21.95" customHeight="1" x14ac:dyDescent="0.2">
      <c r="A424" s="6" t="s">
        <v>17</v>
      </c>
      <c r="B424" s="6" t="s">
        <v>1588</v>
      </c>
      <c r="C424" s="6" t="s">
        <v>232</v>
      </c>
      <c r="D424" s="6" t="s">
        <v>102</v>
      </c>
      <c r="F424" s="6" t="s">
        <v>237</v>
      </c>
      <c r="G424" s="6">
        <v>220</v>
      </c>
      <c r="H424" s="6">
        <v>60</v>
      </c>
      <c r="I424" s="9">
        <v>48</v>
      </c>
      <c r="J424" s="9"/>
      <c r="K424" s="9">
        <v>44004630</v>
      </c>
      <c r="L424" s="6" t="str">
        <f t="shared" si="39"/>
        <v>HL WOODY TV ÜNİTESİ ALT BLOK</v>
      </c>
      <c r="M424" s="12">
        <v>0.4</v>
      </c>
      <c r="N424" s="12">
        <v>0.4</v>
      </c>
      <c r="O424" s="12">
        <v>34398</v>
      </c>
      <c r="P424" s="12">
        <f t="shared" si="40"/>
        <v>20638.8</v>
      </c>
      <c r="Q424" s="12">
        <f t="shared" si="42"/>
        <v>43341.48</v>
      </c>
      <c r="R424" s="33">
        <f t="shared" si="41"/>
        <v>43300</v>
      </c>
      <c r="T424" s="12"/>
      <c r="U424" s="12"/>
      <c r="V424" s="12"/>
      <c r="W424" s="12">
        <f t="shared" si="43"/>
        <v>51597</v>
      </c>
      <c r="X424" s="12">
        <f t="shared" si="44"/>
        <v>51500</v>
      </c>
    </row>
    <row r="425" spans="1:24" s="6" customFormat="1" ht="21.95" customHeight="1" x14ac:dyDescent="0.2">
      <c r="A425" s="6" t="s">
        <v>17</v>
      </c>
      <c r="B425" s="6" t="s">
        <v>1588</v>
      </c>
      <c r="C425" s="6" t="s">
        <v>232</v>
      </c>
      <c r="D425" s="6" t="s">
        <v>46</v>
      </c>
      <c r="F425" s="6" t="s">
        <v>238</v>
      </c>
      <c r="G425" s="6">
        <v>35</v>
      </c>
      <c r="H425" s="6">
        <v>104</v>
      </c>
      <c r="I425" s="9">
        <v>34</v>
      </c>
      <c r="J425" s="9"/>
      <c r="K425" s="9">
        <v>44004631</v>
      </c>
      <c r="L425" s="6" t="str">
        <f t="shared" si="39"/>
        <v>HL WOODY TV ÜNİTESİ ÜST BLOK</v>
      </c>
      <c r="M425" s="12">
        <v>0.4</v>
      </c>
      <c r="N425" s="12">
        <v>0.4</v>
      </c>
      <c r="O425" s="12">
        <v>11512</v>
      </c>
      <c r="P425" s="12">
        <f t="shared" si="40"/>
        <v>6907.2</v>
      </c>
      <c r="Q425" s="12">
        <f t="shared" si="42"/>
        <v>14505.12</v>
      </c>
      <c r="R425" s="33">
        <f t="shared" si="41"/>
        <v>14500</v>
      </c>
      <c r="T425" s="12"/>
      <c r="U425" s="12"/>
      <c r="V425" s="12"/>
      <c r="W425" s="12">
        <f t="shared" si="43"/>
        <v>17268</v>
      </c>
      <c r="X425" s="12">
        <f t="shared" si="44"/>
        <v>17200</v>
      </c>
    </row>
    <row r="426" spans="1:24" s="6" customFormat="1" ht="21.95" customHeight="1" x14ac:dyDescent="0.2">
      <c r="A426" s="6" t="s">
        <v>17</v>
      </c>
      <c r="B426" s="6" t="s">
        <v>1588</v>
      </c>
      <c r="C426" s="6" t="s">
        <v>232</v>
      </c>
      <c r="D426" s="6" t="s">
        <v>55</v>
      </c>
      <c r="F426" s="6" t="s">
        <v>239</v>
      </c>
      <c r="G426" s="6">
        <v>105</v>
      </c>
      <c r="H426" s="6">
        <v>4</v>
      </c>
      <c r="I426" s="9">
        <v>17</v>
      </c>
      <c r="J426" s="9"/>
      <c r="K426" s="9">
        <v>44004632</v>
      </c>
      <c r="L426" s="6" t="str">
        <f t="shared" si="39"/>
        <v>HL WOODY TV ÜNİTESİ ÜST RAF</v>
      </c>
      <c r="M426" s="12">
        <v>0.4</v>
      </c>
      <c r="N426" s="12">
        <v>0.4</v>
      </c>
      <c r="O426" s="12">
        <v>2298</v>
      </c>
      <c r="P426" s="12">
        <f t="shared" si="40"/>
        <v>1378.8</v>
      </c>
      <c r="Q426" s="12">
        <f t="shared" si="42"/>
        <v>2895.48</v>
      </c>
      <c r="R426" s="33">
        <f t="shared" si="41"/>
        <v>2800</v>
      </c>
      <c r="T426" s="12"/>
      <c r="U426" s="12"/>
      <c r="V426" s="12"/>
      <c r="W426" s="12">
        <f t="shared" si="43"/>
        <v>3447</v>
      </c>
      <c r="X426" s="12">
        <f t="shared" si="44"/>
        <v>3400</v>
      </c>
    </row>
    <row r="427" spans="1:24" s="6" customFormat="1" ht="21.95" customHeight="1" x14ac:dyDescent="0.2">
      <c r="A427" s="6" t="s">
        <v>17</v>
      </c>
      <c r="B427" s="6" t="s">
        <v>1588</v>
      </c>
      <c r="C427" s="6" t="s">
        <v>232</v>
      </c>
      <c r="D427" s="6" t="s">
        <v>29</v>
      </c>
      <c r="F427" s="6" t="s">
        <v>240</v>
      </c>
      <c r="G427" s="6">
        <v>105</v>
      </c>
      <c r="H427" s="6">
        <v>44</v>
      </c>
      <c r="I427" s="9">
        <v>105</v>
      </c>
      <c r="J427" s="9"/>
      <c r="K427" s="9">
        <v>44004633</v>
      </c>
      <c r="L427" s="6" t="str">
        <f t="shared" si="39"/>
        <v>HL WOODY ORTA SEHPA</v>
      </c>
      <c r="M427" s="12">
        <v>0.4</v>
      </c>
      <c r="N427" s="12">
        <v>0.4</v>
      </c>
      <c r="O427" s="12">
        <v>14917</v>
      </c>
      <c r="P427" s="12">
        <f t="shared" si="40"/>
        <v>8950.1999999999989</v>
      </c>
      <c r="Q427" s="12">
        <f t="shared" si="42"/>
        <v>18795.419999999998</v>
      </c>
      <c r="R427" s="33">
        <f t="shared" si="41"/>
        <v>18700</v>
      </c>
      <c r="T427" s="12"/>
      <c r="U427" s="12"/>
      <c r="V427" s="12"/>
      <c r="W427" s="12">
        <f t="shared" si="43"/>
        <v>22375.499999999996</v>
      </c>
      <c r="X427" s="12">
        <f t="shared" si="44"/>
        <v>22300</v>
      </c>
    </row>
    <row r="428" spans="1:24" s="6" customFormat="1" ht="21.95" customHeight="1" x14ac:dyDescent="0.2">
      <c r="A428" s="6" t="s">
        <v>17</v>
      </c>
      <c r="B428" s="6" t="s">
        <v>1588</v>
      </c>
      <c r="C428" s="6" t="s">
        <v>232</v>
      </c>
      <c r="D428" s="6" t="s">
        <v>30</v>
      </c>
      <c r="F428" s="6" t="s">
        <v>241</v>
      </c>
      <c r="G428" s="6">
        <v>58</v>
      </c>
      <c r="H428" s="6">
        <v>59</v>
      </c>
      <c r="I428" s="9">
        <v>58</v>
      </c>
      <c r="J428" s="9"/>
      <c r="K428" s="9">
        <v>44004634</v>
      </c>
      <c r="L428" s="6" t="str">
        <f t="shared" si="39"/>
        <v>HL WOODY YAN SEHPA</v>
      </c>
      <c r="M428" s="12">
        <v>0.4</v>
      </c>
      <c r="N428" s="12">
        <v>0.4</v>
      </c>
      <c r="O428" s="12">
        <v>9066</v>
      </c>
      <c r="P428" s="12">
        <f t="shared" si="40"/>
        <v>5439.5999999999995</v>
      </c>
      <c r="Q428" s="12">
        <f t="shared" si="42"/>
        <v>11423.16</v>
      </c>
      <c r="R428" s="33">
        <f t="shared" si="41"/>
        <v>11400</v>
      </c>
      <c r="T428" s="12"/>
      <c r="U428" s="12"/>
      <c r="V428" s="12"/>
      <c r="W428" s="12">
        <f t="shared" si="43"/>
        <v>13598.999999999998</v>
      </c>
      <c r="X428" s="12">
        <f t="shared" si="44"/>
        <v>13500</v>
      </c>
    </row>
    <row r="429" spans="1:24" s="6" customFormat="1" ht="21.95" customHeight="1" x14ac:dyDescent="0.2">
      <c r="A429" s="6" t="s">
        <v>17</v>
      </c>
      <c r="B429" s="6" t="s">
        <v>1588</v>
      </c>
      <c r="C429" s="6" t="s">
        <v>232</v>
      </c>
      <c r="D429" s="6" t="s">
        <v>32</v>
      </c>
      <c r="F429" s="6" t="s">
        <v>242</v>
      </c>
      <c r="G429" s="6">
        <v>240</v>
      </c>
      <c r="H429" s="6">
        <v>79</v>
      </c>
      <c r="I429" s="9">
        <v>96</v>
      </c>
      <c r="J429" s="9"/>
      <c r="K429" s="9">
        <v>44004635</v>
      </c>
      <c r="L429" s="6" t="str">
        <f t="shared" si="39"/>
        <v>HL WOODY KOLTUK 3 LÜ</v>
      </c>
      <c r="M429" s="12">
        <v>0.4</v>
      </c>
      <c r="N429" s="12">
        <v>0.4</v>
      </c>
      <c r="O429" s="12">
        <v>36738</v>
      </c>
      <c r="P429" s="12">
        <f t="shared" si="40"/>
        <v>22042.799999999999</v>
      </c>
      <c r="Q429" s="12">
        <f t="shared" si="42"/>
        <v>46289.88</v>
      </c>
      <c r="R429" s="33">
        <f t="shared" si="41"/>
        <v>46200</v>
      </c>
      <c r="T429" s="12"/>
      <c r="U429" s="12"/>
      <c r="V429" s="12"/>
      <c r="W429" s="12">
        <f t="shared" si="43"/>
        <v>55107</v>
      </c>
      <c r="X429" s="12">
        <f t="shared" si="44"/>
        <v>55100</v>
      </c>
    </row>
    <row r="430" spans="1:24" s="6" customFormat="1" ht="21.95" customHeight="1" x14ac:dyDescent="0.2">
      <c r="A430" s="6" t="s">
        <v>17</v>
      </c>
      <c r="B430" s="6" t="s">
        <v>1588</v>
      </c>
      <c r="C430" s="6" t="s">
        <v>232</v>
      </c>
      <c r="D430" s="6" t="s">
        <v>33</v>
      </c>
      <c r="F430" s="6" t="s">
        <v>243</v>
      </c>
      <c r="G430" s="6">
        <v>78</v>
      </c>
      <c r="H430" s="6">
        <v>80</v>
      </c>
      <c r="I430" s="9">
        <v>100</v>
      </c>
      <c r="J430" s="9"/>
      <c r="K430" s="9">
        <v>44004636</v>
      </c>
      <c r="L430" s="6" t="str">
        <f t="shared" si="39"/>
        <v>HL WOODY BERJER</v>
      </c>
      <c r="M430" s="12">
        <v>0.4</v>
      </c>
      <c r="N430" s="12">
        <v>0.4</v>
      </c>
      <c r="O430" s="12">
        <v>16810</v>
      </c>
      <c r="P430" s="12">
        <f t="shared" si="40"/>
        <v>10086</v>
      </c>
      <c r="Q430" s="12">
        <f t="shared" si="42"/>
        <v>21180.600000000002</v>
      </c>
      <c r="R430" s="33">
        <f t="shared" si="41"/>
        <v>21100</v>
      </c>
      <c r="T430" s="12"/>
      <c r="U430" s="12"/>
      <c r="V430" s="12"/>
      <c r="W430" s="12">
        <f t="shared" si="43"/>
        <v>25215</v>
      </c>
      <c r="X430" s="12">
        <f t="shared" si="44"/>
        <v>25200</v>
      </c>
    </row>
    <row r="431" spans="1:24" s="6" customFormat="1" ht="21.95" customHeight="1" x14ac:dyDescent="0.2">
      <c r="A431" s="6" t="s">
        <v>17</v>
      </c>
      <c r="B431" s="6" t="s">
        <v>1588</v>
      </c>
      <c r="C431" s="6" t="s">
        <v>244</v>
      </c>
      <c r="D431" s="6" t="s">
        <v>25</v>
      </c>
      <c r="F431" s="6" t="s">
        <v>245</v>
      </c>
      <c r="G431" s="6">
        <v>53</v>
      </c>
      <c r="H431" s="6">
        <v>84</v>
      </c>
      <c r="I431" s="9">
        <v>58</v>
      </c>
      <c r="J431" s="9"/>
      <c r="K431" s="9">
        <v>44004637</v>
      </c>
      <c r="L431" s="6" t="str">
        <f t="shared" si="39"/>
        <v>HL NAVONA SANDALYE</v>
      </c>
      <c r="M431" s="12">
        <v>0.4</v>
      </c>
      <c r="N431" s="12">
        <v>0.4</v>
      </c>
      <c r="O431" s="12">
        <v>5847</v>
      </c>
      <c r="P431" s="12">
        <f t="shared" si="40"/>
        <v>3508.2</v>
      </c>
      <c r="Q431" s="12">
        <f t="shared" si="42"/>
        <v>7367.22</v>
      </c>
      <c r="R431" s="33">
        <f t="shared" si="41"/>
        <v>7300</v>
      </c>
      <c r="T431" s="12"/>
      <c r="U431" s="12"/>
      <c r="V431" s="12"/>
      <c r="W431" s="12">
        <f t="shared" si="43"/>
        <v>8770.5</v>
      </c>
      <c r="X431" s="12">
        <f t="shared" si="44"/>
        <v>8700</v>
      </c>
    </row>
    <row r="432" spans="1:24" s="6" customFormat="1" ht="21.95" customHeight="1" x14ac:dyDescent="0.2">
      <c r="A432" s="6" t="s">
        <v>17</v>
      </c>
      <c r="B432" s="6" t="s">
        <v>1588</v>
      </c>
      <c r="C432" s="6" t="s">
        <v>244</v>
      </c>
      <c r="D432" s="6" t="s">
        <v>49</v>
      </c>
      <c r="F432" s="6" t="s">
        <v>246</v>
      </c>
      <c r="G432" s="6">
        <v>222</v>
      </c>
      <c r="H432" s="6">
        <v>83</v>
      </c>
      <c r="I432" s="9">
        <v>49</v>
      </c>
      <c r="J432" s="9"/>
      <c r="K432" s="9">
        <v>44004638</v>
      </c>
      <c r="L432" s="6" t="str">
        <f t="shared" si="39"/>
        <v>HL NAVONA KONSOL</v>
      </c>
      <c r="M432" s="12">
        <v>0.4</v>
      </c>
      <c r="N432" s="12">
        <v>0.4</v>
      </c>
      <c r="O432" s="12">
        <v>39300</v>
      </c>
      <c r="P432" s="12">
        <f t="shared" si="40"/>
        <v>23580</v>
      </c>
      <c r="Q432" s="12">
        <f t="shared" si="42"/>
        <v>49518</v>
      </c>
      <c r="R432" s="33">
        <f t="shared" si="41"/>
        <v>49500</v>
      </c>
      <c r="T432" s="12"/>
      <c r="U432" s="12"/>
      <c r="V432" s="12"/>
      <c r="W432" s="12">
        <f t="shared" si="43"/>
        <v>58950</v>
      </c>
      <c r="X432" s="12">
        <f t="shared" si="44"/>
        <v>58900</v>
      </c>
    </row>
    <row r="433" spans="1:24" s="6" customFormat="1" ht="21.95" customHeight="1" x14ac:dyDescent="0.2">
      <c r="A433" s="6" t="s">
        <v>17</v>
      </c>
      <c r="B433" s="6" t="s">
        <v>1588</v>
      </c>
      <c r="C433" s="6" t="s">
        <v>244</v>
      </c>
      <c r="D433" s="6" t="s">
        <v>21</v>
      </c>
      <c r="F433" s="6" t="s">
        <v>247</v>
      </c>
      <c r="G433" s="6">
        <v>45</v>
      </c>
      <c r="H433" s="6">
        <v>65</v>
      </c>
      <c r="I433" s="9">
        <v>5</v>
      </c>
      <c r="J433" s="9"/>
      <c r="K433" s="9">
        <v>44004639</v>
      </c>
      <c r="L433" s="6" t="str">
        <f t="shared" si="39"/>
        <v>HL NAVONA KONSOL AYNASI</v>
      </c>
      <c r="M433" s="12">
        <v>0.4</v>
      </c>
      <c r="N433" s="12">
        <v>0.4</v>
      </c>
      <c r="O433" s="12">
        <v>10660</v>
      </c>
      <c r="P433" s="12">
        <f t="shared" si="40"/>
        <v>6396</v>
      </c>
      <c r="Q433" s="12">
        <f t="shared" si="42"/>
        <v>13431.6</v>
      </c>
      <c r="R433" s="33">
        <f t="shared" si="41"/>
        <v>13400</v>
      </c>
      <c r="T433" s="12"/>
      <c r="U433" s="12"/>
      <c r="V433" s="12"/>
      <c r="W433" s="12">
        <f t="shared" si="43"/>
        <v>15990</v>
      </c>
      <c r="X433" s="12">
        <f t="shared" si="44"/>
        <v>15900</v>
      </c>
    </row>
    <row r="434" spans="1:24" s="6" customFormat="1" ht="21.95" customHeight="1" x14ac:dyDescent="0.2">
      <c r="A434" s="6" t="s">
        <v>17</v>
      </c>
      <c r="B434" s="6" t="s">
        <v>1588</v>
      </c>
      <c r="C434" s="6" t="s">
        <v>244</v>
      </c>
      <c r="D434" s="6" t="s">
        <v>155</v>
      </c>
      <c r="F434" s="6" t="s">
        <v>248</v>
      </c>
      <c r="G434" s="6">
        <v>200</v>
      </c>
      <c r="H434" s="6">
        <v>78</v>
      </c>
      <c r="I434" s="9">
        <v>90</v>
      </c>
      <c r="J434" s="9"/>
      <c r="K434" s="9">
        <v>44004640</v>
      </c>
      <c r="L434" s="6" t="str">
        <f t="shared" si="39"/>
        <v>HL NAVONA MASA</v>
      </c>
      <c r="M434" s="12">
        <v>0.4</v>
      </c>
      <c r="N434" s="12">
        <v>0.4</v>
      </c>
      <c r="O434" s="12">
        <v>26283</v>
      </c>
      <c r="P434" s="12">
        <f t="shared" si="40"/>
        <v>15769.8</v>
      </c>
      <c r="Q434" s="12">
        <f t="shared" si="42"/>
        <v>33116.58</v>
      </c>
      <c r="R434" s="33">
        <f t="shared" si="41"/>
        <v>33100</v>
      </c>
      <c r="T434" s="12"/>
      <c r="U434" s="12"/>
      <c r="V434" s="12"/>
      <c r="W434" s="12">
        <f t="shared" si="43"/>
        <v>39424.5</v>
      </c>
      <c r="X434" s="12">
        <f t="shared" si="44"/>
        <v>39400</v>
      </c>
    </row>
    <row r="435" spans="1:24" s="6" customFormat="1" ht="21.95" customHeight="1" x14ac:dyDescent="0.2">
      <c r="A435" s="6" t="s">
        <v>17</v>
      </c>
      <c r="B435" s="6" t="s">
        <v>1588</v>
      </c>
      <c r="C435" s="6" t="s">
        <v>244</v>
      </c>
      <c r="D435" s="6" t="s">
        <v>102</v>
      </c>
      <c r="F435" s="6" t="s">
        <v>249</v>
      </c>
      <c r="G435" s="6">
        <v>222</v>
      </c>
      <c r="H435" s="6">
        <v>58</v>
      </c>
      <c r="I435" s="9">
        <v>49</v>
      </c>
      <c r="J435" s="9"/>
      <c r="K435" s="9">
        <v>44004641</v>
      </c>
      <c r="L435" s="6" t="str">
        <f t="shared" si="39"/>
        <v>HL NAVONA TV ÜNİTESİ ALT BLOK</v>
      </c>
      <c r="M435" s="12">
        <v>0.4</v>
      </c>
      <c r="N435" s="12">
        <v>0.4</v>
      </c>
      <c r="O435" s="12">
        <v>38431</v>
      </c>
      <c r="P435" s="12">
        <f t="shared" si="40"/>
        <v>23058.6</v>
      </c>
      <c r="Q435" s="12">
        <f t="shared" si="42"/>
        <v>48423.06</v>
      </c>
      <c r="R435" s="33">
        <f t="shared" si="41"/>
        <v>48400</v>
      </c>
      <c r="T435" s="12"/>
      <c r="U435" s="12"/>
      <c r="V435" s="12"/>
      <c r="W435" s="12">
        <f t="shared" si="43"/>
        <v>57646.5</v>
      </c>
      <c r="X435" s="12">
        <f t="shared" si="44"/>
        <v>57600</v>
      </c>
    </row>
    <row r="436" spans="1:24" s="6" customFormat="1" ht="21.95" customHeight="1" x14ac:dyDescent="0.2">
      <c r="A436" s="6" t="s">
        <v>17</v>
      </c>
      <c r="B436" s="6" t="s">
        <v>1588</v>
      </c>
      <c r="C436" s="6" t="s">
        <v>244</v>
      </c>
      <c r="D436" s="6" t="s">
        <v>55</v>
      </c>
      <c r="F436" s="6" t="s">
        <v>250</v>
      </c>
      <c r="G436" s="6">
        <v>160</v>
      </c>
      <c r="H436" s="6">
        <v>22</v>
      </c>
      <c r="I436" s="9">
        <v>22</v>
      </c>
      <c r="J436" s="9"/>
      <c r="K436" s="9">
        <v>44004642</v>
      </c>
      <c r="L436" s="6" t="str">
        <f t="shared" si="39"/>
        <v>HL NAVONA TV ÜNİTESİ ÜST RAF</v>
      </c>
      <c r="M436" s="12">
        <v>0.4</v>
      </c>
      <c r="N436" s="12">
        <v>0.4</v>
      </c>
      <c r="O436" s="12">
        <v>4710</v>
      </c>
      <c r="P436" s="12">
        <f t="shared" si="40"/>
        <v>2826</v>
      </c>
      <c r="Q436" s="12">
        <f t="shared" si="42"/>
        <v>5934.6</v>
      </c>
      <c r="R436" s="33">
        <f t="shared" si="41"/>
        <v>5900</v>
      </c>
      <c r="T436" s="12"/>
      <c r="U436" s="12"/>
      <c r="V436" s="12"/>
      <c r="W436" s="12">
        <f t="shared" si="43"/>
        <v>7065</v>
      </c>
      <c r="X436" s="12">
        <f t="shared" si="44"/>
        <v>7000</v>
      </c>
    </row>
    <row r="437" spans="1:24" s="6" customFormat="1" ht="21.95" customHeight="1" x14ac:dyDescent="0.2">
      <c r="A437" s="6" t="s">
        <v>17</v>
      </c>
      <c r="B437" s="6" t="s">
        <v>1588</v>
      </c>
      <c r="C437" s="6" t="s">
        <v>244</v>
      </c>
      <c r="D437" s="6" t="s">
        <v>251</v>
      </c>
      <c r="F437" s="6" t="s">
        <v>252</v>
      </c>
      <c r="G437" s="6">
        <v>171</v>
      </c>
      <c r="H437" s="6">
        <v>74</v>
      </c>
      <c r="I437" s="9">
        <v>96</v>
      </c>
      <c r="J437" s="9"/>
      <c r="K437" s="9">
        <v>44004643</v>
      </c>
      <c r="L437" s="6" t="str">
        <f t="shared" si="39"/>
        <v xml:space="preserve">HL NAVONA Y.AHŞAP+90CM </v>
      </c>
      <c r="M437" s="12">
        <v>0.4</v>
      </c>
      <c r="N437" s="12">
        <v>0.4</v>
      </c>
      <c r="O437" s="12">
        <v>33721</v>
      </c>
      <c r="P437" s="12">
        <f t="shared" si="40"/>
        <v>20232.599999999999</v>
      </c>
      <c r="Q437" s="12">
        <f t="shared" si="42"/>
        <v>42488.46</v>
      </c>
      <c r="R437" s="33">
        <f t="shared" si="41"/>
        <v>42400</v>
      </c>
      <c r="T437" s="12"/>
      <c r="U437" s="12"/>
      <c r="V437" s="12"/>
      <c r="W437" s="12">
        <f t="shared" si="43"/>
        <v>50581.5</v>
      </c>
      <c r="X437" s="12">
        <f t="shared" si="44"/>
        <v>50500</v>
      </c>
    </row>
    <row r="438" spans="1:24" s="6" customFormat="1" ht="21.95" customHeight="1" x14ac:dyDescent="0.2">
      <c r="A438" s="6" t="s">
        <v>17</v>
      </c>
      <c r="B438" s="6" t="s">
        <v>1588</v>
      </c>
      <c r="C438" s="6" t="s">
        <v>244</v>
      </c>
      <c r="D438" s="6" t="s">
        <v>253</v>
      </c>
      <c r="F438" s="6" t="s">
        <v>254</v>
      </c>
      <c r="G438" s="6">
        <v>172</v>
      </c>
      <c r="H438" s="6">
        <v>74</v>
      </c>
      <c r="I438" s="9">
        <v>96</v>
      </c>
      <c r="J438" s="9"/>
      <c r="K438" s="9">
        <v>44004644</v>
      </c>
      <c r="L438" s="6" t="str">
        <f t="shared" si="39"/>
        <v>HL NAVONA K.AHŞAP+90CM KOLLU</v>
      </c>
      <c r="M438" s="12">
        <v>0.4</v>
      </c>
      <c r="N438" s="12">
        <v>0.4</v>
      </c>
      <c r="O438" s="12">
        <v>26530</v>
      </c>
      <c r="P438" s="12">
        <f t="shared" si="40"/>
        <v>15918</v>
      </c>
      <c r="Q438" s="12">
        <f t="shared" si="42"/>
        <v>33427.800000000003</v>
      </c>
      <c r="R438" s="33">
        <f t="shared" si="41"/>
        <v>33400</v>
      </c>
      <c r="T438" s="12"/>
      <c r="U438" s="12"/>
      <c r="V438" s="12"/>
      <c r="W438" s="12">
        <f t="shared" si="43"/>
        <v>39795</v>
      </c>
      <c r="X438" s="12">
        <f t="shared" si="44"/>
        <v>39700</v>
      </c>
    </row>
    <row r="439" spans="1:24" s="6" customFormat="1" ht="21.95" customHeight="1" x14ac:dyDescent="0.2">
      <c r="A439" s="6" t="s">
        <v>17</v>
      </c>
      <c r="B439" s="6" t="s">
        <v>1588</v>
      </c>
      <c r="C439" s="6" t="s">
        <v>244</v>
      </c>
      <c r="D439" s="6" t="s">
        <v>32</v>
      </c>
      <c r="F439" s="6" t="s">
        <v>255</v>
      </c>
      <c r="G439" s="6">
        <v>243</v>
      </c>
      <c r="H439" s="6">
        <v>74</v>
      </c>
      <c r="I439" s="9">
        <v>96</v>
      </c>
      <c r="J439" s="9"/>
      <c r="K439" s="9">
        <v>44004645</v>
      </c>
      <c r="L439" s="6" t="str">
        <f t="shared" si="39"/>
        <v>HL NAVONA KOLTUK 3 LÜ</v>
      </c>
      <c r="M439" s="12">
        <v>0.4</v>
      </c>
      <c r="N439" s="12">
        <v>0.4</v>
      </c>
      <c r="O439" s="12">
        <v>34588</v>
      </c>
      <c r="P439" s="12">
        <f t="shared" si="40"/>
        <v>20752.8</v>
      </c>
      <c r="Q439" s="12">
        <f t="shared" si="42"/>
        <v>43580.88</v>
      </c>
      <c r="R439" s="33">
        <f t="shared" si="41"/>
        <v>43500</v>
      </c>
      <c r="T439" s="12"/>
      <c r="U439" s="12"/>
      <c r="V439" s="12"/>
      <c r="W439" s="12">
        <f t="shared" si="43"/>
        <v>51882</v>
      </c>
      <c r="X439" s="12">
        <f t="shared" si="44"/>
        <v>51800</v>
      </c>
    </row>
    <row r="440" spans="1:24" s="6" customFormat="1" ht="21.95" customHeight="1" x14ac:dyDescent="0.2">
      <c r="A440" s="6" t="s">
        <v>17</v>
      </c>
      <c r="B440" s="6" t="s">
        <v>1588</v>
      </c>
      <c r="C440" s="6" t="s">
        <v>244</v>
      </c>
      <c r="D440" s="6" t="s">
        <v>33</v>
      </c>
      <c r="F440" s="6" t="s">
        <v>256</v>
      </c>
      <c r="G440" s="6">
        <v>85</v>
      </c>
      <c r="H440" s="6">
        <v>85</v>
      </c>
      <c r="I440" s="9">
        <v>96</v>
      </c>
      <c r="J440" s="9"/>
      <c r="K440" s="9">
        <v>44004646</v>
      </c>
      <c r="L440" s="6" t="str">
        <f t="shared" si="39"/>
        <v>HL NAVONA BERJER</v>
      </c>
      <c r="M440" s="12">
        <v>0.4</v>
      </c>
      <c r="N440" s="12">
        <v>0.4</v>
      </c>
      <c r="O440" s="12">
        <v>18719</v>
      </c>
      <c r="P440" s="12">
        <f t="shared" si="40"/>
        <v>11231.4</v>
      </c>
      <c r="Q440" s="12">
        <f t="shared" si="42"/>
        <v>23585.94</v>
      </c>
      <c r="R440" s="33">
        <f t="shared" si="41"/>
        <v>23500</v>
      </c>
      <c r="T440" s="12"/>
      <c r="U440" s="12"/>
      <c r="V440" s="12"/>
      <c r="W440" s="12">
        <f t="shared" si="43"/>
        <v>28078.5</v>
      </c>
      <c r="X440" s="12">
        <f t="shared" si="44"/>
        <v>28000</v>
      </c>
    </row>
    <row r="441" spans="1:24" s="6" customFormat="1" ht="21.95" customHeight="1" x14ac:dyDescent="0.2">
      <c r="A441" s="6" t="s">
        <v>17</v>
      </c>
      <c r="B441" s="6" t="s">
        <v>1588</v>
      </c>
      <c r="C441" s="6" t="s">
        <v>244</v>
      </c>
      <c r="D441" s="6" t="s">
        <v>257</v>
      </c>
      <c r="F441" s="6" t="s">
        <v>258</v>
      </c>
      <c r="G441" s="6">
        <v>243</v>
      </c>
      <c r="H441" s="6">
        <v>74</v>
      </c>
      <c r="I441" s="9">
        <v>96</v>
      </c>
      <c r="J441" s="9"/>
      <c r="K441" s="9">
        <v>44004647</v>
      </c>
      <c r="L441" s="6" t="str">
        <f t="shared" si="39"/>
        <v>HL NAVONA KOLTUK 3 LÜ YATAKLI</v>
      </c>
      <c r="M441" s="12">
        <v>0.4</v>
      </c>
      <c r="N441" s="12">
        <v>0.4</v>
      </c>
      <c r="O441" s="12">
        <v>39300</v>
      </c>
      <c r="P441" s="12">
        <f t="shared" si="40"/>
        <v>23580</v>
      </c>
      <c r="Q441" s="12">
        <f t="shared" si="42"/>
        <v>49518</v>
      </c>
      <c r="R441" s="33">
        <f t="shared" si="41"/>
        <v>49500</v>
      </c>
      <c r="T441" s="12"/>
      <c r="U441" s="12"/>
      <c r="V441" s="12"/>
      <c r="W441" s="12">
        <f t="shared" si="43"/>
        <v>58950</v>
      </c>
      <c r="X441" s="12">
        <f t="shared" si="44"/>
        <v>58900</v>
      </c>
    </row>
    <row r="442" spans="1:24" s="6" customFormat="1" ht="21.95" customHeight="1" x14ac:dyDescent="0.2">
      <c r="A442" s="6" t="s">
        <v>17</v>
      </c>
      <c r="B442" s="6" t="s">
        <v>1588</v>
      </c>
      <c r="C442" s="6" t="s">
        <v>244</v>
      </c>
      <c r="D442" s="6" t="s">
        <v>259</v>
      </c>
      <c r="F442" s="6" t="s">
        <v>260</v>
      </c>
      <c r="G442" s="6">
        <v>121</v>
      </c>
      <c r="H442" s="6">
        <v>74</v>
      </c>
      <c r="I442" s="9">
        <v>96</v>
      </c>
      <c r="J442" s="9"/>
      <c r="K442" s="9">
        <v>44004648</v>
      </c>
      <c r="L442" s="6" t="str">
        <f t="shared" si="39"/>
        <v>HL NAVONA 90CM+KOLLU</v>
      </c>
      <c r="M442" s="12">
        <v>0.4</v>
      </c>
      <c r="N442" s="12">
        <v>0.4</v>
      </c>
      <c r="O442" s="12">
        <v>21695</v>
      </c>
      <c r="P442" s="12">
        <f t="shared" si="40"/>
        <v>13017</v>
      </c>
      <c r="Q442" s="12">
        <f t="shared" si="42"/>
        <v>27335.7</v>
      </c>
      <c r="R442" s="33">
        <f t="shared" si="41"/>
        <v>27300</v>
      </c>
      <c r="T442" s="12"/>
      <c r="U442" s="12"/>
      <c r="V442" s="12"/>
      <c r="W442" s="12">
        <f t="shared" si="43"/>
        <v>32542.5</v>
      </c>
      <c r="X442" s="12">
        <f t="shared" si="44"/>
        <v>32500</v>
      </c>
    </row>
    <row r="443" spans="1:24" ht="21.95" customHeight="1" x14ac:dyDescent="0.2">
      <c r="A443" s="5" t="s">
        <v>17</v>
      </c>
      <c r="B443" s="5" t="s">
        <v>1588</v>
      </c>
      <c r="C443" s="6" t="s">
        <v>261</v>
      </c>
      <c r="D443" s="6" t="s">
        <v>25</v>
      </c>
      <c r="E443" s="6"/>
      <c r="F443" s="6" t="s">
        <v>262</v>
      </c>
      <c r="G443" s="6">
        <v>55</v>
      </c>
      <c r="H443" s="6">
        <v>84</v>
      </c>
      <c r="I443" s="9">
        <v>58</v>
      </c>
      <c r="J443" s="9"/>
      <c r="K443" s="7">
        <v>44004649</v>
      </c>
      <c r="L443" s="5" t="str">
        <f t="shared" si="39"/>
        <v>HL GUCCİ SANDALYE</v>
      </c>
      <c r="M443" s="8">
        <v>0.4</v>
      </c>
      <c r="N443" s="8">
        <v>0.4</v>
      </c>
      <c r="O443" s="8">
        <v>6289</v>
      </c>
      <c r="P443" s="8">
        <f t="shared" si="40"/>
        <v>3773.3999999999996</v>
      </c>
      <c r="Q443" s="12">
        <f t="shared" si="42"/>
        <v>7924.1399999999994</v>
      </c>
      <c r="R443" s="31">
        <f t="shared" si="41"/>
        <v>7900</v>
      </c>
      <c r="U443" s="8">
        <v>7548</v>
      </c>
      <c r="W443" s="8">
        <f t="shared" si="43"/>
        <v>9433.5</v>
      </c>
      <c r="X443" s="8">
        <f t="shared" si="44"/>
        <v>9400</v>
      </c>
    </row>
    <row r="444" spans="1:24" ht="21.95" customHeight="1" x14ac:dyDescent="0.2">
      <c r="A444" s="5" t="s">
        <v>17</v>
      </c>
      <c r="B444" s="5" t="s">
        <v>1588</v>
      </c>
      <c r="C444" s="6" t="s">
        <v>261</v>
      </c>
      <c r="D444" s="6" t="s">
        <v>49</v>
      </c>
      <c r="E444" s="6"/>
      <c r="F444" s="6" t="s">
        <v>263</v>
      </c>
      <c r="G444" s="6">
        <v>220</v>
      </c>
      <c r="H444" s="6">
        <v>82</v>
      </c>
      <c r="I444" s="9">
        <v>47</v>
      </c>
      <c r="J444" s="9"/>
      <c r="K444" s="7">
        <v>44004650</v>
      </c>
      <c r="L444" s="5" t="str">
        <f t="shared" si="39"/>
        <v>HL GUCCİ KONSOL</v>
      </c>
      <c r="M444" s="8">
        <v>0.4</v>
      </c>
      <c r="N444" s="8">
        <v>0.4</v>
      </c>
      <c r="O444" s="8">
        <v>44750</v>
      </c>
      <c r="P444" s="8">
        <f t="shared" si="40"/>
        <v>26850</v>
      </c>
      <c r="Q444" s="12">
        <f t="shared" si="42"/>
        <v>56385</v>
      </c>
      <c r="R444" s="31">
        <f t="shared" si="41"/>
        <v>56300</v>
      </c>
      <c r="U444" s="8">
        <v>53700</v>
      </c>
      <c r="W444" s="8">
        <f t="shared" si="43"/>
        <v>67125</v>
      </c>
      <c r="X444" s="8">
        <f t="shared" si="44"/>
        <v>67100</v>
      </c>
    </row>
    <row r="445" spans="1:24" ht="21.95" customHeight="1" x14ac:dyDescent="0.2">
      <c r="A445" s="5" t="s">
        <v>17</v>
      </c>
      <c r="B445" s="5" t="s">
        <v>1588</v>
      </c>
      <c r="C445" s="6" t="s">
        <v>261</v>
      </c>
      <c r="D445" s="6" t="s">
        <v>21</v>
      </c>
      <c r="E445" s="6"/>
      <c r="F445" s="6" t="s">
        <v>264</v>
      </c>
      <c r="G445" s="6">
        <v>90</v>
      </c>
      <c r="H445" s="6">
        <v>90</v>
      </c>
      <c r="I445" s="9">
        <v>4</v>
      </c>
      <c r="J445" s="9"/>
      <c r="K445" s="7">
        <v>44004651</v>
      </c>
      <c r="L445" s="5" t="str">
        <f t="shared" si="39"/>
        <v>HL GUCCİ KONSOL AYNASI</v>
      </c>
      <c r="M445" s="8">
        <v>0.4</v>
      </c>
      <c r="N445" s="8">
        <v>0.4</v>
      </c>
      <c r="O445" s="8">
        <v>7379</v>
      </c>
      <c r="P445" s="8">
        <f t="shared" si="40"/>
        <v>4427.3999999999996</v>
      </c>
      <c r="Q445" s="12">
        <f t="shared" si="42"/>
        <v>9297.5399999999991</v>
      </c>
      <c r="R445" s="31">
        <f t="shared" si="41"/>
        <v>9200</v>
      </c>
      <c r="U445" s="8">
        <v>8855</v>
      </c>
      <c r="W445" s="8">
        <f t="shared" si="43"/>
        <v>11068.5</v>
      </c>
      <c r="X445" s="8">
        <f t="shared" si="44"/>
        <v>11000</v>
      </c>
    </row>
    <row r="446" spans="1:24" ht="21.95" customHeight="1" x14ac:dyDescent="0.2">
      <c r="A446" s="5" t="s">
        <v>17</v>
      </c>
      <c r="B446" s="5" t="s">
        <v>1588</v>
      </c>
      <c r="C446" s="6" t="s">
        <v>261</v>
      </c>
      <c r="D446" s="6" t="s">
        <v>155</v>
      </c>
      <c r="E446" s="6"/>
      <c r="F446" s="6" t="s">
        <v>265</v>
      </c>
      <c r="G446" s="6">
        <v>200</v>
      </c>
      <c r="H446" s="6">
        <v>79</v>
      </c>
      <c r="I446" s="9">
        <v>93</v>
      </c>
      <c r="J446" s="9"/>
      <c r="K446" s="7">
        <v>44004652</v>
      </c>
      <c r="L446" s="5" t="str">
        <f t="shared" si="39"/>
        <v>HL GUCCİ MASA</v>
      </c>
      <c r="M446" s="8">
        <v>0.4</v>
      </c>
      <c r="N446" s="8">
        <v>0.4</v>
      </c>
      <c r="O446" s="8">
        <v>31731</v>
      </c>
      <c r="P446" s="8">
        <f t="shared" si="40"/>
        <v>19038.599999999999</v>
      </c>
      <c r="Q446" s="12">
        <f t="shared" si="42"/>
        <v>39981.06</v>
      </c>
      <c r="R446" s="31">
        <f t="shared" si="41"/>
        <v>39900</v>
      </c>
      <c r="U446" s="8">
        <v>38077</v>
      </c>
      <c r="W446" s="8">
        <f t="shared" si="43"/>
        <v>47596.5</v>
      </c>
      <c r="X446" s="8">
        <f t="shared" si="44"/>
        <v>47500</v>
      </c>
    </row>
    <row r="447" spans="1:24" ht="21.95" customHeight="1" x14ac:dyDescent="0.2">
      <c r="A447" s="5" t="s">
        <v>17</v>
      </c>
      <c r="B447" s="5" t="s">
        <v>1588</v>
      </c>
      <c r="C447" s="6" t="s">
        <v>261</v>
      </c>
      <c r="D447" s="6" t="s">
        <v>102</v>
      </c>
      <c r="E447" s="6"/>
      <c r="F447" s="6" t="s">
        <v>266</v>
      </c>
      <c r="G447" s="6">
        <v>220</v>
      </c>
      <c r="H447" s="6">
        <v>57</v>
      </c>
      <c r="I447" s="9">
        <v>47</v>
      </c>
      <c r="J447" s="9"/>
      <c r="K447" s="7">
        <v>44004653</v>
      </c>
      <c r="L447" s="5" t="str">
        <f t="shared" si="39"/>
        <v>HL GUCCİ TV ÜNİTESİ ALT BLOK</v>
      </c>
      <c r="M447" s="8">
        <v>0.4</v>
      </c>
      <c r="N447" s="8">
        <v>0.4</v>
      </c>
      <c r="O447" s="8">
        <v>34065</v>
      </c>
      <c r="P447" s="8">
        <f t="shared" si="40"/>
        <v>20439</v>
      </c>
      <c r="Q447" s="12">
        <f t="shared" si="42"/>
        <v>42921.9</v>
      </c>
      <c r="R447" s="31">
        <f t="shared" si="41"/>
        <v>42900</v>
      </c>
      <c r="U447" s="8">
        <v>40878</v>
      </c>
      <c r="W447" s="8">
        <f t="shared" si="43"/>
        <v>51097.5</v>
      </c>
      <c r="X447" s="8">
        <f t="shared" si="44"/>
        <v>51000</v>
      </c>
    </row>
    <row r="448" spans="1:24" ht="21.95" customHeight="1" x14ac:dyDescent="0.2">
      <c r="A448" s="5" t="s">
        <v>17</v>
      </c>
      <c r="B448" s="5" t="s">
        <v>1588</v>
      </c>
      <c r="C448" s="6" t="s">
        <v>261</v>
      </c>
      <c r="D448" s="6" t="s">
        <v>55</v>
      </c>
      <c r="E448" s="6"/>
      <c r="F448" s="6" t="s">
        <v>267</v>
      </c>
      <c r="G448" s="6">
        <v>92</v>
      </c>
      <c r="H448" s="6">
        <v>6</v>
      </c>
      <c r="I448" s="9">
        <v>17</v>
      </c>
      <c r="J448" s="9"/>
      <c r="K448" s="7">
        <v>44004654</v>
      </c>
      <c r="L448" s="5" t="str">
        <f t="shared" si="39"/>
        <v>HL GUCCİ TV ÜNİTESİ ÜST RAF</v>
      </c>
      <c r="M448" s="8">
        <v>0.4</v>
      </c>
      <c r="N448" s="8">
        <v>0.4</v>
      </c>
      <c r="O448" s="8">
        <v>4898</v>
      </c>
      <c r="P448" s="8">
        <f t="shared" si="40"/>
        <v>2938.7999999999997</v>
      </c>
      <c r="Q448" s="12">
        <f t="shared" si="42"/>
        <v>6171.48</v>
      </c>
      <c r="R448" s="31">
        <f t="shared" si="41"/>
        <v>6100</v>
      </c>
      <c r="U448" s="8">
        <v>5878</v>
      </c>
      <c r="W448" s="8">
        <f t="shared" si="43"/>
        <v>7346.9999999999991</v>
      </c>
      <c r="X448" s="8">
        <f t="shared" si="44"/>
        <v>7300</v>
      </c>
    </row>
    <row r="449" spans="1:24" ht="21.95" customHeight="1" x14ac:dyDescent="0.2">
      <c r="A449" s="5" t="s">
        <v>17</v>
      </c>
      <c r="B449" s="5" t="s">
        <v>1588</v>
      </c>
      <c r="C449" s="6" t="s">
        <v>261</v>
      </c>
      <c r="D449" s="6" t="s">
        <v>170</v>
      </c>
      <c r="E449" s="6"/>
      <c r="G449" s="6">
        <v>80</v>
      </c>
      <c r="H449" s="6">
        <v>47</v>
      </c>
      <c r="I449" s="9">
        <v>80</v>
      </c>
      <c r="J449" s="9"/>
      <c r="K449" s="7">
        <v>44004655</v>
      </c>
      <c r="L449" s="5" t="str">
        <f t="shared" si="39"/>
        <v>HL GUCCİ ORTA SEHPA BÜYÜK BOY</v>
      </c>
      <c r="M449" s="8">
        <v>0.4</v>
      </c>
      <c r="N449" s="8">
        <v>0.4</v>
      </c>
      <c r="O449" s="8">
        <v>11596</v>
      </c>
      <c r="P449" s="8">
        <f t="shared" si="40"/>
        <v>6957.5999999999995</v>
      </c>
      <c r="Q449" s="12">
        <f t="shared" si="42"/>
        <v>14610.96</v>
      </c>
      <c r="R449" s="31">
        <f t="shared" si="41"/>
        <v>14600</v>
      </c>
      <c r="U449" s="8">
        <v>14820</v>
      </c>
      <c r="W449" s="8">
        <f t="shared" si="43"/>
        <v>17394</v>
      </c>
      <c r="X449" s="8">
        <f t="shared" si="44"/>
        <v>17300</v>
      </c>
    </row>
    <row r="450" spans="1:24" ht="24.75" customHeight="1" x14ac:dyDescent="0.2">
      <c r="A450" s="5" t="s">
        <v>17</v>
      </c>
      <c r="B450" s="5" t="s">
        <v>1588</v>
      </c>
      <c r="C450" s="6" t="s">
        <v>261</v>
      </c>
      <c r="D450" s="6" t="s">
        <v>171</v>
      </c>
      <c r="E450" s="6"/>
      <c r="G450" s="6">
        <v>70</v>
      </c>
      <c r="H450" s="6">
        <v>41</v>
      </c>
      <c r="I450" s="9">
        <v>70</v>
      </c>
      <c r="J450" s="9"/>
      <c r="K450" s="7">
        <v>44004656</v>
      </c>
      <c r="L450" s="5" t="str">
        <f t="shared" si="39"/>
        <v>HL GUCCİ ORTA SEHPA KÜÇÜK BOY</v>
      </c>
      <c r="M450" s="8">
        <v>0.4</v>
      </c>
      <c r="N450" s="8">
        <v>0.4</v>
      </c>
      <c r="O450" s="8">
        <v>10753</v>
      </c>
      <c r="P450" s="8">
        <f t="shared" si="40"/>
        <v>6451.8</v>
      </c>
      <c r="Q450" s="12">
        <f t="shared" si="42"/>
        <v>13548.78</v>
      </c>
      <c r="R450" s="31">
        <f t="shared" si="41"/>
        <v>13500</v>
      </c>
      <c r="U450" s="8">
        <v>13550</v>
      </c>
      <c r="W450" s="8">
        <f t="shared" si="43"/>
        <v>16129.5</v>
      </c>
      <c r="X450" s="8">
        <f t="shared" si="44"/>
        <v>16100</v>
      </c>
    </row>
    <row r="451" spans="1:24" ht="21.95" customHeight="1" x14ac:dyDescent="0.2">
      <c r="A451" s="5" t="s">
        <v>17</v>
      </c>
      <c r="B451" s="5" t="s">
        <v>1588</v>
      </c>
      <c r="C451" s="6" t="s">
        <v>268</v>
      </c>
      <c r="D451" s="6" t="s">
        <v>31</v>
      </c>
      <c r="E451" s="6"/>
      <c r="F451" s="6" t="s">
        <v>269</v>
      </c>
      <c r="G451" s="6">
        <v>285</v>
      </c>
      <c r="H451" s="6">
        <v>70</v>
      </c>
      <c r="I451" s="9">
        <v>100</v>
      </c>
      <c r="J451" s="9"/>
      <c r="K451" s="7">
        <v>44004657</v>
      </c>
      <c r="L451" s="5" t="str">
        <f t="shared" si="39"/>
        <v>HL ALFA KOLTUK 4 LÜ</v>
      </c>
      <c r="M451" s="8">
        <v>0.4</v>
      </c>
      <c r="N451" s="8">
        <v>0.4</v>
      </c>
      <c r="O451" s="8">
        <v>49849</v>
      </c>
      <c r="P451" s="8">
        <f t="shared" si="40"/>
        <v>29909.399999999998</v>
      </c>
      <c r="Q451" s="12">
        <f t="shared" si="42"/>
        <v>62809.74</v>
      </c>
      <c r="R451" s="31">
        <f t="shared" si="41"/>
        <v>62800</v>
      </c>
      <c r="U451" s="8">
        <v>57825</v>
      </c>
      <c r="W451" s="8">
        <f t="shared" si="43"/>
        <v>74773.5</v>
      </c>
      <c r="X451" s="8">
        <f t="shared" si="44"/>
        <v>74700</v>
      </c>
    </row>
    <row r="452" spans="1:24" ht="21.95" customHeight="1" x14ac:dyDescent="0.2">
      <c r="A452" s="5" t="s">
        <v>17</v>
      </c>
      <c r="B452" s="5" t="s">
        <v>1588</v>
      </c>
      <c r="C452" s="6" t="s">
        <v>268</v>
      </c>
      <c r="D452" s="6" t="s">
        <v>32</v>
      </c>
      <c r="E452" s="6"/>
      <c r="F452" s="6" t="s">
        <v>270</v>
      </c>
      <c r="G452" s="6">
        <v>240</v>
      </c>
      <c r="H452" s="6">
        <v>70</v>
      </c>
      <c r="I452" s="9">
        <v>100</v>
      </c>
      <c r="J452" s="9"/>
      <c r="K452" s="7">
        <v>44004658</v>
      </c>
      <c r="L452" s="5" t="str">
        <f t="shared" si="39"/>
        <v>HL ALFA KOLTUK 3 LÜ</v>
      </c>
      <c r="M452" s="8">
        <v>0.4</v>
      </c>
      <c r="N452" s="8">
        <v>0.4</v>
      </c>
      <c r="O452" s="8">
        <v>43226</v>
      </c>
      <c r="P452" s="8">
        <f t="shared" si="40"/>
        <v>25935.599999999999</v>
      </c>
      <c r="Q452" s="12">
        <f t="shared" si="42"/>
        <v>54464.76</v>
      </c>
      <c r="R452" s="31">
        <f t="shared" si="41"/>
        <v>54400</v>
      </c>
      <c r="U452" s="8">
        <v>50142</v>
      </c>
      <c r="W452" s="8">
        <f t="shared" si="43"/>
        <v>64839</v>
      </c>
      <c r="X452" s="8">
        <f t="shared" si="44"/>
        <v>64800</v>
      </c>
    </row>
    <row r="453" spans="1:24" ht="21.95" customHeight="1" x14ac:dyDescent="0.2">
      <c r="A453" s="5" t="s">
        <v>17</v>
      </c>
      <c r="B453" s="5" t="s">
        <v>1588</v>
      </c>
      <c r="C453" s="6" t="s">
        <v>268</v>
      </c>
      <c r="D453" s="6" t="s">
        <v>33</v>
      </c>
      <c r="E453" s="6"/>
      <c r="F453" s="6" t="s">
        <v>271</v>
      </c>
      <c r="G453" s="6">
        <v>95</v>
      </c>
      <c r="H453" s="6">
        <v>70</v>
      </c>
      <c r="I453" s="9">
        <v>90</v>
      </c>
      <c r="J453" s="9"/>
      <c r="K453" s="7">
        <v>44004659</v>
      </c>
      <c r="L453" s="5" t="str">
        <f t="shared" si="39"/>
        <v>HL ALFA BERJER</v>
      </c>
      <c r="M453" s="8">
        <v>0.4</v>
      </c>
      <c r="N453" s="8">
        <v>0.4</v>
      </c>
      <c r="O453" s="8">
        <v>16752</v>
      </c>
      <c r="P453" s="8">
        <f t="shared" si="40"/>
        <v>10051.199999999999</v>
      </c>
      <c r="Q453" s="12">
        <f t="shared" si="42"/>
        <v>21107.519999999997</v>
      </c>
      <c r="R453" s="31">
        <f t="shared" si="41"/>
        <v>21100</v>
      </c>
      <c r="U453" s="8">
        <v>19432</v>
      </c>
      <c r="W453" s="8">
        <f t="shared" si="43"/>
        <v>25127.999999999996</v>
      </c>
      <c r="X453" s="8">
        <f t="shared" si="44"/>
        <v>25100</v>
      </c>
    </row>
    <row r="454" spans="1:24" ht="21.95" customHeight="1" x14ac:dyDescent="0.2">
      <c r="A454" s="5" t="s">
        <v>17</v>
      </c>
      <c r="B454" s="5" t="s">
        <v>1588</v>
      </c>
      <c r="C454" s="6" t="s">
        <v>272</v>
      </c>
      <c r="D454" s="6" t="s">
        <v>273</v>
      </c>
      <c r="E454" s="6"/>
      <c r="F454" s="6" t="s">
        <v>274</v>
      </c>
      <c r="G454" s="6">
        <v>205</v>
      </c>
      <c r="H454" s="6">
        <v>80</v>
      </c>
      <c r="I454" s="9">
        <v>100</v>
      </c>
      <c r="J454" s="9"/>
      <c r="K454" s="7">
        <v>44004660</v>
      </c>
      <c r="L454" s="5" t="str">
        <f t="shared" si="39"/>
        <v>HL TESLA 180CM YATAKLI KOLLU</v>
      </c>
      <c r="M454" s="8">
        <v>0.4</v>
      </c>
      <c r="N454" s="8">
        <v>0.4</v>
      </c>
      <c r="O454" s="8">
        <v>49918</v>
      </c>
      <c r="P454" s="8">
        <f t="shared" si="40"/>
        <v>29950.799999999999</v>
      </c>
      <c r="Q454" s="12">
        <f t="shared" si="42"/>
        <v>62896.68</v>
      </c>
      <c r="R454" s="31">
        <f t="shared" si="41"/>
        <v>62800</v>
      </c>
      <c r="U454" s="8">
        <v>57905</v>
      </c>
      <c r="W454" s="8">
        <f t="shared" si="43"/>
        <v>74877</v>
      </c>
      <c r="X454" s="8">
        <f t="shared" si="44"/>
        <v>74800</v>
      </c>
    </row>
    <row r="455" spans="1:24" ht="21.95" customHeight="1" x14ac:dyDescent="0.2">
      <c r="A455" s="5" t="s">
        <v>17</v>
      </c>
      <c r="B455" s="5" t="s">
        <v>1588</v>
      </c>
      <c r="C455" s="6" t="s">
        <v>272</v>
      </c>
      <c r="D455" s="6" t="s">
        <v>275</v>
      </c>
      <c r="E455" s="6"/>
      <c r="F455" s="6" t="s">
        <v>276</v>
      </c>
      <c r="G455" s="6">
        <v>105</v>
      </c>
      <c r="H455" s="6">
        <v>80</v>
      </c>
      <c r="I455" s="9">
        <v>100</v>
      </c>
      <c r="J455" s="9"/>
      <c r="K455" s="7">
        <v>44004661</v>
      </c>
      <c r="L455" s="5" t="str">
        <f t="shared" si="39"/>
        <v>HL TESLA KÖŞE</v>
      </c>
      <c r="M455" s="8">
        <v>0.4</v>
      </c>
      <c r="N455" s="8">
        <v>0.4</v>
      </c>
      <c r="O455" s="8">
        <v>25780</v>
      </c>
      <c r="P455" s="8">
        <f t="shared" si="40"/>
        <v>15468</v>
      </c>
      <c r="Q455" s="12">
        <f t="shared" si="42"/>
        <v>32482.800000000003</v>
      </c>
      <c r="R455" s="31">
        <f t="shared" si="41"/>
        <v>32400</v>
      </c>
      <c r="U455" s="8">
        <v>29905</v>
      </c>
      <c r="W455" s="8">
        <f t="shared" si="43"/>
        <v>38670</v>
      </c>
      <c r="X455" s="8">
        <f t="shared" si="44"/>
        <v>38600</v>
      </c>
    </row>
    <row r="456" spans="1:24" ht="21.95" customHeight="1" x14ac:dyDescent="0.2">
      <c r="A456" s="5" t="s">
        <v>17</v>
      </c>
      <c r="B456" s="5" t="s">
        <v>1588</v>
      </c>
      <c r="C456" s="6" t="s">
        <v>272</v>
      </c>
      <c r="D456" s="6" t="s">
        <v>277</v>
      </c>
      <c r="E456" s="6"/>
      <c r="F456" s="6" t="s">
        <v>278</v>
      </c>
      <c r="G456" s="6">
        <v>75</v>
      </c>
      <c r="H456" s="6">
        <v>80</v>
      </c>
      <c r="I456" s="9">
        <v>100</v>
      </c>
      <c r="J456" s="9"/>
      <c r="K456" s="7">
        <v>44004662</v>
      </c>
      <c r="L456" s="5" t="str">
        <f t="shared" si="39"/>
        <v>HL TESLA 75CM SABİT</v>
      </c>
      <c r="M456" s="8">
        <v>0.4</v>
      </c>
      <c r="N456" s="8">
        <v>0.4</v>
      </c>
      <c r="O456" s="8">
        <v>15508</v>
      </c>
      <c r="P456" s="8">
        <f t="shared" si="40"/>
        <v>9304.7999999999993</v>
      </c>
      <c r="Q456" s="12">
        <f t="shared" si="42"/>
        <v>19540.079999999998</v>
      </c>
      <c r="R456" s="31">
        <f t="shared" si="41"/>
        <v>19500</v>
      </c>
      <c r="U456" s="8">
        <v>17989</v>
      </c>
      <c r="W456" s="8">
        <f t="shared" si="43"/>
        <v>23262</v>
      </c>
      <c r="X456" s="8">
        <f t="shared" si="44"/>
        <v>23200</v>
      </c>
    </row>
    <row r="457" spans="1:24" ht="21.95" customHeight="1" x14ac:dyDescent="0.2">
      <c r="A457" s="5" t="s">
        <v>17</v>
      </c>
      <c r="B457" s="5" t="s">
        <v>1588</v>
      </c>
      <c r="C457" s="6" t="s">
        <v>272</v>
      </c>
      <c r="D457" s="6" t="s">
        <v>279</v>
      </c>
      <c r="E457" s="6"/>
      <c r="F457" s="6" t="s">
        <v>280</v>
      </c>
      <c r="G457" s="6">
        <v>40</v>
      </c>
      <c r="H457" s="6">
        <v>80</v>
      </c>
      <c r="I457" s="9">
        <v>100</v>
      </c>
      <c r="J457" s="9"/>
      <c r="K457" s="7">
        <v>44004663</v>
      </c>
      <c r="L457" s="5" t="str">
        <f t="shared" ref="L457:L520" si="45">B457&amp;" "&amp;C457&amp;" "&amp;D457</f>
        <v>HL TESLA MÜZİK MODÜLÜ</v>
      </c>
      <c r="M457" s="8">
        <v>0.4</v>
      </c>
      <c r="N457" s="8">
        <v>0.4</v>
      </c>
      <c r="O457" s="8">
        <v>15444</v>
      </c>
      <c r="P457" s="8">
        <f t="shared" ref="P457:P520" si="46">O457*(1-N457)</f>
        <v>9266.4</v>
      </c>
      <c r="Q457" s="12">
        <f t="shared" si="42"/>
        <v>19459.439999999999</v>
      </c>
      <c r="R457" s="31">
        <f t="shared" ref="R457:R520" si="47">ROUNDDOWN(Q457,-2)</f>
        <v>19400</v>
      </c>
      <c r="U457" s="8">
        <v>17915</v>
      </c>
      <c r="W457" s="8">
        <f t="shared" si="43"/>
        <v>23166</v>
      </c>
      <c r="X457" s="8">
        <f t="shared" si="44"/>
        <v>23100</v>
      </c>
    </row>
    <row r="458" spans="1:24" ht="21.95" customHeight="1" x14ac:dyDescent="0.2">
      <c r="A458" s="5" t="s">
        <v>17</v>
      </c>
      <c r="B458" s="5" t="s">
        <v>1588</v>
      </c>
      <c r="C458" s="6" t="s">
        <v>272</v>
      </c>
      <c r="D458" s="6" t="s">
        <v>281</v>
      </c>
      <c r="E458" s="6"/>
      <c r="F458" s="6" t="s">
        <v>282</v>
      </c>
      <c r="G458" s="6">
        <v>100</v>
      </c>
      <c r="H458" s="6">
        <v>80</v>
      </c>
      <c r="I458" s="9">
        <v>100</v>
      </c>
      <c r="J458" s="9"/>
      <c r="K458" s="7">
        <v>44004664</v>
      </c>
      <c r="L458" s="5" t="str">
        <f t="shared" si="45"/>
        <v>HL TESLA 75CM TV+KOL</v>
      </c>
      <c r="M458" s="8">
        <v>0.4</v>
      </c>
      <c r="N458" s="8">
        <v>0.4</v>
      </c>
      <c r="O458" s="8">
        <v>30690</v>
      </c>
      <c r="P458" s="8">
        <f t="shared" si="46"/>
        <v>18414</v>
      </c>
      <c r="Q458" s="12">
        <f t="shared" si="42"/>
        <v>38669.4</v>
      </c>
      <c r="R458" s="31">
        <f t="shared" si="47"/>
        <v>38600</v>
      </c>
      <c r="W458" s="8">
        <f t="shared" si="43"/>
        <v>46035</v>
      </c>
      <c r="X458" s="8">
        <f t="shared" si="44"/>
        <v>46000</v>
      </c>
    </row>
    <row r="459" spans="1:24" ht="21.95" customHeight="1" x14ac:dyDescent="0.2">
      <c r="A459" s="5" t="s">
        <v>17</v>
      </c>
      <c r="B459" s="5" t="s">
        <v>1588</v>
      </c>
      <c r="C459" s="6" t="s">
        <v>272</v>
      </c>
      <c r="D459" s="6" t="s">
        <v>283</v>
      </c>
      <c r="E459" s="6"/>
      <c r="F459" s="6" t="s">
        <v>258</v>
      </c>
      <c r="G459" s="6">
        <v>205</v>
      </c>
      <c r="H459" s="6">
        <v>80</v>
      </c>
      <c r="I459" s="9">
        <v>100</v>
      </c>
      <c r="J459" s="9"/>
      <c r="K459" s="7">
        <v>44004665</v>
      </c>
      <c r="L459" s="5" t="str">
        <f t="shared" si="45"/>
        <v>HL TESLA 180CM KOLLU</v>
      </c>
      <c r="M459" s="8">
        <v>0.4</v>
      </c>
      <c r="N459" s="8">
        <v>0.4</v>
      </c>
      <c r="O459" s="8">
        <v>41008</v>
      </c>
      <c r="P459" s="8">
        <f t="shared" si="46"/>
        <v>24604.799999999999</v>
      </c>
      <c r="Q459" s="12">
        <f t="shared" si="42"/>
        <v>51670.080000000002</v>
      </c>
      <c r="R459" s="31">
        <f t="shared" si="47"/>
        <v>51600</v>
      </c>
      <c r="W459" s="8">
        <f t="shared" si="43"/>
        <v>61512</v>
      </c>
      <c r="X459" s="8">
        <f t="shared" si="44"/>
        <v>61500</v>
      </c>
    </row>
    <row r="460" spans="1:24" ht="21.95" customHeight="1" x14ac:dyDescent="0.2">
      <c r="A460" s="5" t="s">
        <v>17</v>
      </c>
      <c r="B460" s="5" t="s">
        <v>1588</v>
      </c>
      <c r="C460" s="6" t="s">
        <v>272</v>
      </c>
      <c r="D460" s="6" t="s">
        <v>284</v>
      </c>
      <c r="E460" s="6"/>
      <c r="F460" s="6" t="s">
        <v>285</v>
      </c>
      <c r="G460" s="6">
        <v>205</v>
      </c>
      <c r="H460" s="6">
        <v>80</v>
      </c>
      <c r="I460" s="9">
        <v>100</v>
      </c>
      <c r="J460" s="9"/>
      <c r="K460" s="7">
        <v>44004666</v>
      </c>
      <c r="L460" s="5" t="str">
        <f t="shared" si="45"/>
        <v>HL TESLA 75CM KOLLU</v>
      </c>
      <c r="M460" s="8">
        <v>0.4</v>
      </c>
      <c r="N460" s="8">
        <v>0.4</v>
      </c>
      <c r="O460" s="8">
        <v>21781</v>
      </c>
      <c r="P460" s="8">
        <f t="shared" si="46"/>
        <v>13068.6</v>
      </c>
      <c r="Q460" s="12">
        <f t="shared" si="42"/>
        <v>27444.06</v>
      </c>
      <c r="R460" s="31">
        <f t="shared" si="47"/>
        <v>27400</v>
      </c>
      <c r="U460" s="8">
        <v>25266</v>
      </c>
      <c r="W460" s="8">
        <f t="shared" si="43"/>
        <v>32671.5</v>
      </c>
      <c r="X460" s="8">
        <f t="shared" si="44"/>
        <v>32600</v>
      </c>
    </row>
    <row r="461" spans="1:24" ht="21.95" customHeight="1" x14ac:dyDescent="0.2">
      <c r="A461" s="5" t="s">
        <v>17</v>
      </c>
      <c r="B461" s="5" t="s">
        <v>1588</v>
      </c>
      <c r="C461" s="6" t="s">
        <v>272</v>
      </c>
      <c r="D461" s="6" t="s">
        <v>286</v>
      </c>
      <c r="E461" s="6"/>
      <c r="F461" s="6" t="s">
        <v>287</v>
      </c>
      <c r="G461" s="6">
        <v>100</v>
      </c>
      <c r="H461" s="6">
        <v>80</v>
      </c>
      <c r="I461" s="9">
        <v>100</v>
      </c>
      <c r="J461" s="9"/>
      <c r="K461" s="7">
        <v>44004667</v>
      </c>
      <c r="L461" s="5" t="str">
        <f t="shared" si="45"/>
        <v>HL TESLA 90CM SABİT</v>
      </c>
      <c r="M461" s="8">
        <v>0.4</v>
      </c>
      <c r="N461" s="8">
        <v>0.4</v>
      </c>
      <c r="O461" s="8">
        <v>17367</v>
      </c>
      <c r="P461" s="8">
        <f t="shared" si="46"/>
        <v>10420.199999999999</v>
      </c>
      <c r="Q461" s="12">
        <f t="shared" si="42"/>
        <v>21882.42</v>
      </c>
      <c r="R461" s="31">
        <f t="shared" si="47"/>
        <v>21800</v>
      </c>
      <c r="W461" s="8">
        <f t="shared" si="43"/>
        <v>26050.499999999996</v>
      </c>
      <c r="X461" s="8">
        <f t="shared" si="44"/>
        <v>26000</v>
      </c>
    </row>
    <row r="462" spans="1:24" ht="21.95" customHeight="1" x14ac:dyDescent="0.2">
      <c r="A462" s="5" t="s">
        <v>17</v>
      </c>
      <c r="B462" s="5" t="s">
        <v>1588</v>
      </c>
      <c r="C462" s="6" t="s">
        <v>272</v>
      </c>
      <c r="D462" s="6" t="s">
        <v>288</v>
      </c>
      <c r="E462" s="6"/>
      <c r="F462" s="6" t="s">
        <v>289</v>
      </c>
      <c r="G462" s="6">
        <v>90</v>
      </c>
      <c r="H462" s="6">
        <v>80</v>
      </c>
      <c r="I462" s="9">
        <v>100</v>
      </c>
      <c r="J462" s="9"/>
      <c r="K462" s="7">
        <v>44004668</v>
      </c>
      <c r="L462" s="5" t="str">
        <f t="shared" si="45"/>
        <v>HL TESLA 150CM KOLLU</v>
      </c>
      <c r="M462" s="8">
        <v>0.4</v>
      </c>
      <c r="N462" s="8">
        <v>0.4</v>
      </c>
      <c r="O462" s="8">
        <v>37290</v>
      </c>
      <c r="P462" s="8">
        <f t="shared" si="46"/>
        <v>22374</v>
      </c>
      <c r="Q462" s="12">
        <f t="shared" si="42"/>
        <v>46985.4</v>
      </c>
      <c r="R462" s="31">
        <f t="shared" si="47"/>
        <v>46900</v>
      </c>
      <c r="W462" s="8">
        <f t="shared" si="43"/>
        <v>55935</v>
      </c>
      <c r="X462" s="8">
        <f t="shared" si="44"/>
        <v>55900</v>
      </c>
    </row>
    <row r="463" spans="1:24" ht="21.95" customHeight="1" x14ac:dyDescent="0.2">
      <c r="A463" s="5" t="s">
        <v>17</v>
      </c>
      <c r="B463" s="5" t="s">
        <v>1588</v>
      </c>
      <c r="C463" s="6" t="s">
        <v>272</v>
      </c>
      <c r="D463" s="6" t="s">
        <v>2066</v>
      </c>
      <c r="E463" s="6"/>
      <c r="F463" s="6" t="s">
        <v>290</v>
      </c>
      <c r="G463" s="6">
        <v>175</v>
      </c>
      <c r="H463" s="6">
        <v>80</v>
      </c>
      <c r="I463" s="9">
        <v>100</v>
      </c>
      <c r="J463" s="9"/>
      <c r="K463" s="7">
        <v>44004669</v>
      </c>
      <c r="L463" s="5" t="str">
        <f t="shared" si="45"/>
        <v xml:space="preserve">HL TESLA 75CM TV </v>
      </c>
      <c r="M463" s="8">
        <v>0.4</v>
      </c>
      <c r="N463" s="8">
        <v>0.4</v>
      </c>
      <c r="O463" s="8">
        <v>24420</v>
      </c>
      <c r="P463" s="8">
        <f t="shared" si="46"/>
        <v>14652</v>
      </c>
      <c r="Q463" s="12">
        <f t="shared" si="42"/>
        <v>30769.200000000001</v>
      </c>
      <c r="R463" s="31">
        <f t="shared" si="47"/>
        <v>30700</v>
      </c>
      <c r="U463" s="8">
        <v>35600</v>
      </c>
      <c r="W463" s="8">
        <f t="shared" si="43"/>
        <v>36630</v>
      </c>
      <c r="X463" s="8">
        <f t="shared" si="44"/>
        <v>36600</v>
      </c>
    </row>
    <row r="464" spans="1:24" ht="21.95" customHeight="1" x14ac:dyDescent="0.2">
      <c r="A464" s="5" t="s">
        <v>17</v>
      </c>
      <c r="B464" s="5" t="s">
        <v>1588</v>
      </c>
      <c r="C464" s="6" t="s">
        <v>272</v>
      </c>
      <c r="D464" s="6" t="s">
        <v>291</v>
      </c>
      <c r="E464" s="6"/>
      <c r="F464" s="6" t="s">
        <v>292</v>
      </c>
      <c r="G464" s="6">
        <v>75</v>
      </c>
      <c r="H464" s="6">
        <v>71</v>
      </c>
      <c r="I464" s="9">
        <v>92</v>
      </c>
      <c r="J464" s="9"/>
      <c r="K464" s="7">
        <v>44004670</v>
      </c>
      <c r="L464" s="5" t="str">
        <f t="shared" si="45"/>
        <v>HL TESLA CIRCULAR BERJER</v>
      </c>
      <c r="M464" s="8">
        <v>0.4</v>
      </c>
      <c r="N464" s="8">
        <v>0.4</v>
      </c>
      <c r="O464" s="8">
        <v>17035</v>
      </c>
      <c r="P464" s="8">
        <f t="shared" si="46"/>
        <v>10221</v>
      </c>
      <c r="Q464" s="12">
        <f t="shared" si="42"/>
        <v>21464.100000000002</v>
      </c>
      <c r="R464" s="31">
        <f t="shared" si="47"/>
        <v>21400</v>
      </c>
      <c r="U464" s="8">
        <v>19761</v>
      </c>
      <c r="W464" s="8">
        <f t="shared" si="43"/>
        <v>25552.5</v>
      </c>
      <c r="X464" s="8">
        <f t="shared" si="44"/>
        <v>25500</v>
      </c>
    </row>
    <row r="465" spans="1:24" ht="21.95" customHeight="1" x14ac:dyDescent="0.2">
      <c r="A465" s="5" t="s">
        <v>17</v>
      </c>
      <c r="B465" s="5" t="s">
        <v>1588</v>
      </c>
      <c r="C465" s="6" t="s">
        <v>272</v>
      </c>
      <c r="D465" s="6" t="s">
        <v>257</v>
      </c>
      <c r="E465" s="6"/>
      <c r="F465" s="6" t="s">
        <v>293</v>
      </c>
      <c r="G465" s="6">
        <v>230</v>
      </c>
      <c r="H465" s="6">
        <v>80</v>
      </c>
      <c r="I465" s="9">
        <v>100</v>
      </c>
      <c r="J465" s="9"/>
      <c r="K465" s="7">
        <v>44004671</v>
      </c>
      <c r="L465" s="5" t="str">
        <f t="shared" si="45"/>
        <v>HL TESLA KOLTUK 3 LÜ YATAKLI</v>
      </c>
      <c r="M465" s="8">
        <v>0.4</v>
      </c>
      <c r="N465" s="8">
        <v>0.4</v>
      </c>
      <c r="O465" s="8">
        <v>56191</v>
      </c>
      <c r="P465" s="8">
        <f t="shared" si="46"/>
        <v>33714.6</v>
      </c>
      <c r="Q465" s="12">
        <f t="shared" si="42"/>
        <v>70800.66</v>
      </c>
      <c r="R465" s="31">
        <f t="shared" si="47"/>
        <v>70800</v>
      </c>
      <c r="U465" s="8">
        <v>65182</v>
      </c>
      <c r="W465" s="8">
        <f t="shared" si="43"/>
        <v>84286.5</v>
      </c>
      <c r="X465" s="8">
        <f t="shared" si="44"/>
        <v>84200</v>
      </c>
    </row>
    <row r="466" spans="1:24" ht="21.95" customHeight="1" x14ac:dyDescent="0.2">
      <c r="A466" s="5" t="s">
        <v>17</v>
      </c>
      <c r="B466" s="5" t="s">
        <v>1588</v>
      </c>
      <c r="C466" s="6" t="s">
        <v>272</v>
      </c>
      <c r="D466" s="6" t="s">
        <v>294</v>
      </c>
      <c r="E466" s="6"/>
      <c r="F466" s="6" t="s">
        <v>295</v>
      </c>
      <c r="G466" s="6">
        <v>100</v>
      </c>
      <c r="H466" s="6">
        <v>80</v>
      </c>
      <c r="I466" s="9">
        <v>100</v>
      </c>
      <c r="J466" s="9"/>
      <c r="K466" s="7">
        <v>44004672</v>
      </c>
      <c r="L466" s="5" t="str">
        <f t="shared" si="45"/>
        <v>HL TESLA 100CM TV+KOL</v>
      </c>
      <c r="M466" s="8">
        <v>0.4</v>
      </c>
      <c r="N466" s="8">
        <v>0.4</v>
      </c>
      <c r="O466" s="8">
        <v>30627</v>
      </c>
      <c r="P466" s="8">
        <f t="shared" si="46"/>
        <v>18376.2</v>
      </c>
      <c r="Q466" s="12">
        <f t="shared" si="42"/>
        <v>38590.020000000004</v>
      </c>
      <c r="R466" s="31">
        <f t="shared" si="47"/>
        <v>38500</v>
      </c>
      <c r="U466" s="8">
        <v>35527</v>
      </c>
      <c r="W466" s="8">
        <f t="shared" si="43"/>
        <v>45940.5</v>
      </c>
      <c r="X466" s="8">
        <f t="shared" si="44"/>
        <v>45900</v>
      </c>
    </row>
    <row r="467" spans="1:24" ht="21.95" customHeight="1" x14ac:dyDescent="0.2">
      <c r="A467" s="5" t="s">
        <v>17</v>
      </c>
      <c r="B467" s="5" t="s">
        <v>1588</v>
      </c>
      <c r="C467" s="6" t="s">
        <v>272</v>
      </c>
      <c r="D467" s="6" t="s">
        <v>279</v>
      </c>
      <c r="E467" s="6"/>
      <c r="F467" s="6" t="s">
        <v>280</v>
      </c>
      <c r="G467" s="6">
        <v>50</v>
      </c>
      <c r="H467" s="6">
        <v>70</v>
      </c>
      <c r="I467" s="9">
        <v>100</v>
      </c>
      <c r="J467" s="9"/>
      <c r="K467" s="7">
        <v>44004673</v>
      </c>
      <c r="L467" s="5" t="str">
        <f t="shared" si="45"/>
        <v>HL TESLA MÜZİK MODÜLÜ</v>
      </c>
      <c r="M467" s="8">
        <v>0.4</v>
      </c>
      <c r="N467" s="8">
        <v>0.4</v>
      </c>
      <c r="O467" s="8">
        <v>15444</v>
      </c>
      <c r="P467" s="8">
        <f t="shared" si="46"/>
        <v>9266.4</v>
      </c>
      <c r="Q467" s="12">
        <f t="shared" si="42"/>
        <v>19459.439999999999</v>
      </c>
      <c r="R467" s="31">
        <f t="shared" si="47"/>
        <v>19400</v>
      </c>
      <c r="W467" s="8">
        <f t="shared" si="43"/>
        <v>23166</v>
      </c>
      <c r="X467" s="8">
        <f t="shared" si="44"/>
        <v>23100</v>
      </c>
    </row>
    <row r="468" spans="1:24" ht="21.95" customHeight="1" x14ac:dyDescent="0.2">
      <c r="A468" s="5" t="s">
        <v>17</v>
      </c>
      <c r="B468" s="5" t="s">
        <v>1588</v>
      </c>
      <c r="C468" s="6" t="s">
        <v>272</v>
      </c>
      <c r="D468" s="6" t="s">
        <v>2067</v>
      </c>
      <c r="E468" s="6"/>
      <c r="F468" s="6" t="s">
        <v>285</v>
      </c>
      <c r="G468" s="6">
        <v>100</v>
      </c>
      <c r="H468" s="6">
        <v>80</v>
      </c>
      <c r="I468" s="9">
        <v>100</v>
      </c>
      <c r="J468" s="9"/>
      <c r="K468" s="7">
        <v>44004674</v>
      </c>
      <c r="L468" s="5" t="str">
        <f t="shared" si="45"/>
        <v>HL TESLA 100 CM 75+KOL</v>
      </c>
      <c r="M468" s="8">
        <v>0.4</v>
      </c>
      <c r="N468" s="8">
        <v>0.4</v>
      </c>
      <c r="O468" s="8">
        <v>21781</v>
      </c>
      <c r="P468" s="8">
        <f t="shared" si="46"/>
        <v>13068.6</v>
      </c>
      <c r="Q468" s="12">
        <f t="shared" si="42"/>
        <v>27444.06</v>
      </c>
      <c r="R468" s="31">
        <f t="shared" si="47"/>
        <v>27400</v>
      </c>
      <c r="W468" s="8">
        <f t="shared" si="43"/>
        <v>32671.5</v>
      </c>
      <c r="X468" s="8">
        <f t="shared" si="44"/>
        <v>32600</v>
      </c>
    </row>
    <row r="469" spans="1:24" ht="21.95" customHeight="1" x14ac:dyDescent="0.2">
      <c r="A469" s="5" t="s">
        <v>17</v>
      </c>
      <c r="B469" s="5" t="s">
        <v>1588</v>
      </c>
      <c r="C469" s="6" t="s">
        <v>272</v>
      </c>
      <c r="D469" s="6" t="s">
        <v>2313</v>
      </c>
      <c r="E469" s="6"/>
      <c r="G469" s="6">
        <v>100</v>
      </c>
      <c r="H469" s="6">
        <v>80</v>
      </c>
      <c r="I469" s="9">
        <v>100</v>
      </c>
      <c r="J469" s="9"/>
      <c r="K469" s="7">
        <v>44004675</v>
      </c>
      <c r="L469" s="5" t="str">
        <f t="shared" si="45"/>
        <v>HL TESLA TEKLİ TV KOLTUĞU</v>
      </c>
      <c r="M469" s="8">
        <v>0.4</v>
      </c>
      <c r="N469" s="8">
        <v>0.4</v>
      </c>
      <c r="O469" s="8">
        <v>30725</v>
      </c>
      <c r="P469" s="8">
        <f t="shared" si="46"/>
        <v>18435</v>
      </c>
      <c r="Q469" s="12">
        <f t="shared" si="42"/>
        <v>38713.5</v>
      </c>
      <c r="R469" s="31">
        <f t="shared" si="47"/>
        <v>38700</v>
      </c>
      <c r="U469" s="8">
        <v>35641</v>
      </c>
      <c r="W469" s="8">
        <f t="shared" si="43"/>
        <v>46087.5</v>
      </c>
      <c r="X469" s="8">
        <f t="shared" si="44"/>
        <v>46000</v>
      </c>
    </row>
    <row r="470" spans="1:24" ht="21.95" customHeight="1" x14ac:dyDescent="0.2">
      <c r="A470" s="5" t="s">
        <v>17</v>
      </c>
      <c r="B470" s="5" t="s">
        <v>1588</v>
      </c>
      <c r="C470" s="6" t="s">
        <v>272</v>
      </c>
      <c r="D470" s="6" t="s">
        <v>32</v>
      </c>
      <c r="E470" s="6"/>
      <c r="G470" s="6">
        <v>230</v>
      </c>
      <c r="H470" s="6">
        <v>80</v>
      </c>
      <c r="I470" s="9">
        <v>100</v>
      </c>
      <c r="J470" s="9"/>
      <c r="K470" s="7">
        <v>44004676</v>
      </c>
      <c r="L470" s="5" t="str">
        <f t="shared" si="45"/>
        <v>HL TESLA KOLTUK 3 LÜ</v>
      </c>
      <c r="M470" s="8">
        <v>0.4</v>
      </c>
      <c r="N470" s="8">
        <v>0.4</v>
      </c>
      <c r="O470" s="8">
        <v>47281</v>
      </c>
      <c r="P470" s="8">
        <f t="shared" si="46"/>
        <v>28368.6</v>
      </c>
      <c r="Q470" s="12">
        <f t="shared" si="42"/>
        <v>59574.06</v>
      </c>
      <c r="R470" s="31">
        <f t="shared" si="47"/>
        <v>59500</v>
      </c>
      <c r="W470" s="8">
        <f t="shared" si="43"/>
        <v>70921.5</v>
      </c>
      <c r="X470" s="8">
        <f t="shared" si="44"/>
        <v>70900</v>
      </c>
    </row>
    <row r="471" spans="1:24" ht="21.95" customHeight="1" x14ac:dyDescent="0.2">
      <c r="A471" s="5" t="s">
        <v>17</v>
      </c>
      <c r="B471" s="5" t="s">
        <v>1588</v>
      </c>
      <c r="C471" s="6" t="s">
        <v>272</v>
      </c>
      <c r="D471" s="6" t="s">
        <v>296</v>
      </c>
      <c r="E471" s="6"/>
      <c r="K471" s="7">
        <v>44004677</v>
      </c>
      <c r="L471" s="5" t="str">
        <f t="shared" si="45"/>
        <v>HL TESLA TEKLİ SABİT</v>
      </c>
      <c r="M471" s="8">
        <v>0.4</v>
      </c>
      <c r="N471" s="8">
        <v>0.4</v>
      </c>
      <c r="O471" s="8">
        <v>26400</v>
      </c>
      <c r="P471" s="8">
        <f t="shared" si="46"/>
        <v>15840</v>
      </c>
      <c r="Q471" s="12">
        <f t="shared" si="42"/>
        <v>33264</v>
      </c>
      <c r="R471" s="31">
        <f t="shared" si="47"/>
        <v>33200</v>
      </c>
      <c r="W471" s="8">
        <f t="shared" si="43"/>
        <v>39600</v>
      </c>
      <c r="X471" s="8">
        <f t="shared" si="44"/>
        <v>39600</v>
      </c>
    </row>
    <row r="472" spans="1:24" ht="21.95" customHeight="1" x14ac:dyDescent="0.2">
      <c r="A472" s="5" t="s">
        <v>17</v>
      </c>
      <c r="B472" s="5" t="s">
        <v>1588</v>
      </c>
      <c r="C472" s="6" t="s">
        <v>297</v>
      </c>
      <c r="D472" s="6" t="s">
        <v>2314</v>
      </c>
      <c r="E472" s="6"/>
      <c r="K472" s="7">
        <v>44004678</v>
      </c>
      <c r="L472" s="5" t="str">
        <f t="shared" si="45"/>
        <v xml:space="preserve">HL FLORYA DİNLENMELİ 3 LÜ KOLTUK </v>
      </c>
      <c r="M472" s="8">
        <v>0.4</v>
      </c>
      <c r="N472" s="8">
        <v>0.4</v>
      </c>
      <c r="O472" s="8">
        <v>37811</v>
      </c>
      <c r="P472" s="8">
        <f t="shared" si="46"/>
        <v>22686.6</v>
      </c>
      <c r="Q472" s="12">
        <f t="shared" si="42"/>
        <v>47641.86</v>
      </c>
      <c r="R472" s="31">
        <f t="shared" si="47"/>
        <v>47600</v>
      </c>
      <c r="U472" s="8">
        <v>43861</v>
      </c>
      <c r="W472" s="8">
        <f t="shared" si="43"/>
        <v>56716.5</v>
      </c>
      <c r="X472" s="8">
        <f t="shared" si="44"/>
        <v>56700</v>
      </c>
    </row>
    <row r="473" spans="1:24" ht="21.95" customHeight="1" x14ac:dyDescent="0.2">
      <c r="A473" s="5" t="s">
        <v>17</v>
      </c>
      <c r="B473" s="5" t="s">
        <v>1588</v>
      </c>
      <c r="C473" s="6" t="s">
        <v>297</v>
      </c>
      <c r="D473" s="6" t="s">
        <v>32</v>
      </c>
      <c r="E473" s="6"/>
      <c r="K473" s="7">
        <v>44004679</v>
      </c>
      <c r="L473" s="5" t="str">
        <f t="shared" si="45"/>
        <v>HL FLORYA KOLTUK 3 LÜ</v>
      </c>
      <c r="M473" s="8">
        <v>0.4</v>
      </c>
      <c r="N473" s="8">
        <v>0.4</v>
      </c>
      <c r="O473" s="8">
        <v>30404</v>
      </c>
      <c r="P473" s="8">
        <f t="shared" si="46"/>
        <v>18242.399999999998</v>
      </c>
      <c r="Q473" s="12">
        <f t="shared" si="42"/>
        <v>38309.039999999994</v>
      </c>
      <c r="R473" s="31">
        <f t="shared" si="47"/>
        <v>38300</v>
      </c>
      <c r="U473" s="8">
        <v>35269</v>
      </c>
      <c r="W473" s="8">
        <f t="shared" si="43"/>
        <v>45605.999999999993</v>
      </c>
      <c r="X473" s="8">
        <f t="shared" si="44"/>
        <v>45600</v>
      </c>
    </row>
    <row r="474" spans="1:24" ht="21.95" customHeight="1" x14ac:dyDescent="0.2">
      <c r="A474" s="5" t="s">
        <v>17</v>
      </c>
      <c r="B474" s="5" t="s">
        <v>1588</v>
      </c>
      <c r="C474" s="6" t="s">
        <v>297</v>
      </c>
      <c r="D474" s="6" t="s">
        <v>299</v>
      </c>
      <c r="E474" s="6"/>
      <c r="K474" s="7">
        <v>44004680</v>
      </c>
      <c r="L474" s="5" t="str">
        <f t="shared" si="45"/>
        <v xml:space="preserve">HL FLORYA 95 ARA </v>
      </c>
      <c r="M474" s="8">
        <v>0.4</v>
      </c>
      <c r="N474" s="8">
        <v>0.4</v>
      </c>
      <c r="O474" s="8">
        <v>12625</v>
      </c>
      <c r="P474" s="8">
        <f t="shared" si="46"/>
        <v>7575</v>
      </c>
      <c r="Q474" s="12">
        <f t="shared" si="42"/>
        <v>15907.5</v>
      </c>
      <c r="R474" s="31">
        <f t="shared" si="47"/>
        <v>15900</v>
      </c>
      <c r="W474" s="8">
        <f t="shared" si="43"/>
        <v>18937.5</v>
      </c>
      <c r="X474" s="8">
        <f t="shared" si="44"/>
        <v>18900</v>
      </c>
    </row>
    <row r="475" spans="1:24" ht="21.95" customHeight="1" x14ac:dyDescent="0.2">
      <c r="A475" s="5" t="s">
        <v>17</v>
      </c>
      <c r="B475" s="5" t="s">
        <v>1588</v>
      </c>
      <c r="C475" s="6" t="s">
        <v>297</v>
      </c>
      <c r="D475" s="6" t="s">
        <v>300</v>
      </c>
      <c r="E475" s="6"/>
      <c r="K475" s="7">
        <v>44004681</v>
      </c>
      <c r="L475" s="5" t="str">
        <f t="shared" si="45"/>
        <v>HL FLORYA 95CM+ KOL</v>
      </c>
      <c r="M475" s="8">
        <v>0.4</v>
      </c>
      <c r="N475" s="8">
        <v>0.4</v>
      </c>
      <c r="O475" s="8">
        <v>17078</v>
      </c>
      <c r="P475" s="8">
        <f t="shared" si="46"/>
        <v>10246.799999999999</v>
      </c>
      <c r="Q475" s="12">
        <f t="shared" si="42"/>
        <v>21518.28</v>
      </c>
      <c r="R475" s="31">
        <f t="shared" si="47"/>
        <v>21500</v>
      </c>
      <c r="W475" s="8">
        <f t="shared" si="43"/>
        <v>25617</v>
      </c>
      <c r="X475" s="8">
        <f t="shared" si="44"/>
        <v>25600</v>
      </c>
    </row>
    <row r="476" spans="1:24" ht="21.95" customHeight="1" x14ac:dyDescent="0.2">
      <c r="A476" s="5" t="s">
        <v>17</v>
      </c>
      <c r="B476" s="5" t="s">
        <v>1588</v>
      </c>
      <c r="C476" s="6" t="s">
        <v>297</v>
      </c>
      <c r="D476" s="6" t="s">
        <v>301</v>
      </c>
      <c r="E476" s="6"/>
      <c r="K476" s="7">
        <v>44004682</v>
      </c>
      <c r="L476" s="5" t="str">
        <f t="shared" si="45"/>
        <v xml:space="preserve">HL FLORYA 120CM+ KOL </v>
      </c>
      <c r="M476" s="8">
        <v>0.4</v>
      </c>
      <c r="N476" s="8">
        <v>0.4</v>
      </c>
      <c r="O476" s="8">
        <v>18370</v>
      </c>
      <c r="P476" s="8">
        <f t="shared" si="46"/>
        <v>11022</v>
      </c>
      <c r="Q476" s="12">
        <f t="shared" si="42"/>
        <v>23146.2</v>
      </c>
      <c r="R476" s="31">
        <f t="shared" si="47"/>
        <v>23100</v>
      </c>
      <c r="W476" s="8">
        <f t="shared" si="43"/>
        <v>27555</v>
      </c>
      <c r="X476" s="8">
        <f t="shared" si="44"/>
        <v>27500</v>
      </c>
    </row>
    <row r="477" spans="1:24" ht="21.95" customHeight="1" x14ac:dyDescent="0.2">
      <c r="A477" s="5" t="s">
        <v>17</v>
      </c>
      <c r="B477" s="5" t="s">
        <v>1588</v>
      </c>
      <c r="C477" s="6" t="s">
        <v>297</v>
      </c>
      <c r="D477" s="6" t="s">
        <v>302</v>
      </c>
      <c r="E477" s="6"/>
      <c r="K477" s="7">
        <v>44004683</v>
      </c>
      <c r="L477" s="5" t="str">
        <f t="shared" si="45"/>
        <v xml:space="preserve">HL FLORYA 120CM ARA </v>
      </c>
      <c r="M477" s="8">
        <v>0.4</v>
      </c>
      <c r="N477" s="8">
        <v>0.4</v>
      </c>
      <c r="O477" s="8">
        <v>14611</v>
      </c>
      <c r="P477" s="8">
        <f t="shared" si="46"/>
        <v>8766.6</v>
      </c>
      <c r="Q477" s="12">
        <f t="shared" ref="Q477:Q540" si="48">O477*(1-N477)*2.1</f>
        <v>18409.86</v>
      </c>
      <c r="R477" s="31">
        <f t="shared" si="47"/>
        <v>18400</v>
      </c>
      <c r="W477" s="8">
        <f t="shared" ref="W477:W539" si="49">P477*2.5</f>
        <v>21916.5</v>
      </c>
      <c r="X477" s="8">
        <f t="shared" ref="X477:X529" si="50">ROUNDDOWN(W477,-2)</f>
        <v>21900</v>
      </c>
    </row>
    <row r="478" spans="1:24" ht="21.95" customHeight="1" x14ac:dyDescent="0.2">
      <c r="A478" s="5" t="s">
        <v>17</v>
      </c>
      <c r="B478" s="5" t="s">
        <v>1588</v>
      </c>
      <c r="C478" s="6" t="s">
        <v>297</v>
      </c>
      <c r="D478" s="6" t="s">
        <v>303</v>
      </c>
      <c r="E478" s="6"/>
      <c r="K478" s="7">
        <v>44004684</v>
      </c>
      <c r="L478" s="5" t="str">
        <f t="shared" si="45"/>
        <v>HL FLORYA DİNLENME MODÜLÜ</v>
      </c>
      <c r="M478" s="8">
        <v>0.4</v>
      </c>
      <c r="N478" s="8">
        <v>0.4</v>
      </c>
      <c r="O478" s="8">
        <v>19441</v>
      </c>
      <c r="P478" s="8">
        <f t="shared" si="46"/>
        <v>11664.6</v>
      </c>
      <c r="Q478" s="12">
        <f t="shared" si="48"/>
        <v>24495.660000000003</v>
      </c>
      <c r="R478" s="31">
        <f t="shared" si="47"/>
        <v>24400</v>
      </c>
      <c r="W478" s="8">
        <f t="shared" si="49"/>
        <v>29161.5</v>
      </c>
      <c r="X478" s="8">
        <f t="shared" si="50"/>
        <v>29100</v>
      </c>
    </row>
    <row r="479" spans="1:24" ht="21.95" customHeight="1" x14ac:dyDescent="0.2">
      <c r="A479" s="5" t="s">
        <v>17</v>
      </c>
      <c r="B479" s="5" t="s">
        <v>1588</v>
      </c>
      <c r="C479" s="6" t="s">
        <v>297</v>
      </c>
      <c r="D479" s="6" t="s">
        <v>33</v>
      </c>
      <c r="E479" s="6"/>
      <c r="K479" s="7">
        <v>44004685</v>
      </c>
      <c r="L479" s="5" t="str">
        <f t="shared" si="45"/>
        <v>HL FLORYA BERJER</v>
      </c>
      <c r="M479" s="8">
        <v>0.4</v>
      </c>
      <c r="N479" s="8">
        <v>0.4</v>
      </c>
      <c r="O479" s="8">
        <v>12650</v>
      </c>
      <c r="P479" s="8">
        <f t="shared" si="46"/>
        <v>7590</v>
      </c>
      <c r="Q479" s="12">
        <f t="shared" si="48"/>
        <v>15939</v>
      </c>
      <c r="R479" s="31">
        <f t="shared" si="47"/>
        <v>15900</v>
      </c>
      <c r="U479" s="8">
        <v>14674</v>
      </c>
      <c r="W479" s="8">
        <f t="shared" si="49"/>
        <v>18975</v>
      </c>
      <c r="X479" s="8">
        <f t="shared" si="50"/>
        <v>18900</v>
      </c>
    </row>
    <row r="480" spans="1:24" ht="21.95" customHeight="1" x14ac:dyDescent="0.2">
      <c r="A480" s="5" t="s">
        <v>17</v>
      </c>
      <c r="B480" s="5" t="s">
        <v>1588</v>
      </c>
      <c r="C480" s="6" t="s">
        <v>304</v>
      </c>
      <c r="D480" s="6" t="s">
        <v>257</v>
      </c>
      <c r="E480" s="6"/>
      <c r="F480" s="6" t="s">
        <v>305</v>
      </c>
      <c r="G480" s="5">
        <v>205</v>
      </c>
      <c r="H480" s="5">
        <v>80</v>
      </c>
      <c r="I480" s="7">
        <v>100</v>
      </c>
      <c r="K480" s="7">
        <v>44004686</v>
      </c>
      <c r="L480" s="5" t="str">
        <f t="shared" si="45"/>
        <v>HL SMART RELAX KOLTUK 3 LÜ YATAKLI</v>
      </c>
      <c r="M480" s="8">
        <v>0.4</v>
      </c>
      <c r="N480" s="8">
        <v>0.4</v>
      </c>
      <c r="O480" s="8">
        <v>49717</v>
      </c>
      <c r="P480" s="8">
        <f t="shared" si="46"/>
        <v>29830.199999999997</v>
      </c>
      <c r="Q480" s="12">
        <f t="shared" si="48"/>
        <v>62643.42</v>
      </c>
      <c r="R480" s="31">
        <f t="shared" si="47"/>
        <v>62600</v>
      </c>
      <c r="W480" s="8">
        <f t="shared" si="49"/>
        <v>74575.5</v>
      </c>
      <c r="X480" s="8">
        <f t="shared" si="50"/>
        <v>74500</v>
      </c>
    </row>
    <row r="481" spans="1:24" ht="21.95" customHeight="1" x14ac:dyDescent="0.2">
      <c r="A481" s="5" t="s">
        <v>17</v>
      </c>
      <c r="B481" s="5" t="s">
        <v>1588</v>
      </c>
      <c r="C481" s="6" t="s">
        <v>304</v>
      </c>
      <c r="D481" s="6" t="s">
        <v>306</v>
      </c>
      <c r="E481" s="6"/>
      <c r="F481" s="6" t="s">
        <v>307</v>
      </c>
      <c r="G481" s="5">
        <v>100</v>
      </c>
      <c r="H481" s="5">
        <v>80</v>
      </c>
      <c r="I481" s="7">
        <v>180</v>
      </c>
      <c r="K481" s="7">
        <v>44004687</v>
      </c>
      <c r="L481" s="5" t="str">
        <f t="shared" si="45"/>
        <v xml:space="preserve">HL SMART RELAX DİNLENME SANDIKLI </v>
      </c>
      <c r="M481" s="8">
        <v>0.4</v>
      </c>
      <c r="N481" s="8">
        <v>0.4</v>
      </c>
      <c r="O481" s="8">
        <v>28655</v>
      </c>
      <c r="P481" s="8">
        <f t="shared" si="46"/>
        <v>17193</v>
      </c>
      <c r="Q481" s="12">
        <f t="shared" si="48"/>
        <v>36105.300000000003</v>
      </c>
      <c r="R481" s="31">
        <f t="shared" si="47"/>
        <v>36100</v>
      </c>
      <c r="W481" s="8">
        <f t="shared" si="49"/>
        <v>42982.5</v>
      </c>
      <c r="X481" s="8">
        <f t="shared" si="50"/>
        <v>42900</v>
      </c>
    </row>
    <row r="482" spans="1:24" ht="21.95" customHeight="1" x14ac:dyDescent="0.2">
      <c r="A482" s="5" t="s">
        <v>17</v>
      </c>
      <c r="B482" s="5" t="s">
        <v>1588</v>
      </c>
      <c r="C482" s="6" t="s">
        <v>304</v>
      </c>
      <c r="D482" s="6" t="s">
        <v>308</v>
      </c>
      <c r="E482" s="6"/>
      <c r="F482" s="5">
        <v>1.4</v>
      </c>
      <c r="G482" s="5">
        <v>205</v>
      </c>
      <c r="H482" s="5">
        <v>80</v>
      </c>
      <c r="I482" s="9">
        <v>100</v>
      </c>
      <c r="J482" s="9"/>
      <c r="K482" s="7">
        <v>44004688</v>
      </c>
      <c r="L482" s="5" t="str">
        <f t="shared" si="45"/>
        <v xml:space="preserve">HL SMART RELAX KOLTUK 3 LÜ SABİT </v>
      </c>
      <c r="M482" s="8">
        <v>0.4</v>
      </c>
      <c r="N482" s="8">
        <v>0.4</v>
      </c>
      <c r="O482" s="8">
        <v>41880</v>
      </c>
      <c r="P482" s="8">
        <f t="shared" si="46"/>
        <v>25128</v>
      </c>
      <c r="Q482" s="12">
        <f t="shared" si="48"/>
        <v>52768.800000000003</v>
      </c>
      <c r="R482" s="31">
        <f t="shared" si="47"/>
        <v>52700</v>
      </c>
      <c r="W482" s="8">
        <f t="shared" si="49"/>
        <v>62820</v>
      </c>
      <c r="X482" s="8">
        <f t="shared" si="50"/>
        <v>62800</v>
      </c>
    </row>
    <row r="483" spans="1:24" s="6" customFormat="1" ht="21.95" customHeight="1" x14ac:dyDescent="0.2">
      <c r="A483" s="5" t="s">
        <v>17</v>
      </c>
      <c r="B483" s="6" t="s">
        <v>1588</v>
      </c>
      <c r="C483" s="6" t="s">
        <v>217</v>
      </c>
      <c r="D483" s="6" t="s">
        <v>59</v>
      </c>
      <c r="F483" s="5"/>
      <c r="G483" s="6">
        <v>110</v>
      </c>
      <c r="H483" s="6">
        <v>72</v>
      </c>
      <c r="I483" s="9">
        <v>100</v>
      </c>
      <c r="J483" s="9"/>
      <c r="K483" s="9">
        <v>44004693</v>
      </c>
      <c r="L483" s="6" t="str">
        <f t="shared" si="45"/>
        <v>HL SOLİD KÖŞE MODÜL</v>
      </c>
      <c r="M483" s="8">
        <v>0.4</v>
      </c>
      <c r="N483" s="8">
        <v>0.4</v>
      </c>
      <c r="O483" s="12">
        <v>21849</v>
      </c>
      <c r="P483" s="8">
        <f t="shared" si="46"/>
        <v>13109.4</v>
      </c>
      <c r="Q483" s="12">
        <f t="shared" si="48"/>
        <v>27529.74</v>
      </c>
      <c r="R483" s="31">
        <f t="shared" si="47"/>
        <v>27500</v>
      </c>
      <c r="S483" s="5"/>
      <c r="T483" s="8"/>
      <c r="U483" s="8"/>
      <c r="V483" s="12"/>
      <c r="W483" s="12">
        <f t="shared" si="49"/>
        <v>32773.5</v>
      </c>
      <c r="X483" s="12">
        <f t="shared" si="50"/>
        <v>32700</v>
      </c>
    </row>
    <row r="484" spans="1:24" s="6" customFormat="1" ht="21.95" customHeight="1" x14ac:dyDescent="0.2">
      <c r="A484" s="5" t="s">
        <v>17</v>
      </c>
      <c r="B484" s="6" t="s">
        <v>1588</v>
      </c>
      <c r="C484" s="6" t="s">
        <v>217</v>
      </c>
      <c r="D484" s="6" t="s">
        <v>309</v>
      </c>
      <c r="F484" s="5"/>
      <c r="I484" s="9"/>
      <c r="J484" s="9"/>
      <c r="K484" s="9">
        <v>44004701</v>
      </c>
      <c r="L484" s="6" t="str">
        <f t="shared" si="45"/>
        <v>HL SOLİD KOLTUK KIRIK MODÜL</v>
      </c>
      <c r="M484" s="8">
        <v>0.4</v>
      </c>
      <c r="N484" s="8">
        <v>0.4</v>
      </c>
      <c r="O484" s="12">
        <v>33351</v>
      </c>
      <c r="P484" s="8">
        <f t="shared" si="46"/>
        <v>20010.599999999999</v>
      </c>
      <c r="Q484" s="12">
        <f t="shared" si="48"/>
        <v>42022.26</v>
      </c>
      <c r="R484" s="31">
        <f t="shared" si="47"/>
        <v>42000</v>
      </c>
      <c r="S484" s="5"/>
      <c r="T484" s="8"/>
      <c r="U484" s="8"/>
      <c r="V484" s="12"/>
      <c r="W484" s="12">
        <f t="shared" si="49"/>
        <v>50026.5</v>
      </c>
      <c r="X484" s="12">
        <f t="shared" si="50"/>
        <v>50000</v>
      </c>
    </row>
    <row r="485" spans="1:24" s="6" customFormat="1" ht="21.95" customHeight="1" x14ac:dyDescent="0.2">
      <c r="A485" s="6" t="s">
        <v>17</v>
      </c>
      <c r="B485" s="6" t="s">
        <v>1588</v>
      </c>
      <c r="C485" s="6" t="s">
        <v>310</v>
      </c>
      <c r="D485" s="6" t="s">
        <v>311</v>
      </c>
      <c r="G485" s="6">
        <v>170</v>
      </c>
      <c r="H485" s="6">
        <v>74</v>
      </c>
      <c r="I485" s="9">
        <v>96</v>
      </c>
      <c r="J485" s="9"/>
      <c r="K485" s="9">
        <v>44004702</v>
      </c>
      <c r="L485" s="6" t="str">
        <f t="shared" si="45"/>
        <v>HL NAVONA PLUS V1 Y.AHŞAP+90CM***</v>
      </c>
      <c r="M485" s="12">
        <v>0.4</v>
      </c>
      <c r="N485" s="12">
        <v>0.4</v>
      </c>
      <c r="O485" s="12">
        <v>30278</v>
      </c>
      <c r="P485" s="12">
        <f t="shared" si="46"/>
        <v>18166.8</v>
      </c>
      <c r="Q485" s="12">
        <f t="shared" si="48"/>
        <v>38150.28</v>
      </c>
      <c r="R485" s="33">
        <f t="shared" si="47"/>
        <v>38100</v>
      </c>
      <c r="T485" s="12"/>
      <c r="U485" s="12"/>
      <c r="V485" s="12"/>
      <c r="W485" s="12">
        <f t="shared" si="49"/>
        <v>45417</v>
      </c>
      <c r="X485" s="12">
        <f t="shared" si="50"/>
        <v>45400</v>
      </c>
    </row>
    <row r="486" spans="1:24" s="6" customFormat="1" ht="21.95" customHeight="1" x14ac:dyDescent="0.2">
      <c r="A486" s="6" t="s">
        <v>17</v>
      </c>
      <c r="B486" s="6" t="s">
        <v>1588</v>
      </c>
      <c r="C486" s="6" t="s">
        <v>310</v>
      </c>
      <c r="D486" s="6" t="s">
        <v>59</v>
      </c>
      <c r="F486" s="6" t="s">
        <v>312</v>
      </c>
      <c r="G486" s="6">
        <v>121</v>
      </c>
      <c r="H486" s="6">
        <v>74</v>
      </c>
      <c r="I486" s="9">
        <v>96</v>
      </c>
      <c r="J486" s="9"/>
      <c r="K486" s="9">
        <v>44004703</v>
      </c>
      <c r="L486" s="6" t="str">
        <f t="shared" si="45"/>
        <v>HL NAVONA PLUS V1 KÖŞE MODÜL</v>
      </c>
      <c r="M486" s="12">
        <v>0.4</v>
      </c>
      <c r="N486" s="12">
        <v>0.4</v>
      </c>
      <c r="O486" s="12">
        <v>19148</v>
      </c>
      <c r="P486" s="12">
        <f t="shared" si="46"/>
        <v>11488.8</v>
      </c>
      <c r="Q486" s="12">
        <f t="shared" si="48"/>
        <v>24126.48</v>
      </c>
      <c r="R486" s="33">
        <f t="shared" si="47"/>
        <v>24100</v>
      </c>
      <c r="T486" s="12"/>
      <c r="U486" s="12"/>
      <c r="V486" s="12"/>
      <c r="W486" s="12">
        <f t="shared" si="49"/>
        <v>28722</v>
      </c>
      <c r="X486" s="12">
        <f t="shared" si="50"/>
        <v>28700</v>
      </c>
    </row>
    <row r="487" spans="1:24" s="6" customFormat="1" ht="21.95" customHeight="1" x14ac:dyDescent="0.2">
      <c r="A487" s="6" t="s">
        <v>17</v>
      </c>
      <c r="B487" s="6" t="s">
        <v>1588</v>
      </c>
      <c r="C487" s="6" t="s">
        <v>310</v>
      </c>
      <c r="D487" s="6" t="s">
        <v>313</v>
      </c>
      <c r="G487" s="6">
        <v>211</v>
      </c>
      <c r="H487" s="6">
        <v>74</v>
      </c>
      <c r="I487" s="9">
        <v>96</v>
      </c>
      <c r="J487" s="9"/>
      <c r="K487" s="9">
        <v>44004704</v>
      </c>
      <c r="L487" s="6" t="str">
        <f t="shared" si="45"/>
        <v>HL NAVONA PLUS V1 KOLTUK 3 LÜ***</v>
      </c>
      <c r="M487" s="12">
        <v>0.4</v>
      </c>
      <c r="N487" s="12">
        <v>0.4</v>
      </c>
      <c r="O487" s="12">
        <v>31058</v>
      </c>
      <c r="P487" s="12">
        <f t="shared" si="46"/>
        <v>18634.8</v>
      </c>
      <c r="Q487" s="12">
        <f t="shared" si="48"/>
        <v>39133.08</v>
      </c>
      <c r="R487" s="33">
        <f t="shared" si="47"/>
        <v>39100</v>
      </c>
      <c r="T487" s="12"/>
      <c r="U487" s="12"/>
      <c r="V487" s="12"/>
      <c r="W487" s="12">
        <f t="shared" si="49"/>
        <v>46587</v>
      </c>
      <c r="X487" s="12">
        <f t="shared" si="50"/>
        <v>46500</v>
      </c>
    </row>
    <row r="488" spans="1:24" s="6" customFormat="1" ht="21.95" customHeight="1" x14ac:dyDescent="0.2">
      <c r="A488" s="6" t="s">
        <v>17</v>
      </c>
      <c r="B488" s="6" t="s">
        <v>1588</v>
      </c>
      <c r="C488" s="6" t="s">
        <v>314</v>
      </c>
      <c r="D488" s="6" t="s">
        <v>315</v>
      </c>
      <c r="G488" s="6">
        <v>171</v>
      </c>
      <c r="H488" s="6">
        <v>74</v>
      </c>
      <c r="I488" s="9">
        <v>96</v>
      </c>
      <c r="J488" s="9"/>
      <c r="K488" s="9">
        <v>44004705</v>
      </c>
      <c r="L488" s="6" t="str">
        <f t="shared" si="45"/>
        <v>HL NAVONA PLUS V2 K.AHŞAP+90CM KOLLU***</v>
      </c>
      <c r="M488" s="12">
        <v>0.4</v>
      </c>
      <c r="N488" s="12">
        <v>0.4</v>
      </c>
      <c r="O488" s="12">
        <v>23934</v>
      </c>
      <c r="P488" s="12">
        <f t="shared" si="46"/>
        <v>14360.4</v>
      </c>
      <c r="Q488" s="12">
        <f t="shared" si="48"/>
        <v>30156.84</v>
      </c>
      <c r="R488" s="33">
        <f t="shared" si="47"/>
        <v>30100</v>
      </c>
      <c r="T488" s="12"/>
      <c r="U488" s="12"/>
      <c r="V488" s="12"/>
      <c r="W488" s="12">
        <f t="shared" si="49"/>
        <v>35901</v>
      </c>
      <c r="X488" s="12">
        <f t="shared" si="50"/>
        <v>35900</v>
      </c>
    </row>
    <row r="489" spans="1:24" s="6" customFormat="1" ht="21.95" customHeight="1" x14ac:dyDescent="0.2">
      <c r="A489" s="6" t="s">
        <v>17</v>
      </c>
      <c r="B489" s="6" t="s">
        <v>1588</v>
      </c>
      <c r="C489" s="6" t="s">
        <v>314</v>
      </c>
      <c r="D489" s="6" t="s">
        <v>316</v>
      </c>
      <c r="G489" s="6">
        <v>260</v>
      </c>
      <c r="H489" s="6">
        <v>74</v>
      </c>
      <c r="I489" s="9">
        <v>96</v>
      </c>
      <c r="J489" s="9"/>
      <c r="K489" s="9">
        <v>44004706</v>
      </c>
      <c r="L489" s="6" t="str">
        <f t="shared" si="45"/>
        <v>HL NAVONA PLUS V2 Y.AHŞAP+180CM***</v>
      </c>
      <c r="M489" s="12">
        <v>0.4</v>
      </c>
      <c r="N489" s="12">
        <v>0.4</v>
      </c>
      <c r="O489" s="12">
        <v>40522</v>
      </c>
      <c r="P489" s="12">
        <f t="shared" si="46"/>
        <v>24313.200000000001</v>
      </c>
      <c r="Q489" s="12">
        <f t="shared" si="48"/>
        <v>51057.72</v>
      </c>
      <c r="R489" s="33">
        <f t="shared" si="47"/>
        <v>51000</v>
      </c>
      <c r="T489" s="12"/>
      <c r="U489" s="12"/>
      <c r="V489" s="12"/>
      <c r="W489" s="12">
        <f t="shared" si="49"/>
        <v>60783</v>
      </c>
      <c r="X489" s="12">
        <f t="shared" si="50"/>
        <v>60700</v>
      </c>
    </row>
    <row r="490" spans="1:24" s="6" customFormat="1" ht="21.95" customHeight="1" x14ac:dyDescent="0.2">
      <c r="A490" s="6" t="s">
        <v>17</v>
      </c>
      <c r="B490" s="6" t="s">
        <v>1588</v>
      </c>
      <c r="C490" s="6" t="s">
        <v>314</v>
      </c>
      <c r="D490" s="6" t="s">
        <v>317</v>
      </c>
      <c r="G490" s="6">
        <v>121</v>
      </c>
      <c r="H490" s="6">
        <v>74</v>
      </c>
      <c r="I490" s="9">
        <v>96</v>
      </c>
      <c r="J490" s="9"/>
      <c r="K490" s="9">
        <v>44004707</v>
      </c>
      <c r="L490" s="6" t="str">
        <f t="shared" si="45"/>
        <v>HL NAVONA PLUS V2 KÖŞE MODÜL***</v>
      </c>
      <c r="M490" s="12">
        <v>0.4</v>
      </c>
      <c r="N490" s="12">
        <v>0.4</v>
      </c>
      <c r="O490" s="12">
        <v>19148</v>
      </c>
      <c r="P490" s="12">
        <f t="shared" si="46"/>
        <v>11488.8</v>
      </c>
      <c r="Q490" s="12">
        <f t="shared" si="48"/>
        <v>24126.48</v>
      </c>
      <c r="R490" s="33">
        <f t="shared" si="47"/>
        <v>24100</v>
      </c>
      <c r="T490" s="12"/>
      <c r="U490" s="12"/>
      <c r="V490" s="12"/>
      <c r="W490" s="12">
        <f t="shared" si="49"/>
        <v>28722</v>
      </c>
      <c r="X490" s="12">
        <f t="shared" si="50"/>
        <v>28700</v>
      </c>
    </row>
    <row r="491" spans="1:24" s="6" customFormat="1" ht="21.95" customHeight="1" x14ac:dyDescent="0.2">
      <c r="A491" s="6" t="s">
        <v>17</v>
      </c>
      <c r="B491" s="6" t="s">
        <v>1588</v>
      </c>
      <c r="C491" s="6" t="s">
        <v>314</v>
      </c>
      <c r="D491" s="6" t="s">
        <v>257</v>
      </c>
      <c r="G491" s="6">
        <v>211</v>
      </c>
      <c r="H491" s="6">
        <v>74</v>
      </c>
      <c r="I491" s="9">
        <v>96</v>
      </c>
      <c r="J491" s="9"/>
      <c r="K491" s="9">
        <v>44004708</v>
      </c>
      <c r="L491" s="6" t="str">
        <f t="shared" si="45"/>
        <v>HL NAVONA PLUS V2 KOLTUK 3 LÜ YATAKLI</v>
      </c>
      <c r="M491" s="12">
        <v>0.4</v>
      </c>
      <c r="N491" s="12">
        <v>0.4</v>
      </c>
      <c r="O491" s="12">
        <v>35287</v>
      </c>
      <c r="P491" s="12">
        <f t="shared" si="46"/>
        <v>21172.2</v>
      </c>
      <c r="Q491" s="12">
        <f t="shared" si="48"/>
        <v>44461.62</v>
      </c>
      <c r="R491" s="33">
        <f t="shared" si="47"/>
        <v>44400</v>
      </c>
      <c r="T491" s="12"/>
      <c r="U491" s="12"/>
      <c r="V491" s="12"/>
      <c r="W491" s="12">
        <f t="shared" si="49"/>
        <v>52930.5</v>
      </c>
      <c r="X491" s="12">
        <f t="shared" si="50"/>
        <v>52900</v>
      </c>
    </row>
    <row r="492" spans="1:24" s="6" customFormat="1" ht="21.95" customHeight="1" x14ac:dyDescent="0.2">
      <c r="A492" s="6" t="s">
        <v>17</v>
      </c>
      <c r="B492" s="6" t="s">
        <v>1588</v>
      </c>
      <c r="C492" s="6" t="s">
        <v>318</v>
      </c>
      <c r="D492" s="6" t="s">
        <v>319</v>
      </c>
      <c r="G492" s="6">
        <v>260</v>
      </c>
      <c r="H492" s="6">
        <v>74</v>
      </c>
      <c r="I492" s="9">
        <v>96</v>
      </c>
      <c r="J492" s="9"/>
      <c r="K492" s="9">
        <v>44004709</v>
      </c>
      <c r="L492" s="6" t="str">
        <f t="shared" si="45"/>
        <v>HL NAVONA PLUS 2 Y.AHŞAP+180CM YATAKLI</v>
      </c>
      <c r="M492" s="12">
        <v>0.4</v>
      </c>
      <c r="N492" s="12">
        <v>0.4</v>
      </c>
      <c r="O492" s="12">
        <v>46310</v>
      </c>
      <c r="P492" s="12">
        <f t="shared" si="46"/>
        <v>27786</v>
      </c>
      <c r="Q492" s="12">
        <f t="shared" si="48"/>
        <v>58350.600000000006</v>
      </c>
      <c r="R492" s="33">
        <f t="shared" si="47"/>
        <v>58300</v>
      </c>
      <c r="T492" s="12"/>
      <c r="U492" s="12"/>
      <c r="V492" s="12"/>
      <c r="W492" s="12">
        <f t="shared" si="49"/>
        <v>69465</v>
      </c>
      <c r="X492" s="12">
        <f t="shared" si="50"/>
        <v>69400</v>
      </c>
    </row>
    <row r="493" spans="1:24" ht="21.95" customHeight="1" x14ac:dyDescent="0.2">
      <c r="A493" s="5" t="s">
        <v>17</v>
      </c>
      <c r="B493" s="5" t="s">
        <v>1588</v>
      </c>
      <c r="C493" s="6" t="s">
        <v>192</v>
      </c>
      <c r="D493" s="6" t="s">
        <v>320</v>
      </c>
      <c r="E493" s="6"/>
      <c r="F493" s="6" t="s">
        <v>321</v>
      </c>
      <c r="G493" s="6">
        <v>212</v>
      </c>
      <c r="H493" s="6">
        <v>70</v>
      </c>
      <c r="I493" s="9">
        <v>98</v>
      </c>
      <c r="J493" s="9"/>
      <c r="K493" s="7">
        <v>44004710</v>
      </c>
      <c r="L493" s="5" t="str">
        <f t="shared" si="45"/>
        <v>HL LOTUS PLUS 212CM KOLLU***</v>
      </c>
      <c r="M493" s="8">
        <v>0.4</v>
      </c>
      <c r="N493" s="8">
        <v>0.4</v>
      </c>
      <c r="O493" s="8">
        <v>32450</v>
      </c>
      <c r="P493" s="8">
        <f t="shared" si="46"/>
        <v>19470</v>
      </c>
      <c r="Q493" s="12">
        <f t="shared" si="48"/>
        <v>40887</v>
      </c>
      <c r="R493" s="31">
        <f t="shared" si="47"/>
        <v>40800</v>
      </c>
      <c r="W493" s="8">
        <f t="shared" si="49"/>
        <v>48675</v>
      </c>
      <c r="X493" s="8">
        <f t="shared" si="50"/>
        <v>48600</v>
      </c>
    </row>
    <row r="494" spans="1:24" ht="21.95" customHeight="1" x14ac:dyDescent="0.2">
      <c r="A494" s="5" t="s">
        <v>17</v>
      </c>
      <c r="B494" s="5" t="s">
        <v>1588</v>
      </c>
      <c r="C494" s="6" t="s">
        <v>192</v>
      </c>
      <c r="D494" s="6" t="s">
        <v>322</v>
      </c>
      <c r="E494" s="6"/>
      <c r="F494" s="6" t="s">
        <v>323</v>
      </c>
      <c r="G494" s="6">
        <v>130</v>
      </c>
      <c r="H494" s="6">
        <v>70</v>
      </c>
      <c r="I494" s="9">
        <v>130</v>
      </c>
      <c r="J494" s="9"/>
      <c r="K494" s="7">
        <v>44004711</v>
      </c>
      <c r="L494" s="5" t="str">
        <f t="shared" si="45"/>
        <v>HL LOTUS PLUS ADA KÖŞE***</v>
      </c>
      <c r="M494" s="8">
        <v>0.4</v>
      </c>
      <c r="N494" s="8">
        <v>0.4</v>
      </c>
      <c r="O494" s="8">
        <v>20940</v>
      </c>
      <c r="P494" s="8">
        <f t="shared" si="46"/>
        <v>12564</v>
      </c>
      <c r="Q494" s="12">
        <f t="shared" si="48"/>
        <v>26384.400000000001</v>
      </c>
      <c r="R494" s="31">
        <f t="shared" si="47"/>
        <v>26300</v>
      </c>
      <c r="W494" s="8">
        <f t="shared" si="49"/>
        <v>31410</v>
      </c>
      <c r="X494" s="8">
        <f t="shared" si="50"/>
        <v>31400</v>
      </c>
    </row>
    <row r="495" spans="1:24" ht="21.95" customHeight="1" x14ac:dyDescent="0.2">
      <c r="A495" s="5" t="s">
        <v>17</v>
      </c>
      <c r="B495" s="5" t="s">
        <v>1588</v>
      </c>
      <c r="C495" s="6" t="s">
        <v>192</v>
      </c>
      <c r="D495" s="6" t="s">
        <v>324</v>
      </c>
      <c r="E495" s="6"/>
      <c r="F495" s="6" t="s">
        <v>212</v>
      </c>
      <c r="G495" s="6">
        <v>75</v>
      </c>
      <c r="H495" s="6">
        <v>70</v>
      </c>
      <c r="I495" s="9">
        <v>98</v>
      </c>
      <c r="J495" s="9"/>
      <c r="K495" s="7">
        <v>44004712</v>
      </c>
      <c r="L495" s="5" t="str">
        <f t="shared" si="45"/>
        <v>HL LOTUS PLUS 75 SABİT***</v>
      </c>
      <c r="M495" s="8">
        <v>0.4</v>
      </c>
      <c r="N495" s="8">
        <v>0.4</v>
      </c>
      <c r="O495" s="8">
        <v>12893</v>
      </c>
      <c r="P495" s="8">
        <f t="shared" si="46"/>
        <v>7735.7999999999993</v>
      </c>
      <c r="Q495" s="12">
        <f t="shared" si="48"/>
        <v>16245.179999999998</v>
      </c>
      <c r="R495" s="31">
        <f t="shared" si="47"/>
        <v>16200</v>
      </c>
      <c r="W495" s="8">
        <f t="shared" si="49"/>
        <v>19339.5</v>
      </c>
      <c r="X495" s="8">
        <f t="shared" si="50"/>
        <v>19300</v>
      </c>
    </row>
    <row r="496" spans="1:24" ht="21.95" customHeight="1" x14ac:dyDescent="0.2">
      <c r="A496" s="5" t="s">
        <v>17</v>
      </c>
      <c r="B496" s="5" t="s">
        <v>1588</v>
      </c>
      <c r="C496" s="6" t="s">
        <v>192</v>
      </c>
      <c r="D496" s="6" t="s">
        <v>204</v>
      </c>
      <c r="E496" s="6"/>
      <c r="F496" s="6" t="s">
        <v>325</v>
      </c>
      <c r="G496" s="6">
        <v>50</v>
      </c>
      <c r="H496" s="6">
        <v>65</v>
      </c>
      <c r="I496" s="9">
        <v>98</v>
      </c>
      <c r="J496" s="9"/>
      <c r="K496" s="7">
        <v>44004713</v>
      </c>
      <c r="L496" s="5" t="str">
        <f t="shared" si="45"/>
        <v>HL LOTUS PLUS AHŞAP KOL DAYANAĞI</v>
      </c>
      <c r="M496" s="8">
        <v>0.4</v>
      </c>
      <c r="N496" s="8">
        <v>0.4</v>
      </c>
      <c r="O496" s="8">
        <v>16654</v>
      </c>
      <c r="P496" s="8">
        <f t="shared" si="46"/>
        <v>9992.4</v>
      </c>
      <c r="Q496" s="12">
        <f t="shared" si="48"/>
        <v>20984.04</v>
      </c>
      <c r="R496" s="31">
        <f t="shared" si="47"/>
        <v>20900</v>
      </c>
      <c r="W496" s="8">
        <f t="shared" si="49"/>
        <v>24981</v>
      </c>
      <c r="X496" s="8">
        <f t="shared" si="50"/>
        <v>24900</v>
      </c>
    </row>
    <row r="497" spans="1:24" ht="21.95" customHeight="1" x14ac:dyDescent="0.2">
      <c r="A497" s="5" t="s">
        <v>17</v>
      </c>
      <c r="B497" s="5" t="s">
        <v>1588</v>
      </c>
      <c r="C497" s="6" t="s">
        <v>192</v>
      </c>
      <c r="D497" s="6" t="s">
        <v>326</v>
      </c>
      <c r="E497" s="6"/>
      <c r="F497" s="6" t="s">
        <v>208</v>
      </c>
      <c r="G497" s="6">
        <v>105</v>
      </c>
      <c r="H497" s="6">
        <v>70</v>
      </c>
      <c r="I497" s="9">
        <v>98</v>
      </c>
      <c r="J497" s="9"/>
      <c r="K497" s="7">
        <v>44004714</v>
      </c>
      <c r="L497" s="5" t="str">
        <f t="shared" si="45"/>
        <v>HL LOTUS PLUS 105CM KOLLU MODÜL***</v>
      </c>
      <c r="M497" s="8">
        <v>0.4</v>
      </c>
      <c r="N497" s="8">
        <v>0.4</v>
      </c>
      <c r="O497" s="8">
        <v>16778</v>
      </c>
      <c r="P497" s="8">
        <f t="shared" si="46"/>
        <v>10066.799999999999</v>
      </c>
      <c r="Q497" s="12">
        <f t="shared" si="48"/>
        <v>21140.28</v>
      </c>
      <c r="R497" s="31">
        <f t="shared" si="47"/>
        <v>21100</v>
      </c>
      <c r="W497" s="8">
        <f t="shared" si="49"/>
        <v>25167</v>
      </c>
      <c r="X497" s="8">
        <f t="shared" si="50"/>
        <v>25100</v>
      </c>
    </row>
    <row r="498" spans="1:24" ht="21.95" customHeight="1" x14ac:dyDescent="0.2">
      <c r="A498" s="5" t="s">
        <v>17</v>
      </c>
      <c r="B498" s="5" t="s">
        <v>1588</v>
      </c>
      <c r="C498" s="6" t="s">
        <v>192</v>
      </c>
      <c r="D498" s="6" t="s">
        <v>327</v>
      </c>
      <c r="E498" s="6"/>
      <c r="F498" s="6" t="s">
        <v>208</v>
      </c>
      <c r="G498" s="6">
        <v>105</v>
      </c>
      <c r="H498" s="6">
        <v>70</v>
      </c>
      <c r="I498" s="9">
        <v>98</v>
      </c>
      <c r="J498" s="9"/>
      <c r="K498" s="7">
        <v>44004715</v>
      </c>
      <c r="L498" s="5" t="str">
        <f t="shared" si="45"/>
        <v>HL LOTUS PLUS 105CM KOLLU MODÜL</v>
      </c>
      <c r="M498" s="8">
        <v>0.4</v>
      </c>
      <c r="N498" s="8">
        <v>0.4</v>
      </c>
      <c r="O498" s="8">
        <v>16778</v>
      </c>
      <c r="P498" s="8">
        <f t="shared" si="46"/>
        <v>10066.799999999999</v>
      </c>
      <c r="Q498" s="12">
        <f t="shared" si="48"/>
        <v>21140.28</v>
      </c>
      <c r="R498" s="31">
        <f t="shared" si="47"/>
        <v>21100</v>
      </c>
      <c r="W498" s="8">
        <f t="shared" si="49"/>
        <v>25167</v>
      </c>
      <c r="X498" s="8">
        <f t="shared" si="50"/>
        <v>25100</v>
      </c>
    </row>
    <row r="499" spans="1:24" ht="21.95" customHeight="1" x14ac:dyDescent="0.2">
      <c r="A499" s="5" t="s">
        <v>17</v>
      </c>
      <c r="B499" s="5" t="s">
        <v>1588</v>
      </c>
      <c r="C499" s="6" t="s">
        <v>192</v>
      </c>
      <c r="D499" s="6" t="s">
        <v>328</v>
      </c>
      <c r="E499" s="6"/>
      <c r="F499" s="6" t="s">
        <v>210</v>
      </c>
      <c r="G499" s="6">
        <v>120</v>
      </c>
      <c r="H499" s="6">
        <v>70</v>
      </c>
      <c r="I499" s="9">
        <v>98</v>
      </c>
      <c r="J499" s="9"/>
      <c r="K499" s="7">
        <v>44004716</v>
      </c>
      <c r="L499" s="5" t="str">
        <f t="shared" si="45"/>
        <v>HL LOTUS PLUS 120CM KOLLU MODÜL</v>
      </c>
      <c r="M499" s="8">
        <v>0.4</v>
      </c>
      <c r="N499" s="8">
        <v>0.4</v>
      </c>
      <c r="O499" s="8">
        <v>19471</v>
      </c>
      <c r="P499" s="8">
        <f t="shared" si="46"/>
        <v>11682.6</v>
      </c>
      <c r="Q499" s="12">
        <f t="shared" si="48"/>
        <v>24533.460000000003</v>
      </c>
      <c r="R499" s="31">
        <f t="shared" si="47"/>
        <v>24500</v>
      </c>
      <c r="W499" s="8">
        <f t="shared" si="49"/>
        <v>29206.5</v>
      </c>
      <c r="X499" s="8">
        <f t="shared" si="50"/>
        <v>29200</v>
      </c>
    </row>
    <row r="500" spans="1:24" ht="21.95" customHeight="1" x14ac:dyDescent="0.2">
      <c r="A500" s="5" t="s">
        <v>17</v>
      </c>
      <c r="B500" s="5" t="s">
        <v>1588</v>
      </c>
      <c r="C500" s="6" t="s">
        <v>192</v>
      </c>
      <c r="D500" s="6" t="s">
        <v>329</v>
      </c>
      <c r="E500" s="6"/>
      <c r="F500" s="6" t="s">
        <v>330</v>
      </c>
      <c r="G500" s="6">
        <v>182</v>
      </c>
      <c r="H500" s="6">
        <v>70</v>
      </c>
      <c r="I500" s="9">
        <v>98</v>
      </c>
      <c r="J500" s="9"/>
      <c r="K500" s="7">
        <v>44004717</v>
      </c>
      <c r="L500" s="5" t="str">
        <f t="shared" si="45"/>
        <v>HL LOTUS PLUS 182CM KOLLU MODÜL</v>
      </c>
      <c r="M500" s="8">
        <v>0.4</v>
      </c>
      <c r="N500" s="8">
        <v>0.4</v>
      </c>
      <c r="O500" s="8">
        <v>32085</v>
      </c>
      <c r="P500" s="8">
        <f t="shared" si="46"/>
        <v>19251</v>
      </c>
      <c r="Q500" s="12">
        <f t="shared" si="48"/>
        <v>40427.1</v>
      </c>
      <c r="R500" s="31">
        <f t="shared" si="47"/>
        <v>40400</v>
      </c>
      <c r="W500" s="8">
        <f t="shared" si="49"/>
        <v>48127.5</v>
      </c>
      <c r="X500" s="8">
        <f t="shared" si="50"/>
        <v>48100</v>
      </c>
    </row>
    <row r="501" spans="1:24" ht="21.95" customHeight="1" x14ac:dyDescent="0.2">
      <c r="A501" s="5" t="s">
        <v>17</v>
      </c>
      <c r="B501" s="5" t="s">
        <v>1588</v>
      </c>
      <c r="C501" s="6" t="s">
        <v>192</v>
      </c>
      <c r="D501" s="6" t="s">
        <v>213</v>
      </c>
      <c r="E501" s="6"/>
      <c r="F501" s="5" t="s">
        <v>214</v>
      </c>
      <c r="G501" s="6">
        <v>90</v>
      </c>
      <c r="H501" s="6">
        <v>70</v>
      </c>
      <c r="I501" s="9">
        <v>98</v>
      </c>
      <c r="J501" s="9"/>
      <c r="K501" s="7">
        <v>44004718</v>
      </c>
      <c r="L501" s="5" t="str">
        <f t="shared" si="45"/>
        <v xml:space="preserve">HL LOTUS PLUS 90 SABİT </v>
      </c>
      <c r="M501" s="8">
        <v>0.4</v>
      </c>
      <c r="N501" s="8">
        <v>0.4</v>
      </c>
      <c r="O501" s="8">
        <v>13359</v>
      </c>
      <c r="P501" s="8">
        <f t="shared" si="46"/>
        <v>8015.4</v>
      </c>
      <c r="Q501" s="12">
        <f t="shared" si="48"/>
        <v>16832.34</v>
      </c>
      <c r="R501" s="31">
        <f t="shared" si="47"/>
        <v>16800</v>
      </c>
      <c r="W501" s="8">
        <f t="shared" si="49"/>
        <v>20038.5</v>
      </c>
      <c r="X501" s="8">
        <f t="shared" si="50"/>
        <v>20000</v>
      </c>
    </row>
    <row r="502" spans="1:24" ht="21.95" customHeight="1" x14ac:dyDescent="0.2">
      <c r="A502" s="5" t="s">
        <v>17</v>
      </c>
      <c r="B502" s="5" t="s">
        <v>1588</v>
      </c>
      <c r="C502" s="6" t="s">
        <v>192</v>
      </c>
      <c r="D502" s="6" t="s">
        <v>331</v>
      </c>
      <c r="E502" s="6"/>
      <c r="G502" s="6">
        <v>96</v>
      </c>
      <c r="H502" s="6">
        <v>70</v>
      </c>
      <c r="I502" s="9">
        <v>98</v>
      </c>
      <c r="J502" s="9"/>
      <c r="K502" s="7">
        <v>44004719</v>
      </c>
      <c r="L502" s="5" t="str">
        <f t="shared" si="45"/>
        <v>HL LOTUS PLUS KARE KÖŞE</v>
      </c>
      <c r="M502" s="8">
        <v>0.4</v>
      </c>
      <c r="N502" s="8">
        <v>0.4</v>
      </c>
      <c r="O502" s="8">
        <v>16810</v>
      </c>
      <c r="P502" s="8">
        <f t="shared" si="46"/>
        <v>10086</v>
      </c>
      <c r="Q502" s="12">
        <f t="shared" si="48"/>
        <v>21180.600000000002</v>
      </c>
      <c r="R502" s="31">
        <f t="shared" si="47"/>
        <v>21100</v>
      </c>
      <c r="W502" s="8">
        <f t="shared" si="49"/>
        <v>25215</v>
      </c>
      <c r="X502" s="8">
        <f t="shared" si="50"/>
        <v>25200</v>
      </c>
    </row>
    <row r="503" spans="1:24" s="35" customFormat="1" ht="21.95" customHeight="1" x14ac:dyDescent="0.2">
      <c r="A503" s="6" t="s">
        <v>17</v>
      </c>
      <c r="B503" s="35" t="s">
        <v>1588</v>
      </c>
      <c r="C503" s="35" t="s">
        <v>176</v>
      </c>
      <c r="D503" s="35" t="s">
        <v>332</v>
      </c>
      <c r="E503" s="6"/>
      <c r="F503" s="6"/>
      <c r="G503" s="35">
        <v>125</v>
      </c>
      <c r="H503" s="35">
        <v>72</v>
      </c>
      <c r="I503" s="36">
        <v>93</v>
      </c>
      <c r="J503" s="36"/>
      <c r="K503" s="36">
        <v>44004720</v>
      </c>
      <c r="L503" s="35" t="str">
        <f t="shared" si="45"/>
        <v>HL SLOPE KOLLU MODÜL *2</v>
      </c>
      <c r="M503" s="12">
        <v>0.4</v>
      </c>
      <c r="N503" s="12">
        <v>0.4</v>
      </c>
      <c r="O503" s="37">
        <v>19713</v>
      </c>
      <c r="P503" s="12">
        <f t="shared" si="46"/>
        <v>11827.8</v>
      </c>
      <c r="Q503" s="12">
        <f t="shared" si="48"/>
        <v>24838.38</v>
      </c>
      <c r="R503" s="33">
        <f t="shared" si="47"/>
        <v>24800</v>
      </c>
      <c r="S503" s="6"/>
      <c r="T503" s="12"/>
      <c r="U503" s="12"/>
      <c r="V503" s="37"/>
      <c r="W503" s="37">
        <f t="shared" si="49"/>
        <v>29569.5</v>
      </c>
      <c r="X503" s="37">
        <f t="shared" si="50"/>
        <v>29500</v>
      </c>
    </row>
    <row r="504" spans="1:24" s="35" customFormat="1" ht="21.95" customHeight="1" x14ac:dyDescent="0.2">
      <c r="A504" s="6" t="s">
        <v>17</v>
      </c>
      <c r="B504" s="35" t="s">
        <v>1588</v>
      </c>
      <c r="C504" s="35" t="s">
        <v>176</v>
      </c>
      <c r="D504" s="35" t="s">
        <v>157</v>
      </c>
      <c r="E504" s="6"/>
      <c r="F504" s="6"/>
      <c r="G504" s="35">
        <v>80</v>
      </c>
      <c r="H504" s="35">
        <v>72</v>
      </c>
      <c r="I504" s="36">
        <v>93</v>
      </c>
      <c r="J504" s="36"/>
      <c r="K504" s="36">
        <v>44004721</v>
      </c>
      <c r="L504" s="35" t="str">
        <f t="shared" si="45"/>
        <v>HL SLOPE ARA MODÜL</v>
      </c>
      <c r="M504" s="12">
        <v>0.4</v>
      </c>
      <c r="N504" s="12">
        <v>0.4</v>
      </c>
      <c r="O504" s="37">
        <v>12756</v>
      </c>
      <c r="P504" s="12">
        <f t="shared" si="46"/>
        <v>7653.5999999999995</v>
      </c>
      <c r="Q504" s="12">
        <f t="shared" si="48"/>
        <v>16072.56</v>
      </c>
      <c r="R504" s="33">
        <f t="shared" si="47"/>
        <v>16000</v>
      </c>
      <c r="S504" s="6"/>
      <c r="T504" s="12"/>
      <c r="U504" s="12"/>
      <c r="V504" s="37"/>
      <c r="W504" s="37">
        <f t="shared" si="49"/>
        <v>19134</v>
      </c>
      <c r="X504" s="37">
        <f t="shared" si="50"/>
        <v>19100</v>
      </c>
    </row>
    <row r="505" spans="1:24" s="35" customFormat="1" ht="21.95" customHeight="1" x14ac:dyDescent="0.2">
      <c r="A505" s="6" t="s">
        <v>17</v>
      </c>
      <c r="B505" s="35" t="s">
        <v>1588</v>
      </c>
      <c r="C505" s="35" t="s">
        <v>176</v>
      </c>
      <c r="D505" s="35" t="s">
        <v>333</v>
      </c>
      <c r="E505" s="6"/>
      <c r="F505" s="6"/>
      <c r="G505" s="35">
        <v>136</v>
      </c>
      <c r="H505" s="35">
        <v>72</v>
      </c>
      <c r="I505" s="36">
        <v>93</v>
      </c>
      <c r="J505" s="36"/>
      <c r="K505" s="36">
        <v>44004722</v>
      </c>
      <c r="L505" s="35" t="str">
        <f t="shared" si="45"/>
        <v>HL SLOPE AÇILI MODÜL *2</v>
      </c>
      <c r="M505" s="12">
        <v>0.4</v>
      </c>
      <c r="N505" s="12">
        <v>0.4</v>
      </c>
      <c r="O505" s="37">
        <v>20641</v>
      </c>
      <c r="P505" s="12">
        <f t="shared" si="46"/>
        <v>12384.6</v>
      </c>
      <c r="Q505" s="12">
        <f t="shared" si="48"/>
        <v>26007.660000000003</v>
      </c>
      <c r="R505" s="33">
        <f t="shared" si="47"/>
        <v>26000</v>
      </c>
      <c r="S505" s="6"/>
      <c r="T505" s="12"/>
      <c r="U505" s="12"/>
      <c r="V505" s="37"/>
      <c r="W505" s="37">
        <f t="shared" si="49"/>
        <v>30961.5</v>
      </c>
      <c r="X505" s="37">
        <f t="shared" si="50"/>
        <v>30900</v>
      </c>
    </row>
    <row r="506" spans="1:24" s="35" customFormat="1" ht="21.95" customHeight="1" x14ac:dyDescent="0.2">
      <c r="A506" s="6" t="s">
        <v>17</v>
      </c>
      <c r="B506" s="35" t="s">
        <v>1588</v>
      </c>
      <c r="C506" s="35" t="s">
        <v>176</v>
      </c>
      <c r="D506" s="35" t="s">
        <v>334</v>
      </c>
      <c r="E506" s="6"/>
      <c r="F506" s="6"/>
      <c r="I506" s="36"/>
      <c r="J506" s="36"/>
      <c r="K506" s="36">
        <v>44004723</v>
      </c>
      <c r="L506" s="35" t="str">
        <f t="shared" si="45"/>
        <v xml:space="preserve">HL SLOPE PUF BÜYÜK BOY ORTA </v>
      </c>
      <c r="M506" s="12">
        <v>0.4</v>
      </c>
      <c r="N506" s="12">
        <v>0.4</v>
      </c>
      <c r="O506" s="37">
        <v>4638</v>
      </c>
      <c r="P506" s="12">
        <f t="shared" si="46"/>
        <v>2782.7999999999997</v>
      </c>
      <c r="Q506" s="12">
        <f t="shared" si="48"/>
        <v>5843.88</v>
      </c>
      <c r="R506" s="33">
        <f t="shared" si="47"/>
        <v>5800</v>
      </c>
      <c r="S506" s="6"/>
      <c r="T506" s="12"/>
      <c r="U506" s="12"/>
      <c r="V506" s="37"/>
      <c r="W506" s="37">
        <f t="shared" si="49"/>
        <v>6956.9999999999991</v>
      </c>
      <c r="X506" s="37">
        <f t="shared" si="50"/>
        <v>6900</v>
      </c>
    </row>
    <row r="507" spans="1:24" s="35" customFormat="1" ht="21.95" customHeight="1" x14ac:dyDescent="0.2">
      <c r="A507" s="6" t="s">
        <v>17</v>
      </c>
      <c r="B507" s="35" t="s">
        <v>1588</v>
      </c>
      <c r="C507" s="35" t="s">
        <v>176</v>
      </c>
      <c r="D507" s="35" t="s">
        <v>335</v>
      </c>
      <c r="E507" s="6"/>
      <c r="F507" s="6"/>
      <c r="I507" s="36"/>
      <c r="J507" s="36"/>
      <c r="K507" s="36">
        <v>44004724</v>
      </c>
      <c r="L507" s="35" t="str">
        <f t="shared" si="45"/>
        <v>HL SLOPE PUF KÜÇÜK BOY ORTA</v>
      </c>
      <c r="M507" s="12">
        <v>0.4</v>
      </c>
      <c r="N507" s="12">
        <v>0.4</v>
      </c>
      <c r="O507" s="37">
        <v>4175</v>
      </c>
      <c r="P507" s="12">
        <f t="shared" si="46"/>
        <v>2505</v>
      </c>
      <c r="Q507" s="12">
        <f t="shared" si="48"/>
        <v>5260.5</v>
      </c>
      <c r="R507" s="33">
        <f t="shared" si="47"/>
        <v>5200</v>
      </c>
      <c r="S507" s="6"/>
      <c r="T507" s="12"/>
      <c r="U507" s="12"/>
      <c r="V507" s="37"/>
      <c r="W507" s="37">
        <f t="shared" si="49"/>
        <v>6262.5</v>
      </c>
      <c r="X507" s="37">
        <f t="shared" si="50"/>
        <v>6200</v>
      </c>
    </row>
    <row r="508" spans="1:24" s="35" customFormat="1" ht="21.95" customHeight="1" x14ac:dyDescent="0.2">
      <c r="A508" s="6" t="s">
        <v>17</v>
      </c>
      <c r="B508" s="35" t="s">
        <v>1588</v>
      </c>
      <c r="C508" s="35" t="s">
        <v>336</v>
      </c>
      <c r="D508" s="35" t="s">
        <v>337</v>
      </c>
      <c r="E508" s="6"/>
      <c r="F508" s="6"/>
      <c r="G508" s="35">
        <v>125</v>
      </c>
      <c r="H508" s="35">
        <v>72</v>
      </c>
      <c r="I508" s="36">
        <v>93</v>
      </c>
      <c r="J508" s="36"/>
      <c r="K508" s="36">
        <v>44004725</v>
      </c>
      <c r="L508" s="35" t="str">
        <f t="shared" si="45"/>
        <v>HL SLOPE RELAX KOLLU MODÜL</v>
      </c>
      <c r="M508" s="12">
        <v>0.4</v>
      </c>
      <c r="N508" s="12">
        <v>0.4</v>
      </c>
      <c r="O508" s="37">
        <v>19713</v>
      </c>
      <c r="P508" s="12">
        <f t="shared" si="46"/>
        <v>11827.8</v>
      </c>
      <c r="Q508" s="12">
        <f t="shared" si="48"/>
        <v>24838.38</v>
      </c>
      <c r="R508" s="33">
        <f t="shared" si="47"/>
        <v>24800</v>
      </c>
      <c r="S508" s="6"/>
      <c r="T508" s="12"/>
      <c r="U508" s="12"/>
      <c r="V508" s="37"/>
      <c r="W508" s="37">
        <f t="shared" si="49"/>
        <v>29569.5</v>
      </c>
      <c r="X508" s="37">
        <f t="shared" si="50"/>
        <v>29500</v>
      </c>
    </row>
    <row r="509" spans="1:24" s="35" customFormat="1" ht="21.95" customHeight="1" x14ac:dyDescent="0.2">
      <c r="A509" s="6" t="s">
        <v>17</v>
      </c>
      <c r="B509" s="35" t="s">
        <v>1588</v>
      </c>
      <c r="C509" s="35" t="s">
        <v>336</v>
      </c>
      <c r="D509" s="35" t="s">
        <v>333</v>
      </c>
      <c r="E509" s="6"/>
      <c r="F509" s="6"/>
      <c r="G509" s="35">
        <v>136</v>
      </c>
      <c r="H509" s="35">
        <v>72</v>
      </c>
      <c r="I509" s="36">
        <v>93</v>
      </c>
      <c r="J509" s="36"/>
      <c r="K509" s="36">
        <v>44004726</v>
      </c>
      <c r="L509" s="35" t="str">
        <f t="shared" si="45"/>
        <v>HL SLOPE RELAX AÇILI MODÜL *2</v>
      </c>
      <c r="M509" s="12">
        <v>0.4</v>
      </c>
      <c r="N509" s="12">
        <v>0.4</v>
      </c>
      <c r="O509" s="37">
        <v>20641</v>
      </c>
      <c r="P509" s="12">
        <f t="shared" si="46"/>
        <v>12384.6</v>
      </c>
      <c r="Q509" s="12">
        <f t="shared" si="48"/>
        <v>26007.660000000003</v>
      </c>
      <c r="R509" s="33">
        <f t="shared" si="47"/>
        <v>26000</v>
      </c>
      <c r="S509" s="6"/>
      <c r="T509" s="12"/>
      <c r="U509" s="12"/>
      <c r="V509" s="37"/>
      <c r="W509" s="37">
        <f t="shared" si="49"/>
        <v>30961.5</v>
      </c>
      <c r="X509" s="37">
        <f t="shared" si="50"/>
        <v>30900</v>
      </c>
    </row>
    <row r="510" spans="1:24" s="35" customFormat="1" ht="21.95" customHeight="1" x14ac:dyDescent="0.2">
      <c r="A510" s="6" t="s">
        <v>17</v>
      </c>
      <c r="B510" s="35" t="s">
        <v>1588</v>
      </c>
      <c r="C510" s="35" t="s">
        <v>336</v>
      </c>
      <c r="D510" s="35" t="s">
        <v>157</v>
      </c>
      <c r="E510" s="6"/>
      <c r="F510" s="6"/>
      <c r="G510" s="35">
        <v>80</v>
      </c>
      <c r="H510" s="35">
        <v>72</v>
      </c>
      <c r="I510" s="36">
        <v>93</v>
      </c>
      <c r="J510" s="36"/>
      <c r="K510" s="36">
        <v>44004727</v>
      </c>
      <c r="L510" s="35" t="str">
        <f t="shared" si="45"/>
        <v>HL SLOPE RELAX ARA MODÜL</v>
      </c>
      <c r="M510" s="12">
        <v>0.4</v>
      </c>
      <c r="N510" s="12">
        <v>0.4</v>
      </c>
      <c r="O510" s="37">
        <v>12756</v>
      </c>
      <c r="P510" s="12">
        <f t="shared" si="46"/>
        <v>7653.5999999999995</v>
      </c>
      <c r="Q510" s="12">
        <f t="shared" si="48"/>
        <v>16072.56</v>
      </c>
      <c r="R510" s="33">
        <f t="shared" si="47"/>
        <v>16000</v>
      </c>
      <c r="S510" s="6"/>
      <c r="T510" s="12"/>
      <c r="U510" s="12"/>
      <c r="V510" s="37"/>
      <c r="W510" s="37">
        <f t="shared" si="49"/>
        <v>19134</v>
      </c>
      <c r="X510" s="37">
        <f t="shared" si="50"/>
        <v>19100</v>
      </c>
    </row>
    <row r="511" spans="1:24" s="35" customFormat="1" ht="21.95" customHeight="1" x14ac:dyDescent="0.2">
      <c r="A511" s="6" t="s">
        <v>17</v>
      </c>
      <c r="B511" s="35" t="s">
        <v>1588</v>
      </c>
      <c r="C511" s="35" t="s">
        <v>338</v>
      </c>
      <c r="D511" s="35" t="s">
        <v>332</v>
      </c>
      <c r="E511" s="6"/>
      <c r="F511" s="6"/>
      <c r="G511" s="35">
        <v>125</v>
      </c>
      <c r="H511" s="35">
        <v>72</v>
      </c>
      <c r="I511" s="36">
        <v>93</v>
      </c>
      <c r="J511" s="36"/>
      <c r="K511" s="36">
        <v>44004728</v>
      </c>
      <c r="L511" s="35" t="str">
        <f t="shared" si="45"/>
        <v>HL SLOPE AMORF KOLLU MODÜL *2</v>
      </c>
      <c r="M511" s="12">
        <v>0.4</v>
      </c>
      <c r="N511" s="12">
        <v>0.4</v>
      </c>
      <c r="O511" s="37">
        <v>19713</v>
      </c>
      <c r="P511" s="12">
        <f t="shared" si="46"/>
        <v>11827.8</v>
      </c>
      <c r="Q511" s="12">
        <f t="shared" si="48"/>
        <v>24838.38</v>
      </c>
      <c r="R511" s="33">
        <f t="shared" si="47"/>
        <v>24800</v>
      </c>
      <c r="S511" s="6"/>
      <c r="T511" s="12"/>
      <c r="U511" s="12"/>
      <c r="V511" s="37"/>
      <c r="W511" s="37">
        <f t="shared" si="49"/>
        <v>29569.5</v>
      </c>
      <c r="X511" s="37">
        <f t="shared" si="50"/>
        <v>29500</v>
      </c>
    </row>
    <row r="512" spans="1:24" s="35" customFormat="1" ht="21.95" customHeight="1" x14ac:dyDescent="0.2">
      <c r="A512" s="6" t="s">
        <v>17</v>
      </c>
      <c r="B512" s="35" t="s">
        <v>1588</v>
      </c>
      <c r="C512" s="35" t="s">
        <v>338</v>
      </c>
      <c r="D512" s="35" t="s">
        <v>339</v>
      </c>
      <c r="E512" s="6"/>
      <c r="F512" s="6"/>
      <c r="G512" s="35">
        <v>136</v>
      </c>
      <c r="H512" s="35">
        <v>72</v>
      </c>
      <c r="I512" s="36">
        <v>93</v>
      </c>
      <c r="J512" s="36"/>
      <c r="K512" s="36">
        <v>44004729</v>
      </c>
      <c r="L512" s="35" t="str">
        <f t="shared" si="45"/>
        <v>HL SLOPE AMORF AÇILI MODÜL</v>
      </c>
      <c r="M512" s="12">
        <v>0.4</v>
      </c>
      <c r="N512" s="12">
        <v>0.4</v>
      </c>
      <c r="O512" s="37">
        <v>20641</v>
      </c>
      <c r="P512" s="12">
        <f t="shared" si="46"/>
        <v>12384.6</v>
      </c>
      <c r="Q512" s="12">
        <f t="shared" si="48"/>
        <v>26007.660000000003</v>
      </c>
      <c r="R512" s="33">
        <f t="shared" si="47"/>
        <v>26000</v>
      </c>
      <c r="S512" s="6"/>
      <c r="T512" s="12"/>
      <c r="U512" s="12"/>
      <c r="V512" s="37"/>
      <c r="W512" s="37">
        <f t="shared" si="49"/>
        <v>30961.5</v>
      </c>
      <c r="X512" s="37">
        <f t="shared" si="50"/>
        <v>30900</v>
      </c>
    </row>
    <row r="513" spans="1:24" s="35" customFormat="1" ht="21.95" customHeight="1" x14ac:dyDescent="0.2">
      <c r="A513" s="6" t="s">
        <v>17</v>
      </c>
      <c r="B513" s="35" t="s">
        <v>1588</v>
      </c>
      <c r="C513" s="35" t="s">
        <v>338</v>
      </c>
      <c r="D513" s="35" t="s">
        <v>157</v>
      </c>
      <c r="E513" s="6"/>
      <c r="F513" s="6"/>
      <c r="G513" s="35">
        <v>80</v>
      </c>
      <c r="H513" s="35">
        <v>72</v>
      </c>
      <c r="I513" s="36">
        <v>93</v>
      </c>
      <c r="J513" s="36"/>
      <c r="K513" s="36">
        <v>44004730</v>
      </c>
      <c r="L513" s="35" t="str">
        <f t="shared" si="45"/>
        <v>HL SLOPE AMORF ARA MODÜL</v>
      </c>
      <c r="M513" s="12">
        <v>0.4</v>
      </c>
      <c r="N513" s="12">
        <v>0.4</v>
      </c>
      <c r="O513" s="37">
        <v>12756</v>
      </c>
      <c r="P513" s="12">
        <f t="shared" si="46"/>
        <v>7653.5999999999995</v>
      </c>
      <c r="Q513" s="12">
        <f t="shared" si="48"/>
        <v>16072.56</v>
      </c>
      <c r="R513" s="33">
        <f t="shared" si="47"/>
        <v>16000</v>
      </c>
      <c r="S513" s="6"/>
      <c r="T513" s="12"/>
      <c r="U513" s="12"/>
      <c r="V513" s="37"/>
      <c r="W513" s="37">
        <f t="shared" si="49"/>
        <v>19134</v>
      </c>
      <c r="X513" s="37">
        <f t="shared" si="50"/>
        <v>19100</v>
      </c>
    </row>
    <row r="514" spans="1:24" ht="21.95" customHeight="1" x14ac:dyDescent="0.2">
      <c r="A514" s="5" t="s">
        <v>17</v>
      </c>
      <c r="B514" s="5" t="s">
        <v>1588</v>
      </c>
      <c r="C514" s="6" t="s">
        <v>340</v>
      </c>
      <c r="D514" s="6" t="s">
        <v>341</v>
      </c>
      <c r="E514" s="6"/>
      <c r="G514" s="6">
        <v>150</v>
      </c>
      <c r="H514" s="6">
        <v>72</v>
      </c>
      <c r="I514" s="9">
        <v>93</v>
      </c>
      <c r="J514" s="9"/>
      <c r="K514" s="7">
        <v>44004731</v>
      </c>
      <c r="L514" s="5" t="str">
        <f t="shared" si="45"/>
        <v>HL HARLEY V1 KOLLU MODÜL 148</v>
      </c>
      <c r="M514" s="8">
        <v>0.4</v>
      </c>
      <c r="N514" s="8">
        <v>0.4</v>
      </c>
      <c r="O514" s="8">
        <v>20885</v>
      </c>
      <c r="P514" s="8">
        <f t="shared" si="46"/>
        <v>12531</v>
      </c>
      <c r="Q514" s="12">
        <f t="shared" si="48"/>
        <v>26315.100000000002</v>
      </c>
      <c r="R514" s="31">
        <f t="shared" si="47"/>
        <v>26300</v>
      </c>
      <c r="W514" s="8">
        <f t="shared" si="49"/>
        <v>31327.5</v>
      </c>
      <c r="X514" s="8">
        <f t="shared" si="50"/>
        <v>31300</v>
      </c>
    </row>
    <row r="515" spans="1:24" ht="21.95" customHeight="1" x14ac:dyDescent="0.2">
      <c r="A515" s="5" t="s">
        <v>17</v>
      </c>
      <c r="B515" s="5" t="s">
        <v>1588</v>
      </c>
      <c r="C515" s="6" t="s">
        <v>340</v>
      </c>
      <c r="D515" s="6" t="s">
        <v>342</v>
      </c>
      <c r="E515" s="6"/>
      <c r="G515" s="6">
        <v>58</v>
      </c>
      <c r="H515" s="6"/>
      <c r="I515" s="9">
        <v>93</v>
      </c>
      <c r="J515" s="9"/>
      <c r="K515" s="7">
        <v>44004732</v>
      </c>
      <c r="L515" s="5" t="str">
        <f t="shared" si="45"/>
        <v>HL HARLEY V1 KARE PUF</v>
      </c>
      <c r="M515" s="8">
        <v>0.4</v>
      </c>
      <c r="N515" s="8">
        <v>0.4</v>
      </c>
      <c r="O515" s="8">
        <v>9842</v>
      </c>
      <c r="P515" s="8">
        <f t="shared" si="46"/>
        <v>5905.2</v>
      </c>
      <c r="Q515" s="12">
        <f t="shared" si="48"/>
        <v>12400.92</v>
      </c>
      <c r="R515" s="31">
        <f t="shared" si="47"/>
        <v>12400</v>
      </c>
      <c r="W515" s="8">
        <f t="shared" si="49"/>
        <v>14763</v>
      </c>
      <c r="X515" s="8">
        <f t="shared" si="50"/>
        <v>14700</v>
      </c>
    </row>
    <row r="516" spans="1:24" ht="21.95" customHeight="1" x14ac:dyDescent="0.2">
      <c r="A516" s="5" t="s">
        <v>17</v>
      </c>
      <c r="B516" s="5" t="s">
        <v>1588</v>
      </c>
      <c r="C516" s="6" t="s">
        <v>340</v>
      </c>
      <c r="D516" s="6" t="s">
        <v>343</v>
      </c>
      <c r="E516" s="6"/>
      <c r="G516" s="6">
        <v>114</v>
      </c>
      <c r="H516" s="6">
        <v>72</v>
      </c>
      <c r="I516" s="9">
        <v>93</v>
      </c>
      <c r="J516" s="9"/>
      <c r="K516" s="7">
        <v>44004733</v>
      </c>
      <c r="L516" s="5" t="str">
        <f t="shared" si="45"/>
        <v>HL HARLEY V1 ARA MODÜL 112</v>
      </c>
      <c r="M516" s="8">
        <v>0.4</v>
      </c>
      <c r="N516" s="8">
        <v>0.4</v>
      </c>
      <c r="O516" s="8">
        <v>17027</v>
      </c>
      <c r="P516" s="8">
        <f t="shared" si="46"/>
        <v>10216.199999999999</v>
      </c>
      <c r="Q516" s="12">
        <f t="shared" si="48"/>
        <v>21454.019999999997</v>
      </c>
      <c r="R516" s="31">
        <f t="shared" si="47"/>
        <v>21400</v>
      </c>
      <c r="W516" s="8">
        <f t="shared" si="49"/>
        <v>25540.499999999996</v>
      </c>
      <c r="X516" s="8">
        <f t="shared" si="50"/>
        <v>25500</v>
      </c>
    </row>
    <row r="517" spans="1:24" ht="21.95" customHeight="1" x14ac:dyDescent="0.2">
      <c r="A517" s="5" t="s">
        <v>17</v>
      </c>
      <c r="B517" s="5" t="s">
        <v>1588</v>
      </c>
      <c r="C517" s="6" t="s">
        <v>340</v>
      </c>
      <c r="D517" s="6" t="s">
        <v>59</v>
      </c>
      <c r="E517" s="6"/>
      <c r="G517" s="6">
        <v>122</v>
      </c>
      <c r="H517" s="6">
        <v>72</v>
      </c>
      <c r="I517" s="9">
        <v>93</v>
      </c>
      <c r="J517" s="9"/>
      <c r="K517" s="7">
        <v>44004734</v>
      </c>
      <c r="L517" s="6" t="str">
        <f t="shared" si="45"/>
        <v>HL HARLEY V1 KÖŞE MODÜL</v>
      </c>
      <c r="M517" s="8">
        <v>0.4</v>
      </c>
      <c r="N517" s="8">
        <v>0.4</v>
      </c>
      <c r="O517" s="8">
        <v>19469</v>
      </c>
      <c r="P517" s="8">
        <f t="shared" si="46"/>
        <v>11681.4</v>
      </c>
      <c r="Q517" s="12">
        <f t="shared" si="48"/>
        <v>24530.94</v>
      </c>
      <c r="R517" s="31">
        <f t="shared" si="47"/>
        <v>24500</v>
      </c>
      <c r="W517" s="8">
        <f t="shared" si="49"/>
        <v>29203.5</v>
      </c>
      <c r="X517" s="8">
        <f t="shared" si="50"/>
        <v>29200</v>
      </c>
    </row>
    <row r="518" spans="1:24" ht="21.95" customHeight="1" x14ac:dyDescent="0.2">
      <c r="A518" s="5" t="s">
        <v>17</v>
      </c>
      <c r="B518" s="5" t="s">
        <v>1588</v>
      </c>
      <c r="C518" s="6" t="s">
        <v>340</v>
      </c>
      <c r="D518" s="6" t="s">
        <v>344</v>
      </c>
      <c r="E518" s="6"/>
      <c r="G518" s="5">
        <v>150</v>
      </c>
      <c r="H518" s="6">
        <v>72</v>
      </c>
      <c r="I518" s="9">
        <v>122</v>
      </c>
      <c r="J518" s="9"/>
      <c r="K518" s="7">
        <v>44004735</v>
      </c>
      <c r="L518" s="5" t="str">
        <f t="shared" si="45"/>
        <v>HL HARLEY V1 BÜYÜK RELAX</v>
      </c>
      <c r="M518" s="8">
        <v>0.4</v>
      </c>
      <c r="N518" s="8">
        <v>0.4</v>
      </c>
      <c r="O518" s="8">
        <v>24035</v>
      </c>
      <c r="P518" s="8">
        <f t="shared" si="46"/>
        <v>14421</v>
      </c>
      <c r="Q518" s="12">
        <f t="shared" si="48"/>
        <v>30284.100000000002</v>
      </c>
      <c r="R518" s="31">
        <f t="shared" si="47"/>
        <v>30200</v>
      </c>
      <c r="W518" s="8">
        <f t="shared" si="49"/>
        <v>36052.5</v>
      </c>
      <c r="X518" s="8">
        <f t="shared" si="50"/>
        <v>36000</v>
      </c>
    </row>
    <row r="519" spans="1:24" ht="21.95" customHeight="1" x14ac:dyDescent="0.2">
      <c r="A519" s="5" t="s">
        <v>17</v>
      </c>
      <c r="B519" s="5" t="s">
        <v>1588</v>
      </c>
      <c r="C519" s="6" t="s">
        <v>340</v>
      </c>
      <c r="D519" s="6" t="s">
        <v>175</v>
      </c>
      <c r="E519" s="6"/>
      <c r="H519" s="6"/>
      <c r="K519" s="7">
        <v>44004736</v>
      </c>
      <c r="L519" s="5" t="str">
        <f t="shared" si="45"/>
        <v>HL HARLEY V1 PUF AÇILI</v>
      </c>
      <c r="M519" s="8">
        <v>0.4</v>
      </c>
      <c r="N519" s="8">
        <v>0.4</v>
      </c>
      <c r="O519" s="8">
        <v>9857</v>
      </c>
      <c r="P519" s="8">
        <f t="shared" si="46"/>
        <v>5914.2</v>
      </c>
      <c r="Q519" s="12">
        <f t="shared" si="48"/>
        <v>12419.82</v>
      </c>
      <c r="R519" s="31">
        <f t="shared" si="47"/>
        <v>12400</v>
      </c>
      <c r="W519" s="8">
        <f t="shared" si="49"/>
        <v>14785.5</v>
      </c>
      <c r="X519" s="8">
        <f t="shared" si="50"/>
        <v>14700</v>
      </c>
    </row>
    <row r="520" spans="1:24" ht="21.95" customHeight="1" x14ac:dyDescent="0.2">
      <c r="A520" s="5" t="s">
        <v>17</v>
      </c>
      <c r="B520" s="5" t="s">
        <v>1588</v>
      </c>
      <c r="C520" s="6" t="s">
        <v>345</v>
      </c>
      <c r="D520" s="6" t="s">
        <v>346</v>
      </c>
      <c r="E520" s="6"/>
      <c r="G520" s="6">
        <v>178</v>
      </c>
      <c r="H520" s="6">
        <v>72</v>
      </c>
      <c r="I520" s="9">
        <v>93</v>
      </c>
      <c r="J520" s="9"/>
      <c r="K520" s="7">
        <v>44004737</v>
      </c>
      <c r="L520" s="5" t="str">
        <f t="shared" si="45"/>
        <v>HL HARLEY M. RELAX KOLLU 176</v>
      </c>
      <c r="M520" s="8">
        <v>0.4</v>
      </c>
      <c r="N520" s="8">
        <v>0.4</v>
      </c>
      <c r="O520" s="8">
        <v>31889</v>
      </c>
      <c r="P520" s="8">
        <f t="shared" si="46"/>
        <v>19133.399999999998</v>
      </c>
      <c r="Q520" s="12">
        <f t="shared" si="48"/>
        <v>40180.14</v>
      </c>
      <c r="R520" s="31">
        <f t="shared" si="47"/>
        <v>40100</v>
      </c>
      <c r="W520" s="8">
        <f t="shared" si="49"/>
        <v>47833.499999999993</v>
      </c>
      <c r="X520" s="8">
        <f t="shared" si="50"/>
        <v>47800</v>
      </c>
    </row>
    <row r="521" spans="1:24" ht="21.95" customHeight="1" x14ac:dyDescent="0.2">
      <c r="A521" s="5" t="s">
        <v>17</v>
      </c>
      <c r="B521" s="5" t="s">
        <v>1588</v>
      </c>
      <c r="C521" s="6" t="s">
        <v>345</v>
      </c>
      <c r="D521" s="6" t="s">
        <v>347</v>
      </c>
      <c r="E521" s="6"/>
      <c r="G521" s="6">
        <v>94</v>
      </c>
      <c r="H521" s="6">
        <v>72</v>
      </c>
      <c r="I521" s="7">
        <v>122</v>
      </c>
      <c r="K521" s="7">
        <v>44004738</v>
      </c>
      <c r="L521" s="5" t="str">
        <f t="shared" ref="L521:L613" si="51">B521&amp;" "&amp;C521&amp;" "&amp;D521</f>
        <v>HL HARLEY M. RELAX MİNİ RELAX</v>
      </c>
      <c r="M521" s="8">
        <v>0.4</v>
      </c>
      <c r="N521" s="8">
        <v>0.4</v>
      </c>
      <c r="O521" s="8">
        <v>19133</v>
      </c>
      <c r="P521" s="8">
        <f t="shared" ref="P521:P596" si="52">O521*(1-N521)</f>
        <v>11479.8</v>
      </c>
      <c r="Q521" s="12">
        <f t="shared" si="48"/>
        <v>24107.579999999998</v>
      </c>
      <c r="R521" s="31">
        <f t="shared" ref="R521:R596" si="53">ROUNDDOWN(Q521,-2)</f>
        <v>24100</v>
      </c>
      <c r="W521" s="8">
        <f t="shared" si="49"/>
        <v>28699.5</v>
      </c>
      <c r="X521" s="8">
        <f t="shared" si="50"/>
        <v>28600</v>
      </c>
    </row>
    <row r="522" spans="1:24" ht="21.95" customHeight="1" x14ac:dyDescent="0.2">
      <c r="A522" s="5" t="s">
        <v>17</v>
      </c>
      <c r="B522" s="5" t="s">
        <v>1588</v>
      </c>
      <c r="C522" s="6" t="s">
        <v>345</v>
      </c>
      <c r="D522" s="6" t="s">
        <v>175</v>
      </c>
      <c r="E522" s="6"/>
      <c r="H522" s="6"/>
      <c r="K522" s="7">
        <v>44004739</v>
      </c>
      <c r="L522" s="5" t="str">
        <f t="shared" si="51"/>
        <v>HL HARLEY M. RELAX PUF AÇILI</v>
      </c>
      <c r="M522" s="8">
        <v>0.4</v>
      </c>
      <c r="N522" s="8">
        <v>0.4</v>
      </c>
      <c r="O522" s="8">
        <v>9857</v>
      </c>
      <c r="P522" s="8">
        <f t="shared" si="52"/>
        <v>5914.2</v>
      </c>
      <c r="Q522" s="12">
        <f t="shared" si="48"/>
        <v>12419.82</v>
      </c>
      <c r="R522" s="31">
        <f t="shared" si="53"/>
        <v>12400</v>
      </c>
      <c r="W522" s="8">
        <f t="shared" si="49"/>
        <v>14785.5</v>
      </c>
      <c r="X522" s="8">
        <f t="shared" si="50"/>
        <v>14700</v>
      </c>
    </row>
    <row r="523" spans="1:24" ht="21.95" customHeight="1" x14ac:dyDescent="0.2">
      <c r="A523" s="5" t="s">
        <v>17</v>
      </c>
      <c r="B523" s="5" t="s">
        <v>1588</v>
      </c>
      <c r="C523" s="6" t="s">
        <v>345</v>
      </c>
      <c r="D523" s="6" t="s">
        <v>344</v>
      </c>
      <c r="E523" s="6"/>
      <c r="G523" s="5">
        <v>150</v>
      </c>
      <c r="H523" s="6">
        <v>72</v>
      </c>
      <c r="I523" s="7">
        <v>120</v>
      </c>
      <c r="K523" s="7">
        <v>44004740</v>
      </c>
      <c r="L523" s="5" t="str">
        <f t="shared" si="51"/>
        <v>HL HARLEY M. RELAX BÜYÜK RELAX</v>
      </c>
      <c r="M523" s="8">
        <v>0.4</v>
      </c>
      <c r="N523" s="8">
        <v>0.4</v>
      </c>
      <c r="O523" s="8">
        <v>24035</v>
      </c>
      <c r="P523" s="8">
        <f t="shared" si="52"/>
        <v>14421</v>
      </c>
      <c r="Q523" s="12">
        <f t="shared" si="48"/>
        <v>30284.100000000002</v>
      </c>
      <c r="R523" s="31">
        <f t="shared" si="53"/>
        <v>30200</v>
      </c>
      <c r="W523" s="8">
        <f t="shared" si="49"/>
        <v>36052.5</v>
      </c>
      <c r="X523" s="8">
        <f t="shared" si="50"/>
        <v>36000</v>
      </c>
    </row>
    <row r="524" spans="1:24" ht="21.95" customHeight="1" x14ac:dyDescent="0.2">
      <c r="A524" s="5" t="s">
        <v>17</v>
      </c>
      <c r="B524" s="5" t="s">
        <v>1588</v>
      </c>
      <c r="C524" s="6" t="s">
        <v>348</v>
      </c>
      <c r="D524" s="6" t="s">
        <v>349</v>
      </c>
      <c r="E524" s="6"/>
      <c r="G524" s="6">
        <v>178</v>
      </c>
      <c r="H524" s="6">
        <v>72</v>
      </c>
      <c r="I524" s="9">
        <v>93</v>
      </c>
      <c r="J524" s="9"/>
      <c r="K524" s="7">
        <v>44004741</v>
      </c>
      <c r="L524" s="5" t="str">
        <f t="shared" si="51"/>
        <v>HL HARLEY M. RELAX V2 KOLLU MODÜL 176</v>
      </c>
      <c r="M524" s="8">
        <v>0.4</v>
      </c>
      <c r="N524" s="8">
        <v>0.4</v>
      </c>
      <c r="O524" s="8">
        <v>31889</v>
      </c>
      <c r="P524" s="8">
        <f t="shared" si="52"/>
        <v>19133.399999999998</v>
      </c>
      <c r="Q524" s="12">
        <f t="shared" si="48"/>
        <v>40180.14</v>
      </c>
      <c r="R524" s="31">
        <f t="shared" si="53"/>
        <v>40100</v>
      </c>
      <c r="W524" s="8">
        <f t="shared" si="49"/>
        <v>47833.499999999993</v>
      </c>
      <c r="X524" s="8">
        <f t="shared" si="50"/>
        <v>47800</v>
      </c>
    </row>
    <row r="525" spans="1:24" ht="21.95" customHeight="1" x14ac:dyDescent="0.2">
      <c r="A525" s="5" t="s">
        <v>17</v>
      </c>
      <c r="B525" s="5" t="s">
        <v>1588</v>
      </c>
      <c r="C525" s="6" t="s">
        <v>348</v>
      </c>
      <c r="D525" s="6" t="s">
        <v>175</v>
      </c>
      <c r="E525" s="6"/>
      <c r="G525" s="6"/>
      <c r="I525" s="9"/>
      <c r="J525" s="9"/>
      <c r="K525" s="7">
        <v>44004742</v>
      </c>
      <c r="L525" s="5" t="str">
        <f t="shared" si="51"/>
        <v>HL HARLEY M. RELAX V2 PUF AÇILI</v>
      </c>
      <c r="M525" s="8">
        <v>0.4</v>
      </c>
      <c r="N525" s="8">
        <v>0.4</v>
      </c>
      <c r="O525" s="8">
        <v>9857</v>
      </c>
      <c r="P525" s="8">
        <f t="shared" si="52"/>
        <v>5914.2</v>
      </c>
      <c r="Q525" s="12">
        <f t="shared" si="48"/>
        <v>12419.82</v>
      </c>
      <c r="R525" s="31">
        <f t="shared" si="53"/>
        <v>12400</v>
      </c>
      <c r="W525" s="8">
        <f t="shared" si="49"/>
        <v>14785.5</v>
      </c>
      <c r="X525" s="8">
        <f t="shared" si="50"/>
        <v>14700</v>
      </c>
    </row>
    <row r="526" spans="1:24" ht="21.95" customHeight="1" x14ac:dyDescent="0.2">
      <c r="A526" s="5" t="s">
        <v>17</v>
      </c>
      <c r="B526" s="5" t="s">
        <v>1588</v>
      </c>
      <c r="C526" s="6" t="s">
        <v>348</v>
      </c>
      <c r="D526" s="6" t="s">
        <v>347</v>
      </c>
      <c r="E526" s="6"/>
      <c r="G526" s="6">
        <v>94</v>
      </c>
      <c r="H526" s="5">
        <v>72</v>
      </c>
      <c r="I526" s="7">
        <v>122</v>
      </c>
      <c r="K526" s="7">
        <v>44004743</v>
      </c>
      <c r="L526" s="5" t="str">
        <f t="shared" si="51"/>
        <v>HL HARLEY M. RELAX V2 MİNİ RELAX</v>
      </c>
      <c r="M526" s="8">
        <v>0.4</v>
      </c>
      <c r="N526" s="8">
        <v>0.4</v>
      </c>
      <c r="O526" s="8">
        <v>19133</v>
      </c>
      <c r="P526" s="8">
        <f t="shared" si="52"/>
        <v>11479.8</v>
      </c>
      <c r="Q526" s="12">
        <f t="shared" si="48"/>
        <v>24107.579999999998</v>
      </c>
      <c r="R526" s="31">
        <f t="shared" si="53"/>
        <v>24100</v>
      </c>
      <c r="W526" s="8">
        <f t="shared" si="49"/>
        <v>28699.5</v>
      </c>
      <c r="X526" s="8">
        <f t="shared" si="50"/>
        <v>28600</v>
      </c>
    </row>
    <row r="527" spans="1:24" ht="21.95" customHeight="1" x14ac:dyDescent="0.2">
      <c r="A527" s="5" t="s">
        <v>17</v>
      </c>
      <c r="B527" s="5" t="s">
        <v>1588</v>
      </c>
      <c r="C527" s="6" t="s">
        <v>348</v>
      </c>
      <c r="D527" s="6" t="s">
        <v>342</v>
      </c>
      <c r="E527" s="6"/>
      <c r="G527" s="6">
        <v>58</v>
      </c>
      <c r="H527" s="6">
        <v>43</v>
      </c>
      <c r="I527" s="9">
        <v>93</v>
      </c>
      <c r="J527" s="9"/>
      <c r="K527" s="7">
        <v>44004744</v>
      </c>
      <c r="L527" s="5" t="str">
        <f t="shared" si="51"/>
        <v>HL HARLEY M. RELAX V2 KARE PUF</v>
      </c>
      <c r="M527" s="8">
        <v>0.4</v>
      </c>
      <c r="N527" s="8">
        <v>0.4</v>
      </c>
      <c r="O527" s="8">
        <v>9842</v>
      </c>
      <c r="P527" s="8">
        <f t="shared" si="52"/>
        <v>5905.2</v>
      </c>
      <c r="Q527" s="12">
        <f t="shared" si="48"/>
        <v>12400.92</v>
      </c>
      <c r="R527" s="31">
        <f t="shared" si="53"/>
        <v>12400</v>
      </c>
      <c r="W527" s="8">
        <f t="shared" si="49"/>
        <v>14763</v>
      </c>
      <c r="X527" s="8">
        <f t="shared" si="50"/>
        <v>14700</v>
      </c>
    </row>
    <row r="528" spans="1:24" ht="21.95" customHeight="1" x14ac:dyDescent="0.2">
      <c r="A528" s="5" t="s">
        <v>17</v>
      </c>
      <c r="B528" s="5" t="s">
        <v>1588</v>
      </c>
      <c r="C528" s="6" t="s">
        <v>348</v>
      </c>
      <c r="D528" s="6" t="s">
        <v>344</v>
      </c>
      <c r="E528" s="6"/>
      <c r="G528" s="6">
        <v>150</v>
      </c>
      <c r="H528" s="6">
        <v>72</v>
      </c>
      <c r="I528" s="7">
        <v>122</v>
      </c>
      <c r="K528" s="7">
        <v>44004745</v>
      </c>
      <c r="L528" s="5" t="str">
        <f t="shared" si="51"/>
        <v>HL HARLEY M. RELAX V2 BÜYÜK RELAX</v>
      </c>
      <c r="M528" s="8">
        <v>0.4</v>
      </c>
      <c r="N528" s="8">
        <v>0.4</v>
      </c>
      <c r="O528" s="8">
        <v>24035</v>
      </c>
      <c r="P528" s="8">
        <f t="shared" si="52"/>
        <v>14421</v>
      </c>
      <c r="Q528" s="12">
        <f t="shared" si="48"/>
        <v>30284.100000000002</v>
      </c>
      <c r="R528" s="31">
        <f t="shared" si="53"/>
        <v>30200</v>
      </c>
      <c r="W528" s="8">
        <f t="shared" si="49"/>
        <v>36052.5</v>
      </c>
      <c r="X528" s="8">
        <f t="shared" si="50"/>
        <v>36000</v>
      </c>
    </row>
    <row r="529" spans="1:24" ht="21.95" customHeight="1" x14ac:dyDescent="0.2">
      <c r="A529" s="5" t="s">
        <v>17</v>
      </c>
      <c r="B529" s="5" t="s">
        <v>1588</v>
      </c>
      <c r="C529" s="6" t="s">
        <v>350</v>
      </c>
      <c r="D529" s="6" t="s">
        <v>341</v>
      </c>
      <c r="E529" s="6"/>
      <c r="G529" s="6">
        <v>150</v>
      </c>
      <c r="H529" s="6">
        <v>72</v>
      </c>
      <c r="I529" s="9">
        <v>93</v>
      </c>
      <c r="J529" s="9"/>
      <c r="K529" s="7">
        <v>44004746</v>
      </c>
      <c r="L529" s="5" t="str">
        <f t="shared" si="51"/>
        <v>HL HARLEY V2 KOLLU MODÜL 148</v>
      </c>
      <c r="M529" s="8">
        <v>0.4</v>
      </c>
      <c r="N529" s="8">
        <v>0.4</v>
      </c>
      <c r="O529" s="8">
        <v>20885</v>
      </c>
      <c r="P529" s="8">
        <f t="shared" si="52"/>
        <v>12531</v>
      </c>
      <c r="Q529" s="12">
        <f t="shared" si="48"/>
        <v>26315.100000000002</v>
      </c>
      <c r="R529" s="31">
        <f t="shared" si="53"/>
        <v>26300</v>
      </c>
      <c r="W529" s="8">
        <f t="shared" si="49"/>
        <v>31327.5</v>
      </c>
      <c r="X529" s="8">
        <f t="shared" si="50"/>
        <v>31300</v>
      </c>
    </row>
    <row r="530" spans="1:24" ht="21.95" customHeight="1" x14ac:dyDescent="0.2">
      <c r="A530" s="5" t="s">
        <v>17</v>
      </c>
      <c r="B530" s="5" t="s">
        <v>1588</v>
      </c>
      <c r="C530" s="6" t="s">
        <v>350</v>
      </c>
      <c r="D530" s="6" t="s">
        <v>342</v>
      </c>
      <c r="E530" s="6"/>
      <c r="G530" s="6">
        <v>58</v>
      </c>
      <c r="H530" s="6">
        <v>43</v>
      </c>
      <c r="I530" s="9">
        <v>93</v>
      </c>
      <c r="J530" s="9"/>
      <c r="K530" s="7">
        <v>44004747</v>
      </c>
      <c r="L530" s="5" t="str">
        <f t="shared" si="51"/>
        <v>HL HARLEY V2 KARE PUF</v>
      </c>
      <c r="M530" s="8">
        <v>0.4</v>
      </c>
      <c r="N530" s="8">
        <v>0.4</v>
      </c>
      <c r="O530" s="8">
        <v>9842</v>
      </c>
      <c r="P530" s="8">
        <f t="shared" si="52"/>
        <v>5905.2</v>
      </c>
      <c r="Q530" s="12">
        <f t="shared" si="48"/>
        <v>12400.92</v>
      </c>
      <c r="R530" s="31">
        <f t="shared" si="53"/>
        <v>12400</v>
      </c>
      <c r="W530" s="8">
        <f t="shared" si="49"/>
        <v>14763</v>
      </c>
      <c r="X530" s="8">
        <f t="shared" ref="X530:X643" si="54">ROUNDDOWN(W530,-2)</f>
        <v>14700</v>
      </c>
    </row>
    <row r="531" spans="1:24" ht="21.95" customHeight="1" x14ac:dyDescent="0.2">
      <c r="A531" s="5" t="s">
        <v>17</v>
      </c>
      <c r="B531" s="5" t="s">
        <v>1588</v>
      </c>
      <c r="C531" s="6" t="s">
        <v>350</v>
      </c>
      <c r="D531" s="6" t="s">
        <v>59</v>
      </c>
      <c r="E531" s="6"/>
      <c r="G531" s="6">
        <v>122</v>
      </c>
      <c r="H531" s="6">
        <v>72</v>
      </c>
      <c r="I531" s="9">
        <v>93</v>
      </c>
      <c r="J531" s="9"/>
      <c r="K531" s="7">
        <v>44004748</v>
      </c>
      <c r="L531" s="5" t="str">
        <f t="shared" si="51"/>
        <v>HL HARLEY V2 KÖŞE MODÜL</v>
      </c>
      <c r="M531" s="8">
        <v>0.4</v>
      </c>
      <c r="N531" s="8">
        <v>0.4</v>
      </c>
      <c r="O531" s="8">
        <v>19469</v>
      </c>
      <c r="P531" s="8">
        <f t="shared" si="52"/>
        <v>11681.4</v>
      </c>
      <c r="Q531" s="12">
        <f t="shared" si="48"/>
        <v>24530.94</v>
      </c>
      <c r="R531" s="31">
        <f t="shared" si="53"/>
        <v>24500</v>
      </c>
      <c r="W531" s="8">
        <f t="shared" si="49"/>
        <v>29203.5</v>
      </c>
      <c r="X531" s="8">
        <f t="shared" si="54"/>
        <v>29200</v>
      </c>
    </row>
    <row r="532" spans="1:24" ht="21.95" customHeight="1" x14ac:dyDescent="0.2">
      <c r="A532" s="5" t="s">
        <v>17</v>
      </c>
      <c r="B532" s="5" t="s">
        <v>1588</v>
      </c>
      <c r="C532" s="6" t="s">
        <v>350</v>
      </c>
      <c r="D532" s="6" t="s">
        <v>343</v>
      </c>
      <c r="E532" s="6"/>
      <c r="G532" s="6">
        <v>114</v>
      </c>
      <c r="H532" s="6">
        <v>72</v>
      </c>
      <c r="I532" s="9">
        <v>93</v>
      </c>
      <c r="J532" s="9"/>
      <c r="K532" s="7">
        <v>44004749</v>
      </c>
      <c r="L532" s="5" t="str">
        <f t="shared" si="51"/>
        <v>HL HARLEY V2 ARA MODÜL 112</v>
      </c>
      <c r="M532" s="8">
        <v>0.4</v>
      </c>
      <c r="N532" s="8">
        <v>0.4</v>
      </c>
      <c r="O532" s="8">
        <v>17027</v>
      </c>
      <c r="P532" s="8">
        <f t="shared" si="52"/>
        <v>10216.199999999999</v>
      </c>
      <c r="Q532" s="12">
        <f t="shared" si="48"/>
        <v>21454.019999999997</v>
      </c>
      <c r="R532" s="31">
        <f t="shared" si="53"/>
        <v>21400</v>
      </c>
      <c r="W532" s="8">
        <f t="shared" si="49"/>
        <v>25540.499999999996</v>
      </c>
      <c r="X532" s="8">
        <f t="shared" si="54"/>
        <v>25500</v>
      </c>
    </row>
    <row r="533" spans="1:24" ht="21.95" customHeight="1" x14ac:dyDescent="0.2">
      <c r="A533" s="5" t="s">
        <v>17</v>
      </c>
      <c r="B533" s="5" t="s">
        <v>1588</v>
      </c>
      <c r="C533" s="6" t="s">
        <v>350</v>
      </c>
      <c r="D533" s="6" t="s">
        <v>344</v>
      </c>
      <c r="E533" s="6"/>
      <c r="G533" s="6">
        <v>150</v>
      </c>
      <c r="H533" s="6">
        <v>72</v>
      </c>
      <c r="I533" s="9">
        <v>122</v>
      </c>
      <c r="J533" s="9"/>
      <c r="K533" s="7">
        <v>44004750</v>
      </c>
      <c r="L533" s="5" t="str">
        <f t="shared" si="51"/>
        <v>HL HARLEY V2 BÜYÜK RELAX</v>
      </c>
      <c r="M533" s="8">
        <v>0.4</v>
      </c>
      <c r="N533" s="8">
        <v>0.4</v>
      </c>
      <c r="O533" s="8">
        <v>24035</v>
      </c>
      <c r="P533" s="8">
        <f t="shared" si="52"/>
        <v>14421</v>
      </c>
      <c r="Q533" s="12">
        <f t="shared" si="48"/>
        <v>30284.100000000002</v>
      </c>
      <c r="R533" s="31">
        <f t="shared" si="53"/>
        <v>30200</v>
      </c>
      <c r="W533" s="8">
        <f t="shared" si="49"/>
        <v>36052.5</v>
      </c>
      <c r="X533" s="8">
        <f t="shared" si="54"/>
        <v>36000</v>
      </c>
    </row>
    <row r="534" spans="1:24" ht="21.95" customHeight="1" x14ac:dyDescent="0.2">
      <c r="A534" s="5" t="s">
        <v>17</v>
      </c>
      <c r="B534" s="5" t="s">
        <v>1588</v>
      </c>
      <c r="C534" s="6" t="s">
        <v>350</v>
      </c>
      <c r="D534" s="6" t="s">
        <v>175</v>
      </c>
      <c r="E534" s="6"/>
      <c r="G534" s="6"/>
      <c r="H534" s="6"/>
      <c r="I534" s="9"/>
      <c r="J534" s="9"/>
      <c r="K534" s="7">
        <v>44004751</v>
      </c>
      <c r="L534" s="5" t="str">
        <f t="shared" si="51"/>
        <v>HL HARLEY V2 PUF AÇILI</v>
      </c>
      <c r="M534" s="8">
        <v>0.4</v>
      </c>
      <c r="N534" s="8">
        <v>0.4</v>
      </c>
      <c r="O534" s="8">
        <v>9857</v>
      </c>
      <c r="P534" s="8">
        <f t="shared" si="52"/>
        <v>5914.2</v>
      </c>
      <c r="Q534" s="12">
        <f t="shared" si="48"/>
        <v>12419.82</v>
      </c>
      <c r="R534" s="31">
        <f t="shared" si="53"/>
        <v>12400</v>
      </c>
      <c r="W534" s="8">
        <f t="shared" si="49"/>
        <v>14785.5</v>
      </c>
      <c r="X534" s="8">
        <f t="shared" si="54"/>
        <v>14700</v>
      </c>
    </row>
    <row r="535" spans="1:24" ht="21.6" customHeight="1" x14ac:dyDescent="0.2">
      <c r="A535" s="5" t="s">
        <v>17</v>
      </c>
      <c r="B535" s="5" t="s">
        <v>1588</v>
      </c>
      <c r="C535" s="6" t="s">
        <v>350</v>
      </c>
      <c r="D535" s="6" t="s">
        <v>347</v>
      </c>
      <c r="E535" s="6"/>
      <c r="G535" s="6">
        <v>94</v>
      </c>
      <c r="H535" s="6">
        <v>72</v>
      </c>
      <c r="I535" s="9">
        <v>122</v>
      </c>
      <c r="J535" s="9"/>
      <c r="K535" s="7">
        <v>44004752</v>
      </c>
      <c r="L535" s="5" t="str">
        <f t="shared" si="51"/>
        <v>HL HARLEY V2 MİNİ RELAX</v>
      </c>
      <c r="M535" s="8">
        <v>0.4</v>
      </c>
      <c r="N535" s="8">
        <v>0.4</v>
      </c>
      <c r="O535" s="8">
        <v>19133</v>
      </c>
      <c r="P535" s="8">
        <f t="shared" si="52"/>
        <v>11479.8</v>
      </c>
      <c r="Q535" s="12">
        <f t="shared" si="48"/>
        <v>24107.579999999998</v>
      </c>
      <c r="R535" s="31">
        <f t="shared" si="53"/>
        <v>24100</v>
      </c>
      <c r="W535" s="8">
        <f t="shared" si="49"/>
        <v>28699.5</v>
      </c>
      <c r="X535" s="8">
        <f t="shared" si="54"/>
        <v>28600</v>
      </c>
    </row>
    <row r="536" spans="1:24" s="21" customFormat="1" ht="21.95" customHeight="1" x14ac:dyDescent="0.2">
      <c r="A536" s="21" t="s">
        <v>17</v>
      </c>
      <c r="B536" s="21" t="s">
        <v>1588</v>
      </c>
      <c r="C536" s="21" t="s">
        <v>351</v>
      </c>
      <c r="D536" s="21" t="s">
        <v>25</v>
      </c>
      <c r="I536" s="22"/>
      <c r="J536" s="22"/>
      <c r="K536" s="22">
        <v>44004753</v>
      </c>
      <c r="L536" s="21" t="str">
        <f t="shared" si="51"/>
        <v>HL OPERA SANDALYE</v>
      </c>
      <c r="M536" s="23">
        <v>0.4</v>
      </c>
      <c r="N536" s="23">
        <v>0.4</v>
      </c>
      <c r="O536" s="23">
        <v>11225</v>
      </c>
      <c r="P536" s="23">
        <f t="shared" si="52"/>
        <v>6735</v>
      </c>
      <c r="Q536" s="23">
        <f t="shared" si="48"/>
        <v>14143.5</v>
      </c>
      <c r="R536" s="32">
        <f t="shared" si="53"/>
        <v>14100</v>
      </c>
      <c r="T536" s="23"/>
      <c r="U536" s="8"/>
      <c r="V536" s="23"/>
      <c r="W536" s="23">
        <f t="shared" si="49"/>
        <v>16837.5</v>
      </c>
      <c r="X536" s="23">
        <f t="shared" si="54"/>
        <v>16800</v>
      </c>
    </row>
    <row r="537" spans="1:24" s="21" customFormat="1" ht="21.95" customHeight="1" x14ac:dyDescent="0.2">
      <c r="A537" s="21" t="s">
        <v>17</v>
      </c>
      <c r="B537" s="21" t="s">
        <v>1588</v>
      </c>
      <c r="C537" s="21" t="s">
        <v>351</v>
      </c>
      <c r="D537" s="21" t="s">
        <v>49</v>
      </c>
      <c r="G537" s="21">
        <v>220</v>
      </c>
      <c r="H537" s="21">
        <v>80</v>
      </c>
      <c r="I537" s="22">
        <v>52</v>
      </c>
      <c r="J537" s="22"/>
      <c r="K537" s="22">
        <v>44004754</v>
      </c>
      <c r="L537" s="21" t="str">
        <f t="shared" si="51"/>
        <v>HL OPERA KONSOL</v>
      </c>
      <c r="M537" s="23">
        <v>0.4</v>
      </c>
      <c r="N537" s="23">
        <v>0.4</v>
      </c>
      <c r="O537" s="23">
        <v>51445</v>
      </c>
      <c r="P537" s="23">
        <f t="shared" si="52"/>
        <v>30867</v>
      </c>
      <c r="Q537" s="23">
        <f t="shared" si="48"/>
        <v>64820.700000000004</v>
      </c>
      <c r="R537" s="32">
        <f t="shared" si="53"/>
        <v>64800</v>
      </c>
      <c r="T537" s="23"/>
      <c r="U537" s="8"/>
      <c r="V537" s="23"/>
      <c r="W537" s="23">
        <f t="shared" si="49"/>
        <v>77167.5</v>
      </c>
      <c r="X537" s="23">
        <f t="shared" si="54"/>
        <v>77100</v>
      </c>
    </row>
    <row r="538" spans="1:24" s="21" customFormat="1" ht="21.95" customHeight="1" x14ac:dyDescent="0.2">
      <c r="A538" s="21" t="s">
        <v>17</v>
      </c>
      <c r="B538" s="21" t="s">
        <v>1588</v>
      </c>
      <c r="C538" s="21" t="s">
        <v>351</v>
      </c>
      <c r="D538" s="21" t="s">
        <v>21</v>
      </c>
      <c r="I538" s="22"/>
      <c r="J538" s="22"/>
      <c r="K538" s="22">
        <v>44004755</v>
      </c>
      <c r="L538" s="21" t="str">
        <f t="shared" si="51"/>
        <v>HL OPERA KONSOL AYNASI</v>
      </c>
      <c r="M538" s="23">
        <v>0.4</v>
      </c>
      <c r="N538" s="23">
        <v>0.4</v>
      </c>
      <c r="O538" s="23">
        <v>9797</v>
      </c>
      <c r="P538" s="23">
        <f t="shared" si="52"/>
        <v>5878.2</v>
      </c>
      <c r="Q538" s="23">
        <f t="shared" si="48"/>
        <v>12344.22</v>
      </c>
      <c r="R538" s="32">
        <f t="shared" si="53"/>
        <v>12300</v>
      </c>
      <c r="T538" s="23"/>
      <c r="U538" s="8"/>
      <c r="V538" s="23"/>
      <c r="W538" s="23">
        <f t="shared" si="49"/>
        <v>14695.5</v>
      </c>
      <c r="X538" s="23">
        <f t="shared" si="54"/>
        <v>14600</v>
      </c>
    </row>
    <row r="539" spans="1:24" s="21" customFormat="1" ht="21.95" customHeight="1" x14ac:dyDescent="0.2">
      <c r="A539" s="21" t="s">
        <v>17</v>
      </c>
      <c r="B539" s="21" t="s">
        <v>1588</v>
      </c>
      <c r="C539" s="21" t="s">
        <v>351</v>
      </c>
      <c r="D539" s="21" t="s">
        <v>155</v>
      </c>
      <c r="G539" s="21">
        <v>208</v>
      </c>
      <c r="H539" s="21">
        <v>78</v>
      </c>
      <c r="I539" s="22">
        <v>98</v>
      </c>
      <c r="J539" s="22"/>
      <c r="K539" s="22">
        <v>44004756</v>
      </c>
      <c r="L539" s="21" t="str">
        <f t="shared" si="51"/>
        <v>HL OPERA MASA</v>
      </c>
      <c r="M539" s="23">
        <v>0.4</v>
      </c>
      <c r="N539" s="23">
        <v>0.4</v>
      </c>
      <c r="O539" s="23">
        <v>32327</v>
      </c>
      <c r="P539" s="23">
        <f t="shared" si="52"/>
        <v>19396.2</v>
      </c>
      <c r="Q539" s="23">
        <f t="shared" si="48"/>
        <v>40732.020000000004</v>
      </c>
      <c r="R539" s="32">
        <f t="shared" si="53"/>
        <v>40700</v>
      </c>
      <c r="T539" s="23"/>
      <c r="U539" s="8"/>
      <c r="V539" s="23"/>
      <c r="W539" s="23">
        <f t="shared" si="49"/>
        <v>48490.5</v>
      </c>
      <c r="X539" s="23">
        <f t="shared" si="54"/>
        <v>48400</v>
      </c>
    </row>
    <row r="540" spans="1:24" ht="21.95" customHeight="1" x14ac:dyDescent="0.2">
      <c r="A540" s="5" t="s">
        <v>17</v>
      </c>
      <c r="B540" s="5" t="s">
        <v>1588</v>
      </c>
      <c r="C540" s="6" t="s">
        <v>352</v>
      </c>
      <c r="D540" s="6" t="s">
        <v>353</v>
      </c>
      <c r="E540" s="6"/>
      <c r="G540" s="5">
        <v>79</v>
      </c>
      <c r="H540" s="5">
        <v>103</v>
      </c>
      <c r="I540" s="7">
        <v>93</v>
      </c>
      <c r="K540" s="7">
        <v>44004757</v>
      </c>
      <c r="L540" s="5" t="str">
        <f t="shared" si="51"/>
        <v>HL CLOUD TV KOLTUĞU BERJER</v>
      </c>
      <c r="M540" s="8">
        <v>0.4</v>
      </c>
      <c r="N540" s="8">
        <v>0.4</v>
      </c>
      <c r="O540" s="8">
        <v>30729</v>
      </c>
      <c r="P540" s="8">
        <f t="shared" si="52"/>
        <v>18437.399999999998</v>
      </c>
      <c r="Q540" s="12">
        <f t="shared" si="48"/>
        <v>38718.539999999994</v>
      </c>
      <c r="R540" s="31">
        <f t="shared" si="53"/>
        <v>38700</v>
      </c>
      <c r="W540" s="8">
        <f t="shared" ref="W540:W555" si="55">P540*2.5</f>
        <v>46093.499999999993</v>
      </c>
      <c r="X540" s="8">
        <f t="shared" si="54"/>
        <v>46000</v>
      </c>
    </row>
    <row r="541" spans="1:24" ht="21.95" customHeight="1" x14ac:dyDescent="0.2">
      <c r="A541" s="5" t="s">
        <v>17</v>
      </c>
      <c r="B541" s="5" t="s">
        <v>1588</v>
      </c>
      <c r="C541" s="6" t="s">
        <v>354</v>
      </c>
      <c r="D541" s="6" t="s">
        <v>33</v>
      </c>
      <c r="E541" s="6"/>
      <c r="F541" s="6" t="s">
        <v>292</v>
      </c>
      <c r="G541" s="6">
        <v>100</v>
      </c>
      <c r="H541" s="6">
        <v>71</v>
      </c>
      <c r="I541" s="9">
        <v>92</v>
      </c>
      <c r="J541" s="9"/>
      <c r="K541" s="7">
        <v>44004758</v>
      </c>
      <c r="L541" s="5" t="str">
        <f t="shared" si="51"/>
        <v>HL CİRCULAR BERJER</v>
      </c>
      <c r="M541" s="8">
        <v>0.4</v>
      </c>
      <c r="N541" s="8">
        <v>0.4</v>
      </c>
      <c r="O541" s="8">
        <v>17035</v>
      </c>
      <c r="P541" s="8">
        <f t="shared" si="52"/>
        <v>10221</v>
      </c>
      <c r="Q541" s="12">
        <f t="shared" ref="Q541:Q596" si="56">O541*(1-N541)*2.1</f>
        <v>21464.100000000002</v>
      </c>
      <c r="R541" s="31">
        <f t="shared" si="53"/>
        <v>21400</v>
      </c>
      <c r="W541" s="8">
        <f t="shared" si="55"/>
        <v>25552.5</v>
      </c>
      <c r="X541" s="8">
        <f t="shared" si="54"/>
        <v>25500</v>
      </c>
    </row>
    <row r="542" spans="1:24" ht="21.95" customHeight="1" x14ac:dyDescent="0.2">
      <c r="A542" s="5" t="s">
        <v>17</v>
      </c>
      <c r="B542" s="5" t="s">
        <v>1588</v>
      </c>
      <c r="C542" s="6" t="s">
        <v>354</v>
      </c>
      <c r="D542" s="6" t="s">
        <v>355</v>
      </c>
      <c r="E542" s="6"/>
      <c r="K542" s="7">
        <v>44004759</v>
      </c>
      <c r="L542" s="5" t="str">
        <f t="shared" si="51"/>
        <v>HL CİRCULAR BENZ BERJER</v>
      </c>
      <c r="M542" s="8">
        <v>0.4</v>
      </c>
      <c r="N542" s="8">
        <v>0.4</v>
      </c>
      <c r="O542" s="8">
        <v>17388</v>
      </c>
      <c r="P542" s="8">
        <f t="shared" si="52"/>
        <v>10432.799999999999</v>
      </c>
      <c r="Q542" s="12">
        <f t="shared" si="56"/>
        <v>21908.880000000001</v>
      </c>
      <c r="R542" s="31">
        <f t="shared" si="53"/>
        <v>21900</v>
      </c>
      <c r="W542" s="8">
        <f t="shared" si="55"/>
        <v>26082</v>
      </c>
      <c r="X542" s="8">
        <f t="shared" si="54"/>
        <v>26000</v>
      </c>
    </row>
    <row r="543" spans="1:24" ht="21.95" customHeight="1" x14ac:dyDescent="0.2">
      <c r="A543" s="5" t="s">
        <v>17</v>
      </c>
      <c r="B543" s="5" t="s">
        <v>1588</v>
      </c>
      <c r="C543" s="6" t="s">
        <v>354</v>
      </c>
      <c r="D543" s="6" t="s">
        <v>356</v>
      </c>
      <c r="E543" s="6"/>
      <c r="K543" s="7">
        <v>44004760</v>
      </c>
      <c r="L543" s="5" t="str">
        <f t="shared" si="51"/>
        <v>HL CİRCULAR BENZ PUF</v>
      </c>
      <c r="M543" s="8">
        <v>0.4</v>
      </c>
      <c r="N543" s="8">
        <v>0.4</v>
      </c>
      <c r="O543" s="8">
        <v>8372</v>
      </c>
      <c r="P543" s="8">
        <f t="shared" si="52"/>
        <v>5023.2</v>
      </c>
      <c r="Q543" s="12">
        <f t="shared" si="56"/>
        <v>10548.72</v>
      </c>
      <c r="R543" s="31">
        <f t="shared" si="53"/>
        <v>10500</v>
      </c>
      <c r="W543" s="8">
        <f t="shared" si="55"/>
        <v>12558</v>
      </c>
      <c r="X543" s="8">
        <f t="shared" si="54"/>
        <v>12500</v>
      </c>
    </row>
    <row r="544" spans="1:24" ht="21.95" customHeight="1" x14ac:dyDescent="0.2">
      <c r="B544" s="5" t="s">
        <v>1588</v>
      </c>
      <c r="C544" s="6" t="s">
        <v>1967</v>
      </c>
      <c r="D544" s="6" t="s">
        <v>358</v>
      </c>
      <c r="K544" s="7">
        <v>44004761</v>
      </c>
      <c r="L544" s="5" t="str">
        <f t="shared" si="51"/>
        <v xml:space="preserve">HL BENTLEY  SANDALYE </v>
      </c>
      <c r="M544" s="8">
        <v>0.4</v>
      </c>
      <c r="N544" s="8">
        <v>0.4</v>
      </c>
      <c r="O544" s="8">
        <v>5556</v>
      </c>
      <c r="P544" s="8">
        <f t="shared" si="52"/>
        <v>3333.6</v>
      </c>
      <c r="Q544" s="12">
        <f t="shared" si="56"/>
        <v>7000.56</v>
      </c>
      <c r="R544" s="31">
        <f t="shared" si="53"/>
        <v>7000</v>
      </c>
      <c r="W544" s="8">
        <f t="shared" si="55"/>
        <v>8334</v>
      </c>
      <c r="X544" s="8">
        <f t="shared" si="54"/>
        <v>8300</v>
      </c>
    </row>
    <row r="545" spans="2:24" ht="21.95" customHeight="1" x14ac:dyDescent="0.2">
      <c r="B545" s="5" t="s">
        <v>1588</v>
      </c>
      <c r="C545" s="6" t="s">
        <v>1967</v>
      </c>
      <c r="D545" s="6" t="s">
        <v>194</v>
      </c>
      <c r="K545" s="7">
        <v>44004762</v>
      </c>
      <c r="L545" s="5" t="str">
        <f t="shared" si="51"/>
        <v xml:space="preserve">HL BENTLEY  KONSOL </v>
      </c>
      <c r="M545" s="8">
        <v>0.4</v>
      </c>
      <c r="N545" s="8">
        <v>0.4</v>
      </c>
      <c r="O545" s="8">
        <v>53101</v>
      </c>
      <c r="P545" s="8">
        <f t="shared" si="52"/>
        <v>31860.6</v>
      </c>
      <c r="Q545" s="12">
        <f t="shared" si="56"/>
        <v>66907.259999999995</v>
      </c>
      <c r="R545" s="31">
        <f t="shared" si="53"/>
        <v>66900</v>
      </c>
      <c r="W545" s="8">
        <f t="shared" si="55"/>
        <v>79651.5</v>
      </c>
      <c r="X545" s="8">
        <f t="shared" si="54"/>
        <v>79600</v>
      </c>
    </row>
    <row r="546" spans="2:24" ht="21.95" customHeight="1" x14ac:dyDescent="0.2">
      <c r="B546" s="5" t="s">
        <v>1588</v>
      </c>
      <c r="C546" s="6" t="s">
        <v>1967</v>
      </c>
      <c r="D546" s="6" t="s">
        <v>375</v>
      </c>
      <c r="K546" s="7">
        <v>44004763</v>
      </c>
      <c r="L546" s="5" t="str">
        <f t="shared" si="51"/>
        <v xml:space="preserve">HL BENTLEY  MASA </v>
      </c>
      <c r="M546" s="8">
        <v>0.4</v>
      </c>
      <c r="N546" s="8">
        <v>0.4</v>
      </c>
      <c r="O546" s="8">
        <v>54116</v>
      </c>
      <c r="P546" s="8">
        <f t="shared" si="52"/>
        <v>32469.599999999999</v>
      </c>
      <c r="Q546" s="12">
        <f t="shared" si="56"/>
        <v>68186.16</v>
      </c>
      <c r="R546" s="31">
        <f t="shared" si="53"/>
        <v>68100</v>
      </c>
      <c r="W546" s="8">
        <f t="shared" si="55"/>
        <v>81174</v>
      </c>
      <c r="X546" s="8">
        <f t="shared" si="54"/>
        <v>81100</v>
      </c>
    </row>
    <row r="547" spans="2:24" ht="21.95" customHeight="1" x14ac:dyDescent="0.2">
      <c r="B547" s="5" t="s">
        <v>1588</v>
      </c>
      <c r="C547" s="6" t="s">
        <v>1967</v>
      </c>
      <c r="D547" s="6" t="s">
        <v>365</v>
      </c>
      <c r="K547" s="7">
        <v>44004764</v>
      </c>
      <c r="L547" s="5" t="str">
        <f t="shared" si="51"/>
        <v>HL BENTLEY  KONSOL AYNA</v>
      </c>
      <c r="M547" s="8">
        <v>0.4</v>
      </c>
      <c r="N547" s="8">
        <v>0.4</v>
      </c>
      <c r="O547" s="8">
        <v>6666</v>
      </c>
      <c r="P547" s="8">
        <f t="shared" si="52"/>
        <v>3999.6</v>
      </c>
      <c r="Q547" s="12">
        <f t="shared" si="56"/>
        <v>8399.16</v>
      </c>
      <c r="R547" s="31">
        <f t="shared" si="53"/>
        <v>8300</v>
      </c>
      <c r="W547" s="8">
        <f t="shared" si="55"/>
        <v>9999</v>
      </c>
      <c r="X547" s="8">
        <f t="shared" si="54"/>
        <v>9900</v>
      </c>
    </row>
    <row r="548" spans="2:24" ht="21.95" customHeight="1" x14ac:dyDescent="0.2">
      <c r="B548" s="5" t="s">
        <v>1588</v>
      </c>
      <c r="C548" s="6" t="s">
        <v>1967</v>
      </c>
      <c r="D548" s="6" t="s">
        <v>1968</v>
      </c>
      <c r="K548" s="7">
        <v>44004765</v>
      </c>
      <c r="L548" s="5" t="str">
        <f t="shared" si="51"/>
        <v xml:space="preserve">HL BENTLEY  TV ALT BLOK </v>
      </c>
      <c r="M548" s="8">
        <v>0.4</v>
      </c>
      <c r="N548" s="8">
        <v>0.4</v>
      </c>
      <c r="O548" s="8">
        <v>51540</v>
      </c>
      <c r="P548" s="8">
        <f t="shared" si="52"/>
        <v>30924</v>
      </c>
      <c r="Q548" s="12">
        <f t="shared" si="56"/>
        <v>64940.4</v>
      </c>
      <c r="R548" s="31">
        <f t="shared" si="53"/>
        <v>64900</v>
      </c>
      <c r="W548" s="8">
        <f t="shared" si="55"/>
        <v>77310</v>
      </c>
      <c r="X548" s="8">
        <f t="shared" si="54"/>
        <v>77300</v>
      </c>
    </row>
    <row r="549" spans="2:24" ht="21.95" customHeight="1" x14ac:dyDescent="0.2">
      <c r="B549" s="5" t="s">
        <v>1588</v>
      </c>
      <c r="C549" s="6" t="s">
        <v>1967</v>
      </c>
      <c r="D549" s="6" t="s">
        <v>1969</v>
      </c>
      <c r="K549" s="7">
        <v>44004766</v>
      </c>
      <c r="L549" s="5" t="str">
        <f t="shared" si="51"/>
        <v xml:space="preserve">HL BENTLEY  TV ÜST BLOK </v>
      </c>
      <c r="M549" s="8">
        <v>0.4</v>
      </c>
      <c r="N549" s="8">
        <v>0.4</v>
      </c>
      <c r="O549" s="8">
        <v>15500</v>
      </c>
      <c r="P549" s="8">
        <f t="shared" si="52"/>
        <v>9300</v>
      </c>
      <c r="Q549" s="12">
        <f t="shared" si="56"/>
        <v>19530</v>
      </c>
      <c r="R549" s="31">
        <f t="shared" si="53"/>
        <v>19500</v>
      </c>
      <c r="W549" s="8">
        <f t="shared" si="55"/>
        <v>23250</v>
      </c>
      <c r="X549" s="8">
        <f t="shared" si="54"/>
        <v>23200</v>
      </c>
    </row>
    <row r="550" spans="2:24" ht="21.95" customHeight="1" x14ac:dyDescent="0.2">
      <c r="B550" s="5" t="s">
        <v>1588</v>
      </c>
      <c r="C550" s="6" t="s">
        <v>1967</v>
      </c>
      <c r="D550" s="6" t="s">
        <v>1970</v>
      </c>
      <c r="K550" s="7">
        <v>44004767</v>
      </c>
      <c r="L550" s="5" t="str">
        <f t="shared" si="51"/>
        <v>HL BENTLEY  ORTA SEHPA DÜZ</v>
      </c>
      <c r="M550" s="8">
        <v>0.4</v>
      </c>
      <c r="N550" s="8">
        <v>0.4</v>
      </c>
      <c r="O550" s="8">
        <v>12500</v>
      </c>
      <c r="P550" s="8">
        <f t="shared" si="52"/>
        <v>7500</v>
      </c>
      <c r="Q550" s="12">
        <f t="shared" si="56"/>
        <v>15750</v>
      </c>
      <c r="R550" s="31">
        <f t="shared" si="53"/>
        <v>15700</v>
      </c>
      <c r="W550" s="8">
        <f t="shared" si="55"/>
        <v>18750</v>
      </c>
      <c r="X550" s="8">
        <f t="shared" si="54"/>
        <v>18700</v>
      </c>
    </row>
    <row r="551" spans="2:24" ht="21.95" customHeight="1" x14ac:dyDescent="0.2">
      <c r="B551" s="5" t="s">
        <v>1588</v>
      </c>
      <c r="C551" s="6" t="s">
        <v>1967</v>
      </c>
      <c r="D551" s="6" t="s">
        <v>1971</v>
      </c>
      <c r="K551" s="7">
        <v>44004768</v>
      </c>
      <c r="L551" s="5" t="str">
        <f t="shared" si="51"/>
        <v>HL BENTLEY  ORTA SEHPA SİNTERFLEX</v>
      </c>
      <c r="M551" s="8">
        <v>0.4</v>
      </c>
      <c r="N551" s="8">
        <v>0.4</v>
      </c>
      <c r="O551" s="8">
        <v>15750</v>
      </c>
      <c r="P551" s="8">
        <f t="shared" si="52"/>
        <v>9450</v>
      </c>
      <c r="Q551" s="12">
        <f t="shared" si="56"/>
        <v>19845</v>
      </c>
      <c r="R551" s="31">
        <f t="shared" si="53"/>
        <v>19800</v>
      </c>
      <c r="W551" s="8">
        <f t="shared" si="55"/>
        <v>23625</v>
      </c>
      <c r="X551" s="8">
        <f t="shared" si="54"/>
        <v>23600</v>
      </c>
    </row>
    <row r="552" spans="2:24" ht="21.95" customHeight="1" x14ac:dyDescent="0.2">
      <c r="B552" s="5" t="s">
        <v>1588</v>
      </c>
      <c r="C552" s="6" t="s">
        <v>1967</v>
      </c>
      <c r="D552" s="6" t="s">
        <v>1862</v>
      </c>
      <c r="K552" s="7">
        <v>44004769</v>
      </c>
      <c r="L552" s="5" t="str">
        <f t="shared" si="51"/>
        <v xml:space="preserve">HL BENTLEY  YAN SEHPA </v>
      </c>
      <c r="M552" s="8">
        <v>0.4</v>
      </c>
      <c r="N552" s="8">
        <v>0.4</v>
      </c>
      <c r="O552" s="8">
        <v>7350</v>
      </c>
      <c r="P552" s="8">
        <f t="shared" si="52"/>
        <v>4410</v>
      </c>
      <c r="Q552" s="12">
        <f t="shared" si="56"/>
        <v>9261</v>
      </c>
      <c r="R552" s="31">
        <f t="shared" si="53"/>
        <v>9200</v>
      </c>
      <c r="W552" s="8">
        <f t="shared" si="55"/>
        <v>11025</v>
      </c>
      <c r="X552" s="8">
        <f t="shared" si="54"/>
        <v>11000</v>
      </c>
    </row>
    <row r="553" spans="2:24" ht="21.95" customHeight="1" x14ac:dyDescent="0.2">
      <c r="B553" s="5" t="s">
        <v>1588</v>
      </c>
      <c r="C553" s="6" t="s">
        <v>1967</v>
      </c>
      <c r="D553" s="6" t="s">
        <v>1850</v>
      </c>
      <c r="K553" s="7">
        <v>44004770</v>
      </c>
      <c r="L553" s="5" t="str">
        <f t="shared" si="51"/>
        <v xml:space="preserve">HL BENTLEY  4 LÜ KOLTUK </v>
      </c>
      <c r="M553" s="8">
        <v>0.4</v>
      </c>
      <c r="N553" s="8">
        <v>0.4</v>
      </c>
      <c r="O553" s="8">
        <v>49898</v>
      </c>
      <c r="P553" s="8">
        <f t="shared" si="52"/>
        <v>29938.799999999999</v>
      </c>
      <c r="Q553" s="12">
        <f t="shared" si="56"/>
        <v>62871.48</v>
      </c>
      <c r="R553" s="31">
        <f t="shared" si="53"/>
        <v>62800</v>
      </c>
      <c r="W553" s="8">
        <f t="shared" si="55"/>
        <v>74847</v>
      </c>
      <c r="X553" s="8">
        <f t="shared" si="54"/>
        <v>74800</v>
      </c>
    </row>
    <row r="554" spans="2:24" ht="21.95" customHeight="1" x14ac:dyDescent="0.2">
      <c r="B554" s="5" t="s">
        <v>1588</v>
      </c>
      <c r="C554" s="6" t="s">
        <v>1967</v>
      </c>
      <c r="D554" s="6" t="s">
        <v>1857</v>
      </c>
      <c r="K554" s="7">
        <v>44004771</v>
      </c>
      <c r="L554" s="5" t="str">
        <f t="shared" si="51"/>
        <v xml:space="preserve">HL BENTLEY  3 LÜ KOLTUK </v>
      </c>
      <c r="M554" s="8">
        <v>0.4</v>
      </c>
      <c r="N554" s="8">
        <v>0.4</v>
      </c>
      <c r="O554" s="8">
        <v>41583</v>
      </c>
      <c r="P554" s="8">
        <f t="shared" si="52"/>
        <v>24949.8</v>
      </c>
      <c r="Q554" s="12">
        <f t="shared" si="56"/>
        <v>52394.58</v>
      </c>
      <c r="R554" s="31">
        <f t="shared" si="53"/>
        <v>52300</v>
      </c>
      <c r="W554" s="8">
        <f t="shared" si="55"/>
        <v>62374.5</v>
      </c>
      <c r="X554" s="8">
        <f t="shared" si="54"/>
        <v>62300</v>
      </c>
    </row>
    <row r="555" spans="2:24" ht="21.95" customHeight="1" x14ac:dyDescent="0.2">
      <c r="B555" s="5" t="s">
        <v>1588</v>
      </c>
      <c r="C555" s="6" t="s">
        <v>1967</v>
      </c>
      <c r="D555" s="6" t="s">
        <v>168</v>
      </c>
      <c r="K555" s="7">
        <v>44004772</v>
      </c>
      <c r="L555" s="5" t="str">
        <f t="shared" si="51"/>
        <v xml:space="preserve">HL BENTLEY  BERJER </v>
      </c>
      <c r="M555" s="8">
        <v>0.4</v>
      </c>
      <c r="N555" s="8">
        <v>0.4</v>
      </c>
      <c r="O555" s="8">
        <v>20833</v>
      </c>
      <c r="P555" s="8">
        <f t="shared" si="52"/>
        <v>12499.8</v>
      </c>
      <c r="Q555" s="12">
        <f t="shared" si="56"/>
        <v>26249.579999999998</v>
      </c>
      <c r="R555" s="31">
        <f t="shared" si="53"/>
        <v>26200</v>
      </c>
      <c r="W555" s="8">
        <f t="shared" si="55"/>
        <v>31249.5</v>
      </c>
      <c r="X555" s="8">
        <f t="shared" si="54"/>
        <v>31200</v>
      </c>
    </row>
    <row r="556" spans="2:24" ht="21.95" customHeight="1" x14ac:dyDescent="0.2">
      <c r="B556" s="6" t="s">
        <v>2069</v>
      </c>
      <c r="C556" s="6" t="s">
        <v>2068</v>
      </c>
      <c r="D556" s="6" t="s">
        <v>358</v>
      </c>
      <c r="K556" s="7">
        <v>44010489</v>
      </c>
      <c r="L556" s="6" t="str">
        <f t="shared" ref="L556:L584" si="57">B556&amp;" "&amp;C556&amp;" "&amp;D556</f>
        <v xml:space="preserve">HL  ZEUGMA  SANDALYE </v>
      </c>
      <c r="T556" s="12"/>
    </row>
    <row r="557" spans="2:24" ht="21.95" customHeight="1" x14ac:dyDescent="0.2">
      <c r="B557" s="6" t="s">
        <v>2069</v>
      </c>
      <c r="C557" s="6" t="s">
        <v>2068</v>
      </c>
      <c r="D557" s="6" t="s">
        <v>194</v>
      </c>
      <c r="K557" s="7">
        <v>44010490</v>
      </c>
      <c r="L557" s="6" t="str">
        <f t="shared" si="57"/>
        <v xml:space="preserve">HL  ZEUGMA  KONSOL </v>
      </c>
      <c r="T557" s="12"/>
    </row>
    <row r="558" spans="2:24" ht="21.95" customHeight="1" x14ac:dyDescent="0.2">
      <c r="B558" s="6" t="s">
        <v>2069</v>
      </c>
      <c r="C558" s="6" t="s">
        <v>2068</v>
      </c>
      <c r="D558" s="6" t="s">
        <v>365</v>
      </c>
      <c r="G558" s="6"/>
      <c r="H558" s="6"/>
      <c r="I558" s="9"/>
      <c r="J558" s="9"/>
      <c r="K558" s="7">
        <v>44010491</v>
      </c>
      <c r="L558" s="6" t="str">
        <f t="shared" si="57"/>
        <v>HL  ZEUGMA  KONSOL AYNA</v>
      </c>
      <c r="O558" s="12"/>
      <c r="T558" s="12"/>
    </row>
    <row r="559" spans="2:24" ht="21.95" customHeight="1" x14ac:dyDescent="0.2">
      <c r="B559" s="6" t="s">
        <v>2069</v>
      </c>
      <c r="C559" s="6" t="s">
        <v>2068</v>
      </c>
      <c r="D559" s="6" t="s">
        <v>2070</v>
      </c>
      <c r="G559" s="6"/>
      <c r="H559" s="6"/>
      <c r="I559" s="9"/>
      <c r="J559" s="9"/>
      <c r="K559" s="7">
        <v>44010492</v>
      </c>
      <c r="L559" s="6" t="str">
        <f t="shared" si="57"/>
        <v>HL  ZEUGMA  MASA (SABİT)</v>
      </c>
      <c r="O559" s="12"/>
      <c r="T559" s="12"/>
    </row>
    <row r="560" spans="2:24" ht="21.95" customHeight="1" x14ac:dyDescent="0.2">
      <c r="B560" s="6" t="s">
        <v>2069</v>
      </c>
      <c r="C560" s="6" t="s">
        <v>2068</v>
      </c>
      <c r="D560" s="6" t="s">
        <v>45</v>
      </c>
      <c r="G560" s="6"/>
      <c r="H560" s="6"/>
      <c r="I560" s="9"/>
      <c r="J560" s="9"/>
      <c r="K560" s="7">
        <v>44010493</v>
      </c>
      <c r="L560" s="6" t="str">
        <f t="shared" si="57"/>
        <v xml:space="preserve">HL  ZEUGMA  TV ÜNİTESİ ALT BLOK </v>
      </c>
      <c r="O560" s="12"/>
      <c r="T560" s="12"/>
    </row>
    <row r="561" spans="2:20" ht="21.95" customHeight="1" x14ac:dyDescent="0.2">
      <c r="B561" s="6" t="s">
        <v>2069</v>
      </c>
      <c r="C561" s="6" t="s">
        <v>2068</v>
      </c>
      <c r="D561" s="6" t="s">
        <v>2071</v>
      </c>
      <c r="G561" s="6"/>
      <c r="H561" s="6"/>
      <c r="I561" s="9"/>
      <c r="J561" s="9"/>
      <c r="K561" s="7">
        <v>44010494</v>
      </c>
      <c r="L561" s="6" t="str">
        <f t="shared" si="57"/>
        <v xml:space="preserve">HL  ZEUGMA  TV ÜNİTESİ ÜST BLOK </v>
      </c>
      <c r="O561" s="12"/>
      <c r="T561" s="12"/>
    </row>
    <row r="562" spans="2:20" ht="21.95" customHeight="1" x14ac:dyDescent="0.2">
      <c r="B562" s="6" t="s">
        <v>2069</v>
      </c>
      <c r="C562" s="6" t="s">
        <v>2068</v>
      </c>
      <c r="D562" s="6" t="s">
        <v>660</v>
      </c>
      <c r="G562" s="6"/>
      <c r="H562" s="6"/>
      <c r="I562" s="9"/>
      <c r="J562" s="9"/>
      <c r="K562" s="7">
        <v>44010495</v>
      </c>
      <c r="L562" s="6" t="str">
        <f t="shared" si="57"/>
        <v xml:space="preserve">HL  ZEUGMA  ORTA SEHPA </v>
      </c>
      <c r="O562" s="12"/>
      <c r="T562" s="12"/>
    </row>
    <row r="563" spans="2:20" ht="21.95" customHeight="1" x14ac:dyDescent="0.2">
      <c r="B563" s="6" t="s">
        <v>2069</v>
      </c>
      <c r="C563" s="6" t="s">
        <v>2072</v>
      </c>
      <c r="D563" s="6" t="s">
        <v>358</v>
      </c>
      <c r="G563" s="6"/>
      <c r="H563" s="6"/>
      <c r="I563" s="9"/>
      <c r="J563" s="9"/>
      <c r="K563" s="7">
        <v>44010496</v>
      </c>
      <c r="L563" s="6" t="str">
        <f t="shared" si="57"/>
        <v xml:space="preserve">HL  ASPENDOS  SANDALYE </v>
      </c>
      <c r="O563" s="12"/>
      <c r="T563" s="12"/>
    </row>
    <row r="564" spans="2:20" ht="21.95" customHeight="1" x14ac:dyDescent="0.2">
      <c r="B564" s="6" t="s">
        <v>2069</v>
      </c>
      <c r="C564" s="6" t="s">
        <v>2072</v>
      </c>
      <c r="D564" s="6" t="s">
        <v>194</v>
      </c>
      <c r="G564" s="6"/>
      <c r="H564" s="6"/>
      <c r="I564" s="9"/>
      <c r="J564" s="9"/>
      <c r="K564" s="7">
        <v>44010497</v>
      </c>
      <c r="L564" s="6" t="str">
        <f t="shared" si="57"/>
        <v xml:space="preserve">HL  ASPENDOS  KONSOL </v>
      </c>
      <c r="O564" s="12"/>
      <c r="T564" s="12"/>
    </row>
    <row r="565" spans="2:20" ht="21.95" customHeight="1" x14ac:dyDescent="0.2">
      <c r="B565" s="6" t="s">
        <v>2069</v>
      </c>
      <c r="C565" s="6" t="s">
        <v>2072</v>
      </c>
      <c r="D565" s="6" t="s">
        <v>365</v>
      </c>
      <c r="G565" s="6"/>
      <c r="H565" s="6"/>
      <c r="I565" s="9"/>
      <c r="J565" s="9"/>
      <c r="K565" s="7">
        <v>44010498</v>
      </c>
      <c r="L565" s="6" t="str">
        <f t="shared" si="57"/>
        <v>HL  ASPENDOS  KONSOL AYNA</v>
      </c>
      <c r="O565" s="12"/>
      <c r="T565" s="12"/>
    </row>
    <row r="566" spans="2:20" ht="21.95" customHeight="1" x14ac:dyDescent="0.2">
      <c r="B566" s="6" t="s">
        <v>2069</v>
      </c>
      <c r="C566" s="6" t="s">
        <v>2072</v>
      </c>
      <c r="D566" s="6" t="s">
        <v>375</v>
      </c>
      <c r="G566" s="6"/>
      <c r="H566" s="6"/>
      <c r="I566" s="9"/>
      <c r="J566" s="9"/>
      <c r="K566" s="7">
        <v>44010499</v>
      </c>
      <c r="L566" s="6" t="str">
        <f t="shared" si="57"/>
        <v xml:space="preserve">HL  ASPENDOS  MASA </v>
      </c>
      <c r="O566" s="12"/>
      <c r="T566" s="12"/>
    </row>
    <row r="567" spans="2:20" ht="21.95" customHeight="1" x14ac:dyDescent="0.2">
      <c r="B567" s="6" t="s">
        <v>2069</v>
      </c>
      <c r="C567" s="6" t="s">
        <v>2072</v>
      </c>
      <c r="D567" s="6" t="s">
        <v>45</v>
      </c>
      <c r="G567" s="6"/>
      <c r="H567" s="6"/>
      <c r="I567" s="9"/>
      <c r="J567" s="9"/>
      <c r="K567" s="7">
        <v>44010500</v>
      </c>
      <c r="L567" s="6" t="str">
        <f t="shared" si="57"/>
        <v xml:space="preserve">HL  ASPENDOS  TV ÜNİTESİ ALT BLOK </v>
      </c>
      <c r="O567" s="12"/>
      <c r="T567" s="12"/>
    </row>
    <row r="568" spans="2:20" ht="21.95" customHeight="1" x14ac:dyDescent="0.2">
      <c r="B568" s="6" t="s">
        <v>2069</v>
      </c>
      <c r="C568" s="6" t="s">
        <v>2072</v>
      </c>
      <c r="D568" s="6" t="s">
        <v>2071</v>
      </c>
      <c r="G568" s="6"/>
      <c r="H568" s="6"/>
      <c r="I568" s="9"/>
      <c r="J568" s="9"/>
      <c r="K568" s="7">
        <v>44010501</v>
      </c>
      <c r="L568" s="6" t="str">
        <f t="shared" si="57"/>
        <v xml:space="preserve">HL  ASPENDOS  TV ÜNİTESİ ÜST BLOK </v>
      </c>
      <c r="O568" s="12"/>
      <c r="T568" s="12"/>
    </row>
    <row r="569" spans="2:20" ht="21.95" customHeight="1" x14ac:dyDescent="0.2">
      <c r="B569" s="6" t="s">
        <v>2069</v>
      </c>
      <c r="C569" s="6" t="s">
        <v>2072</v>
      </c>
      <c r="D569" s="6" t="s">
        <v>660</v>
      </c>
      <c r="G569" s="6"/>
      <c r="H569" s="6"/>
      <c r="I569" s="9"/>
      <c r="J569" s="9"/>
      <c r="K569" s="7">
        <v>44010502</v>
      </c>
      <c r="L569" s="6" t="str">
        <f t="shared" si="57"/>
        <v xml:space="preserve">HL  ASPENDOS  ORTA SEHPA </v>
      </c>
      <c r="O569" s="12"/>
      <c r="T569" s="12"/>
    </row>
    <row r="570" spans="2:20" ht="21.95" customHeight="1" x14ac:dyDescent="0.2">
      <c r="B570" s="6" t="s">
        <v>2069</v>
      </c>
      <c r="C570" s="6" t="s">
        <v>2072</v>
      </c>
      <c r="D570" s="6" t="s">
        <v>30</v>
      </c>
      <c r="G570" s="6"/>
      <c r="H570" s="6"/>
      <c r="I570" s="9"/>
      <c r="J570" s="9"/>
      <c r="K570" s="7">
        <v>44010503</v>
      </c>
      <c r="L570" s="6" t="str">
        <f t="shared" si="57"/>
        <v>HL  ASPENDOS  YAN SEHPA</v>
      </c>
      <c r="O570" s="12"/>
      <c r="T570" s="12"/>
    </row>
    <row r="571" spans="2:20" ht="21.95" customHeight="1" x14ac:dyDescent="0.2">
      <c r="B571" s="6" t="s">
        <v>2069</v>
      </c>
      <c r="C571" s="6" t="s">
        <v>2072</v>
      </c>
      <c r="D571" s="6" t="s">
        <v>2073</v>
      </c>
      <c r="G571" s="6"/>
      <c r="H571" s="6"/>
      <c r="I571" s="9"/>
      <c r="J571" s="9"/>
      <c r="K571" s="7">
        <v>44010504</v>
      </c>
      <c r="L571" s="6" t="str">
        <f t="shared" si="57"/>
        <v xml:space="preserve">HL  ASPENDOS  3 LÜ SEHPALI KOLTUK </v>
      </c>
      <c r="O571" s="12"/>
      <c r="T571" s="12"/>
    </row>
    <row r="572" spans="2:20" ht="21.95" customHeight="1" x14ac:dyDescent="0.2">
      <c r="B572" s="6" t="s">
        <v>2069</v>
      </c>
      <c r="C572" s="6" t="s">
        <v>2072</v>
      </c>
      <c r="D572" s="6" t="s">
        <v>1857</v>
      </c>
      <c r="G572" s="6"/>
      <c r="H572" s="6"/>
      <c r="I572" s="9"/>
      <c r="J572" s="9"/>
      <c r="K572" s="7">
        <v>44010505</v>
      </c>
      <c r="L572" s="6" t="str">
        <f t="shared" si="57"/>
        <v xml:space="preserve">HL  ASPENDOS  3 LÜ KOLTUK </v>
      </c>
      <c r="O572" s="12"/>
      <c r="T572" s="12"/>
    </row>
    <row r="573" spans="2:20" ht="21.95" customHeight="1" x14ac:dyDescent="0.2">
      <c r="B573" s="6" t="s">
        <v>2069</v>
      </c>
      <c r="C573" s="6" t="s">
        <v>2072</v>
      </c>
      <c r="D573" s="6" t="s">
        <v>168</v>
      </c>
      <c r="G573" s="6"/>
      <c r="H573" s="6"/>
      <c r="I573" s="9"/>
      <c r="J573" s="9"/>
      <c r="K573" s="7">
        <v>44010506</v>
      </c>
      <c r="L573" s="6" t="str">
        <f t="shared" si="57"/>
        <v xml:space="preserve">HL  ASPENDOS  BERJER </v>
      </c>
      <c r="O573" s="12"/>
      <c r="T573" s="12"/>
    </row>
    <row r="574" spans="2:20" ht="21.95" customHeight="1" x14ac:dyDescent="0.2">
      <c r="B574" s="6" t="s">
        <v>2069</v>
      </c>
      <c r="C574" s="6" t="s">
        <v>1114</v>
      </c>
      <c r="D574" s="6" t="s">
        <v>358</v>
      </c>
      <c r="G574" s="6"/>
      <c r="H574" s="6"/>
      <c r="I574" s="9"/>
      <c r="J574" s="9"/>
      <c r="K574" s="7">
        <v>44010507</v>
      </c>
      <c r="L574" s="6" t="str">
        <f t="shared" si="57"/>
        <v xml:space="preserve">HL  BERGAMA  SANDALYE </v>
      </c>
      <c r="O574" s="12"/>
      <c r="T574" s="12"/>
    </row>
    <row r="575" spans="2:20" ht="21.95" customHeight="1" x14ac:dyDescent="0.2">
      <c r="B575" s="6" t="s">
        <v>2069</v>
      </c>
      <c r="C575" s="6" t="s">
        <v>1114</v>
      </c>
      <c r="D575" s="6" t="s">
        <v>194</v>
      </c>
      <c r="G575" s="6"/>
      <c r="H575" s="6"/>
      <c r="I575" s="9"/>
      <c r="J575" s="9"/>
      <c r="K575" s="7">
        <v>44010508</v>
      </c>
      <c r="L575" s="6" t="str">
        <f t="shared" si="57"/>
        <v xml:space="preserve">HL  BERGAMA  KONSOL </v>
      </c>
      <c r="O575" s="12"/>
      <c r="T575" s="12"/>
    </row>
    <row r="576" spans="2:20" ht="21.95" customHeight="1" x14ac:dyDescent="0.2">
      <c r="B576" s="6" t="s">
        <v>2069</v>
      </c>
      <c r="C576" s="6" t="s">
        <v>1114</v>
      </c>
      <c r="D576" s="6" t="s">
        <v>390</v>
      </c>
      <c r="G576" s="6"/>
      <c r="H576" s="6"/>
      <c r="I576" s="9"/>
      <c r="J576" s="9"/>
      <c r="K576" s="7">
        <v>44010509</v>
      </c>
      <c r="L576" s="6" t="str">
        <f t="shared" si="57"/>
        <v xml:space="preserve">HL  BERGAMA  KONSOL AYNA </v>
      </c>
      <c r="O576" s="12"/>
      <c r="T576" s="12"/>
    </row>
    <row r="577" spans="1:23" ht="21.95" customHeight="1" x14ac:dyDescent="0.2">
      <c r="B577" s="6" t="s">
        <v>2069</v>
      </c>
      <c r="C577" s="6" t="s">
        <v>1114</v>
      </c>
      <c r="D577" s="6" t="s">
        <v>375</v>
      </c>
      <c r="G577" s="6"/>
      <c r="H577" s="6"/>
      <c r="I577" s="9"/>
      <c r="J577" s="9"/>
      <c r="K577" s="7">
        <v>44010510</v>
      </c>
      <c r="L577" s="6" t="str">
        <f t="shared" si="57"/>
        <v xml:space="preserve">HL  BERGAMA  MASA </v>
      </c>
      <c r="O577" s="12"/>
      <c r="T577" s="12"/>
    </row>
    <row r="578" spans="1:23" ht="21.95" customHeight="1" x14ac:dyDescent="0.2">
      <c r="B578" s="6" t="s">
        <v>2069</v>
      </c>
      <c r="C578" s="6" t="s">
        <v>1114</v>
      </c>
      <c r="D578" s="6" t="s">
        <v>45</v>
      </c>
      <c r="G578" s="6"/>
      <c r="H578" s="6"/>
      <c r="I578" s="9"/>
      <c r="J578" s="9"/>
      <c r="K578" s="7">
        <v>44010511</v>
      </c>
      <c r="L578" s="6" t="str">
        <f t="shared" si="57"/>
        <v xml:space="preserve">HL  BERGAMA  TV ÜNİTESİ ALT BLOK </v>
      </c>
      <c r="O578" s="12"/>
      <c r="T578" s="12"/>
    </row>
    <row r="579" spans="1:23" ht="21.95" customHeight="1" x14ac:dyDescent="0.2">
      <c r="B579" s="6" t="s">
        <v>2069</v>
      </c>
      <c r="C579" s="6" t="s">
        <v>1114</v>
      </c>
      <c r="D579" s="6" t="s">
        <v>2071</v>
      </c>
      <c r="G579" s="6"/>
      <c r="H579" s="6"/>
      <c r="I579" s="9"/>
      <c r="J579" s="9"/>
      <c r="K579" s="7">
        <v>44010512</v>
      </c>
      <c r="L579" s="6" t="str">
        <f t="shared" si="57"/>
        <v xml:space="preserve">HL  BERGAMA  TV ÜNİTESİ ÜST BLOK </v>
      </c>
      <c r="O579" s="12"/>
      <c r="T579" s="12"/>
    </row>
    <row r="580" spans="1:23" ht="21.95" customHeight="1" x14ac:dyDescent="0.2">
      <c r="B580" s="6" t="s">
        <v>2069</v>
      </c>
      <c r="C580" s="6" t="s">
        <v>1114</v>
      </c>
      <c r="D580" s="6" t="s">
        <v>660</v>
      </c>
      <c r="G580" s="6"/>
      <c r="H580" s="6"/>
      <c r="I580" s="9"/>
      <c r="J580" s="9"/>
      <c r="K580" s="7">
        <v>44010513</v>
      </c>
      <c r="L580" s="6" t="str">
        <f t="shared" si="57"/>
        <v xml:space="preserve">HL  BERGAMA  ORTA SEHPA </v>
      </c>
      <c r="O580" s="12"/>
      <c r="T580" s="12"/>
    </row>
    <row r="581" spans="1:23" ht="21.95" customHeight="1" x14ac:dyDescent="0.2">
      <c r="B581" s="6" t="s">
        <v>2069</v>
      </c>
      <c r="C581" s="6" t="s">
        <v>1114</v>
      </c>
      <c r="D581" s="6" t="s">
        <v>30</v>
      </c>
      <c r="G581" s="6"/>
      <c r="H581" s="6"/>
      <c r="I581" s="9"/>
      <c r="J581" s="9"/>
      <c r="K581" s="7">
        <v>44010514</v>
      </c>
      <c r="L581" s="6" t="str">
        <f t="shared" si="57"/>
        <v>HL  BERGAMA  YAN SEHPA</v>
      </c>
      <c r="O581" s="12"/>
      <c r="T581" s="12"/>
    </row>
    <row r="582" spans="1:23" ht="21.95" customHeight="1" x14ac:dyDescent="0.2">
      <c r="B582" s="6" t="s">
        <v>2069</v>
      </c>
      <c r="C582" s="6" t="s">
        <v>1114</v>
      </c>
      <c r="D582" s="6" t="s">
        <v>2074</v>
      </c>
      <c r="G582" s="6"/>
      <c r="H582" s="6"/>
      <c r="I582" s="9"/>
      <c r="J582" s="9"/>
      <c r="K582" s="7">
        <v>44010515</v>
      </c>
      <c r="L582" s="6" t="str">
        <f t="shared" si="57"/>
        <v xml:space="preserve">HL  BERGAMA  3 LÜ DÖNER KOLTUK </v>
      </c>
      <c r="O582" s="12"/>
      <c r="T582" s="12"/>
    </row>
    <row r="583" spans="1:23" ht="21.95" customHeight="1" x14ac:dyDescent="0.2">
      <c r="B583" s="6" t="s">
        <v>2069</v>
      </c>
      <c r="C583" s="6" t="s">
        <v>1114</v>
      </c>
      <c r="D583" s="6" t="s">
        <v>1857</v>
      </c>
      <c r="G583" s="6"/>
      <c r="H583" s="6"/>
      <c r="I583" s="9"/>
      <c r="J583" s="9"/>
      <c r="K583" s="7">
        <v>44010516</v>
      </c>
      <c r="L583" s="6" t="str">
        <f t="shared" si="57"/>
        <v xml:space="preserve">HL  BERGAMA  3 LÜ KOLTUK </v>
      </c>
      <c r="O583" s="12"/>
      <c r="T583" s="12"/>
    </row>
    <row r="584" spans="1:23" ht="21.95" customHeight="1" x14ac:dyDescent="0.2">
      <c r="B584" s="6" t="s">
        <v>2069</v>
      </c>
      <c r="C584" s="6" t="s">
        <v>1114</v>
      </c>
      <c r="D584" s="6" t="s">
        <v>168</v>
      </c>
      <c r="G584" s="6"/>
      <c r="H584" s="6"/>
      <c r="I584" s="9"/>
      <c r="J584" s="9"/>
      <c r="K584" s="7">
        <v>44010516</v>
      </c>
      <c r="L584" s="6" t="str">
        <f t="shared" si="57"/>
        <v xml:space="preserve">HL  BERGAMA  BERJER </v>
      </c>
      <c r="O584" s="12"/>
      <c r="T584" s="12"/>
    </row>
    <row r="585" spans="1:23" ht="21.95" customHeight="1" x14ac:dyDescent="0.2">
      <c r="A585" s="5" t="s">
        <v>17</v>
      </c>
      <c r="B585" s="5" t="s">
        <v>1591</v>
      </c>
      <c r="C585" t="s">
        <v>357</v>
      </c>
      <c r="D585" s="6" t="s">
        <v>49</v>
      </c>
      <c r="E585" s="6"/>
      <c r="K585" s="7">
        <v>44004778</v>
      </c>
      <c r="L585" s="5" t="str">
        <f t="shared" si="51"/>
        <v>NW SUENO KONSOL</v>
      </c>
      <c r="M585" s="12">
        <v>0.35</v>
      </c>
      <c r="N585" s="8">
        <v>0.3</v>
      </c>
      <c r="O585" s="8">
        <v>22000</v>
      </c>
      <c r="P585" s="8">
        <f t="shared" si="52"/>
        <v>15399.999999999998</v>
      </c>
      <c r="Q585" s="12">
        <f t="shared" si="56"/>
        <v>32339.999999999996</v>
      </c>
      <c r="R585" s="31">
        <f t="shared" si="53"/>
        <v>32300</v>
      </c>
      <c r="T585" s="8">
        <v>19360</v>
      </c>
      <c r="V585" s="8">
        <f t="shared" ref="V585:V613" si="58">T585*(1-N585)</f>
        <v>13552</v>
      </c>
      <c r="W585" s="8">
        <f t="shared" ref="W585:W613" si="59">V585*2.5</f>
        <v>33880</v>
      </c>
    </row>
    <row r="586" spans="1:23" s="6" customFormat="1" ht="21.95" customHeight="1" x14ac:dyDescent="0.2">
      <c r="A586" s="6" t="s">
        <v>17</v>
      </c>
      <c r="B586" s="6" t="s">
        <v>1591</v>
      </c>
      <c r="C586" s="26" t="s">
        <v>357</v>
      </c>
      <c r="D586" s="6" t="s">
        <v>21</v>
      </c>
      <c r="I586" s="9"/>
      <c r="J586" s="9"/>
      <c r="K586" s="9">
        <v>44004779</v>
      </c>
      <c r="L586" s="6" t="str">
        <f t="shared" si="51"/>
        <v>NW SUENO KONSOL AYNASI</v>
      </c>
      <c r="M586" s="12">
        <v>0.35</v>
      </c>
      <c r="N586" s="12">
        <v>0.3</v>
      </c>
      <c r="O586" s="12">
        <v>4460</v>
      </c>
      <c r="P586" s="12">
        <f t="shared" si="52"/>
        <v>3122</v>
      </c>
      <c r="Q586" s="12">
        <f t="shared" si="56"/>
        <v>6556.2000000000007</v>
      </c>
      <c r="R586" s="33">
        <f t="shared" si="53"/>
        <v>6500</v>
      </c>
      <c r="T586" s="12">
        <v>13107</v>
      </c>
      <c r="U586" s="12"/>
      <c r="V586" s="12">
        <f t="shared" si="58"/>
        <v>9174.9</v>
      </c>
      <c r="W586" s="12">
        <f t="shared" si="59"/>
        <v>22937.25</v>
      </c>
    </row>
    <row r="587" spans="1:23" s="6" customFormat="1" ht="21.95" customHeight="1" x14ac:dyDescent="0.2">
      <c r="A587" s="6" t="s">
        <v>17</v>
      </c>
      <c r="B587" s="6" t="s">
        <v>1591</v>
      </c>
      <c r="C587" s="26" t="s">
        <v>357</v>
      </c>
      <c r="D587" s="6" t="s">
        <v>155</v>
      </c>
      <c r="I587" s="9"/>
      <c r="J587" s="9"/>
      <c r="K587" s="9">
        <v>44004780</v>
      </c>
      <c r="L587" s="6" t="str">
        <f t="shared" si="51"/>
        <v>NW SUENO MASA</v>
      </c>
      <c r="M587" s="12">
        <v>0.35</v>
      </c>
      <c r="N587" s="12">
        <v>0.3</v>
      </c>
      <c r="O587" s="12">
        <v>31000</v>
      </c>
      <c r="P587" s="12">
        <f t="shared" si="52"/>
        <v>21700</v>
      </c>
      <c r="Q587" s="12">
        <f t="shared" si="56"/>
        <v>45570</v>
      </c>
      <c r="R587" s="33">
        <f t="shared" si="53"/>
        <v>45500</v>
      </c>
      <c r="T587" s="12">
        <v>6534</v>
      </c>
      <c r="U587" s="12"/>
      <c r="V587" s="12">
        <f t="shared" si="58"/>
        <v>4573.7999999999993</v>
      </c>
      <c r="W587" s="12">
        <f t="shared" si="59"/>
        <v>11434.499999999998</v>
      </c>
    </row>
    <row r="588" spans="1:23" s="6" customFormat="1" ht="21.95" customHeight="1" x14ac:dyDescent="0.2">
      <c r="A588" s="6" t="s">
        <v>17</v>
      </c>
      <c r="B588" s="6" t="s">
        <v>1591</v>
      </c>
      <c r="C588" s="26" t="s">
        <v>357</v>
      </c>
      <c r="D588" s="6" t="s">
        <v>358</v>
      </c>
      <c r="I588" s="9"/>
      <c r="J588" s="9"/>
      <c r="K588" s="9">
        <v>44004781</v>
      </c>
      <c r="L588" s="6" t="str">
        <f t="shared" si="51"/>
        <v xml:space="preserve">NW SUENO SANDALYE </v>
      </c>
      <c r="M588" s="12">
        <v>0.35</v>
      </c>
      <c r="N588" s="12">
        <v>0.3</v>
      </c>
      <c r="O588" s="12">
        <v>5114</v>
      </c>
      <c r="P588" s="12">
        <f t="shared" si="52"/>
        <v>3579.7999999999997</v>
      </c>
      <c r="Q588" s="12">
        <f t="shared" si="56"/>
        <v>7517.58</v>
      </c>
      <c r="R588" s="33">
        <f t="shared" si="53"/>
        <v>7500</v>
      </c>
      <c r="T588" s="12">
        <v>14520</v>
      </c>
      <c r="U588" s="12"/>
      <c r="V588" s="12">
        <f t="shared" si="58"/>
        <v>10164</v>
      </c>
      <c r="W588" s="12">
        <f t="shared" si="59"/>
        <v>25410</v>
      </c>
    </row>
    <row r="589" spans="1:23" s="6" customFormat="1" ht="21.95" customHeight="1" x14ac:dyDescent="0.2">
      <c r="A589" s="6" t="s">
        <v>17</v>
      </c>
      <c r="B589" s="6" t="s">
        <v>1591</v>
      </c>
      <c r="C589" s="26" t="s">
        <v>357</v>
      </c>
      <c r="D589" s="6" t="s">
        <v>359</v>
      </c>
      <c r="I589" s="9"/>
      <c r="J589" s="9"/>
      <c r="K589" s="9">
        <v>44004782</v>
      </c>
      <c r="L589" s="6" t="str">
        <f t="shared" si="51"/>
        <v>NW SUENO TV ALT BLOK ÜNİTESİ</v>
      </c>
      <c r="M589" s="12">
        <v>0.35</v>
      </c>
      <c r="N589" s="12">
        <v>0.3</v>
      </c>
      <c r="O589" s="12">
        <v>19600</v>
      </c>
      <c r="P589" s="12">
        <f t="shared" si="52"/>
        <v>13720</v>
      </c>
      <c r="Q589" s="12">
        <f t="shared" si="56"/>
        <v>28812</v>
      </c>
      <c r="R589" s="33">
        <f t="shared" si="53"/>
        <v>28800</v>
      </c>
      <c r="T589" s="12">
        <v>4235</v>
      </c>
      <c r="U589" s="12"/>
      <c r="V589" s="12">
        <f t="shared" si="58"/>
        <v>2964.5</v>
      </c>
      <c r="W589" s="12">
        <f t="shared" si="59"/>
        <v>7411.25</v>
      </c>
    </row>
    <row r="590" spans="1:23" s="6" customFormat="1" ht="21.95" customHeight="1" x14ac:dyDescent="0.2">
      <c r="A590" s="6" t="s">
        <v>17</v>
      </c>
      <c r="B590" s="6" t="s">
        <v>1591</v>
      </c>
      <c r="C590" s="26" t="s">
        <v>357</v>
      </c>
      <c r="D590" s="6" t="s">
        <v>360</v>
      </c>
      <c r="I590" s="9"/>
      <c r="J590" s="9"/>
      <c r="K590" s="9">
        <v>44004783</v>
      </c>
      <c r="L590" s="6" t="str">
        <f t="shared" si="51"/>
        <v>NW SUENO PANO</v>
      </c>
      <c r="M590" s="12">
        <v>0.35</v>
      </c>
      <c r="N590" s="12">
        <v>0.3</v>
      </c>
      <c r="O590" s="12">
        <v>5700</v>
      </c>
      <c r="P590" s="12">
        <f t="shared" si="52"/>
        <v>3989.9999999999995</v>
      </c>
      <c r="Q590" s="12">
        <f t="shared" si="56"/>
        <v>8379</v>
      </c>
      <c r="R590" s="33">
        <f t="shared" si="53"/>
        <v>8300</v>
      </c>
      <c r="T590" s="12">
        <v>6655</v>
      </c>
      <c r="U590" s="12"/>
      <c r="V590" s="12">
        <f t="shared" si="58"/>
        <v>4658.5</v>
      </c>
      <c r="W590" s="12">
        <f t="shared" si="59"/>
        <v>11646.25</v>
      </c>
    </row>
    <row r="591" spans="1:23" s="6" customFormat="1" ht="21.95" customHeight="1" x14ac:dyDescent="0.2">
      <c r="A591" s="6" t="s">
        <v>17</v>
      </c>
      <c r="B591" s="6" t="s">
        <v>1591</v>
      </c>
      <c r="C591" s="26" t="s">
        <v>357</v>
      </c>
      <c r="D591" s="6" t="s">
        <v>29</v>
      </c>
      <c r="I591" s="9"/>
      <c r="J591" s="9"/>
      <c r="K591" s="9">
        <v>44004784</v>
      </c>
      <c r="L591" s="6" t="str">
        <f t="shared" si="51"/>
        <v>NW SUENO ORTA SEHPA</v>
      </c>
      <c r="M591" s="12">
        <v>0.35</v>
      </c>
      <c r="N591" s="12">
        <v>0.3</v>
      </c>
      <c r="O591" s="12">
        <v>9400</v>
      </c>
      <c r="P591" s="12">
        <f t="shared" si="52"/>
        <v>6580</v>
      </c>
      <c r="Q591" s="12">
        <f t="shared" si="56"/>
        <v>13818</v>
      </c>
      <c r="R591" s="33">
        <f t="shared" si="53"/>
        <v>13800</v>
      </c>
      <c r="T591" s="12">
        <v>6978</v>
      </c>
      <c r="U591" s="12"/>
      <c r="V591" s="12">
        <f t="shared" si="58"/>
        <v>4884.5999999999995</v>
      </c>
      <c r="W591" s="12">
        <f t="shared" si="59"/>
        <v>12211.499999999998</v>
      </c>
    </row>
    <row r="592" spans="1:23" s="6" customFormat="1" ht="21.95" customHeight="1" x14ac:dyDescent="0.2">
      <c r="A592" s="6" t="s">
        <v>17</v>
      </c>
      <c r="B592" s="6" t="s">
        <v>1591</v>
      </c>
      <c r="C592" s="26" t="s">
        <v>357</v>
      </c>
      <c r="D592" s="6" t="s">
        <v>361</v>
      </c>
      <c r="I592" s="9"/>
      <c r="J592" s="9"/>
      <c r="K592" s="9">
        <v>44004785</v>
      </c>
      <c r="L592" s="6" t="str">
        <f t="shared" si="51"/>
        <v>NW SUENO DOLAP</v>
      </c>
      <c r="M592" s="12">
        <v>0.35</v>
      </c>
      <c r="N592" s="12">
        <v>0.3</v>
      </c>
      <c r="O592" s="12">
        <v>46263</v>
      </c>
      <c r="P592" s="12">
        <f t="shared" si="52"/>
        <v>32384.1</v>
      </c>
      <c r="Q592" s="12">
        <f t="shared" si="56"/>
        <v>68006.61</v>
      </c>
      <c r="R592" s="33">
        <f t="shared" si="53"/>
        <v>68000</v>
      </c>
      <c r="T592" s="12">
        <v>11267</v>
      </c>
      <c r="U592" s="12"/>
      <c r="V592" s="12">
        <f t="shared" si="58"/>
        <v>7886.9</v>
      </c>
      <c r="W592" s="12">
        <f t="shared" si="59"/>
        <v>19717.25</v>
      </c>
    </row>
    <row r="593" spans="1:23" s="6" customFormat="1" ht="21.95" customHeight="1" x14ac:dyDescent="0.2">
      <c r="A593" s="6" t="s">
        <v>17</v>
      </c>
      <c r="B593" s="6" t="s">
        <v>1591</v>
      </c>
      <c r="C593" s="26" t="s">
        <v>357</v>
      </c>
      <c r="D593" s="6" t="s">
        <v>78</v>
      </c>
      <c r="I593" s="9"/>
      <c r="J593" s="9"/>
      <c r="K593" s="9">
        <v>44004786</v>
      </c>
      <c r="L593" s="6" t="str">
        <f t="shared" si="51"/>
        <v>NW SUENO ŞİFONYER</v>
      </c>
      <c r="M593" s="12">
        <v>0.35</v>
      </c>
      <c r="N593" s="12">
        <v>0.3</v>
      </c>
      <c r="O593" s="12">
        <v>19320</v>
      </c>
      <c r="P593" s="12">
        <f t="shared" si="52"/>
        <v>13524</v>
      </c>
      <c r="Q593" s="12">
        <f t="shared" si="56"/>
        <v>28400.400000000001</v>
      </c>
      <c r="R593" s="33">
        <f t="shared" si="53"/>
        <v>28400</v>
      </c>
      <c r="T593" s="12">
        <v>12730</v>
      </c>
      <c r="U593" s="12"/>
      <c r="V593" s="12">
        <f t="shared" si="58"/>
        <v>8911</v>
      </c>
      <c r="W593" s="12">
        <f t="shared" si="59"/>
        <v>22277.5</v>
      </c>
    </row>
    <row r="594" spans="1:23" s="6" customFormat="1" ht="21.95" customHeight="1" x14ac:dyDescent="0.2">
      <c r="A594" s="6" t="s">
        <v>17</v>
      </c>
      <c r="B594" s="6" t="s">
        <v>1591</v>
      </c>
      <c r="C594" s="26" t="s">
        <v>357</v>
      </c>
      <c r="D594" s="6" t="s">
        <v>79</v>
      </c>
      <c r="I594" s="9"/>
      <c r="J594" s="9"/>
      <c r="K594" s="9">
        <v>44004787</v>
      </c>
      <c r="L594" s="6" t="str">
        <f t="shared" si="51"/>
        <v>NW SUENO ŞİFONYER AYNASI</v>
      </c>
      <c r="M594" s="12">
        <v>0.35</v>
      </c>
      <c r="N594" s="12">
        <v>0.3</v>
      </c>
      <c r="O594" s="12">
        <v>4305</v>
      </c>
      <c r="P594" s="12">
        <f t="shared" si="52"/>
        <v>3013.5</v>
      </c>
      <c r="Q594" s="12">
        <f t="shared" si="56"/>
        <v>6328.35</v>
      </c>
      <c r="R594" s="33">
        <f t="shared" si="53"/>
        <v>6300</v>
      </c>
      <c r="T594" s="12">
        <v>6138</v>
      </c>
      <c r="U594" s="12"/>
      <c r="V594" s="12">
        <f t="shared" si="58"/>
        <v>4296.5999999999995</v>
      </c>
      <c r="W594" s="12">
        <f t="shared" si="59"/>
        <v>10741.499999999998</v>
      </c>
    </row>
    <row r="595" spans="1:23" s="6" customFormat="1" ht="21.95" customHeight="1" x14ac:dyDescent="0.2">
      <c r="A595" s="6" t="s">
        <v>17</v>
      </c>
      <c r="B595" s="6" t="s">
        <v>1591</v>
      </c>
      <c r="C595" s="26" t="s">
        <v>357</v>
      </c>
      <c r="D595" s="6" t="s">
        <v>362</v>
      </c>
      <c r="I595" s="9"/>
      <c r="J595" s="9"/>
      <c r="K595" s="9">
        <v>44004788</v>
      </c>
      <c r="L595" s="6" t="str">
        <f t="shared" si="51"/>
        <v>NW SUENO KOMODİN</v>
      </c>
      <c r="M595" s="12">
        <v>0.35</v>
      </c>
      <c r="N595" s="12">
        <v>0.3</v>
      </c>
      <c r="O595" s="12">
        <v>13167</v>
      </c>
      <c r="P595" s="12">
        <f t="shared" si="52"/>
        <v>9216.9</v>
      </c>
      <c r="Q595" s="12">
        <f t="shared" si="56"/>
        <v>19355.490000000002</v>
      </c>
      <c r="R595" s="33">
        <f t="shared" si="53"/>
        <v>19300</v>
      </c>
      <c r="T595" s="12">
        <v>3033</v>
      </c>
      <c r="U595" s="12"/>
      <c r="V595" s="12">
        <f t="shared" si="58"/>
        <v>2123.1</v>
      </c>
      <c r="W595" s="12">
        <f t="shared" si="59"/>
        <v>5307.75</v>
      </c>
    </row>
    <row r="596" spans="1:23" s="6" customFormat="1" ht="21.95" customHeight="1" x14ac:dyDescent="0.2">
      <c r="A596" s="6" t="s">
        <v>17</v>
      </c>
      <c r="B596" s="6" t="s">
        <v>1591</v>
      </c>
      <c r="C596" s="26" t="s">
        <v>357</v>
      </c>
      <c r="D596" s="6" t="s">
        <v>372</v>
      </c>
      <c r="I596" s="9"/>
      <c r="J596" s="9"/>
      <c r="K596" s="9">
        <v>44004789</v>
      </c>
      <c r="L596" s="6" t="str">
        <f t="shared" si="51"/>
        <v xml:space="preserve">NW SUENO KARYOLA 160 CM </v>
      </c>
      <c r="M596" s="12">
        <v>0.35</v>
      </c>
      <c r="N596" s="12">
        <v>0.3</v>
      </c>
      <c r="O596" s="12">
        <v>19005</v>
      </c>
      <c r="P596" s="12">
        <f t="shared" si="52"/>
        <v>13303.5</v>
      </c>
      <c r="Q596" s="12">
        <f t="shared" si="56"/>
        <v>27937.350000000002</v>
      </c>
      <c r="R596" s="33">
        <f t="shared" si="53"/>
        <v>27900</v>
      </c>
      <c r="T596" s="12">
        <v>5436</v>
      </c>
      <c r="U596" s="12"/>
      <c r="V596" s="12">
        <f t="shared" si="58"/>
        <v>3805.2</v>
      </c>
      <c r="W596" s="12">
        <f t="shared" si="59"/>
        <v>9513</v>
      </c>
    </row>
    <row r="597" spans="1:23" s="6" customFormat="1" ht="21.95" customHeight="1" x14ac:dyDescent="0.2">
      <c r="B597" s="6" t="s">
        <v>1591</v>
      </c>
      <c r="C597" s="26" t="s">
        <v>357</v>
      </c>
      <c r="D597" s="6" t="s">
        <v>1857</v>
      </c>
      <c r="I597" s="9"/>
      <c r="J597" s="9"/>
      <c r="K597" s="9">
        <v>44004791</v>
      </c>
      <c r="L597" s="6" t="str">
        <f t="shared" si="51"/>
        <v xml:space="preserve">NW SUENO 3 LÜ KOLTUK </v>
      </c>
      <c r="M597" s="12"/>
      <c r="N597" s="12"/>
      <c r="O597" s="12">
        <v>37650</v>
      </c>
      <c r="P597" s="12"/>
      <c r="Q597" s="12"/>
      <c r="R597" s="33"/>
      <c r="T597" s="12">
        <v>2718</v>
      </c>
      <c r="U597" s="12"/>
      <c r="V597" s="12">
        <f t="shared" si="58"/>
        <v>2718</v>
      </c>
      <c r="W597" s="12">
        <f t="shared" si="59"/>
        <v>6795</v>
      </c>
    </row>
    <row r="598" spans="1:23" s="6" customFormat="1" ht="21.95" customHeight="1" x14ac:dyDescent="0.2">
      <c r="B598" s="6" t="s">
        <v>1591</v>
      </c>
      <c r="C598" s="26" t="s">
        <v>357</v>
      </c>
      <c r="D598" s="6" t="s">
        <v>33</v>
      </c>
      <c r="I598" s="9"/>
      <c r="J598" s="9"/>
      <c r="K598" s="9">
        <v>44004792</v>
      </c>
      <c r="L598" s="6" t="str">
        <f t="shared" si="51"/>
        <v>NW SUENO BERJER</v>
      </c>
      <c r="M598" s="12"/>
      <c r="N598" s="12"/>
      <c r="O598" s="12">
        <v>11740</v>
      </c>
      <c r="P598" s="12"/>
      <c r="Q598" s="12"/>
      <c r="R598" s="33"/>
      <c r="T598" s="12">
        <v>8994</v>
      </c>
      <c r="U598" s="12"/>
      <c r="V598" s="12">
        <f t="shared" si="58"/>
        <v>8994</v>
      </c>
      <c r="W598" s="12">
        <f t="shared" si="59"/>
        <v>22485</v>
      </c>
    </row>
    <row r="599" spans="1:23" s="6" customFormat="1" ht="21.95" customHeight="1" x14ac:dyDescent="0.2">
      <c r="A599" s="6" t="s">
        <v>17</v>
      </c>
      <c r="B599" s="6" t="s">
        <v>1591</v>
      </c>
      <c r="C599" s="6" t="s">
        <v>364</v>
      </c>
      <c r="D599" s="6" t="s">
        <v>49</v>
      </c>
      <c r="I599" s="9"/>
      <c r="J599" s="9"/>
      <c r="K599" s="9">
        <v>44004793</v>
      </c>
      <c r="L599" s="6" t="str">
        <f t="shared" si="51"/>
        <v>NW GRANDE KONSOL</v>
      </c>
      <c r="M599" s="12">
        <v>0.35</v>
      </c>
      <c r="N599" s="12">
        <v>0.3</v>
      </c>
      <c r="O599" s="12">
        <v>26400</v>
      </c>
      <c r="P599" s="12">
        <f t="shared" ref="P599:P630" si="60">O599*(1-N599)</f>
        <v>18480</v>
      </c>
      <c r="Q599" s="12">
        <f t="shared" ref="Q599:Q630" si="61">O599*(1-N599)*2.1</f>
        <v>38808</v>
      </c>
      <c r="R599" s="33">
        <f t="shared" ref="R599:R630" si="62">ROUNDDOWN(Q599,-2)</f>
        <v>38800</v>
      </c>
      <c r="T599" s="12">
        <v>26486</v>
      </c>
      <c r="U599" s="12"/>
      <c r="V599" s="12">
        <f t="shared" si="58"/>
        <v>18540.199999999997</v>
      </c>
      <c r="W599" s="12">
        <f t="shared" si="59"/>
        <v>46350.499999999993</v>
      </c>
    </row>
    <row r="600" spans="1:23" s="6" customFormat="1" ht="21.95" customHeight="1" x14ac:dyDescent="0.2">
      <c r="A600" s="6" t="s">
        <v>17</v>
      </c>
      <c r="B600" s="6" t="s">
        <v>1591</v>
      </c>
      <c r="C600" s="6" t="s">
        <v>364</v>
      </c>
      <c r="D600" s="6" t="s">
        <v>365</v>
      </c>
      <c r="I600" s="9"/>
      <c r="J600" s="9"/>
      <c r="K600" s="9">
        <v>44004794</v>
      </c>
      <c r="L600" s="6" t="str">
        <f t="shared" si="51"/>
        <v>NW GRANDE KONSOL AYNA</v>
      </c>
      <c r="M600" s="12">
        <v>0.35</v>
      </c>
      <c r="N600" s="12">
        <v>0.3</v>
      </c>
      <c r="O600" s="12">
        <v>8700</v>
      </c>
      <c r="P600" s="12">
        <f t="shared" si="60"/>
        <v>6090</v>
      </c>
      <c r="Q600" s="12">
        <f t="shared" si="61"/>
        <v>12789</v>
      </c>
      <c r="R600" s="33">
        <f t="shared" si="62"/>
        <v>12700</v>
      </c>
      <c r="T600" s="12"/>
      <c r="U600" s="12"/>
      <c r="V600" s="12">
        <f t="shared" si="58"/>
        <v>0</v>
      </c>
      <c r="W600" s="12">
        <f t="shared" si="59"/>
        <v>0</v>
      </c>
    </row>
    <row r="601" spans="1:23" s="6" customFormat="1" ht="21.95" customHeight="1" x14ac:dyDescent="0.2">
      <c r="A601" s="6" t="s">
        <v>17</v>
      </c>
      <c r="B601" s="6" t="s">
        <v>1591</v>
      </c>
      <c r="C601" s="6" t="s">
        <v>364</v>
      </c>
      <c r="D601" s="6" t="s">
        <v>155</v>
      </c>
      <c r="I601" s="9"/>
      <c r="J601" s="9"/>
      <c r="K601" s="9">
        <v>44004795</v>
      </c>
      <c r="L601" s="6" t="str">
        <f t="shared" si="51"/>
        <v>NW GRANDE MASA</v>
      </c>
      <c r="M601" s="12">
        <v>0.35</v>
      </c>
      <c r="N601" s="12">
        <v>0.3</v>
      </c>
      <c r="O601" s="12">
        <v>27760</v>
      </c>
      <c r="P601" s="12">
        <f t="shared" si="60"/>
        <v>19432</v>
      </c>
      <c r="Q601" s="12">
        <f t="shared" si="61"/>
        <v>40807.200000000004</v>
      </c>
      <c r="R601" s="33">
        <f t="shared" si="62"/>
        <v>40800</v>
      </c>
      <c r="T601" s="12"/>
      <c r="U601" s="12"/>
      <c r="V601" s="12">
        <f t="shared" si="58"/>
        <v>0</v>
      </c>
      <c r="W601" s="12">
        <f t="shared" si="59"/>
        <v>0</v>
      </c>
    </row>
    <row r="602" spans="1:23" s="6" customFormat="1" ht="21.95" customHeight="1" x14ac:dyDescent="0.2">
      <c r="A602" s="6" t="s">
        <v>17</v>
      </c>
      <c r="B602" s="6" t="s">
        <v>1591</v>
      </c>
      <c r="C602" s="6" t="s">
        <v>364</v>
      </c>
      <c r="D602" s="6" t="s">
        <v>25</v>
      </c>
      <c r="I602" s="9"/>
      <c r="J602" s="9"/>
      <c r="K602" s="9">
        <v>44004796</v>
      </c>
      <c r="L602" s="6" t="str">
        <f t="shared" si="51"/>
        <v>NW GRANDE SANDALYE</v>
      </c>
      <c r="M602" s="12">
        <v>0.35</v>
      </c>
      <c r="N602" s="12">
        <v>0.3</v>
      </c>
      <c r="O602" s="12">
        <v>4476</v>
      </c>
      <c r="P602" s="12">
        <f t="shared" si="60"/>
        <v>3133.2</v>
      </c>
      <c r="Q602" s="12">
        <f t="shared" si="61"/>
        <v>6579.72</v>
      </c>
      <c r="R602" s="33">
        <f t="shared" si="62"/>
        <v>6500</v>
      </c>
      <c r="T602" s="12">
        <v>10250</v>
      </c>
      <c r="U602" s="12"/>
      <c r="V602" s="12">
        <f t="shared" si="58"/>
        <v>7174.9999999999991</v>
      </c>
      <c r="W602" s="12">
        <f t="shared" si="59"/>
        <v>17937.499999999996</v>
      </c>
    </row>
    <row r="603" spans="1:23" s="6" customFormat="1" ht="21.95" customHeight="1" x14ac:dyDescent="0.2">
      <c r="A603" s="6" t="s">
        <v>17</v>
      </c>
      <c r="B603" s="6" t="s">
        <v>1591</v>
      </c>
      <c r="C603" s="6" t="s">
        <v>364</v>
      </c>
      <c r="D603" s="6" t="s">
        <v>102</v>
      </c>
      <c r="I603" s="9"/>
      <c r="J603" s="9"/>
      <c r="K603" s="9">
        <v>44004797</v>
      </c>
      <c r="L603" s="6" t="str">
        <f t="shared" si="51"/>
        <v>NW GRANDE TV ÜNİTESİ ALT BLOK</v>
      </c>
      <c r="M603" s="12">
        <v>0.35</v>
      </c>
      <c r="N603" s="12">
        <v>0.3</v>
      </c>
      <c r="O603" s="12">
        <v>23200</v>
      </c>
      <c r="P603" s="12">
        <f t="shared" si="60"/>
        <v>16239.999999999998</v>
      </c>
      <c r="Q603" s="12">
        <f t="shared" si="61"/>
        <v>34104</v>
      </c>
      <c r="R603" s="33">
        <f t="shared" si="62"/>
        <v>34100</v>
      </c>
      <c r="T603" s="12">
        <v>4874</v>
      </c>
      <c r="U603" s="12"/>
      <c r="V603" s="12">
        <f t="shared" si="58"/>
        <v>3411.7999999999997</v>
      </c>
      <c r="W603" s="12">
        <f t="shared" si="59"/>
        <v>8529.5</v>
      </c>
    </row>
    <row r="604" spans="1:23" s="6" customFormat="1" ht="21.95" customHeight="1" x14ac:dyDescent="0.2">
      <c r="A604" s="6" t="s">
        <v>17</v>
      </c>
      <c r="B604" s="6" t="s">
        <v>1591</v>
      </c>
      <c r="C604" s="6" t="s">
        <v>364</v>
      </c>
      <c r="D604" s="6" t="s">
        <v>366</v>
      </c>
      <c r="I604" s="9"/>
      <c r="J604" s="9"/>
      <c r="K604" s="9">
        <v>44004798</v>
      </c>
      <c r="L604" s="6" t="str">
        <f t="shared" si="51"/>
        <v>NW GRANDE TV ÜNİTESİ PANO</v>
      </c>
      <c r="M604" s="12">
        <v>0.35</v>
      </c>
      <c r="N604" s="12">
        <v>0.3</v>
      </c>
      <c r="O604" s="12">
        <v>8480</v>
      </c>
      <c r="P604" s="12">
        <f t="shared" si="60"/>
        <v>5936</v>
      </c>
      <c r="Q604" s="12">
        <f t="shared" si="61"/>
        <v>12465.6</v>
      </c>
      <c r="R604" s="33">
        <f t="shared" si="62"/>
        <v>12400</v>
      </c>
      <c r="T604" s="12">
        <v>11653</v>
      </c>
      <c r="U604" s="12"/>
      <c r="V604" s="12">
        <f t="shared" si="58"/>
        <v>8157.0999999999995</v>
      </c>
      <c r="W604" s="12">
        <f t="shared" si="59"/>
        <v>20392.75</v>
      </c>
    </row>
    <row r="605" spans="1:23" s="6" customFormat="1" ht="21.95" customHeight="1" x14ac:dyDescent="0.2">
      <c r="A605" s="6" t="s">
        <v>17</v>
      </c>
      <c r="B605" s="6" t="s">
        <v>1591</v>
      </c>
      <c r="C605" s="6" t="s">
        <v>364</v>
      </c>
      <c r="D605" s="6" t="s">
        <v>2025</v>
      </c>
      <c r="I605" s="9"/>
      <c r="J605" s="9"/>
      <c r="K605" s="9">
        <v>44004799</v>
      </c>
      <c r="L605" s="6" t="str">
        <f t="shared" si="51"/>
        <v>NW GRANDE PUF X2</v>
      </c>
      <c r="M605" s="12">
        <v>0.35</v>
      </c>
      <c r="N605" s="12">
        <v>0.3</v>
      </c>
      <c r="O605" s="12">
        <v>1150</v>
      </c>
      <c r="P605" s="12">
        <f t="shared" si="60"/>
        <v>805</v>
      </c>
      <c r="Q605" s="12">
        <f t="shared" si="61"/>
        <v>1690.5</v>
      </c>
      <c r="R605" s="33">
        <f t="shared" si="62"/>
        <v>1600</v>
      </c>
      <c r="T605" s="12">
        <v>4208</v>
      </c>
      <c r="U605" s="12"/>
      <c r="V605" s="12">
        <f t="shared" si="58"/>
        <v>2945.6</v>
      </c>
      <c r="W605" s="12">
        <f t="shared" si="59"/>
        <v>7364</v>
      </c>
    </row>
    <row r="606" spans="1:23" s="6" customFormat="1" ht="21.95" customHeight="1" x14ac:dyDescent="0.2">
      <c r="A606" s="6" t="s">
        <v>17</v>
      </c>
      <c r="B606" s="6" t="s">
        <v>1591</v>
      </c>
      <c r="C606" s="6" t="s">
        <v>364</v>
      </c>
      <c r="D606" s="6" t="s">
        <v>29</v>
      </c>
      <c r="I606" s="9"/>
      <c r="J606" s="9"/>
      <c r="K606" s="9">
        <v>44004800</v>
      </c>
      <c r="L606" s="6" t="str">
        <f t="shared" si="51"/>
        <v>NW GRANDE ORTA SEHPA</v>
      </c>
      <c r="M606" s="12">
        <v>0.35</v>
      </c>
      <c r="N606" s="12">
        <v>0.3</v>
      </c>
      <c r="O606" s="12">
        <v>6660</v>
      </c>
      <c r="P606" s="12">
        <f t="shared" si="60"/>
        <v>4662</v>
      </c>
      <c r="Q606" s="12">
        <f t="shared" si="61"/>
        <v>9790.2000000000007</v>
      </c>
      <c r="R606" s="33">
        <f t="shared" si="62"/>
        <v>9700</v>
      </c>
      <c r="T606" s="12">
        <v>13107</v>
      </c>
      <c r="U606" s="12"/>
      <c r="V606" s="12">
        <f t="shared" si="58"/>
        <v>9174.9</v>
      </c>
      <c r="W606" s="12">
        <f t="shared" si="59"/>
        <v>22937.25</v>
      </c>
    </row>
    <row r="607" spans="1:23" s="6" customFormat="1" ht="21.95" customHeight="1" x14ac:dyDescent="0.2">
      <c r="A607" s="6" t="s">
        <v>17</v>
      </c>
      <c r="B607" s="6" t="s">
        <v>1591</v>
      </c>
      <c r="C607" s="6" t="s">
        <v>364</v>
      </c>
      <c r="D607" s="6" t="s">
        <v>361</v>
      </c>
      <c r="I607" s="9"/>
      <c r="J607" s="9"/>
      <c r="K607" s="9">
        <v>44004801</v>
      </c>
      <c r="L607" s="6" t="str">
        <f t="shared" si="51"/>
        <v>NW GRANDE DOLAP</v>
      </c>
      <c r="M607" s="12">
        <v>0.35</v>
      </c>
      <c r="N607" s="12">
        <v>0.3</v>
      </c>
      <c r="O607" s="12">
        <v>46536</v>
      </c>
      <c r="P607" s="12">
        <f t="shared" si="60"/>
        <v>32575.199999999997</v>
      </c>
      <c r="Q607" s="12">
        <f t="shared" si="61"/>
        <v>68407.92</v>
      </c>
      <c r="R607" s="33">
        <f t="shared" si="62"/>
        <v>68400</v>
      </c>
      <c r="T607" s="12">
        <v>4926</v>
      </c>
      <c r="U607" s="12"/>
      <c r="V607" s="12">
        <f t="shared" si="58"/>
        <v>3448.2</v>
      </c>
      <c r="W607" s="12">
        <f t="shared" si="59"/>
        <v>8620.5</v>
      </c>
    </row>
    <row r="608" spans="1:23" s="6" customFormat="1" ht="21.95" customHeight="1" x14ac:dyDescent="0.2">
      <c r="A608" s="6" t="s">
        <v>17</v>
      </c>
      <c r="B608" s="6" t="s">
        <v>1591</v>
      </c>
      <c r="C608" s="6" t="s">
        <v>364</v>
      </c>
      <c r="D608" s="6" t="s">
        <v>78</v>
      </c>
      <c r="I608" s="9"/>
      <c r="J608" s="9"/>
      <c r="K608" s="9">
        <v>44004802</v>
      </c>
      <c r="L608" s="6" t="str">
        <f t="shared" si="51"/>
        <v>NW GRANDE ŞİFONYER</v>
      </c>
      <c r="M608" s="12">
        <v>0.35</v>
      </c>
      <c r="N608" s="12">
        <v>0.3</v>
      </c>
      <c r="O608" s="12">
        <v>17388</v>
      </c>
      <c r="P608" s="12">
        <f t="shared" si="60"/>
        <v>12171.599999999999</v>
      </c>
      <c r="Q608" s="12">
        <f t="shared" si="61"/>
        <v>25560.359999999997</v>
      </c>
      <c r="R608" s="33">
        <f t="shared" si="62"/>
        <v>25500</v>
      </c>
      <c r="T608" s="12">
        <v>3238</v>
      </c>
      <c r="U608" s="12"/>
      <c r="V608" s="12">
        <f t="shared" si="58"/>
        <v>2266.6</v>
      </c>
      <c r="W608" s="12">
        <f t="shared" si="59"/>
        <v>5666.5</v>
      </c>
    </row>
    <row r="609" spans="1:23" s="6" customFormat="1" ht="21.95" customHeight="1" x14ac:dyDescent="0.2">
      <c r="A609" s="6" t="s">
        <v>17</v>
      </c>
      <c r="B609" s="6" t="s">
        <v>1591</v>
      </c>
      <c r="C609" s="6" t="s">
        <v>364</v>
      </c>
      <c r="D609" s="6" t="s">
        <v>152</v>
      </c>
      <c r="I609" s="9"/>
      <c r="J609" s="9"/>
      <c r="K609" s="9">
        <v>44004803</v>
      </c>
      <c r="L609" s="6" t="str">
        <f t="shared" si="51"/>
        <v>NW GRANDE AYNA</v>
      </c>
      <c r="M609" s="12">
        <v>0.35</v>
      </c>
      <c r="N609" s="12">
        <v>0.3</v>
      </c>
      <c r="O609" s="12">
        <v>8064</v>
      </c>
      <c r="P609" s="12">
        <f t="shared" si="60"/>
        <v>5644.7999999999993</v>
      </c>
      <c r="Q609" s="12">
        <f t="shared" si="61"/>
        <v>11854.079999999998</v>
      </c>
      <c r="R609" s="33">
        <f t="shared" si="62"/>
        <v>11800</v>
      </c>
      <c r="T609" s="12">
        <v>5910</v>
      </c>
      <c r="U609" s="12"/>
      <c r="V609" s="12">
        <f t="shared" si="58"/>
        <v>4137</v>
      </c>
      <c r="W609" s="12">
        <f t="shared" si="59"/>
        <v>10342.5</v>
      </c>
    </row>
    <row r="610" spans="1:23" s="6" customFormat="1" ht="21.95" customHeight="1" x14ac:dyDescent="0.2">
      <c r="A610" s="6" t="s">
        <v>17</v>
      </c>
      <c r="B610" s="6" t="s">
        <v>1591</v>
      </c>
      <c r="C610" s="6" t="s">
        <v>364</v>
      </c>
      <c r="D610" s="6" t="s">
        <v>367</v>
      </c>
      <c r="I610" s="9"/>
      <c r="J610" s="9"/>
      <c r="K610" s="9">
        <v>44004804</v>
      </c>
      <c r="L610" s="6" t="str">
        <f t="shared" si="51"/>
        <v>NW GRANDE KOMODİN 2X</v>
      </c>
      <c r="M610" s="12">
        <v>0.35</v>
      </c>
      <c r="N610" s="12">
        <v>0.3</v>
      </c>
      <c r="O610" s="12">
        <v>16611</v>
      </c>
      <c r="P610" s="12">
        <f t="shared" si="60"/>
        <v>11627.699999999999</v>
      </c>
      <c r="Q610" s="12">
        <f t="shared" si="61"/>
        <v>24418.17</v>
      </c>
      <c r="R610" s="33">
        <f t="shared" si="62"/>
        <v>24400</v>
      </c>
      <c r="T610" s="12">
        <v>25622</v>
      </c>
      <c r="U610" s="12"/>
      <c r="V610" s="12">
        <f t="shared" si="58"/>
        <v>17935.399999999998</v>
      </c>
      <c r="W610" s="12">
        <f t="shared" si="59"/>
        <v>44838.499999999993</v>
      </c>
    </row>
    <row r="611" spans="1:23" s="6" customFormat="1" ht="21.95" customHeight="1" x14ac:dyDescent="0.2">
      <c r="A611" s="6" t="s">
        <v>17</v>
      </c>
      <c r="B611" s="6" t="s">
        <v>1591</v>
      </c>
      <c r="C611" s="6" t="s">
        <v>364</v>
      </c>
      <c r="D611" s="6" t="s">
        <v>372</v>
      </c>
      <c r="I611" s="9"/>
      <c r="J611" s="9"/>
      <c r="K611" s="9">
        <v>44004805</v>
      </c>
      <c r="L611" s="6" t="str">
        <f t="shared" si="51"/>
        <v xml:space="preserve">NW GRANDE KARYOLA 160 CM </v>
      </c>
      <c r="M611" s="12">
        <v>0.35</v>
      </c>
      <c r="N611" s="12">
        <v>0.3</v>
      </c>
      <c r="O611" s="12">
        <v>29299</v>
      </c>
      <c r="P611" s="12">
        <f t="shared" si="60"/>
        <v>20509.3</v>
      </c>
      <c r="Q611" s="12">
        <f t="shared" si="61"/>
        <v>43069.53</v>
      </c>
      <c r="R611" s="33">
        <f t="shared" si="62"/>
        <v>43000</v>
      </c>
      <c r="T611" s="12">
        <v>20032</v>
      </c>
      <c r="U611" s="12"/>
      <c r="V611" s="12">
        <f t="shared" si="58"/>
        <v>14022.4</v>
      </c>
      <c r="W611" s="12">
        <f t="shared" si="59"/>
        <v>35056</v>
      </c>
    </row>
    <row r="612" spans="1:23" s="6" customFormat="1" ht="21.95" customHeight="1" x14ac:dyDescent="0.2">
      <c r="A612" s="6" t="s">
        <v>17</v>
      </c>
      <c r="B612" s="6" t="s">
        <v>1591</v>
      </c>
      <c r="C612" s="6" t="s">
        <v>364</v>
      </c>
      <c r="D612" s="6" t="s">
        <v>119</v>
      </c>
      <c r="I612" s="9"/>
      <c r="J612" s="9"/>
      <c r="K612" s="9">
        <v>44004806</v>
      </c>
      <c r="L612" s="6" t="str">
        <f t="shared" si="51"/>
        <v>NW GRANDE PUF</v>
      </c>
      <c r="M612" s="12">
        <v>0.35</v>
      </c>
      <c r="N612" s="12">
        <v>0.3</v>
      </c>
      <c r="O612" s="12">
        <v>2300</v>
      </c>
      <c r="P612" s="12">
        <f t="shared" si="60"/>
        <v>1610</v>
      </c>
      <c r="Q612" s="12">
        <f t="shared" si="61"/>
        <v>3381</v>
      </c>
      <c r="R612" s="33">
        <f t="shared" si="62"/>
        <v>3300</v>
      </c>
      <c r="T612" s="12">
        <v>4561</v>
      </c>
      <c r="U612" s="12"/>
      <c r="V612" s="12">
        <f t="shared" si="58"/>
        <v>3192.7</v>
      </c>
      <c r="W612" s="12">
        <f t="shared" si="59"/>
        <v>7981.75</v>
      </c>
    </row>
    <row r="613" spans="1:23" s="6" customFormat="1" ht="21.95" customHeight="1" x14ac:dyDescent="0.2">
      <c r="A613" s="6" t="s">
        <v>17</v>
      </c>
      <c r="B613" s="6" t="s">
        <v>1591</v>
      </c>
      <c r="C613" s="6" t="s">
        <v>368</v>
      </c>
      <c r="D613" s="6" t="s">
        <v>369</v>
      </c>
      <c r="I613" s="9"/>
      <c r="J613" s="9"/>
      <c r="K613" s="9">
        <v>44004807</v>
      </c>
      <c r="L613" s="6" t="str">
        <f t="shared" si="51"/>
        <v xml:space="preserve">NW MONZA  DOLAP 6  KAPAK </v>
      </c>
      <c r="M613" s="12">
        <v>0.35</v>
      </c>
      <c r="N613" s="12">
        <v>0.3</v>
      </c>
      <c r="O613" s="12">
        <v>45066</v>
      </c>
      <c r="P613" s="12">
        <f t="shared" si="60"/>
        <v>31546.199999999997</v>
      </c>
      <c r="Q613" s="12">
        <f t="shared" si="61"/>
        <v>66247.01999999999</v>
      </c>
      <c r="R613" s="33">
        <f t="shared" si="62"/>
        <v>66200</v>
      </c>
      <c r="T613" s="12">
        <v>9786</v>
      </c>
      <c r="U613" s="12"/>
      <c r="V613" s="12">
        <f t="shared" si="58"/>
        <v>6850.2</v>
      </c>
      <c r="W613" s="12">
        <f t="shared" si="59"/>
        <v>17125.5</v>
      </c>
    </row>
    <row r="614" spans="1:23" s="6" customFormat="1" ht="21.95" customHeight="1" x14ac:dyDescent="0.2">
      <c r="A614" s="6" t="s">
        <v>17</v>
      </c>
      <c r="B614" s="6" t="s">
        <v>1591</v>
      </c>
      <c r="C614" s="6" t="s">
        <v>368</v>
      </c>
      <c r="D614" s="6" t="s">
        <v>96</v>
      </c>
      <c r="I614" s="9"/>
      <c r="J614" s="9"/>
      <c r="K614" s="9">
        <v>44004808</v>
      </c>
      <c r="L614" s="6" t="str">
        <f t="shared" ref="L614:L677" si="63">B614&amp;" "&amp;C614&amp;" "&amp;D614</f>
        <v xml:space="preserve">NW MONZA  ŞİFONYER </v>
      </c>
      <c r="M614" s="12">
        <v>0.35</v>
      </c>
      <c r="N614" s="12">
        <v>0.3</v>
      </c>
      <c r="O614" s="12">
        <v>13356</v>
      </c>
      <c r="P614" s="12">
        <f t="shared" si="60"/>
        <v>9349.1999999999989</v>
      </c>
      <c r="Q614" s="12">
        <f t="shared" si="61"/>
        <v>19633.32</v>
      </c>
      <c r="R614" s="33">
        <f t="shared" si="62"/>
        <v>19600</v>
      </c>
      <c r="T614" s="12"/>
      <c r="U614" s="12"/>
      <c r="V614" s="12"/>
      <c r="W614" s="12"/>
    </row>
    <row r="615" spans="1:23" s="6" customFormat="1" ht="21.95" customHeight="1" x14ac:dyDescent="0.2">
      <c r="A615" s="6" t="s">
        <v>17</v>
      </c>
      <c r="B615" s="6" t="s">
        <v>1591</v>
      </c>
      <c r="C615" s="6" t="s">
        <v>368</v>
      </c>
      <c r="D615" s="6" t="s">
        <v>370</v>
      </c>
      <c r="I615" s="9"/>
      <c r="J615" s="9"/>
      <c r="K615" s="9">
        <v>44004809</v>
      </c>
      <c r="L615" s="6" t="str">
        <f t="shared" si="63"/>
        <v xml:space="preserve">NW MONZA  ŞİFONYER AYNA </v>
      </c>
      <c r="M615" s="12">
        <v>0.35</v>
      </c>
      <c r="N615" s="12">
        <v>0.3</v>
      </c>
      <c r="O615" s="12">
        <v>3822</v>
      </c>
      <c r="P615" s="12">
        <f t="shared" si="60"/>
        <v>2675.3999999999996</v>
      </c>
      <c r="Q615" s="12">
        <f t="shared" si="61"/>
        <v>5618.3399999999992</v>
      </c>
      <c r="R615" s="33">
        <f t="shared" si="62"/>
        <v>5600</v>
      </c>
      <c r="T615" s="12"/>
      <c r="U615" s="12"/>
      <c r="V615" s="12"/>
      <c r="W615" s="12"/>
    </row>
    <row r="616" spans="1:23" s="6" customFormat="1" ht="21.95" customHeight="1" x14ac:dyDescent="0.2">
      <c r="A616" s="6" t="s">
        <v>17</v>
      </c>
      <c r="B616" s="6" t="s">
        <v>1591</v>
      </c>
      <c r="C616" s="6" t="s">
        <v>368</v>
      </c>
      <c r="D616" s="6" t="s">
        <v>371</v>
      </c>
      <c r="I616" s="9"/>
      <c r="J616" s="9"/>
      <c r="K616" s="9">
        <v>44004810</v>
      </c>
      <c r="L616" s="6" t="str">
        <f t="shared" si="63"/>
        <v xml:space="preserve">NW MONZA  KOMODİN *2 ADET </v>
      </c>
      <c r="M616" s="12">
        <v>0.35</v>
      </c>
      <c r="N616" s="12">
        <v>0.3</v>
      </c>
      <c r="O616" s="12">
        <v>9870</v>
      </c>
      <c r="P616" s="12">
        <f t="shared" si="60"/>
        <v>6909</v>
      </c>
      <c r="Q616" s="12">
        <f t="shared" si="61"/>
        <v>14508.900000000001</v>
      </c>
      <c r="R616" s="33">
        <f t="shared" si="62"/>
        <v>14500</v>
      </c>
      <c r="T616" s="12"/>
      <c r="U616" s="12"/>
      <c r="V616" s="12"/>
      <c r="W616" s="12"/>
    </row>
    <row r="617" spans="1:23" s="6" customFormat="1" ht="21.95" customHeight="1" x14ac:dyDescent="0.2">
      <c r="A617" s="6" t="s">
        <v>17</v>
      </c>
      <c r="B617" s="6" t="s">
        <v>1591</v>
      </c>
      <c r="C617" s="6" t="s">
        <v>368</v>
      </c>
      <c r="D617" s="6" t="s">
        <v>372</v>
      </c>
      <c r="I617" s="9"/>
      <c r="J617" s="9"/>
      <c r="K617" s="9">
        <v>44004811</v>
      </c>
      <c r="L617" s="6" t="str">
        <f t="shared" si="63"/>
        <v xml:space="preserve">NW MONZA  KARYOLA 160 CM </v>
      </c>
      <c r="M617" s="12">
        <v>0.35</v>
      </c>
      <c r="N617" s="12">
        <v>0.3</v>
      </c>
      <c r="O617" s="12">
        <v>19488</v>
      </c>
      <c r="P617" s="12">
        <f t="shared" si="60"/>
        <v>13641.599999999999</v>
      </c>
      <c r="Q617" s="12">
        <f t="shared" si="61"/>
        <v>28647.359999999997</v>
      </c>
      <c r="R617" s="33">
        <f t="shared" si="62"/>
        <v>28600</v>
      </c>
      <c r="T617" s="12"/>
      <c r="U617" s="12"/>
      <c r="V617" s="12"/>
      <c r="W617" s="12"/>
    </row>
    <row r="618" spans="1:23" s="6" customFormat="1" ht="21.95" customHeight="1" x14ac:dyDescent="0.2">
      <c r="A618" s="6" t="s">
        <v>17</v>
      </c>
      <c r="B618" s="6" t="s">
        <v>1591</v>
      </c>
      <c r="C618" s="6" t="s">
        <v>368</v>
      </c>
      <c r="D618" s="6" t="s">
        <v>373</v>
      </c>
      <c r="I618" s="9"/>
      <c r="J618" s="9"/>
      <c r="K618" s="9">
        <v>44004812</v>
      </c>
      <c r="L618" s="6" t="str">
        <f t="shared" si="63"/>
        <v xml:space="preserve">NW MONZA  PUF </v>
      </c>
      <c r="M618" s="12">
        <v>0.35</v>
      </c>
      <c r="N618" s="12">
        <v>0.3</v>
      </c>
      <c r="O618" s="12">
        <v>2100</v>
      </c>
      <c r="P618" s="12">
        <f t="shared" si="60"/>
        <v>1470</v>
      </c>
      <c r="Q618" s="12">
        <f t="shared" si="61"/>
        <v>3087</v>
      </c>
      <c r="R618" s="33">
        <f t="shared" si="62"/>
        <v>3000</v>
      </c>
      <c r="T618" s="12"/>
      <c r="U618" s="12"/>
      <c r="V618" s="12"/>
      <c r="W618" s="12"/>
    </row>
    <row r="619" spans="1:23" s="6" customFormat="1" ht="21.95" customHeight="1" x14ac:dyDescent="0.2">
      <c r="A619" s="6" t="s">
        <v>17</v>
      </c>
      <c r="B619" s="6" t="s">
        <v>1591</v>
      </c>
      <c r="C619" s="6" t="s">
        <v>368</v>
      </c>
      <c r="D619" s="6" t="s">
        <v>49</v>
      </c>
      <c r="I619" s="9"/>
      <c r="J619" s="9"/>
      <c r="K619" s="9">
        <v>44004813</v>
      </c>
      <c r="L619" s="6" t="str">
        <f t="shared" si="63"/>
        <v>NW MONZA  KONSOL</v>
      </c>
      <c r="M619" s="12">
        <v>0.35</v>
      </c>
      <c r="N619" s="12">
        <v>0.3</v>
      </c>
      <c r="O619" s="12">
        <v>15200</v>
      </c>
      <c r="P619" s="12">
        <f t="shared" si="60"/>
        <v>10640</v>
      </c>
      <c r="Q619" s="12">
        <f t="shared" si="61"/>
        <v>22344</v>
      </c>
      <c r="R619" s="33">
        <f t="shared" si="62"/>
        <v>22300</v>
      </c>
      <c r="T619" s="12"/>
      <c r="U619" s="12"/>
      <c r="V619" s="12"/>
      <c r="W619" s="12"/>
    </row>
    <row r="620" spans="1:23" s="6" customFormat="1" ht="21.95" customHeight="1" x14ac:dyDescent="0.2">
      <c r="A620" s="6" t="s">
        <v>17</v>
      </c>
      <c r="B620" s="6" t="s">
        <v>1591</v>
      </c>
      <c r="C620" s="6" t="s">
        <v>368</v>
      </c>
      <c r="D620" s="6" t="s">
        <v>365</v>
      </c>
      <c r="I620" s="9"/>
      <c r="J620" s="9"/>
      <c r="K620" s="9">
        <v>44004814</v>
      </c>
      <c r="L620" s="6" t="str">
        <f t="shared" si="63"/>
        <v>NW MONZA  KONSOL AYNA</v>
      </c>
      <c r="M620" s="12">
        <v>0.35</v>
      </c>
      <c r="N620" s="12">
        <v>0.3</v>
      </c>
      <c r="O620" s="12">
        <v>3900</v>
      </c>
      <c r="P620" s="12">
        <f t="shared" si="60"/>
        <v>2730</v>
      </c>
      <c r="Q620" s="12">
        <f t="shared" si="61"/>
        <v>5733</v>
      </c>
      <c r="R620" s="33">
        <f t="shared" si="62"/>
        <v>5700</v>
      </c>
      <c r="T620" s="12"/>
      <c r="U620" s="12"/>
      <c r="V620" s="12"/>
      <c r="W620" s="12"/>
    </row>
    <row r="621" spans="1:23" s="6" customFormat="1" ht="21.95" customHeight="1" x14ac:dyDescent="0.2">
      <c r="A621" s="6" t="s">
        <v>17</v>
      </c>
      <c r="B621" s="6" t="s">
        <v>1591</v>
      </c>
      <c r="C621" s="6" t="s">
        <v>368</v>
      </c>
      <c r="D621" s="6" t="s">
        <v>155</v>
      </c>
      <c r="I621" s="9"/>
      <c r="J621" s="9"/>
      <c r="K621" s="9">
        <v>44004815</v>
      </c>
      <c r="L621" s="6" t="str">
        <f t="shared" si="63"/>
        <v>NW MONZA  MASA</v>
      </c>
      <c r="M621" s="12">
        <v>0.35</v>
      </c>
      <c r="N621" s="12">
        <v>0.3</v>
      </c>
      <c r="O621" s="12">
        <v>18360</v>
      </c>
      <c r="P621" s="12">
        <f t="shared" si="60"/>
        <v>12852</v>
      </c>
      <c r="Q621" s="12">
        <f t="shared" si="61"/>
        <v>26989.200000000001</v>
      </c>
      <c r="R621" s="33">
        <f t="shared" si="62"/>
        <v>26900</v>
      </c>
      <c r="T621" s="12"/>
      <c r="U621" s="12"/>
      <c r="V621" s="12"/>
      <c r="W621" s="12"/>
    </row>
    <row r="622" spans="1:23" s="6" customFormat="1" ht="21.95" customHeight="1" x14ac:dyDescent="0.2">
      <c r="A622" s="6" t="s">
        <v>17</v>
      </c>
      <c r="B622" s="6" t="s">
        <v>1591</v>
      </c>
      <c r="C622" s="6" t="s">
        <v>368</v>
      </c>
      <c r="D622" s="6" t="s">
        <v>358</v>
      </c>
      <c r="I622" s="9"/>
      <c r="J622" s="9"/>
      <c r="K622" s="9">
        <v>44004816</v>
      </c>
      <c r="L622" s="6" t="str">
        <f t="shared" si="63"/>
        <v xml:space="preserve">NW MONZA  SANDALYE </v>
      </c>
      <c r="M622" s="12">
        <v>0.35</v>
      </c>
      <c r="N622" s="12">
        <v>0.3</v>
      </c>
      <c r="O622" s="12">
        <v>5265</v>
      </c>
      <c r="P622" s="12">
        <f t="shared" si="60"/>
        <v>3685.4999999999995</v>
      </c>
      <c r="Q622" s="12">
        <f t="shared" si="61"/>
        <v>7739.5499999999993</v>
      </c>
      <c r="R622" s="33">
        <f t="shared" si="62"/>
        <v>7700</v>
      </c>
      <c r="T622" s="12"/>
      <c r="U622" s="12"/>
      <c r="V622" s="12"/>
      <c r="W622" s="12"/>
    </row>
    <row r="623" spans="1:23" s="6" customFormat="1" ht="21.95" customHeight="1" x14ac:dyDescent="0.2">
      <c r="A623" s="6" t="s">
        <v>17</v>
      </c>
      <c r="B623" s="6" t="s">
        <v>1591</v>
      </c>
      <c r="C623" s="6" t="s">
        <v>368</v>
      </c>
      <c r="D623" s="6" t="s">
        <v>102</v>
      </c>
      <c r="I623" s="9"/>
      <c r="J623" s="9"/>
      <c r="K623" s="9">
        <v>44004817</v>
      </c>
      <c r="L623" s="6" t="str">
        <f t="shared" si="63"/>
        <v>NW MONZA  TV ÜNİTESİ ALT BLOK</v>
      </c>
      <c r="M623" s="12">
        <v>0.35</v>
      </c>
      <c r="N623" s="12">
        <v>0.3</v>
      </c>
      <c r="O623" s="12">
        <v>14020</v>
      </c>
      <c r="P623" s="12">
        <f t="shared" si="60"/>
        <v>9814</v>
      </c>
      <c r="Q623" s="12">
        <f t="shared" si="61"/>
        <v>20609.400000000001</v>
      </c>
      <c r="R623" s="33">
        <f t="shared" si="62"/>
        <v>20600</v>
      </c>
      <c r="T623" s="12"/>
      <c r="U623" s="12"/>
      <c r="V623" s="12"/>
      <c r="W623" s="12"/>
    </row>
    <row r="624" spans="1:23" s="6" customFormat="1" ht="21.95" customHeight="1" x14ac:dyDescent="0.2">
      <c r="A624" s="6" t="s">
        <v>17</v>
      </c>
      <c r="B624" s="6" t="s">
        <v>1591</v>
      </c>
      <c r="C624" s="6" t="s">
        <v>368</v>
      </c>
      <c r="D624" s="6" t="s">
        <v>374</v>
      </c>
      <c r="I624" s="9"/>
      <c r="J624" s="9"/>
      <c r="K624" s="9">
        <v>44004818</v>
      </c>
      <c r="L624" s="6" t="str">
        <f t="shared" si="63"/>
        <v>NW MONZA  TV ÜNİTESİ ÜST DOLAP *2 ADET</v>
      </c>
      <c r="M624" s="12">
        <v>0.35</v>
      </c>
      <c r="N624" s="12">
        <v>0.3</v>
      </c>
      <c r="O624" s="12">
        <v>4820</v>
      </c>
      <c r="P624" s="12">
        <f t="shared" si="60"/>
        <v>3374</v>
      </c>
      <c r="Q624" s="12">
        <f t="shared" si="61"/>
        <v>7085.4000000000005</v>
      </c>
      <c r="R624" s="33">
        <f t="shared" si="62"/>
        <v>7000</v>
      </c>
      <c r="T624" s="12"/>
      <c r="U624" s="12"/>
      <c r="V624" s="12"/>
      <c r="W624" s="12"/>
    </row>
    <row r="625" spans="1:23" s="6" customFormat="1" ht="21.95" customHeight="1" x14ac:dyDescent="0.2">
      <c r="A625" s="6" t="s">
        <v>17</v>
      </c>
      <c r="B625" s="6" t="s">
        <v>1591</v>
      </c>
      <c r="C625" s="6" t="s">
        <v>368</v>
      </c>
      <c r="D625" s="6" t="s">
        <v>29</v>
      </c>
      <c r="I625" s="9"/>
      <c r="J625" s="9"/>
      <c r="K625" s="9">
        <v>44004819</v>
      </c>
      <c r="L625" s="6" t="str">
        <f t="shared" si="63"/>
        <v>NW MONZA  ORTA SEHPA</v>
      </c>
      <c r="M625" s="12">
        <v>0.35</v>
      </c>
      <c r="N625" s="12">
        <v>0.3</v>
      </c>
      <c r="O625" s="12">
        <v>5100</v>
      </c>
      <c r="P625" s="12">
        <f t="shared" si="60"/>
        <v>3570</v>
      </c>
      <c r="Q625" s="12">
        <f t="shared" si="61"/>
        <v>7497</v>
      </c>
      <c r="R625" s="33">
        <f t="shared" si="62"/>
        <v>7400</v>
      </c>
      <c r="T625" s="12"/>
      <c r="U625" s="12"/>
      <c r="V625" s="12"/>
      <c r="W625" s="12"/>
    </row>
    <row r="626" spans="1:23" s="6" customFormat="1" ht="21.95" customHeight="1" x14ac:dyDescent="0.2">
      <c r="A626" s="6" t="s">
        <v>17</v>
      </c>
      <c r="B626" s="6" t="s">
        <v>1591</v>
      </c>
      <c r="C626" s="6" t="s">
        <v>1592</v>
      </c>
      <c r="D626" s="6" t="s">
        <v>194</v>
      </c>
      <c r="I626" s="9"/>
      <c r="J626" s="9"/>
      <c r="K626" s="9">
        <v>44004820</v>
      </c>
      <c r="L626" s="6" t="str">
        <f t="shared" si="63"/>
        <v xml:space="preserve">NW NW  KONSOL </v>
      </c>
      <c r="M626" s="12">
        <v>0.35</v>
      </c>
      <c r="N626" s="12">
        <v>0.3</v>
      </c>
      <c r="O626" s="12">
        <v>31940</v>
      </c>
      <c r="P626" s="12">
        <f t="shared" si="60"/>
        <v>22358</v>
      </c>
      <c r="Q626" s="12">
        <f t="shared" si="61"/>
        <v>46951.8</v>
      </c>
      <c r="R626" s="33">
        <f t="shared" si="62"/>
        <v>46900</v>
      </c>
      <c r="T626" s="12"/>
      <c r="U626" s="12"/>
      <c r="V626" s="12"/>
      <c r="W626" s="12"/>
    </row>
    <row r="627" spans="1:23" s="6" customFormat="1" ht="21.95" customHeight="1" x14ac:dyDescent="0.2">
      <c r="A627" s="6" t="s">
        <v>17</v>
      </c>
      <c r="B627" s="6" t="s">
        <v>1591</v>
      </c>
      <c r="C627" s="6" t="s">
        <v>1592</v>
      </c>
      <c r="D627" s="6" t="s">
        <v>365</v>
      </c>
      <c r="I627" s="9"/>
      <c r="J627" s="9"/>
      <c r="K627" s="9">
        <v>44004821</v>
      </c>
      <c r="L627" s="6" t="str">
        <f t="shared" si="63"/>
        <v>NW NW  KONSOL AYNA</v>
      </c>
      <c r="M627" s="12">
        <v>0.35</v>
      </c>
      <c r="N627" s="12">
        <v>0.3</v>
      </c>
      <c r="O627" s="12">
        <v>6920</v>
      </c>
      <c r="P627" s="12">
        <f t="shared" si="60"/>
        <v>4844</v>
      </c>
      <c r="Q627" s="12">
        <f t="shared" si="61"/>
        <v>10172.4</v>
      </c>
      <c r="R627" s="33">
        <f t="shared" si="62"/>
        <v>10100</v>
      </c>
      <c r="T627" s="12"/>
      <c r="U627" s="12"/>
      <c r="V627" s="12"/>
      <c r="W627" s="12"/>
    </row>
    <row r="628" spans="1:23" s="6" customFormat="1" ht="21.95" customHeight="1" x14ac:dyDescent="0.2">
      <c r="A628" s="6" t="s">
        <v>17</v>
      </c>
      <c r="B628" s="6" t="s">
        <v>1591</v>
      </c>
      <c r="C628" s="6" t="s">
        <v>1592</v>
      </c>
      <c r="D628" s="6" t="s">
        <v>375</v>
      </c>
      <c r="I628" s="9"/>
      <c r="J628" s="9"/>
      <c r="K628" s="9">
        <v>44004822</v>
      </c>
      <c r="L628" s="6" t="str">
        <f t="shared" si="63"/>
        <v xml:space="preserve">NW NW  MASA </v>
      </c>
      <c r="M628" s="12">
        <v>0.35</v>
      </c>
      <c r="N628" s="12">
        <v>0.3</v>
      </c>
      <c r="O628" s="12">
        <v>30840</v>
      </c>
      <c r="P628" s="12">
        <f t="shared" si="60"/>
        <v>21588</v>
      </c>
      <c r="Q628" s="12">
        <f t="shared" si="61"/>
        <v>45334.8</v>
      </c>
      <c r="R628" s="33">
        <f t="shared" si="62"/>
        <v>45300</v>
      </c>
      <c r="T628" s="12"/>
      <c r="U628" s="12"/>
      <c r="V628" s="12"/>
      <c r="W628" s="12"/>
    </row>
    <row r="629" spans="1:23" s="6" customFormat="1" ht="21.95" customHeight="1" x14ac:dyDescent="0.2">
      <c r="A629" s="6" t="s">
        <v>17</v>
      </c>
      <c r="B629" s="6" t="s">
        <v>1591</v>
      </c>
      <c r="C629" s="6" t="s">
        <v>1592</v>
      </c>
      <c r="D629" s="6" t="s">
        <v>358</v>
      </c>
      <c r="I629" s="9"/>
      <c r="J629" s="9"/>
      <c r="K629" s="9">
        <v>44004823</v>
      </c>
      <c r="L629" s="6" t="str">
        <f t="shared" si="63"/>
        <v xml:space="preserve">NW NW  SANDALYE </v>
      </c>
      <c r="M629" s="12">
        <v>0.35</v>
      </c>
      <c r="N629" s="12">
        <v>0.3</v>
      </c>
      <c r="O629" s="12">
        <v>6080</v>
      </c>
      <c r="P629" s="12">
        <f t="shared" si="60"/>
        <v>4256</v>
      </c>
      <c r="Q629" s="12">
        <f t="shared" si="61"/>
        <v>8937.6</v>
      </c>
      <c r="R629" s="33">
        <f t="shared" si="62"/>
        <v>8900</v>
      </c>
      <c r="T629" s="12"/>
      <c r="U629" s="12"/>
      <c r="V629" s="12"/>
      <c r="W629" s="12"/>
    </row>
    <row r="630" spans="1:23" s="6" customFormat="1" ht="21.95" customHeight="1" x14ac:dyDescent="0.2">
      <c r="A630" s="6" t="s">
        <v>17</v>
      </c>
      <c r="B630" s="6" t="s">
        <v>1591</v>
      </c>
      <c r="C630" s="6" t="s">
        <v>1592</v>
      </c>
      <c r="D630" s="6" t="s">
        <v>45</v>
      </c>
      <c r="I630" s="9"/>
      <c r="J630" s="9"/>
      <c r="K630" s="9">
        <v>44004824</v>
      </c>
      <c r="L630" s="6" t="str">
        <f t="shared" si="63"/>
        <v xml:space="preserve">NW NW  TV ÜNİTESİ ALT BLOK </v>
      </c>
      <c r="M630" s="12">
        <v>0.35</v>
      </c>
      <c r="N630" s="12">
        <v>0.3</v>
      </c>
      <c r="O630" s="12">
        <v>30040</v>
      </c>
      <c r="P630" s="12">
        <f t="shared" si="60"/>
        <v>21028</v>
      </c>
      <c r="Q630" s="12">
        <f t="shared" si="61"/>
        <v>44158.8</v>
      </c>
      <c r="R630" s="33">
        <f t="shared" si="62"/>
        <v>44100</v>
      </c>
      <c r="T630" s="12"/>
      <c r="U630" s="12"/>
      <c r="V630" s="12"/>
      <c r="W630" s="12"/>
    </row>
    <row r="631" spans="1:23" s="6" customFormat="1" ht="21.95" customHeight="1" x14ac:dyDescent="0.2">
      <c r="A631" s="6" t="s">
        <v>17</v>
      </c>
      <c r="B631" s="6" t="s">
        <v>1591</v>
      </c>
      <c r="C631" s="6" t="s">
        <v>1592</v>
      </c>
      <c r="D631" s="6" t="s">
        <v>376</v>
      </c>
      <c r="I631" s="9"/>
      <c r="J631" s="9"/>
      <c r="K631" s="9">
        <v>44004825</v>
      </c>
      <c r="L631" s="6" t="str">
        <f t="shared" si="63"/>
        <v xml:space="preserve">NW NW  TV ÜNİTESİ ÜST PANO </v>
      </c>
      <c r="M631" s="12">
        <v>0.35</v>
      </c>
      <c r="N631" s="12">
        <v>0.3</v>
      </c>
      <c r="O631" s="12">
        <v>12480</v>
      </c>
      <c r="P631" s="12">
        <f t="shared" ref="P631:P662" si="64">O631*(1-N631)</f>
        <v>8736</v>
      </c>
      <c r="Q631" s="12">
        <f t="shared" ref="Q631:Q662" si="65">O631*(1-N631)*2.1</f>
        <v>18345.600000000002</v>
      </c>
      <c r="R631" s="33">
        <f t="shared" ref="R631:R662" si="66">ROUNDDOWN(Q631,-2)</f>
        <v>18300</v>
      </c>
      <c r="T631" s="12"/>
      <c r="U631" s="12"/>
      <c r="V631" s="12"/>
      <c r="W631" s="12"/>
    </row>
    <row r="632" spans="1:23" s="6" customFormat="1" ht="21.95" customHeight="1" x14ac:dyDescent="0.2">
      <c r="A632" s="6" t="s">
        <v>17</v>
      </c>
      <c r="B632" s="6" t="s">
        <v>1591</v>
      </c>
      <c r="C632" s="6" t="s">
        <v>1592</v>
      </c>
      <c r="D632" s="6" t="s">
        <v>377</v>
      </c>
      <c r="I632" s="9"/>
      <c r="J632" s="9"/>
      <c r="K632" s="9">
        <v>44004826</v>
      </c>
      <c r="L632" s="6" t="str">
        <f t="shared" si="63"/>
        <v>NW NW  SEHPA BÜYÜK</v>
      </c>
      <c r="M632" s="12">
        <v>0.35</v>
      </c>
      <c r="N632" s="12">
        <v>0.3</v>
      </c>
      <c r="O632" s="12">
        <v>7500</v>
      </c>
      <c r="P632" s="12">
        <f t="shared" si="64"/>
        <v>5250</v>
      </c>
      <c r="Q632" s="12">
        <f t="shared" si="65"/>
        <v>11025</v>
      </c>
      <c r="R632" s="33">
        <f t="shared" si="66"/>
        <v>11000</v>
      </c>
      <c r="T632" s="12"/>
      <c r="U632" s="12"/>
      <c r="V632" s="12"/>
      <c r="W632" s="12"/>
    </row>
    <row r="633" spans="1:23" s="6" customFormat="1" ht="21.95" customHeight="1" x14ac:dyDescent="0.2">
      <c r="A633" s="6" t="s">
        <v>17</v>
      </c>
      <c r="B633" s="6" t="s">
        <v>1591</v>
      </c>
      <c r="C633" s="6" t="s">
        <v>1592</v>
      </c>
      <c r="D633" s="6" t="s">
        <v>378</v>
      </c>
      <c r="I633" s="9"/>
      <c r="J633" s="9"/>
      <c r="K633" s="9">
        <v>44004827</v>
      </c>
      <c r="L633" s="6" t="str">
        <f t="shared" si="63"/>
        <v xml:space="preserve">NW NW  SEHPA KÜÇÜK </v>
      </c>
      <c r="M633" s="12">
        <v>0.35</v>
      </c>
      <c r="N633" s="12">
        <v>0.3</v>
      </c>
      <c r="O633" s="12">
        <v>6820</v>
      </c>
      <c r="P633" s="12">
        <f t="shared" si="64"/>
        <v>4774</v>
      </c>
      <c r="Q633" s="12">
        <f t="shared" si="65"/>
        <v>10025.4</v>
      </c>
      <c r="R633" s="33">
        <f t="shared" si="66"/>
        <v>10000</v>
      </c>
      <c r="T633" s="12"/>
      <c r="U633" s="12"/>
      <c r="V633" s="12"/>
      <c r="W633" s="12"/>
    </row>
    <row r="634" spans="1:23" s="6" customFormat="1" ht="21.95" customHeight="1" x14ac:dyDescent="0.2">
      <c r="A634" s="6" t="s">
        <v>17</v>
      </c>
      <c r="B634" s="6" t="s">
        <v>1591</v>
      </c>
      <c r="C634" s="6" t="s">
        <v>1592</v>
      </c>
      <c r="D634" s="6" t="s">
        <v>30</v>
      </c>
      <c r="I634" s="9"/>
      <c r="J634" s="9"/>
      <c r="K634" s="9">
        <v>44004828</v>
      </c>
      <c r="L634" s="6" t="str">
        <f t="shared" si="63"/>
        <v>NW NW  YAN SEHPA</v>
      </c>
      <c r="M634" s="12">
        <v>0.35</v>
      </c>
      <c r="N634" s="12">
        <v>0.3</v>
      </c>
      <c r="O634" s="12">
        <v>5700</v>
      </c>
      <c r="P634" s="12">
        <f t="shared" si="64"/>
        <v>3989.9999999999995</v>
      </c>
      <c r="Q634" s="12">
        <f t="shared" si="65"/>
        <v>8379</v>
      </c>
      <c r="R634" s="33">
        <f t="shared" si="66"/>
        <v>8300</v>
      </c>
      <c r="T634" s="12"/>
      <c r="U634" s="12"/>
      <c r="V634" s="12"/>
      <c r="W634" s="12"/>
    </row>
    <row r="635" spans="1:23" s="6" customFormat="1" ht="21.95" customHeight="1" x14ac:dyDescent="0.2">
      <c r="A635" s="6" t="s">
        <v>17</v>
      </c>
      <c r="B635" s="6" t="s">
        <v>1591</v>
      </c>
      <c r="C635" s="6" t="s">
        <v>1591</v>
      </c>
      <c r="D635" s="6" t="s">
        <v>379</v>
      </c>
      <c r="I635" s="9"/>
      <c r="J635" s="9"/>
      <c r="K635" s="9">
        <v>44004829</v>
      </c>
      <c r="L635" s="6" t="str">
        <f t="shared" si="63"/>
        <v>NW NW DOLAP 6 KAPAKLI</v>
      </c>
      <c r="M635" s="12">
        <v>0.35</v>
      </c>
      <c r="N635" s="12">
        <v>0.3</v>
      </c>
      <c r="O635" s="12">
        <v>47355</v>
      </c>
      <c r="P635" s="12">
        <f t="shared" si="64"/>
        <v>33148.5</v>
      </c>
      <c r="Q635" s="12">
        <f t="shared" si="65"/>
        <v>69611.850000000006</v>
      </c>
      <c r="R635" s="33">
        <f t="shared" si="66"/>
        <v>69600</v>
      </c>
      <c r="T635" s="12"/>
      <c r="U635" s="12"/>
      <c r="V635" s="12"/>
      <c r="W635" s="12"/>
    </row>
    <row r="636" spans="1:23" s="6" customFormat="1" ht="21.95" customHeight="1" x14ac:dyDescent="0.2">
      <c r="A636" s="6" t="s">
        <v>17</v>
      </c>
      <c r="B636" s="6" t="s">
        <v>1591</v>
      </c>
      <c r="C636" s="6" t="s">
        <v>1591</v>
      </c>
      <c r="D636" s="6" t="s">
        <v>96</v>
      </c>
      <c r="I636" s="9"/>
      <c r="J636" s="9"/>
      <c r="K636" s="9">
        <v>44004830</v>
      </c>
      <c r="L636" s="6" t="str">
        <f t="shared" si="63"/>
        <v xml:space="preserve">NW NW ŞİFONYER </v>
      </c>
      <c r="M636" s="12">
        <v>0.35</v>
      </c>
      <c r="N636" s="12">
        <v>0.3</v>
      </c>
      <c r="O636" s="12">
        <v>18921</v>
      </c>
      <c r="P636" s="12">
        <f t="shared" si="64"/>
        <v>13244.699999999999</v>
      </c>
      <c r="Q636" s="12">
        <f t="shared" si="65"/>
        <v>27813.87</v>
      </c>
      <c r="R636" s="33">
        <f t="shared" si="66"/>
        <v>27800</v>
      </c>
      <c r="T636" s="12"/>
      <c r="U636" s="12"/>
      <c r="V636" s="12"/>
      <c r="W636" s="12"/>
    </row>
    <row r="637" spans="1:23" s="6" customFormat="1" ht="21.95" customHeight="1" x14ac:dyDescent="0.2">
      <c r="A637" s="6" t="s">
        <v>17</v>
      </c>
      <c r="B637" s="6" t="s">
        <v>1591</v>
      </c>
      <c r="C637" s="6" t="s">
        <v>1591</v>
      </c>
      <c r="D637" s="6" t="s">
        <v>380</v>
      </c>
      <c r="I637" s="9"/>
      <c r="J637" s="9"/>
      <c r="K637" s="9">
        <v>44004831</v>
      </c>
      <c r="L637" s="6" t="str">
        <f t="shared" si="63"/>
        <v>NW NW ŞİFONYER AYNA</v>
      </c>
      <c r="M637" s="12">
        <v>0.35</v>
      </c>
      <c r="N637" s="12">
        <v>0.3</v>
      </c>
      <c r="O637" s="12">
        <v>4746</v>
      </c>
      <c r="P637" s="12">
        <f t="shared" si="64"/>
        <v>3322.2</v>
      </c>
      <c r="Q637" s="12">
        <f t="shared" si="65"/>
        <v>6976.62</v>
      </c>
      <c r="R637" s="33">
        <f t="shared" si="66"/>
        <v>6900</v>
      </c>
      <c r="T637" s="12"/>
      <c r="U637" s="12"/>
      <c r="V637" s="12"/>
      <c r="W637" s="12"/>
    </row>
    <row r="638" spans="1:23" s="6" customFormat="1" ht="21.95" customHeight="1" x14ac:dyDescent="0.2">
      <c r="A638" s="6" t="s">
        <v>17</v>
      </c>
      <c r="B638" s="6" t="s">
        <v>1591</v>
      </c>
      <c r="C638" s="6" t="s">
        <v>1591</v>
      </c>
      <c r="D638" s="6" t="s">
        <v>371</v>
      </c>
      <c r="I638" s="9"/>
      <c r="J638" s="9"/>
      <c r="K638" s="9">
        <v>44004832</v>
      </c>
      <c r="L638" s="6" t="str">
        <f t="shared" si="63"/>
        <v xml:space="preserve">NW NW KOMODİN *2 ADET </v>
      </c>
      <c r="M638" s="12">
        <v>0.35</v>
      </c>
      <c r="N638" s="12">
        <v>0.3</v>
      </c>
      <c r="O638" s="12">
        <v>13503</v>
      </c>
      <c r="P638" s="12">
        <f t="shared" si="64"/>
        <v>9452.0999999999985</v>
      </c>
      <c r="Q638" s="12">
        <f t="shared" si="65"/>
        <v>19849.409999999996</v>
      </c>
      <c r="R638" s="33">
        <f t="shared" si="66"/>
        <v>19800</v>
      </c>
      <c r="T638" s="12"/>
      <c r="U638" s="12"/>
      <c r="V638" s="12"/>
      <c r="W638" s="12"/>
    </row>
    <row r="639" spans="1:23" s="6" customFormat="1" ht="21.95" customHeight="1" x14ac:dyDescent="0.2">
      <c r="A639" s="6" t="s">
        <v>17</v>
      </c>
      <c r="B639" s="6" t="s">
        <v>1591</v>
      </c>
      <c r="C639" s="6" t="s">
        <v>1591</v>
      </c>
      <c r="D639" s="6" t="s">
        <v>372</v>
      </c>
      <c r="I639" s="9"/>
      <c r="J639" s="9"/>
      <c r="K639" s="9">
        <v>44004833</v>
      </c>
      <c r="L639" s="6" t="str">
        <f t="shared" si="63"/>
        <v xml:space="preserve">NW NW KARYOLA 160 CM </v>
      </c>
      <c r="M639" s="12">
        <v>0.35</v>
      </c>
      <c r="N639" s="12">
        <v>0.3</v>
      </c>
      <c r="O639" s="12">
        <v>24507</v>
      </c>
      <c r="P639" s="12">
        <f t="shared" si="64"/>
        <v>17154.899999999998</v>
      </c>
      <c r="Q639" s="12">
        <f t="shared" si="65"/>
        <v>36025.289999999994</v>
      </c>
      <c r="R639" s="33">
        <f t="shared" si="66"/>
        <v>36000</v>
      </c>
      <c r="T639" s="12"/>
      <c r="U639" s="12"/>
      <c r="V639" s="12"/>
      <c r="W639" s="12"/>
    </row>
    <row r="640" spans="1:23" s="6" customFormat="1" ht="21.95" customHeight="1" x14ac:dyDescent="0.2">
      <c r="A640" s="6" t="s">
        <v>17</v>
      </c>
      <c r="B640" s="6" t="s">
        <v>1591</v>
      </c>
      <c r="C640" s="6" t="s">
        <v>1591</v>
      </c>
      <c r="D640" s="6" t="s">
        <v>373</v>
      </c>
      <c r="I640" s="9"/>
      <c r="J640" s="9"/>
      <c r="K640" s="9">
        <v>44004834</v>
      </c>
      <c r="L640" s="6" t="str">
        <f t="shared" si="63"/>
        <v xml:space="preserve">NW NW PUF </v>
      </c>
      <c r="M640" s="12">
        <v>0.35</v>
      </c>
      <c r="N640" s="12">
        <v>0.3</v>
      </c>
      <c r="O640" s="12">
        <v>2300</v>
      </c>
      <c r="P640" s="12">
        <f t="shared" si="64"/>
        <v>1610</v>
      </c>
      <c r="Q640" s="12">
        <f t="shared" si="65"/>
        <v>3381</v>
      </c>
      <c r="R640" s="33">
        <f t="shared" si="66"/>
        <v>3300</v>
      </c>
      <c r="T640" s="12"/>
      <c r="U640" s="12"/>
      <c r="V640" s="12"/>
      <c r="W640" s="12"/>
    </row>
    <row r="641" spans="1:24" s="6" customFormat="1" ht="21.95" customHeight="1" x14ac:dyDescent="0.2">
      <c r="A641" s="6" t="s">
        <v>17</v>
      </c>
      <c r="B641" s="6" t="s">
        <v>1591</v>
      </c>
      <c r="C641" s="6" t="s">
        <v>381</v>
      </c>
      <c r="D641" s="6" t="s">
        <v>382</v>
      </c>
      <c r="I641" s="9"/>
      <c r="J641" s="9"/>
      <c r="K641" s="9">
        <v>44004835</v>
      </c>
      <c r="L641" s="6" t="str">
        <f t="shared" si="63"/>
        <v xml:space="preserve">NW SAHRA  DOLAP 6 KAPAK </v>
      </c>
      <c r="M641" s="12">
        <v>0.35</v>
      </c>
      <c r="N641" s="12">
        <v>0.3</v>
      </c>
      <c r="O641" s="12">
        <v>49938</v>
      </c>
      <c r="P641" s="12">
        <f t="shared" si="64"/>
        <v>34956.6</v>
      </c>
      <c r="Q641" s="12">
        <f t="shared" si="65"/>
        <v>73408.86</v>
      </c>
      <c r="R641" s="33">
        <f t="shared" si="66"/>
        <v>73400</v>
      </c>
      <c r="T641" s="12"/>
      <c r="U641" s="12"/>
      <c r="V641" s="12"/>
      <c r="W641" s="12"/>
    </row>
    <row r="642" spans="1:24" s="6" customFormat="1" ht="21.95" customHeight="1" x14ac:dyDescent="0.2">
      <c r="A642" s="6" t="s">
        <v>17</v>
      </c>
      <c r="B642" s="6" t="s">
        <v>1591</v>
      </c>
      <c r="C642" s="6" t="s">
        <v>381</v>
      </c>
      <c r="D642" s="6" t="s">
        <v>96</v>
      </c>
      <c r="I642" s="9"/>
      <c r="J642" s="9"/>
      <c r="K642" s="9">
        <v>44004836</v>
      </c>
      <c r="L642" s="6" t="str">
        <f t="shared" si="63"/>
        <v xml:space="preserve">NW SAHRA  ŞİFONYER </v>
      </c>
      <c r="M642" s="12">
        <v>0.35</v>
      </c>
      <c r="N642" s="12">
        <v>0.3</v>
      </c>
      <c r="O642" s="12">
        <v>28434</v>
      </c>
      <c r="P642" s="12">
        <f t="shared" si="64"/>
        <v>19903.8</v>
      </c>
      <c r="Q642" s="12">
        <f t="shared" si="65"/>
        <v>41797.980000000003</v>
      </c>
      <c r="R642" s="33">
        <f t="shared" si="66"/>
        <v>41700</v>
      </c>
      <c r="T642" s="12"/>
      <c r="U642" s="12"/>
      <c r="V642" s="12">
        <f t="shared" ref="V642:V673" si="67">T642*(1-N642)</f>
        <v>0</v>
      </c>
      <c r="W642" s="12">
        <f t="shared" ref="W642:W735" si="68">V642*2.5</f>
        <v>0</v>
      </c>
      <c r="X642" s="12">
        <f t="shared" si="54"/>
        <v>0</v>
      </c>
    </row>
    <row r="643" spans="1:24" s="6" customFormat="1" ht="21.95" customHeight="1" x14ac:dyDescent="0.2">
      <c r="A643" s="6" t="s">
        <v>17</v>
      </c>
      <c r="B643" s="6" t="s">
        <v>1591</v>
      </c>
      <c r="C643" s="6" t="s">
        <v>381</v>
      </c>
      <c r="D643" s="6" t="s">
        <v>370</v>
      </c>
      <c r="I643" s="9"/>
      <c r="J643" s="9"/>
      <c r="K643" s="9">
        <v>44004837</v>
      </c>
      <c r="L643" s="6" t="str">
        <f t="shared" si="63"/>
        <v xml:space="preserve">NW SAHRA  ŞİFONYER AYNA </v>
      </c>
      <c r="M643" s="12">
        <v>0.35</v>
      </c>
      <c r="N643" s="12">
        <v>0.3</v>
      </c>
      <c r="O643" s="12">
        <v>6867</v>
      </c>
      <c r="P643" s="12">
        <f t="shared" si="64"/>
        <v>4806.8999999999996</v>
      </c>
      <c r="Q643" s="12">
        <f t="shared" si="65"/>
        <v>10094.49</v>
      </c>
      <c r="R643" s="33">
        <f t="shared" si="66"/>
        <v>10000</v>
      </c>
      <c r="T643" s="12"/>
      <c r="U643" s="12"/>
      <c r="V643" s="12">
        <f t="shared" si="67"/>
        <v>0</v>
      </c>
      <c r="W643" s="12">
        <f t="shared" si="68"/>
        <v>0</v>
      </c>
      <c r="X643" s="12">
        <f t="shared" si="54"/>
        <v>0</v>
      </c>
    </row>
    <row r="644" spans="1:24" s="6" customFormat="1" ht="21.95" customHeight="1" x14ac:dyDescent="0.2">
      <c r="A644" s="6" t="s">
        <v>17</v>
      </c>
      <c r="B644" s="6" t="s">
        <v>1591</v>
      </c>
      <c r="C644" s="6" t="s">
        <v>381</v>
      </c>
      <c r="D644" s="6" t="s">
        <v>371</v>
      </c>
      <c r="I644" s="9"/>
      <c r="J644" s="9"/>
      <c r="K644" s="9">
        <v>44004838</v>
      </c>
      <c r="L644" s="6" t="str">
        <f t="shared" si="63"/>
        <v xml:space="preserve">NW SAHRA  KOMODİN *2 ADET </v>
      </c>
      <c r="M644" s="12">
        <v>0.35</v>
      </c>
      <c r="N644" s="12">
        <v>0.3</v>
      </c>
      <c r="O644" s="12">
        <v>16296</v>
      </c>
      <c r="P644" s="12">
        <f t="shared" si="64"/>
        <v>11407.199999999999</v>
      </c>
      <c r="Q644" s="12">
        <f t="shared" si="65"/>
        <v>23955.119999999999</v>
      </c>
      <c r="R644" s="33">
        <f t="shared" si="66"/>
        <v>23900</v>
      </c>
      <c r="T644" s="12"/>
      <c r="U644" s="12"/>
      <c r="V644" s="12">
        <f t="shared" si="67"/>
        <v>0</v>
      </c>
      <c r="W644" s="12">
        <f t="shared" si="68"/>
        <v>0</v>
      </c>
      <c r="X644" s="12">
        <f t="shared" ref="X644:X735" si="69">ROUNDDOWN(W644,-2)</f>
        <v>0</v>
      </c>
    </row>
    <row r="645" spans="1:24" s="6" customFormat="1" ht="21.95" customHeight="1" x14ac:dyDescent="0.2">
      <c r="A645" s="6" t="s">
        <v>17</v>
      </c>
      <c r="B645" s="6" t="s">
        <v>1591</v>
      </c>
      <c r="C645" s="6" t="s">
        <v>381</v>
      </c>
      <c r="D645" s="6" t="s">
        <v>372</v>
      </c>
      <c r="I645" s="9"/>
      <c r="J645" s="9"/>
      <c r="K645" s="9">
        <v>44004839</v>
      </c>
      <c r="L645" s="6" t="str">
        <f t="shared" si="63"/>
        <v xml:space="preserve">NW SAHRA  KARYOLA 160 CM </v>
      </c>
      <c r="M645" s="12">
        <v>0.35</v>
      </c>
      <c r="N645" s="12">
        <v>0.3</v>
      </c>
      <c r="O645" s="12">
        <v>26250</v>
      </c>
      <c r="P645" s="12">
        <f t="shared" si="64"/>
        <v>18375</v>
      </c>
      <c r="Q645" s="12">
        <f t="shared" si="65"/>
        <v>38587.5</v>
      </c>
      <c r="R645" s="33">
        <f t="shared" si="66"/>
        <v>38500</v>
      </c>
      <c r="T645" s="12"/>
      <c r="U645" s="12"/>
      <c r="V645" s="12">
        <f t="shared" si="67"/>
        <v>0</v>
      </c>
      <c r="W645" s="12">
        <f t="shared" si="68"/>
        <v>0</v>
      </c>
      <c r="X645" s="12">
        <f t="shared" si="69"/>
        <v>0</v>
      </c>
    </row>
    <row r="646" spans="1:24" s="6" customFormat="1" ht="21.95" customHeight="1" x14ac:dyDescent="0.2">
      <c r="A646" s="6" t="s">
        <v>17</v>
      </c>
      <c r="B646" s="6" t="s">
        <v>1591</v>
      </c>
      <c r="C646" s="6" t="s">
        <v>381</v>
      </c>
      <c r="D646" s="6" t="s">
        <v>383</v>
      </c>
      <c r="I646" s="9"/>
      <c r="J646" s="9"/>
      <c r="K646" s="9">
        <v>44004840</v>
      </c>
      <c r="L646" s="6" t="str">
        <f t="shared" si="63"/>
        <v>NW SAHRA  DOLAP 3 KAPAK - CAM KAPAK</v>
      </c>
      <c r="M646" s="12">
        <v>0.35</v>
      </c>
      <c r="N646" s="12">
        <v>0.3</v>
      </c>
      <c r="O646" s="12">
        <v>24444</v>
      </c>
      <c r="P646" s="12">
        <f t="shared" si="64"/>
        <v>17110.8</v>
      </c>
      <c r="Q646" s="12">
        <f t="shared" si="65"/>
        <v>35932.68</v>
      </c>
      <c r="R646" s="33">
        <f t="shared" si="66"/>
        <v>35900</v>
      </c>
      <c r="T646" s="12"/>
      <c r="U646" s="12"/>
      <c r="V646" s="12">
        <f t="shared" si="67"/>
        <v>0</v>
      </c>
      <c r="W646" s="12">
        <f t="shared" si="68"/>
        <v>0</v>
      </c>
      <c r="X646" s="12">
        <f t="shared" si="69"/>
        <v>0</v>
      </c>
    </row>
    <row r="647" spans="1:24" s="6" customFormat="1" ht="21.95" customHeight="1" x14ac:dyDescent="0.2">
      <c r="A647" s="6" t="s">
        <v>17</v>
      </c>
      <c r="B647" s="6" t="s">
        <v>1591</v>
      </c>
      <c r="C647" s="6" t="s">
        <v>381</v>
      </c>
      <c r="D647" s="6" t="s">
        <v>384</v>
      </c>
      <c r="I647" s="9"/>
      <c r="J647" s="9"/>
      <c r="K647" s="9">
        <v>44004841</v>
      </c>
      <c r="L647" s="6" t="str">
        <f t="shared" si="63"/>
        <v>NW SAHRA  DOLAP 2 KAPAK - CAM KAPAK</v>
      </c>
      <c r="M647" s="12">
        <v>0.35</v>
      </c>
      <c r="N647" s="12">
        <v>0.3</v>
      </c>
      <c r="O647" s="12">
        <v>19005</v>
      </c>
      <c r="P647" s="12">
        <f t="shared" si="64"/>
        <v>13303.5</v>
      </c>
      <c r="Q647" s="12">
        <f t="shared" si="65"/>
        <v>27937.350000000002</v>
      </c>
      <c r="R647" s="33">
        <f t="shared" si="66"/>
        <v>27900</v>
      </c>
      <c r="T647" s="12"/>
      <c r="U647" s="12"/>
      <c r="V647" s="12">
        <f t="shared" si="67"/>
        <v>0</v>
      </c>
      <c r="W647" s="12">
        <f t="shared" si="68"/>
        <v>0</v>
      </c>
      <c r="X647" s="12">
        <f t="shared" si="69"/>
        <v>0</v>
      </c>
    </row>
    <row r="648" spans="1:24" s="6" customFormat="1" ht="21.95" customHeight="1" x14ac:dyDescent="0.2">
      <c r="A648" s="6" t="s">
        <v>17</v>
      </c>
      <c r="B648" s="6" t="s">
        <v>1591</v>
      </c>
      <c r="C648" s="6" t="s">
        <v>381</v>
      </c>
      <c r="D648" s="6" t="s">
        <v>385</v>
      </c>
      <c r="I648" s="9"/>
      <c r="J648" s="9"/>
      <c r="K648" s="9">
        <v>44004842</v>
      </c>
      <c r="L648" s="6" t="str">
        <f t="shared" si="63"/>
        <v xml:space="preserve">NW SAHRA  DOLAP 1 KAPAK - CAM KAPAK </v>
      </c>
      <c r="M648" s="12">
        <v>0.35</v>
      </c>
      <c r="N648" s="12">
        <v>0.3</v>
      </c>
      <c r="O648" s="12">
        <v>10206</v>
      </c>
      <c r="P648" s="12">
        <f t="shared" si="64"/>
        <v>7144.2</v>
      </c>
      <c r="Q648" s="12">
        <f t="shared" si="65"/>
        <v>15002.82</v>
      </c>
      <c r="R648" s="33">
        <f t="shared" si="66"/>
        <v>15000</v>
      </c>
      <c r="T648" s="12"/>
      <c r="U648" s="12"/>
      <c r="V648" s="12">
        <f t="shared" si="67"/>
        <v>0</v>
      </c>
      <c r="W648" s="12">
        <f t="shared" si="68"/>
        <v>0</v>
      </c>
      <c r="X648" s="12">
        <f t="shared" si="69"/>
        <v>0</v>
      </c>
    </row>
    <row r="649" spans="1:24" s="6" customFormat="1" ht="21.95" customHeight="1" x14ac:dyDescent="0.2">
      <c r="A649" s="6" t="s">
        <v>17</v>
      </c>
      <c r="B649" s="6" t="s">
        <v>1591</v>
      </c>
      <c r="C649" s="6" t="s">
        <v>381</v>
      </c>
      <c r="D649" s="6" t="s">
        <v>386</v>
      </c>
      <c r="I649" s="9"/>
      <c r="J649" s="9"/>
      <c r="K649" s="9">
        <v>44004843</v>
      </c>
      <c r="L649" s="6" t="str">
        <f t="shared" si="63"/>
        <v>NW SAHRA  DOLAP KÖŞE - CAM KAPAK</v>
      </c>
      <c r="M649" s="12">
        <v>0.35</v>
      </c>
      <c r="N649" s="12">
        <v>0.3</v>
      </c>
      <c r="O649" s="12">
        <v>16611</v>
      </c>
      <c r="P649" s="12">
        <f t="shared" si="64"/>
        <v>11627.699999999999</v>
      </c>
      <c r="Q649" s="12">
        <f t="shared" si="65"/>
        <v>24418.17</v>
      </c>
      <c r="R649" s="33">
        <f t="shared" si="66"/>
        <v>24400</v>
      </c>
      <c r="T649" s="12"/>
      <c r="U649" s="12"/>
      <c r="V649" s="12">
        <f t="shared" si="67"/>
        <v>0</v>
      </c>
      <c r="W649" s="12">
        <f t="shared" si="68"/>
        <v>0</v>
      </c>
      <c r="X649" s="12">
        <f t="shared" si="69"/>
        <v>0</v>
      </c>
    </row>
    <row r="650" spans="1:24" s="6" customFormat="1" ht="21.95" customHeight="1" x14ac:dyDescent="0.2">
      <c r="A650" s="6" t="s">
        <v>17</v>
      </c>
      <c r="B650" s="6" t="s">
        <v>1591</v>
      </c>
      <c r="C650" s="6" t="s">
        <v>381</v>
      </c>
      <c r="D650" s="6" t="s">
        <v>387</v>
      </c>
      <c r="I650" s="9"/>
      <c r="J650" s="9"/>
      <c r="K650" s="9">
        <v>44004844</v>
      </c>
      <c r="L650" s="6" t="str">
        <f t="shared" si="63"/>
        <v xml:space="preserve">NW SAHRA  DOLAP 2 KAPAK - AHŞAP KAPAK </v>
      </c>
      <c r="M650" s="12">
        <v>0.35</v>
      </c>
      <c r="N650" s="12">
        <v>0.3</v>
      </c>
      <c r="O650" s="12">
        <v>21084</v>
      </c>
      <c r="P650" s="12">
        <f t="shared" si="64"/>
        <v>14758.8</v>
      </c>
      <c r="Q650" s="12">
        <f t="shared" si="65"/>
        <v>30993.48</v>
      </c>
      <c r="R650" s="33">
        <f t="shared" si="66"/>
        <v>30900</v>
      </c>
      <c r="T650" s="12"/>
      <c r="U650" s="12"/>
      <c r="V650" s="12">
        <f t="shared" si="67"/>
        <v>0</v>
      </c>
      <c r="W650" s="12">
        <f t="shared" si="68"/>
        <v>0</v>
      </c>
      <c r="X650" s="12">
        <f t="shared" si="69"/>
        <v>0</v>
      </c>
    </row>
    <row r="651" spans="1:24" s="6" customFormat="1" ht="21.95" customHeight="1" x14ac:dyDescent="0.2">
      <c r="A651" s="6" t="s">
        <v>17</v>
      </c>
      <c r="B651" s="6" t="s">
        <v>1591</v>
      </c>
      <c r="C651" s="6" t="s">
        <v>381</v>
      </c>
      <c r="D651" s="6" t="s">
        <v>388</v>
      </c>
      <c r="I651" s="9"/>
      <c r="J651" s="9"/>
      <c r="K651" s="9">
        <v>44004845</v>
      </c>
      <c r="L651" s="6" t="str">
        <f t="shared" si="63"/>
        <v>NW SAHRA  DOLAP 1 KAPAK - AHŞAP KAPAK</v>
      </c>
      <c r="M651" s="12">
        <v>0.35</v>
      </c>
      <c r="N651" s="12">
        <v>0.3</v>
      </c>
      <c r="O651" s="12">
        <v>10941</v>
      </c>
      <c r="P651" s="12">
        <f t="shared" si="64"/>
        <v>7658.7</v>
      </c>
      <c r="Q651" s="12">
        <f t="shared" si="65"/>
        <v>16083.27</v>
      </c>
      <c r="R651" s="33">
        <f t="shared" si="66"/>
        <v>16000</v>
      </c>
      <c r="T651" s="12"/>
      <c r="U651" s="12"/>
      <c r="V651" s="12">
        <f t="shared" si="67"/>
        <v>0</v>
      </c>
      <c r="W651" s="12">
        <f t="shared" si="68"/>
        <v>0</v>
      </c>
      <c r="X651" s="12">
        <f t="shared" si="69"/>
        <v>0</v>
      </c>
    </row>
    <row r="652" spans="1:24" s="6" customFormat="1" ht="21.95" customHeight="1" x14ac:dyDescent="0.2">
      <c r="A652" s="6" t="s">
        <v>17</v>
      </c>
      <c r="B652" s="6" t="s">
        <v>1591</v>
      </c>
      <c r="C652" s="6" t="s">
        <v>381</v>
      </c>
      <c r="D652" s="6" t="s">
        <v>389</v>
      </c>
      <c r="I652" s="9"/>
      <c r="J652" s="9"/>
      <c r="K652" s="9">
        <v>44004846</v>
      </c>
      <c r="L652" s="6" t="str">
        <f t="shared" si="63"/>
        <v xml:space="preserve">NW SAHRA  DOLAP DIŞ YAN </v>
      </c>
      <c r="M652" s="12">
        <v>0.35</v>
      </c>
      <c r="N652" s="12">
        <v>0.3</v>
      </c>
      <c r="O652" s="12">
        <v>3171</v>
      </c>
      <c r="P652" s="12">
        <f t="shared" si="64"/>
        <v>2219.6999999999998</v>
      </c>
      <c r="Q652" s="12">
        <f t="shared" si="65"/>
        <v>4661.37</v>
      </c>
      <c r="R652" s="33">
        <f t="shared" si="66"/>
        <v>4600</v>
      </c>
      <c r="T652" s="12"/>
      <c r="U652" s="12"/>
      <c r="V652" s="12">
        <f t="shared" si="67"/>
        <v>0</v>
      </c>
      <c r="W652" s="12">
        <f t="shared" si="68"/>
        <v>0</v>
      </c>
      <c r="X652" s="12">
        <f t="shared" si="69"/>
        <v>0</v>
      </c>
    </row>
    <row r="653" spans="1:24" s="6" customFormat="1" ht="21.95" customHeight="1" x14ac:dyDescent="0.2">
      <c r="A653" s="6" t="s">
        <v>17</v>
      </c>
      <c r="B653" s="6" t="s">
        <v>1591</v>
      </c>
      <c r="C653" s="6" t="s">
        <v>381</v>
      </c>
      <c r="D653" s="6" t="s">
        <v>373</v>
      </c>
      <c r="I653" s="9"/>
      <c r="J653" s="9"/>
      <c r="K653" s="9">
        <v>44004847</v>
      </c>
      <c r="L653" s="6" t="str">
        <f t="shared" si="63"/>
        <v xml:space="preserve">NW SAHRA  PUF </v>
      </c>
      <c r="M653" s="12">
        <v>0.35</v>
      </c>
      <c r="N653" s="12">
        <v>0.3</v>
      </c>
      <c r="O653" s="12">
        <v>2300</v>
      </c>
      <c r="P653" s="12">
        <f t="shared" si="64"/>
        <v>1610</v>
      </c>
      <c r="Q653" s="12">
        <f t="shared" si="65"/>
        <v>3381</v>
      </c>
      <c r="R653" s="33">
        <f t="shared" si="66"/>
        <v>3300</v>
      </c>
      <c r="T653" s="12"/>
      <c r="U653" s="12"/>
      <c r="V653" s="12">
        <f t="shared" si="67"/>
        <v>0</v>
      </c>
      <c r="W653" s="12">
        <f t="shared" si="68"/>
        <v>0</v>
      </c>
      <c r="X653" s="12">
        <f t="shared" si="69"/>
        <v>0</v>
      </c>
    </row>
    <row r="654" spans="1:24" s="6" customFormat="1" ht="21.95" customHeight="1" x14ac:dyDescent="0.2">
      <c r="A654" s="6" t="s">
        <v>17</v>
      </c>
      <c r="B654" s="6" t="s">
        <v>1591</v>
      </c>
      <c r="C654" s="6" t="s">
        <v>381</v>
      </c>
      <c r="D654" s="6" t="s">
        <v>194</v>
      </c>
      <c r="I654" s="9"/>
      <c r="J654" s="9"/>
      <c r="K654" s="9">
        <v>44004848</v>
      </c>
      <c r="L654" s="6" t="str">
        <f t="shared" si="63"/>
        <v xml:space="preserve">NW SAHRA  KONSOL </v>
      </c>
      <c r="M654" s="12">
        <v>0.35</v>
      </c>
      <c r="N654" s="12">
        <v>0.3</v>
      </c>
      <c r="O654" s="12">
        <v>35600</v>
      </c>
      <c r="P654" s="12">
        <f t="shared" si="64"/>
        <v>24920</v>
      </c>
      <c r="Q654" s="12">
        <f t="shared" si="65"/>
        <v>52332</v>
      </c>
      <c r="R654" s="33">
        <f t="shared" si="66"/>
        <v>52300</v>
      </c>
      <c r="T654" s="12"/>
      <c r="U654" s="12"/>
      <c r="V654" s="12">
        <f t="shared" si="67"/>
        <v>0</v>
      </c>
      <c r="W654" s="12">
        <f t="shared" si="68"/>
        <v>0</v>
      </c>
      <c r="X654" s="12">
        <f t="shared" si="69"/>
        <v>0</v>
      </c>
    </row>
    <row r="655" spans="1:24" s="6" customFormat="1" ht="21.95" customHeight="1" x14ac:dyDescent="0.2">
      <c r="A655" s="6" t="s">
        <v>17</v>
      </c>
      <c r="B655" s="6" t="s">
        <v>1591</v>
      </c>
      <c r="C655" s="6" t="s">
        <v>381</v>
      </c>
      <c r="D655" s="6" t="s">
        <v>390</v>
      </c>
      <c r="I655" s="9"/>
      <c r="J655" s="9"/>
      <c r="K655" s="9">
        <v>44004849</v>
      </c>
      <c r="L655" s="6" t="str">
        <f t="shared" si="63"/>
        <v xml:space="preserve">NW SAHRA  KONSOL AYNA </v>
      </c>
      <c r="M655" s="12">
        <v>0.35</v>
      </c>
      <c r="N655" s="12">
        <v>0.3</v>
      </c>
      <c r="O655" s="12">
        <v>6540</v>
      </c>
      <c r="P655" s="12">
        <f t="shared" si="64"/>
        <v>4578</v>
      </c>
      <c r="Q655" s="12">
        <f t="shared" si="65"/>
        <v>9613.8000000000011</v>
      </c>
      <c r="R655" s="33">
        <f t="shared" si="66"/>
        <v>9600</v>
      </c>
      <c r="T655" s="12"/>
      <c r="U655" s="12"/>
      <c r="V655" s="12">
        <f t="shared" si="67"/>
        <v>0</v>
      </c>
      <c r="W655" s="12">
        <f t="shared" si="68"/>
        <v>0</v>
      </c>
      <c r="X655" s="12">
        <f t="shared" si="69"/>
        <v>0</v>
      </c>
    </row>
    <row r="656" spans="1:24" s="6" customFormat="1" ht="21.95" customHeight="1" x14ac:dyDescent="0.2">
      <c r="A656" s="6" t="s">
        <v>17</v>
      </c>
      <c r="B656" s="6" t="s">
        <v>1591</v>
      </c>
      <c r="C656" s="6" t="s">
        <v>381</v>
      </c>
      <c r="D656" s="6" t="s">
        <v>375</v>
      </c>
      <c r="I656" s="9"/>
      <c r="J656" s="9"/>
      <c r="K656" s="9">
        <v>44004850</v>
      </c>
      <c r="L656" s="6" t="str">
        <f t="shared" si="63"/>
        <v xml:space="preserve">NW SAHRA  MASA </v>
      </c>
      <c r="M656" s="12">
        <v>0.35</v>
      </c>
      <c r="N656" s="12">
        <v>0.3</v>
      </c>
      <c r="O656" s="12">
        <v>32200</v>
      </c>
      <c r="P656" s="12">
        <f t="shared" si="64"/>
        <v>22540</v>
      </c>
      <c r="Q656" s="12">
        <f t="shared" si="65"/>
        <v>47334</v>
      </c>
      <c r="R656" s="33">
        <f t="shared" si="66"/>
        <v>47300</v>
      </c>
      <c r="T656" s="12"/>
      <c r="U656" s="12"/>
      <c r="V656" s="12">
        <f t="shared" si="67"/>
        <v>0</v>
      </c>
      <c r="W656" s="12">
        <f t="shared" si="68"/>
        <v>0</v>
      </c>
      <c r="X656" s="12">
        <f t="shared" si="69"/>
        <v>0</v>
      </c>
    </row>
    <row r="657" spans="1:24" s="6" customFormat="1" ht="21.95" customHeight="1" x14ac:dyDescent="0.2">
      <c r="A657" s="6" t="s">
        <v>17</v>
      </c>
      <c r="B657" s="6" t="s">
        <v>1591</v>
      </c>
      <c r="C657" s="6" t="s">
        <v>381</v>
      </c>
      <c r="D657" s="6" t="s">
        <v>391</v>
      </c>
      <c r="I657" s="9"/>
      <c r="J657" s="9"/>
      <c r="K657" s="9">
        <v>44004851</v>
      </c>
      <c r="L657" s="6" t="str">
        <f t="shared" si="63"/>
        <v>NW SAHRA  SAHRA SANDALYE *4 ADET (KOLSUZ)</v>
      </c>
      <c r="M657" s="12">
        <v>0.35</v>
      </c>
      <c r="N657" s="12">
        <v>0.3</v>
      </c>
      <c r="O657" s="12">
        <v>19560</v>
      </c>
      <c r="P657" s="12">
        <f t="shared" si="64"/>
        <v>13692</v>
      </c>
      <c r="Q657" s="12">
        <f t="shared" si="65"/>
        <v>28753.200000000001</v>
      </c>
      <c r="R657" s="33">
        <f t="shared" si="66"/>
        <v>28700</v>
      </c>
      <c r="T657" s="12"/>
      <c r="U657" s="12"/>
      <c r="V657" s="12">
        <f t="shared" si="67"/>
        <v>0</v>
      </c>
      <c r="W657" s="12">
        <f t="shared" si="68"/>
        <v>0</v>
      </c>
      <c r="X657" s="12">
        <f t="shared" si="69"/>
        <v>0</v>
      </c>
    </row>
    <row r="658" spans="1:24" s="6" customFormat="1" ht="21.95" customHeight="1" x14ac:dyDescent="0.2">
      <c r="A658" s="6" t="s">
        <v>17</v>
      </c>
      <c r="B658" s="6" t="s">
        <v>1591</v>
      </c>
      <c r="C658" s="6" t="s">
        <v>381</v>
      </c>
      <c r="D658" s="6" t="s">
        <v>392</v>
      </c>
      <c r="I658" s="9"/>
      <c r="J658" s="9"/>
      <c r="K658" s="9">
        <v>44004852</v>
      </c>
      <c r="L658" s="6" t="str">
        <f t="shared" si="63"/>
        <v>NW SAHRA  SAHRA SANDALYE *2 ADET (KOLLU)</v>
      </c>
      <c r="M658" s="12">
        <v>0.35</v>
      </c>
      <c r="N658" s="12">
        <v>0.3</v>
      </c>
      <c r="O658" s="12">
        <v>14000</v>
      </c>
      <c r="P658" s="12">
        <f t="shared" si="64"/>
        <v>9800</v>
      </c>
      <c r="Q658" s="12">
        <f t="shared" si="65"/>
        <v>20580</v>
      </c>
      <c r="R658" s="33">
        <f t="shared" si="66"/>
        <v>20500</v>
      </c>
      <c r="T658" s="12"/>
      <c r="U658" s="12"/>
      <c r="V658" s="12">
        <f t="shared" si="67"/>
        <v>0</v>
      </c>
      <c r="W658" s="12">
        <f t="shared" si="68"/>
        <v>0</v>
      </c>
      <c r="X658" s="12">
        <f t="shared" si="69"/>
        <v>0</v>
      </c>
    </row>
    <row r="659" spans="1:24" s="6" customFormat="1" ht="21.95" customHeight="1" x14ac:dyDescent="0.2">
      <c r="A659" s="6" t="s">
        <v>17</v>
      </c>
      <c r="B659" s="6" t="s">
        <v>1591</v>
      </c>
      <c r="C659" s="6" t="s">
        <v>381</v>
      </c>
      <c r="D659" s="6" t="s">
        <v>102</v>
      </c>
      <c r="I659" s="9"/>
      <c r="J659" s="9"/>
      <c r="K659" s="9">
        <v>44004853</v>
      </c>
      <c r="L659" s="6" t="str">
        <f t="shared" si="63"/>
        <v>NW SAHRA  TV ÜNİTESİ ALT BLOK</v>
      </c>
      <c r="M659" s="12">
        <v>0.35</v>
      </c>
      <c r="N659" s="12">
        <v>0.3</v>
      </c>
      <c r="O659" s="12">
        <v>33880</v>
      </c>
      <c r="P659" s="12">
        <f t="shared" si="64"/>
        <v>23716</v>
      </c>
      <c r="Q659" s="12">
        <f t="shared" si="65"/>
        <v>49803.6</v>
      </c>
      <c r="R659" s="33">
        <f t="shared" si="66"/>
        <v>49800</v>
      </c>
      <c r="T659" s="12"/>
      <c r="U659" s="12"/>
      <c r="V659" s="12">
        <f t="shared" si="67"/>
        <v>0</v>
      </c>
      <c r="W659" s="12">
        <f t="shared" si="68"/>
        <v>0</v>
      </c>
      <c r="X659" s="12">
        <f t="shared" si="69"/>
        <v>0</v>
      </c>
    </row>
    <row r="660" spans="1:24" s="6" customFormat="1" ht="21.95" customHeight="1" x14ac:dyDescent="0.2">
      <c r="A660" s="6" t="s">
        <v>17</v>
      </c>
      <c r="B660" s="6" t="s">
        <v>1591</v>
      </c>
      <c r="C660" s="6" t="s">
        <v>381</v>
      </c>
      <c r="D660" s="6" t="s">
        <v>393</v>
      </c>
      <c r="I660" s="9"/>
      <c r="J660" s="9"/>
      <c r="K660" s="9">
        <v>44004854</v>
      </c>
      <c r="L660" s="6" t="str">
        <f t="shared" si="63"/>
        <v xml:space="preserve">NW SAHRA  TV ÜST DOLAP *2 ADET </v>
      </c>
      <c r="M660" s="12">
        <v>0.35</v>
      </c>
      <c r="N660" s="12">
        <v>0.3</v>
      </c>
      <c r="O660" s="12">
        <v>10460</v>
      </c>
      <c r="P660" s="12">
        <f t="shared" si="64"/>
        <v>7321.9999999999991</v>
      </c>
      <c r="Q660" s="12">
        <f t="shared" si="65"/>
        <v>15376.199999999999</v>
      </c>
      <c r="R660" s="33">
        <f t="shared" si="66"/>
        <v>15300</v>
      </c>
      <c r="T660" s="12"/>
      <c r="U660" s="12"/>
      <c r="V660" s="12">
        <f t="shared" si="67"/>
        <v>0</v>
      </c>
      <c r="W660" s="12">
        <f t="shared" si="68"/>
        <v>0</v>
      </c>
      <c r="X660" s="12">
        <f t="shared" si="69"/>
        <v>0</v>
      </c>
    </row>
    <row r="661" spans="1:24" s="6" customFormat="1" ht="21.95" customHeight="1" x14ac:dyDescent="0.2">
      <c r="A661" s="6" t="s">
        <v>17</v>
      </c>
      <c r="B661" s="6" t="s">
        <v>1591</v>
      </c>
      <c r="C661" s="6" t="s">
        <v>381</v>
      </c>
      <c r="D661" s="6" t="s">
        <v>29</v>
      </c>
      <c r="I661" s="9"/>
      <c r="J661" s="9"/>
      <c r="K661" s="9">
        <v>44004855</v>
      </c>
      <c r="L661" s="6" t="str">
        <f t="shared" si="63"/>
        <v>NW SAHRA  ORTA SEHPA</v>
      </c>
      <c r="M661" s="12">
        <v>0.35</v>
      </c>
      <c r="N661" s="12">
        <v>0.3</v>
      </c>
      <c r="O661" s="12">
        <v>12300</v>
      </c>
      <c r="P661" s="12">
        <f t="shared" si="64"/>
        <v>8610</v>
      </c>
      <c r="Q661" s="12">
        <f t="shared" si="65"/>
        <v>18081</v>
      </c>
      <c r="R661" s="33">
        <f t="shared" si="66"/>
        <v>18000</v>
      </c>
      <c r="T661" s="12"/>
      <c r="U661" s="12"/>
      <c r="V661" s="12">
        <f t="shared" si="67"/>
        <v>0</v>
      </c>
      <c r="W661" s="12">
        <f t="shared" si="68"/>
        <v>0</v>
      </c>
      <c r="X661" s="12">
        <f t="shared" si="69"/>
        <v>0</v>
      </c>
    </row>
    <row r="662" spans="1:24" s="6" customFormat="1" ht="21.95" customHeight="1" x14ac:dyDescent="0.2">
      <c r="A662" s="6" t="s">
        <v>17</v>
      </c>
      <c r="B662" s="6" t="s">
        <v>1591</v>
      </c>
      <c r="C662" s="6" t="s">
        <v>381</v>
      </c>
      <c r="D662" s="6" t="s">
        <v>30</v>
      </c>
      <c r="I662" s="9"/>
      <c r="J662" s="9"/>
      <c r="K662" s="9">
        <v>44004856</v>
      </c>
      <c r="L662" s="6" t="str">
        <f t="shared" si="63"/>
        <v>NW SAHRA  YAN SEHPA</v>
      </c>
      <c r="M662" s="12">
        <v>0.35</v>
      </c>
      <c r="N662" s="12">
        <v>0.3</v>
      </c>
      <c r="O662" s="12">
        <v>5420</v>
      </c>
      <c r="P662" s="12">
        <f t="shared" si="64"/>
        <v>3793.9999999999995</v>
      </c>
      <c r="Q662" s="12">
        <f t="shared" si="65"/>
        <v>7967.4</v>
      </c>
      <c r="R662" s="33">
        <f t="shared" si="66"/>
        <v>7900</v>
      </c>
      <c r="T662" s="12"/>
      <c r="U662" s="12"/>
      <c r="V662" s="12">
        <f t="shared" si="67"/>
        <v>0</v>
      </c>
      <c r="W662" s="12">
        <f t="shared" si="68"/>
        <v>0</v>
      </c>
      <c r="X662" s="12">
        <f t="shared" si="69"/>
        <v>0</v>
      </c>
    </row>
    <row r="663" spans="1:24" s="6" customFormat="1" ht="21.95" customHeight="1" x14ac:dyDescent="0.2">
      <c r="A663" s="6" t="s">
        <v>17</v>
      </c>
      <c r="B663" s="6" t="s">
        <v>1591</v>
      </c>
      <c r="C663" s="6" t="s">
        <v>394</v>
      </c>
      <c r="D663" s="6" t="s">
        <v>395</v>
      </c>
      <c r="I663" s="9"/>
      <c r="J663" s="9"/>
      <c r="K663" s="9">
        <v>44004857</v>
      </c>
      <c r="L663" s="6" t="str">
        <f t="shared" si="63"/>
        <v>NW GALAXY  DOLAP 3 KAPAK</v>
      </c>
      <c r="M663" s="12">
        <v>0.35</v>
      </c>
      <c r="N663" s="12">
        <v>0.3</v>
      </c>
      <c r="O663" s="12">
        <v>20454</v>
      </c>
      <c r="P663" s="12">
        <f t="shared" ref="P663:P683" si="70">O663*(1-N663)</f>
        <v>14317.8</v>
      </c>
      <c r="Q663" s="12">
        <f t="shared" ref="Q663:Q683" si="71">O663*(1-N663)*2.1</f>
        <v>30067.38</v>
      </c>
      <c r="R663" s="33">
        <f t="shared" ref="R663:R683" si="72">ROUNDDOWN(Q663,-2)</f>
        <v>30000</v>
      </c>
      <c r="T663" s="12"/>
      <c r="U663" s="12"/>
      <c r="V663" s="12">
        <f t="shared" si="67"/>
        <v>0</v>
      </c>
      <c r="W663" s="12">
        <f t="shared" si="68"/>
        <v>0</v>
      </c>
      <c r="X663" s="12">
        <f t="shared" si="69"/>
        <v>0</v>
      </c>
    </row>
    <row r="664" spans="1:24" s="6" customFormat="1" ht="21.95" customHeight="1" x14ac:dyDescent="0.2">
      <c r="A664" s="6" t="s">
        <v>17</v>
      </c>
      <c r="B664" s="6" t="s">
        <v>1591</v>
      </c>
      <c r="C664" s="6" t="s">
        <v>394</v>
      </c>
      <c r="D664" s="6" t="s">
        <v>396</v>
      </c>
      <c r="I664" s="9"/>
      <c r="J664" s="9"/>
      <c r="K664" s="9">
        <v>44004858</v>
      </c>
      <c r="L664" s="6" t="str">
        <f t="shared" si="63"/>
        <v xml:space="preserve">NW GALAXY  DOLAP 2 KAPAK </v>
      </c>
      <c r="M664" s="12">
        <v>0.35</v>
      </c>
      <c r="N664" s="12">
        <v>0.3</v>
      </c>
      <c r="O664" s="12">
        <v>21630</v>
      </c>
      <c r="P664" s="12">
        <f t="shared" si="70"/>
        <v>15140.999999999998</v>
      </c>
      <c r="Q664" s="12">
        <f t="shared" si="71"/>
        <v>31796.1</v>
      </c>
      <c r="R664" s="33">
        <f t="shared" si="72"/>
        <v>31700</v>
      </c>
      <c r="T664" s="12"/>
      <c r="U664" s="12"/>
      <c r="V664" s="12">
        <f t="shared" si="67"/>
        <v>0</v>
      </c>
      <c r="W664" s="12">
        <f t="shared" si="68"/>
        <v>0</v>
      </c>
      <c r="X664" s="12">
        <f t="shared" si="69"/>
        <v>0</v>
      </c>
    </row>
    <row r="665" spans="1:24" s="6" customFormat="1" ht="21.95" customHeight="1" x14ac:dyDescent="0.2">
      <c r="A665" s="6" t="s">
        <v>17</v>
      </c>
      <c r="B665" s="6" t="s">
        <v>1591</v>
      </c>
      <c r="C665" s="6" t="s">
        <v>394</v>
      </c>
      <c r="D665" s="6" t="s">
        <v>397</v>
      </c>
      <c r="I665" s="9"/>
      <c r="J665" s="9"/>
      <c r="K665" s="9">
        <v>44004859</v>
      </c>
      <c r="L665" s="6" t="str">
        <f t="shared" si="63"/>
        <v xml:space="preserve">NW GALAXY  DOLAP TEKLİ </v>
      </c>
      <c r="M665" s="12">
        <v>0.35</v>
      </c>
      <c r="N665" s="12">
        <v>0.3</v>
      </c>
      <c r="O665" s="12">
        <v>8736</v>
      </c>
      <c r="P665" s="12">
        <f t="shared" si="70"/>
        <v>6115.2</v>
      </c>
      <c r="Q665" s="12">
        <f t="shared" si="71"/>
        <v>12841.92</v>
      </c>
      <c r="R665" s="33">
        <f t="shared" si="72"/>
        <v>12800</v>
      </c>
      <c r="T665" s="12"/>
      <c r="U665" s="12"/>
      <c r="V665" s="12">
        <f t="shared" si="67"/>
        <v>0</v>
      </c>
      <c r="W665" s="12">
        <f t="shared" si="68"/>
        <v>0</v>
      </c>
      <c r="X665" s="12">
        <f t="shared" si="69"/>
        <v>0</v>
      </c>
    </row>
    <row r="666" spans="1:24" s="6" customFormat="1" ht="21.95" customHeight="1" x14ac:dyDescent="0.2">
      <c r="A666" s="6" t="s">
        <v>17</v>
      </c>
      <c r="B666" s="6" t="s">
        <v>1591</v>
      </c>
      <c r="C666" s="6" t="s">
        <v>394</v>
      </c>
      <c r="D666" s="6" t="s">
        <v>78</v>
      </c>
      <c r="I666" s="9"/>
      <c r="J666" s="9"/>
      <c r="K666" s="9">
        <v>44004860</v>
      </c>
      <c r="L666" s="6" t="str">
        <f t="shared" si="63"/>
        <v>NW GALAXY  ŞİFONYER</v>
      </c>
      <c r="M666" s="12">
        <v>0.35</v>
      </c>
      <c r="N666" s="12">
        <v>0.3</v>
      </c>
      <c r="O666" s="12">
        <v>25830</v>
      </c>
      <c r="P666" s="12">
        <f t="shared" si="70"/>
        <v>18081</v>
      </c>
      <c r="Q666" s="12">
        <f t="shared" si="71"/>
        <v>37970.1</v>
      </c>
      <c r="R666" s="33">
        <f t="shared" si="72"/>
        <v>37900</v>
      </c>
      <c r="T666" s="12"/>
      <c r="U666" s="12"/>
      <c r="V666" s="12">
        <f t="shared" si="67"/>
        <v>0</v>
      </c>
      <c r="W666" s="12">
        <f t="shared" si="68"/>
        <v>0</v>
      </c>
      <c r="X666" s="12">
        <f t="shared" si="69"/>
        <v>0</v>
      </c>
    </row>
    <row r="667" spans="1:24" s="6" customFormat="1" ht="21.95" customHeight="1" x14ac:dyDescent="0.2">
      <c r="A667" s="6" t="s">
        <v>17</v>
      </c>
      <c r="B667" s="6" t="s">
        <v>1591</v>
      </c>
      <c r="C667" s="6" t="s">
        <v>394</v>
      </c>
      <c r="D667" s="6" t="s">
        <v>380</v>
      </c>
      <c r="I667" s="9"/>
      <c r="J667" s="9"/>
      <c r="K667" s="9">
        <v>44004861</v>
      </c>
      <c r="L667" s="6" t="str">
        <f t="shared" si="63"/>
        <v>NW GALAXY  ŞİFONYER AYNA</v>
      </c>
      <c r="M667" s="12">
        <v>0.35</v>
      </c>
      <c r="N667" s="12">
        <v>0.3</v>
      </c>
      <c r="O667" s="12">
        <v>7119</v>
      </c>
      <c r="P667" s="12">
        <f t="shared" si="70"/>
        <v>4983.2999999999993</v>
      </c>
      <c r="Q667" s="12">
        <f t="shared" si="71"/>
        <v>10464.929999999998</v>
      </c>
      <c r="R667" s="33">
        <f t="shared" si="72"/>
        <v>10400</v>
      </c>
      <c r="T667" s="12"/>
      <c r="U667" s="12"/>
      <c r="V667" s="12">
        <f t="shared" si="67"/>
        <v>0</v>
      </c>
      <c r="W667" s="12">
        <f t="shared" si="68"/>
        <v>0</v>
      </c>
      <c r="X667" s="12">
        <f t="shared" si="69"/>
        <v>0</v>
      </c>
    </row>
    <row r="668" spans="1:24" s="6" customFormat="1" ht="21.95" customHeight="1" x14ac:dyDescent="0.2">
      <c r="A668" s="6" t="s">
        <v>17</v>
      </c>
      <c r="B668" s="6" t="s">
        <v>1591</v>
      </c>
      <c r="C668" s="6" t="s">
        <v>394</v>
      </c>
      <c r="D668" s="6" t="s">
        <v>371</v>
      </c>
      <c r="I668" s="9"/>
      <c r="J668" s="9"/>
      <c r="K668" s="9">
        <v>44004862</v>
      </c>
      <c r="L668" s="6" t="str">
        <f t="shared" si="63"/>
        <v xml:space="preserve">NW GALAXY  KOMODİN *2 ADET </v>
      </c>
      <c r="M668" s="12">
        <v>0.35</v>
      </c>
      <c r="N668" s="12">
        <v>0.3</v>
      </c>
      <c r="O668" s="12">
        <v>17598</v>
      </c>
      <c r="P668" s="12">
        <f t="shared" si="70"/>
        <v>12318.599999999999</v>
      </c>
      <c r="Q668" s="12">
        <f t="shared" si="71"/>
        <v>25869.059999999998</v>
      </c>
      <c r="R668" s="33">
        <f t="shared" si="72"/>
        <v>25800</v>
      </c>
      <c r="T668" s="12"/>
      <c r="U668" s="12"/>
      <c r="V668" s="12">
        <f t="shared" si="67"/>
        <v>0</v>
      </c>
      <c r="W668" s="12">
        <f t="shared" si="68"/>
        <v>0</v>
      </c>
      <c r="X668" s="12">
        <f t="shared" si="69"/>
        <v>0</v>
      </c>
    </row>
    <row r="669" spans="1:24" s="6" customFormat="1" ht="21.95" customHeight="1" x14ac:dyDescent="0.2">
      <c r="A669" s="6" t="s">
        <v>17</v>
      </c>
      <c r="B669" s="6" t="s">
        <v>1591</v>
      </c>
      <c r="C669" s="6" t="s">
        <v>394</v>
      </c>
      <c r="D669" s="6" t="s">
        <v>372</v>
      </c>
      <c r="I669" s="9"/>
      <c r="J669" s="9"/>
      <c r="K669" s="9">
        <v>44004863</v>
      </c>
      <c r="L669" s="6" t="str">
        <f t="shared" si="63"/>
        <v xml:space="preserve">NW GALAXY  KARYOLA 160 CM </v>
      </c>
      <c r="M669" s="12">
        <v>0.35</v>
      </c>
      <c r="N669" s="12">
        <v>0.3</v>
      </c>
      <c r="O669" s="12">
        <v>24171</v>
      </c>
      <c r="P669" s="12">
        <f t="shared" si="70"/>
        <v>16919.7</v>
      </c>
      <c r="Q669" s="12">
        <f t="shared" si="71"/>
        <v>35531.370000000003</v>
      </c>
      <c r="R669" s="33">
        <f t="shared" si="72"/>
        <v>35500</v>
      </c>
      <c r="T669" s="12"/>
      <c r="U669" s="12"/>
      <c r="V669" s="12">
        <f t="shared" si="67"/>
        <v>0</v>
      </c>
      <c r="W669" s="12">
        <f t="shared" si="68"/>
        <v>0</v>
      </c>
      <c r="X669" s="12">
        <f t="shared" si="69"/>
        <v>0</v>
      </c>
    </row>
    <row r="670" spans="1:24" s="6" customFormat="1" ht="21.95" customHeight="1" x14ac:dyDescent="0.2">
      <c r="A670" s="6" t="s">
        <v>17</v>
      </c>
      <c r="B670" s="6" t="s">
        <v>1591</v>
      </c>
      <c r="C670" s="6" t="s">
        <v>394</v>
      </c>
      <c r="D670" s="6" t="s">
        <v>398</v>
      </c>
      <c r="I670" s="9"/>
      <c r="J670" s="9"/>
      <c r="K670" s="9">
        <v>44004864</v>
      </c>
      <c r="L670" s="6" t="str">
        <f t="shared" si="63"/>
        <v>NW GALAXY  KÖŞE DOLAP</v>
      </c>
      <c r="M670" s="12">
        <v>0.35</v>
      </c>
      <c r="N670" s="12">
        <v>0.3</v>
      </c>
      <c r="O670" s="12">
        <v>17682</v>
      </c>
      <c r="P670" s="12">
        <f t="shared" si="70"/>
        <v>12377.4</v>
      </c>
      <c r="Q670" s="12">
        <f t="shared" si="71"/>
        <v>25992.54</v>
      </c>
      <c r="R670" s="33">
        <f t="shared" si="72"/>
        <v>25900</v>
      </c>
      <c r="T670" s="12"/>
      <c r="U670" s="12"/>
      <c r="V670" s="12">
        <f t="shared" si="67"/>
        <v>0</v>
      </c>
      <c r="W670" s="12">
        <f t="shared" si="68"/>
        <v>0</v>
      </c>
      <c r="X670" s="12">
        <f t="shared" si="69"/>
        <v>0</v>
      </c>
    </row>
    <row r="671" spans="1:24" s="6" customFormat="1" ht="21.95" customHeight="1" x14ac:dyDescent="0.2">
      <c r="A671" s="6" t="s">
        <v>17</v>
      </c>
      <c r="B671" s="6" t="s">
        <v>1591</v>
      </c>
      <c r="C671" s="6" t="s">
        <v>394</v>
      </c>
      <c r="D671" s="6" t="s">
        <v>399</v>
      </c>
      <c r="I671" s="9"/>
      <c r="J671" s="9"/>
      <c r="K671" s="9">
        <v>44004865</v>
      </c>
      <c r="L671" s="6" t="str">
        <f t="shared" si="63"/>
        <v>NW GALAXY  KÖŞE DOLAP - CAM KAPAK</v>
      </c>
      <c r="M671" s="12">
        <v>0.35</v>
      </c>
      <c r="N671" s="12">
        <v>0.3</v>
      </c>
      <c r="O671" s="12">
        <v>19131</v>
      </c>
      <c r="P671" s="12">
        <f t="shared" si="70"/>
        <v>13391.699999999999</v>
      </c>
      <c r="Q671" s="12">
        <f t="shared" si="71"/>
        <v>28122.57</v>
      </c>
      <c r="R671" s="33">
        <f t="shared" si="72"/>
        <v>28100</v>
      </c>
      <c r="T671" s="12"/>
      <c r="U671" s="12"/>
      <c r="V671" s="12">
        <f t="shared" si="67"/>
        <v>0</v>
      </c>
      <c r="W671" s="12">
        <f t="shared" si="68"/>
        <v>0</v>
      </c>
      <c r="X671" s="12">
        <f t="shared" si="69"/>
        <v>0</v>
      </c>
    </row>
    <row r="672" spans="1:24" s="6" customFormat="1" ht="21.95" customHeight="1" x14ac:dyDescent="0.2">
      <c r="A672" s="6" t="s">
        <v>17</v>
      </c>
      <c r="B672" s="6" t="s">
        <v>1591</v>
      </c>
      <c r="C672" s="6" t="s">
        <v>394</v>
      </c>
      <c r="D672" s="6" t="s">
        <v>383</v>
      </c>
      <c r="I672" s="9"/>
      <c r="J672" s="9"/>
      <c r="K672" s="9">
        <v>44004866</v>
      </c>
      <c r="L672" s="6" t="str">
        <f t="shared" si="63"/>
        <v>NW GALAXY  DOLAP 3 KAPAK - CAM KAPAK</v>
      </c>
      <c r="M672" s="12">
        <v>0.35</v>
      </c>
      <c r="N672" s="12">
        <v>0.3</v>
      </c>
      <c r="O672" s="12">
        <v>26733</v>
      </c>
      <c r="P672" s="12">
        <f t="shared" si="70"/>
        <v>18713.099999999999</v>
      </c>
      <c r="Q672" s="12">
        <f t="shared" si="71"/>
        <v>39297.51</v>
      </c>
      <c r="R672" s="33">
        <f t="shared" si="72"/>
        <v>39200</v>
      </c>
      <c r="T672" s="12"/>
      <c r="U672" s="12"/>
      <c r="V672" s="12">
        <f t="shared" si="67"/>
        <v>0</v>
      </c>
      <c r="W672" s="12">
        <f t="shared" si="68"/>
        <v>0</v>
      </c>
      <c r="X672" s="12">
        <f t="shared" si="69"/>
        <v>0</v>
      </c>
    </row>
    <row r="673" spans="1:24" s="6" customFormat="1" ht="21.95" customHeight="1" x14ac:dyDescent="0.2">
      <c r="A673" s="6" t="s">
        <v>17</v>
      </c>
      <c r="B673" s="6" t="s">
        <v>1591</v>
      </c>
      <c r="C673" s="6" t="s">
        <v>394</v>
      </c>
      <c r="D673" s="13" t="s">
        <v>384</v>
      </c>
      <c r="I673" s="9"/>
      <c r="J673" s="9"/>
      <c r="K673" s="9">
        <v>44004867</v>
      </c>
      <c r="L673" s="6" t="str">
        <f t="shared" si="63"/>
        <v>NW GALAXY  DOLAP 2 KAPAK - CAM KAPAK</v>
      </c>
      <c r="M673" s="12">
        <v>0.35</v>
      </c>
      <c r="N673" s="12">
        <v>0.3</v>
      </c>
      <c r="O673" s="34">
        <v>21630</v>
      </c>
      <c r="P673" s="12">
        <f t="shared" si="70"/>
        <v>15140.999999999998</v>
      </c>
      <c r="Q673" s="12">
        <f t="shared" si="71"/>
        <v>31796.1</v>
      </c>
      <c r="R673" s="33">
        <f t="shared" si="72"/>
        <v>31700</v>
      </c>
      <c r="T673" s="12"/>
      <c r="U673" s="12"/>
      <c r="V673" s="12">
        <f t="shared" si="67"/>
        <v>0</v>
      </c>
      <c r="W673" s="12">
        <f t="shared" si="68"/>
        <v>0</v>
      </c>
      <c r="X673" s="12">
        <f t="shared" si="69"/>
        <v>0</v>
      </c>
    </row>
    <row r="674" spans="1:24" s="6" customFormat="1" ht="21.95" customHeight="1" x14ac:dyDescent="0.2">
      <c r="A674" s="6" t="s">
        <v>17</v>
      </c>
      <c r="B674" s="6" t="s">
        <v>1591</v>
      </c>
      <c r="C674" s="6" t="s">
        <v>394</v>
      </c>
      <c r="D674" s="6" t="s">
        <v>400</v>
      </c>
      <c r="I674" s="9"/>
      <c r="J674" s="9"/>
      <c r="K674" s="9">
        <v>44004868</v>
      </c>
      <c r="L674" s="6" t="str">
        <f t="shared" si="63"/>
        <v>NW GALAXY  DOLAP TEKLİ - CAM KAPAK</v>
      </c>
      <c r="M674" s="12">
        <v>0.35</v>
      </c>
      <c r="N674" s="12">
        <v>0.3</v>
      </c>
      <c r="O674" s="12">
        <v>11214</v>
      </c>
      <c r="P674" s="12">
        <f t="shared" si="70"/>
        <v>7849.7999999999993</v>
      </c>
      <c r="Q674" s="12">
        <f t="shared" si="71"/>
        <v>16484.579999999998</v>
      </c>
      <c r="R674" s="33">
        <f t="shared" si="72"/>
        <v>16400</v>
      </c>
      <c r="T674" s="12"/>
      <c r="U674" s="12"/>
      <c r="V674" s="12">
        <f t="shared" ref="V674:V733" si="73">T674*(1-N674)</f>
        <v>0</v>
      </c>
      <c r="W674" s="12">
        <f t="shared" si="68"/>
        <v>0</v>
      </c>
      <c r="X674" s="12">
        <f t="shared" si="69"/>
        <v>0</v>
      </c>
    </row>
    <row r="675" spans="1:24" s="6" customFormat="1" ht="21.95" customHeight="1" x14ac:dyDescent="0.2">
      <c r="A675" s="6" t="s">
        <v>17</v>
      </c>
      <c r="B675" s="6" t="s">
        <v>1591</v>
      </c>
      <c r="C675" s="6" t="s">
        <v>394</v>
      </c>
      <c r="D675" s="6" t="s">
        <v>373</v>
      </c>
      <c r="I675" s="9"/>
      <c r="J675" s="9"/>
      <c r="K675" s="9">
        <v>44004869</v>
      </c>
      <c r="L675" s="6" t="str">
        <f t="shared" si="63"/>
        <v xml:space="preserve">NW GALAXY  PUF </v>
      </c>
      <c r="M675" s="12">
        <v>0.35</v>
      </c>
      <c r="N675" s="12">
        <v>0.3</v>
      </c>
      <c r="O675" s="12">
        <v>2300</v>
      </c>
      <c r="P675" s="12">
        <f t="shared" si="70"/>
        <v>1610</v>
      </c>
      <c r="Q675" s="12">
        <f t="shared" si="71"/>
        <v>3381</v>
      </c>
      <c r="R675" s="33">
        <f t="shared" si="72"/>
        <v>3300</v>
      </c>
      <c r="T675" s="12"/>
      <c r="U675" s="12"/>
      <c r="V675" s="12">
        <f t="shared" si="73"/>
        <v>0</v>
      </c>
      <c r="W675" s="12">
        <f t="shared" si="68"/>
        <v>0</v>
      </c>
      <c r="X675" s="12">
        <f t="shared" si="69"/>
        <v>0</v>
      </c>
    </row>
    <row r="676" spans="1:24" s="6" customFormat="1" ht="21.95" customHeight="1" x14ac:dyDescent="0.2">
      <c r="A676" s="6" t="s">
        <v>17</v>
      </c>
      <c r="B676" s="6" t="s">
        <v>1591</v>
      </c>
      <c r="C676" s="6" t="s">
        <v>394</v>
      </c>
      <c r="D676" s="6" t="s">
        <v>401</v>
      </c>
      <c r="I676" s="9"/>
      <c r="J676" s="9"/>
      <c r="K676" s="9">
        <v>44004870</v>
      </c>
      <c r="L676" s="6" t="str">
        <f t="shared" si="63"/>
        <v>NW GALAXY  ÇERÇEVE CAM KAPAK (FARKI)</v>
      </c>
      <c r="M676" s="12">
        <v>0.35</v>
      </c>
      <c r="N676" s="12">
        <v>0.3</v>
      </c>
      <c r="O676" s="12">
        <v>2000</v>
      </c>
      <c r="P676" s="12">
        <f t="shared" si="70"/>
        <v>1400</v>
      </c>
      <c r="Q676" s="12">
        <f t="shared" si="71"/>
        <v>2940</v>
      </c>
      <c r="R676" s="33">
        <f t="shared" si="72"/>
        <v>2900</v>
      </c>
      <c r="T676" s="12"/>
      <c r="U676" s="12"/>
      <c r="V676" s="12">
        <f t="shared" si="73"/>
        <v>0</v>
      </c>
      <c r="W676" s="12">
        <f t="shared" si="68"/>
        <v>0</v>
      </c>
      <c r="X676" s="12">
        <f t="shared" si="69"/>
        <v>0</v>
      </c>
    </row>
    <row r="677" spans="1:24" s="6" customFormat="1" ht="21.95" customHeight="1" x14ac:dyDescent="0.2">
      <c r="A677" s="6" t="s">
        <v>17</v>
      </c>
      <c r="B677" s="6" t="s">
        <v>1591</v>
      </c>
      <c r="C677" s="6" t="s">
        <v>402</v>
      </c>
      <c r="D677" s="6" t="s">
        <v>49</v>
      </c>
      <c r="I677" s="9"/>
      <c r="J677" s="9"/>
      <c r="K677" s="9">
        <v>44004871</v>
      </c>
      <c r="L677" s="6" t="str">
        <f t="shared" si="63"/>
        <v>NW GALAXY KONSOL</v>
      </c>
      <c r="M677" s="12">
        <v>0.35</v>
      </c>
      <c r="N677" s="12">
        <v>0.3</v>
      </c>
      <c r="O677" s="12">
        <v>36340</v>
      </c>
      <c r="P677" s="12">
        <f t="shared" si="70"/>
        <v>25438</v>
      </c>
      <c r="Q677" s="12">
        <f t="shared" si="71"/>
        <v>53419.8</v>
      </c>
      <c r="R677" s="33">
        <f t="shared" si="72"/>
        <v>53400</v>
      </c>
      <c r="T677" s="12"/>
      <c r="U677" s="12"/>
      <c r="V677" s="12">
        <f t="shared" si="73"/>
        <v>0</v>
      </c>
      <c r="W677" s="12">
        <f t="shared" si="68"/>
        <v>0</v>
      </c>
      <c r="X677" s="12">
        <f t="shared" si="69"/>
        <v>0</v>
      </c>
    </row>
    <row r="678" spans="1:24" s="6" customFormat="1" ht="21.95" customHeight="1" x14ac:dyDescent="0.2">
      <c r="A678" s="6" t="s">
        <v>17</v>
      </c>
      <c r="B678" s="6" t="s">
        <v>1591</v>
      </c>
      <c r="C678" s="6" t="s">
        <v>402</v>
      </c>
      <c r="D678" s="6" t="s">
        <v>21</v>
      </c>
      <c r="I678" s="9"/>
      <c r="J678" s="9"/>
      <c r="K678" s="9">
        <v>44004872</v>
      </c>
      <c r="L678" s="6" t="str">
        <f t="shared" ref="L678:L741" si="74">B678&amp;" "&amp;C678&amp;" "&amp;D678</f>
        <v>NW GALAXY KONSOL AYNASI</v>
      </c>
      <c r="M678" s="12">
        <v>0.35</v>
      </c>
      <c r="N678" s="12">
        <v>0.3</v>
      </c>
      <c r="O678" s="12">
        <v>6780</v>
      </c>
      <c r="P678" s="12">
        <f t="shared" si="70"/>
        <v>4746</v>
      </c>
      <c r="Q678" s="12">
        <f t="shared" si="71"/>
        <v>9966.6</v>
      </c>
      <c r="R678" s="33">
        <f t="shared" si="72"/>
        <v>9900</v>
      </c>
      <c r="T678" s="12"/>
      <c r="U678" s="12"/>
      <c r="V678" s="12">
        <f t="shared" si="73"/>
        <v>0</v>
      </c>
      <c r="W678" s="12">
        <f t="shared" si="68"/>
        <v>0</v>
      </c>
      <c r="X678" s="12">
        <f t="shared" si="69"/>
        <v>0</v>
      </c>
    </row>
    <row r="679" spans="1:24" s="6" customFormat="1" ht="21.95" customHeight="1" x14ac:dyDescent="0.2">
      <c r="A679" s="6" t="s">
        <v>17</v>
      </c>
      <c r="B679" s="6" t="s">
        <v>1591</v>
      </c>
      <c r="C679" s="6" t="s">
        <v>402</v>
      </c>
      <c r="D679" s="6" t="s">
        <v>155</v>
      </c>
      <c r="I679" s="9"/>
      <c r="J679" s="9"/>
      <c r="K679" s="9">
        <v>44004873</v>
      </c>
      <c r="L679" s="6" t="str">
        <f t="shared" si="74"/>
        <v>NW GALAXY MASA</v>
      </c>
      <c r="M679" s="12">
        <v>0.35</v>
      </c>
      <c r="N679" s="12">
        <v>0.3</v>
      </c>
      <c r="O679" s="12">
        <v>31000</v>
      </c>
      <c r="P679" s="12">
        <f t="shared" si="70"/>
        <v>21700</v>
      </c>
      <c r="Q679" s="12">
        <f t="shared" si="71"/>
        <v>45570</v>
      </c>
      <c r="R679" s="33">
        <f t="shared" si="72"/>
        <v>45500</v>
      </c>
      <c r="T679" s="12"/>
      <c r="U679" s="12"/>
      <c r="V679" s="12">
        <f t="shared" si="73"/>
        <v>0</v>
      </c>
      <c r="W679" s="12">
        <f t="shared" si="68"/>
        <v>0</v>
      </c>
      <c r="X679" s="12">
        <f t="shared" si="69"/>
        <v>0</v>
      </c>
    </row>
    <row r="680" spans="1:24" s="6" customFormat="1" ht="21.95" customHeight="1" x14ac:dyDescent="0.2">
      <c r="A680" s="6" t="s">
        <v>17</v>
      </c>
      <c r="B680" s="6" t="s">
        <v>1591</v>
      </c>
      <c r="C680" s="6" t="s">
        <v>402</v>
      </c>
      <c r="D680" s="6" t="s">
        <v>25</v>
      </c>
      <c r="I680" s="9"/>
      <c r="J680" s="9"/>
      <c r="K680" s="9">
        <v>44004874</v>
      </c>
      <c r="L680" s="6" t="str">
        <f t="shared" si="74"/>
        <v>NW GALAXY SANDALYE</v>
      </c>
      <c r="M680" s="12">
        <v>0.35</v>
      </c>
      <c r="N680" s="12">
        <v>0.3</v>
      </c>
      <c r="O680" s="12">
        <v>5555</v>
      </c>
      <c r="P680" s="12">
        <f t="shared" si="70"/>
        <v>3888.4999999999995</v>
      </c>
      <c r="Q680" s="12">
        <f t="shared" si="71"/>
        <v>8165.8499999999995</v>
      </c>
      <c r="R680" s="33">
        <f t="shared" si="72"/>
        <v>8100</v>
      </c>
      <c r="T680" s="12"/>
      <c r="U680" s="12"/>
      <c r="V680" s="12">
        <f t="shared" si="73"/>
        <v>0</v>
      </c>
      <c r="W680" s="12">
        <f t="shared" si="68"/>
        <v>0</v>
      </c>
      <c r="X680" s="12">
        <f t="shared" si="69"/>
        <v>0</v>
      </c>
    </row>
    <row r="681" spans="1:24" s="6" customFormat="1" ht="21.95" customHeight="1" x14ac:dyDescent="0.2">
      <c r="A681" s="6" t="s">
        <v>17</v>
      </c>
      <c r="B681" s="6" t="s">
        <v>1591</v>
      </c>
      <c r="C681" s="6" t="s">
        <v>402</v>
      </c>
      <c r="D681" s="6" t="s">
        <v>102</v>
      </c>
      <c r="I681" s="9"/>
      <c r="J681" s="9"/>
      <c r="K681" s="9">
        <v>44004875</v>
      </c>
      <c r="L681" s="6" t="str">
        <f t="shared" si="74"/>
        <v>NW GALAXY TV ÜNİTESİ ALT BLOK</v>
      </c>
      <c r="M681" s="12">
        <v>0.35</v>
      </c>
      <c r="N681" s="12">
        <v>0.3</v>
      </c>
      <c r="O681" s="12">
        <v>47620</v>
      </c>
      <c r="P681" s="12">
        <f t="shared" si="70"/>
        <v>33334</v>
      </c>
      <c r="Q681" s="12">
        <f t="shared" si="71"/>
        <v>70001.400000000009</v>
      </c>
      <c r="R681" s="33">
        <f t="shared" si="72"/>
        <v>70000</v>
      </c>
      <c r="T681" s="12"/>
      <c r="U681" s="12"/>
      <c r="V681" s="12">
        <f t="shared" si="73"/>
        <v>0</v>
      </c>
      <c r="W681" s="12">
        <f t="shared" si="68"/>
        <v>0</v>
      </c>
      <c r="X681" s="12">
        <f t="shared" si="69"/>
        <v>0</v>
      </c>
    </row>
    <row r="682" spans="1:24" s="6" customFormat="1" ht="21.95" customHeight="1" x14ac:dyDescent="0.2">
      <c r="A682" s="6" t="s">
        <v>17</v>
      </c>
      <c r="B682" s="6" t="s">
        <v>1591</v>
      </c>
      <c r="C682" s="6" t="s">
        <v>402</v>
      </c>
      <c r="D682" s="6" t="s">
        <v>403</v>
      </c>
      <c r="I682" s="9"/>
      <c r="J682" s="9"/>
      <c r="K682" s="9">
        <v>44004876</v>
      </c>
      <c r="L682" s="6" t="str">
        <f t="shared" si="74"/>
        <v>NW GALAXY TV ÜNİTESİ ÜST DOLAP</v>
      </c>
      <c r="M682" s="12">
        <v>0.35</v>
      </c>
      <c r="N682" s="12">
        <v>0.3</v>
      </c>
      <c r="O682" s="12">
        <v>12720</v>
      </c>
      <c r="P682" s="12">
        <f t="shared" si="70"/>
        <v>8904</v>
      </c>
      <c r="Q682" s="12">
        <f t="shared" si="71"/>
        <v>18698.400000000001</v>
      </c>
      <c r="R682" s="33">
        <f t="shared" si="72"/>
        <v>18600</v>
      </c>
      <c r="T682" s="12"/>
      <c r="U682" s="12"/>
      <c r="V682" s="12">
        <f t="shared" si="73"/>
        <v>0</v>
      </c>
      <c r="W682" s="12">
        <f t="shared" si="68"/>
        <v>0</v>
      </c>
      <c r="X682" s="12">
        <f t="shared" si="69"/>
        <v>0</v>
      </c>
    </row>
    <row r="683" spans="1:24" s="6" customFormat="1" ht="21.95" customHeight="1" x14ac:dyDescent="0.2">
      <c r="A683" s="6" t="s">
        <v>17</v>
      </c>
      <c r="B683" s="6" t="s">
        <v>1591</v>
      </c>
      <c r="C683" s="6" t="s">
        <v>402</v>
      </c>
      <c r="D683" s="6" t="s">
        <v>29</v>
      </c>
      <c r="I683" s="9"/>
      <c r="J683" s="9"/>
      <c r="K683" s="9">
        <v>44004877</v>
      </c>
      <c r="L683" s="6" t="str">
        <f t="shared" si="74"/>
        <v>NW GALAXY ORTA SEHPA</v>
      </c>
      <c r="M683" s="12">
        <v>0.35</v>
      </c>
      <c r="N683" s="12">
        <v>0.3</v>
      </c>
      <c r="O683" s="12">
        <v>14480</v>
      </c>
      <c r="P683" s="12">
        <f t="shared" si="70"/>
        <v>10136</v>
      </c>
      <c r="Q683" s="12">
        <f t="shared" si="71"/>
        <v>21285.600000000002</v>
      </c>
      <c r="R683" s="33">
        <f t="shared" si="72"/>
        <v>21200</v>
      </c>
      <c r="T683" s="12"/>
      <c r="U683" s="12"/>
      <c r="V683" s="12">
        <f t="shared" si="73"/>
        <v>0</v>
      </c>
      <c r="W683" s="12">
        <f t="shared" si="68"/>
        <v>0</v>
      </c>
      <c r="X683" s="12">
        <f t="shared" si="69"/>
        <v>0</v>
      </c>
    </row>
    <row r="684" spans="1:24" s="6" customFormat="1" ht="21.95" customHeight="1" x14ac:dyDescent="0.2">
      <c r="B684" s="6" t="s">
        <v>1591</v>
      </c>
      <c r="C684" s="6" t="s">
        <v>402</v>
      </c>
      <c r="D684" s="6" t="s">
        <v>30</v>
      </c>
      <c r="I684" s="9"/>
      <c r="J684" s="9"/>
      <c r="K684" s="9">
        <v>44004878</v>
      </c>
      <c r="L684" s="6" t="str">
        <f t="shared" si="74"/>
        <v>NW GALAXY YAN SEHPA</v>
      </c>
      <c r="M684" s="12"/>
      <c r="N684" s="12"/>
      <c r="O684" s="12"/>
      <c r="P684" s="12"/>
      <c r="Q684" s="12"/>
      <c r="R684" s="33"/>
      <c r="T684" s="12"/>
      <c r="U684" s="12"/>
      <c r="V684" s="12">
        <f t="shared" si="73"/>
        <v>0</v>
      </c>
      <c r="W684" s="12">
        <f t="shared" si="68"/>
        <v>0</v>
      </c>
      <c r="X684" s="12">
        <f t="shared" si="69"/>
        <v>0</v>
      </c>
    </row>
    <row r="685" spans="1:24" s="6" customFormat="1" ht="21.95" customHeight="1" x14ac:dyDescent="0.2">
      <c r="A685" s="6" t="s">
        <v>17</v>
      </c>
      <c r="B685" s="6" t="s">
        <v>1591</v>
      </c>
      <c r="C685" s="6" t="s">
        <v>404</v>
      </c>
      <c r="D685" s="6" t="s">
        <v>49</v>
      </c>
      <c r="I685" s="9"/>
      <c r="J685" s="9"/>
      <c r="K685" s="9">
        <v>44004879</v>
      </c>
      <c r="L685" s="6" t="str">
        <f t="shared" si="74"/>
        <v>NW BRONZE KONSOL</v>
      </c>
      <c r="M685" s="12">
        <v>0.35</v>
      </c>
      <c r="N685" s="12">
        <v>0.3</v>
      </c>
      <c r="O685" s="12">
        <v>44120</v>
      </c>
      <c r="P685" s="12">
        <f t="shared" ref="P685:P748" si="75">O685*(1-N685)</f>
        <v>30883.999999999996</v>
      </c>
      <c r="Q685" s="12">
        <f t="shared" ref="Q685:Q748" si="76">O685*(1-N685)*2.1</f>
        <v>64856.399999999994</v>
      </c>
      <c r="R685" s="33">
        <f t="shared" ref="R685:R748" si="77">ROUNDDOWN(Q685,-2)</f>
        <v>64800</v>
      </c>
      <c r="T685" s="12"/>
      <c r="U685" s="12"/>
      <c r="V685" s="12">
        <f t="shared" si="73"/>
        <v>0</v>
      </c>
      <c r="W685" s="12">
        <f t="shared" si="68"/>
        <v>0</v>
      </c>
      <c r="X685" s="12">
        <f t="shared" si="69"/>
        <v>0</v>
      </c>
    </row>
    <row r="686" spans="1:24" s="6" customFormat="1" ht="21.95" customHeight="1" x14ac:dyDescent="0.2">
      <c r="A686" s="6" t="s">
        <v>17</v>
      </c>
      <c r="B686" s="6" t="s">
        <v>1591</v>
      </c>
      <c r="C686" s="6" t="s">
        <v>404</v>
      </c>
      <c r="D686" s="6" t="s">
        <v>21</v>
      </c>
      <c r="I686" s="9"/>
      <c r="J686" s="9"/>
      <c r="K686" s="9">
        <v>44004880</v>
      </c>
      <c r="L686" s="6" t="str">
        <f t="shared" si="74"/>
        <v>NW BRONZE KONSOL AYNASI</v>
      </c>
      <c r="M686" s="12">
        <v>0.35</v>
      </c>
      <c r="N686" s="12">
        <v>0.3</v>
      </c>
      <c r="O686" s="12">
        <v>5420</v>
      </c>
      <c r="P686" s="12">
        <f t="shared" si="75"/>
        <v>3793.9999999999995</v>
      </c>
      <c r="Q686" s="12">
        <f t="shared" si="76"/>
        <v>7967.4</v>
      </c>
      <c r="R686" s="33">
        <f t="shared" si="77"/>
        <v>7900</v>
      </c>
      <c r="T686" s="12"/>
      <c r="U686" s="12"/>
      <c r="V686" s="12">
        <f t="shared" si="73"/>
        <v>0</v>
      </c>
      <c r="W686" s="12">
        <f t="shared" si="68"/>
        <v>0</v>
      </c>
      <c r="X686" s="12">
        <f t="shared" si="69"/>
        <v>0</v>
      </c>
    </row>
    <row r="687" spans="1:24" s="6" customFormat="1" ht="21.95" customHeight="1" x14ac:dyDescent="0.2">
      <c r="A687" s="6" t="s">
        <v>17</v>
      </c>
      <c r="B687" s="6" t="s">
        <v>1591</v>
      </c>
      <c r="C687" s="6" t="s">
        <v>404</v>
      </c>
      <c r="D687" s="6" t="s">
        <v>155</v>
      </c>
      <c r="I687" s="9"/>
      <c r="J687" s="9"/>
      <c r="K687" s="9">
        <v>44004881</v>
      </c>
      <c r="L687" s="6" t="str">
        <f t="shared" si="74"/>
        <v>NW BRONZE MASA</v>
      </c>
      <c r="M687" s="12">
        <v>0.35</v>
      </c>
      <c r="N687" s="12">
        <v>0.3</v>
      </c>
      <c r="O687" s="12">
        <v>34760</v>
      </c>
      <c r="P687" s="12">
        <f t="shared" si="75"/>
        <v>24332</v>
      </c>
      <c r="Q687" s="12">
        <f t="shared" si="76"/>
        <v>51097.200000000004</v>
      </c>
      <c r="R687" s="33">
        <f t="shared" si="77"/>
        <v>51000</v>
      </c>
      <c r="T687" s="12"/>
      <c r="U687" s="12"/>
      <c r="V687" s="12">
        <f t="shared" si="73"/>
        <v>0</v>
      </c>
      <c r="W687" s="12">
        <f t="shared" si="68"/>
        <v>0</v>
      </c>
      <c r="X687" s="12">
        <f t="shared" si="69"/>
        <v>0</v>
      </c>
    </row>
    <row r="688" spans="1:24" s="6" customFormat="1" ht="21.95" customHeight="1" x14ac:dyDescent="0.2">
      <c r="A688" s="6" t="s">
        <v>17</v>
      </c>
      <c r="B688" s="6" t="s">
        <v>1591</v>
      </c>
      <c r="C688" s="6" t="s">
        <v>404</v>
      </c>
      <c r="D688" s="6" t="s">
        <v>25</v>
      </c>
      <c r="I688" s="9"/>
      <c r="J688" s="9"/>
      <c r="K688" s="9">
        <v>44004882</v>
      </c>
      <c r="L688" s="6" t="str">
        <f t="shared" si="74"/>
        <v>NW BRONZE SANDALYE</v>
      </c>
      <c r="M688" s="12">
        <v>0.35</v>
      </c>
      <c r="N688" s="12">
        <v>0.3</v>
      </c>
      <c r="O688" s="12">
        <v>5796</v>
      </c>
      <c r="P688" s="12">
        <f t="shared" si="75"/>
        <v>4057.2</v>
      </c>
      <c r="Q688" s="12">
        <f t="shared" si="76"/>
        <v>8520.1200000000008</v>
      </c>
      <c r="R688" s="33">
        <f t="shared" si="77"/>
        <v>8500</v>
      </c>
      <c r="T688" s="12"/>
      <c r="U688" s="12"/>
      <c r="V688" s="12">
        <f t="shared" si="73"/>
        <v>0</v>
      </c>
      <c r="W688" s="12">
        <f t="shared" si="68"/>
        <v>0</v>
      </c>
      <c r="X688" s="12">
        <f t="shared" si="69"/>
        <v>0</v>
      </c>
    </row>
    <row r="689" spans="1:24" s="6" customFormat="1" ht="21.95" customHeight="1" x14ac:dyDescent="0.2">
      <c r="A689" s="6" t="s">
        <v>17</v>
      </c>
      <c r="B689" s="6" t="s">
        <v>1591</v>
      </c>
      <c r="C689" s="6" t="s">
        <v>404</v>
      </c>
      <c r="D689" s="6" t="s">
        <v>102</v>
      </c>
      <c r="I689" s="9"/>
      <c r="J689" s="9"/>
      <c r="K689" s="9">
        <v>44004883</v>
      </c>
      <c r="L689" s="6" t="str">
        <f t="shared" si="74"/>
        <v>NW BRONZE TV ÜNİTESİ ALT BLOK</v>
      </c>
      <c r="M689" s="12">
        <v>0.35</v>
      </c>
      <c r="N689" s="12">
        <v>0.3</v>
      </c>
      <c r="O689" s="12">
        <v>35420</v>
      </c>
      <c r="P689" s="12">
        <f t="shared" si="75"/>
        <v>24794</v>
      </c>
      <c r="Q689" s="12">
        <f t="shared" si="76"/>
        <v>52067.4</v>
      </c>
      <c r="R689" s="33">
        <f t="shared" si="77"/>
        <v>52000</v>
      </c>
      <c r="T689" s="12"/>
      <c r="U689" s="12"/>
      <c r="V689" s="12">
        <f t="shared" si="73"/>
        <v>0</v>
      </c>
      <c r="W689" s="12">
        <f t="shared" si="68"/>
        <v>0</v>
      </c>
      <c r="X689" s="12">
        <f t="shared" si="69"/>
        <v>0</v>
      </c>
    </row>
    <row r="690" spans="1:24" ht="21.95" customHeight="1" x14ac:dyDescent="0.2">
      <c r="A690" s="5" t="s">
        <v>17</v>
      </c>
      <c r="B690" s="5" t="s">
        <v>1591</v>
      </c>
      <c r="C690" s="6" t="s">
        <v>404</v>
      </c>
      <c r="D690" s="6" t="s">
        <v>46</v>
      </c>
      <c r="E690" s="6"/>
      <c r="K690" s="7">
        <v>44004884</v>
      </c>
      <c r="L690" s="5" t="str">
        <f t="shared" si="74"/>
        <v>NW BRONZE TV ÜNİTESİ ÜST BLOK</v>
      </c>
      <c r="M690" s="12">
        <v>0.35</v>
      </c>
      <c r="N690" s="8">
        <v>0.3</v>
      </c>
      <c r="O690" s="8">
        <v>11000</v>
      </c>
      <c r="P690" s="8">
        <f t="shared" si="75"/>
        <v>7699.9999999999991</v>
      </c>
      <c r="Q690" s="12">
        <f t="shared" si="76"/>
        <v>16169.999999999998</v>
      </c>
      <c r="R690" s="31">
        <f t="shared" si="77"/>
        <v>16100</v>
      </c>
      <c r="V690" s="8">
        <f t="shared" si="73"/>
        <v>0</v>
      </c>
      <c r="W690" s="8">
        <f t="shared" si="68"/>
        <v>0</v>
      </c>
      <c r="X690" s="8">
        <f t="shared" si="69"/>
        <v>0</v>
      </c>
    </row>
    <row r="691" spans="1:24" ht="21.95" customHeight="1" x14ac:dyDescent="0.2">
      <c r="A691" s="5" t="s">
        <v>17</v>
      </c>
      <c r="B691" s="5" t="s">
        <v>1591</v>
      </c>
      <c r="C691" s="6" t="s">
        <v>404</v>
      </c>
      <c r="D691" s="6" t="s">
        <v>405</v>
      </c>
      <c r="E691" s="6"/>
      <c r="G691" s="6"/>
      <c r="H691" s="6"/>
      <c r="I691" s="9"/>
      <c r="J691" s="9"/>
      <c r="K691" s="7">
        <v>44004885</v>
      </c>
      <c r="L691" s="5" t="str">
        <f t="shared" si="74"/>
        <v>NW BRONZE VİTRİN</v>
      </c>
      <c r="M691" s="12">
        <v>0.35</v>
      </c>
      <c r="N691" s="8">
        <v>0.3</v>
      </c>
      <c r="O691" s="8">
        <v>43000</v>
      </c>
      <c r="P691" s="8">
        <f t="shared" si="75"/>
        <v>30099.999999999996</v>
      </c>
      <c r="Q691" s="12">
        <f t="shared" si="76"/>
        <v>63209.999999999993</v>
      </c>
      <c r="R691" s="31">
        <f t="shared" si="77"/>
        <v>63200</v>
      </c>
      <c r="V691" s="8">
        <f t="shared" si="73"/>
        <v>0</v>
      </c>
      <c r="W691" s="8">
        <f t="shared" si="68"/>
        <v>0</v>
      </c>
      <c r="X691" s="8">
        <f t="shared" si="69"/>
        <v>0</v>
      </c>
    </row>
    <row r="692" spans="1:24" ht="21.95" customHeight="1" x14ac:dyDescent="0.2">
      <c r="A692" s="5" t="s">
        <v>17</v>
      </c>
      <c r="B692" s="5" t="s">
        <v>1591</v>
      </c>
      <c r="C692" s="6" t="s">
        <v>404</v>
      </c>
      <c r="D692" s="6" t="s">
        <v>406</v>
      </c>
      <c r="E692" s="6"/>
      <c r="K692" s="7">
        <v>44004886</v>
      </c>
      <c r="L692" s="5" t="str">
        <f t="shared" si="74"/>
        <v>NW BRONZE KİTAPLIK</v>
      </c>
      <c r="M692" s="12">
        <v>0.35</v>
      </c>
      <c r="N692" s="8">
        <v>0.3</v>
      </c>
      <c r="O692" s="8">
        <v>39700</v>
      </c>
      <c r="P692" s="8">
        <f t="shared" si="75"/>
        <v>27790</v>
      </c>
      <c r="Q692" s="12">
        <f t="shared" si="76"/>
        <v>58359</v>
      </c>
      <c r="R692" s="31">
        <f t="shared" si="77"/>
        <v>58300</v>
      </c>
      <c r="V692" s="8">
        <f t="shared" si="73"/>
        <v>0</v>
      </c>
      <c r="W692" s="8">
        <f t="shared" si="68"/>
        <v>0</v>
      </c>
      <c r="X692" s="8">
        <f t="shared" si="69"/>
        <v>0</v>
      </c>
    </row>
    <row r="693" spans="1:24" ht="21.95" customHeight="1" x14ac:dyDescent="0.2">
      <c r="A693" s="5" t="s">
        <v>17</v>
      </c>
      <c r="B693" s="5" t="s">
        <v>1591</v>
      </c>
      <c r="C693" s="6" t="s">
        <v>404</v>
      </c>
      <c r="D693" s="6" t="s">
        <v>407</v>
      </c>
      <c r="E693" s="6"/>
      <c r="G693" s="6"/>
      <c r="H693" s="6"/>
      <c r="I693" s="9"/>
      <c r="J693" s="9"/>
      <c r="K693" s="7">
        <v>44004887</v>
      </c>
      <c r="L693" s="5" t="str">
        <f t="shared" si="74"/>
        <v>NW BRONZE ORTA SEHPA MERMER</v>
      </c>
      <c r="M693" s="12">
        <v>0.35</v>
      </c>
      <c r="N693" s="8">
        <v>0.3</v>
      </c>
      <c r="O693" s="8">
        <v>6600</v>
      </c>
      <c r="P693" s="8">
        <f t="shared" si="75"/>
        <v>4620</v>
      </c>
      <c r="Q693" s="12">
        <f t="shared" si="76"/>
        <v>9702</v>
      </c>
      <c r="R693" s="31">
        <f t="shared" si="77"/>
        <v>9700</v>
      </c>
      <c r="V693" s="8">
        <f t="shared" si="73"/>
        <v>0</v>
      </c>
      <c r="W693" s="8">
        <f t="shared" si="68"/>
        <v>0</v>
      </c>
      <c r="X693" s="8">
        <f t="shared" si="69"/>
        <v>0</v>
      </c>
    </row>
    <row r="694" spans="1:24" ht="21.95" customHeight="1" x14ac:dyDescent="0.2">
      <c r="A694" s="5" t="s">
        <v>17</v>
      </c>
      <c r="B694" s="5" t="s">
        <v>1591</v>
      </c>
      <c r="C694" s="6" t="s">
        <v>404</v>
      </c>
      <c r="D694" s="6" t="s">
        <v>408</v>
      </c>
      <c r="E694" s="6"/>
      <c r="K694" s="7">
        <v>44004888</v>
      </c>
      <c r="L694" s="5" t="str">
        <f t="shared" si="74"/>
        <v>NW BRONZE ORTA SEHPA CEVİZ</v>
      </c>
      <c r="M694" s="12">
        <v>0.35</v>
      </c>
      <c r="N694" s="8">
        <v>0.3</v>
      </c>
      <c r="O694" s="8">
        <v>6220</v>
      </c>
      <c r="P694" s="8">
        <f t="shared" si="75"/>
        <v>4354</v>
      </c>
      <c r="Q694" s="12">
        <f t="shared" si="76"/>
        <v>9143.4</v>
      </c>
      <c r="R694" s="31">
        <f t="shared" si="77"/>
        <v>9100</v>
      </c>
      <c r="V694" s="8">
        <f t="shared" si="73"/>
        <v>0</v>
      </c>
      <c r="W694" s="8">
        <f t="shared" si="68"/>
        <v>0</v>
      </c>
      <c r="X694" s="8">
        <f t="shared" si="69"/>
        <v>0</v>
      </c>
    </row>
    <row r="695" spans="1:24" ht="21.95" customHeight="1" x14ac:dyDescent="0.2">
      <c r="A695" s="5" t="s">
        <v>17</v>
      </c>
      <c r="B695" s="5" t="s">
        <v>1591</v>
      </c>
      <c r="C695" s="6" t="s">
        <v>404</v>
      </c>
      <c r="D695" s="6" t="s">
        <v>409</v>
      </c>
      <c r="E695" s="6"/>
      <c r="K695" s="7">
        <v>44004889</v>
      </c>
      <c r="L695" s="5" t="str">
        <f t="shared" si="74"/>
        <v>NW BRONZE ORTA SEHPA KÜÇÜK</v>
      </c>
      <c r="M695" s="12">
        <v>0.35</v>
      </c>
      <c r="N695" s="8">
        <v>0.3</v>
      </c>
      <c r="O695" s="8">
        <v>4180</v>
      </c>
      <c r="P695" s="8">
        <f t="shared" si="75"/>
        <v>2926</v>
      </c>
      <c r="Q695" s="12">
        <f t="shared" si="76"/>
        <v>6144.6</v>
      </c>
      <c r="R695" s="31">
        <f t="shared" si="77"/>
        <v>6100</v>
      </c>
      <c r="V695" s="8">
        <f t="shared" si="73"/>
        <v>0</v>
      </c>
      <c r="W695" s="8">
        <f t="shared" si="68"/>
        <v>0</v>
      </c>
      <c r="X695" s="8">
        <f t="shared" si="69"/>
        <v>0</v>
      </c>
    </row>
    <row r="696" spans="1:24" ht="21.95" customHeight="1" x14ac:dyDescent="0.2">
      <c r="A696" s="6" t="s">
        <v>1151</v>
      </c>
      <c r="B696" s="5" t="s">
        <v>1590</v>
      </c>
      <c r="C696" s="6" t="s">
        <v>1591</v>
      </c>
      <c r="D696" s="6" t="s">
        <v>1574</v>
      </c>
      <c r="K696" s="7">
        <v>44009896</v>
      </c>
      <c r="L696" s="5" t="str">
        <f t="shared" si="74"/>
        <v xml:space="preserve">NV NW KOLLU MODÜL *2 </v>
      </c>
      <c r="M696" s="12">
        <v>0.35</v>
      </c>
      <c r="N696" s="12">
        <v>0.3</v>
      </c>
      <c r="O696" s="8">
        <v>36840</v>
      </c>
      <c r="P696" s="8">
        <f t="shared" si="75"/>
        <v>25788</v>
      </c>
      <c r="Q696" s="12">
        <f t="shared" si="76"/>
        <v>54154.8</v>
      </c>
      <c r="R696" s="31">
        <f t="shared" si="77"/>
        <v>54100</v>
      </c>
      <c r="W696" s="8">
        <f t="shared" ref="W696:W723" si="78">P696*2.5</f>
        <v>64470</v>
      </c>
    </row>
    <row r="697" spans="1:24" ht="21.95" customHeight="1" x14ac:dyDescent="0.2">
      <c r="A697" s="6" t="s">
        <v>1151</v>
      </c>
      <c r="B697" s="5" t="s">
        <v>1590</v>
      </c>
      <c r="C697" s="6" t="s">
        <v>1591</v>
      </c>
      <c r="D697" s="6" t="s">
        <v>1575</v>
      </c>
      <c r="K697" s="7">
        <v>44009897</v>
      </c>
      <c r="L697" s="5" t="str">
        <f t="shared" si="74"/>
        <v>NV NW ARA MODÜL *2</v>
      </c>
      <c r="M697" s="12">
        <v>0.35</v>
      </c>
      <c r="N697" s="12">
        <v>0.3</v>
      </c>
      <c r="O697" s="8">
        <v>27224</v>
      </c>
      <c r="P697" s="8">
        <f t="shared" si="75"/>
        <v>19056.8</v>
      </c>
      <c r="Q697" s="12">
        <f t="shared" si="76"/>
        <v>40019.279999999999</v>
      </c>
      <c r="R697" s="31">
        <f t="shared" si="77"/>
        <v>40000</v>
      </c>
      <c r="W697" s="8">
        <f t="shared" si="78"/>
        <v>47642</v>
      </c>
    </row>
    <row r="698" spans="1:24" ht="21.95" customHeight="1" x14ac:dyDescent="0.2">
      <c r="A698" s="6" t="s">
        <v>1151</v>
      </c>
      <c r="B698" s="5" t="s">
        <v>1590</v>
      </c>
      <c r="C698" s="6" t="s">
        <v>1591</v>
      </c>
      <c r="D698" s="6" t="s">
        <v>1576</v>
      </c>
      <c r="K698" s="7">
        <v>44009898</v>
      </c>
      <c r="L698" s="5" t="str">
        <f t="shared" si="74"/>
        <v xml:space="preserve">NV NW KÖŞE MODÜL </v>
      </c>
      <c r="M698" s="12">
        <v>0.35</v>
      </c>
      <c r="N698" s="12">
        <v>0.3</v>
      </c>
      <c r="O698" s="8">
        <v>20764</v>
      </c>
      <c r="P698" s="8">
        <f t="shared" si="75"/>
        <v>14534.8</v>
      </c>
      <c r="Q698" s="12">
        <f t="shared" si="76"/>
        <v>30523.079999999998</v>
      </c>
      <c r="R698" s="31">
        <f t="shared" si="77"/>
        <v>30500</v>
      </c>
      <c r="W698" s="8">
        <f t="shared" si="78"/>
        <v>36337</v>
      </c>
    </row>
    <row r="699" spans="1:24" ht="21.95" customHeight="1" x14ac:dyDescent="0.2">
      <c r="A699" s="6" t="s">
        <v>1151</v>
      </c>
      <c r="B699" s="5" t="s">
        <v>1590</v>
      </c>
      <c r="C699" s="6" t="s">
        <v>1591</v>
      </c>
      <c r="D699" s="6" t="s">
        <v>1577</v>
      </c>
      <c r="K699" s="7">
        <v>44009899</v>
      </c>
      <c r="L699" s="5" t="str">
        <f t="shared" si="74"/>
        <v xml:space="preserve">NV NW ARA SEHPA </v>
      </c>
      <c r="M699" s="12">
        <v>0.35</v>
      </c>
      <c r="N699" s="12">
        <v>0.3</v>
      </c>
      <c r="O699" s="8">
        <v>6630</v>
      </c>
      <c r="P699" s="8">
        <f t="shared" si="75"/>
        <v>4641</v>
      </c>
      <c r="Q699" s="12">
        <f t="shared" si="76"/>
        <v>9746.1</v>
      </c>
      <c r="R699" s="31">
        <f t="shared" si="77"/>
        <v>9700</v>
      </c>
      <c r="W699" s="8">
        <f t="shared" si="78"/>
        <v>11602.5</v>
      </c>
    </row>
    <row r="700" spans="1:24" ht="21.95" customHeight="1" x14ac:dyDescent="0.2">
      <c r="A700" s="6" t="s">
        <v>1151</v>
      </c>
      <c r="B700" s="5" t="s">
        <v>1590</v>
      </c>
      <c r="C700" s="6" t="s">
        <v>1591</v>
      </c>
      <c r="D700" s="6" t="s">
        <v>1857</v>
      </c>
      <c r="K700" s="7">
        <v>44009900</v>
      </c>
      <c r="L700" s="6" t="str">
        <f t="shared" si="74"/>
        <v xml:space="preserve">NV NW 3 LÜ KOLTUK </v>
      </c>
      <c r="M700" s="12">
        <v>0.35</v>
      </c>
      <c r="N700" s="12">
        <v>0.3</v>
      </c>
      <c r="O700" s="8">
        <v>36840</v>
      </c>
      <c r="P700" s="8">
        <f t="shared" si="75"/>
        <v>25788</v>
      </c>
      <c r="Q700" s="12">
        <f t="shared" si="76"/>
        <v>54154.8</v>
      </c>
      <c r="R700" s="31">
        <f t="shared" si="77"/>
        <v>54100</v>
      </c>
      <c r="W700" s="8">
        <f t="shared" si="78"/>
        <v>64470</v>
      </c>
    </row>
    <row r="701" spans="1:24" ht="21.95" customHeight="1" x14ac:dyDescent="0.2">
      <c r="A701" s="6" t="s">
        <v>1151</v>
      </c>
      <c r="B701" s="5" t="s">
        <v>1590</v>
      </c>
      <c r="C701" s="6" t="s">
        <v>1591</v>
      </c>
      <c r="D701" s="6" t="s">
        <v>168</v>
      </c>
      <c r="K701" s="7">
        <v>44009901</v>
      </c>
      <c r="L701" s="6" t="str">
        <f t="shared" si="74"/>
        <v xml:space="preserve">NV NW BERJER </v>
      </c>
      <c r="M701" s="12">
        <v>0.35</v>
      </c>
      <c r="N701" s="12">
        <v>0.3</v>
      </c>
      <c r="O701" s="8">
        <v>11223</v>
      </c>
      <c r="P701" s="8">
        <f t="shared" si="75"/>
        <v>7856.0999999999995</v>
      </c>
      <c r="Q701" s="12">
        <f t="shared" si="76"/>
        <v>16497.810000000001</v>
      </c>
      <c r="R701" s="31">
        <f t="shared" si="77"/>
        <v>16400</v>
      </c>
      <c r="W701" s="8">
        <f t="shared" si="78"/>
        <v>19640.25</v>
      </c>
    </row>
    <row r="702" spans="1:24" ht="21.95" customHeight="1" x14ac:dyDescent="0.2">
      <c r="A702" s="6" t="s">
        <v>1151</v>
      </c>
      <c r="B702" s="5" t="s">
        <v>1590</v>
      </c>
      <c r="C702" s="6" t="s">
        <v>1578</v>
      </c>
      <c r="D702" s="6" t="s">
        <v>1574</v>
      </c>
      <c r="K702" s="7">
        <v>44009902</v>
      </c>
      <c r="L702" s="6" t="str">
        <f t="shared" si="74"/>
        <v xml:space="preserve">NV SAHRA KOLLU MODÜL *2 </v>
      </c>
      <c r="M702" s="12">
        <v>0.35</v>
      </c>
      <c r="N702" s="12">
        <v>0.3</v>
      </c>
      <c r="O702" s="8">
        <v>36890</v>
      </c>
      <c r="P702" s="8">
        <f t="shared" si="75"/>
        <v>25823</v>
      </c>
      <c r="Q702" s="12">
        <f t="shared" si="76"/>
        <v>54228.3</v>
      </c>
      <c r="R702" s="31">
        <f t="shared" si="77"/>
        <v>54200</v>
      </c>
      <c r="W702" s="8">
        <f t="shared" si="78"/>
        <v>64557.5</v>
      </c>
    </row>
    <row r="703" spans="1:24" ht="21.95" customHeight="1" x14ac:dyDescent="0.2">
      <c r="A703" s="6" t="s">
        <v>1151</v>
      </c>
      <c r="B703" s="5" t="s">
        <v>1590</v>
      </c>
      <c r="C703" s="6" t="s">
        <v>1578</v>
      </c>
      <c r="D703" s="6" t="s">
        <v>1575</v>
      </c>
      <c r="K703" s="7">
        <v>44009903</v>
      </c>
      <c r="L703" s="6" t="str">
        <f t="shared" si="74"/>
        <v>NV SAHRA ARA MODÜL *2</v>
      </c>
      <c r="M703" s="12">
        <v>0.35</v>
      </c>
      <c r="N703" s="12">
        <v>0.3</v>
      </c>
      <c r="O703" s="8">
        <v>27160</v>
      </c>
      <c r="P703" s="8">
        <f t="shared" si="75"/>
        <v>19012</v>
      </c>
      <c r="Q703" s="12">
        <f t="shared" si="76"/>
        <v>39925.200000000004</v>
      </c>
      <c r="R703" s="31">
        <f t="shared" si="77"/>
        <v>39900</v>
      </c>
      <c r="W703" s="8">
        <f t="shared" si="78"/>
        <v>47530</v>
      </c>
    </row>
    <row r="704" spans="1:24" ht="21.95" customHeight="1" x14ac:dyDescent="0.2">
      <c r="A704" s="6" t="s">
        <v>1151</v>
      </c>
      <c r="B704" s="5" t="s">
        <v>1590</v>
      </c>
      <c r="C704" s="6" t="s">
        <v>1578</v>
      </c>
      <c r="D704" s="6" t="s">
        <v>1576</v>
      </c>
      <c r="K704" s="7">
        <v>44009904</v>
      </c>
      <c r="L704" s="6" t="str">
        <f t="shared" si="74"/>
        <v xml:space="preserve">NV SAHRA KÖŞE MODÜL </v>
      </c>
      <c r="M704" s="12">
        <v>0.35</v>
      </c>
      <c r="N704" s="12">
        <v>0.3</v>
      </c>
      <c r="O704" s="8">
        <v>21930</v>
      </c>
      <c r="P704" s="8">
        <f t="shared" si="75"/>
        <v>15350.999999999998</v>
      </c>
      <c r="Q704" s="12">
        <f t="shared" si="76"/>
        <v>32237.1</v>
      </c>
      <c r="R704" s="31">
        <f t="shared" si="77"/>
        <v>32200</v>
      </c>
      <c r="W704" s="8">
        <f t="shared" si="78"/>
        <v>38377.499999999993</v>
      </c>
    </row>
    <row r="705" spans="1:23" ht="21.95" customHeight="1" x14ac:dyDescent="0.2">
      <c r="A705" s="6" t="s">
        <v>1151</v>
      </c>
      <c r="B705" s="5" t="s">
        <v>1590</v>
      </c>
      <c r="C705" s="6" t="s">
        <v>1578</v>
      </c>
      <c r="D705" s="6" t="s">
        <v>1577</v>
      </c>
      <c r="K705" s="7">
        <v>44009905</v>
      </c>
      <c r="L705" s="6" t="str">
        <f t="shared" si="74"/>
        <v xml:space="preserve">NV SAHRA ARA SEHPA </v>
      </c>
      <c r="M705" s="12">
        <v>0.35</v>
      </c>
      <c r="N705" s="12">
        <v>0.3</v>
      </c>
      <c r="O705" s="8">
        <v>7152</v>
      </c>
      <c r="P705" s="8">
        <f t="shared" si="75"/>
        <v>5006.3999999999996</v>
      </c>
      <c r="Q705" s="12">
        <f t="shared" si="76"/>
        <v>10513.44</v>
      </c>
      <c r="R705" s="31">
        <f t="shared" si="77"/>
        <v>10500</v>
      </c>
      <c r="W705" s="8">
        <f t="shared" si="78"/>
        <v>12516</v>
      </c>
    </row>
    <row r="706" spans="1:23" ht="21.95" customHeight="1" x14ac:dyDescent="0.2">
      <c r="A706" s="6" t="s">
        <v>1151</v>
      </c>
      <c r="B706" s="5" t="s">
        <v>1590</v>
      </c>
      <c r="C706" s="6" t="s">
        <v>1578</v>
      </c>
      <c r="D706" s="6" t="s">
        <v>1857</v>
      </c>
      <c r="K706" s="7">
        <v>44009906</v>
      </c>
      <c r="L706" s="6" t="str">
        <f t="shared" si="74"/>
        <v xml:space="preserve">NV SAHRA 3 LÜ KOLTUK </v>
      </c>
      <c r="M706" s="12">
        <v>0.35</v>
      </c>
      <c r="N706" s="12">
        <v>0.3</v>
      </c>
      <c r="O706" s="8">
        <v>36890</v>
      </c>
      <c r="P706" s="8">
        <f t="shared" si="75"/>
        <v>25823</v>
      </c>
      <c r="Q706" s="12">
        <f t="shared" si="76"/>
        <v>54228.3</v>
      </c>
      <c r="R706" s="31">
        <f t="shared" si="77"/>
        <v>54200</v>
      </c>
      <c r="W706" s="8">
        <f t="shared" si="78"/>
        <v>64557.5</v>
      </c>
    </row>
    <row r="707" spans="1:23" ht="21.95" customHeight="1" x14ac:dyDescent="0.2">
      <c r="A707" s="6" t="s">
        <v>1151</v>
      </c>
      <c r="B707" s="5" t="s">
        <v>1590</v>
      </c>
      <c r="C707" s="6" t="s">
        <v>1578</v>
      </c>
      <c r="D707" s="6" t="s">
        <v>168</v>
      </c>
      <c r="K707" s="7">
        <v>44009907</v>
      </c>
      <c r="L707" s="6" t="str">
        <f t="shared" si="74"/>
        <v xml:space="preserve">NV SAHRA BERJER </v>
      </c>
      <c r="M707" s="12">
        <v>0.35</v>
      </c>
      <c r="N707" s="12">
        <v>0.3</v>
      </c>
      <c r="O707" s="8">
        <v>12468</v>
      </c>
      <c r="P707" s="8">
        <f t="shared" si="75"/>
        <v>8727.5999999999985</v>
      </c>
      <c r="Q707" s="12">
        <f t="shared" si="76"/>
        <v>18327.96</v>
      </c>
      <c r="R707" s="31">
        <f t="shared" si="77"/>
        <v>18300</v>
      </c>
      <c r="W707" s="8">
        <f t="shared" si="78"/>
        <v>21818.999999999996</v>
      </c>
    </row>
    <row r="708" spans="1:23" ht="21.95" customHeight="1" x14ac:dyDescent="0.2">
      <c r="A708" s="6" t="s">
        <v>1151</v>
      </c>
      <c r="B708" s="5" t="s">
        <v>1590</v>
      </c>
      <c r="C708" s="5" t="s">
        <v>402</v>
      </c>
      <c r="D708" s="6" t="s">
        <v>1856</v>
      </c>
      <c r="K708" s="7">
        <v>44009908</v>
      </c>
      <c r="L708" s="6" t="str">
        <f t="shared" si="74"/>
        <v>NV GALAXY 4 LÜ KOLLU MODÜL *2</v>
      </c>
      <c r="M708" s="12">
        <v>0.35</v>
      </c>
      <c r="N708" s="12">
        <v>0.3</v>
      </c>
      <c r="O708" s="8">
        <v>38088</v>
      </c>
      <c r="P708" s="8">
        <f t="shared" si="75"/>
        <v>26661.599999999999</v>
      </c>
      <c r="Q708" s="12">
        <f t="shared" si="76"/>
        <v>55989.36</v>
      </c>
      <c r="R708" s="31">
        <f t="shared" si="77"/>
        <v>55900</v>
      </c>
      <c r="W708" s="8">
        <f t="shared" si="78"/>
        <v>66654</v>
      </c>
    </row>
    <row r="709" spans="1:23" ht="21.95" customHeight="1" x14ac:dyDescent="0.2">
      <c r="A709" s="6" t="s">
        <v>1151</v>
      </c>
      <c r="B709" s="5" t="s">
        <v>1590</v>
      </c>
      <c r="C709" s="5" t="s">
        <v>402</v>
      </c>
      <c r="D709" s="6" t="s">
        <v>1855</v>
      </c>
      <c r="K709" s="7">
        <v>44009909</v>
      </c>
      <c r="L709" s="6" t="str">
        <f t="shared" si="74"/>
        <v xml:space="preserve">NV GALAXY 4 LÜ ARA MODÜL </v>
      </c>
      <c r="M709" s="12">
        <v>0.35</v>
      </c>
      <c r="N709" s="12">
        <v>0.3</v>
      </c>
      <c r="O709" s="8">
        <v>12950</v>
      </c>
      <c r="P709" s="8">
        <f t="shared" si="75"/>
        <v>9065</v>
      </c>
      <c r="Q709" s="12">
        <f t="shared" si="76"/>
        <v>19036.5</v>
      </c>
      <c r="R709" s="31">
        <f t="shared" si="77"/>
        <v>19000</v>
      </c>
      <c r="W709" s="8">
        <f t="shared" si="78"/>
        <v>22662.5</v>
      </c>
    </row>
    <row r="710" spans="1:23" ht="21.95" customHeight="1" x14ac:dyDescent="0.2">
      <c r="A710" s="6" t="s">
        <v>1151</v>
      </c>
      <c r="B710" s="5" t="s">
        <v>1590</v>
      </c>
      <c r="C710" s="5" t="s">
        <v>402</v>
      </c>
      <c r="D710" s="6" t="s">
        <v>1857</v>
      </c>
      <c r="K710" s="7">
        <v>44009910</v>
      </c>
      <c r="L710" s="6" t="str">
        <f t="shared" si="74"/>
        <v xml:space="preserve">NV GALAXY 3 LÜ KOLTUK </v>
      </c>
      <c r="M710" s="12">
        <v>0.35</v>
      </c>
      <c r="N710" s="12">
        <v>0.3</v>
      </c>
      <c r="O710" s="8">
        <v>40424</v>
      </c>
      <c r="P710" s="8">
        <f t="shared" si="75"/>
        <v>28296.799999999999</v>
      </c>
      <c r="Q710" s="12">
        <f t="shared" si="76"/>
        <v>59423.28</v>
      </c>
      <c r="R710" s="31">
        <f t="shared" si="77"/>
        <v>59400</v>
      </c>
      <c r="W710" s="8">
        <f t="shared" si="78"/>
        <v>70742</v>
      </c>
    </row>
    <row r="711" spans="1:23" ht="21.95" customHeight="1" x14ac:dyDescent="0.2">
      <c r="A711" s="6" t="s">
        <v>1151</v>
      </c>
      <c r="B711" s="5" t="s">
        <v>1590</v>
      </c>
      <c r="C711" s="5" t="s">
        <v>402</v>
      </c>
      <c r="D711" s="6" t="s">
        <v>168</v>
      </c>
      <c r="K711" s="7">
        <v>44009911</v>
      </c>
      <c r="L711" s="6" t="str">
        <f t="shared" si="74"/>
        <v xml:space="preserve">NV GALAXY BERJER </v>
      </c>
      <c r="M711" s="12">
        <v>0.35</v>
      </c>
      <c r="N711" s="12">
        <v>0.3</v>
      </c>
      <c r="O711" s="8">
        <v>11065</v>
      </c>
      <c r="P711" s="8">
        <f t="shared" si="75"/>
        <v>7745.4999999999991</v>
      </c>
      <c r="Q711" s="12">
        <f t="shared" si="76"/>
        <v>16265.55</v>
      </c>
      <c r="R711" s="31">
        <f t="shared" si="77"/>
        <v>16200</v>
      </c>
      <c r="W711" s="8">
        <f t="shared" si="78"/>
        <v>19363.749999999996</v>
      </c>
    </row>
    <row r="712" spans="1:23" ht="21.95" customHeight="1" x14ac:dyDescent="0.2">
      <c r="A712" s="6" t="s">
        <v>1151</v>
      </c>
      <c r="B712" s="5" t="s">
        <v>1590</v>
      </c>
      <c r="C712" s="5" t="s">
        <v>402</v>
      </c>
      <c r="D712" s="6" t="s">
        <v>1574</v>
      </c>
      <c r="K712" s="7">
        <v>44009912</v>
      </c>
      <c r="L712" s="6" t="str">
        <f t="shared" si="74"/>
        <v xml:space="preserve">NV GALAXY KOLLU MODÜL *2 </v>
      </c>
      <c r="M712" s="12">
        <v>0.35</v>
      </c>
      <c r="N712" s="12">
        <v>0.3</v>
      </c>
      <c r="O712" s="8">
        <v>38088</v>
      </c>
      <c r="P712" s="8">
        <f t="shared" si="75"/>
        <v>26661.599999999999</v>
      </c>
      <c r="Q712" s="12">
        <f t="shared" si="76"/>
        <v>55989.36</v>
      </c>
      <c r="R712" s="31">
        <f t="shared" si="77"/>
        <v>55900</v>
      </c>
      <c r="W712" s="8">
        <f t="shared" si="78"/>
        <v>66654</v>
      </c>
    </row>
    <row r="713" spans="1:23" ht="21.95" customHeight="1" x14ac:dyDescent="0.2">
      <c r="A713" s="6" t="s">
        <v>1151</v>
      </c>
      <c r="B713" s="5" t="s">
        <v>1590</v>
      </c>
      <c r="C713" s="5" t="s">
        <v>402</v>
      </c>
      <c r="D713" s="6" t="s">
        <v>1579</v>
      </c>
      <c r="K713" s="7">
        <v>44009913</v>
      </c>
      <c r="L713" s="6" t="str">
        <f t="shared" si="74"/>
        <v>NV GALAXY ARA MODÜL *3</v>
      </c>
      <c r="M713" s="12">
        <v>0.35</v>
      </c>
      <c r="N713" s="12">
        <v>0.3</v>
      </c>
      <c r="O713" s="8">
        <v>38850</v>
      </c>
      <c r="P713" s="8">
        <f t="shared" si="75"/>
        <v>27195</v>
      </c>
      <c r="Q713" s="12">
        <f t="shared" si="76"/>
        <v>57109.5</v>
      </c>
      <c r="R713" s="31">
        <f t="shared" si="77"/>
        <v>57100</v>
      </c>
      <c r="W713" s="8">
        <f t="shared" si="78"/>
        <v>67987.5</v>
      </c>
    </row>
    <row r="714" spans="1:23" ht="21.95" customHeight="1" x14ac:dyDescent="0.2">
      <c r="A714" s="6" t="s">
        <v>1151</v>
      </c>
      <c r="B714" s="5" t="s">
        <v>1590</v>
      </c>
      <c r="C714" s="5" t="s">
        <v>402</v>
      </c>
      <c r="D714" s="6" t="s">
        <v>1576</v>
      </c>
      <c r="K714" s="7">
        <v>44009914</v>
      </c>
      <c r="L714" s="6" t="str">
        <f t="shared" si="74"/>
        <v xml:space="preserve">NV GALAXY KÖŞE MODÜL </v>
      </c>
      <c r="M714" s="12">
        <v>0.35</v>
      </c>
      <c r="N714" s="12">
        <v>0.3</v>
      </c>
      <c r="O714" s="8">
        <v>20419</v>
      </c>
      <c r="P714" s="8">
        <f t="shared" si="75"/>
        <v>14293.3</v>
      </c>
      <c r="Q714" s="12">
        <f t="shared" si="76"/>
        <v>30015.93</v>
      </c>
      <c r="R714" s="31">
        <f t="shared" si="77"/>
        <v>30000</v>
      </c>
      <c r="W714" s="8">
        <f t="shared" si="78"/>
        <v>35733.25</v>
      </c>
    </row>
    <row r="715" spans="1:23" ht="21.95" customHeight="1" x14ac:dyDescent="0.2">
      <c r="A715" s="6" t="s">
        <v>1151</v>
      </c>
      <c r="B715" s="5" t="s">
        <v>1590</v>
      </c>
      <c r="C715" s="5" t="s">
        <v>357</v>
      </c>
      <c r="D715" s="6" t="s">
        <v>1857</v>
      </c>
      <c r="K715" s="7">
        <v>44009915</v>
      </c>
      <c r="L715" s="6" t="str">
        <f t="shared" si="74"/>
        <v xml:space="preserve">NV SUENO 3 LÜ KOLTUK </v>
      </c>
      <c r="M715" s="12">
        <v>0.35</v>
      </c>
      <c r="N715" s="12">
        <v>0.3</v>
      </c>
      <c r="O715" s="8">
        <v>34672</v>
      </c>
      <c r="P715" s="8">
        <f t="shared" si="75"/>
        <v>24270.399999999998</v>
      </c>
      <c r="Q715" s="12">
        <f t="shared" si="76"/>
        <v>50967.839999999997</v>
      </c>
      <c r="R715" s="31">
        <f t="shared" si="77"/>
        <v>50900</v>
      </c>
      <c r="W715" s="8">
        <f t="shared" si="78"/>
        <v>60675.999999999993</v>
      </c>
    </row>
    <row r="716" spans="1:23" ht="21.95" customHeight="1" x14ac:dyDescent="0.2">
      <c r="A716" s="6" t="s">
        <v>1151</v>
      </c>
      <c r="B716" s="5" t="s">
        <v>1590</v>
      </c>
      <c r="C716" s="5" t="s">
        <v>357</v>
      </c>
      <c r="D716" s="6" t="s">
        <v>168</v>
      </c>
      <c r="K716" s="7">
        <v>44009916</v>
      </c>
      <c r="L716" s="6" t="str">
        <f t="shared" si="74"/>
        <v xml:space="preserve">NV SUENO BERJER </v>
      </c>
      <c r="M716" s="12">
        <v>0.35</v>
      </c>
      <c r="N716" s="12">
        <v>0.3</v>
      </c>
      <c r="O716" s="8">
        <v>10886</v>
      </c>
      <c r="P716" s="8">
        <f t="shared" si="75"/>
        <v>7620.2</v>
      </c>
      <c r="Q716" s="12">
        <f t="shared" si="76"/>
        <v>16002.42</v>
      </c>
      <c r="R716" s="31">
        <f t="shared" si="77"/>
        <v>16000</v>
      </c>
      <c r="W716" s="8">
        <f t="shared" si="78"/>
        <v>19050.5</v>
      </c>
    </row>
    <row r="717" spans="1:23" ht="21.95" customHeight="1" x14ac:dyDescent="0.2">
      <c r="A717" s="6" t="s">
        <v>1151</v>
      </c>
      <c r="B717" s="5" t="s">
        <v>1590</v>
      </c>
      <c r="C717" s="6" t="s">
        <v>410</v>
      </c>
      <c r="D717" s="6" t="s">
        <v>1854</v>
      </c>
      <c r="K717" s="7">
        <v>44009917</v>
      </c>
      <c r="L717" s="6" t="str">
        <f t="shared" si="74"/>
        <v>NV İNTEGRA 4 LÜ KOLTUK</v>
      </c>
      <c r="M717" s="12">
        <v>0.35</v>
      </c>
      <c r="N717" s="12">
        <v>0.3</v>
      </c>
      <c r="O717" s="8">
        <v>44798</v>
      </c>
      <c r="P717" s="8">
        <f t="shared" si="75"/>
        <v>31358.6</v>
      </c>
      <c r="Q717" s="12">
        <f t="shared" si="76"/>
        <v>65853.06</v>
      </c>
      <c r="R717" s="31">
        <f t="shared" si="77"/>
        <v>65800</v>
      </c>
      <c r="W717" s="8">
        <f t="shared" si="78"/>
        <v>78396.5</v>
      </c>
    </row>
    <row r="718" spans="1:23" ht="21.95" customHeight="1" x14ac:dyDescent="0.2">
      <c r="A718" s="6" t="s">
        <v>1151</v>
      </c>
      <c r="B718" s="5" t="s">
        <v>1590</v>
      </c>
      <c r="C718" s="6" t="s">
        <v>410</v>
      </c>
      <c r="D718" s="6" t="s">
        <v>1857</v>
      </c>
      <c r="K718" s="7">
        <v>44009918</v>
      </c>
      <c r="L718" s="6" t="str">
        <f t="shared" si="74"/>
        <v xml:space="preserve">NV İNTEGRA 3 LÜ KOLTUK </v>
      </c>
      <c r="M718" s="12">
        <v>0.35</v>
      </c>
      <c r="N718" s="12">
        <v>0.3</v>
      </c>
      <c r="O718" s="8">
        <v>40159</v>
      </c>
      <c r="P718" s="8">
        <f t="shared" si="75"/>
        <v>28111.3</v>
      </c>
      <c r="Q718" s="12">
        <f t="shared" si="76"/>
        <v>59033.73</v>
      </c>
      <c r="R718" s="31">
        <f t="shared" si="77"/>
        <v>59000</v>
      </c>
      <c r="W718" s="8">
        <f t="shared" si="78"/>
        <v>70278.25</v>
      </c>
    </row>
    <row r="719" spans="1:23" ht="21.95" customHeight="1" x14ac:dyDescent="0.2">
      <c r="A719" s="6" t="s">
        <v>1151</v>
      </c>
      <c r="B719" s="5" t="s">
        <v>1590</v>
      </c>
      <c r="C719" s="6" t="s">
        <v>410</v>
      </c>
      <c r="D719" s="6" t="s">
        <v>168</v>
      </c>
      <c r="K719" s="7">
        <v>44009919</v>
      </c>
      <c r="L719" s="6" t="str">
        <f t="shared" si="74"/>
        <v xml:space="preserve">NV İNTEGRA BERJER </v>
      </c>
      <c r="M719" s="12">
        <v>0.35</v>
      </c>
      <c r="N719" s="12">
        <v>0.3</v>
      </c>
      <c r="O719" s="8">
        <v>16987</v>
      </c>
      <c r="P719" s="8">
        <f t="shared" si="75"/>
        <v>11890.9</v>
      </c>
      <c r="Q719" s="12">
        <f t="shared" si="76"/>
        <v>24970.89</v>
      </c>
      <c r="R719" s="31">
        <f t="shared" si="77"/>
        <v>24900</v>
      </c>
      <c r="W719" s="8">
        <f t="shared" si="78"/>
        <v>29727.25</v>
      </c>
    </row>
    <row r="720" spans="1:23" ht="21.95" customHeight="1" x14ac:dyDescent="0.2">
      <c r="A720" s="6" t="s">
        <v>1151</v>
      </c>
      <c r="B720" s="5" t="s">
        <v>1590</v>
      </c>
      <c r="C720" s="6" t="s">
        <v>410</v>
      </c>
      <c r="D720" s="6" t="s">
        <v>373</v>
      </c>
      <c r="K720" s="7">
        <v>44009920</v>
      </c>
      <c r="L720" s="6" t="str">
        <f t="shared" si="74"/>
        <v xml:space="preserve">NV İNTEGRA PUF </v>
      </c>
      <c r="M720" s="12">
        <v>0.35</v>
      </c>
      <c r="N720" s="12">
        <v>0.3</v>
      </c>
      <c r="O720" s="8">
        <v>3577</v>
      </c>
      <c r="P720" s="8">
        <f t="shared" si="75"/>
        <v>2503.8999999999996</v>
      </c>
      <c r="Q720" s="12">
        <f t="shared" si="76"/>
        <v>5258.19</v>
      </c>
      <c r="R720" s="31">
        <f t="shared" si="77"/>
        <v>5200</v>
      </c>
      <c r="W720" s="8">
        <f t="shared" si="78"/>
        <v>6259.7499999999991</v>
      </c>
    </row>
    <row r="721" spans="1:24" s="6" customFormat="1" ht="21.95" customHeight="1" x14ac:dyDescent="0.2">
      <c r="A721" s="6" t="s">
        <v>1151</v>
      </c>
      <c r="B721" s="6" t="s">
        <v>1590</v>
      </c>
      <c r="C721" s="6" t="s">
        <v>1580</v>
      </c>
      <c r="D721" s="6" t="s">
        <v>1857</v>
      </c>
      <c r="I721" s="9"/>
      <c r="J721" s="9"/>
      <c r="K721" s="9">
        <v>44009921</v>
      </c>
      <c r="L721" s="6" t="str">
        <f t="shared" si="74"/>
        <v xml:space="preserve">NV MONZA 3 LÜ KOLTUK </v>
      </c>
      <c r="M721" s="12">
        <v>0.35</v>
      </c>
      <c r="N721" s="12">
        <v>0.3</v>
      </c>
      <c r="O721" s="12">
        <v>33859</v>
      </c>
      <c r="P721" s="12">
        <f t="shared" si="75"/>
        <v>23701.3</v>
      </c>
      <c r="Q721" s="12">
        <f t="shared" si="76"/>
        <v>49772.73</v>
      </c>
      <c r="R721" s="33">
        <f t="shared" si="77"/>
        <v>49700</v>
      </c>
      <c r="T721" s="12"/>
      <c r="U721" s="12"/>
      <c r="V721" s="12"/>
      <c r="W721" s="12">
        <f t="shared" si="78"/>
        <v>59253.25</v>
      </c>
    </row>
    <row r="722" spans="1:24" s="6" customFormat="1" ht="21.95" customHeight="1" x14ac:dyDescent="0.2">
      <c r="A722" s="6" t="s">
        <v>1151</v>
      </c>
      <c r="B722" s="6" t="s">
        <v>1590</v>
      </c>
      <c r="C722" s="6" t="s">
        <v>1580</v>
      </c>
      <c r="D722" s="6" t="s">
        <v>1857</v>
      </c>
      <c r="I722" s="9"/>
      <c r="J722" s="9"/>
      <c r="K722" s="9">
        <v>44009922</v>
      </c>
      <c r="L722" s="6" t="str">
        <f t="shared" si="74"/>
        <v xml:space="preserve">NV MONZA 3 LÜ KOLTUK </v>
      </c>
      <c r="M722" s="12">
        <v>0.35</v>
      </c>
      <c r="N722" s="12">
        <v>0.3</v>
      </c>
      <c r="O722" s="12">
        <v>33859</v>
      </c>
      <c r="P722" s="12">
        <f t="shared" si="75"/>
        <v>23701.3</v>
      </c>
      <c r="Q722" s="12">
        <f t="shared" si="76"/>
        <v>49772.73</v>
      </c>
      <c r="R722" s="33">
        <f t="shared" si="77"/>
        <v>49700</v>
      </c>
      <c r="T722" s="12"/>
      <c r="U722" s="12"/>
      <c r="V722" s="12"/>
      <c r="W722" s="12">
        <f t="shared" si="78"/>
        <v>59253.25</v>
      </c>
    </row>
    <row r="723" spans="1:24" s="6" customFormat="1" ht="21.95" customHeight="1" x14ac:dyDescent="0.2">
      <c r="A723" s="6" t="s">
        <v>1151</v>
      </c>
      <c r="B723" s="6" t="s">
        <v>1590</v>
      </c>
      <c r="C723" s="6" t="s">
        <v>1580</v>
      </c>
      <c r="D723" s="6" t="s">
        <v>168</v>
      </c>
      <c r="I723" s="9"/>
      <c r="J723" s="9"/>
      <c r="K723" s="9">
        <v>44009923</v>
      </c>
      <c r="L723" s="6" t="str">
        <f t="shared" si="74"/>
        <v xml:space="preserve">NV MONZA BERJER </v>
      </c>
      <c r="M723" s="12">
        <v>0.35</v>
      </c>
      <c r="N723" s="12">
        <v>0.3</v>
      </c>
      <c r="O723" s="12">
        <v>10861</v>
      </c>
      <c r="P723" s="12">
        <f t="shared" si="75"/>
        <v>7602.7</v>
      </c>
      <c r="Q723" s="12">
        <f t="shared" si="76"/>
        <v>15965.67</v>
      </c>
      <c r="R723" s="33">
        <f t="shared" si="77"/>
        <v>15900</v>
      </c>
      <c r="T723" s="12"/>
      <c r="U723" s="12"/>
      <c r="V723" s="12"/>
      <c r="W723" s="12">
        <f t="shared" si="78"/>
        <v>19006.75</v>
      </c>
    </row>
    <row r="724" spans="1:24" ht="21.95" customHeight="1" x14ac:dyDescent="0.2">
      <c r="A724" s="5" t="s">
        <v>17</v>
      </c>
      <c r="B724" s="5" t="s">
        <v>1590</v>
      </c>
      <c r="C724" s="5" t="s">
        <v>410</v>
      </c>
      <c r="D724" s="6" t="s">
        <v>411</v>
      </c>
      <c r="E724" s="6"/>
      <c r="G724" s="5">
        <v>265</v>
      </c>
      <c r="H724" s="5">
        <v>78</v>
      </c>
      <c r="I724" s="7">
        <v>115</v>
      </c>
      <c r="K724" s="7">
        <v>44004890</v>
      </c>
      <c r="L724" s="5" t="str">
        <f t="shared" si="74"/>
        <v>NV İNTEGRA KANEPE 4 LÜ</v>
      </c>
      <c r="M724" s="12">
        <v>0.35</v>
      </c>
      <c r="N724" s="8">
        <v>0.3</v>
      </c>
      <c r="O724" s="8">
        <v>44798</v>
      </c>
      <c r="P724" s="8">
        <f t="shared" si="75"/>
        <v>31358.6</v>
      </c>
      <c r="Q724" s="12">
        <f t="shared" si="76"/>
        <v>65853.06</v>
      </c>
      <c r="R724" s="31">
        <f t="shared" si="77"/>
        <v>65800</v>
      </c>
      <c r="V724" s="8">
        <f t="shared" si="73"/>
        <v>0</v>
      </c>
      <c r="W724" s="8">
        <f t="shared" si="68"/>
        <v>0</v>
      </c>
      <c r="X724" s="8">
        <f t="shared" si="69"/>
        <v>0</v>
      </c>
    </row>
    <row r="725" spans="1:24" ht="21.95" customHeight="1" x14ac:dyDescent="0.2">
      <c r="A725" s="5" t="s">
        <v>17</v>
      </c>
      <c r="B725" s="5" t="s">
        <v>1590</v>
      </c>
      <c r="C725" s="5" t="s">
        <v>410</v>
      </c>
      <c r="D725" s="6" t="s">
        <v>412</v>
      </c>
      <c r="E725" s="6"/>
      <c r="G725" s="5">
        <v>230</v>
      </c>
      <c r="H725" s="5">
        <v>78</v>
      </c>
      <c r="I725" s="7">
        <v>115</v>
      </c>
      <c r="K725" s="7">
        <v>44004891</v>
      </c>
      <c r="L725" s="5" t="str">
        <f t="shared" si="74"/>
        <v>NV İNTEGRA KANEPE 3 LÜ</v>
      </c>
      <c r="M725" s="12">
        <v>0.35</v>
      </c>
      <c r="N725" s="8">
        <v>0.3</v>
      </c>
      <c r="O725" s="8">
        <v>40159</v>
      </c>
      <c r="P725" s="8">
        <f t="shared" si="75"/>
        <v>28111.3</v>
      </c>
      <c r="Q725" s="12">
        <f t="shared" si="76"/>
        <v>59033.73</v>
      </c>
      <c r="R725" s="31">
        <f t="shared" si="77"/>
        <v>59000</v>
      </c>
      <c r="V725" s="8">
        <f t="shared" si="73"/>
        <v>0</v>
      </c>
      <c r="W725" s="8">
        <f t="shared" si="68"/>
        <v>0</v>
      </c>
      <c r="X725" s="8">
        <f t="shared" si="69"/>
        <v>0</v>
      </c>
    </row>
    <row r="726" spans="1:24" s="6" customFormat="1" ht="21.95" customHeight="1" x14ac:dyDescent="0.2">
      <c r="A726" s="6" t="s">
        <v>17</v>
      </c>
      <c r="B726" s="6" t="s">
        <v>1590</v>
      </c>
      <c r="C726" s="6" t="s">
        <v>410</v>
      </c>
      <c r="D726" s="6" t="s">
        <v>33</v>
      </c>
      <c r="G726" s="6">
        <v>66</v>
      </c>
      <c r="H726" s="6">
        <v>78</v>
      </c>
      <c r="I726" s="9">
        <v>95</v>
      </c>
      <c r="J726" s="9"/>
      <c r="K726" s="9">
        <v>44004892</v>
      </c>
      <c r="L726" s="6" t="str">
        <f t="shared" si="74"/>
        <v>NV İNTEGRA BERJER</v>
      </c>
      <c r="M726" s="12">
        <v>0.35</v>
      </c>
      <c r="N726" s="12">
        <v>0.3</v>
      </c>
      <c r="O726" s="12">
        <v>16987</v>
      </c>
      <c r="P726" s="12">
        <f t="shared" si="75"/>
        <v>11890.9</v>
      </c>
      <c r="Q726" s="12">
        <f t="shared" si="76"/>
        <v>24970.89</v>
      </c>
      <c r="R726" s="33">
        <f t="shared" si="77"/>
        <v>24900</v>
      </c>
      <c r="T726" s="12"/>
      <c r="U726" s="12"/>
      <c r="V726" s="12">
        <f t="shared" si="73"/>
        <v>0</v>
      </c>
      <c r="W726" s="12">
        <f t="shared" si="68"/>
        <v>0</v>
      </c>
      <c r="X726" s="12">
        <f t="shared" si="69"/>
        <v>0</v>
      </c>
    </row>
    <row r="727" spans="1:24" ht="21.95" customHeight="1" x14ac:dyDescent="0.2">
      <c r="A727" s="5" t="s">
        <v>17</v>
      </c>
      <c r="B727" s="5" t="s">
        <v>1590</v>
      </c>
      <c r="C727" s="5" t="s">
        <v>410</v>
      </c>
      <c r="D727" s="6" t="s">
        <v>119</v>
      </c>
      <c r="E727" s="6"/>
      <c r="G727" s="6">
        <v>45</v>
      </c>
      <c r="H727" s="6">
        <v>37</v>
      </c>
      <c r="I727" s="9">
        <v>55</v>
      </c>
      <c r="J727" s="9"/>
      <c r="K727" s="7">
        <v>44004893</v>
      </c>
      <c r="L727" s="5" t="str">
        <f t="shared" si="74"/>
        <v>NV İNTEGRA PUF</v>
      </c>
      <c r="M727" s="12">
        <v>0.35</v>
      </c>
      <c r="N727" s="8">
        <v>0.3</v>
      </c>
      <c r="O727" s="8">
        <v>3577</v>
      </c>
      <c r="P727" s="8">
        <f t="shared" si="75"/>
        <v>2503.8999999999996</v>
      </c>
      <c r="Q727" s="12">
        <f t="shared" si="76"/>
        <v>5258.19</v>
      </c>
      <c r="R727" s="31">
        <f t="shared" si="77"/>
        <v>5200</v>
      </c>
      <c r="V727" s="8">
        <f t="shared" si="73"/>
        <v>0</v>
      </c>
      <c r="W727" s="8">
        <f t="shared" si="68"/>
        <v>0</v>
      </c>
      <c r="X727" s="8">
        <f t="shared" si="69"/>
        <v>0</v>
      </c>
    </row>
    <row r="728" spans="1:24" ht="21.95" customHeight="1" x14ac:dyDescent="0.2">
      <c r="A728" s="5" t="s">
        <v>17</v>
      </c>
      <c r="B728" s="5" t="s">
        <v>1590</v>
      </c>
      <c r="C728" s="6" t="s">
        <v>357</v>
      </c>
      <c r="D728" s="6" t="s">
        <v>412</v>
      </c>
      <c r="E728" s="6"/>
      <c r="G728" s="6">
        <v>247</v>
      </c>
      <c r="H728" s="6">
        <v>90</v>
      </c>
      <c r="I728" s="9">
        <v>102</v>
      </c>
      <c r="J728" s="9"/>
      <c r="K728" s="7">
        <v>44004894</v>
      </c>
      <c r="L728" s="5" t="str">
        <f t="shared" si="74"/>
        <v>NV SUENO KANEPE 3 LÜ</v>
      </c>
      <c r="M728" s="12">
        <v>0.35</v>
      </c>
      <c r="N728" s="8">
        <v>0.3</v>
      </c>
      <c r="O728" s="8">
        <v>34672</v>
      </c>
      <c r="P728" s="8">
        <f t="shared" si="75"/>
        <v>24270.399999999998</v>
      </c>
      <c r="Q728" s="12">
        <f t="shared" si="76"/>
        <v>50967.839999999997</v>
      </c>
      <c r="R728" s="31">
        <f t="shared" si="77"/>
        <v>50900</v>
      </c>
      <c r="V728" s="8">
        <f t="shared" si="73"/>
        <v>0</v>
      </c>
      <c r="W728" s="8">
        <f t="shared" si="68"/>
        <v>0</v>
      </c>
      <c r="X728" s="8">
        <f t="shared" si="69"/>
        <v>0</v>
      </c>
    </row>
    <row r="729" spans="1:24" ht="21.95" customHeight="1" x14ac:dyDescent="0.2">
      <c r="A729" s="5" t="s">
        <v>17</v>
      </c>
      <c r="B729" s="5" t="s">
        <v>1590</v>
      </c>
      <c r="C729" s="6" t="s">
        <v>357</v>
      </c>
      <c r="D729" s="6" t="s">
        <v>33</v>
      </c>
      <c r="E729" s="6"/>
      <c r="G729" s="6">
        <v>80</v>
      </c>
      <c r="H729" s="6">
        <v>92</v>
      </c>
      <c r="I729" s="7">
        <v>95</v>
      </c>
      <c r="K729" s="7">
        <v>44004895</v>
      </c>
      <c r="L729" s="5" t="str">
        <f t="shared" si="74"/>
        <v>NV SUENO BERJER</v>
      </c>
      <c r="M729" s="12">
        <v>0.35</v>
      </c>
      <c r="N729" s="8">
        <v>0.3</v>
      </c>
      <c r="O729" s="8">
        <v>10886</v>
      </c>
      <c r="P729" s="8">
        <f t="shared" si="75"/>
        <v>7620.2</v>
      </c>
      <c r="Q729" s="12">
        <f t="shared" si="76"/>
        <v>16002.42</v>
      </c>
      <c r="R729" s="31">
        <f t="shared" si="77"/>
        <v>16000</v>
      </c>
      <c r="V729" s="8">
        <f t="shared" si="73"/>
        <v>0</v>
      </c>
      <c r="W729" s="8">
        <f t="shared" si="68"/>
        <v>0</v>
      </c>
      <c r="X729" s="8">
        <f t="shared" si="69"/>
        <v>0</v>
      </c>
    </row>
    <row r="730" spans="1:24" ht="21.95" customHeight="1" x14ac:dyDescent="0.2">
      <c r="A730" s="5" t="s">
        <v>17</v>
      </c>
      <c r="B730" t="s">
        <v>1589</v>
      </c>
      <c r="C730" t="s">
        <v>413</v>
      </c>
      <c r="D730" t="s">
        <v>414</v>
      </c>
      <c r="E730"/>
      <c r="F730"/>
      <c r="G730"/>
      <c r="H730"/>
      <c r="I730" s="10"/>
      <c r="J730" s="10"/>
      <c r="K730" s="7">
        <v>44004896</v>
      </c>
      <c r="L730" s="5" t="str">
        <f t="shared" si="74"/>
        <v>LV MELİSSA DOLAP 200 CM</v>
      </c>
      <c r="M730" s="8">
        <v>0.2</v>
      </c>
      <c r="N730" s="8">
        <v>0.15</v>
      </c>
      <c r="O730" s="8">
        <v>37200</v>
      </c>
      <c r="P730" s="8">
        <f t="shared" si="75"/>
        <v>31620</v>
      </c>
      <c r="Q730" s="12">
        <f t="shared" si="76"/>
        <v>66402</v>
      </c>
      <c r="R730" s="31">
        <f t="shared" si="77"/>
        <v>66400</v>
      </c>
      <c r="U730" s="8">
        <v>18522</v>
      </c>
      <c r="V730" s="8">
        <f t="shared" si="73"/>
        <v>0</v>
      </c>
      <c r="W730" s="8">
        <f t="shared" si="68"/>
        <v>0</v>
      </c>
      <c r="X730" s="8">
        <f t="shared" si="69"/>
        <v>0</v>
      </c>
    </row>
    <row r="731" spans="1:24" ht="21.95" customHeight="1" x14ac:dyDescent="0.2">
      <c r="A731" s="5" t="s">
        <v>17</v>
      </c>
      <c r="B731" t="s">
        <v>1589</v>
      </c>
      <c r="C731" t="s">
        <v>413</v>
      </c>
      <c r="D731" t="s">
        <v>415</v>
      </c>
      <c r="E731"/>
      <c r="F731"/>
      <c r="G731"/>
      <c r="H731"/>
      <c r="I731" s="10"/>
      <c r="J731" s="10"/>
      <c r="K731" s="7">
        <v>44004897</v>
      </c>
      <c r="L731" s="5" t="str">
        <f t="shared" si="74"/>
        <v>LV MELİSSA DOLAP 50 CM SAĞ RAFLI</v>
      </c>
      <c r="M731" s="8">
        <v>0.2</v>
      </c>
      <c r="N731" s="8">
        <v>0.15</v>
      </c>
      <c r="O731" s="8">
        <v>5800</v>
      </c>
      <c r="P731" s="8">
        <f t="shared" si="75"/>
        <v>4930</v>
      </c>
      <c r="Q731" s="12">
        <f t="shared" si="76"/>
        <v>10353</v>
      </c>
      <c r="R731" s="31">
        <f t="shared" si="77"/>
        <v>10300</v>
      </c>
      <c r="U731" s="8">
        <v>27069</v>
      </c>
      <c r="V731" s="8">
        <f t="shared" si="73"/>
        <v>0</v>
      </c>
      <c r="W731" s="8">
        <f t="shared" si="68"/>
        <v>0</v>
      </c>
      <c r="X731" s="8">
        <f t="shared" si="69"/>
        <v>0</v>
      </c>
    </row>
    <row r="732" spans="1:24" ht="21.95" customHeight="1" x14ac:dyDescent="0.2">
      <c r="A732" s="5" t="s">
        <v>17</v>
      </c>
      <c r="B732" t="s">
        <v>1589</v>
      </c>
      <c r="C732" t="s">
        <v>413</v>
      </c>
      <c r="D732" t="s">
        <v>416</v>
      </c>
      <c r="E732"/>
      <c r="F732"/>
      <c r="G732"/>
      <c r="H732"/>
      <c r="I732" s="10"/>
      <c r="J732" s="10"/>
      <c r="K732" s="7">
        <v>44004898</v>
      </c>
      <c r="L732" s="5" t="str">
        <f t="shared" si="74"/>
        <v>LV MELİSSA DOLAP 50 CM SOL ASKILIKLI</v>
      </c>
      <c r="M732" s="8">
        <v>0.2</v>
      </c>
      <c r="N732" s="8">
        <v>0.15</v>
      </c>
      <c r="O732" s="8">
        <v>5600</v>
      </c>
      <c r="P732" s="8">
        <f t="shared" si="75"/>
        <v>4760</v>
      </c>
      <c r="Q732" s="12">
        <f t="shared" si="76"/>
        <v>9996</v>
      </c>
      <c r="R732" s="31">
        <f t="shared" si="77"/>
        <v>9900</v>
      </c>
      <c r="U732" s="8">
        <v>29652</v>
      </c>
      <c r="V732" s="8">
        <f t="shared" si="73"/>
        <v>0</v>
      </c>
      <c r="W732" s="8">
        <f t="shared" si="68"/>
        <v>0</v>
      </c>
      <c r="X732" s="8">
        <f t="shared" si="69"/>
        <v>0</v>
      </c>
    </row>
    <row r="733" spans="1:24" ht="21.95" customHeight="1" x14ac:dyDescent="0.2">
      <c r="A733" s="5" t="s">
        <v>17</v>
      </c>
      <c r="B733" t="s">
        <v>1589</v>
      </c>
      <c r="C733" t="s">
        <v>413</v>
      </c>
      <c r="D733" t="s">
        <v>417</v>
      </c>
      <c r="E733"/>
      <c r="F733"/>
      <c r="G733"/>
      <c r="H733"/>
      <c r="I733" s="10"/>
      <c r="J733" s="10"/>
      <c r="K733" s="7">
        <v>44004899</v>
      </c>
      <c r="L733" s="5" t="str">
        <f t="shared" si="74"/>
        <v xml:space="preserve">LV MELİSSA 160 BAZALI KARYOLA </v>
      </c>
      <c r="M733" s="8">
        <v>0.2</v>
      </c>
      <c r="N733" s="8">
        <v>0.15</v>
      </c>
      <c r="O733" s="8">
        <v>18100</v>
      </c>
      <c r="P733" s="8">
        <f t="shared" si="75"/>
        <v>15385</v>
      </c>
      <c r="Q733" s="12">
        <f t="shared" si="76"/>
        <v>32308.5</v>
      </c>
      <c r="R733" s="31">
        <f t="shared" si="77"/>
        <v>32300</v>
      </c>
      <c r="U733" s="8">
        <v>22953</v>
      </c>
      <c r="V733" s="8">
        <f t="shared" si="73"/>
        <v>0</v>
      </c>
      <c r="W733" s="8">
        <f t="shared" si="68"/>
        <v>0</v>
      </c>
      <c r="X733" s="8">
        <f t="shared" si="69"/>
        <v>0</v>
      </c>
    </row>
    <row r="734" spans="1:24" ht="21.95" customHeight="1" x14ac:dyDescent="0.2">
      <c r="A734" s="5" t="s">
        <v>17</v>
      </c>
      <c r="B734" t="s">
        <v>1589</v>
      </c>
      <c r="C734" t="s">
        <v>413</v>
      </c>
      <c r="D734" t="s">
        <v>80</v>
      </c>
      <c r="E734"/>
      <c r="F734"/>
      <c r="G734"/>
      <c r="H734"/>
      <c r="I734" s="10"/>
      <c r="J734" s="10"/>
      <c r="K734" s="7">
        <v>44004900</v>
      </c>
      <c r="L734" s="5" t="str">
        <f t="shared" si="74"/>
        <v>LV MELİSSA KOMODİN X2</v>
      </c>
      <c r="M734" s="8">
        <v>0.2</v>
      </c>
      <c r="N734" s="8">
        <v>0.15</v>
      </c>
      <c r="O734" s="8">
        <v>7400</v>
      </c>
      <c r="P734" s="8">
        <f t="shared" si="75"/>
        <v>6290</v>
      </c>
      <c r="Q734" s="12">
        <f t="shared" si="76"/>
        <v>13209</v>
      </c>
      <c r="R734" s="31">
        <f t="shared" si="77"/>
        <v>13200</v>
      </c>
      <c r="U734" s="8">
        <v>12390</v>
      </c>
      <c r="V734" s="8">
        <f t="shared" ref="V734:V829" si="79">T734*(1-N734)</f>
        <v>0</v>
      </c>
      <c r="W734" s="8">
        <f t="shared" si="68"/>
        <v>0</v>
      </c>
      <c r="X734" s="8">
        <f t="shared" si="69"/>
        <v>0</v>
      </c>
    </row>
    <row r="735" spans="1:24" ht="21.95" customHeight="1" x14ac:dyDescent="0.2">
      <c r="A735" s="5" t="s">
        <v>17</v>
      </c>
      <c r="B735" t="s">
        <v>1589</v>
      </c>
      <c r="C735" t="s">
        <v>413</v>
      </c>
      <c r="D735" t="s">
        <v>78</v>
      </c>
      <c r="E735"/>
      <c r="F735"/>
      <c r="G735"/>
      <c r="H735"/>
      <c r="I735" s="10"/>
      <c r="J735" s="10"/>
      <c r="K735" s="7">
        <v>44004901</v>
      </c>
      <c r="L735" s="5" t="str">
        <f t="shared" si="74"/>
        <v>LV MELİSSA ŞİFONYER</v>
      </c>
      <c r="M735" s="8">
        <v>0.2</v>
      </c>
      <c r="N735" s="8">
        <v>0.15</v>
      </c>
      <c r="O735" s="8">
        <v>10400</v>
      </c>
      <c r="P735" s="8">
        <f t="shared" si="75"/>
        <v>8840</v>
      </c>
      <c r="Q735" s="12">
        <f t="shared" si="76"/>
        <v>18564</v>
      </c>
      <c r="R735" s="31">
        <f t="shared" si="77"/>
        <v>18500</v>
      </c>
      <c r="U735" s="8">
        <v>19908</v>
      </c>
      <c r="V735" s="8">
        <f t="shared" si="79"/>
        <v>0</v>
      </c>
      <c r="W735" s="8">
        <f t="shared" si="68"/>
        <v>0</v>
      </c>
      <c r="X735" s="8">
        <f t="shared" si="69"/>
        <v>0</v>
      </c>
    </row>
    <row r="736" spans="1:24" ht="21.95" customHeight="1" x14ac:dyDescent="0.2">
      <c r="A736" s="5" t="s">
        <v>17</v>
      </c>
      <c r="B736" t="s">
        <v>1589</v>
      </c>
      <c r="C736" t="s">
        <v>413</v>
      </c>
      <c r="D736" t="s">
        <v>79</v>
      </c>
      <c r="E736"/>
      <c r="F736"/>
      <c r="G736"/>
      <c r="H736"/>
      <c r="I736" s="10"/>
      <c r="J736" s="10"/>
      <c r="K736" s="7">
        <v>44004902</v>
      </c>
      <c r="L736" s="6" t="str">
        <f t="shared" si="74"/>
        <v>LV MELİSSA ŞİFONYER AYNASI</v>
      </c>
      <c r="M736" s="8">
        <v>0.2</v>
      </c>
      <c r="N736" s="8">
        <v>0.15</v>
      </c>
      <c r="O736" s="8">
        <v>3200</v>
      </c>
      <c r="P736" s="8">
        <f t="shared" si="75"/>
        <v>2720</v>
      </c>
      <c r="Q736" s="12">
        <f t="shared" si="76"/>
        <v>5712</v>
      </c>
      <c r="R736" s="31">
        <f t="shared" si="77"/>
        <v>5700</v>
      </c>
      <c r="U736" s="8">
        <v>24528</v>
      </c>
      <c r="V736" s="8">
        <f t="shared" si="79"/>
        <v>0</v>
      </c>
      <c r="W736" s="8">
        <f t="shared" ref="W736:W830" si="80">V736*2.5</f>
        <v>0</v>
      </c>
      <c r="X736" s="8">
        <f t="shared" ref="X736:X830" si="81">ROUNDDOWN(W736,-2)</f>
        <v>0</v>
      </c>
    </row>
    <row r="737" spans="1:24" ht="21.95" customHeight="1" x14ac:dyDescent="0.2">
      <c r="A737" s="5" t="s">
        <v>17</v>
      </c>
      <c r="B737" t="s">
        <v>1589</v>
      </c>
      <c r="C737" t="s">
        <v>413</v>
      </c>
      <c r="D737" t="s">
        <v>418</v>
      </c>
      <c r="E737"/>
      <c r="F737"/>
      <c r="G737"/>
      <c r="H737"/>
      <c r="I737" s="10"/>
      <c r="J737" s="10"/>
      <c r="K737" s="7">
        <v>44004903</v>
      </c>
      <c r="L737" s="5" t="str">
        <f t="shared" si="74"/>
        <v>LV MELİSSA DOLAP 200 CM AHŞAP KAPAKLI</v>
      </c>
      <c r="M737" s="8">
        <v>0.2</v>
      </c>
      <c r="N737" s="8">
        <v>0.15</v>
      </c>
      <c r="O737" s="8">
        <v>37200</v>
      </c>
      <c r="P737" s="8">
        <f t="shared" si="75"/>
        <v>31620</v>
      </c>
      <c r="Q737" s="12">
        <f t="shared" si="76"/>
        <v>66402</v>
      </c>
      <c r="R737" s="31">
        <f t="shared" si="77"/>
        <v>66400</v>
      </c>
      <c r="U737" s="8">
        <v>12852</v>
      </c>
      <c r="V737" s="8">
        <f t="shared" si="79"/>
        <v>0</v>
      </c>
      <c r="W737" s="8">
        <f t="shared" si="80"/>
        <v>0</v>
      </c>
      <c r="X737" s="8">
        <f t="shared" si="81"/>
        <v>0</v>
      </c>
    </row>
    <row r="738" spans="1:24" ht="21.95" customHeight="1" x14ac:dyDescent="0.2">
      <c r="A738" s="5" t="s">
        <v>17</v>
      </c>
      <c r="B738" t="s">
        <v>1589</v>
      </c>
      <c r="C738" t="s">
        <v>413</v>
      </c>
      <c r="D738" t="s">
        <v>419</v>
      </c>
      <c r="E738"/>
      <c r="F738"/>
      <c r="G738"/>
      <c r="H738"/>
      <c r="I738" s="10"/>
      <c r="J738" s="10"/>
      <c r="K738" s="7">
        <v>44004904</v>
      </c>
      <c r="L738" s="5" t="str">
        <f t="shared" si="74"/>
        <v>LV MELİSSA DOLAP 100 CM AHŞAP KAPAKLI</v>
      </c>
      <c r="M738" s="8">
        <v>0.2</v>
      </c>
      <c r="N738" s="8">
        <v>0.15</v>
      </c>
      <c r="O738" s="8">
        <v>21400</v>
      </c>
      <c r="P738" s="8">
        <f t="shared" si="75"/>
        <v>18190</v>
      </c>
      <c r="Q738" s="12">
        <f t="shared" si="76"/>
        <v>38199</v>
      </c>
      <c r="R738" s="31">
        <f t="shared" si="77"/>
        <v>38100</v>
      </c>
      <c r="U738" s="8">
        <v>3591</v>
      </c>
      <c r="V738" s="8">
        <f t="shared" si="79"/>
        <v>0</v>
      </c>
      <c r="W738" s="8">
        <f t="shared" si="80"/>
        <v>0</v>
      </c>
      <c r="X738" s="8">
        <f t="shared" si="81"/>
        <v>0</v>
      </c>
    </row>
    <row r="739" spans="1:24" s="6" customFormat="1" ht="21.95" customHeight="1" x14ac:dyDescent="0.2">
      <c r="A739" s="6" t="s">
        <v>17</v>
      </c>
      <c r="B739" s="26" t="s">
        <v>1589</v>
      </c>
      <c r="C739" s="26" t="s">
        <v>413</v>
      </c>
      <c r="D739" s="26" t="s">
        <v>420</v>
      </c>
      <c r="E739" s="26"/>
      <c r="F739" s="26"/>
      <c r="G739" s="26"/>
      <c r="H739" s="26"/>
      <c r="I739" s="27"/>
      <c r="J739" s="27"/>
      <c r="K739" s="9">
        <v>44004905</v>
      </c>
      <c r="L739" s="6" t="str">
        <f t="shared" si="74"/>
        <v>LV MELİSSA DOLAP 100 CM CAM KAPAKLI</v>
      </c>
      <c r="M739" s="12">
        <v>0.2</v>
      </c>
      <c r="N739" s="12">
        <v>0.15</v>
      </c>
      <c r="O739" s="12">
        <v>21400</v>
      </c>
      <c r="P739" s="12">
        <f t="shared" si="75"/>
        <v>18190</v>
      </c>
      <c r="Q739" s="12">
        <f t="shared" si="76"/>
        <v>38199</v>
      </c>
      <c r="R739" s="33">
        <f t="shared" si="77"/>
        <v>38100</v>
      </c>
      <c r="T739" s="12"/>
      <c r="U739" s="12"/>
      <c r="V739" s="12">
        <f t="shared" si="79"/>
        <v>0</v>
      </c>
      <c r="W739" s="12">
        <f t="shared" si="80"/>
        <v>0</v>
      </c>
      <c r="X739" s="12">
        <f t="shared" si="81"/>
        <v>0</v>
      </c>
    </row>
    <row r="740" spans="1:24" ht="21.95" customHeight="1" x14ac:dyDescent="0.2">
      <c r="A740" s="5" t="s">
        <v>17</v>
      </c>
      <c r="B740" t="s">
        <v>1589</v>
      </c>
      <c r="C740" t="s">
        <v>413</v>
      </c>
      <c r="D740" t="s">
        <v>421</v>
      </c>
      <c r="E740"/>
      <c r="F740"/>
      <c r="G740"/>
      <c r="H740"/>
      <c r="I740" s="10"/>
      <c r="J740" s="10"/>
      <c r="K740" s="7">
        <v>44004906</v>
      </c>
      <c r="L740" s="5" t="str">
        <f t="shared" si="74"/>
        <v>LV MELİSSA RAFLI MODÜL 25 CM</v>
      </c>
      <c r="M740" s="8">
        <v>0.2</v>
      </c>
      <c r="N740" s="8">
        <v>0.15</v>
      </c>
      <c r="O740" s="8">
        <v>4150</v>
      </c>
      <c r="P740" s="8">
        <f t="shared" si="75"/>
        <v>3527.5</v>
      </c>
      <c r="Q740" s="12">
        <f t="shared" si="76"/>
        <v>7407.75</v>
      </c>
      <c r="R740" s="31">
        <f t="shared" si="77"/>
        <v>7400</v>
      </c>
      <c r="U740" s="8">
        <v>39660</v>
      </c>
      <c r="V740" s="8">
        <f t="shared" si="79"/>
        <v>0</v>
      </c>
      <c r="W740" s="8">
        <f t="shared" si="80"/>
        <v>0</v>
      </c>
      <c r="X740" s="8">
        <f t="shared" si="81"/>
        <v>0</v>
      </c>
    </row>
    <row r="741" spans="1:24" ht="21.95" customHeight="1" x14ac:dyDescent="0.2">
      <c r="A741" s="21" t="s">
        <v>17</v>
      </c>
      <c r="B741" s="24" t="s">
        <v>1589</v>
      </c>
      <c r="C741" s="24" t="s">
        <v>413</v>
      </c>
      <c r="D741" s="24" t="s">
        <v>422</v>
      </c>
      <c r="E741" s="24"/>
      <c r="F741" s="24"/>
      <c r="G741" s="24"/>
      <c r="H741" s="24"/>
      <c r="I741" s="25"/>
      <c r="J741" s="25"/>
      <c r="K741" s="22">
        <v>44004907</v>
      </c>
      <c r="L741" s="21" t="str">
        <f t="shared" si="74"/>
        <v>LV MELİSSA DOLAP KÖŞE AHŞAP KAPAKLI</v>
      </c>
      <c r="M741" s="23">
        <v>0.2</v>
      </c>
      <c r="N741" s="23">
        <v>0.15</v>
      </c>
      <c r="O741" s="23">
        <v>14800</v>
      </c>
      <c r="P741" s="23">
        <f t="shared" si="75"/>
        <v>12580</v>
      </c>
      <c r="Q741" s="23">
        <f t="shared" si="76"/>
        <v>26418</v>
      </c>
      <c r="R741" s="32">
        <f t="shared" si="77"/>
        <v>26400</v>
      </c>
      <c r="U741" s="8">
        <v>7340</v>
      </c>
      <c r="V741" s="8">
        <f t="shared" si="79"/>
        <v>0</v>
      </c>
      <c r="W741" s="8">
        <f t="shared" si="80"/>
        <v>0</v>
      </c>
      <c r="X741" s="8">
        <f t="shared" si="81"/>
        <v>0</v>
      </c>
    </row>
    <row r="742" spans="1:24" ht="21.95" customHeight="1" x14ac:dyDescent="0.2">
      <c r="A742" s="21" t="s">
        <v>17</v>
      </c>
      <c r="B742" s="24" t="s">
        <v>1589</v>
      </c>
      <c r="C742" s="24" t="s">
        <v>413</v>
      </c>
      <c r="D742" s="24" t="s">
        <v>423</v>
      </c>
      <c r="E742" s="24"/>
      <c r="F742" s="24"/>
      <c r="G742" s="24"/>
      <c r="H742" s="24"/>
      <c r="I742" s="25"/>
      <c r="J742" s="25"/>
      <c r="K742" s="22">
        <v>44004908</v>
      </c>
      <c r="L742" s="21" t="str">
        <f t="shared" ref="L742:L805" si="82">B742&amp;" "&amp;C742&amp;" "&amp;D742</f>
        <v>LV MELİSSA DOLAP KÖŞE CAM KAPAKLI</v>
      </c>
      <c r="M742" s="23">
        <v>0.2</v>
      </c>
      <c r="N742" s="23">
        <v>0.15</v>
      </c>
      <c r="O742" s="23">
        <v>14800</v>
      </c>
      <c r="P742" s="23">
        <f t="shared" si="75"/>
        <v>12580</v>
      </c>
      <c r="Q742" s="23">
        <f t="shared" si="76"/>
        <v>26418</v>
      </c>
      <c r="R742" s="32">
        <f t="shared" si="77"/>
        <v>26400</v>
      </c>
      <c r="U742" s="8">
        <v>36240</v>
      </c>
      <c r="V742" s="8">
        <f t="shared" si="79"/>
        <v>0</v>
      </c>
      <c r="W742" s="8">
        <f t="shared" si="80"/>
        <v>0</v>
      </c>
      <c r="X742" s="8">
        <f t="shared" si="81"/>
        <v>0</v>
      </c>
    </row>
    <row r="743" spans="1:24" ht="21.95" customHeight="1" x14ac:dyDescent="0.2">
      <c r="A743" s="5" t="s">
        <v>17</v>
      </c>
      <c r="B743" t="s">
        <v>1589</v>
      </c>
      <c r="C743" t="s">
        <v>413</v>
      </c>
      <c r="D743" t="s">
        <v>424</v>
      </c>
      <c r="E743"/>
      <c r="F743"/>
      <c r="G743"/>
      <c r="H743"/>
      <c r="I743" s="10"/>
      <c r="J743" s="10"/>
      <c r="K743" s="7">
        <v>44004909</v>
      </c>
      <c r="L743" s="5" t="str">
        <f t="shared" si="82"/>
        <v>LV MELİSSA KARYOLA BAZALI 180 CM</v>
      </c>
      <c r="M743" s="8">
        <v>0.2</v>
      </c>
      <c r="N743" s="8">
        <v>0.15</v>
      </c>
      <c r="O743" s="8">
        <v>19200</v>
      </c>
      <c r="P743" s="8">
        <f t="shared" si="75"/>
        <v>16320</v>
      </c>
      <c r="Q743" s="12">
        <f t="shared" si="76"/>
        <v>34272</v>
      </c>
      <c r="R743" s="31">
        <f t="shared" si="77"/>
        <v>34200</v>
      </c>
      <c r="U743" s="8">
        <v>21400</v>
      </c>
      <c r="V743" s="8">
        <f t="shared" si="79"/>
        <v>0</v>
      </c>
      <c r="W743" s="8">
        <f t="shared" si="80"/>
        <v>0</v>
      </c>
      <c r="X743" s="8">
        <f t="shared" si="81"/>
        <v>0</v>
      </c>
    </row>
    <row r="744" spans="1:24" ht="21.95" customHeight="1" x14ac:dyDescent="0.2">
      <c r="A744" s="5" t="s">
        <v>17</v>
      </c>
      <c r="B744" t="s">
        <v>1589</v>
      </c>
      <c r="C744" t="s">
        <v>413</v>
      </c>
      <c r="D744" t="s">
        <v>197</v>
      </c>
      <c r="E744"/>
      <c r="F744"/>
      <c r="G744"/>
      <c r="H744"/>
      <c r="I744" s="10"/>
      <c r="J744" s="10"/>
      <c r="K744" s="7">
        <v>44004910</v>
      </c>
      <c r="L744" s="5" t="str">
        <f t="shared" si="82"/>
        <v>LV MELİSSA BENCH</v>
      </c>
      <c r="M744" s="8">
        <v>0.2</v>
      </c>
      <c r="N744" s="8">
        <v>0.15</v>
      </c>
      <c r="O744" s="8">
        <v>5420</v>
      </c>
      <c r="P744" s="8">
        <f t="shared" si="75"/>
        <v>4607</v>
      </c>
      <c r="Q744" s="12">
        <f t="shared" si="76"/>
        <v>9674.7000000000007</v>
      </c>
      <c r="R744" s="31">
        <f t="shared" si="77"/>
        <v>9600</v>
      </c>
      <c r="U744" s="8">
        <v>16020</v>
      </c>
      <c r="V744" s="8">
        <f t="shared" si="79"/>
        <v>0</v>
      </c>
      <c r="W744" s="8">
        <f t="shared" si="80"/>
        <v>0</v>
      </c>
      <c r="X744" s="8">
        <f t="shared" si="81"/>
        <v>0</v>
      </c>
    </row>
    <row r="745" spans="1:24" ht="21.95" customHeight="1" x14ac:dyDescent="0.2">
      <c r="A745" s="5" t="s">
        <v>17</v>
      </c>
      <c r="B745" t="s">
        <v>1589</v>
      </c>
      <c r="C745" t="s">
        <v>413</v>
      </c>
      <c r="D745" t="s">
        <v>126</v>
      </c>
      <c r="E745"/>
      <c r="F745"/>
      <c r="G745"/>
      <c r="H745"/>
      <c r="I745" s="10"/>
      <c r="J745" s="10"/>
      <c r="K745" s="7">
        <v>44004911</v>
      </c>
      <c r="L745" s="5" t="str">
        <f t="shared" si="82"/>
        <v>LV MELİSSA ÇAMAŞIRLIK</v>
      </c>
      <c r="M745" s="8">
        <v>0.2</v>
      </c>
      <c r="N745" s="8">
        <v>0.15</v>
      </c>
      <c r="O745" s="8">
        <v>6800</v>
      </c>
      <c r="P745" s="8">
        <f t="shared" si="75"/>
        <v>5780</v>
      </c>
      <c r="Q745" s="12">
        <f t="shared" si="76"/>
        <v>12138</v>
      </c>
      <c r="R745" s="31">
        <f t="shared" si="77"/>
        <v>12100</v>
      </c>
      <c r="U745" s="8">
        <v>38080</v>
      </c>
      <c r="V745" s="8">
        <f t="shared" si="79"/>
        <v>0</v>
      </c>
      <c r="W745" s="8">
        <f t="shared" si="80"/>
        <v>0</v>
      </c>
      <c r="X745" s="8">
        <f t="shared" si="81"/>
        <v>0</v>
      </c>
    </row>
    <row r="746" spans="1:24" ht="21.95" customHeight="1" x14ac:dyDescent="0.2">
      <c r="A746" s="5" t="s">
        <v>17</v>
      </c>
      <c r="B746" t="s">
        <v>1589</v>
      </c>
      <c r="C746" t="s">
        <v>413</v>
      </c>
      <c r="D746" t="s">
        <v>425</v>
      </c>
      <c r="E746"/>
      <c r="F746"/>
      <c r="G746"/>
      <c r="H746"/>
      <c r="I746" s="10"/>
      <c r="J746" s="10"/>
      <c r="K746" s="7">
        <v>44004912</v>
      </c>
      <c r="L746" s="5" t="str">
        <f t="shared" si="82"/>
        <v>LV MELİSSA VALE STAND</v>
      </c>
      <c r="M746" s="8">
        <v>0.2</v>
      </c>
      <c r="N746" s="8">
        <v>0.15</v>
      </c>
      <c r="O746" s="8">
        <v>8720</v>
      </c>
      <c r="P746" s="8">
        <f t="shared" si="75"/>
        <v>7412</v>
      </c>
      <c r="Q746" s="12">
        <f t="shared" si="76"/>
        <v>15565.2</v>
      </c>
      <c r="R746" s="31">
        <f t="shared" si="77"/>
        <v>15500</v>
      </c>
      <c r="U746" s="8">
        <v>11740</v>
      </c>
      <c r="V746" s="8">
        <f t="shared" si="79"/>
        <v>0</v>
      </c>
      <c r="W746" s="8">
        <f t="shared" si="80"/>
        <v>0</v>
      </c>
      <c r="X746" s="8">
        <f t="shared" si="81"/>
        <v>0</v>
      </c>
    </row>
    <row r="747" spans="1:24" ht="21.95" customHeight="1" x14ac:dyDescent="0.2">
      <c r="A747" s="5" t="s">
        <v>17</v>
      </c>
      <c r="B747" t="s">
        <v>1589</v>
      </c>
      <c r="C747" t="s">
        <v>413</v>
      </c>
      <c r="D747" t="s">
        <v>426</v>
      </c>
      <c r="E747"/>
      <c r="F747"/>
      <c r="G747"/>
      <c r="H747"/>
      <c r="I747" s="10"/>
      <c r="J747" s="10"/>
      <c r="K747" s="7">
        <v>44004913</v>
      </c>
      <c r="L747" s="5" t="str">
        <f t="shared" si="82"/>
        <v>LV MELİSSA ŞİFONYERLİ MODÜL</v>
      </c>
      <c r="M747" s="8">
        <v>0.2</v>
      </c>
      <c r="N747" s="8">
        <v>0.15</v>
      </c>
      <c r="O747" s="8">
        <v>11880</v>
      </c>
      <c r="P747" s="8">
        <f t="shared" si="75"/>
        <v>10098</v>
      </c>
      <c r="Q747" s="12">
        <f t="shared" si="76"/>
        <v>21205.8</v>
      </c>
      <c r="R747" s="31">
        <f t="shared" si="77"/>
        <v>21200</v>
      </c>
      <c r="U747" s="8">
        <v>13780</v>
      </c>
      <c r="V747" s="8">
        <f t="shared" si="79"/>
        <v>0</v>
      </c>
      <c r="W747" s="8">
        <f t="shared" si="80"/>
        <v>0</v>
      </c>
      <c r="X747" s="8">
        <f t="shared" si="81"/>
        <v>0</v>
      </c>
    </row>
    <row r="748" spans="1:24" ht="21.95" customHeight="1" x14ac:dyDescent="0.2">
      <c r="A748" s="5" t="s">
        <v>17</v>
      </c>
      <c r="B748" t="s">
        <v>1589</v>
      </c>
      <c r="C748" t="s">
        <v>413</v>
      </c>
      <c r="D748" t="s">
        <v>427</v>
      </c>
      <c r="E748"/>
      <c r="F748"/>
      <c r="G748"/>
      <c r="H748"/>
      <c r="I748" s="10"/>
      <c r="J748" s="10"/>
      <c r="K748" s="7">
        <v>44004914</v>
      </c>
      <c r="L748" s="5" t="str">
        <f t="shared" si="82"/>
        <v>LV MELİSSA ŞİFONYER ADA</v>
      </c>
      <c r="M748" s="8">
        <v>0.2</v>
      </c>
      <c r="N748" s="8">
        <v>0.15</v>
      </c>
      <c r="O748" s="8">
        <v>9200</v>
      </c>
      <c r="P748" s="8">
        <f t="shared" si="75"/>
        <v>7820</v>
      </c>
      <c r="Q748" s="12">
        <f t="shared" si="76"/>
        <v>16422</v>
      </c>
      <c r="R748" s="31">
        <f t="shared" si="77"/>
        <v>16400</v>
      </c>
      <c r="U748" s="8">
        <v>6300</v>
      </c>
      <c r="V748" s="8">
        <f t="shared" si="79"/>
        <v>0</v>
      </c>
      <c r="W748" s="8">
        <f t="shared" si="80"/>
        <v>0</v>
      </c>
      <c r="X748" s="8">
        <f t="shared" si="81"/>
        <v>0</v>
      </c>
    </row>
    <row r="749" spans="1:24" ht="21.95" customHeight="1" x14ac:dyDescent="0.2">
      <c r="A749" s="5" t="s">
        <v>17</v>
      </c>
      <c r="B749" t="s">
        <v>1589</v>
      </c>
      <c r="C749" t="s">
        <v>413</v>
      </c>
      <c r="D749" t="s">
        <v>428</v>
      </c>
      <c r="E749"/>
      <c r="F749"/>
      <c r="G749"/>
      <c r="H749"/>
      <c r="I749" s="10"/>
      <c r="J749" s="10"/>
      <c r="K749" s="7">
        <v>44004915</v>
      </c>
      <c r="L749" s="5" t="str">
        <f t="shared" si="82"/>
        <v>LV MELİSSA MİNİ BERJER</v>
      </c>
      <c r="M749" s="8">
        <v>0.2</v>
      </c>
      <c r="N749" s="8">
        <v>0.15</v>
      </c>
      <c r="O749" s="8">
        <v>3180</v>
      </c>
      <c r="P749" s="8">
        <f t="shared" ref="P749:P812" si="83">O749*(1-N749)</f>
        <v>2703</v>
      </c>
      <c r="Q749" s="12">
        <f t="shared" ref="Q749:Q812" si="84">O749*(1-N749)*2.1</f>
        <v>5676.3</v>
      </c>
      <c r="R749" s="31">
        <f t="shared" ref="R749:R812" si="85">ROUNDDOWN(Q749,-2)</f>
        <v>5600</v>
      </c>
      <c r="U749" s="8">
        <v>22218</v>
      </c>
      <c r="V749" s="8">
        <f t="shared" si="79"/>
        <v>0</v>
      </c>
      <c r="W749" s="8">
        <f t="shared" si="80"/>
        <v>0</v>
      </c>
      <c r="X749" s="8">
        <f t="shared" si="81"/>
        <v>0</v>
      </c>
    </row>
    <row r="750" spans="1:24" ht="21.95" customHeight="1" x14ac:dyDescent="0.2">
      <c r="A750" s="5" t="s">
        <v>17</v>
      </c>
      <c r="B750" t="s">
        <v>1589</v>
      </c>
      <c r="C750" t="s">
        <v>429</v>
      </c>
      <c r="D750" t="s">
        <v>414</v>
      </c>
      <c r="E750"/>
      <c r="F750"/>
      <c r="G750"/>
      <c r="H750"/>
      <c r="I750" s="10"/>
      <c r="J750" s="10"/>
      <c r="K750" s="7">
        <v>44004916</v>
      </c>
      <c r="L750" s="5" t="str">
        <f t="shared" si="82"/>
        <v>LV LİNA DOLAP 200 CM</v>
      </c>
      <c r="M750" s="8">
        <v>0.2</v>
      </c>
      <c r="N750" s="8">
        <v>0.15</v>
      </c>
      <c r="O750" s="8">
        <v>35500</v>
      </c>
      <c r="P750" s="8">
        <f t="shared" si="83"/>
        <v>30175</v>
      </c>
      <c r="Q750" s="12">
        <f t="shared" si="84"/>
        <v>63367.5</v>
      </c>
      <c r="R750" s="31">
        <f t="shared" si="85"/>
        <v>63300</v>
      </c>
      <c r="U750" s="8">
        <v>24885</v>
      </c>
      <c r="V750" s="8">
        <f t="shared" si="79"/>
        <v>0</v>
      </c>
      <c r="W750" s="8">
        <f t="shared" si="80"/>
        <v>0</v>
      </c>
      <c r="X750" s="8">
        <f t="shared" si="81"/>
        <v>0</v>
      </c>
    </row>
    <row r="751" spans="1:24" ht="21.95" customHeight="1" x14ac:dyDescent="0.2">
      <c r="A751" s="5" t="s">
        <v>17</v>
      </c>
      <c r="B751" t="s">
        <v>1589</v>
      </c>
      <c r="C751" t="s">
        <v>429</v>
      </c>
      <c r="D751" t="s">
        <v>415</v>
      </c>
      <c r="E751"/>
      <c r="F751"/>
      <c r="G751"/>
      <c r="H751"/>
      <c r="I751" s="10"/>
      <c r="J751" s="10"/>
      <c r="K751" s="7">
        <v>44004917</v>
      </c>
      <c r="L751" s="5" t="str">
        <f t="shared" si="82"/>
        <v>LV LİNA DOLAP 50 CM SAĞ RAFLI</v>
      </c>
      <c r="M751" s="8">
        <v>0.2</v>
      </c>
      <c r="N751" s="8">
        <v>0.15</v>
      </c>
      <c r="O751" s="8">
        <v>10900</v>
      </c>
      <c r="P751" s="8">
        <f t="shared" si="83"/>
        <v>9265</v>
      </c>
      <c r="Q751" s="12">
        <f t="shared" si="84"/>
        <v>19456.5</v>
      </c>
      <c r="R751" s="31">
        <f t="shared" si="85"/>
        <v>19400</v>
      </c>
      <c r="U751" s="8">
        <v>9786</v>
      </c>
      <c r="V751" s="8">
        <f t="shared" si="79"/>
        <v>0</v>
      </c>
      <c r="W751" s="8">
        <f t="shared" si="80"/>
        <v>0</v>
      </c>
      <c r="X751" s="8">
        <f t="shared" si="81"/>
        <v>0</v>
      </c>
    </row>
    <row r="752" spans="1:24" ht="21.95" customHeight="1" x14ac:dyDescent="0.2">
      <c r="A752" s="5" t="s">
        <v>17</v>
      </c>
      <c r="B752" t="s">
        <v>1589</v>
      </c>
      <c r="C752" t="s">
        <v>429</v>
      </c>
      <c r="D752" t="s">
        <v>416</v>
      </c>
      <c r="E752"/>
      <c r="F752"/>
      <c r="G752"/>
      <c r="H752"/>
      <c r="I752" s="10"/>
      <c r="J752" s="10"/>
      <c r="K752" s="7">
        <v>44004918</v>
      </c>
      <c r="L752" s="5" t="str">
        <f t="shared" si="82"/>
        <v>LV LİNA DOLAP 50 CM SOL ASKILIKLI</v>
      </c>
      <c r="M752" s="8">
        <v>0.2</v>
      </c>
      <c r="N752" s="8">
        <v>0.15</v>
      </c>
      <c r="O752" s="8">
        <v>10600</v>
      </c>
      <c r="P752" s="8">
        <f t="shared" si="83"/>
        <v>9010</v>
      </c>
      <c r="Q752" s="12">
        <f t="shared" si="84"/>
        <v>18921</v>
      </c>
      <c r="R752" s="31">
        <f t="shared" si="85"/>
        <v>18900</v>
      </c>
      <c r="U752" s="8">
        <v>28938</v>
      </c>
      <c r="V752" s="8">
        <f t="shared" si="79"/>
        <v>0</v>
      </c>
      <c r="W752" s="8">
        <f t="shared" si="80"/>
        <v>0</v>
      </c>
      <c r="X752" s="8">
        <f t="shared" si="81"/>
        <v>0</v>
      </c>
    </row>
    <row r="753" spans="1:23" ht="21.95" customHeight="1" x14ac:dyDescent="0.2">
      <c r="A753" s="5" t="s">
        <v>17</v>
      </c>
      <c r="B753" t="s">
        <v>1589</v>
      </c>
      <c r="C753" t="s">
        <v>429</v>
      </c>
      <c r="D753" t="s">
        <v>430</v>
      </c>
      <c r="E753"/>
      <c r="F753"/>
      <c r="G753"/>
      <c r="H753"/>
      <c r="I753" s="10"/>
      <c r="J753" s="10"/>
      <c r="K753" s="7">
        <v>44004919</v>
      </c>
      <c r="L753" s="5" t="str">
        <f t="shared" si="82"/>
        <v>LV LİNA KARYOLA BAZALI 160 CM</v>
      </c>
      <c r="M753" s="8">
        <v>0.2</v>
      </c>
      <c r="N753" s="8">
        <v>0.15</v>
      </c>
      <c r="O753" s="8">
        <v>22400</v>
      </c>
      <c r="P753" s="8">
        <f t="shared" si="83"/>
        <v>19040</v>
      </c>
      <c r="Q753" s="12">
        <f t="shared" si="84"/>
        <v>39984</v>
      </c>
      <c r="R753" s="31">
        <f t="shared" si="85"/>
        <v>39900</v>
      </c>
      <c r="T753" s="8">
        <v>11122</v>
      </c>
      <c r="V753" s="8">
        <f t="shared" ref="V753:V788" si="86">T753*(1-N753)</f>
        <v>9453.6999999999989</v>
      </c>
      <c r="W753" s="8">
        <f t="shared" ref="W753:W788" si="87">V753*2.5</f>
        <v>23634.249999999996</v>
      </c>
    </row>
    <row r="754" spans="1:23" ht="21.95" customHeight="1" x14ac:dyDescent="0.2">
      <c r="A754" s="5" t="s">
        <v>17</v>
      </c>
      <c r="B754" t="s">
        <v>1589</v>
      </c>
      <c r="C754" t="s">
        <v>429</v>
      </c>
      <c r="D754" t="s">
        <v>80</v>
      </c>
      <c r="E754"/>
      <c r="F754"/>
      <c r="G754"/>
      <c r="H754"/>
      <c r="I754" s="10"/>
      <c r="J754" s="10"/>
      <c r="K754" s="7">
        <v>44004920</v>
      </c>
      <c r="L754" s="5" t="str">
        <f t="shared" si="82"/>
        <v>LV LİNA KOMODİN X2</v>
      </c>
      <c r="M754" s="8">
        <v>0.2</v>
      </c>
      <c r="N754" s="8">
        <v>0.15</v>
      </c>
      <c r="O754" s="8">
        <v>12600</v>
      </c>
      <c r="P754" s="8">
        <f t="shared" si="83"/>
        <v>10710</v>
      </c>
      <c r="Q754" s="12">
        <f t="shared" si="84"/>
        <v>22491</v>
      </c>
      <c r="R754" s="31">
        <f t="shared" si="85"/>
        <v>22400</v>
      </c>
      <c r="T754" s="8">
        <v>1149</v>
      </c>
      <c r="V754" s="8">
        <f t="shared" si="86"/>
        <v>976.65</v>
      </c>
      <c r="W754" s="8">
        <f t="shared" si="87"/>
        <v>2441.625</v>
      </c>
    </row>
    <row r="755" spans="1:23" ht="21.95" customHeight="1" x14ac:dyDescent="0.2">
      <c r="A755" s="5" t="s">
        <v>17</v>
      </c>
      <c r="B755" t="s">
        <v>1589</v>
      </c>
      <c r="C755" t="s">
        <v>429</v>
      </c>
      <c r="D755" t="s">
        <v>96</v>
      </c>
      <c r="E755"/>
      <c r="F755"/>
      <c r="G755"/>
      <c r="H755"/>
      <c r="I755" s="10"/>
      <c r="J755" s="10"/>
      <c r="K755" s="7">
        <v>44004921</v>
      </c>
      <c r="L755" s="5" t="str">
        <f t="shared" si="82"/>
        <v xml:space="preserve">LV LİNA ŞİFONYER </v>
      </c>
      <c r="M755" s="8">
        <v>0.2</v>
      </c>
      <c r="N755" s="8">
        <v>0.15</v>
      </c>
      <c r="O755" s="8">
        <v>13450</v>
      </c>
      <c r="P755" s="8">
        <f t="shared" si="83"/>
        <v>11432.5</v>
      </c>
      <c r="Q755" s="12">
        <f t="shared" si="84"/>
        <v>24008.25</v>
      </c>
      <c r="R755" s="31">
        <f t="shared" si="85"/>
        <v>24000</v>
      </c>
      <c r="T755" s="8">
        <v>9997</v>
      </c>
      <c r="V755" s="8">
        <f t="shared" si="86"/>
        <v>8497.4499999999989</v>
      </c>
      <c r="W755" s="8">
        <f t="shared" si="87"/>
        <v>21243.624999999996</v>
      </c>
    </row>
    <row r="756" spans="1:23" ht="21.95" customHeight="1" x14ac:dyDescent="0.2">
      <c r="A756" s="5" t="s">
        <v>17</v>
      </c>
      <c r="B756" t="s">
        <v>1589</v>
      </c>
      <c r="C756" t="s">
        <v>429</v>
      </c>
      <c r="D756" t="s">
        <v>79</v>
      </c>
      <c r="E756"/>
      <c r="F756"/>
      <c r="G756"/>
      <c r="H756"/>
      <c r="I756" s="10"/>
      <c r="J756" s="10"/>
      <c r="K756" s="7">
        <v>44004922</v>
      </c>
      <c r="L756" s="5" t="str">
        <f t="shared" si="82"/>
        <v>LV LİNA ŞİFONYER AYNASI</v>
      </c>
      <c r="M756" s="8">
        <v>0.2</v>
      </c>
      <c r="N756" s="8">
        <v>0.15</v>
      </c>
      <c r="O756" s="8">
        <v>3550</v>
      </c>
      <c r="P756" s="8">
        <f t="shared" si="83"/>
        <v>3017.5</v>
      </c>
      <c r="Q756" s="12">
        <f t="shared" si="84"/>
        <v>6336.75</v>
      </c>
      <c r="R756" s="31">
        <f t="shared" si="85"/>
        <v>6300</v>
      </c>
      <c r="T756" s="8">
        <v>11653</v>
      </c>
      <c r="V756" s="8">
        <f t="shared" si="86"/>
        <v>9905.0499999999993</v>
      </c>
      <c r="W756" s="8">
        <f t="shared" si="87"/>
        <v>24762.625</v>
      </c>
    </row>
    <row r="757" spans="1:23" ht="21.95" customHeight="1" x14ac:dyDescent="0.2">
      <c r="A757" s="5" t="s">
        <v>17</v>
      </c>
      <c r="B757" t="s">
        <v>1589</v>
      </c>
      <c r="C757" t="s">
        <v>429</v>
      </c>
      <c r="D757" t="s">
        <v>431</v>
      </c>
      <c r="E757"/>
      <c r="F757"/>
      <c r="G757"/>
      <c r="H757"/>
      <c r="I757" s="10"/>
      <c r="J757" s="10"/>
      <c r="K757" s="7">
        <v>44004923</v>
      </c>
      <c r="L757" s="5" t="str">
        <f t="shared" si="82"/>
        <v>LV LİNA KOMODİN PANO X2</v>
      </c>
      <c r="M757" s="8">
        <v>0.2</v>
      </c>
      <c r="N757" s="8">
        <v>0.15</v>
      </c>
      <c r="O757" s="8">
        <v>10000</v>
      </c>
      <c r="P757" s="8">
        <f t="shared" si="83"/>
        <v>8500</v>
      </c>
      <c r="Q757" s="12">
        <f t="shared" si="84"/>
        <v>17850</v>
      </c>
      <c r="R757" s="31">
        <f t="shared" si="85"/>
        <v>17800</v>
      </c>
      <c r="T757" s="8">
        <v>4806</v>
      </c>
      <c r="V757" s="8">
        <f t="shared" si="86"/>
        <v>4085.1</v>
      </c>
      <c r="W757" s="8">
        <f t="shared" si="87"/>
        <v>10212.75</v>
      </c>
    </row>
    <row r="758" spans="1:23" ht="21.95" customHeight="1" x14ac:dyDescent="0.2">
      <c r="A758" s="5" t="s">
        <v>17</v>
      </c>
      <c r="B758" t="s">
        <v>1589</v>
      </c>
      <c r="C758" t="s">
        <v>429</v>
      </c>
      <c r="D758" t="s">
        <v>432</v>
      </c>
      <c r="E758"/>
      <c r="F758"/>
      <c r="G758"/>
      <c r="H758"/>
      <c r="I758" s="10"/>
      <c r="J758" s="10"/>
      <c r="K758" s="7">
        <v>44004924</v>
      </c>
      <c r="L758" s="5" t="str">
        <f t="shared" si="82"/>
        <v>LV LİNA DOLAP 100 CM CAMLI</v>
      </c>
      <c r="M758" s="8">
        <v>0.2</v>
      </c>
      <c r="N758" s="8">
        <v>0.15</v>
      </c>
      <c r="O758" s="8">
        <v>18400</v>
      </c>
      <c r="P758" s="8">
        <f t="shared" si="83"/>
        <v>15640</v>
      </c>
      <c r="Q758" s="12">
        <f t="shared" si="84"/>
        <v>32844</v>
      </c>
      <c r="R758" s="31">
        <f t="shared" si="85"/>
        <v>32800</v>
      </c>
      <c r="T758" s="8">
        <v>11871</v>
      </c>
      <c r="V758" s="8">
        <f t="shared" si="86"/>
        <v>10090.35</v>
      </c>
      <c r="W758" s="8">
        <f t="shared" si="87"/>
        <v>25225.875</v>
      </c>
    </row>
    <row r="759" spans="1:23" ht="21.95" customHeight="1" x14ac:dyDescent="0.2">
      <c r="A759" s="5" t="s">
        <v>17</v>
      </c>
      <c r="B759" t="s">
        <v>1589</v>
      </c>
      <c r="C759" t="s">
        <v>429</v>
      </c>
      <c r="D759" t="s">
        <v>433</v>
      </c>
      <c r="E759"/>
      <c r="F759"/>
      <c r="G759"/>
      <c r="H759"/>
      <c r="I759" s="10"/>
      <c r="J759" s="10"/>
      <c r="K759" s="7">
        <v>44004925</v>
      </c>
      <c r="L759" s="5" t="str">
        <f t="shared" si="82"/>
        <v>LV LİNA RAFLI MODÜL 25CM</v>
      </c>
      <c r="M759" s="8">
        <v>0.2</v>
      </c>
      <c r="N759" s="8">
        <v>0.15</v>
      </c>
      <c r="O759" s="8">
        <v>4210</v>
      </c>
      <c r="P759" s="8">
        <f t="shared" si="83"/>
        <v>3578.5</v>
      </c>
      <c r="Q759" s="12">
        <f t="shared" si="84"/>
        <v>7514.85</v>
      </c>
      <c r="R759" s="31">
        <f t="shared" si="85"/>
        <v>7500</v>
      </c>
      <c r="T759" s="8">
        <v>6008</v>
      </c>
      <c r="V759" s="8">
        <f t="shared" si="86"/>
        <v>5106.8</v>
      </c>
      <c r="W759" s="8">
        <f t="shared" si="87"/>
        <v>12767</v>
      </c>
    </row>
    <row r="760" spans="1:23" ht="21.95" customHeight="1" x14ac:dyDescent="0.2">
      <c r="A760" s="5" t="s">
        <v>17</v>
      </c>
      <c r="B760" t="s">
        <v>1589</v>
      </c>
      <c r="C760" t="s">
        <v>429</v>
      </c>
      <c r="D760" t="s">
        <v>434</v>
      </c>
      <c r="E760"/>
      <c r="F760"/>
      <c r="G760"/>
      <c r="H760"/>
      <c r="I760" s="10"/>
      <c r="J760" s="10"/>
      <c r="K760" s="7">
        <v>44004926</v>
      </c>
      <c r="L760" s="5" t="str">
        <f t="shared" si="82"/>
        <v>LV LİNA DOLAP KÖŞE</v>
      </c>
      <c r="M760" s="8">
        <v>0.2</v>
      </c>
      <c r="N760" s="8">
        <v>0.15</v>
      </c>
      <c r="O760" s="8">
        <v>11640</v>
      </c>
      <c r="P760" s="8">
        <f t="shared" si="83"/>
        <v>9894</v>
      </c>
      <c r="Q760" s="12">
        <f t="shared" si="84"/>
        <v>20777.400000000001</v>
      </c>
      <c r="R760" s="31">
        <f t="shared" si="85"/>
        <v>20700</v>
      </c>
      <c r="T760" s="8">
        <v>4871</v>
      </c>
      <c r="V760" s="8">
        <f t="shared" si="86"/>
        <v>4140.3499999999995</v>
      </c>
      <c r="W760" s="8">
        <f t="shared" si="87"/>
        <v>10350.874999999998</v>
      </c>
    </row>
    <row r="761" spans="1:23" ht="21.95" customHeight="1" x14ac:dyDescent="0.2">
      <c r="A761" s="5" t="s">
        <v>17</v>
      </c>
      <c r="B761" t="s">
        <v>1589</v>
      </c>
      <c r="C761" t="s">
        <v>429</v>
      </c>
      <c r="D761" t="s">
        <v>76</v>
      </c>
      <c r="E761"/>
      <c r="F761"/>
      <c r="G761"/>
      <c r="H761"/>
      <c r="I761" s="10"/>
      <c r="J761" s="10"/>
      <c r="K761" s="7">
        <v>44004927</v>
      </c>
      <c r="L761" s="5" t="str">
        <f t="shared" si="82"/>
        <v>LV LİNA KARYOLA BAZALI 180CM</v>
      </c>
      <c r="M761" s="8">
        <v>0.2</v>
      </c>
      <c r="N761" s="8">
        <v>0.15</v>
      </c>
      <c r="O761" s="8">
        <v>25860</v>
      </c>
      <c r="P761" s="8">
        <f t="shared" si="83"/>
        <v>21981</v>
      </c>
      <c r="Q761" s="12">
        <f t="shared" si="84"/>
        <v>46160.1</v>
      </c>
      <c r="R761" s="31">
        <f t="shared" si="85"/>
        <v>46100</v>
      </c>
      <c r="T761" s="8">
        <v>11929</v>
      </c>
      <c r="V761" s="8">
        <f t="shared" si="86"/>
        <v>10139.65</v>
      </c>
      <c r="W761" s="8">
        <f t="shared" si="87"/>
        <v>25349.125</v>
      </c>
    </row>
    <row r="762" spans="1:23" ht="21.95" customHeight="1" x14ac:dyDescent="0.2">
      <c r="A762" s="5" t="s">
        <v>17</v>
      </c>
      <c r="B762" t="s">
        <v>1589</v>
      </c>
      <c r="C762" t="s">
        <v>429</v>
      </c>
      <c r="D762" t="s">
        <v>197</v>
      </c>
      <c r="E762"/>
      <c r="F762"/>
      <c r="G762"/>
      <c r="H762"/>
      <c r="I762" s="10"/>
      <c r="J762" s="10"/>
      <c r="K762" s="7">
        <v>44004928</v>
      </c>
      <c r="L762" s="5" t="str">
        <f t="shared" si="82"/>
        <v>LV LİNA BENCH</v>
      </c>
      <c r="M762" s="8">
        <v>0.2</v>
      </c>
      <c r="N762" s="8">
        <v>0.15</v>
      </c>
      <c r="O762" s="8">
        <v>5850</v>
      </c>
      <c r="P762" s="8">
        <f t="shared" si="83"/>
        <v>4972.5</v>
      </c>
      <c r="Q762" s="12">
        <f t="shared" si="84"/>
        <v>10442.25</v>
      </c>
      <c r="R762" s="31">
        <f t="shared" si="85"/>
        <v>10400</v>
      </c>
      <c r="T762" s="8">
        <v>3807</v>
      </c>
      <c r="V762" s="8">
        <f t="shared" si="86"/>
        <v>3235.95</v>
      </c>
      <c r="W762" s="8">
        <f t="shared" si="87"/>
        <v>8089.875</v>
      </c>
    </row>
    <row r="763" spans="1:23" ht="21.95" customHeight="1" x14ac:dyDescent="0.2">
      <c r="A763" s="5" t="s">
        <v>17</v>
      </c>
      <c r="B763" t="s">
        <v>1589</v>
      </c>
      <c r="C763" t="s">
        <v>429</v>
      </c>
      <c r="D763" t="s">
        <v>126</v>
      </c>
      <c r="E763"/>
      <c r="F763"/>
      <c r="G763"/>
      <c r="H763"/>
      <c r="I763" s="10"/>
      <c r="J763" s="10"/>
      <c r="K763" s="7">
        <v>44004929</v>
      </c>
      <c r="L763" s="5" t="str">
        <f t="shared" si="82"/>
        <v>LV LİNA ÇAMAŞIRLIK</v>
      </c>
      <c r="M763" s="8">
        <v>0.2</v>
      </c>
      <c r="N763" s="8">
        <v>0.15</v>
      </c>
      <c r="O763" s="8">
        <v>8200</v>
      </c>
      <c r="P763" s="8">
        <f t="shared" si="83"/>
        <v>6970</v>
      </c>
      <c r="Q763" s="12">
        <f t="shared" si="84"/>
        <v>14637</v>
      </c>
      <c r="R763" s="31">
        <f t="shared" si="85"/>
        <v>14600</v>
      </c>
      <c r="T763" s="8">
        <v>5421</v>
      </c>
      <c r="V763" s="8">
        <f t="shared" si="86"/>
        <v>4607.8499999999995</v>
      </c>
      <c r="W763" s="8">
        <f t="shared" si="87"/>
        <v>11519.624999999998</v>
      </c>
    </row>
    <row r="764" spans="1:23" ht="21.95" customHeight="1" x14ac:dyDescent="0.2">
      <c r="A764" s="5" t="s">
        <v>17</v>
      </c>
      <c r="B764" t="s">
        <v>1589</v>
      </c>
      <c r="C764" t="s">
        <v>429</v>
      </c>
      <c r="D764" t="s">
        <v>425</v>
      </c>
      <c r="E764"/>
      <c r="F764"/>
      <c r="G764"/>
      <c r="H764"/>
      <c r="I764" s="10"/>
      <c r="J764" s="10"/>
      <c r="K764" s="7">
        <v>44004930</v>
      </c>
      <c r="L764" s="5" t="str">
        <f t="shared" si="82"/>
        <v>LV LİNA VALE STAND</v>
      </c>
      <c r="M764" s="8">
        <v>0.2</v>
      </c>
      <c r="N764" s="8">
        <v>0.15</v>
      </c>
      <c r="O764" s="8">
        <v>11580</v>
      </c>
      <c r="P764" s="8">
        <f t="shared" si="83"/>
        <v>9843</v>
      </c>
      <c r="Q764" s="12">
        <f t="shared" si="84"/>
        <v>20670.3</v>
      </c>
      <c r="R764" s="31">
        <f t="shared" si="85"/>
        <v>20600</v>
      </c>
      <c r="T764" s="8">
        <v>27335</v>
      </c>
      <c r="V764" s="8">
        <f t="shared" si="86"/>
        <v>23234.75</v>
      </c>
      <c r="W764" s="8">
        <f t="shared" si="87"/>
        <v>58086.875</v>
      </c>
    </row>
    <row r="765" spans="1:23" ht="21.95" customHeight="1" x14ac:dyDescent="0.2">
      <c r="A765" s="5" t="s">
        <v>17</v>
      </c>
      <c r="B765" t="s">
        <v>1589</v>
      </c>
      <c r="C765" t="s">
        <v>429</v>
      </c>
      <c r="D765" t="s">
        <v>435</v>
      </c>
      <c r="E765"/>
      <c r="F765"/>
      <c r="G765"/>
      <c r="H765"/>
      <c r="I765" s="10"/>
      <c r="J765" s="10"/>
      <c r="K765" s="7">
        <v>44004931</v>
      </c>
      <c r="L765" s="5" t="str">
        <f t="shared" si="82"/>
        <v>LV LİNA DOLAP SAĞ VİTRAY RAFLI</v>
      </c>
      <c r="M765" s="8">
        <v>0.2</v>
      </c>
      <c r="N765" s="8">
        <v>0.15</v>
      </c>
      <c r="O765" s="8">
        <v>13200</v>
      </c>
      <c r="P765" s="8">
        <f t="shared" si="83"/>
        <v>11220</v>
      </c>
      <c r="Q765" s="12">
        <f t="shared" si="84"/>
        <v>23562</v>
      </c>
      <c r="R765" s="31">
        <f t="shared" si="85"/>
        <v>23500</v>
      </c>
      <c r="T765" s="8">
        <v>19635</v>
      </c>
      <c r="V765" s="8">
        <f t="shared" si="86"/>
        <v>16689.75</v>
      </c>
      <c r="W765" s="8">
        <f t="shared" si="87"/>
        <v>41724.375</v>
      </c>
    </row>
    <row r="766" spans="1:23" ht="21.95" customHeight="1" x14ac:dyDescent="0.2">
      <c r="A766" s="5" t="s">
        <v>17</v>
      </c>
      <c r="B766" t="s">
        <v>1589</v>
      </c>
      <c r="C766" t="s">
        <v>429</v>
      </c>
      <c r="D766" t="s">
        <v>436</v>
      </c>
      <c r="E766"/>
      <c r="F766"/>
      <c r="G766"/>
      <c r="H766"/>
      <c r="I766" s="10"/>
      <c r="J766" s="10"/>
      <c r="K766" s="7">
        <v>44004932</v>
      </c>
      <c r="L766" s="5" t="str">
        <f t="shared" si="82"/>
        <v>LV LİNA DOLAP SOL VİTRAY ASKILIKLI</v>
      </c>
      <c r="M766" s="8">
        <v>0.2</v>
      </c>
      <c r="N766" s="8">
        <v>0.15</v>
      </c>
      <c r="O766" s="8">
        <v>13000</v>
      </c>
      <c r="P766" s="8">
        <f t="shared" si="83"/>
        <v>11050</v>
      </c>
      <c r="Q766" s="12">
        <f t="shared" si="84"/>
        <v>23205</v>
      </c>
      <c r="R766" s="31">
        <f t="shared" si="85"/>
        <v>23200</v>
      </c>
      <c r="T766" s="8">
        <v>8943</v>
      </c>
      <c r="V766" s="8">
        <f t="shared" si="86"/>
        <v>7601.55</v>
      </c>
      <c r="W766" s="8">
        <f t="shared" si="87"/>
        <v>19003.875</v>
      </c>
    </row>
    <row r="767" spans="1:23" ht="21.95" customHeight="1" x14ac:dyDescent="0.2">
      <c r="A767" s="5" t="s">
        <v>17</v>
      </c>
      <c r="B767" t="s">
        <v>1589</v>
      </c>
      <c r="C767" t="s">
        <v>429</v>
      </c>
      <c r="D767" t="s">
        <v>428</v>
      </c>
      <c r="E767"/>
      <c r="F767"/>
      <c r="G767"/>
      <c r="H767"/>
      <c r="I767" s="10"/>
      <c r="J767" s="10"/>
      <c r="K767" s="7">
        <v>44004933</v>
      </c>
      <c r="L767" s="5" t="str">
        <f t="shared" si="82"/>
        <v>LV LİNA MİNİ BERJER</v>
      </c>
      <c r="M767" s="8">
        <v>0.2</v>
      </c>
      <c r="N767" s="8">
        <v>0.15</v>
      </c>
      <c r="O767" s="8">
        <v>3180</v>
      </c>
      <c r="P767" s="8">
        <f t="shared" si="83"/>
        <v>2703</v>
      </c>
      <c r="Q767" s="12">
        <f t="shared" si="84"/>
        <v>5676.3</v>
      </c>
      <c r="R767" s="31">
        <f t="shared" si="85"/>
        <v>5600</v>
      </c>
      <c r="T767" s="8">
        <v>4763</v>
      </c>
      <c r="V767" s="8">
        <f t="shared" si="86"/>
        <v>4048.5499999999997</v>
      </c>
      <c r="W767" s="8">
        <f t="shared" si="87"/>
        <v>10121.375</v>
      </c>
    </row>
    <row r="768" spans="1:23" ht="21.95" customHeight="1" x14ac:dyDescent="0.2">
      <c r="A768" s="5" t="s">
        <v>17</v>
      </c>
      <c r="B768" t="s">
        <v>1589</v>
      </c>
      <c r="C768" t="s">
        <v>437</v>
      </c>
      <c r="D768" s="5" t="s">
        <v>438</v>
      </c>
      <c r="F768"/>
      <c r="G768"/>
      <c r="H768"/>
      <c r="I768" s="10"/>
      <c r="J768" s="10"/>
      <c r="K768" s="7">
        <v>44004934</v>
      </c>
      <c r="L768" s="5" t="str">
        <f t="shared" si="82"/>
        <v>LV OLİNDA DOLAP 200CM</v>
      </c>
      <c r="M768" s="8">
        <v>0.2</v>
      </c>
      <c r="N768" s="8">
        <v>0.15</v>
      </c>
      <c r="O768" s="8">
        <v>35650</v>
      </c>
      <c r="P768" s="8">
        <f t="shared" si="83"/>
        <v>30302.5</v>
      </c>
      <c r="Q768" s="12">
        <f t="shared" si="84"/>
        <v>63635.25</v>
      </c>
      <c r="R768" s="31">
        <f t="shared" si="85"/>
        <v>63600</v>
      </c>
      <c r="T768" s="8">
        <v>9295</v>
      </c>
      <c r="V768" s="8">
        <f t="shared" si="86"/>
        <v>7900.75</v>
      </c>
      <c r="W768" s="8">
        <f t="shared" si="87"/>
        <v>19751.875</v>
      </c>
    </row>
    <row r="769" spans="1:24" ht="21.95" customHeight="1" x14ac:dyDescent="0.2">
      <c r="A769" s="5" t="s">
        <v>17</v>
      </c>
      <c r="B769" t="s">
        <v>1589</v>
      </c>
      <c r="C769" t="s">
        <v>437</v>
      </c>
      <c r="D769" s="6" t="s">
        <v>439</v>
      </c>
      <c r="E769" s="6"/>
      <c r="F769"/>
      <c r="G769"/>
      <c r="H769"/>
      <c r="I769" s="10"/>
      <c r="J769" s="10"/>
      <c r="K769" s="7">
        <v>44004935</v>
      </c>
      <c r="L769" s="5" t="str">
        <f t="shared" si="82"/>
        <v>LV OLİNDA DOLAP SAĞ RAFLI</v>
      </c>
      <c r="M769" s="8">
        <v>0.2</v>
      </c>
      <c r="N769" s="8">
        <v>0.15</v>
      </c>
      <c r="O769" s="8">
        <v>10680</v>
      </c>
      <c r="P769" s="8">
        <f t="shared" si="83"/>
        <v>9078</v>
      </c>
      <c r="Q769" s="12">
        <f t="shared" si="84"/>
        <v>19063.8</v>
      </c>
      <c r="R769" s="31">
        <f t="shared" si="85"/>
        <v>19000</v>
      </c>
      <c r="T769" s="8">
        <v>10984</v>
      </c>
      <c r="V769" s="8">
        <f t="shared" si="86"/>
        <v>9336.4</v>
      </c>
      <c r="W769" s="8">
        <f t="shared" si="87"/>
        <v>23341</v>
      </c>
    </row>
    <row r="770" spans="1:24" ht="21.95" customHeight="1" x14ac:dyDescent="0.2">
      <c r="A770" s="5" t="s">
        <v>17</v>
      </c>
      <c r="B770" t="s">
        <v>1589</v>
      </c>
      <c r="C770" t="s">
        <v>437</v>
      </c>
      <c r="D770" s="6" t="s">
        <v>440</v>
      </c>
      <c r="E770" s="6"/>
      <c r="F770"/>
      <c r="G770"/>
      <c r="H770"/>
      <c r="I770" s="10"/>
      <c r="J770" s="10"/>
      <c r="K770" s="7">
        <v>44004936</v>
      </c>
      <c r="L770" s="5" t="str">
        <f t="shared" si="82"/>
        <v>LV OLİNDA DOLAP SOL ASKILIKLI</v>
      </c>
      <c r="M770" s="8">
        <v>0.2</v>
      </c>
      <c r="N770" s="8">
        <v>0.15</v>
      </c>
      <c r="O770" s="8">
        <v>10480</v>
      </c>
      <c r="P770" s="8">
        <f t="shared" si="83"/>
        <v>8908</v>
      </c>
      <c r="Q770" s="12">
        <f t="shared" si="84"/>
        <v>18706.8</v>
      </c>
      <c r="R770" s="31">
        <f t="shared" si="85"/>
        <v>18700</v>
      </c>
      <c r="T770" s="8">
        <v>4631</v>
      </c>
      <c r="V770" s="8">
        <f t="shared" si="86"/>
        <v>3936.35</v>
      </c>
      <c r="W770" s="8">
        <f t="shared" si="87"/>
        <v>9840.875</v>
      </c>
    </row>
    <row r="771" spans="1:24" ht="21.95" customHeight="1" x14ac:dyDescent="0.2">
      <c r="A771" s="5" t="s">
        <v>17</v>
      </c>
      <c r="B771" t="s">
        <v>1589</v>
      </c>
      <c r="C771" t="s">
        <v>437</v>
      </c>
      <c r="D771" s="6" t="s">
        <v>76</v>
      </c>
      <c r="E771" s="6"/>
      <c r="F771"/>
      <c r="G771"/>
      <c r="H771"/>
      <c r="I771" s="10"/>
      <c r="J771" s="10"/>
      <c r="K771" s="7">
        <v>44004937</v>
      </c>
      <c r="L771" s="5" t="str">
        <f t="shared" si="82"/>
        <v>LV OLİNDA KARYOLA BAZALI 180CM</v>
      </c>
      <c r="M771" s="8">
        <v>0.2</v>
      </c>
      <c r="N771" s="8">
        <v>0.15</v>
      </c>
      <c r="O771" s="8">
        <v>21300</v>
      </c>
      <c r="P771" s="8">
        <f t="shared" si="83"/>
        <v>18105</v>
      </c>
      <c r="Q771" s="12">
        <f t="shared" si="84"/>
        <v>38020.5</v>
      </c>
      <c r="R771" s="31">
        <f t="shared" si="85"/>
        <v>38000</v>
      </c>
      <c r="T771" s="8">
        <v>10911</v>
      </c>
      <c r="V771" s="8">
        <f t="shared" si="86"/>
        <v>9274.35</v>
      </c>
      <c r="W771" s="8">
        <f t="shared" si="87"/>
        <v>23185.875</v>
      </c>
    </row>
    <row r="772" spans="1:24" ht="21.95" customHeight="1" x14ac:dyDescent="0.2">
      <c r="A772" s="5" t="s">
        <v>17</v>
      </c>
      <c r="B772" t="s">
        <v>1589</v>
      </c>
      <c r="C772" t="s">
        <v>437</v>
      </c>
      <c r="D772" s="6" t="s">
        <v>80</v>
      </c>
      <c r="E772" s="6"/>
      <c r="F772"/>
      <c r="G772"/>
      <c r="H772"/>
      <c r="I772" s="10"/>
      <c r="J772" s="10"/>
      <c r="K772" s="7">
        <v>44004938</v>
      </c>
      <c r="L772" s="5" t="str">
        <f t="shared" si="82"/>
        <v>LV OLİNDA KOMODİN X2</v>
      </c>
      <c r="M772" s="8">
        <v>0.2</v>
      </c>
      <c r="N772" s="8">
        <v>0.15</v>
      </c>
      <c r="O772" s="8">
        <v>8460</v>
      </c>
      <c r="P772" s="8">
        <f t="shared" si="83"/>
        <v>7191</v>
      </c>
      <c r="Q772" s="12">
        <f t="shared" si="84"/>
        <v>15101.1</v>
      </c>
      <c r="R772" s="31">
        <f t="shared" si="85"/>
        <v>15100</v>
      </c>
      <c r="T772" s="8">
        <v>4175</v>
      </c>
      <c r="V772" s="8">
        <f t="shared" si="86"/>
        <v>3548.75</v>
      </c>
      <c r="W772" s="8">
        <f t="shared" si="87"/>
        <v>8871.875</v>
      </c>
    </row>
    <row r="773" spans="1:24" ht="21.95" customHeight="1" x14ac:dyDescent="0.2">
      <c r="A773" s="5" t="s">
        <v>17</v>
      </c>
      <c r="B773" t="s">
        <v>1589</v>
      </c>
      <c r="C773" t="s">
        <v>437</v>
      </c>
      <c r="D773" s="6" t="s">
        <v>79</v>
      </c>
      <c r="E773" s="6"/>
      <c r="F773"/>
      <c r="G773"/>
      <c r="H773"/>
      <c r="I773" s="10"/>
      <c r="J773" s="10"/>
      <c r="K773" s="7">
        <v>44004939</v>
      </c>
      <c r="L773" s="5" t="str">
        <f t="shared" si="82"/>
        <v>LV OLİNDA ŞİFONYER AYNASI</v>
      </c>
      <c r="M773" s="8">
        <v>0.2</v>
      </c>
      <c r="N773" s="8">
        <v>0.15</v>
      </c>
      <c r="O773" s="8">
        <v>3150</v>
      </c>
      <c r="P773" s="8">
        <f t="shared" si="83"/>
        <v>2677.5</v>
      </c>
      <c r="Q773" s="12">
        <f t="shared" si="84"/>
        <v>5622.75</v>
      </c>
      <c r="R773" s="31">
        <f t="shared" si="85"/>
        <v>5600</v>
      </c>
      <c r="T773" s="8">
        <v>12309</v>
      </c>
      <c r="V773" s="8">
        <f t="shared" si="86"/>
        <v>10462.65</v>
      </c>
      <c r="W773" s="8">
        <f t="shared" si="87"/>
        <v>26156.625</v>
      </c>
    </row>
    <row r="774" spans="1:24" ht="21.95" customHeight="1" x14ac:dyDescent="0.2">
      <c r="A774" s="5" t="s">
        <v>17</v>
      </c>
      <c r="B774" t="s">
        <v>1589</v>
      </c>
      <c r="C774" t="s">
        <v>437</v>
      </c>
      <c r="D774" s="6" t="s">
        <v>78</v>
      </c>
      <c r="E774" s="6"/>
      <c r="F774"/>
      <c r="G774"/>
      <c r="H774"/>
      <c r="I774" s="10"/>
      <c r="J774" s="10"/>
      <c r="K774" s="7">
        <v>44004940</v>
      </c>
      <c r="L774" s="5" t="str">
        <f t="shared" si="82"/>
        <v>LV OLİNDA ŞİFONYER</v>
      </c>
      <c r="M774" s="8">
        <v>0.2</v>
      </c>
      <c r="N774" s="8">
        <v>0.15</v>
      </c>
      <c r="O774" s="8">
        <v>9850</v>
      </c>
      <c r="P774" s="8">
        <f t="shared" si="83"/>
        <v>8372.5</v>
      </c>
      <c r="Q774" s="12">
        <f t="shared" si="84"/>
        <v>17582.25</v>
      </c>
      <c r="R774" s="31">
        <f t="shared" si="85"/>
        <v>17500</v>
      </c>
      <c r="T774" s="8">
        <v>25410</v>
      </c>
      <c r="V774" s="8">
        <f t="shared" si="86"/>
        <v>21598.5</v>
      </c>
      <c r="W774" s="8">
        <f t="shared" si="87"/>
        <v>53996.25</v>
      </c>
    </row>
    <row r="775" spans="1:24" ht="21.95" customHeight="1" x14ac:dyDescent="0.2">
      <c r="A775" s="5" t="s">
        <v>17</v>
      </c>
      <c r="B775" t="s">
        <v>1589</v>
      </c>
      <c r="C775" t="s">
        <v>437</v>
      </c>
      <c r="D775" s="6" t="s">
        <v>441</v>
      </c>
      <c r="E775" s="6"/>
      <c r="F775"/>
      <c r="G775"/>
      <c r="H775"/>
      <c r="I775" s="10"/>
      <c r="J775" s="10"/>
      <c r="K775" s="7">
        <v>44004941</v>
      </c>
      <c r="L775" s="5" t="str">
        <f t="shared" si="82"/>
        <v>LV OLİNDA DOLAP 100CM CAMLI</v>
      </c>
      <c r="M775" s="8">
        <v>0.2</v>
      </c>
      <c r="N775" s="8">
        <v>0.15</v>
      </c>
      <c r="O775" s="8">
        <v>15840</v>
      </c>
      <c r="P775" s="8">
        <f t="shared" si="83"/>
        <v>13464</v>
      </c>
      <c r="Q775" s="12">
        <f t="shared" si="84"/>
        <v>28274.400000000001</v>
      </c>
      <c r="R775" s="31">
        <f t="shared" si="85"/>
        <v>28200</v>
      </c>
      <c r="T775" s="8">
        <v>26173</v>
      </c>
      <c r="V775" s="8">
        <f t="shared" si="86"/>
        <v>22247.05</v>
      </c>
      <c r="W775" s="8">
        <f t="shared" si="87"/>
        <v>55617.625</v>
      </c>
    </row>
    <row r="776" spans="1:24" ht="21.95" customHeight="1" x14ac:dyDescent="0.2">
      <c r="A776" s="5" t="s">
        <v>17</v>
      </c>
      <c r="B776" t="s">
        <v>1589</v>
      </c>
      <c r="C776" t="s">
        <v>437</v>
      </c>
      <c r="D776" s="6" t="s">
        <v>433</v>
      </c>
      <c r="E776" s="6"/>
      <c r="F776"/>
      <c r="G776"/>
      <c r="H776"/>
      <c r="I776" s="10"/>
      <c r="J776" s="10"/>
      <c r="K776" s="7">
        <v>44004942</v>
      </c>
      <c r="L776" s="5" t="str">
        <f t="shared" si="82"/>
        <v>LV OLİNDA RAFLI MODÜL 25CM</v>
      </c>
      <c r="M776" s="8">
        <v>0.2</v>
      </c>
      <c r="N776" s="8">
        <v>0.15</v>
      </c>
      <c r="O776" s="8">
        <v>3980</v>
      </c>
      <c r="P776" s="8">
        <f t="shared" si="83"/>
        <v>3383</v>
      </c>
      <c r="Q776" s="12">
        <f t="shared" si="84"/>
        <v>7104.3</v>
      </c>
      <c r="R776" s="31">
        <f t="shared" si="85"/>
        <v>7100</v>
      </c>
      <c r="T776" s="8">
        <v>4774</v>
      </c>
      <c r="V776" s="8">
        <f t="shared" si="86"/>
        <v>4057.9</v>
      </c>
      <c r="W776" s="8">
        <f t="shared" si="87"/>
        <v>10144.75</v>
      </c>
    </row>
    <row r="777" spans="1:24" ht="21.95" customHeight="1" x14ac:dyDescent="0.2">
      <c r="A777" s="5" t="s">
        <v>17</v>
      </c>
      <c r="B777" t="s">
        <v>1589</v>
      </c>
      <c r="C777" t="s">
        <v>437</v>
      </c>
      <c r="D777" s="6" t="s">
        <v>434</v>
      </c>
      <c r="E777" s="6"/>
      <c r="F777"/>
      <c r="G777"/>
      <c r="H777"/>
      <c r="I777" s="10"/>
      <c r="J777" s="10"/>
      <c r="K777" s="7">
        <v>44004943</v>
      </c>
      <c r="L777" s="5" t="str">
        <f t="shared" si="82"/>
        <v>LV OLİNDA DOLAP KÖŞE</v>
      </c>
      <c r="M777" s="8">
        <v>0.2</v>
      </c>
      <c r="N777" s="8">
        <v>0.15</v>
      </c>
      <c r="O777" s="8">
        <v>13440</v>
      </c>
      <c r="P777" s="8">
        <f t="shared" si="83"/>
        <v>11424</v>
      </c>
      <c r="Q777" s="12">
        <f t="shared" si="84"/>
        <v>23990.400000000001</v>
      </c>
      <c r="R777" s="31">
        <f t="shared" si="85"/>
        <v>23900</v>
      </c>
      <c r="T777" s="8">
        <v>12078</v>
      </c>
      <c r="V777" s="8">
        <f t="shared" si="86"/>
        <v>10266.299999999999</v>
      </c>
      <c r="W777" s="8">
        <f t="shared" si="87"/>
        <v>25665.75</v>
      </c>
    </row>
    <row r="778" spans="1:24" ht="21.95" customHeight="1" x14ac:dyDescent="0.2">
      <c r="A778" s="5" t="s">
        <v>17</v>
      </c>
      <c r="B778" t="s">
        <v>1589</v>
      </c>
      <c r="C778" t="s">
        <v>437</v>
      </c>
      <c r="D778" s="6" t="s">
        <v>76</v>
      </c>
      <c r="E778" s="6"/>
      <c r="F778"/>
      <c r="G778"/>
      <c r="H778"/>
      <c r="I778" s="10"/>
      <c r="J778" s="10"/>
      <c r="K778" s="7">
        <v>44004944</v>
      </c>
      <c r="L778" s="5" t="str">
        <f t="shared" si="82"/>
        <v>LV OLİNDA KARYOLA BAZALI 180CM</v>
      </c>
      <c r="M778" s="8">
        <v>0.2</v>
      </c>
      <c r="N778" s="8">
        <v>0.15</v>
      </c>
      <c r="O778" s="8">
        <v>21300</v>
      </c>
      <c r="P778" s="8">
        <f t="shared" si="83"/>
        <v>18105</v>
      </c>
      <c r="Q778" s="12">
        <f t="shared" si="84"/>
        <v>38020.5</v>
      </c>
      <c r="R778" s="31">
        <f t="shared" si="85"/>
        <v>38000</v>
      </c>
      <c r="T778" s="8">
        <v>4125</v>
      </c>
      <c r="V778" s="8">
        <f t="shared" si="86"/>
        <v>3506.25</v>
      </c>
      <c r="W778" s="8">
        <f t="shared" si="87"/>
        <v>8765.625</v>
      </c>
    </row>
    <row r="779" spans="1:24" ht="21.95" customHeight="1" x14ac:dyDescent="0.2">
      <c r="A779" s="5" t="s">
        <v>17</v>
      </c>
      <c r="B779" t="s">
        <v>1589</v>
      </c>
      <c r="C779" t="s">
        <v>437</v>
      </c>
      <c r="D779" s="6" t="s">
        <v>197</v>
      </c>
      <c r="E779" s="6"/>
      <c r="F779"/>
      <c r="G779"/>
      <c r="H779"/>
      <c r="I779" s="10"/>
      <c r="J779" s="10"/>
      <c r="K779" s="7">
        <v>44004945</v>
      </c>
      <c r="L779" s="5" t="str">
        <f t="shared" si="82"/>
        <v>LV OLİNDA BENCH</v>
      </c>
      <c r="M779" s="8">
        <v>0.2</v>
      </c>
      <c r="N779" s="8">
        <v>0.15</v>
      </c>
      <c r="O779" s="8">
        <v>5150</v>
      </c>
      <c r="P779" s="8">
        <f t="shared" si="83"/>
        <v>4377.5</v>
      </c>
      <c r="Q779" s="12">
        <f t="shared" si="84"/>
        <v>9192.75</v>
      </c>
      <c r="R779" s="31">
        <f t="shared" si="85"/>
        <v>9100</v>
      </c>
      <c r="T779" s="8">
        <v>5995</v>
      </c>
      <c r="V779" s="8">
        <f t="shared" si="86"/>
        <v>5095.75</v>
      </c>
      <c r="W779" s="8">
        <f t="shared" si="87"/>
        <v>12739.375</v>
      </c>
    </row>
    <row r="780" spans="1:24" ht="21.95" customHeight="1" x14ac:dyDescent="0.2">
      <c r="A780" s="5" t="s">
        <v>17</v>
      </c>
      <c r="B780" t="s">
        <v>1589</v>
      </c>
      <c r="C780" t="s">
        <v>437</v>
      </c>
      <c r="D780" s="6" t="s">
        <v>126</v>
      </c>
      <c r="E780" s="6"/>
      <c r="F780"/>
      <c r="G780"/>
      <c r="H780"/>
      <c r="I780" s="10"/>
      <c r="J780" s="10"/>
      <c r="K780" s="7">
        <v>44004946</v>
      </c>
      <c r="L780" s="5" t="str">
        <f t="shared" si="82"/>
        <v>LV OLİNDA ÇAMAŞIRLIK</v>
      </c>
      <c r="M780" s="8">
        <v>0.2</v>
      </c>
      <c r="N780" s="8">
        <v>0.15</v>
      </c>
      <c r="O780" s="8">
        <v>7820</v>
      </c>
      <c r="P780" s="8">
        <f t="shared" si="83"/>
        <v>6647</v>
      </c>
      <c r="Q780" s="12">
        <f t="shared" si="84"/>
        <v>13958.7</v>
      </c>
      <c r="R780" s="31">
        <f t="shared" si="85"/>
        <v>13900</v>
      </c>
      <c r="U780" s="8">
        <v>39400</v>
      </c>
      <c r="V780" s="8">
        <f t="shared" si="86"/>
        <v>0</v>
      </c>
      <c r="W780" s="8">
        <f t="shared" si="87"/>
        <v>0</v>
      </c>
      <c r="X780" s="8">
        <f t="shared" ref="X780:X788" si="88">ROUNDDOWN(W780,-2)</f>
        <v>0</v>
      </c>
    </row>
    <row r="781" spans="1:24" ht="21.95" customHeight="1" x14ac:dyDescent="0.2">
      <c r="A781" s="5" t="s">
        <v>17</v>
      </c>
      <c r="B781" t="s">
        <v>1589</v>
      </c>
      <c r="C781" t="s">
        <v>437</v>
      </c>
      <c r="D781" s="6" t="s">
        <v>425</v>
      </c>
      <c r="E781" s="6"/>
      <c r="F781"/>
      <c r="G781"/>
      <c r="H781"/>
      <c r="I781" s="10"/>
      <c r="J781" s="10"/>
      <c r="K781" s="7">
        <v>44004947</v>
      </c>
      <c r="L781" s="5" t="str">
        <f t="shared" si="82"/>
        <v>LV OLİNDA VALE STAND</v>
      </c>
      <c r="M781" s="8">
        <v>0.2</v>
      </c>
      <c r="N781" s="8">
        <v>0.15</v>
      </c>
      <c r="O781" s="8">
        <v>13220</v>
      </c>
      <c r="P781" s="8">
        <f t="shared" si="83"/>
        <v>11237</v>
      </c>
      <c r="Q781" s="12">
        <f t="shared" si="84"/>
        <v>23597.7</v>
      </c>
      <c r="R781" s="31">
        <f t="shared" si="85"/>
        <v>23500</v>
      </c>
      <c r="U781" s="8">
        <v>30110</v>
      </c>
      <c r="V781" s="8">
        <f t="shared" si="86"/>
        <v>0</v>
      </c>
      <c r="W781" s="8">
        <f t="shared" si="87"/>
        <v>0</v>
      </c>
      <c r="X781" s="8">
        <f t="shared" si="88"/>
        <v>0</v>
      </c>
    </row>
    <row r="782" spans="1:24" ht="21.95" customHeight="1" x14ac:dyDescent="0.2">
      <c r="A782" s="5" t="s">
        <v>17</v>
      </c>
      <c r="B782" t="s">
        <v>1589</v>
      </c>
      <c r="C782" t="s">
        <v>437</v>
      </c>
      <c r="D782" s="6" t="s">
        <v>442</v>
      </c>
      <c r="E782" s="6"/>
      <c r="F782"/>
      <c r="G782"/>
      <c r="H782"/>
      <c r="I782" s="10"/>
      <c r="J782" s="10"/>
      <c r="K782" s="7">
        <v>44004948</v>
      </c>
      <c r="L782" s="5" t="str">
        <f t="shared" si="82"/>
        <v>LV OLİNDA MİNİ BERJER / PUF</v>
      </c>
      <c r="M782" s="8">
        <v>0.2</v>
      </c>
      <c r="N782" s="8">
        <v>0.15</v>
      </c>
      <c r="O782" s="8">
        <v>2560</v>
      </c>
      <c r="P782" s="8">
        <f t="shared" si="83"/>
        <v>2176</v>
      </c>
      <c r="Q782" s="12">
        <f t="shared" si="84"/>
        <v>4569.6000000000004</v>
      </c>
      <c r="R782" s="31">
        <f t="shared" si="85"/>
        <v>4500</v>
      </c>
      <c r="U782" s="8">
        <v>21980</v>
      </c>
      <c r="V782" s="8">
        <f t="shared" si="86"/>
        <v>0</v>
      </c>
      <c r="W782" s="8">
        <f t="shared" si="87"/>
        <v>0</v>
      </c>
      <c r="X782" s="8">
        <f t="shared" si="88"/>
        <v>0</v>
      </c>
    </row>
    <row r="783" spans="1:24" ht="21.95" customHeight="1" x14ac:dyDescent="0.2">
      <c r="A783" s="5" t="s">
        <v>17</v>
      </c>
      <c r="B783" t="s">
        <v>1589</v>
      </c>
      <c r="C783" t="s">
        <v>443</v>
      </c>
      <c r="D783" t="s">
        <v>438</v>
      </c>
      <c r="E783"/>
      <c r="F783"/>
      <c r="G783"/>
      <c r="H783"/>
      <c r="I783" s="10"/>
      <c r="J783" s="10"/>
      <c r="K783" s="7">
        <v>44004949</v>
      </c>
      <c r="L783" s="5" t="str">
        <f t="shared" si="82"/>
        <v>LV VOLARE DOLAP 200CM</v>
      </c>
      <c r="M783" s="8">
        <v>0.2</v>
      </c>
      <c r="N783" s="8">
        <v>0.15</v>
      </c>
      <c r="O783" s="8">
        <v>38670</v>
      </c>
      <c r="P783" s="8">
        <f t="shared" si="83"/>
        <v>32869.5</v>
      </c>
      <c r="Q783" s="12">
        <f t="shared" si="84"/>
        <v>69025.95</v>
      </c>
      <c r="R783" s="31">
        <f t="shared" si="85"/>
        <v>69000</v>
      </c>
      <c r="U783" s="8">
        <v>7290</v>
      </c>
      <c r="V783" s="8">
        <f t="shared" si="86"/>
        <v>0</v>
      </c>
      <c r="W783" s="8">
        <f t="shared" si="87"/>
        <v>0</v>
      </c>
      <c r="X783" s="8">
        <f t="shared" si="88"/>
        <v>0</v>
      </c>
    </row>
    <row r="784" spans="1:24" ht="21.95" customHeight="1" x14ac:dyDescent="0.2">
      <c r="A784" s="5" t="s">
        <v>17</v>
      </c>
      <c r="B784" t="s">
        <v>1589</v>
      </c>
      <c r="C784" t="s">
        <v>443</v>
      </c>
      <c r="D784" t="s">
        <v>439</v>
      </c>
      <c r="E784"/>
      <c r="F784"/>
      <c r="G784"/>
      <c r="H784"/>
      <c r="I784" s="10"/>
      <c r="J784" s="10"/>
      <c r="K784" s="7">
        <v>44004950</v>
      </c>
      <c r="L784" s="5" t="str">
        <f t="shared" si="82"/>
        <v>LV VOLARE DOLAP SAĞ RAFLI</v>
      </c>
      <c r="M784" s="8">
        <v>0.2</v>
      </c>
      <c r="N784" s="8">
        <v>0.15</v>
      </c>
      <c r="O784" s="8">
        <v>8600</v>
      </c>
      <c r="P784" s="8">
        <f t="shared" si="83"/>
        <v>7310</v>
      </c>
      <c r="Q784" s="12">
        <f t="shared" si="84"/>
        <v>15351</v>
      </c>
      <c r="R784" s="31">
        <f t="shared" si="85"/>
        <v>15300</v>
      </c>
      <c r="U784" s="8">
        <v>39400</v>
      </c>
      <c r="V784" s="8">
        <f t="shared" si="86"/>
        <v>0</v>
      </c>
      <c r="W784" s="8">
        <f t="shared" si="87"/>
        <v>0</v>
      </c>
      <c r="X784" s="8">
        <f t="shared" si="88"/>
        <v>0</v>
      </c>
    </row>
    <row r="785" spans="1:24" ht="21.95" customHeight="1" x14ac:dyDescent="0.2">
      <c r="A785" s="5" t="s">
        <v>17</v>
      </c>
      <c r="B785" t="s">
        <v>1589</v>
      </c>
      <c r="C785" t="s">
        <v>443</v>
      </c>
      <c r="D785" t="s">
        <v>440</v>
      </c>
      <c r="E785"/>
      <c r="F785"/>
      <c r="G785"/>
      <c r="H785"/>
      <c r="I785" s="10"/>
      <c r="J785" s="10"/>
      <c r="K785" s="7">
        <v>44004951</v>
      </c>
      <c r="L785" s="5" t="str">
        <f t="shared" si="82"/>
        <v>LV VOLARE DOLAP SOL ASKILIKLI</v>
      </c>
      <c r="M785" s="8">
        <v>0.2</v>
      </c>
      <c r="N785" s="8">
        <v>0.15</v>
      </c>
      <c r="O785" s="8">
        <v>8540</v>
      </c>
      <c r="P785" s="8">
        <f t="shared" si="83"/>
        <v>7259</v>
      </c>
      <c r="Q785" s="12">
        <f t="shared" si="84"/>
        <v>15243.900000000001</v>
      </c>
      <c r="R785" s="31">
        <f t="shared" si="85"/>
        <v>15200</v>
      </c>
      <c r="U785" s="8">
        <v>12190</v>
      </c>
      <c r="V785" s="8">
        <f t="shared" si="86"/>
        <v>0</v>
      </c>
      <c r="W785" s="8">
        <f t="shared" si="87"/>
        <v>0</v>
      </c>
      <c r="X785" s="8">
        <f t="shared" si="88"/>
        <v>0</v>
      </c>
    </row>
    <row r="786" spans="1:24" ht="21.95" customHeight="1" x14ac:dyDescent="0.2">
      <c r="A786" s="5" t="s">
        <v>17</v>
      </c>
      <c r="B786" t="s">
        <v>1589</v>
      </c>
      <c r="C786" t="s">
        <v>443</v>
      </c>
      <c r="D786" t="s">
        <v>75</v>
      </c>
      <c r="E786"/>
      <c r="F786"/>
      <c r="G786"/>
      <c r="H786"/>
      <c r="I786" s="10"/>
      <c r="J786" s="10"/>
      <c r="K786" s="7">
        <v>44004952</v>
      </c>
      <c r="L786" s="5" t="str">
        <f t="shared" si="82"/>
        <v>LV VOLARE KARYOLA BAZALI 160CM</v>
      </c>
      <c r="M786" s="8">
        <v>0.2</v>
      </c>
      <c r="N786" s="8">
        <v>0.15</v>
      </c>
      <c r="O786" s="8">
        <v>21460</v>
      </c>
      <c r="P786" s="8">
        <f t="shared" si="83"/>
        <v>18241</v>
      </c>
      <c r="Q786" s="12">
        <f t="shared" si="84"/>
        <v>38306.1</v>
      </c>
      <c r="R786" s="31">
        <f t="shared" si="85"/>
        <v>38300</v>
      </c>
      <c r="U786" s="8">
        <v>38920</v>
      </c>
      <c r="V786" s="8">
        <f t="shared" si="86"/>
        <v>0</v>
      </c>
      <c r="W786" s="8">
        <f t="shared" si="87"/>
        <v>0</v>
      </c>
      <c r="X786" s="8">
        <f t="shared" si="88"/>
        <v>0</v>
      </c>
    </row>
    <row r="787" spans="1:24" ht="21.95" customHeight="1" x14ac:dyDescent="0.2">
      <c r="A787" s="5" t="s">
        <v>17</v>
      </c>
      <c r="B787" t="s">
        <v>1589</v>
      </c>
      <c r="C787" t="s">
        <v>443</v>
      </c>
      <c r="D787" t="s">
        <v>80</v>
      </c>
      <c r="E787"/>
      <c r="F787"/>
      <c r="G787"/>
      <c r="H787"/>
      <c r="I787" s="10"/>
      <c r="J787" s="10"/>
      <c r="K787" s="7">
        <v>44004953</v>
      </c>
      <c r="L787" s="5" t="str">
        <f t="shared" si="82"/>
        <v>LV VOLARE KOMODİN X2</v>
      </c>
      <c r="M787" s="8">
        <v>0.2</v>
      </c>
      <c r="N787" s="8">
        <v>0.15</v>
      </c>
      <c r="O787" s="8">
        <v>6832</v>
      </c>
      <c r="P787" s="8">
        <f t="shared" si="83"/>
        <v>5807.2</v>
      </c>
      <c r="Q787" s="12">
        <f t="shared" si="84"/>
        <v>12195.12</v>
      </c>
      <c r="R787" s="31">
        <f t="shared" si="85"/>
        <v>12100</v>
      </c>
      <c r="U787" s="8">
        <v>28200</v>
      </c>
      <c r="V787" s="8">
        <f t="shared" si="86"/>
        <v>0</v>
      </c>
      <c r="W787" s="8">
        <f t="shared" si="87"/>
        <v>0</v>
      </c>
      <c r="X787" s="8">
        <f t="shared" si="88"/>
        <v>0</v>
      </c>
    </row>
    <row r="788" spans="1:24" ht="21.95" customHeight="1" x14ac:dyDescent="0.2">
      <c r="A788" s="5" t="s">
        <v>17</v>
      </c>
      <c r="B788" t="s">
        <v>1589</v>
      </c>
      <c r="C788" t="s">
        <v>443</v>
      </c>
      <c r="D788" t="s">
        <v>78</v>
      </c>
      <c r="E788"/>
      <c r="F788"/>
      <c r="G788"/>
      <c r="H788"/>
      <c r="I788" s="10"/>
      <c r="J788" s="10"/>
      <c r="K788" s="7">
        <v>44004954</v>
      </c>
      <c r="L788" s="5" t="str">
        <f t="shared" si="82"/>
        <v>LV VOLARE ŞİFONYER</v>
      </c>
      <c r="M788" s="8">
        <v>0.2</v>
      </c>
      <c r="N788" s="8">
        <v>0.15</v>
      </c>
      <c r="O788" s="8">
        <v>19190</v>
      </c>
      <c r="P788" s="8">
        <f t="shared" si="83"/>
        <v>16311.5</v>
      </c>
      <c r="Q788" s="12">
        <f t="shared" si="84"/>
        <v>34254.15</v>
      </c>
      <c r="R788" s="31">
        <f t="shared" si="85"/>
        <v>34200</v>
      </c>
      <c r="U788" s="8">
        <v>22820</v>
      </c>
      <c r="V788" s="8">
        <f t="shared" si="86"/>
        <v>0</v>
      </c>
      <c r="W788" s="8">
        <f t="shared" si="87"/>
        <v>0</v>
      </c>
      <c r="X788" s="8">
        <f t="shared" si="88"/>
        <v>0</v>
      </c>
    </row>
    <row r="789" spans="1:24" ht="21.95" customHeight="1" x14ac:dyDescent="0.2">
      <c r="A789" s="5" t="s">
        <v>17</v>
      </c>
      <c r="B789" t="s">
        <v>1589</v>
      </c>
      <c r="C789" t="s">
        <v>443</v>
      </c>
      <c r="D789" t="s">
        <v>79</v>
      </c>
      <c r="E789"/>
      <c r="F789"/>
      <c r="G789"/>
      <c r="H789"/>
      <c r="I789" s="10"/>
      <c r="J789" s="10"/>
      <c r="K789" s="7">
        <v>44004955</v>
      </c>
      <c r="L789" s="5" t="str">
        <f t="shared" si="82"/>
        <v>LV VOLARE ŞİFONYER AYNASI</v>
      </c>
      <c r="M789" s="8">
        <v>0.2</v>
      </c>
      <c r="N789" s="8">
        <v>0.15</v>
      </c>
      <c r="O789" s="8">
        <v>3340</v>
      </c>
      <c r="P789" s="8">
        <f t="shared" si="83"/>
        <v>2839</v>
      </c>
      <c r="Q789" s="12">
        <f t="shared" si="84"/>
        <v>5961.9000000000005</v>
      </c>
      <c r="R789" s="31">
        <f t="shared" si="85"/>
        <v>5900</v>
      </c>
      <c r="T789" s="12"/>
      <c r="U789" s="8">
        <v>15800</v>
      </c>
    </row>
    <row r="790" spans="1:24" ht="21.95" customHeight="1" x14ac:dyDescent="0.2">
      <c r="A790" s="5" t="s">
        <v>17</v>
      </c>
      <c r="B790" t="s">
        <v>1589</v>
      </c>
      <c r="C790" t="s">
        <v>443</v>
      </c>
      <c r="D790" t="s">
        <v>441</v>
      </c>
      <c r="E790"/>
      <c r="F790"/>
      <c r="G790"/>
      <c r="H790"/>
      <c r="I790" s="10"/>
      <c r="J790" s="10"/>
      <c r="K790" s="7">
        <v>44004956</v>
      </c>
      <c r="L790" s="5" t="str">
        <f t="shared" si="82"/>
        <v>LV VOLARE DOLAP 100CM CAMLI</v>
      </c>
      <c r="M790" s="8">
        <v>0.2</v>
      </c>
      <c r="N790" s="8">
        <v>0.15</v>
      </c>
      <c r="O790" s="8">
        <v>16150</v>
      </c>
      <c r="P790" s="8">
        <f t="shared" si="83"/>
        <v>13727.5</v>
      </c>
      <c r="Q790" s="12">
        <f t="shared" si="84"/>
        <v>28827.75</v>
      </c>
      <c r="R790" s="31">
        <f t="shared" si="85"/>
        <v>28800</v>
      </c>
      <c r="T790" s="12"/>
      <c r="U790" s="8">
        <v>12400</v>
      </c>
    </row>
    <row r="791" spans="1:24" ht="21.95" customHeight="1" x14ac:dyDescent="0.2">
      <c r="A791" s="5" t="s">
        <v>17</v>
      </c>
      <c r="B791" t="s">
        <v>1589</v>
      </c>
      <c r="C791" t="s">
        <v>443</v>
      </c>
      <c r="D791" t="s">
        <v>433</v>
      </c>
      <c r="E791"/>
      <c r="F791"/>
      <c r="G791"/>
      <c r="H791"/>
      <c r="I791" s="10"/>
      <c r="J791" s="10"/>
      <c r="K791" s="7">
        <v>44004957</v>
      </c>
      <c r="L791" s="5" t="str">
        <f t="shared" si="82"/>
        <v>LV VOLARE RAFLI MODÜL 25CM</v>
      </c>
      <c r="M791" s="8">
        <v>0.2</v>
      </c>
      <c r="N791" s="8">
        <v>0.15</v>
      </c>
      <c r="O791" s="8">
        <v>4270</v>
      </c>
      <c r="P791" s="8">
        <f t="shared" si="83"/>
        <v>3629.5</v>
      </c>
      <c r="Q791" s="12">
        <f t="shared" si="84"/>
        <v>7621.9500000000007</v>
      </c>
      <c r="R791" s="31">
        <f t="shared" si="85"/>
        <v>7600</v>
      </c>
      <c r="T791" s="12"/>
      <c r="U791" s="8">
        <v>13100</v>
      </c>
    </row>
    <row r="792" spans="1:24" ht="21.95" customHeight="1" x14ac:dyDescent="0.2">
      <c r="A792" s="5" t="s">
        <v>17</v>
      </c>
      <c r="B792" t="s">
        <v>1589</v>
      </c>
      <c r="C792" t="s">
        <v>443</v>
      </c>
      <c r="D792" t="s">
        <v>434</v>
      </c>
      <c r="E792"/>
      <c r="F792"/>
      <c r="G792"/>
      <c r="H792"/>
      <c r="I792" s="10"/>
      <c r="J792" s="10"/>
      <c r="K792" s="7">
        <v>44004958</v>
      </c>
      <c r="L792" s="5" t="str">
        <f t="shared" si="82"/>
        <v>LV VOLARE DOLAP KÖŞE</v>
      </c>
      <c r="M792" s="8">
        <v>0.2</v>
      </c>
      <c r="N792" s="8">
        <v>0.15</v>
      </c>
      <c r="O792" s="8">
        <v>13880</v>
      </c>
      <c r="P792" s="8">
        <f t="shared" si="83"/>
        <v>11798</v>
      </c>
      <c r="Q792" s="12">
        <f t="shared" si="84"/>
        <v>24775.8</v>
      </c>
      <c r="R792" s="31">
        <f t="shared" si="85"/>
        <v>24700</v>
      </c>
      <c r="T792" s="12"/>
      <c r="U792" s="8">
        <v>13200</v>
      </c>
    </row>
    <row r="793" spans="1:24" ht="21.95" customHeight="1" x14ac:dyDescent="0.2">
      <c r="A793" s="5" t="s">
        <v>17</v>
      </c>
      <c r="B793" t="s">
        <v>1589</v>
      </c>
      <c r="C793" t="s">
        <v>443</v>
      </c>
      <c r="D793" t="s">
        <v>76</v>
      </c>
      <c r="E793"/>
      <c r="F793"/>
      <c r="G793"/>
      <c r="H793"/>
      <c r="I793" s="10"/>
      <c r="J793" s="10"/>
      <c r="K793" s="7">
        <v>44004959</v>
      </c>
      <c r="L793" s="5" t="str">
        <f t="shared" si="82"/>
        <v>LV VOLARE KARYOLA BAZALI 180CM</v>
      </c>
      <c r="M793" s="8">
        <v>0.2</v>
      </c>
      <c r="N793" s="8">
        <v>0.15</v>
      </c>
      <c r="O793" s="8">
        <v>23460</v>
      </c>
      <c r="P793" s="8">
        <f t="shared" si="83"/>
        <v>19941</v>
      </c>
      <c r="Q793" s="12">
        <f t="shared" si="84"/>
        <v>41876.1</v>
      </c>
      <c r="R793" s="31">
        <f t="shared" si="85"/>
        <v>41800</v>
      </c>
      <c r="T793" s="12"/>
      <c r="U793" s="8">
        <v>15800</v>
      </c>
    </row>
    <row r="794" spans="1:24" ht="21.95" customHeight="1" x14ac:dyDescent="0.2">
      <c r="A794" s="5" t="s">
        <v>17</v>
      </c>
      <c r="B794" t="s">
        <v>1589</v>
      </c>
      <c r="C794" t="s">
        <v>443</v>
      </c>
      <c r="D794" t="s">
        <v>197</v>
      </c>
      <c r="E794"/>
      <c r="F794"/>
      <c r="G794"/>
      <c r="H794"/>
      <c r="I794" s="10"/>
      <c r="J794" s="10"/>
      <c r="K794" s="7">
        <v>44004960</v>
      </c>
      <c r="L794" s="5" t="str">
        <f t="shared" si="82"/>
        <v>LV VOLARE BENCH</v>
      </c>
      <c r="M794" s="8">
        <v>0.2</v>
      </c>
      <c r="N794" s="8">
        <v>0.15</v>
      </c>
      <c r="O794" s="8">
        <v>9700</v>
      </c>
      <c r="P794" s="8">
        <f t="shared" si="83"/>
        <v>8245</v>
      </c>
      <c r="Q794" s="12">
        <f t="shared" si="84"/>
        <v>17314.5</v>
      </c>
      <c r="R794" s="31">
        <f t="shared" si="85"/>
        <v>17300</v>
      </c>
      <c r="T794" s="12"/>
      <c r="U794" s="8">
        <v>18500</v>
      </c>
    </row>
    <row r="795" spans="1:24" ht="21.95" customHeight="1" x14ac:dyDescent="0.2">
      <c r="A795" s="5" t="s">
        <v>17</v>
      </c>
      <c r="B795" t="s">
        <v>1589</v>
      </c>
      <c r="C795" t="s">
        <v>443</v>
      </c>
      <c r="D795" t="s">
        <v>126</v>
      </c>
      <c r="E795"/>
      <c r="F795"/>
      <c r="G795"/>
      <c r="H795"/>
      <c r="I795" s="10"/>
      <c r="J795" s="10"/>
      <c r="K795" s="7">
        <v>44004961</v>
      </c>
      <c r="L795" s="5" t="str">
        <f t="shared" si="82"/>
        <v>LV VOLARE ÇAMAŞIRLIK</v>
      </c>
      <c r="M795" s="8">
        <v>0.2</v>
      </c>
      <c r="N795" s="8">
        <v>0.15</v>
      </c>
      <c r="O795" s="8">
        <v>13760</v>
      </c>
      <c r="P795" s="8">
        <f t="shared" si="83"/>
        <v>11696</v>
      </c>
      <c r="Q795" s="12">
        <f t="shared" si="84"/>
        <v>24561.600000000002</v>
      </c>
      <c r="R795" s="31">
        <f t="shared" si="85"/>
        <v>24500</v>
      </c>
      <c r="T795" s="12"/>
      <c r="U795" s="8">
        <v>19800</v>
      </c>
    </row>
    <row r="796" spans="1:24" ht="21.95" customHeight="1" x14ac:dyDescent="0.2">
      <c r="A796" s="5" t="s">
        <v>17</v>
      </c>
      <c r="B796" t="s">
        <v>1589</v>
      </c>
      <c r="C796" t="s">
        <v>443</v>
      </c>
      <c r="D796" t="s">
        <v>425</v>
      </c>
      <c r="E796"/>
      <c r="F796"/>
      <c r="G796"/>
      <c r="H796"/>
      <c r="I796" s="10"/>
      <c r="J796" s="10"/>
      <c r="K796" s="7">
        <v>44004962</v>
      </c>
      <c r="L796" s="5" t="str">
        <f t="shared" si="82"/>
        <v>LV VOLARE VALE STAND</v>
      </c>
      <c r="M796" s="8">
        <v>0.2</v>
      </c>
      <c r="N796" s="8">
        <v>0.15</v>
      </c>
      <c r="O796" s="8">
        <v>12100</v>
      </c>
      <c r="P796" s="8">
        <f t="shared" si="83"/>
        <v>10285</v>
      </c>
      <c r="Q796" s="12">
        <f t="shared" si="84"/>
        <v>21598.5</v>
      </c>
      <c r="R796" s="31">
        <f t="shared" si="85"/>
        <v>21500</v>
      </c>
      <c r="T796" s="12"/>
      <c r="U796" s="8">
        <v>21100</v>
      </c>
    </row>
    <row r="797" spans="1:24" ht="21.95" customHeight="1" x14ac:dyDescent="0.2">
      <c r="A797" s="5" t="s">
        <v>17</v>
      </c>
      <c r="B797" t="s">
        <v>1589</v>
      </c>
      <c r="C797" t="s">
        <v>443</v>
      </c>
      <c r="D797" t="s">
        <v>426</v>
      </c>
      <c r="E797"/>
      <c r="F797"/>
      <c r="G797"/>
      <c r="H797"/>
      <c r="I797" s="10"/>
      <c r="J797" s="10"/>
      <c r="K797" s="7">
        <v>44004963</v>
      </c>
      <c r="L797" s="5" t="str">
        <f t="shared" si="82"/>
        <v>LV VOLARE ŞİFONYERLİ MODÜL</v>
      </c>
      <c r="M797" s="8">
        <v>0.2</v>
      </c>
      <c r="N797" s="8">
        <v>0.15</v>
      </c>
      <c r="O797" s="8">
        <v>16150</v>
      </c>
      <c r="P797" s="8">
        <f t="shared" si="83"/>
        <v>13727.5</v>
      </c>
      <c r="Q797" s="12">
        <f t="shared" si="84"/>
        <v>28827.75</v>
      </c>
      <c r="R797" s="31">
        <f t="shared" si="85"/>
        <v>28800</v>
      </c>
      <c r="T797" s="12"/>
      <c r="U797" s="8">
        <v>23700</v>
      </c>
    </row>
    <row r="798" spans="1:24" ht="21.95" customHeight="1" x14ac:dyDescent="0.2">
      <c r="A798" s="5" t="s">
        <v>17</v>
      </c>
      <c r="B798" t="s">
        <v>1589</v>
      </c>
      <c r="C798" t="s">
        <v>443</v>
      </c>
      <c r="D798" t="s">
        <v>427</v>
      </c>
      <c r="E798"/>
      <c r="F798"/>
      <c r="G798"/>
      <c r="H798"/>
      <c r="I798" s="10"/>
      <c r="J798" s="10"/>
      <c r="K798" s="7">
        <v>44004964</v>
      </c>
      <c r="L798" s="5" t="str">
        <f t="shared" si="82"/>
        <v>LV VOLARE ŞİFONYER ADA</v>
      </c>
      <c r="M798" s="8">
        <v>0.2</v>
      </c>
      <c r="N798" s="8">
        <v>0.15</v>
      </c>
      <c r="O798" s="8">
        <v>21860</v>
      </c>
      <c r="P798" s="8">
        <f t="shared" si="83"/>
        <v>18581</v>
      </c>
      <c r="Q798" s="12">
        <f t="shared" si="84"/>
        <v>39020.1</v>
      </c>
      <c r="R798" s="31">
        <f t="shared" si="85"/>
        <v>39000</v>
      </c>
      <c r="T798" s="12"/>
      <c r="U798" s="8">
        <v>8000</v>
      </c>
    </row>
    <row r="799" spans="1:24" ht="21.95" customHeight="1" x14ac:dyDescent="0.2">
      <c r="A799" s="5" t="s">
        <v>17</v>
      </c>
      <c r="B799" t="s">
        <v>1589</v>
      </c>
      <c r="C799" t="s">
        <v>443</v>
      </c>
      <c r="D799" t="s">
        <v>428</v>
      </c>
      <c r="E799"/>
      <c r="F799"/>
      <c r="G799"/>
      <c r="H799"/>
      <c r="I799" s="10"/>
      <c r="J799" s="10"/>
      <c r="K799" s="7">
        <v>44004965</v>
      </c>
      <c r="L799" s="5" t="str">
        <f t="shared" si="82"/>
        <v>LV VOLARE MİNİ BERJER</v>
      </c>
      <c r="M799" s="8">
        <v>0.2</v>
      </c>
      <c r="N799" s="8">
        <v>0.15</v>
      </c>
      <c r="O799" s="8">
        <v>4070</v>
      </c>
      <c r="P799" s="8">
        <f t="shared" si="83"/>
        <v>3459.5</v>
      </c>
      <c r="Q799" s="12">
        <f t="shared" si="84"/>
        <v>7264.9500000000007</v>
      </c>
      <c r="R799" s="31">
        <f t="shared" si="85"/>
        <v>7200</v>
      </c>
      <c r="T799" s="12"/>
      <c r="U799" s="8">
        <v>8000</v>
      </c>
    </row>
    <row r="800" spans="1:24" ht="21.95" customHeight="1" x14ac:dyDescent="0.2">
      <c r="A800" s="5" t="s">
        <v>17</v>
      </c>
      <c r="B800" t="s">
        <v>1589</v>
      </c>
      <c r="C800" t="s">
        <v>444</v>
      </c>
      <c r="D800" t="s">
        <v>438</v>
      </c>
      <c r="E800"/>
      <c r="F800"/>
      <c r="G800"/>
      <c r="H800"/>
      <c r="I800" s="10"/>
      <c r="J800" s="10"/>
      <c r="K800" s="7">
        <v>44004966</v>
      </c>
      <c r="L800" s="5" t="str">
        <f t="shared" si="82"/>
        <v>LV LOS ANGELES DOLAP 200CM</v>
      </c>
      <c r="M800" s="8">
        <v>0.2</v>
      </c>
      <c r="N800" s="8">
        <v>0.15</v>
      </c>
      <c r="O800" s="8">
        <v>18135</v>
      </c>
      <c r="P800" s="8">
        <f t="shared" si="83"/>
        <v>15414.75</v>
      </c>
      <c r="Q800" s="12">
        <f t="shared" si="84"/>
        <v>32370.975000000002</v>
      </c>
      <c r="R800" s="31">
        <f t="shared" si="85"/>
        <v>32300</v>
      </c>
      <c r="T800" s="12"/>
      <c r="U800" s="8">
        <v>8100</v>
      </c>
    </row>
    <row r="801" spans="1:21" ht="21.95" customHeight="1" x14ac:dyDescent="0.2">
      <c r="A801" s="5" t="s">
        <v>17</v>
      </c>
      <c r="B801" t="s">
        <v>1589</v>
      </c>
      <c r="C801" t="s">
        <v>444</v>
      </c>
      <c r="D801" t="s">
        <v>439</v>
      </c>
      <c r="E801"/>
      <c r="F801"/>
      <c r="G801"/>
      <c r="H801"/>
      <c r="I801" s="10"/>
      <c r="J801" s="10"/>
      <c r="K801" s="7">
        <v>44004967</v>
      </c>
      <c r="L801" s="5" t="str">
        <f t="shared" si="82"/>
        <v>LV LOS ANGELES DOLAP SAĞ RAFLI</v>
      </c>
      <c r="M801" s="8">
        <v>0.2</v>
      </c>
      <c r="N801" s="8">
        <v>0.15</v>
      </c>
      <c r="O801" s="8">
        <v>7370</v>
      </c>
      <c r="P801" s="8">
        <f t="shared" si="83"/>
        <v>6264.5</v>
      </c>
      <c r="Q801" s="12">
        <f t="shared" si="84"/>
        <v>13155.45</v>
      </c>
      <c r="R801" s="31">
        <f t="shared" si="85"/>
        <v>13100</v>
      </c>
      <c r="T801" s="12"/>
      <c r="U801" s="8">
        <v>9700</v>
      </c>
    </row>
    <row r="802" spans="1:21" ht="21.95" customHeight="1" x14ac:dyDescent="0.2">
      <c r="A802" s="5" t="s">
        <v>17</v>
      </c>
      <c r="B802" t="s">
        <v>1589</v>
      </c>
      <c r="C802" t="s">
        <v>444</v>
      </c>
      <c r="D802" t="s">
        <v>440</v>
      </c>
      <c r="E802"/>
      <c r="F802"/>
      <c r="G802"/>
      <c r="H802"/>
      <c r="I802" s="10"/>
      <c r="J802" s="10"/>
      <c r="K802" s="7">
        <v>44004968</v>
      </c>
      <c r="L802" s="5" t="str">
        <f t="shared" si="82"/>
        <v>LV LOS ANGELES DOLAP SOL ASKILIKLI</v>
      </c>
      <c r="M802" s="8">
        <v>0.2</v>
      </c>
      <c r="N802" s="8">
        <v>0.15</v>
      </c>
      <c r="O802" s="8">
        <v>6900</v>
      </c>
      <c r="P802" s="8">
        <f t="shared" si="83"/>
        <v>5865</v>
      </c>
      <c r="Q802" s="12">
        <f t="shared" si="84"/>
        <v>12316.5</v>
      </c>
      <c r="R802" s="31">
        <f t="shared" si="85"/>
        <v>12300</v>
      </c>
      <c r="T802" s="12"/>
      <c r="U802" s="8">
        <v>11300</v>
      </c>
    </row>
    <row r="803" spans="1:21" ht="21.95" customHeight="1" x14ac:dyDescent="0.2">
      <c r="A803" s="5" t="s">
        <v>17</v>
      </c>
      <c r="B803" t="s">
        <v>1589</v>
      </c>
      <c r="C803" t="s">
        <v>444</v>
      </c>
      <c r="D803" t="s">
        <v>75</v>
      </c>
      <c r="E803"/>
      <c r="F803"/>
      <c r="G803"/>
      <c r="H803"/>
      <c r="I803" s="10"/>
      <c r="J803" s="10"/>
      <c r="K803" s="7">
        <v>44004969</v>
      </c>
      <c r="L803" s="5" t="str">
        <f t="shared" si="82"/>
        <v>LV LOS ANGELES KARYOLA BAZALI 160CM</v>
      </c>
      <c r="M803" s="8">
        <v>0.2</v>
      </c>
      <c r="N803" s="8">
        <v>0.15</v>
      </c>
      <c r="O803" s="8">
        <v>17600</v>
      </c>
      <c r="P803" s="8">
        <f t="shared" si="83"/>
        <v>14960</v>
      </c>
      <c r="Q803" s="12">
        <f t="shared" si="84"/>
        <v>31416</v>
      </c>
      <c r="R803" s="31">
        <f t="shared" si="85"/>
        <v>31400</v>
      </c>
      <c r="T803" s="12"/>
      <c r="U803" s="8">
        <v>12100</v>
      </c>
    </row>
    <row r="804" spans="1:21" ht="21.95" customHeight="1" x14ac:dyDescent="0.2">
      <c r="A804" s="5" t="s">
        <v>17</v>
      </c>
      <c r="B804" t="s">
        <v>1589</v>
      </c>
      <c r="C804" t="s">
        <v>444</v>
      </c>
      <c r="D804" t="s">
        <v>362</v>
      </c>
      <c r="E804"/>
      <c r="F804"/>
      <c r="G804"/>
      <c r="H804"/>
      <c r="I804" s="10"/>
      <c r="J804" s="10"/>
      <c r="K804" s="7">
        <v>44004970</v>
      </c>
      <c r="L804" s="5" t="str">
        <f t="shared" si="82"/>
        <v>LV LOS ANGELES KOMODİN</v>
      </c>
      <c r="M804" s="8">
        <v>0.2</v>
      </c>
      <c r="N804" s="8">
        <v>0.15</v>
      </c>
      <c r="O804" s="8">
        <v>2690</v>
      </c>
      <c r="P804" s="8">
        <f t="shared" si="83"/>
        <v>2286.5</v>
      </c>
      <c r="Q804" s="12">
        <f t="shared" si="84"/>
        <v>4801.6500000000005</v>
      </c>
      <c r="R804" s="31">
        <f t="shared" si="85"/>
        <v>4800</v>
      </c>
      <c r="T804" s="12"/>
      <c r="U804" s="8">
        <v>12900</v>
      </c>
    </row>
    <row r="805" spans="1:21" ht="21.95" customHeight="1" x14ac:dyDescent="0.2">
      <c r="A805" s="5" t="s">
        <v>17</v>
      </c>
      <c r="B805" t="s">
        <v>1589</v>
      </c>
      <c r="C805" t="s">
        <v>444</v>
      </c>
      <c r="D805" t="s">
        <v>78</v>
      </c>
      <c r="E805"/>
      <c r="F805"/>
      <c r="G805"/>
      <c r="H805"/>
      <c r="I805" s="10"/>
      <c r="J805" s="10"/>
      <c r="K805" s="7">
        <v>44004971</v>
      </c>
      <c r="L805" s="6" t="str">
        <f t="shared" si="82"/>
        <v>LV LOS ANGELES ŞİFONYER</v>
      </c>
      <c r="M805" s="8">
        <v>0.2</v>
      </c>
      <c r="N805" s="8">
        <v>0.15</v>
      </c>
      <c r="O805" s="8">
        <v>12000</v>
      </c>
      <c r="P805" s="8">
        <f t="shared" si="83"/>
        <v>10200</v>
      </c>
      <c r="Q805" s="12">
        <f t="shared" si="84"/>
        <v>21420</v>
      </c>
      <c r="R805" s="31">
        <f t="shared" si="85"/>
        <v>21400</v>
      </c>
      <c r="T805" s="12"/>
      <c r="U805" s="8">
        <v>14500</v>
      </c>
    </row>
    <row r="806" spans="1:21" ht="21.95" customHeight="1" x14ac:dyDescent="0.2">
      <c r="A806" s="5" t="s">
        <v>17</v>
      </c>
      <c r="B806" t="s">
        <v>1589</v>
      </c>
      <c r="C806" t="s">
        <v>444</v>
      </c>
      <c r="D806" t="s">
        <v>79</v>
      </c>
      <c r="E806"/>
      <c r="F806"/>
      <c r="G806"/>
      <c r="H806"/>
      <c r="I806" s="10"/>
      <c r="J806" s="10"/>
      <c r="K806" s="7">
        <v>44004972</v>
      </c>
      <c r="L806" s="5" t="str">
        <f t="shared" ref="L806:L869" si="89">B806&amp;" "&amp;C806&amp;" "&amp;D806</f>
        <v>LV LOS ANGELES ŞİFONYER AYNASI</v>
      </c>
      <c r="M806" s="8">
        <v>0.2</v>
      </c>
      <c r="N806" s="8">
        <v>0.15</v>
      </c>
      <c r="O806" s="8">
        <v>2580</v>
      </c>
      <c r="P806" s="8">
        <f t="shared" si="83"/>
        <v>2193</v>
      </c>
      <c r="Q806" s="12">
        <f t="shared" si="84"/>
        <v>4605.3</v>
      </c>
      <c r="R806" s="31">
        <f t="shared" si="85"/>
        <v>4600</v>
      </c>
      <c r="T806" s="12"/>
      <c r="U806" s="8">
        <v>14700</v>
      </c>
    </row>
    <row r="807" spans="1:21" ht="21.95" customHeight="1" x14ac:dyDescent="0.2">
      <c r="A807" s="5" t="s">
        <v>17</v>
      </c>
      <c r="B807" t="s">
        <v>1589</v>
      </c>
      <c r="C807" t="s">
        <v>444</v>
      </c>
      <c r="D807" t="s">
        <v>445</v>
      </c>
      <c r="E807"/>
      <c r="F807"/>
      <c r="G807"/>
      <c r="H807"/>
      <c r="I807" s="10"/>
      <c r="J807" s="10"/>
      <c r="K807" s="7">
        <v>44004973</v>
      </c>
      <c r="L807" s="5" t="str">
        <f t="shared" si="89"/>
        <v>LV LOS ANGELES DOLAP 100CM</v>
      </c>
      <c r="M807" s="8">
        <v>0.2</v>
      </c>
      <c r="N807" s="8">
        <v>0.15</v>
      </c>
      <c r="O807" s="8">
        <v>8565</v>
      </c>
      <c r="P807" s="8">
        <f t="shared" si="83"/>
        <v>7280.25</v>
      </c>
      <c r="Q807" s="12">
        <f t="shared" si="84"/>
        <v>15288.525000000001</v>
      </c>
      <c r="R807" s="31">
        <f t="shared" si="85"/>
        <v>15200</v>
      </c>
      <c r="T807" s="12"/>
      <c r="U807" s="8">
        <v>15500</v>
      </c>
    </row>
    <row r="808" spans="1:21" ht="21.95" customHeight="1" x14ac:dyDescent="0.2">
      <c r="A808" s="5" t="s">
        <v>17</v>
      </c>
      <c r="B808" t="s">
        <v>1589</v>
      </c>
      <c r="C808" t="s">
        <v>444</v>
      </c>
      <c r="D808" t="s">
        <v>433</v>
      </c>
      <c r="E808"/>
      <c r="F808"/>
      <c r="G808"/>
      <c r="H808"/>
      <c r="I808" s="10"/>
      <c r="J808" s="10"/>
      <c r="K808" s="7">
        <v>44004974</v>
      </c>
      <c r="L808" s="5" t="str">
        <f t="shared" si="89"/>
        <v>LV LOS ANGELES RAFLI MODÜL 25CM</v>
      </c>
      <c r="M808" s="8">
        <v>0.2</v>
      </c>
      <c r="N808" s="8">
        <v>0.15</v>
      </c>
      <c r="O808" s="8">
        <v>4270</v>
      </c>
      <c r="P808" s="8">
        <f t="shared" si="83"/>
        <v>3629.5</v>
      </c>
      <c r="Q808" s="12">
        <f t="shared" si="84"/>
        <v>7621.9500000000007</v>
      </c>
      <c r="R808" s="31">
        <f t="shared" si="85"/>
        <v>7600</v>
      </c>
      <c r="T808" s="12"/>
      <c r="U808" s="8">
        <v>15600</v>
      </c>
    </row>
    <row r="809" spans="1:21" ht="21.95" customHeight="1" x14ac:dyDescent="0.2">
      <c r="A809" s="5" t="s">
        <v>17</v>
      </c>
      <c r="B809" t="s">
        <v>1589</v>
      </c>
      <c r="C809" t="s">
        <v>444</v>
      </c>
      <c r="D809" t="s">
        <v>434</v>
      </c>
      <c r="E809"/>
      <c r="F809"/>
      <c r="G809"/>
      <c r="H809"/>
      <c r="I809" s="10"/>
      <c r="J809" s="10"/>
      <c r="K809" s="7">
        <v>44004975</v>
      </c>
      <c r="L809" s="5" t="str">
        <f t="shared" si="89"/>
        <v>LV LOS ANGELES DOLAP KÖŞE</v>
      </c>
      <c r="M809" s="8">
        <v>0.2</v>
      </c>
      <c r="N809" s="8">
        <v>0.15</v>
      </c>
      <c r="O809" s="8">
        <v>10580</v>
      </c>
      <c r="P809" s="8">
        <f t="shared" si="83"/>
        <v>8993</v>
      </c>
      <c r="Q809" s="12">
        <f t="shared" si="84"/>
        <v>18885.3</v>
      </c>
      <c r="R809" s="31">
        <f t="shared" si="85"/>
        <v>18800</v>
      </c>
      <c r="T809" s="12"/>
      <c r="U809" s="8">
        <v>18800</v>
      </c>
    </row>
    <row r="810" spans="1:21" ht="21.95" customHeight="1" x14ac:dyDescent="0.2">
      <c r="A810" s="5" t="s">
        <v>17</v>
      </c>
      <c r="B810" t="s">
        <v>1589</v>
      </c>
      <c r="C810" t="s">
        <v>444</v>
      </c>
      <c r="D810" t="s">
        <v>76</v>
      </c>
      <c r="E810"/>
      <c r="F810"/>
      <c r="G810"/>
      <c r="H810"/>
      <c r="I810" s="10"/>
      <c r="J810" s="10"/>
      <c r="K810" s="7">
        <v>44004976</v>
      </c>
      <c r="L810" s="5" t="str">
        <f t="shared" si="89"/>
        <v>LV LOS ANGELES KARYOLA BAZALI 180CM</v>
      </c>
      <c r="M810" s="8">
        <v>0.2</v>
      </c>
      <c r="N810" s="8">
        <v>0.15</v>
      </c>
      <c r="O810" s="8">
        <v>17770</v>
      </c>
      <c r="P810" s="8">
        <f t="shared" si="83"/>
        <v>15104.5</v>
      </c>
      <c r="Q810" s="12">
        <f t="shared" si="84"/>
        <v>31719.45</v>
      </c>
      <c r="R810" s="31">
        <f t="shared" si="85"/>
        <v>31700</v>
      </c>
      <c r="T810" s="12"/>
      <c r="U810" s="8">
        <v>21900</v>
      </c>
    </row>
    <row r="811" spans="1:21" ht="21.95" customHeight="1" x14ac:dyDescent="0.2">
      <c r="A811" s="5" t="s">
        <v>17</v>
      </c>
      <c r="B811" t="s">
        <v>1589</v>
      </c>
      <c r="C811" t="s">
        <v>444</v>
      </c>
      <c r="D811" t="s">
        <v>197</v>
      </c>
      <c r="E811"/>
      <c r="F811"/>
      <c r="G811"/>
      <c r="H811"/>
      <c r="I811" s="10"/>
      <c r="J811" s="10"/>
      <c r="K811" s="7">
        <v>44004977</v>
      </c>
      <c r="L811" s="5" t="str">
        <f t="shared" si="89"/>
        <v>LV LOS ANGELES BENCH</v>
      </c>
      <c r="M811" s="8">
        <v>0.2</v>
      </c>
      <c r="N811" s="8">
        <v>0.15</v>
      </c>
      <c r="O811" s="8">
        <v>5620</v>
      </c>
      <c r="P811" s="8">
        <f t="shared" si="83"/>
        <v>4777</v>
      </c>
      <c r="Q811" s="12">
        <f t="shared" si="84"/>
        <v>10031.700000000001</v>
      </c>
      <c r="R811" s="31">
        <f t="shared" si="85"/>
        <v>10000</v>
      </c>
      <c r="T811" s="12"/>
      <c r="U811" s="8">
        <v>23400</v>
      </c>
    </row>
    <row r="812" spans="1:21" ht="21.95" customHeight="1" x14ac:dyDescent="0.2">
      <c r="A812" s="5" t="s">
        <v>17</v>
      </c>
      <c r="B812" t="s">
        <v>1589</v>
      </c>
      <c r="C812" t="s">
        <v>444</v>
      </c>
      <c r="D812" t="s">
        <v>126</v>
      </c>
      <c r="E812"/>
      <c r="F812"/>
      <c r="G812"/>
      <c r="H812"/>
      <c r="I812" s="10"/>
      <c r="J812" s="10"/>
      <c r="K812" s="7">
        <v>44004978</v>
      </c>
      <c r="L812" s="5" t="str">
        <f t="shared" si="89"/>
        <v>LV LOS ANGELES ÇAMAŞIRLIK</v>
      </c>
      <c r="M812" s="8">
        <v>0.2</v>
      </c>
      <c r="N812" s="8">
        <v>0.15</v>
      </c>
      <c r="O812" s="8">
        <v>5675</v>
      </c>
      <c r="P812" s="8">
        <f t="shared" si="83"/>
        <v>4823.75</v>
      </c>
      <c r="Q812" s="12">
        <f t="shared" si="84"/>
        <v>10129.875</v>
      </c>
      <c r="R812" s="31">
        <f t="shared" si="85"/>
        <v>10100</v>
      </c>
      <c r="T812" s="12"/>
      <c r="U812" s="8">
        <v>25000</v>
      </c>
    </row>
    <row r="813" spans="1:21" ht="21.95" customHeight="1" x14ac:dyDescent="0.2">
      <c r="A813" s="5" t="s">
        <v>17</v>
      </c>
      <c r="B813" t="s">
        <v>1589</v>
      </c>
      <c r="C813" t="s">
        <v>444</v>
      </c>
      <c r="D813" t="s">
        <v>425</v>
      </c>
      <c r="E813"/>
      <c r="F813"/>
      <c r="G813"/>
      <c r="H813"/>
      <c r="I813" s="10"/>
      <c r="J813" s="10"/>
      <c r="K813" s="7">
        <v>44004979</v>
      </c>
      <c r="L813" s="5" t="str">
        <f t="shared" si="89"/>
        <v>LV LOS ANGELES VALE STAND</v>
      </c>
      <c r="M813" s="8">
        <v>0.2</v>
      </c>
      <c r="N813" s="8">
        <v>0.15</v>
      </c>
      <c r="O813" s="8">
        <v>7720</v>
      </c>
      <c r="P813" s="8">
        <f t="shared" ref="P813:P876" si="90">O813*(1-N813)</f>
        <v>6562</v>
      </c>
      <c r="Q813" s="12">
        <f t="shared" ref="Q813:Q876" si="91">O813*(1-N813)*2.1</f>
        <v>13780.2</v>
      </c>
      <c r="R813" s="31">
        <f t="shared" ref="R813:R876" si="92">ROUNDDOWN(Q813,-2)</f>
        <v>13700</v>
      </c>
      <c r="T813" s="12"/>
      <c r="U813" s="8">
        <v>28100</v>
      </c>
    </row>
    <row r="814" spans="1:21" ht="21.95" customHeight="1" x14ac:dyDescent="0.2">
      <c r="A814" s="5" t="s">
        <v>17</v>
      </c>
      <c r="B814" t="s">
        <v>1589</v>
      </c>
      <c r="C814" t="s">
        <v>444</v>
      </c>
      <c r="D814" t="s">
        <v>446</v>
      </c>
      <c r="E814"/>
      <c r="F814"/>
      <c r="G814"/>
      <c r="H814"/>
      <c r="I814" s="10"/>
      <c r="J814" s="10"/>
      <c r="K814" s="7">
        <v>44004980</v>
      </c>
      <c r="L814" s="5" t="str">
        <f t="shared" si="89"/>
        <v>LV LOS ANGELES ŞİFORYERLİ MODEL</v>
      </c>
      <c r="M814" s="8">
        <v>0.2</v>
      </c>
      <c r="N814" s="8">
        <v>0.15</v>
      </c>
      <c r="O814" s="8">
        <v>12355</v>
      </c>
      <c r="P814" s="8">
        <f t="shared" si="90"/>
        <v>10501.75</v>
      </c>
      <c r="Q814" s="12">
        <f t="shared" si="91"/>
        <v>22053.674999999999</v>
      </c>
      <c r="R814" s="31">
        <f t="shared" si="92"/>
        <v>22000</v>
      </c>
      <c r="T814" s="12"/>
      <c r="U814" s="8">
        <v>19300</v>
      </c>
    </row>
    <row r="815" spans="1:21" ht="21.95" customHeight="1" x14ac:dyDescent="0.2">
      <c r="A815" s="5" t="s">
        <v>17</v>
      </c>
      <c r="B815" t="s">
        <v>1589</v>
      </c>
      <c r="C815" t="s">
        <v>444</v>
      </c>
      <c r="D815" t="s">
        <v>427</v>
      </c>
      <c r="E815"/>
      <c r="F815"/>
      <c r="G815"/>
      <c r="H815"/>
      <c r="I815" s="10"/>
      <c r="J815" s="10"/>
      <c r="K815" s="7">
        <v>44004981</v>
      </c>
      <c r="L815" s="5" t="str">
        <f t="shared" si="89"/>
        <v>LV LOS ANGELES ŞİFONYER ADA</v>
      </c>
      <c r="M815" s="8">
        <v>0.2</v>
      </c>
      <c r="N815" s="8">
        <v>0.15</v>
      </c>
      <c r="O815" s="8">
        <v>11200</v>
      </c>
      <c r="P815" s="8">
        <f t="shared" si="90"/>
        <v>9520</v>
      </c>
      <c r="Q815" s="12">
        <f t="shared" si="91"/>
        <v>19992</v>
      </c>
      <c r="R815" s="31">
        <f t="shared" si="92"/>
        <v>19900</v>
      </c>
      <c r="T815" s="12"/>
      <c r="U815" s="8">
        <v>12400</v>
      </c>
    </row>
    <row r="816" spans="1:21" ht="21.95" customHeight="1" x14ac:dyDescent="0.2">
      <c r="A816" s="5" t="s">
        <v>17</v>
      </c>
      <c r="B816" t="s">
        <v>1589</v>
      </c>
      <c r="C816" t="s">
        <v>444</v>
      </c>
      <c r="D816" t="s">
        <v>428</v>
      </c>
      <c r="E816"/>
      <c r="F816"/>
      <c r="G816"/>
      <c r="H816"/>
      <c r="I816" s="10"/>
      <c r="J816" s="10"/>
      <c r="K816" s="7">
        <v>44004982</v>
      </c>
      <c r="L816" s="5" t="str">
        <f t="shared" si="89"/>
        <v>LV LOS ANGELES MİNİ BERJER</v>
      </c>
      <c r="M816" s="8">
        <v>0.2</v>
      </c>
      <c r="N816" s="8">
        <v>0.15</v>
      </c>
      <c r="O816" s="8">
        <v>2810</v>
      </c>
      <c r="P816" s="8">
        <f t="shared" si="90"/>
        <v>2388.5</v>
      </c>
      <c r="Q816" s="12">
        <f t="shared" si="91"/>
        <v>5015.8500000000004</v>
      </c>
      <c r="R816" s="31">
        <f t="shared" si="92"/>
        <v>5000</v>
      </c>
      <c r="T816" s="12"/>
      <c r="U816" s="8">
        <v>13100</v>
      </c>
    </row>
    <row r="817" spans="1:24" ht="21.95" customHeight="1" x14ac:dyDescent="0.2">
      <c r="A817" s="5" t="s">
        <v>17</v>
      </c>
      <c r="B817" t="s">
        <v>1589</v>
      </c>
      <c r="C817" t="s">
        <v>447</v>
      </c>
      <c r="D817" t="s">
        <v>438</v>
      </c>
      <c r="E817"/>
      <c r="F817"/>
      <c r="G817"/>
      <c r="H817"/>
      <c r="I817" s="10"/>
      <c r="J817" s="10"/>
      <c r="K817" s="7">
        <v>44004983</v>
      </c>
      <c r="L817" s="5" t="str">
        <f t="shared" si="89"/>
        <v>LV PARİS DOLAP 200CM</v>
      </c>
      <c r="M817" s="8">
        <v>0.2</v>
      </c>
      <c r="N817" s="8">
        <v>0.15</v>
      </c>
      <c r="O817" s="8">
        <v>35650</v>
      </c>
      <c r="P817" s="8">
        <f t="shared" si="90"/>
        <v>30302.5</v>
      </c>
      <c r="Q817" s="12">
        <f t="shared" si="91"/>
        <v>63635.25</v>
      </c>
      <c r="R817" s="31">
        <f t="shared" si="92"/>
        <v>63600</v>
      </c>
      <c r="U817" s="8">
        <v>7980</v>
      </c>
      <c r="V817" s="8">
        <f t="shared" si="79"/>
        <v>0</v>
      </c>
      <c r="W817" s="8">
        <f t="shared" si="80"/>
        <v>0</v>
      </c>
      <c r="X817" s="8">
        <f t="shared" si="81"/>
        <v>0</v>
      </c>
    </row>
    <row r="818" spans="1:24" ht="21.95" customHeight="1" x14ac:dyDescent="0.2">
      <c r="A818" s="5" t="s">
        <v>17</v>
      </c>
      <c r="B818" t="s">
        <v>1589</v>
      </c>
      <c r="C818" t="s">
        <v>447</v>
      </c>
      <c r="D818" t="s">
        <v>439</v>
      </c>
      <c r="E818"/>
      <c r="F818"/>
      <c r="G818"/>
      <c r="H818"/>
      <c r="I818" s="10"/>
      <c r="J818" s="10"/>
      <c r="K818" s="7">
        <v>44004984</v>
      </c>
      <c r="L818" s="5" t="str">
        <f t="shared" si="89"/>
        <v>LV PARİS DOLAP SAĞ RAFLI</v>
      </c>
      <c r="M818" s="8">
        <v>0.2</v>
      </c>
      <c r="N818" s="8">
        <v>0.15</v>
      </c>
      <c r="O818" s="8">
        <v>9880</v>
      </c>
      <c r="P818" s="8">
        <f t="shared" si="90"/>
        <v>8398</v>
      </c>
      <c r="Q818" s="12">
        <f t="shared" si="91"/>
        <v>17635.8</v>
      </c>
      <c r="R818" s="31">
        <f t="shared" si="92"/>
        <v>17600</v>
      </c>
      <c r="U818" s="8">
        <v>19698</v>
      </c>
      <c r="V818" s="8">
        <f t="shared" si="79"/>
        <v>0</v>
      </c>
      <c r="W818" s="8">
        <f t="shared" si="80"/>
        <v>0</v>
      </c>
      <c r="X818" s="8">
        <f t="shared" si="81"/>
        <v>0</v>
      </c>
    </row>
    <row r="819" spans="1:24" ht="21.95" customHeight="1" x14ac:dyDescent="0.2">
      <c r="A819" s="5" t="s">
        <v>17</v>
      </c>
      <c r="B819" t="s">
        <v>1589</v>
      </c>
      <c r="C819" t="s">
        <v>447</v>
      </c>
      <c r="D819" t="s">
        <v>440</v>
      </c>
      <c r="E819"/>
      <c r="F819"/>
      <c r="G819"/>
      <c r="H819"/>
      <c r="I819" s="10"/>
      <c r="J819" s="10"/>
      <c r="K819" s="7">
        <v>44004985</v>
      </c>
      <c r="L819" s="5" t="str">
        <f t="shared" si="89"/>
        <v>LV PARİS DOLAP SOL ASKILIKLI</v>
      </c>
      <c r="M819" s="8">
        <v>0.2</v>
      </c>
      <c r="N819" s="8">
        <v>0.15</v>
      </c>
      <c r="O819" s="8">
        <v>9680</v>
      </c>
      <c r="P819" s="8">
        <f t="shared" si="90"/>
        <v>8228</v>
      </c>
      <c r="Q819" s="12">
        <f t="shared" si="91"/>
        <v>17278.8</v>
      </c>
      <c r="R819" s="31">
        <f t="shared" si="92"/>
        <v>17200</v>
      </c>
      <c r="U819" s="8">
        <v>27069</v>
      </c>
      <c r="V819" s="8">
        <f t="shared" si="79"/>
        <v>0</v>
      </c>
      <c r="W819" s="8">
        <f t="shared" si="80"/>
        <v>0</v>
      </c>
      <c r="X819" s="8">
        <f t="shared" si="81"/>
        <v>0</v>
      </c>
    </row>
    <row r="820" spans="1:24" ht="21.95" customHeight="1" x14ac:dyDescent="0.2">
      <c r="A820" s="5" t="s">
        <v>17</v>
      </c>
      <c r="B820" t="s">
        <v>1589</v>
      </c>
      <c r="C820" t="s">
        <v>447</v>
      </c>
      <c r="D820" t="s">
        <v>75</v>
      </c>
      <c r="E820"/>
      <c r="F820"/>
      <c r="G820"/>
      <c r="H820"/>
      <c r="I820" s="10"/>
      <c r="J820" s="10"/>
      <c r="K820" s="7">
        <v>44004986</v>
      </c>
      <c r="L820" s="5" t="str">
        <f t="shared" si="89"/>
        <v>LV PARİS KARYOLA BAZALI 160CM</v>
      </c>
      <c r="M820" s="8">
        <v>0.2</v>
      </c>
      <c r="N820" s="8">
        <v>0.15</v>
      </c>
      <c r="O820" s="8">
        <v>19590</v>
      </c>
      <c r="P820" s="8">
        <f t="shared" si="90"/>
        <v>16651.5</v>
      </c>
      <c r="Q820" s="12">
        <f t="shared" si="91"/>
        <v>34968.15</v>
      </c>
      <c r="R820" s="31">
        <f t="shared" si="92"/>
        <v>34900</v>
      </c>
      <c r="U820" s="8">
        <v>19950</v>
      </c>
      <c r="V820" s="8">
        <f t="shared" si="79"/>
        <v>0</v>
      </c>
      <c r="W820" s="8">
        <f t="shared" si="80"/>
        <v>0</v>
      </c>
      <c r="X820" s="8">
        <f t="shared" si="81"/>
        <v>0</v>
      </c>
    </row>
    <row r="821" spans="1:24" ht="21.95" customHeight="1" x14ac:dyDescent="0.2">
      <c r="A821" s="5" t="s">
        <v>17</v>
      </c>
      <c r="B821" t="s">
        <v>1589</v>
      </c>
      <c r="C821" t="s">
        <v>447</v>
      </c>
      <c r="D821" t="s">
        <v>362</v>
      </c>
      <c r="E821"/>
      <c r="F821"/>
      <c r="G821"/>
      <c r="H821"/>
      <c r="I821" s="10"/>
      <c r="J821" s="10"/>
      <c r="K821" s="7">
        <v>44004987</v>
      </c>
      <c r="L821" s="5" t="str">
        <f t="shared" si="89"/>
        <v>LV PARİS KOMODİN</v>
      </c>
      <c r="M821" s="8">
        <v>0.2</v>
      </c>
      <c r="N821" s="8">
        <v>0.15</v>
      </c>
      <c r="O821" s="8">
        <v>4650</v>
      </c>
      <c r="P821" s="8">
        <f t="shared" si="90"/>
        <v>3952.5</v>
      </c>
      <c r="Q821" s="12">
        <f t="shared" si="91"/>
        <v>8300.25</v>
      </c>
      <c r="R821" s="31">
        <f t="shared" si="92"/>
        <v>8300</v>
      </c>
      <c r="U821" s="8">
        <v>21945</v>
      </c>
      <c r="V821" s="8">
        <f t="shared" si="79"/>
        <v>0</v>
      </c>
      <c r="W821" s="8">
        <f t="shared" si="80"/>
        <v>0</v>
      </c>
      <c r="X821" s="8">
        <f t="shared" si="81"/>
        <v>0</v>
      </c>
    </row>
    <row r="822" spans="1:24" ht="21.95" customHeight="1" x14ac:dyDescent="0.2">
      <c r="A822" s="5" t="s">
        <v>17</v>
      </c>
      <c r="B822" t="s">
        <v>1589</v>
      </c>
      <c r="C822" t="s">
        <v>447</v>
      </c>
      <c r="D822" t="s">
        <v>78</v>
      </c>
      <c r="E822"/>
      <c r="F822"/>
      <c r="G822"/>
      <c r="H822"/>
      <c r="I822" s="10"/>
      <c r="J822" s="10"/>
      <c r="K822" s="7">
        <v>44004988</v>
      </c>
      <c r="L822" s="5" t="str">
        <f t="shared" si="89"/>
        <v>LV PARİS ŞİFONYER</v>
      </c>
      <c r="M822" s="8">
        <v>0.2</v>
      </c>
      <c r="N822" s="8">
        <v>0.15</v>
      </c>
      <c r="O822" s="8">
        <v>15200</v>
      </c>
      <c r="P822" s="8">
        <f t="shared" si="90"/>
        <v>12920</v>
      </c>
      <c r="Q822" s="12">
        <f t="shared" si="91"/>
        <v>27132</v>
      </c>
      <c r="R822" s="31">
        <f t="shared" si="92"/>
        <v>27100</v>
      </c>
      <c r="U822" s="8">
        <v>30471</v>
      </c>
      <c r="V822" s="8">
        <f t="shared" si="79"/>
        <v>0</v>
      </c>
      <c r="W822" s="8">
        <f t="shared" si="80"/>
        <v>0</v>
      </c>
      <c r="X822" s="8">
        <f t="shared" si="81"/>
        <v>0</v>
      </c>
    </row>
    <row r="823" spans="1:24" s="15" customFormat="1" ht="21.95" customHeight="1" x14ac:dyDescent="0.2">
      <c r="A823" s="5" t="s">
        <v>17</v>
      </c>
      <c r="B823" t="s">
        <v>1589</v>
      </c>
      <c r="C823" t="s">
        <v>447</v>
      </c>
      <c r="D823" t="s">
        <v>79</v>
      </c>
      <c r="E823"/>
      <c r="F823"/>
      <c r="G823"/>
      <c r="H823"/>
      <c r="I823" s="10"/>
      <c r="J823" s="10"/>
      <c r="K823" s="7">
        <v>44004989</v>
      </c>
      <c r="L823" s="5" t="str">
        <f t="shared" si="89"/>
        <v>LV PARİS ŞİFONYER AYNASI</v>
      </c>
      <c r="M823" s="8">
        <v>0.2</v>
      </c>
      <c r="N823" s="8">
        <v>0.15</v>
      </c>
      <c r="O823" s="8">
        <v>5365</v>
      </c>
      <c r="P823" s="8">
        <f t="shared" si="90"/>
        <v>4560.25</v>
      </c>
      <c r="Q823" s="12">
        <f t="shared" si="91"/>
        <v>9576.5249999999996</v>
      </c>
      <c r="R823" s="31">
        <f t="shared" si="92"/>
        <v>9500</v>
      </c>
      <c r="T823" s="8"/>
      <c r="U823" s="14">
        <v>24885</v>
      </c>
      <c r="V823" s="8">
        <f t="shared" si="79"/>
        <v>0</v>
      </c>
      <c r="W823" s="8">
        <f t="shared" si="80"/>
        <v>0</v>
      </c>
      <c r="X823" s="8">
        <f t="shared" si="81"/>
        <v>0</v>
      </c>
    </row>
    <row r="824" spans="1:24" ht="21.95" customHeight="1" x14ac:dyDescent="0.2">
      <c r="A824" s="5" t="s">
        <v>17</v>
      </c>
      <c r="B824" t="s">
        <v>1589</v>
      </c>
      <c r="C824" t="s">
        <v>447</v>
      </c>
      <c r="D824" t="s">
        <v>448</v>
      </c>
      <c r="E824"/>
      <c r="F824"/>
      <c r="G824"/>
      <c r="H824"/>
      <c r="I824" s="10"/>
      <c r="J824" s="10"/>
      <c r="K824" s="7">
        <v>44004990</v>
      </c>
      <c r="L824" s="5" t="str">
        <f t="shared" si="89"/>
        <v>LV PARİS DOLAP CAMLI 100CM</v>
      </c>
      <c r="M824" s="8">
        <v>0.2</v>
      </c>
      <c r="N824" s="8">
        <v>0.15</v>
      </c>
      <c r="O824" s="8">
        <v>18440</v>
      </c>
      <c r="P824" s="8">
        <f t="shared" si="90"/>
        <v>15674</v>
      </c>
      <c r="Q824" s="12">
        <f t="shared" si="91"/>
        <v>32915.4</v>
      </c>
      <c r="R824" s="31">
        <f t="shared" si="92"/>
        <v>32900</v>
      </c>
      <c r="U824" s="8">
        <v>12789</v>
      </c>
      <c r="V824" s="8">
        <f t="shared" si="79"/>
        <v>0</v>
      </c>
      <c r="W824" s="8">
        <f t="shared" si="80"/>
        <v>0</v>
      </c>
      <c r="X824" s="8">
        <f t="shared" si="81"/>
        <v>0</v>
      </c>
    </row>
    <row r="825" spans="1:24" s="21" customFormat="1" ht="21.95" customHeight="1" x14ac:dyDescent="0.2">
      <c r="A825" s="5" t="s">
        <v>17</v>
      </c>
      <c r="B825" t="s">
        <v>1589</v>
      </c>
      <c r="C825" t="s">
        <v>447</v>
      </c>
      <c r="D825" t="s">
        <v>433</v>
      </c>
      <c r="E825"/>
      <c r="F825"/>
      <c r="G825"/>
      <c r="H825"/>
      <c r="I825" s="10"/>
      <c r="J825" s="10"/>
      <c r="K825" s="7">
        <v>44004991</v>
      </c>
      <c r="L825" s="5" t="str">
        <f t="shared" si="89"/>
        <v>LV PARİS RAFLI MODÜL 25CM</v>
      </c>
      <c r="M825" s="8">
        <v>0.2</v>
      </c>
      <c r="N825" s="8">
        <v>0.15</v>
      </c>
      <c r="O825" s="8">
        <v>4200</v>
      </c>
      <c r="P825" s="8">
        <f t="shared" si="90"/>
        <v>3570</v>
      </c>
      <c r="Q825" s="12">
        <f t="shared" si="91"/>
        <v>7497</v>
      </c>
      <c r="R825" s="31">
        <f t="shared" si="92"/>
        <v>7400</v>
      </c>
      <c r="T825" s="23"/>
      <c r="U825" s="23"/>
      <c r="V825" s="23">
        <f t="shared" si="79"/>
        <v>0</v>
      </c>
      <c r="W825" s="23">
        <f t="shared" si="80"/>
        <v>0</v>
      </c>
      <c r="X825" s="23">
        <f t="shared" si="81"/>
        <v>0</v>
      </c>
    </row>
    <row r="826" spans="1:24" ht="21.95" customHeight="1" x14ac:dyDescent="0.2">
      <c r="A826" s="5" t="s">
        <v>17</v>
      </c>
      <c r="B826" t="s">
        <v>1589</v>
      </c>
      <c r="C826" t="s">
        <v>447</v>
      </c>
      <c r="D826" t="s">
        <v>434</v>
      </c>
      <c r="E826"/>
      <c r="F826"/>
      <c r="G826"/>
      <c r="H826"/>
      <c r="I826" s="10"/>
      <c r="J826" s="10"/>
      <c r="K826" s="7">
        <v>44004992</v>
      </c>
      <c r="L826" s="5" t="str">
        <f t="shared" si="89"/>
        <v>LV PARİS DOLAP KÖŞE</v>
      </c>
      <c r="M826" s="8">
        <v>0.2</v>
      </c>
      <c r="N826" s="8">
        <v>0.15</v>
      </c>
      <c r="O826" s="8">
        <v>13880</v>
      </c>
      <c r="P826" s="8">
        <f t="shared" si="90"/>
        <v>11798</v>
      </c>
      <c r="Q826" s="12">
        <f t="shared" si="91"/>
        <v>24775.8</v>
      </c>
      <c r="R826" s="31">
        <f t="shared" si="92"/>
        <v>24700</v>
      </c>
      <c r="U826" s="8">
        <v>2400</v>
      </c>
      <c r="V826" s="8">
        <f t="shared" si="79"/>
        <v>0</v>
      </c>
      <c r="W826" s="8">
        <f t="shared" si="80"/>
        <v>0</v>
      </c>
      <c r="X826" s="8">
        <f t="shared" si="81"/>
        <v>0</v>
      </c>
    </row>
    <row r="827" spans="1:24" ht="21.95" customHeight="1" x14ac:dyDescent="0.2">
      <c r="A827" s="5" t="s">
        <v>17</v>
      </c>
      <c r="B827" t="s">
        <v>1589</v>
      </c>
      <c r="C827" t="s">
        <v>447</v>
      </c>
      <c r="D827" t="s">
        <v>76</v>
      </c>
      <c r="E827"/>
      <c r="F827"/>
      <c r="G827"/>
      <c r="H827"/>
      <c r="I827" s="10"/>
      <c r="J827" s="10"/>
      <c r="K827" s="7">
        <v>44004993</v>
      </c>
      <c r="L827" s="5" t="str">
        <f t="shared" si="89"/>
        <v>LV PARİS KARYOLA BAZALI 180CM</v>
      </c>
      <c r="M827" s="8">
        <v>0.2</v>
      </c>
      <c r="N827" s="8">
        <v>0.15</v>
      </c>
      <c r="O827" s="8">
        <v>20660</v>
      </c>
      <c r="P827" s="8">
        <f t="shared" si="90"/>
        <v>17561</v>
      </c>
      <c r="Q827" s="12">
        <f t="shared" si="91"/>
        <v>36878.1</v>
      </c>
      <c r="R827" s="31">
        <f t="shared" si="92"/>
        <v>36800</v>
      </c>
      <c r="U827" s="8">
        <v>40700</v>
      </c>
      <c r="V827" s="8">
        <f t="shared" si="79"/>
        <v>0</v>
      </c>
      <c r="W827" s="8">
        <f t="shared" si="80"/>
        <v>0</v>
      </c>
      <c r="X827" s="8">
        <f t="shared" si="81"/>
        <v>0</v>
      </c>
    </row>
    <row r="828" spans="1:24" ht="21.95" customHeight="1" x14ac:dyDescent="0.2">
      <c r="A828" s="5" t="s">
        <v>17</v>
      </c>
      <c r="B828" t="s">
        <v>1589</v>
      </c>
      <c r="C828" t="s">
        <v>447</v>
      </c>
      <c r="D828" t="s">
        <v>197</v>
      </c>
      <c r="E828"/>
      <c r="F828"/>
      <c r="G828"/>
      <c r="H828"/>
      <c r="I828" s="10"/>
      <c r="J828" s="10"/>
      <c r="K828" s="7">
        <v>44004994</v>
      </c>
      <c r="L828" s="5" t="str">
        <f t="shared" si="89"/>
        <v>LV PARİS BENCH</v>
      </c>
      <c r="M828" s="8">
        <v>0.2</v>
      </c>
      <c r="N828" s="8">
        <v>0.15</v>
      </c>
      <c r="O828" s="8">
        <v>6250</v>
      </c>
      <c r="P828" s="8">
        <f t="shared" si="90"/>
        <v>5312.5</v>
      </c>
      <c r="Q828" s="12">
        <f t="shared" si="91"/>
        <v>11156.25</v>
      </c>
      <c r="R828" s="31">
        <f t="shared" si="92"/>
        <v>11100</v>
      </c>
      <c r="U828" s="8">
        <v>7600</v>
      </c>
      <c r="V828" s="8">
        <f t="shared" si="79"/>
        <v>0</v>
      </c>
      <c r="W828" s="8">
        <f t="shared" si="80"/>
        <v>0</v>
      </c>
      <c r="X828" s="8">
        <f t="shared" si="81"/>
        <v>0</v>
      </c>
    </row>
    <row r="829" spans="1:24" ht="21.95" customHeight="1" x14ac:dyDescent="0.2">
      <c r="A829" s="5" t="s">
        <v>17</v>
      </c>
      <c r="B829" t="s">
        <v>1589</v>
      </c>
      <c r="C829" t="s">
        <v>447</v>
      </c>
      <c r="D829" t="s">
        <v>126</v>
      </c>
      <c r="E829"/>
      <c r="F829"/>
      <c r="G829"/>
      <c r="H829"/>
      <c r="I829" s="10"/>
      <c r="J829" s="10"/>
      <c r="K829" s="7">
        <v>44004995</v>
      </c>
      <c r="L829" s="5" t="str">
        <f t="shared" si="89"/>
        <v>LV PARİS ÇAMAŞIRLIK</v>
      </c>
      <c r="M829" s="8">
        <v>0.2</v>
      </c>
      <c r="N829" s="8">
        <v>0.15</v>
      </c>
      <c r="O829" s="8">
        <v>12400</v>
      </c>
      <c r="P829" s="8">
        <f t="shared" si="90"/>
        <v>10540</v>
      </c>
      <c r="Q829" s="12">
        <f t="shared" si="91"/>
        <v>22134</v>
      </c>
      <c r="R829" s="31">
        <f t="shared" si="92"/>
        <v>22100</v>
      </c>
      <c r="U829" s="8">
        <v>34700</v>
      </c>
      <c r="V829" s="8">
        <f t="shared" si="79"/>
        <v>0</v>
      </c>
      <c r="W829" s="8">
        <f t="shared" si="80"/>
        <v>0</v>
      </c>
      <c r="X829" s="8">
        <f t="shared" si="81"/>
        <v>0</v>
      </c>
    </row>
    <row r="830" spans="1:24" ht="21.95" customHeight="1" x14ac:dyDescent="0.2">
      <c r="A830" s="5" t="s">
        <v>17</v>
      </c>
      <c r="B830" t="s">
        <v>1589</v>
      </c>
      <c r="C830" t="s">
        <v>447</v>
      </c>
      <c r="D830" t="s">
        <v>425</v>
      </c>
      <c r="E830"/>
      <c r="F830"/>
      <c r="G830"/>
      <c r="H830"/>
      <c r="I830" s="10"/>
      <c r="J830" s="10"/>
      <c r="K830" s="7">
        <v>44004996</v>
      </c>
      <c r="L830" s="5" t="str">
        <f t="shared" si="89"/>
        <v>LV PARİS VALE STAND</v>
      </c>
      <c r="M830" s="8">
        <v>0.2</v>
      </c>
      <c r="N830" s="8">
        <v>0.15</v>
      </c>
      <c r="O830" s="8">
        <v>11600</v>
      </c>
      <c r="P830" s="8">
        <f t="shared" si="90"/>
        <v>9860</v>
      </c>
      <c r="Q830" s="12">
        <f t="shared" si="91"/>
        <v>20706</v>
      </c>
      <c r="R830" s="31">
        <f t="shared" si="92"/>
        <v>20700</v>
      </c>
      <c r="U830" s="8">
        <v>6490</v>
      </c>
      <c r="V830" s="8">
        <f t="shared" ref="V830:V845" si="93">T830*(1-N830)</f>
        <v>0</v>
      </c>
      <c r="W830" s="8">
        <f t="shared" si="80"/>
        <v>0</v>
      </c>
      <c r="X830" s="8">
        <f t="shared" si="81"/>
        <v>0</v>
      </c>
    </row>
    <row r="831" spans="1:24" ht="21.95" customHeight="1" x14ac:dyDescent="0.2">
      <c r="A831" s="5" t="s">
        <v>17</v>
      </c>
      <c r="B831" t="s">
        <v>1589</v>
      </c>
      <c r="C831" t="s">
        <v>447</v>
      </c>
      <c r="D831" t="s">
        <v>426</v>
      </c>
      <c r="E831"/>
      <c r="F831"/>
      <c r="G831"/>
      <c r="H831"/>
      <c r="I831" s="10"/>
      <c r="J831" s="10"/>
      <c r="K831" s="7">
        <v>44004997</v>
      </c>
      <c r="L831" s="5" t="str">
        <f t="shared" si="89"/>
        <v>LV PARİS ŞİFONYERLİ MODÜL</v>
      </c>
      <c r="M831" s="8">
        <v>0.2</v>
      </c>
      <c r="N831" s="8">
        <v>0.15</v>
      </c>
      <c r="O831" s="8">
        <v>13155</v>
      </c>
      <c r="P831" s="8">
        <f t="shared" si="90"/>
        <v>11181.75</v>
      </c>
      <c r="Q831" s="12">
        <f t="shared" si="91"/>
        <v>23481.674999999999</v>
      </c>
      <c r="R831" s="31">
        <f t="shared" si="92"/>
        <v>23400</v>
      </c>
      <c r="U831" s="8">
        <v>39100</v>
      </c>
      <c r="V831" s="8">
        <f t="shared" si="93"/>
        <v>0</v>
      </c>
      <c r="W831" s="8">
        <f t="shared" ref="W831:W845" si="94">V831*2.5</f>
        <v>0</v>
      </c>
      <c r="X831" s="8">
        <f t="shared" ref="X831:X845" si="95">ROUNDDOWN(W831,-2)</f>
        <v>0</v>
      </c>
    </row>
    <row r="832" spans="1:24" ht="21.95" customHeight="1" x14ac:dyDescent="0.2">
      <c r="A832" s="5" t="s">
        <v>17</v>
      </c>
      <c r="B832" t="s">
        <v>1589</v>
      </c>
      <c r="C832" t="s">
        <v>447</v>
      </c>
      <c r="D832" t="s">
        <v>427</v>
      </c>
      <c r="E832"/>
      <c r="F832"/>
      <c r="G832"/>
      <c r="H832"/>
      <c r="I832" s="10"/>
      <c r="J832" s="10"/>
      <c r="K832" s="7">
        <v>44004998</v>
      </c>
      <c r="L832" s="5" t="str">
        <f t="shared" si="89"/>
        <v>LV PARİS ŞİFONYER ADA</v>
      </c>
      <c r="M832" s="8">
        <v>0.2</v>
      </c>
      <c r="N832" s="8">
        <v>0.15</v>
      </c>
      <c r="O832" s="8">
        <v>18600</v>
      </c>
      <c r="P832" s="8">
        <f t="shared" si="90"/>
        <v>15810</v>
      </c>
      <c r="Q832" s="12">
        <f t="shared" si="91"/>
        <v>33201</v>
      </c>
      <c r="R832" s="31">
        <f t="shared" si="92"/>
        <v>33200</v>
      </c>
      <c r="U832" s="8">
        <v>14240</v>
      </c>
      <c r="V832" s="8">
        <f t="shared" si="93"/>
        <v>0</v>
      </c>
      <c r="W832" s="8">
        <f t="shared" si="94"/>
        <v>0</v>
      </c>
      <c r="X832" s="8">
        <f t="shared" si="95"/>
        <v>0</v>
      </c>
    </row>
    <row r="833" spans="1:24" ht="21.95" customHeight="1" x14ac:dyDescent="0.2">
      <c r="A833" s="5" t="s">
        <v>17</v>
      </c>
      <c r="B833" t="s">
        <v>1589</v>
      </c>
      <c r="C833" t="s">
        <v>447</v>
      </c>
      <c r="D833" t="s">
        <v>428</v>
      </c>
      <c r="E833"/>
      <c r="F833"/>
      <c r="G833"/>
      <c r="H833"/>
      <c r="I833" s="10"/>
      <c r="J833" s="10"/>
      <c r="K833" s="7">
        <v>44004999</v>
      </c>
      <c r="L833" s="5" t="str">
        <f t="shared" si="89"/>
        <v>LV PARİS MİNİ BERJER</v>
      </c>
      <c r="M833" s="8">
        <v>0.2</v>
      </c>
      <c r="N833" s="8">
        <v>0.15</v>
      </c>
      <c r="O833" s="8">
        <v>2560</v>
      </c>
      <c r="P833" s="8">
        <f t="shared" si="90"/>
        <v>2176</v>
      </c>
      <c r="Q833" s="12">
        <f t="shared" si="91"/>
        <v>4569.6000000000004</v>
      </c>
      <c r="R833" s="31">
        <f t="shared" si="92"/>
        <v>4500</v>
      </c>
      <c r="U833" s="8">
        <v>16220</v>
      </c>
      <c r="V833" s="8">
        <f t="shared" si="93"/>
        <v>0</v>
      </c>
      <c r="W833" s="8">
        <f t="shared" si="94"/>
        <v>0</v>
      </c>
      <c r="X833" s="8">
        <f t="shared" si="95"/>
        <v>0</v>
      </c>
    </row>
    <row r="834" spans="1:24" ht="21.95" customHeight="1" x14ac:dyDescent="0.2">
      <c r="A834" s="5" t="s">
        <v>17</v>
      </c>
      <c r="B834" t="s">
        <v>1595</v>
      </c>
      <c r="C834" t="s">
        <v>449</v>
      </c>
      <c r="D834" t="s">
        <v>450</v>
      </c>
      <c r="E834"/>
      <c r="F834">
        <v>1.73</v>
      </c>
      <c r="G834">
        <v>245</v>
      </c>
      <c r="H834">
        <v>95</v>
      </c>
      <c r="I834" s="10">
        <v>80</v>
      </c>
      <c r="J834" s="10"/>
      <c r="K834" s="7">
        <v>44005000</v>
      </c>
      <c r="L834" s="5" t="str">
        <f t="shared" si="89"/>
        <v>WX  BONN KANEPE 4 LÜ SIRT ATLATMALI</v>
      </c>
      <c r="M834" s="8">
        <v>0.15</v>
      </c>
      <c r="N834" s="8">
        <v>0.1</v>
      </c>
      <c r="O834" s="8">
        <v>22500</v>
      </c>
      <c r="P834" s="8">
        <f t="shared" si="90"/>
        <v>20250</v>
      </c>
      <c r="Q834" s="12">
        <f t="shared" si="91"/>
        <v>42525</v>
      </c>
      <c r="R834" s="31">
        <f t="shared" si="92"/>
        <v>42500</v>
      </c>
      <c r="U834" s="8">
        <v>6540</v>
      </c>
      <c r="V834" s="8">
        <f t="shared" si="93"/>
        <v>0</v>
      </c>
      <c r="W834" s="8">
        <f t="shared" si="94"/>
        <v>0</v>
      </c>
      <c r="X834" s="8">
        <f t="shared" si="95"/>
        <v>0</v>
      </c>
    </row>
    <row r="835" spans="1:24" ht="21.95" customHeight="1" x14ac:dyDescent="0.2">
      <c r="A835" s="5" t="s">
        <v>17</v>
      </c>
      <c r="B835" t="s">
        <v>1595</v>
      </c>
      <c r="C835" t="s">
        <v>449</v>
      </c>
      <c r="D835" t="s">
        <v>451</v>
      </c>
      <c r="E835"/>
      <c r="F835">
        <v>0.5</v>
      </c>
      <c r="G835">
        <v>75</v>
      </c>
      <c r="H835">
        <v>90</v>
      </c>
      <c r="I835" s="10">
        <v>95</v>
      </c>
      <c r="J835" s="10"/>
      <c r="K835" s="7">
        <v>44005001</v>
      </c>
      <c r="L835" s="5" t="str">
        <f t="shared" si="89"/>
        <v>WX  BONN KANEPE 3 LÜ SIRT ATLATMALI</v>
      </c>
      <c r="M835" s="8">
        <v>0.15</v>
      </c>
      <c r="N835" s="8">
        <v>0.1</v>
      </c>
      <c r="O835" s="8">
        <v>20000</v>
      </c>
      <c r="P835" s="8">
        <f t="shared" si="90"/>
        <v>18000</v>
      </c>
      <c r="Q835" s="12">
        <f t="shared" si="91"/>
        <v>37800</v>
      </c>
      <c r="R835" s="31">
        <f t="shared" si="92"/>
        <v>37800</v>
      </c>
      <c r="U835" s="8">
        <v>49400</v>
      </c>
      <c r="V835" s="8">
        <f t="shared" si="93"/>
        <v>0</v>
      </c>
      <c r="W835" s="8">
        <f t="shared" si="94"/>
        <v>0</v>
      </c>
      <c r="X835" s="8">
        <f t="shared" si="95"/>
        <v>0</v>
      </c>
    </row>
    <row r="836" spans="1:24" ht="21.95" customHeight="1" x14ac:dyDescent="0.2">
      <c r="A836" s="5" t="s">
        <v>17</v>
      </c>
      <c r="B836" t="s">
        <v>1595</v>
      </c>
      <c r="C836" t="s">
        <v>449</v>
      </c>
      <c r="D836" t="s">
        <v>33</v>
      </c>
      <c r="E836"/>
      <c r="F836"/>
      <c r="G836"/>
      <c r="H836"/>
      <c r="I836" s="10"/>
      <c r="J836" s="10"/>
      <c r="K836" s="7">
        <v>44005002</v>
      </c>
      <c r="L836" s="5" t="str">
        <f t="shared" si="89"/>
        <v>WX  BONN BERJER</v>
      </c>
      <c r="M836" s="8">
        <v>0.15</v>
      </c>
      <c r="N836" s="8">
        <v>0.1</v>
      </c>
      <c r="O836" s="8">
        <v>7500</v>
      </c>
      <c r="P836" s="8">
        <f t="shared" si="90"/>
        <v>6750</v>
      </c>
      <c r="Q836" s="12">
        <f t="shared" si="91"/>
        <v>14175</v>
      </c>
      <c r="R836" s="31">
        <f t="shared" si="92"/>
        <v>14100</v>
      </c>
      <c r="U836" s="8">
        <v>6640</v>
      </c>
      <c r="V836" s="8">
        <f t="shared" si="93"/>
        <v>0</v>
      </c>
      <c r="W836" s="8">
        <f t="shared" si="94"/>
        <v>0</v>
      </c>
      <c r="X836" s="8">
        <f t="shared" si="95"/>
        <v>0</v>
      </c>
    </row>
    <row r="837" spans="1:24" ht="21.95" customHeight="1" x14ac:dyDescent="0.2">
      <c r="A837" s="5" t="s">
        <v>17</v>
      </c>
      <c r="B837" t="s">
        <v>1595</v>
      </c>
      <c r="C837" t="s">
        <v>449</v>
      </c>
      <c r="D837" t="s">
        <v>452</v>
      </c>
      <c r="E837"/>
      <c r="F837">
        <v>1.5</v>
      </c>
      <c r="G837">
        <v>230</v>
      </c>
      <c r="H837">
        <v>100</v>
      </c>
      <c r="I837" s="10">
        <v>65</v>
      </c>
      <c r="J837" s="10"/>
      <c r="K837" s="7">
        <v>44005003</v>
      </c>
      <c r="L837" s="5" t="str">
        <f t="shared" si="89"/>
        <v>WX  BONN LOVE SEAT</v>
      </c>
      <c r="M837" s="8">
        <v>0.15</v>
      </c>
      <c r="N837" s="8">
        <v>0.1</v>
      </c>
      <c r="O837" s="8">
        <v>10000</v>
      </c>
      <c r="P837" s="8">
        <f t="shared" si="90"/>
        <v>9000</v>
      </c>
      <c r="Q837" s="12">
        <f t="shared" si="91"/>
        <v>18900</v>
      </c>
      <c r="R837" s="31">
        <f t="shared" si="92"/>
        <v>18900</v>
      </c>
      <c r="U837" s="8">
        <v>38400</v>
      </c>
      <c r="V837" s="8">
        <f t="shared" si="93"/>
        <v>0</v>
      </c>
      <c r="W837" s="8">
        <f t="shared" si="94"/>
        <v>0</v>
      </c>
      <c r="X837" s="8">
        <f t="shared" si="95"/>
        <v>0</v>
      </c>
    </row>
    <row r="838" spans="1:24" ht="21.95" customHeight="1" x14ac:dyDescent="0.2">
      <c r="A838" s="5" t="s">
        <v>17</v>
      </c>
      <c r="B838" t="s">
        <v>1595</v>
      </c>
      <c r="C838" t="s">
        <v>449</v>
      </c>
      <c r="D838" t="s">
        <v>453</v>
      </c>
      <c r="E838"/>
      <c r="F838"/>
      <c r="G838"/>
      <c r="H838"/>
      <c r="I838" s="10"/>
      <c r="J838" s="10"/>
      <c r="K838" s="7">
        <v>44005004</v>
      </c>
      <c r="L838" s="5" t="str">
        <f t="shared" si="89"/>
        <v>WX  BONN SEHPA</v>
      </c>
      <c r="M838" s="8">
        <v>0.15</v>
      </c>
      <c r="N838" s="8">
        <v>0.1</v>
      </c>
      <c r="O838" s="8">
        <v>2500</v>
      </c>
      <c r="P838" s="8">
        <f t="shared" si="90"/>
        <v>2250</v>
      </c>
      <c r="Q838" s="12">
        <f t="shared" si="91"/>
        <v>4725</v>
      </c>
      <c r="R838" s="31">
        <f t="shared" si="92"/>
        <v>4700</v>
      </c>
      <c r="U838" s="8">
        <v>6690</v>
      </c>
      <c r="V838" s="8">
        <f t="shared" si="93"/>
        <v>0</v>
      </c>
      <c r="W838" s="8">
        <f t="shared" si="94"/>
        <v>0</v>
      </c>
      <c r="X838" s="8">
        <f t="shared" si="95"/>
        <v>0</v>
      </c>
    </row>
    <row r="839" spans="1:24" ht="21.95" customHeight="1" x14ac:dyDescent="0.2">
      <c r="A839" s="5" t="s">
        <v>17</v>
      </c>
      <c r="B839" t="s">
        <v>1595</v>
      </c>
      <c r="C839" t="s">
        <v>449</v>
      </c>
      <c r="D839" t="s">
        <v>454</v>
      </c>
      <c r="E839"/>
      <c r="F839">
        <v>1.2</v>
      </c>
      <c r="G839">
        <v>180</v>
      </c>
      <c r="H839">
        <v>100</v>
      </c>
      <c r="I839" s="10">
        <v>65</v>
      </c>
      <c r="J839" s="10"/>
      <c r="K839" s="7">
        <v>44005005</v>
      </c>
      <c r="L839" s="5" t="str">
        <f t="shared" si="89"/>
        <v>WX  BONN MODÜL KOLLU</v>
      </c>
      <c r="M839" s="8">
        <v>0.15</v>
      </c>
      <c r="N839" s="8">
        <v>0.1</v>
      </c>
      <c r="O839" s="8">
        <v>10000</v>
      </c>
      <c r="P839" s="8">
        <f t="shared" si="90"/>
        <v>9000</v>
      </c>
      <c r="Q839" s="12">
        <f t="shared" si="91"/>
        <v>18900</v>
      </c>
      <c r="R839" s="31">
        <f t="shared" si="92"/>
        <v>18900</v>
      </c>
      <c r="U839" s="8">
        <v>40600</v>
      </c>
      <c r="V839" s="8">
        <f t="shared" si="93"/>
        <v>0</v>
      </c>
      <c r="W839" s="8">
        <f t="shared" si="94"/>
        <v>0</v>
      </c>
      <c r="X839" s="8">
        <f t="shared" si="95"/>
        <v>0</v>
      </c>
    </row>
    <row r="840" spans="1:24" ht="21.95" customHeight="1" x14ac:dyDescent="0.2">
      <c r="A840" s="5" t="s">
        <v>17</v>
      </c>
      <c r="B840" t="s">
        <v>1595</v>
      </c>
      <c r="C840" t="s">
        <v>449</v>
      </c>
      <c r="D840" t="s">
        <v>455</v>
      </c>
      <c r="E840"/>
      <c r="F840">
        <v>0.26</v>
      </c>
      <c r="G840">
        <v>95</v>
      </c>
      <c r="H840">
        <v>100</v>
      </c>
      <c r="I840" s="10">
        <v>65</v>
      </c>
      <c r="J840" s="10"/>
      <c r="K840" s="7">
        <v>44005006</v>
      </c>
      <c r="L840" s="5" t="str">
        <f t="shared" si="89"/>
        <v>WX  BONN MODÜL KOLSUZ</v>
      </c>
      <c r="M840" s="8">
        <v>0.15</v>
      </c>
      <c r="N840" s="8">
        <v>0.1</v>
      </c>
      <c r="O840" s="8">
        <v>9000</v>
      </c>
      <c r="P840" s="8">
        <f t="shared" si="90"/>
        <v>8100</v>
      </c>
      <c r="Q840" s="12">
        <f t="shared" si="91"/>
        <v>17010</v>
      </c>
      <c r="R840" s="31">
        <f t="shared" si="92"/>
        <v>17000</v>
      </c>
      <c r="U840" s="8">
        <v>12700</v>
      </c>
      <c r="V840" s="8">
        <f t="shared" si="93"/>
        <v>0</v>
      </c>
      <c r="W840" s="8">
        <f t="shared" si="94"/>
        <v>0</v>
      </c>
      <c r="X840" s="8">
        <f t="shared" si="95"/>
        <v>0</v>
      </c>
    </row>
    <row r="841" spans="1:24" ht="21.95" customHeight="1" x14ac:dyDescent="0.2">
      <c r="A841" s="5" t="s">
        <v>17</v>
      </c>
      <c r="B841" t="s">
        <v>1595</v>
      </c>
      <c r="C841" t="s">
        <v>456</v>
      </c>
      <c r="D841" t="s">
        <v>457</v>
      </c>
      <c r="E841"/>
      <c r="F841">
        <v>1.52</v>
      </c>
      <c r="G841">
        <v>235</v>
      </c>
      <c r="H841">
        <v>99</v>
      </c>
      <c r="I841" s="10">
        <v>90</v>
      </c>
      <c r="J841" s="10"/>
      <c r="K841" s="7">
        <v>44005007</v>
      </c>
      <c r="L841" s="5" t="str">
        <f t="shared" si="89"/>
        <v>WX  SOLO KANEPE SIRT ATLATMALI</v>
      </c>
      <c r="M841" s="8">
        <v>0.15</v>
      </c>
      <c r="N841" s="8">
        <v>0.1</v>
      </c>
      <c r="O841" s="8">
        <v>22000</v>
      </c>
      <c r="P841" s="8">
        <f t="shared" si="90"/>
        <v>19800</v>
      </c>
      <c r="Q841" s="12">
        <f t="shared" si="91"/>
        <v>41580</v>
      </c>
      <c r="R841" s="31">
        <f t="shared" si="92"/>
        <v>41500</v>
      </c>
      <c r="U841" s="8">
        <v>49820</v>
      </c>
      <c r="V841" s="8">
        <f t="shared" si="93"/>
        <v>0</v>
      </c>
      <c r="W841" s="8">
        <f t="shared" si="94"/>
        <v>0</v>
      </c>
      <c r="X841" s="8">
        <f t="shared" si="95"/>
        <v>0</v>
      </c>
    </row>
    <row r="842" spans="1:24" ht="21.95" customHeight="1" x14ac:dyDescent="0.2">
      <c r="A842" s="5" t="s">
        <v>17</v>
      </c>
      <c r="B842" t="s">
        <v>1595</v>
      </c>
      <c r="C842" t="s">
        <v>456</v>
      </c>
      <c r="D842" t="s">
        <v>458</v>
      </c>
      <c r="E842"/>
      <c r="F842">
        <v>1.82</v>
      </c>
      <c r="G842">
        <v>280</v>
      </c>
      <c r="H842">
        <v>99</v>
      </c>
      <c r="I842" s="10">
        <v>80</v>
      </c>
      <c r="J842" s="10"/>
      <c r="K842" s="7">
        <v>44005008</v>
      </c>
      <c r="L842" s="5" t="str">
        <f t="shared" si="89"/>
        <v>WX  SOLO KANEPE 4 OTURUMLU SIRT ATLATMALI</v>
      </c>
      <c r="M842" s="8">
        <v>0.15</v>
      </c>
      <c r="N842" s="8">
        <v>0.1</v>
      </c>
      <c r="O842" s="8">
        <v>24000</v>
      </c>
      <c r="P842" s="8">
        <f t="shared" si="90"/>
        <v>21600</v>
      </c>
      <c r="Q842" s="12">
        <f t="shared" si="91"/>
        <v>45360</v>
      </c>
      <c r="R842" s="31">
        <f t="shared" si="92"/>
        <v>45300</v>
      </c>
      <c r="U842" s="8">
        <v>47480</v>
      </c>
      <c r="V842" s="8">
        <f t="shared" si="93"/>
        <v>0</v>
      </c>
      <c r="W842" s="8">
        <f t="shared" si="94"/>
        <v>0</v>
      </c>
      <c r="X842" s="8">
        <f t="shared" si="95"/>
        <v>0</v>
      </c>
    </row>
    <row r="843" spans="1:24" ht="21.95" customHeight="1" x14ac:dyDescent="0.2">
      <c r="A843" s="5" t="s">
        <v>17</v>
      </c>
      <c r="B843" t="s">
        <v>1595</v>
      </c>
      <c r="C843" t="s">
        <v>456</v>
      </c>
      <c r="D843" t="s">
        <v>33</v>
      </c>
      <c r="E843"/>
      <c r="F843">
        <v>0.64</v>
      </c>
      <c r="G843">
        <v>100</v>
      </c>
      <c r="H843">
        <v>80</v>
      </c>
      <c r="I843" s="10">
        <v>80</v>
      </c>
      <c r="J843" s="10"/>
      <c r="K843" s="7">
        <v>44005009</v>
      </c>
      <c r="L843" s="5" t="str">
        <f t="shared" si="89"/>
        <v>WX  SOLO BERJER</v>
      </c>
      <c r="M843" s="8">
        <v>0.15</v>
      </c>
      <c r="N843" s="8">
        <v>0.1</v>
      </c>
      <c r="O843" s="8">
        <v>9000</v>
      </c>
      <c r="P843" s="8">
        <f t="shared" si="90"/>
        <v>8100</v>
      </c>
      <c r="Q843" s="12">
        <f t="shared" si="91"/>
        <v>17010</v>
      </c>
      <c r="R843" s="31">
        <f t="shared" si="92"/>
        <v>17000</v>
      </c>
      <c r="U843" s="8">
        <v>7560</v>
      </c>
      <c r="V843" s="8">
        <f t="shared" si="93"/>
        <v>0</v>
      </c>
      <c r="W843" s="8">
        <f t="shared" si="94"/>
        <v>0</v>
      </c>
      <c r="X843" s="8">
        <f t="shared" si="95"/>
        <v>0</v>
      </c>
    </row>
    <row r="844" spans="1:24" ht="21.95" customHeight="1" x14ac:dyDescent="0.2">
      <c r="A844" s="5" t="s">
        <v>17</v>
      </c>
      <c r="B844" t="s">
        <v>1595</v>
      </c>
      <c r="C844" t="s">
        <v>456</v>
      </c>
      <c r="D844" t="s">
        <v>459</v>
      </c>
      <c r="E844"/>
      <c r="F844">
        <v>1.1000000000000001</v>
      </c>
      <c r="G844">
        <v>120</v>
      </c>
      <c r="H844">
        <v>120</v>
      </c>
      <c r="I844" s="10">
        <v>75</v>
      </c>
      <c r="J844" s="10"/>
      <c r="K844" s="7">
        <v>44005010</v>
      </c>
      <c r="L844" s="5" t="str">
        <f t="shared" si="89"/>
        <v>WX  SOLO KÖŞE MODÜL KÜÇÜK</v>
      </c>
      <c r="M844" s="8">
        <v>0.15</v>
      </c>
      <c r="N844" s="8">
        <v>0.1</v>
      </c>
      <c r="O844" s="8">
        <v>11000</v>
      </c>
      <c r="P844" s="8">
        <f t="shared" si="90"/>
        <v>9900</v>
      </c>
      <c r="Q844" s="12">
        <f t="shared" si="91"/>
        <v>20790</v>
      </c>
      <c r="R844" s="31">
        <f t="shared" si="92"/>
        <v>20700</v>
      </c>
      <c r="U844" s="8">
        <v>7160</v>
      </c>
      <c r="V844" s="8">
        <f t="shared" si="93"/>
        <v>0</v>
      </c>
      <c r="W844" s="8">
        <f t="shared" si="94"/>
        <v>0</v>
      </c>
      <c r="X844" s="8">
        <f t="shared" si="95"/>
        <v>0</v>
      </c>
    </row>
    <row r="845" spans="1:24" ht="21.95" customHeight="1" x14ac:dyDescent="0.2">
      <c r="A845" s="5" t="s">
        <v>17</v>
      </c>
      <c r="B845" t="s">
        <v>1595</v>
      </c>
      <c r="C845" t="s">
        <v>456</v>
      </c>
      <c r="D845" t="s">
        <v>460</v>
      </c>
      <c r="E845"/>
      <c r="F845"/>
      <c r="G845">
        <v>120</v>
      </c>
      <c r="H845">
        <v>160</v>
      </c>
      <c r="I845" s="10">
        <v>75</v>
      </c>
      <c r="J845" s="10"/>
      <c r="K845" s="7">
        <v>44005011</v>
      </c>
      <c r="L845" s="5" t="str">
        <f t="shared" si="89"/>
        <v>WX  SOLO RELAX ODÜL</v>
      </c>
      <c r="M845" s="8">
        <v>0.15</v>
      </c>
      <c r="N845" s="8">
        <v>0.1</v>
      </c>
      <c r="O845" s="8">
        <v>16000</v>
      </c>
      <c r="P845" s="8">
        <f t="shared" si="90"/>
        <v>14400</v>
      </c>
      <c r="Q845" s="12">
        <f t="shared" si="91"/>
        <v>30240</v>
      </c>
      <c r="R845" s="31">
        <f t="shared" si="92"/>
        <v>30200</v>
      </c>
      <c r="U845" s="8">
        <v>4780</v>
      </c>
      <c r="V845" s="8">
        <f t="shared" si="93"/>
        <v>0</v>
      </c>
      <c r="W845" s="8">
        <f t="shared" si="94"/>
        <v>0</v>
      </c>
      <c r="X845" s="8">
        <f t="shared" si="95"/>
        <v>0</v>
      </c>
    </row>
    <row r="846" spans="1:24" ht="21.95" customHeight="1" x14ac:dyDescent="0.2">
      <c r="A846" s="5" t="s">
        <v>17</v>
      </c>
      <c r="B846" t="s">
        <v>1595</v>
      </c>
      <c r="C846" t="s">
        <v>456</v>
      </c>
      <c r="D846" t="s">
        <v>461</v>
      </c>
      <c r="E846"/>
      <c r="F846"/>
      <c r="G846"/>
      <c r="H846"/>
      <c r="I846" s="10"/>
      <c r="J846" s="10"/>
      <c r="K846" s="7">
        <v>44005012</v>
      </c>
      <c r="L846" s="5" t="str">
        <f t="shared" si="89"/>
        <v>WX  SOLO PUF BÜYÜK</v>
      </c>
      <c r="M846" s="8">
        <v>0.15</v>
      </c>
      <c r="N846" s="8">
        <v>0.1</v>
      </c>
      <c r="O846" s="8">
        <v>4500</v>
      </c>
      <c r="P846" s="8">
        <f t="shared" si="90"/>
        <v>4050</v>
      </c>
      <c r="Q846" s="12">
        <f t="shared" si="91"/>
        <v>8505</v>
      </c>
      <c r="R846" s="31">
        <f t="shared" si="92"/>
        <v>8500</v>
      </c>
      <c r="U846" s="8">
        <v>41660</v>
      </c>
      <c r="X846" s="8"/>
    </row>
    <row r="847" spans="1:24" ht="21.95" customHeight="1" x14ac:dyDescent="0.2">
      <c r="A847" s="5" t="s">
        <v>17</v>
      </c>
      <c r="B847" t="s">
        <v>1595</v>
      </c>
      <c r="C847" t="s">
        <v>456</v>
      </c>
      <c r="D847" t="s">
        <v>462</v>
      </c>
      <c r="E847"/>
      <c r="F847"/>
      <c r="G847"/>
      <c r="H847"/>
      <c r="I847" s="10"/>
      <c r="J847" s="10"/>
      <c r="K847" s="7">
        <v>44005013</v>
      </c>
      <c r="L847" s="5" t="str">
        <f t="shared" si="89"/>
        <v>WX  SOLO PUF KÜÇÜK</v>
      </c>
      <c r="M847" s="8">
        <v>0.15</v>
      </c>
      <c r="N847" s="8">
        <v>0.1</v>
      </c>
      <c r="O847" s="8">
        <v>2000</v>
      </c>
      <c r="P847" s="8">
        <f t="shared" si="90"/>
        <v>1800</v>
      </c>
      <c r="Q847" s="12">
        <f t="shared" si="91"/>
        <v>3780</v>
      </c>
      <c r="R847" s="31">
        <f t="shared" si="92"/>
        <v>3700</v>
      </c>
      <c r="U847" s="8">
        <v>52000</v>
      </c>
      <c r="X847" s="8"/>
    </row>
    <row r="848" spans="1:24" ht="21.95" customHeight="1" x14ac:dyDescent="0.2">
      <c r="A848" s="5" t="s">
        <v>17</v>
      </c>
      <c r="B848" t="s">
        <v>1595</v>
      </c>
      <c r="C848" t="s">
        <v>456</v>
      </c>
      <c r="D848" t="s">
        <v>463</v>
      </c>
      <c r="E848"/>
      <c r="F848">
        <v>0.9</v>
      </c>
      <c r="G848">
        <v>120</v>
      </c>
      <c r="H848">
        <v>100</v>
      </c>
      <c r="I848" s="10">
        <v>75</v>
      </c>
      <c r="J848" s="10"/>
      <c r="K848" s="7">
        <v>44005014</v>
      </c>
      <c r="L848" s="5" t="str">
        <f t="shared" si="89"/>
        <v>WX  SOLO MODÜL TEKli KOLLU</v>
      </c>
      <c r="M848" s="8">
        <v>0.15</v>
      </c>
      <c r="N848" s="8">
        <v>0.1</v>
      </c>
      <c r="O848" s="8">
        <v>11000</v>
      </c>
      <c r="P848" s="8">
        <f t="shared" si="90"/>
        <v>9900</v>
      </c>
      <c r="Q848" s="12">
        <f t="shared" si="91"/>
        <v>20790</v>
      </c>
      <c r="R848" s="31">
        <f t="shared" si="92"/>
        <v>20700</v>
      </c>
      <c r="U848" s="8">
        <v>7790</v>
      </c>
      <c r="X848" s="8"/>
    </row>
    <row r="849" spans="1:24" ht="21.95" customHeight="1" x14ac:dyDescent="0.2">
      <c r="A849" s="5" t="s">
        <v>17</v>
      </c>
      <c r="B849" t="s">
        <v>1595</v>
      </c>
      <c r="C849" t="s">
        <v>456</v>
      </c>
      <c r="D849" t="s">
        <v>464</v>
      </c>
      <c r="E849"/>
      <c r="F849">
        <v>0.6</v>
      </c>
      <c r="G849">
        <v>80</v>
      </c>
      <c r="H849">
        <v>100</v>
      </c>
      <c r="I849" s="10">
        <v>75</v>
      </c>
      <c r="J849" s="10"/>
      <c r="K849" s="7">
        <v>44005015</v>
      </c>
      <c r="L849" s="5" t="str">
        <f t="shared" si="89"/>
        <v>WX  SOLO KOLSUZ PİYON</v>
      </c>
      <c r="M849" s="8">
        <v>0.15</v>
      </c>
      <c r="N849" s="8">
        <v>0.1</v>
      </c>
      <c r="O849" s="8">
        <v>9000</v>
      </c>
      <c r="P849" s="8">
        <f t="shared" si="90"/>
        <v>8100</v>
      </c>
      <c r="Q849" s="12">
        <f t="shared" si="91"/>
        <v>17010</v>
      </c>
      <c r="R849" s="31">
        <f t="shared" si="92"/>
        <v>17000</v>
      </c>
      <c r="U849" s="8">
        <v>39200</v>
      </c>
      <c r="X849" s="8"/>
    </row>
    <row r="850" spans="1:24" ht="21.95" customHeight="1" x14ac:dyDescent="0.2">
      <c r="A850" s="5" t="s">
        <v>17</v>
      </c>
      <c r="B850" t="s">
        <v>1595</v>
      </c>
      <c r="C850" t="s">
        <v>456</v>
      </c>
      <c r="D850" t="s">
        <v>465</v>
      </c>
      <c r="E850"/>
      <c r="F850">
        <v>0.2</v>
      </c>
      <c r="G850">
        <v>42</v>
      </c>
      <c r="H850">
        <v>100</v>
      </c>
      <c r="I850" s="10">
        <v>45</v>
      </c>
      <c r="J850" s="10"/>
      <c r="K850" s="7">
        <v>44005016</v>
      </c>
      <c r="L850" s="5" t="str">
        <f t="shared" si="89"/>
        <v>WX  SOLO ARA MODÜL TEPSİLİ</v>
      </c>
      <c r="M850" s="8">
        <v>0.15</v>
      </c>
      <c r="N850" s="8">
        <v>0.1</v>
      </c>
      <c r="O850" s="8">
        <v>2000</v>
      </c>
      <c r="P850" s="8">
        <f t="shared" si="90"/>
        <v>1800</v>
      </c>
      <c r="Q850" s="12">
        <f t="shared" si="91"/>
        <v>3780</v>
      </c>
      <c r="R850" s="31">
        <f t="shared" si="92"/>
        <v>3700</v>
      </c>
      <c r="U850" s="8">
        <v>10400</v>
      </c>
      <c r="X850" s="8"/>
    </row>
    <row r="851" spans="1:24" ht="21.95" customHeight="1" x14ac:dyDescent="0.2">
      <c r="A851" s="5" t="s">
        <v>17</v>
      </c>
      <c r="B851" t="s">
        <v>1595</v>
      </c>
      <c r="C851" t="s">
        <v>466</v>
      </c>
      <c r="D851" t="s">
        <v>412</v>
      </c>
      <c r="E851"/>
      <c r="F851">
        <v>2.04</v>
      </c>
      <c r="G851">
        <v>240</v>
      </c>
      <c r="H851">
        <v>100</v>
      </c>
      <c r="I851" s="10">
        <v>85</v>
      </c>
      <c r="J851" s="10"/>
      <c r="K851" s="7">
        <v>44005017</v>
      </c>
      <c r="L851" s="5" t="str">
        <f t="shared" si="89"/>
        <v>WX  MONA KANEPE 3 LÜ</v>
      </c>
      <c r="M851" s="8">
        <v>0.15</v>
      </c>
      <c r="N851" s="8">
        <v>0.1</v>
      </c>
      <c r="O851" s="8">
        <v>21000</v>
      </c>
      <c r="P851" s="8">
        <f t="shared" si="90"/>
        <v>18900</v>
      </c>
      <c r="Q851" s="12">
        <f t="shared" si="91"/>
        <v>39690</v>
      </c>
      <c r="R851" s="31">
        <f t="shared" si="92"/>
        <v>39600</v>
      </c>
      <c r="U851" s="8">
        <v>10800</v>
      </c>
      <c r="X851" s="8"/>
    </row>
    <row r="852" spans="1:24" ht="21.95" customHeight="1" x14ac:dyDescent="0.2">
      <c r="A852" s="5" t="s">
        <v>17</v>
      </c>
      <c r="B852" t="s">
        <v>1595</v>
      </c>
      <c r="C852" t="s">
        <v>466</v>
      </c>
      <c r="D852" t="s">
        <v>467</v>
      </c>
      <c r="E852"/>
      <c r="F852">
        <v>2.04</v>
      </c>
      <c r="G852">
        <v>240</v>
      </c>
      <c r="H852">
        <v>100</v>
      </c>
      <c r="I852" s="10">
        <v>85</v>
      </c>
      <c r="J852" s="10"/>
      <c r="K852" s="7">
        <v>44005018</v>
      </c>
      <c r="L852" s="5" t="str">
        <f t="shared" si="89"/>
        <v>WX  MONA KANEPE 3 LÜ MEKANİZMALI</v>
      </c>
      <c r="M852" s="8">
        <v>0.15</v>
      </c>
      <c r="N852" s="8">
        <v>0.1</v>
      </c>
      <c r="O852" s="8">
        <v>25000</v>
      </c>
      <c r="P852" s="8">
        <f t="shared" si="90"/>
        <v>22500</v>
      </c>
      <c r="Q852" s="12">
        <f t="shared" si="91"/>
        <v>47250</v>
      </c>
      <c r="R852" s="31">
        <f t="shared" si="92"/>
        <v>47200</v>
      </c>
      <c r="U852" s="8">
        <v>5660</v>
      </c>
      <c r="X852" s="8"/>
    </row>
    <row r="853" spans="1:24" ht="21.95" customHeight="1" x14ac:dyDescent="0.2">
      <c r="A853" s="5" t="s">
        <v>17</v>
      </c>
      <c r="B853" t="s">
        <v>1595</v>
      </c>
      <c r="C853" t="s">
        <v>466</v>
      </c>
      <c r="D853" t="s">
        <v>33</v>
      </c>
      <c r="E853"/>
      <c r="F853">
        <v>0.5</v>
      </c>
      <c r="G853">
        <v>80</v>
      </c>
      <c r="H853">
        <v>82</v>
      </c>
      <c r="I853" s="10">
        <v>90</v>
      </c>
      <c r="J853" s="10"/>
      <c r="K853" s="7">
        <v>44005019</v>
      </c>
      <c r="L853" s="5" t="str">
        <f t="shared" si="89"/>
        <v>WX  MONA BERJER</v>
      </c>
      <c r="M853" s="8">
        <v>0.15</v>
      </c>
      <c r="N853" s="8">
        <v>0.1</v>
      </c>
      <c r="O853" s="8">
        <v>8000</v>
      </c>
      <c r="P853" s="8">
        <f t="shared" si="90"/>
        <v>7200</v>
      </c>
      <c r="Q853" s="12">
        <f t="shared" si="91"/>
        <v>15120</v>
      </c>
      <c r="R853" s="31">
        <f t="shared" si="92"/>
        <v>15100</v>
      </c>
      <c r="U853" s="8">
        <v>35120</v>
      </c>
      <c r="X853" s="8"/>
    </row>
    <row r="854" spans="1:24" ht="21.95" customHeight="1" x14ac:dyDescent="0.2">
      <c r="A854" s="5" t="s">
        <v>17</v>
      </c>
      <c r="B854" t="s">
        <v>1595</v>
      </c>
      <c r="C854" t="s">
        <v>466</v>
      </c>
      <c r="D854" t="s">
        <v>468</v>
      </c>
      <c r="E854"/>
      <c r="F854">
        <v>1.23</v>
      </c>
      <c r="G854">
        <v>210</v>
      </c>
      <c r="H854">
        <v>90</v>
      </c>
      <c r="I854" s="10"/>
      <c r="J854" s="10"/>
      <c r="K854" s="7">
        <v>44005020</v>
      </c>
      <c r="L854" s="5" t="str">
        <f t="shared" si="89"/>
        <v>WX  MONA MODÜL KOLLU 2 Lİ</v>
      </c>
      <c r="M854" s="8">
        <v>0.15</v>
      </c>
      <c r="N854" s="8">
        <v>0.1</v>
      </c>
      <c r="O854" s="8">
        <v>20000</v>
      </c>
      <c r="P854" s="8">
        <f t="shared" si="90"/>
        <v>18000</v>
      </c>
      <c r="Q854" s="12">
        <f t="shared" si="91"/>
        <v>37800</v>
      </c>
      <c r="R854" s="31">
        <f t="shared" si="92"/>
        <v>37800</v>
      </c>
      <c r="U854" s="8">
        <v>52000</v>
      </c>
      <c r="X854" s="8"/>
    </row>
    <row r="855" spans="1:24" ht="21.95" customHeight="1" x14ac:dyDescent="0.2">
      <c r="A855" s="5" t="s">
        <v>17</v>
      </c>
      <c r="B855" t="s">
        <v>1595</v>
      </c>
      <c r="C855" t="s">
        <v>466</v>
      </c>
      <c r="D855" t="s">
        <v>469</v>
      </c>
      <c r="E855"/>
      <c r="F855">
        <v>1.23</v>
      </c>
      <c r="G855">
        <v>210</v>
      </c>
      <c r="H855">
        <v>90</v>
      </c>
      <c r="I855" s="10"/>
      <c r="J855" s="10"/>
      <c r="K855" s="7">
        <v>44005021</v>
      </c>
      <c r="L855" s="5" t="str">
        <f t="shared" si="89"/>
        <v>WX  MONA MODÜL MEKANİZMALI 2 Lİ</v>
      </c>
      <c r="M855" s="8">
        <v>0.15</v>
      </c>
      <c r="N855" s="8">
        <v>0.1</v>
      </c>
      <c r="O855" s="8">
        <v>23000</v>
      </c>
      <c r="P855" s="8">
        <f t="shared" si="90"/>
        <v>20700</v>
      </c>
      <c r="Q855" s="12">
        <f t="shared" si="91"/>
        <v>43470</v>
      </c>
      <c r="R855" s="31">
        <f t="shared" si="92"/>
        <v>43400</v>
      </c>
      <c r="U855" s="8">
        <v>7790</v>
      </c>
      <c r="X855" s="8"/>
    </row>
    <row r="856" spans="1:24" ht="21.95" customHeight="1" x14ac:dyDescent="0.2">
      <c r="A856" s="5" t="s">
        <v>17</v>
      </c>
      <c r="B856" t="s">
        <v>1595</v>
      </c>
      <c r="C856" t="s">
        <v>466</v>
      </c>
      <c r="D856" t="s">
        <v>470</v>
      </c>
      <c r="E856"/>
      <c r="F856">
        <v>0.52</v>
      </c>
      <c r="G856">
        <v>95</v>
      </c>
      <c r="H856">
        <v>95</v>
      </c>
      <c r="I856" s="10"/>
      <c r="J856" s="10"/>
      <c r="K856" s="7">
        <v>44005022</v>
      </c>
      <c r="L856" s="5" t="str">
        <f t="shared" si="89"/>
        <v>WX  MONA MODÜL 75 LİK</v>
      </c>
      <c r="M856" s="8">
        <v>0.15</v>
      </c>
      <c r="N856" s="8">
        <v>0.1</v>
      </c>
      <c r="O856" s="8">
        <v>9000</v>
      </c>
      <c r="P856" s="8">
        <f t="shared" si="90"/>
        <v>8100</v>
      </c>
      <c r="Q856" s="12">
        <f t="shared" si="91"/>
        <v>17010</v>
      </c>
      <c r="R856" s="31">
        <f t="shared" si="92"/>
        <v>17000</v>
      </c>
      <c r="U856" s="8">
        <v>34880</v>
      </c>
      <c r="X856" s="8"/>
    </row>
    <row r="857" spans="1:24" ht="21.95" customHeight="1" x14ac:dyDescent="0.2">
      <c r="A857" s="5" t="s">
        <v>17</v>
      </c>
      <c r="B857" t="s">
        <v>1595</v>
      </c>
      <c r="C857" t="s">
        <v>466</v>
      </c>
      <c r="D857" t="s">
        <v>471</v>
      </c>
      <c r="E857"/>
      <c r="F857">
        <v>0.52</v>
      </c>
      <c r="G857">
        <v>100</v>
      </c>
      <c r="H857">
        <v>100</v>
      </c>
      <c r="I857" s="10"/>
      <c r="J857" s="10"/>
      <c r="K857" s="7">
        <v>44005023</v>
      </c>
      <c r="L857" s="5" t="str">
        <f t="shared" si="89"/>
        <v>WX  MONA MODÜL KÖŞE</v>
      </c>
      <c r="M857" s="8">
        <v>0.15</v>
      </c>
      <c r="N857" s="8">
        <v>0.1</v>
      </c>
      <c r="O857" s="8">
        <v>11000</v>
      </c>
      <c r="P857" s="8">
        <f t="shared" si="90"/>
        <v>9900</v>
      </c>
      <c r="Q857" s="12">
        <f t="shared" si="91"/>
        <v>20790</v>
      </c>
      <c r="R857" s="31">
        <f t="shared" si="92"/>
        <v>20700</v>
      </c>
      <c r="U857" s="8">
        <v>10000</v>
      </c>
      <c r="X857" s="8"/>
    </row>
    <row r="858" spans="1:24" ht="21.95" customHeight="1" x14ac:dyDescent="0.2">
      <c r="A858" s="5" t="s">
        <v>17</v>
      </c>
      <c r="B858" t="s">
        <v>1595</v>
      </c>
      <c r="C858" t="s">
        <v>466</v>
      </c>
      <c r="D858" t="s">
        <v>472</v>
      </c>
      <c r="E858"/>
      <c r="F858">
        <v>0.65</v>
      </c>
      <c r="G858">
        <v>150</v>
      </c>
      <c r="H858">
        <v>100</v>
      </c>
      <c r="I858" s="10"/>
      <c r="J858" s="10"/>
      <c r="K858" s="7">
        <v>44005024</v>
      </c>
      <c r="L858" s="5" t="str">
        <f t="shared" si="89"/>
        <v>WX  MONA MODÜL 150 LİK</v>
      </c>
      <c r="M858" s="8">
        <v>0.15</v>
      </c>
      <c r="N858" s="8">
        <v>0.1</v>
      </c>
      <c r="O858" s="8">
        <v>15000</v>
      </c>
      <c r="P858" s="8">
        <f t="shared" si="90"/>
        <v>13500</v>
      </c>
      <c r="Q858" s="12">
        <f t="shared" si="91"/>
        <v>28350</v>
      </c>
      <c r="R858" s="31">
        <f t="shared" si="92"/>
        <v>28300</v>
      </c>
      <c r="U858" s="8">
        <v>10800</v>
      </c>
      <c r="X858" s="8"/>
    </row>
    <row r="859" spans="1:24" ht="21.95" customHeight="1" x14ac:dyDescent="0.2">
      <c r="A859" s="5" t="s">
        <v>17</v>
      </c>
      <c r="B859" t="s">
        <v>1595</v>
      </c>
      <c r="C859" t="s">
        <v>466</v>
      </c>
      <c r="D859" t="s">
        <v>473</v>
      </c>
      <c r="E859"/>
      <c r="F859">
        <v>0.55000000000000004</v>
      </c>
      <c r="G859">
        <v>115</v>
      </c>
      <c r="H859">
        <v>100</v>
      </c>
      <c r="I859" s="10"/>
      <c r="J859" s="10"/>
      <c r="K859" s="7">
        <v>44005025</v>
      </c>
      <c r="L859" s="5" t="str">
        <f t="shared" si="89"/>
        <v>WX  MONA MODÜL 115 LİK</v>
      </c>
      <c r="M859" s="8">
        <v>0.15</v>
      </c>
      <c r="N859" s="8">
        <v>0.1</v>
      </c>
      <c r="O859" s="8">
        <v>13500</v>
      </c>
      <c r="P859" s="8">
        <f t="shared" si="90"/>
        <v>12150</v>
      </c>
      <c r="Q859" s="12">
        <f t="shared" si="91"/>
        <v>25515</v>
      </c>
      <c r="R859" s="31">
        <f t="shared" si="92"/>
        <v>25500</v>
      </c>
      <c r="U859" s="8">
        <v>5660</v>
      </c>
      <c r="X859" s="8"/>
    </row>
    <row r="860" spans="1:24" ht="21.95" customHeight="1" x14ac:dyDescent="0.2">
      <c r="A860" s="5" t="s">
        <v>17</v>
      </c>
      <c r="B860" t="s">
        <v>1595</v>
      </c>
      <c r="C860" t="s">
        <v>474</v>
      </c>
      <c r="D860" t="s">
        <v>475</v>
      </c>
      <c r="E860"/>
      <c r="F860"/>
      <c r="G860"/>
      <c r="H860"/>
      <c r="I860" s="10"/>
      <c r="J860" s="10"/>
      <c r="K860" s="7">
        <v>44005026</v>
      </c>
      <c r="L860" s="5" t="str">
        <f t="shared" si="89"/>
        <v>WX  BOSS BABA KOLTUĞU</v>
      </c>
      <c r="M860" s="8">
        <v>0.15</v>
      </c>
      <c r="N860" s="8">
        <v>0.1</v>
      </c>
      <c r="O860" s="8">
        <v>16000</v>
      </c>
      <c r="P860" s="8">
        <f t="shared" si="90"/>
        <v>14400</v>
      </c>
      <c r="Q860" s="12">
        <f t="shared" si="91"/>
        <v>30240</v>
      </c>
      <c r="R860" s="31">
        <f t="shared" si="92"/>
        <v>30200</v>
      </c>
      <c r="U860" s="8">
        <v>44840</v>
      </c>
      <c r="X860" s="8"/>
    </row>
    <row r="861" spans="1:24" ht="21.95" customHeight="1" x14ac:dyDescent="0.2">
      <c r="A861" s="5" t="s">
        <v>17</v>
      </c>
      <c r="B861" t="s">
        <v>1595</v>
      </c>
      <c r="C861" t="s">
        <v>476</v>
      </c>
      <c r="D861" t="s">
        <v>452</v>
      </c>
      <c r="E861"/>
      <c r="F861">
        <v>1.6</v>
      </c>
      <c r="G861">
        <v>155</v>
      </c>
      <c r="H861">
        <v>155</v>
      </c>
      <c r="I861" s="10">
        <v>66</v>
      </c>
      <c r="J861" s="10"/>
      <c r="K861" s="7">
        <v>44005027</v>
      </c>
      <c r="L861" s="5" t="str">
        <f t="shared" si="89"/>
        <v>WX  SOFT LOVE SEAT</v>
      </c>
      <c r="M861" s="8">
        <v>0.15</v>
      </c>
      <c r="N861" s="8">
        <v>0.1</v>
      </c>
      <c r="O861" s="8">
        <v>16000</v>
      </c>
      <c r="P861" s="8">
        <f t="shared" si="90"/>
        <v>14400</v>
      </c>
      <c r="Q861" s="12">
        <f t="shared" si="91"/>
        <v>30240</v>
      </c>
      <c r="R861" s="31">
        <f t="shared" si="92"/>
        <v>30200</v>
      </c>
      <c r="U861" s="8">
        <v>41640</v>
      </c>
      <c r="X861" s="8"/>
    </row>
    <row r="862" spans="1:24" ht="21.95" customHeight="1" x14ac:dyDescent="0.2">
      <c r="A862" s="5" t="s">
        <v>17</v>
      </c>
      <c r="B862" t="s">
        <v>1595</v>
      </c>
      <c r="C862" t="s">
        <v>476</v>
      </c>
      <c r="D862" t="s">
        <v>477</v>
      </c>
      <c r="E862"/>
      <c r="F862">
        <v>1.6</v>
      </c>
      <c r="G862">
        <v>245</v>
      </c>
      <c r="H862">
        <v>100</v>
      </c>
      <c r="I862" s="10">
        <v>66</v>
      </c>
      <c r="J862" s="10"/>
      <c r="K862" s="7">
        <v>44005028</v>
      </c>
      <c r="L862" s="5" t="str">
        <f t="shared" si="89"/>
        <v>WX  SOFT KANEPE TEK KOLLU 3 LÜ</v>
      </c>
      <c r="M862" s="8">
        <v>0.15</v>
      </c>
      <c r="N862" s="8">
        <v>0.1</v>
      </c>
      <c r="O862" s="8">
        <v>16000</v>
      </c>
      <c r="P862" s="8">
        <f t="shared" si="90"/>
        <v>14400</v>
      </c>
      <c r="Q862" s="12">
        <f t="shared" si="91"/>
        <v>30240</v>
      </c>
      <c r="R862" s="31">
        <f t="shared" si="92"/>
        <v>30200</v>
      </c>
      <c r="U862" s="8">
        <v>17620</v>
      </c>
      <c r="X862" s="8"/>
    </row>
    <row r="863" spans="1:24" ht="21.95" customHeight="1" x14ac:dyDescent="0.2">
      <c r="A863" s="5" t="s">
        <v>17</v>
      </c>
      <c r="B863" t="s">
        <v>1595</v>
      </c>
      <c r="C863" t="s">
        <v>476</v>
      </c>
      <c r="D863" t="s">
        <v>478</v>
      </c>
      <c r="E863"/>
      <c r="F863">
        <v>1.2</v>
      </c>
      <c r="G863">
        <v>175</v>
      </c>
      <c r="H863">
        <v>100</v>
      </c>
      <c r="I863" s="10">
        <v>66</v>
      </c>
      <c r="J863" s="10"/>
      <c r="K863" s="7">
        <v>44005029</v>
      </c>
      <c r="L863" s="5" t="str">
        <f t="shared" si="89"/>
        <v>WX  SOFT KANEPE TEK KOLLU 2 Lİ</v>
      </c>
      <c r="M863" s="8">
        <v>0.15</v>
      </c>
      <c r="N863" s="8">
        <v>0.1</v>
      </c>
      <c r="O863" s="8">
        <v>13000</v>
      </c>
      <c r="P863" s="8">
        <f t="shared" si="90"/>
        <v>11700</v>
      </c>
      <c r="Q863" s="12">
        <f t="shared" si="91"/>
        <v>24570</v>
      </c>
      <c r="R863" s="31">
        <f t="shared" si="92"/>
        <v>24500</v>
      </c>
      <c r="U863" s="8">
        <v>57645</v>
      </c>
      <c r="X863" s="8"/>
    </row>
    <row r="864" spans="1:24" ht="21.95" customHeight="1" x14ac:dyDescent="0.2">
      <c r="A864" s="5" t="s">
        <v>17</v>
      </c>
      <c r="B864" t="s">
        <v>1595</v>
      </c>
      <c r="C864" t="s">
        <v>476</v>
      </c>
      <c r="D864" t="s">
        <v>479</v>
      </c>
      <c r="E864"/>
      <c r="F864">
        <v>1</v>
      </c>
      <c r="G864">
        <v>150</v>
      </c>
      <c r="H864">
        <v>100</v>
      </c>
      <c r="I864" s="10">
        <v>66</v>
      </c>
      <c r="J864" s="10"/>
      <c r="K864" s="7">
        <v>44005030</v>
      </c>
      <c r="L864" s="5" t="str">
        <f t="shared" si="89"/>
        <v>WX  SOFT PİYON KOLSUZ 2 Lİ</v>
      </c>
      <c r="M864" s="8">
        <v>0.15</v>
      </c>
      <c r="N864" s="8">
        <v>0.1</v>
      </c>
      <c r="O864" s="8">
        <v>12000</v>
      </c>
      <c r="P864" s="8">
        <f t="shared" si="90"/>
        <v>10800</v>
      </c>
      <c r="Q864" s="12">
        <f t="shared" si="91"/>
        <v>22680</v>
      </c>
      <c r="R864" s="31">
        <f t="shared" si="92"/>
        <v>22600</v>
      </c>
      <c r="U864" s="8">
        <v>27300</v>
      </c>
      <c r="X864" s="8"/>
    </row>
    <row r="865" spans="1:24" ht="21.95" customHeight="1" x14ac:dyDescent="0.2">
      <c r="A865" s="5" t="s">
        <v>17</v>
      </c>
      <c r="B865" t="s">
        <v>1595</v>
      </c>
      <c r="C865" t="s">
        <v>476</v>
      </c>
      <c r="D865" t="s">
        <v>480</v>
      </c>
      <c r="E865"/>
      <c r="F865">
        <v>0.5</v>
      </c>
      <c r="G865">
        <v>75</v>
      </c>
      <c r="H865">
        <v>100</v>
      </c>
      <c r="I865" s="10">
        <v>66</v>
      </c>
      <c r="J865" s="10"/>
      <c r="K865" s="7">
        <v>44005031</v>
      </c>
      <c r="L865" s="5" t="str">
        <f t="shared" si="89"/>
        <v>WX  SOFT PİYON KOLSUZ TEKLİ</v>
      </c>
      <c r="M865" s="8">
        <v>0.15</v>
      </c>
      <c r="N865" s="8">
        <v>0.1</v>
      </c>
      <c r="O865" s="8">
        <v>9000</v>
      </c>
      <c r="P865" s="8">
        <f t="shared" si="90"/>
        <v>8100</v>
      </c>
      <c r="Q865" s="12">
        <f t="shared" si="91"/>
        <v>17010</v>
      </c>
      <c r="R865" s="31">
        <f t="shared" si="92"/>
        <v>17000</v>
      </c>
      <c r="U865" s="8">
        <v>6300</v>
      </c>
      <c r="X865" s="8"/>
    </row>
    <row r="866" spans="1:24" ht="21.95" customHeight="1" x14ac:dyDescent="0.2">
      <c r="A866" s="5" t="s">
        <v>17</v>
      </c>
      <c r="B866" t="s">
        <v>1595</v>
      </c>
      <c r="C866" t="s">
        <v>476</v>
      </c>
      <c r="D866" t="s">
        <v>481</v>
      </c>
      <c r="E866"/>
      <c r="F866">
        <v>0.66</v>
      </c>
      <c r="G866">
        <v>100</v>
      </c>
      <c r="H866">
        <v>100</v>
      </c>
      <c r="I866" s="10">
        <v>66</v>
      </c>
      <c r="J866" s="10"/>
      <c r="K866" s="7">
        <v>44005032</v>
      </c>
      <c r="L866" s="5" t="str">
        <f t="shared" si="89"/>
        <v>WX  SOFT KÖŞE KÜÇÜK 100CM</v>
      </c>
      <c r="M866" s="8">
        <v>0.15</v>
      </c>
      <c r="N866" s="8">
        <v>0.1</v>
      </c>
      <c r="O866" s="8">
        <v>11000</v>
      </c>
      <c r="P866" s="8">
        <f t="shared" si="90"/>
        <v>9900</v>
      </c>
      <c r="Q866" s="12">
        <f t="shared" si="91"/>
        <v>20790</v>
      </c>
      <c r="R866" s="31">
        <f t="shared" si="92"/>
        <v>20700</v>
      </c>
      <c r="U866" s="8">
        <v>21189</v>
      </c>
      <c r="X866" s="8"/>
    </row>
    <row r="867" spans="1:24" ht="21.95" customHeight="1" x14ac:dyDescent="0.2">
      <c r="A867" s="5" t="s">
        <v>17</v>
      </c>
      <c r="B867" t="s">
        <v>1595</v>
      </c>
      <c r="C867" t="s">
        <v>476</v>
      </c>
      <c r="D867" t="s">
        <v>482</v>
      </c>
      <c r="E867"/>
      <c r="F867">
        <v>0.36</v>
      </c>
      <c r="G867">
        <v>55</v>
      </c>
      <c r="H867">
        <v>100</v>
      </c>
      <c r="I867" s="10">
        <v>66</v>
      </c>
      <c r="J867" s="10"/>
      <c r="K867" s="7">
        <v>44005033</v>
      </c>
      <c r="L867" s="5" t="str">
        <f t="shared" si="89"/>
        <v>WX  SOFT AHŞAP SEHPA</v>
      </c>
      <c r="M867" s="8">
        <v>0.15</v>
      </c>
      <c r="N867" s="8">
        <v>0.1</v>
      </c>
      <c r="O867" s="8">
        <v>8500</v>
      </c>
      <c r="P867" s="8">
        <f t="shared" si="90"/>
        <v>7650</v>
      </c>
      <c r="Q867" s="12">
        <f t="shared" si="91"/>
        <v>16065</v>
      </c>
      <c r="R867" s="31">
        <f t="shared" si="92"/>
        <v>16000</v>
      </c>
      <c r="U867" s="8">
        <v>23940</v>
      </c>
      <c r="X867" s="8"/>
    </row>
    <row r="868" spans="1:24" ht="21.95" customHeight="1" x14ac:dyDescent="0.2">
      <c r="A868" s="5" t="s">
        <v>17</v>
      </c>
      <c r="B868" t="s">
        <v>1595</v>
      </c>
      <c r="C868" t="s">
        <v>483</v>
      </c>
      <c r="D868" t="s">
        <v>484</v>
      </c>
      <c r="E868"/>
      <c r="F868">
        <v>1.96</v>
      </c>
      <c r="G868">
        <v>280</v>
      </c>
      <c r="H868">
        <v>95</v>
      </c>
      <c r="I868" s="10">
        <v>80</v>
      </c>
      <c r="J868" s="10"/>
      <c r="K868" s="7">
        <v>44005034</v>
      </c>
      <c r="L868" s="5" t="str">
        <f t="shared" si="89"/>
        <v>WX  LİNE KANEPE 4 LÜ SIRT MEKANİZMALI</v>
      </c>
      <c r="M868" s="8">
        <v>0.15</v>
      </c>
      <c r="N868" s="8">
        <v>0.1</v>
      </c>
      <c r="O868" s="8">
        <v>24000</v>
      </c>
      <c r="P868" s="8">
        <f t="shared" si="90"/>
        <v>21600</v>
      </c>
      <c r="Q868" s="12">
        <f t="shared" si="91"/>
        <v>45360</v>
      </c>
      <c r="R868" s="31">
        <f t="shared" si="92"/>
        <v>45300</v>
      </c>
      <c r="U868" s="8">
        <v>38360</v>
      </c>
      <c r="X868" s="8"/>
    </row>
    <row r="869" spans="1:24" ht="21.95" customHeight="1" x14ac:dyDescent="0.2">
      <c r="A869" s="5" t="s">
        <v>17</v>
      </c>
      <c r="B869" t="s">
        <v>1595</v>
      </c>
      <c r="C869" t="s">
        <v>483</v>
      </c>
      <c r="D869" t="s">
        <v>485</v>
      </c>
      <c r="E869"/>
      <c r="F869">
        <v>1.73</v>
      </c>
      <c r="G869">
        <v>228</v>
      </c>
      <c r="H869">
        <v>95</v>
      </c>
      <c r="I869" s="10">
        <v>80</v>
      </c>
      <c r="J869" s="10"/>
      <c r="K869" s="7">
        <v>44005035</v>
      </c>
      <c r="L869" s="5" t="str">
        <f t="shared" si="89"/>
        <v>WX  LİNE KANEPE 3 LÜ SIRT MEKANİZMALI</v>
      </c>
      <c r="M869" s="8">
        <v>0.15</v>
      </c>
      <c r="N869" s="8">
        <v>0.1</v>
      </c>
      <c r="O869" s="8">
        <v>21000</v>
      </c>
      <c r="P869" s="8">
        <f t="shared" si="90"/>
        <v>18900</v>
      </c>
      <c r="Q869" s="12">
        <f t="shared" si="91"/>
        <v>39690</v>
      </c>
      <c r="R869" s="31">
        <f t="shared" si="92"/>
        <v>39600</v>
      </c>
      <c r="U869" s="8">
        <v>42880</v>
      </c>
      <c r="X869" s="8"/>
    </row>
    <row r="870" spans="1:24" ht="21.95" customHeight="1" x14ac:dyDescent="0.2">
      <c r="A870" s="5" t="s">
        <v>17</v>
      </c>
      <c r="B870" t="s">
        <v>1595</v>
      </c>
      <c r="C870" t="s">
        <v>483</v>
      </c>
      <c r="D870" t="s">
        <v>33</v>
      </c>
      <c r="E870"/>
      <c r="F870">
        <v>0.5</v>
      </c>
      <c r="G870">
        <v>75</v>
      </c>
      <c r="H870">
        <v>90</v>
      </c>
      <c r="I870" s="10">
        <v>95</v>
      </c>
      <c r="J870" s="10"/>
      <c r="K870" s="7">
        <v>44005036</v>
      </c>
      <c r="L870" s="5" t="str">
        <f t="shared" ref="L870:L933" si="96">B870&amp;" "&amp;C870&amp;" "&amp;D870</f>
        <v>WX  LİNE BERJER</v>
      </c>
      <c r="M870" s="8">
        <v>0.15</v>
      </c>
      <c r="N870" s="8">
        <v>0.1</v>
      </c>
      <c r="O870" s="8">
        <v>12000</v>
      </c>
      <c r="P870" s="8">
        <f t="shared" si="90"/>
        <v>10800</v>
      </c>
      <c r="Q870" s="12">
        <f t="shared" si="91"/>
        <v>22680</v>
      </c>
      <c r="R870" s="31">
        <f t="shared" si="92"/>
        <v>22600</v>
      </c>
      <c r="U870" s="8">
        <v>5950</v>
      </c>
      <c r="X870" s="8"/>
    </row>
    <row r="871" spans="1:24" ht="21.95" customHeight="1" x14ac:dyDescent="0.2">
      <c r="A871" s="5" t="s">
        <v>17</v>
      </c>
      <c r="B871" t="s">
        <v>1595</v>
      </c>
      <c r="C871" t="s">
        <v>486</v>
      </c>
      <c r="D871" t="s">
        <v>450</v>
      </c>
      <c r="E871"/>
      <c r="F871">
        <v>2.2400000000000002</v>
      </c>
      <c r="G871">
        <v>280</v>
      </c>
      <c r="H871">
        <v>100</v>
      </c>
      <c r="I871" s="10">
        <v>80</v>
      </c>
      <c r="J871" s="10"/>
      <c r="K871" s="7">
        <v>44005037</v>
      </c>
      <c r="L871" s="5" t="str">
        <f t="shared" si="96"/>
        <v>WX  NOVA KANEPE 4 LÜ SIRT ATLATMALI</v>
      </c>
      <c r="M871" s="8">
        <v>0.15</v>
      </c>
      <c r="N871" s="8">
        <v>0.1</v>
      </c>
      <c r="O871" s="8">
        <v>22500</v>
      </c>
      <c r="P871" s="8">
        <f t="shared" si="90"/>
        <v>20250</v>
      </c>
      <c r="Q871" s="12">
        <f t="shared" si="91"/>
        <v>42525</v>
      </c>
      <c r="R871" s="31">
        <f t="shared" si="92"/>
        <v>42500</v>
      </c>
      <c r="U871" s="8">
        <v>36800</v>
      </c>
      <c r="X871" s="8"/>
    </row>
    <row r="872" spans="1:24" ht="21.95" customHeight="1" x14ac:dyDescent="0.2">
      <c r="A872" s="5" t="s">
        <v>17</v>
      </c>
      <c r="B872" t="s">
        <v>1595</v>
      </c>
      <c r="C872" t="s">
        <v>486</v>
      </c>
      <c r="D872" t="s">
        <v>451</v>
      </c>
      <c r="E872"/>
      <c r="F872">
        <v>1.95</v>
      </c>
      <c r="G872">
        <v>240</v>
      </c>
      <c r="H872">
        <v>100</v>
      </c>
      <c r="I872" s="10">
        <v>80</v>
      </c>
      <c r="J872" s="10"/>
      <c r="K872" s="7">
        <v>44005038</v>
      </c>
      <c r="L872" s="5" t="str">
        <f t="shared" si="96"/>
        <v>WX  NOVA KANEPE 3 LÜ SIRT ATLATMALI</v>
      </c>
      <c r="M872" s="8">
        <v>0.15</v>
      </c>
      <c r="N872" s="8">
        <v>0.1</v>
      </c>
      <c r="O872" s="8">
        <v>20000</v>
      </c>
      <c r="P872" s="8">
        <f t="shared" si="90"/>
        <v>18000</v>
      </c>
      <c r="Q872" s="12">
        <f t="shared" si="91"/>
        <v>37800</v>
      </c>
      <c r="R872" s="31">
        <f t="shared" si="92"/>
        <v>37800</v>
      </c>
      <c r="U872" s="8">
        <v>21600</v>
      </c>
      <c r="X872" s="8"/>
    </row>
    <row r="873" spans="1:24" ht="21.95" customHeight="1" x14ac:dyDescent="0.2">
      <c r="A873" s="5" t="s">
        <v>17</v>
      </c>
      <c r="B873" t="s">
        <v>1595</v>
      </c>
      <c r="C873" t="s">
        <v>486</v>
      </c>
      <c r="D873" t="s">
        <v>33</v>
      </c>
      <c r="E873"/>
      <c r="F873">
        <v>0.54</v>
      </c>
      <c r="G873">
        <v>80</v>
      </c>
      <c r="H873">
        <v>82</v>
      </c>
      <c r="I873" s="10">
        <v>82</v>
      </c>
      <c r="J873" s="10"/>
      <c r="K873" s="7">
        <v>44005039</v>
      </c>
      <c r="L873" s="5" t="str">
        <f t="shared" si="96"/>
        <v>WX  NOVA BERJER</v>
      </c>
      <c r="M873" s="8">
        <v>0.15</v>
      </c>
      <c r="N873" s="8">
        <v>0.1</v>
      </c>
      <c r="O873" s="8">
        <v>7500</v>
      </c>
      <c r="P873" s="8">
        <f t="shared" si="90"/>
        <v>6750</v>
      </c>
      <c r="Q873" s="12">
        <f t="shared" si="91"/>
        <v>14175</v>
      </c>
      <c r="R873" s="31">
        <f t="shared" si="92"/>
        <v>14100</v>
      </c>
      <c r="U873" s="8">
        <v>5660</v>
      </c>
      <c r="X873" s="8"/>
    </row>
    <row r="874" spans="1:24" ht="21.95" customHeight="1" x14ac:dyDescent="0.2">
      <c r="A874" s="5" t="s">
        <v>17</v>
      </c>
      <c r="B874" t="s">
        <v>1595</v>
      </c>
      <c r="C874" t="s">
        <v>487</v>
      </c>
      <c r="D874" t="s">
        <v>457</v>
      </c>
      <c r="E874"/>
      <c r="F874">
        <v>1.96</v>
      </c>
      <c r="G874">
        <v>245</v>
      </c>
      <c r="H874">
        <v>99</v>
      </c>
      <c r="I874" s="10">
        <v>80</v>
      </c>
      <c r="J874" s="10"/>
      <c r="K874" s="7">
        <v>44005040</v>
      </c>
      <c r="L874" s="5" t="str">
        <f t="shared" si="96"/>
        <v>WX  KENT KANEPE SIRT ATLATMALI</v>
      </c>
      <c r="M874" s="8">
        <v>0.15</v>
      </c>
      <c r="N874" s="8">
        <v>0.1</v>
      </c>
      <c r="O874" s="8">
        <v>20000</v>
      </c>
      <c r="P874" s="8">
        <f t="shared" si="90"/>
        <v>18000</v>
      </c>
      <c r="Q874" s="12">
        <f t="shared" si="91"/>
        <v>37800</v>
      </c>
      <c r="R874" s="31">
        <f t="shared" si="92"/>
        <v>37800</v>
      </c>
      <c r="U874" s="8">
        <v>39510</v>
      </c>
      <c r="X874" s="8"/>
    </row>
    <row r="875" spans="1:24" ht="21.95" customHeight="1" x14ac:dyDescent="0.2">
      <c r="A875" s="5" t="s">
        <v>17</v>
      </c>
      <c r="B875" t="s">
        <v>1595</v>
      </c>
      <c r="C875" t="s">
        <v>487</v>
      </c>
      <c r="D875" t="s">
        <v>458</v>
      </c>
      <c r="E875"/>
      <c r="F875">
        <v>2.2400000000000002</v>
      </c>
      <c r="G875">
        <v>280</v>
      </c>
      <c r="H875">
        <v>99</v>
      </c>
      <c r="I875" s="10">
        <v>80</v>
      </c>
      <c r="J875" s="10"/>
      <c r="K875" s="7">
        <v>44005041</v>
      </c>
      <c r="L875" s="5" t="str">
        <f t="shared" si="96"/>
        <v>WX  KENT KANEPE 4 OTURUMLU SIRT ATLATMALI</v>
      </c>
      <c r="M875" s="8">
        <v>0.15</v>
      </c>
      <c r="N875" s="8">
        <v>0.1</v>
      </c>
      <c r="O875" s="8">
        <v>24000</v>
      </c>
      <c r="P875" s="8">
        <f t="shared" si="90"/>
        <v>21600</v>
      </c>
      <c r="Q875" s="12">
        <f t="shared" si="91"/>
        <v>45360</v>
      </c>
      <c r="R875" s="31">
        <f t="shared" si="92"/>
        <v>45300</v>
      </c>
      <c r="U875" s="8">
        <v>15730</v>
      </c>
      <c r="X875" s="8"/>
    </row>
    <row r="876" spans="1:24" ht="21.95" customHeight="1" x14ac:dyDescent="0.2">
      <c r="A876" s="5" t="s">
        <v>17</v>
      </c>
      <c r="B876" t="s">
        <v>1595</v>
      </c>
      <c r="C876" t="s">
        <v>487</v>
      </c>
      <c r="D876" t="s">
        <v>33</v>
      </c>
      <c r="E876"/>
      <c r="F876">
        <v>0.64</v>
      </c>
      <c r="G876">
        <v>100</v>
      </c>
      <c r="H876">
        <v>80</v>
      </c>
      <c r="I876" s="10">
        <v>80</v>
      </c>
      <c r="J876" s="10"/>
      <c r="K876" s="7">
        <v>44005042</v>
      </c>
      <c r="L876" s="5" t="str">
        <f t="shared" si="96"/>
        <v>WX  KENT BERJER</v>
      </c>
      <c r="M876" s="8">
        <v>0.15</v>
      </c>
      <c r="N876" s="8">
        <v>0.1</v>
      </c>
      <c r="O876" s="8">
        <v>8000</v>
      </c>
      <c r="P876" s="8">
        <f t="shared" si="90"/>
        <v>7200</v>
      </c>
      <c r="Q876" s="12">
        <f t="shared" si="91"/>
        <v>15120</v>
      </c>
      <c r="R876" s="31">
        <f t="shared" si="92"/>
        <v>15100</v>
      </c>
      <c r="U876" s="8">
        <v>4600</v>
      </c>
      <c r="X876" s="8"/>
    </row>
    <row r="877" spans="1:24" ht="21.95" customHeight="1" x14ac:dyDescent="0.2">
      <c r="A877" s="5" t="s">
        <v>17</v>
      </c>
      <c r="B877" t="s">
        <v>1595</v>
      </c>
      <c r="C877" t="s">
        <v>488</v>
      </c>
      <c r="D877" t="s">
        <v>484</v>
      </c>
      <c r="E877"/>
      <c r="F877">
        <v>1.96</v>
      </c>
      <c r="G877">
        <v>280</v>
      </c>
      <c r="H877">
        <v>95</v>
      </c>
      <c r="I877" s="10">
        <v>80</v>
      </c>
      <c r="J877" s="10"/>
      <c r="K877" s="7">
        <v>44005043</v>
      </c>
      <c r="L877" s="5" t="str">
        <f t="shared" si="96"/>
        <v>WX  LİZA KANEPE 4 LÜ SIRT MEKANİZMALI</v>
      </c>
      <c r="M877" s="8">
        <v>0.15</v>
      </c>
      <c r="N877" s="8">
        <v>0.1</v>
      </c>
      <c r="O877" s="8">
        <v>26000</v>
      </c>
      <c r="P877" s="8">
        <f t="shared" ref="P877:P915" si="97">O877*(1-N877)</f>
        <v>23400</v>
      </c>
      <c r="Q877" s="12">
        <f t="shared" ref="Q877:Q915" si="98">O877*(1-N877)*2.1</f>
        <v>49140</v>
      </c>
      <c r="R877" s="31">
        <f t="shared" ref="R877:R915" si="99">ROUNDDOWN(Q877,-2)</f>
        <v>49100</v>
      </c>
      <c r="U877" s="8">
        <v>5160</v>
      </c>
      <c r="X877" s="8"/>
    </row>
    <row r="878" spans="1:24" ht="21.95" customHeight="1" x14ac:dyDescent="0.2">
      <c r="A878" s="5" t="s">
        <v>17</v>
      </c>
      <c r="B878" t="s">
        <v>1595</v>
      </c>
      <c r="C878" t="s">
        <v>488</v>
      </c>
      <c r="D878" t="s">
        <v>485</v>
      </c>
      <c r="E878"/>
      <c r="F878">
        <v>1.73</v>
      </c>
      <c r="G878">
        <v>228</v>
      </c>
      <c r="H878">
        <v>95</v>
      </c>
      <c r="I878" s="10">
        <v>80</v>
      </c>
      <c r="J878" s="10"/>
      <c r="K878" s="7">
        <v>44005044</v>
      </c>
      <c r="L878" s="5" t="str">
        <f t="shared" si="96"/>
        <v>WX  LİZA KANEPE 3 LÜ SIRT MEKANİZMALI</v>
      </c>
      <c r="M878" s="8">
        <v>0.15</v>
      </c>
      <c r="N878" s="8">
        <v>0.1</v>
      </c>
      <c r="O878" s="8">
        <v>22000</v>
      </c>
      <c r="P878" s="8">
        <f t="shared" si="97"/>
        <v>19800</v>
      </c>
      <c r="Q878" s="12">
        <f t="shared" si="98"/>
        <v>41580</v>
      </c>
      <c r="R878" s="31">
        <f t="shared" si="99"/>
        <v>41500</v>
      </c>
      <c r="U878" s="8">
        <v>4480</v>
      </c>
      <c r="X878" s="8"/>
    </row>
    <row r="879" spans="1:24" ht="21.95" customHeight="1" x14ac:dyDescent="0.2">
      <c r="A879" s="5" t="s">
        <v>17</v>
      </c>
      <c r="B879" t="s">
        <v>1595</v>
      </c>
      <c r="C879" t="s">
        <v>488</v>
      </c>
      <c r="D879" t="s">
        <v>33</v>
      </c>
      <c r="E879"/>
      <c r="F879">
        <v>0.5</v>
      </c>
      <c r="G879">
        <v>75</v>
      </c>
      <c r="H879">
        <v>90</v>
      </c>
      <c r="I879" s="10">
        <v>95</v>
      </c>
      <c r="J879" s="10"/>
      <c r="K879" s="7">
        <v>44005045</v>
      </c>
      <c r="L879" s="5" t="str">
        <f t="shared" si="96"/>
        <v>WX  LİZA BERJER</v>
      </c>
      <c r="M879" s="8">
        <v>0.15</v>
      </c>
      <c r="N879" s="8">
        <v>0.1</v>
      </c>
      <c r="O879" s="8">
        <v>10000</v>
      </c>
      <c r="P879" s="8">
        <f t="shared" si="97"/>
        <v>9000</v>
      </c>
      <c r="Q879" s="12">
        <f t="shared" si="98"/>
        <v>18900</v>
      </c>
      <c r="R879" s="31">
        <f t="shared" si="99"/>
        <v>18900</v>
      </c>
      <c r="U879" s="8">
        <v>5400</v>
      </c>
      <c r="X879" s="8"/>
    </row>
    <row r="880" spans="1:24" ht="21.95" customHeight="1" x14ac:dyDescent="0.2">
      <c r="A880" s="5" t="s">
        <v>17</v>
      </c>
      <c r="B880" t="s">
        <v>1587</v>
      </c>
      <c r="C880" t="s">
        <v>489</v>
      </c>
      <c r="D880" t="s">
        <v>155</v>
      </c>
      <c r="E880"/>
      <c r="F880"/>
      <c r="G880"/>
      <c r="H880"/>
      <c r="I880" s="10"/>
      <c r="J880" s="10"/>
      <c r="K880" s="7">
        <v>44005046</v>
      </c>
      <c r="L880" s="5" t="str">
        <f t="shared" si="96"/>
        <v>GŞ NEVA  MASA</v>
      </c>
      <c r="M880" s="8">
        <v>0.2</v>
      </c>
      <c r="N880" s="8">
        <v>0.15</v>
      </c>
      <c r="O880" s="8">
        <v>20633.599999999999</v>
      </c>
      <c r="P880" s="8">
        <f t="shared" si="97"/>
        <v>17538.559999999998</v>
      </c>
      <c r="Q880" s="12">
        <f t="shared" si="98"/>
        <v>36830.975999999995</v>
      </c>
      <c r="R880" s="31">
        <f t="shared" si="99"/>
        <v>36800</v>
      </c>
      <c r="U880" s="8">
        <v>6020</v>
      </c>
      <c r="X880" s="8"/>
    </row>
    <row r="881" spans="1:24" ht="21.95" customHeight="1" x14ac:dyDescent="0.2">
      <c r="A881" s="5" t="s">
        <v>17</v>
      </c>
      <c r="B881" t="s">
        <v>1587</v>
      </c>
      <c r="C881" t="s">
        <v>489</v>
      </c>
      <c r="D881" t="s">
        <v>49</v>
      </c>
      <c r="E881"/>
      <c r="F881"/>
      <c r="G881"/>
      <c r="H881"/>
      <c r="I881" s="10"/>
      <c r="J881" s="10"/>
      <c r="K881" s="7">
        <v>44005047</v>
      </c>
      <c r="L881" s="5" t="str">
        <f t="shared" si="96"/>
        <v>GŞ NEVA  KONSOL</v>
      </c>
      <c r="M881" s="8">
        <v>0.2</v>
      </c>
      <c r="N881" s="8">
        <v>0.15</v>
      </c>
      <c r="O881" s="8">
        <v>23790</v>
      </c>
      <c r="P881" s="8">
        <f t="shared" si="97"/>
        <v>20221.5</v>
      </c>
      <c r="Q881" s="12">
        <f t="shared" si="98"/>
        <v>42465.15</v>
      </c>
      <c r="R881" s="31">
        <f t="shared" si="99"/>
        <v>42400</v>
      </c>
      <c r="U881" s="8">
        <v>2600</v>
      </c>
      <c r="X881" s="8"/>
    </row>
    <row r="882" spans="1:24" ht="21.95" customHeight="1" x14ac:dyDescent="0.2">
      <c r="A882" s="5" t="s">
        <v>17</v>
      </c>
      <c r="B882" t="s">
        <v>1587</v>
      </c>
      <c r="C882" t="s">
        <v>489</v>
      </c>
      <c r="D882" t="s">
        <v>21</v>
      </c>
      <c r="E882"/>
      <c r="F882"/>
      <c r="G882"/>
      <c r="H882"/>
      <c r="I882" s="10"/>
      <c r="J882" s="10"/>
      <c r="K882" s="7">
        <v>44005048</v>
      </c>
      <c r="L882" s="5" t="str">
        <f t="shared" si="96"/>
        <v>GŞ NEVA  KONSOL AYNASI</v>
      </c>
      <c r="M882" s="8">
        <v>0.2</v>
      </c>
      <c r="N882" s="8">
        <v>0.15</v>
      </c>
      <c r="O882" s="8">
        <v>6150</v>
      </c>
      <c r="P882" s="8">
        <f t="shared" si="97"/>
        <v>5227.5</v>
      </c>
      <c r="Q882" s="12">
        <f t="shared" si="98"/>
        <v>10977.75</v>
      </c>
      <c r="R882" s="31">
        <f t="shared" si="99"/>
        <v>10900</v>
      </c>
      <c r="U882" s="8">
        <v>48200</v>
      </c>
      <c r="V882" s="8">
        <f t="shared" ref="V882:V887" si="100">T882*(1-N882)</f>
        <v>0</v>
      </c>
      <c r="W882" s="8">
        <f>V882*2.5</f>
        <v>0</v>
      </c>
      <c r="X882" s="8">
        <f t="shared" ref="X882:X887" si="101">ROUNDDOWN(W882,-2)</f>
        <v>0</v>
      </c>
    </row>
    <row r="883" spans="1:24" ht="21.95" customHeight="1" x14ac:dyDescent="0.2">
      <c r="A883" s="21" t="s">
        <v>17</v>
      </c>
      <c r="B883" s="24" t="s">
        <v>1587</v>
      </c>
      <c r="C883" s="24" t="s">
        <v>489</v>
      </c>
      <c r="D883" s="24" t="s">
        <v>490</v>
      </c>
      <c r="E883" s="24"/>
      <c r="F883" s="24"/>
      <c r="G883" s="24"/>
      <c r="H883" s="24"/>
      <c r="I883" s="25"/>
      <c r="J883" s="25"/>
      <c r="K883" s="22">
        <v>44005049</v>
      </c>
      <c r="L883" s="21" t="str">
        <f t="shared" si="96"/>
        <v>GŞ NEVA  SANDALYE 4 ADET</v>
      </c>
      <c r="M883" s="23">
        <v>0.2</v>
      </c>
      <c r="N883" s="23">
        <v>0.15</v>
      </c>
      <c r="O883" s="23">
        <v>21040</v>
      </c>
      <c r="P883" s="23">
        <f t="shared" si="97"/>
        <v>17884</v>
      </c>
      <c r="Q883" s="23">
        <f t="shared" si="98"/>
        <v>37556.400000000001</v>
      </c>
      <c r="R883" s="32">
        <f t="shared" si="99"/>
        <v>37500</v>
      </c>
      <c r="U883" s="8">
        <v>42500</v>
      </c>
      <c r="V883" s="8">
        <f t="shared" si="100"/>
        <v>0</v>
      </c>
      <c r="W883" s="8">
        <f t="shared" ref="W883:W887" si="102">V883*2.5</f>
        <v>0</v>
      </c>
      <c r="X883" s="8">
        <f t="shared" si="101"/>
        <v>0</v>
      </c>
    </row>
    <row r="884" spans="1:24" ht="21.95" customHeight="1" x14ac:dyDescent="0.2">
      <c r="A884" s="5" t="s">
        <v>17</v>
      </c>
      <c r="B884" t="s">
        <v>1587</v>
      </c>
      <c r="C884" t="s">
        <v>489</v>
      </c>
      <c r="D884" t="s">
        <v>197</v>
      </c>
      <c r="E884"/>
      <c r="F884"/>
      <c r="G884"/>
      <c r="H884"/>
      <c r="I884" s="10"/>
      <c r="J884" s="10"/>
      <c r="K884" s="7">
        <v>44005050</v>
      </c>
      <c r="L884" s="5" t="str">
        <f t="shared" si="96"/>
        <v>GŞ NEVA  BENCH</v>
      </c>
      <c r="M884" s="8">
        <v>0.2</v>
      </c>
      <c r="N884" s="8">
        <v>0.15</v>
      </c>
      <c r="O884" s="8">
        <v>6473.5</v>
      </c>
      <c r="P884" s="8">
        <f t="shared" si="97"/>
        <v>5502.4749999999995</v>
      </c>
      <c r="Q884" s="12">
        <f t="shared" si="98"/>
        <v>11555.1975</v>
      </c>
      <c r="R884" s="31">
        <f t="shared" si="99"/>
        <v>11500</v>
      </c>
      <c r="U884" s="8">
        <v>18100</v>
      </c>
      <c r="V884" s="8">
        <f t="shared" si="100"/>
        <v>0</v>
      </c>
      <c r="W884" s="8">
        <f t="shared" si="102"/>
        <v>0</v>
      </c>
      <c r="X884" s="8">
        <f t="shared" si="101"/>
        <v>0</v>
      </c>
    </row>
    <row r="885" spans="1:24" ht="21.95" customHeight="1" x14ac:dyDescent="0.2">
      <c r="A885" s="5" t="s">
        <v>17</v>
      </c>
      <c r="B885" t="s">
        <v>1587</v>
      </c>
      <c r="C885" t="s">
        <v>489</v>
      </c>
      <c r="D885" t="s">
        <v>160</v>
      </c>
      <c r="E885"/>
      <c r="F885"/>
      <c r="G885"/>
      <c r="H885"/>
      <c r="I885" s="10"/>
      <c r="J885" s="10"/>
      <c r="K885" s="7">
        <v>44005051</v>
      </c>
      <c r="L885" s="5" t="str">
        <f t="shared" si="96"/>
        <v>GŞ NEVA  MASA AÇILIR</v>
      </c>
      <c r="M885" s="8">
        <v>0.2</v>
      </c>
      <c r="N885" s="8">
        <v>0.15</v>
      </c>
      <c r="O885" s="8">
        <v>26823.5</v>
      </c>
      <c r="P885" s="8">
        <f t="shared" si="97"/>
        <v>22799.974999999999</v>
      </c>
      <c r="Q885" s="12">
        <f t="shared" si="98"/>
        <v>47879.947500000002</v>
      </c>
      <c r="R885" s="31">
        <f t="shared" si="99"/>
        <v>47800</v>
      </c>
      <c r="U885" s="8">
        <v>3680</v>
      </c>
      <c r="V885" s="8">
        <f t="shared" si="100"/>
        <v>0</v>
      </c>
      <c r="W885" s="8">
        <f t="shared" si="102"/>
        <v>0</v>
      </c>
      <c r="X885" s="8">
        <f t="shared" si="101"/>
        <v>0</v>
      </c>
    </row>
    <row r="886" spans="1:24" ht="21.95" customHeight="1" x14ac:dyDescent="0.2">
      <c r="A886" s="5" t="s">
        <v>17</v>
      </c>
      <c r="B886" t="s">
        <v>1587</v>
      </c>
      <c r="C886" t="s">
        <v>489</v>
      </c>
      <c r="D886" t="s">
        <v>491</v>
      </c>
      <c r="E886"/>
      <c r="F886"/>
      <c r="G886"/>
      <c r="H886"/>
      <c r="I886" s="10"/>
      <c r="J886" s="10"/>
      <c r="K886" s="7">
        <v>44005052</v>
      </c>
      <c r="L886" s="5" t="str">
        <f t="shared" si="96"/>
        <v>GŞ NEVA  MASA 105CM ÇAP</v>
      </c>
      <c r="M886" s="8">
        <v>0.2</v>
      </c>
      <c r="N886" s="8">
        <v>0.15</v>
      </c>
      <c r="O886" s="8">
        <v>14448.5</v>
      </c>
      <c r="P886" s="8">
        <f t="shared" si="97"/>
        <v>12281.225</v>
      </c>
      <c r="Q886" s="12">
        <f t="shared" si="98"/>
        <v>25790.572500000002</v>
      </c>
      <c r="R886" s="31">
        <f t="shared" si="99"/>
        <v>25700</v>
      </c>
      <c r="U886" s="8">
        <v>37650</v>
      </c>
      <c r="V886" s="8">
        <f t="shared" si="100"/>
        <v>0</v>
      </c>
      <c r="W886" s="8">
        <f t="shared" si="102"/>
        <v>0</v>
      </c>
      <c r="X886" s="8">
        <f t="shared" si="101"/>
        <v>0</v>
      </c>
    </row>
    <row r="887" spans="1:24" ht="21.95" customHeight="1" x14ac:dyDescent="0.2">
      <c r="A887" s="5" t="s">
        <v>17</v>
      </c>
      <c r="B887" t="s">
        <v>1587</v>
      </c>
      <c r="C887" t="s">
        <v>489</v>
      </c>
      <c r="D887" t="s">
        <v>492</v>
      </c>
      <c r="E887"/>
      <c r="F887"/>
      <c r="G887"/>
      <c r="H887"/>
      <c r="I887" s="10"/>
      <c r="J887" s="10"/>
      <c r="K887" s="7">
        <v>44005053</v>
      </c>
      <c r="L887" s="5" t="str">
        <f t="shared" si="96"/>
        <v>GŞ NEVA  MASA 120CM ÇAP</v>
      </c>
      <c r="M887" s="8">
        <v>0.2</v>
      </c>
      <c r="N887" s="8">
        <v>0.15</v>
      </c>
      <c r="O887" s="8">
        <v>16313</v>
      </c>
      <c r="P887" s="8">
        <f t="shared" si="97"/>
        <v>13866.05</v>
      </c>
      <c r="Q887" s="12">
        <f t="shared" si="98"/>
        <v>29118.704999999998</v>
      </c>
      <c r="R887" s="31">
        <f t="shared" si="99"/>
        <v>29100</v>
      </c>
      <c r="U887" s="8">
        <v>11740</v>
      </c>
      <c r="V887" s="8">
        <f t="shared" si="100"/>
        <v>0</v>
      </c>
      <c r="W887" s="8">
        <f t="shared" si="102"/>
        <v>0</v>
      </c>
      <c r="X887" s="8">
        <f t="shared" si="101"/>
        <v>0</v>
      </c>
    </row>
    <row r="888" spans="1:24" ht="21.95" customHeight="1" x14ac:dyDescent="0.2">
      <c r="A888" s="5" t="s">
        <v>17</v>
      </c>
      <c r="B888" t="s">
        <v>1587</v>
      </c>
      <c r="C888" t="s">
        <v>489</v>
      </c>
      <c r="D888" t="s">
        <v>493</v>
      </c>
      <c r="E888"/>
      <c r="F888"/>
      <c r="G888"/>
      <c r="H888"/>
      <c r="I888" s="10"/>
      <c r="J888" s="10"/>
      <c r="K888" s="7">
        <v>44005054</v>
      </c>
      <c r="L888" s="5" t="str">
        <f t="shared" si="96"/>
        <v>GŞ NEVA  TV ÜNİTESİ ALT MODÜL 215CM</v>
      </c>
      <c r="M888" s="8">
        <v>0.2</v>
      </c>
      <c r="N888" s="8">
        <v>0.15</v>
      </c>
      <c r="O888" s="8">
        <v>19453</v>
      </c>
      <c r="P888" s="8">
        <f t="shared" si="97"/>
        <v>16535.05</v>
      </c>
      <c r="Q888" s="12">
        <f t="shared" si="98"/>
        <v>34723.605000000003</v>
      </c>
      <c r="R888" s="31">
        <f t="shared" si="99"/>
        <v>34700</v>
      </c>
      <c r="T888" s="12">
        <v>39805</v>
      </c>
      <c r="U888" s="8">
        <v>39400</v>
      </c>
      <c r="V888" s="8">
        <f>T888*0.9</f>
        <v>35824.5</v>
      </c>
      <c r="W888" s="8">
        <f>V888*2.5</f>
        <v>89561.25</v>
      </c>
      <c r="X888" s="8">
        <f t="shared" ref="X888:X951" si="103">ROUNDDOWN(W888,-2)</f>
        <v>89500</v>
      </c>
    </row>
    <row r="889" spans="1:24" ht="21.95" customHeight="1" x14ac:dyDescent="0.2">
      <c r="A889" s="5" t="s">
        <v>17</v>
      </c>
      <c r="B889" t="s">
        <v>1587</v>
      </c>
      <c r="C889" t="s">
        <v>489</v>
      </c>
      <c r="D889" t="s">
        <v>29</v>
      </c>
      <c r="E889"/>
      <c r="F889"/>
      <c r="G889"/>
      <c r="H889"/>
      <c r="I889" s="10"/>
      <c r="J889" s="10"/>
      <c r="K889" s="7">
        <v>44005055</v>
      </c>
      <c r="L889" s="5" t="str">
        <f t="shared" si="96"/>
        <v>GŞ NEVA  ORTA SEHPA</v>
      </c>
      <c r="M889" s="8">
        <v>0.2</v>
      </c>
      <c r="N889" s="8">
        <v>0.15</v>
      </c>
      <c r="O889" s="8">
        <v>9322</v>
      </c>
      <c r="P889" s="8">
        <f t="shared" si="97"/>
        <v>7923.7</v>
      </c>
      <c r="Q889" s="12">
        <f t="shared" si="98"/>
        <v>16639.77</v>
      </c>
      <c r="R889" s="31">
        <f t="shared" si="99"/>
        <v>16600</v>
      </c>
      <c r="T889" s="12">
        <v>6210</v>
      </c>
      <c r="U889" s="8">
        <v>30110</v>
      </c>
      <c r="V889" s="8">
        <f t="shared" ref="V889:V952" si="104">T889*0.9</f>
        <v>5589</v>
      </c>
      <c r="W889" s="8">
        <f t="shared" ref="W889:W952" si="105">V889*2.5</f>
        <v>13972.5</v>
      </c>
      <c r="X889" s="8">
        <f t="shared" si="103"/>
        <v>13900</v>
      </c>
    </row>
    <row r="890" spans="1:24" ht="21.95" customHeight="1" x14ac:dyDescent="0.2">
      <c r="A890" s="5" t="s">
        <v>17</v>
      </c>
      <c r="B890" t="s">
        <v>1587</v>
      </c>
      <c r="C890" t="s">
        <v>489</v>
      </c>
      <c r="D890" t="s">
        <v>30</v>
      </c>
      <c r="E890"/>
      <c r="F890"/>
      <c r="G890"/>
      <c r="H890"/>
      <c r="I890" s="10"/>
      <c r="J890" s="10"/>
      <c r="K890" s="7">
        <v>44005056</v>
      </c>
      <c r="L890" s="5" t="str">
        <f t="shared" si="96"/>
        <v>GŞ NEVA  YAN SEHPA</v>
      </c>
      <c r="M890" s="8">
        <v>0.2</v>
      </c>
      <c r="N890" s="8">
        <v>0.15</v>
      </c>
      <c r="O890" s="8">
        <v>4887</v>
      </c>
      <c r="P890" s="8">
        <f t="shared" si="97"/>
        <v>4153.95</v>
      </c>
      <c r="Q890" s="12">
        <f t="shared" si="98"/>
        <v>8723.2950000000001</v>
      </c>
      <c r="R890" s="31">
        <f t="shared" si="99"/>
        <v>8700</v>
      </c>
      <c r="T890" s="12">
        <v>5995</v>
      </c>
      <c r="U890" s="8">
        <v>21980</v>
      </c>
      <c r="V890" s="8">
        <f t="shared" si="104"/>
        <v>5395.5</v>
      </c>
      <c r="W890" s="8">
        <f t="shared" si="105"/>
        <v>13488.75</v>
      </c>
      <c r="X890" s="8">
        <f t="shared" si="103"/>
        <v>13400</v>
      </c>
    </row>
    <row r="891" spans="1:24" ht="21.95" customHeight="1" x14ac:dyDescent="0.2">
      <c r="A891" s="5" t="s">
        <v>17</v>
      </c>
      <c r="B891" t="s">
        <v>1587</v>
      </c>
      <c r="C891" t="s">
        <v>489</v>
      </c>
      <c r="D891" t="s">
        <v>119</v>
      </c>
      <c r="E891"/>
      <c r="F891"/>
      <c r="G891"/>
      <c r="H891"/>
      <c r="I891" s="10"/>
      <c r="J891" s="10"/>
      <c r="K891" s="7">
        <v>44005057</v>
      </c>
      <c r="L891" s="5" t="str">
        <f t="shared" si="96"/>
        <v>GŞ NEVA  PUF</v>
      </c>
      <c r="M891" s="8">
        <v>0.2</v>
      </c>
      <c r="N891" s="8">
        <v>0.15</v>
      </c>
      <c r="O891" s="8">
        <v>4855</v>
      </c>
      <c r="P891" s="8">
        <f t="shared" si="97"/>
        <v>4126.75</v>
      </c>
      <c r="Q891" s="12">
        <f t="shared" si="98"/>
        <v>8666.1750000000011</v>
      </c>
      <c r="R891" s="31">
        <f t="shared" si="99"/>
        <v>8600</v>
      </c>
      <c r="T891" s="12">
        <v>19370</v>
      </c>
      <c r="U891" s="8">
        <v>7290</v>
      </c>
      <c r="V891" s="8">
        <f t="shared" si="104"/>
        <v>17433</v>
      </c>
      <c r="W891" s="8">
        <f t="shared" si="105"/>
        <v>43582.5</v>
      </c>
      <c r="X891" s="8">
        <f t="shared" si="103"/>
        <v>43500</v>
      </c>
    </row>
    <row r="892" spans="1:24" ht="21.95" customHeight="1" x14ac:dyDescent="0.2">
      <c r="A892" s="5" t="s">
        <v>17</v>
      </c>
      <c r="B892" t="s">
        <v>1587</v>
      </c>
      <c r="C892" t="s">
        <v>494</v>
      </c>
      <c r="D892" t="s">
        <v>495</v>
      </c>
      <c r="E892"/>
      <c r="F892"/>
      <c r="G892"/>
      <c r="H892"/>
      <c r="I892" s="10"/>
      <c r="J892" s="10"/>
      <c r="K892" s="7">
        <v>44005058</v>
      </c>
      <c r="L892" s="5" t="str">
        <f t="shared" si="96"/>
        <v>GŞ PİCASSO AÇILIR MASA</v>
      </c>
      <c r="M892" s="8">
        <v>0.2</v>
      </c>
      <c r="N892" s="8">
        <v>0.15</v>
      </c>
      <c r="O892" s="8">
        <v>26823.5</v>
      </c>
      <c r="P892" s="8">
        <f t="shared" si="97"/>
        <v>22799.974999999999</v>
      </c>
      <c r="Q892" s="12">
        <f t="shared" si="98"/>
        <v>47879.947500000002</v>
      </c>
      <c r="R892" s="31">
        <f t="shared" si="99"/>
        <v>47800</v>
      </c>
      <c r="T892" s="12">
        <v>7920</v>
      </c>
      <c r="U892" s="8">
        <v>39400</v>
      </c>
      <c r="V892" s="8">
        <f t="shared" si="104"/>
        <v>7128</v>
      </c>
      <c r="W892" s="8">
        <f t="shared" si="105"/>
        <v>17820</v>
      </c>
      <c r="X892" s="8">
        <f t="shared" si="103"/>
        <v>17800</v>
      </c>
    </row>
    <row r="893" spans="1:24" ht="21.95" customHeight="1" x14ac:dyDescent="0.2">
      <c r="A893" s="5" t="s">
        <v>17</v>
      </c>
      <c r="B893" t="s">
        <v>1587</v>
      </c>
      <c r="C893" t="s">
        <v>494</v>
      </c>
      <c r="D893" t="s">
        <v>49</v>
      </c>
      <c r="E893"/>
      <c r="F893"/>
      <c r="G893"/>
      <c r="H893"/>
      <c r="I893" s="10"/>
      <c r="J893" s="10"/>
      <c r="K893" s="7">
        <v>44005059</v>
      </c>
      <c r="L893" s="5" t="str">
        <f t="shared" si="96"/>
        <v>GŞ PİCASSO KONSOL</v>
      </c>
      <c r="M893" s="8">
        <v>0.2</v>
      </c>
      <c r="N893" s="8">
        <v>0.15</v>
      </c>
      <c r="O893" s="8">
        <v>27771</v>
      </c>
      <c r="P893" s="8">
        <f t="shared" si="97"/>
        <v>23605.35</v>
      </c>
      <c r="Q893" s="12">
        <f t="shared" si="98"/>
        <v>49571.235000000001</v>
      </c>
      <c r="R893" s="31">
        <f t="shared" si="99"/>
        <v>49500</v>
      </c>
      <c r="T893" s="12">
        <v>11130</v>
      </c>
      <c r="U893" s="8">
        <v>12190</v>
      </c>
      <c r="V893" s="8">
        <f t="shared" si="104"/>
        <v>10017</v>
      </c>
      <c r="W893" s="8">
        <f t="shared" si="105"/>
        <v>25042.5</v>
      </c>
      <c r="X893" s="8">
        <f t="shared" si="103"/>
        <v>25000</v>
      </c>
    </row>
    <row r="894" spans="1:24" ht="21.95" customHeight="1" x14ac:dyDescent="0.2">
      <c r="A894" s="5" t="s">
        <v>17</v>
      </c>
      <c r="B894" t="s">
        <v>1587</v>
      </c>
      <c r="C894" t="s">
        <v>494</v>
      </c>
      <c r="D894" t="s">
        <v>21</v>
      </c>
      <c r="E894"/>
      <c r="F894"/>
      <c r="G894"/>
      <c r="H894"/>
      <c r="I894" s="10"/>
      <c r="J894" s="10"/>
      <c r="K894" s="7">
        <v>44005060</v>
      </c>
      <c r="L894" s="5" t="str">
        <f t="shared" si="96"/>
        <v>GŞ PİCASSO KONSOL AYNASI</v>
      </c>
      <c r="M894" s="8">
        <v>0.2</v>
      </c>
      <c r="N894" s="8">
        <v>0.15</v>
      </c>
      <c r="O894" s="8">
        <v>6150</v>
      </c>
      <c r="P894" s="8">
        <f t="shared" si="97"/>
        <v>5227.5</v>
      </c>
      <c r="Q894" s="12">
        <f t="shared" si="98"/>
        <v>10977.75</v>
      </c>
      <c r="R894" s="31">
        <f t="shared" si="99"/>
        <v>10900</v>
      </c>
      <c r="T894" s="12">
        <v>3420</v>
      </c>
      <c r="U894" s="8">
        <v>38920</v>
      </c>
      <c r="V894" s="8">
        <f t="shared" si="104"/>
        <v>3078</v>
      </c>
      <c r="W894" s="8">
        <f t="shared" si="105"/>
        <v>7695</v>
      </c>
      <c r="X894" s="8">
        <f t="shared" si="103"/>
        <v>7600</v>
      </c>
    </row>
    <row r="895" spans="1:24" ht="21.95" customHeight="1" x14ac:dyDescent="0.2">
      <c r="A895" s="21" t="s">
        <v>17</v>
      </c>
      <c r="B895" s="24" t="s">
        <v>1587</v>
      </c>
      <c r="C895" s="24" t="s">
        <v>494</v>
      </c>
      <c r="D895" s="24" t="s">
        <v>490</v>
      </c>
      <c r="E895" s="24"/>
      <c r="F895" s="24"/>
      <c r="G895" s="24"/>
      <c r="H895" s="24"/>
      <c r="I895" s="25"/>
      <c r="J895" s="25"/>
      <c r="K895" s="22">
        <v>44005061</v>
      </c>
      <c r="L895" s="21" t="str">
        <f t="shared" si="96"/>
        <v>GŞ PİCASSO SANDALYE 4 ADET</v>
      </c>
      <c r="M895" s="23">
        <v>0.2</v>
      </c>
      <c r="N895" s="23">
        <v>0.15</v>
      </c>
      <c r="O895" s="23">
        <v>21040</v>
      </c>
      <c r="P895" s="23">
        <f t="shared" si="97"/>
        <v>17884</v>
      </c>
      <c r="Q895" s="23">
        <f t="shared" si="98"/>
        <v>37556.400000000001</v>
      </c>
      <c r="R895" s="32">
        <f t="shared" si="99"/>
        <v>37500</v>
      </c>
      <c r="T895" s="12">
        <v>31225</v>
      </c>
      <c r="U895" s="8">
        <v>28200</v>
      </c>
      <c r="V895" s="8">
        <f t="shared" si="104"/>
        <v>28102.5</v>
      </c>
      <c r="W895" s="8">
        <f t="shared" si="105"/>
        <v>70256.25</v>
      </c>
      <c r="X895" s="8">
        <f t="shared" si="103"/>
        <v>70200</v>
      </c>
    </row>
    <row r="896" spans="1:24" ht="21.95" customHeight="1" x14ac:dyDescent="0.2">
      <c r="A896" s="5" t="s">
        <v>17</v>
      </c>
      <c r="B896" t="s">
        <v>1587</v>
      </c>
      <c r="C896" t="s">
        <v>494</v>
      </c>
      <c r="D896" t="s">
        <v>197</v>
      </c>
      <c r="E896"/>
      <c r="F896"/>
      <c r="G896"/>
      <c r="H896"/>
      <c r="I896" s="10"/>
      <c r="J896" s="10"/>
      <c r="K896" s="7">
        <v>44005062</v>
      </c>
      <c r="L896" s="5" t="str">
        <f t="shared" si="96"/>
        <v>GŞ PİCASSO BENCH</v>
      </c>
      <c r="M896" s="8">
        <v>0.2</v>
      </c>
      <c r="N896" s="8">
        <v>0.15</v>
      </c>
      <c r="O896" s="8">
        <v>6473.5</v>
      </c>
      <c r="P896" s="8">
        <f t="shared" si="97"/>
        <v>5502.4749999999995</v>
      </c>
      <c r="Q896" s="12">
        <f t="shared" si="98"/>
        <v>11555.1975</v>
      </c>
      <c r="R896" s="31">
        <f t="shared" si="99"/>
        <v>11500</v>
      </c>
      <c r="T896" s="12">
        <v>18610</v>
      </c>
      <c r="U896" s="8">
        <v>22820</v>
      </c>
      <c r="V896" s="8">
        <f t="shared" si="104"/>
        <v>16749</v>
      </c>
      <c r="W896" s="8">
        <f t="shared" si="105"/>
        <v>41872.5</v>
      </c>
      <c r="X896" s="8">
        <f t="shared" si="103"/>
        <v>41800</v>
      </c>
    </row>
    <row r="897" spans="1:24" ht="21.95" customHeight="1" x14ac:dyDescent="0.2">
      <c r="A897" s="5" t="s">
        <v>17</v>
      </c>
      <c r="B897" t="s">
        <v>1587</v>
      </c>
      <c r="C897" t="s">
        <v>494</v>
      </c>
      <c r="D897" t="s">
        <v>496</v>
      </c>
      <c r="E897"/>
      <c r="F897"/>
      <c r="G897"/>
      <c r="H897"/>
      <c r="I897" s="10"/>
      <c r="J897" s="10"/>
      <c r="K897" s="7">
        <v>44005063</v>
      </c>
      <c r="L897" s="5" t="str">
        <f t="shared" si="96"/>
        <v>GŞ PİCASSO TV ÜNİTESİ ALT MODÜL</v>
      </c>
      <c r="M897" s="8">
        <v>0.2</v>
      </c>
      <c r="N897" s="8">
        <v>0.15</v>
      </c>
      <c r="O897" s="8">
        <v>24439</v>
      </c>
      <c r="P897" s="8">
        <f t="shared" si="97"/>
        <v>20773.149999999998</v>
      </c>
      <c r="Q897" s="12">
        <f t="shared" si="98"/>
        <v>43623.614999999998</v>
      </c>
      <c r="R897" s="31">
        <f t="shared" si="99"/>
        <v>43600</v>
      </c>
      <c r="T897" s="12">
        <v>22900</v>
      </c>
      <c r="U897" s="8">
        <v>7910</v>
      </c>
      <c r="V897" s="8">
        <f t="shared" si="104"/>
        <v>20610</v>
      </c>
      <c r="W897" s="8">
        <f t="shared" si="105"/>
        <v>51525</v>
      </c>
      <c r="X897" s="8">
        <f t="shared" si="103"/>
        <v>51500</v>
      </c>
    </row>
    <row r="898" spans="1:24" ht="21.95" customHeight="1" x14ac:dyDescent="0.2">
      <c r="A898" s="5" t="s">
        <v>17</v>
      </c>
      <c r="B898" t="s">
        <v>1587</v>
      </c>
      <c r="C898" t="s">
        <v>494</v>
      </c>
      <c r="D898" t="s">
        <v>29</v>
      </c>
      <c r="E898"/>
      <c r="F898"/>
      <c r="G898"/>
      <c r="H898"/>
      <c r="I898" s="10"/>
      <c r="J898" s="10"/>
      <c r="K898" s="7">
        <v>44005064</v>
      </c>
      <c r="L898" s="5" t="str">
        <f t="shared" si="96"/>
        <v>GŞ PİCASSO ORTA SEHPA</v>
      </c>
      <c r="M898" s="8">
        <v>0.2</v>
      </c>
      <c r="N898" s="8">
        <v>0.15</v>
      </c>
      <c r="O898" s="8">
        <v>9322</v>
      </c>
      <c r="P898" s="8">
        <f t="shared" si="97"/>
        <v>7923.7</v>
      </c>
      <c r="Q898" s="12">
        <f t="shared" si="98"/>
        <v>16639.77</v>
      </c>
      <c r="R898" s="31">
        <f t="shared" si="99"/>
        <v>16600</v>
      </c>
      <c r="T898" s="12">
        <v>4440</v>
      </c>
      <c r="U898" s="8">
        <v>38920</v>
      </c>
      <c r="V898" s="8">
        <f t="shared" si="104"/>
        <v>3996</v>
      </c>
      <c r="W898" s="8">
        <f t="shared" si="105"/>
        <v>9990</v>
      </c>
      <c r="X898" s="8">
        <f t="shared" si="103"/>
        <v>9900</v>
      </c>
    </row>
    <row r="899" spans="1:24" s="21" customFormat="1" ht="21.95" customHeight="1" x14ac:dyDescent="0.2">
      <c r="A899" s="5" t="s">
        <v>17</v>
      </c>
      <c r="B899" t="s">
        <v>1587</v>
      </c>
      <c r="C899" t="s">
        <v>494</v>
      </c>
      <c r="D899" t="s">
        <v>30</v>
      </c>
      <c r="E899"/>
      <c r="F899"/>
      <c r="G899"/>
      <c r="H899"/>
      <c r="I899" s="10"/>
      <c r="J899" s="10"/>
      <c r="K899" s="7">
        <v>44005065</v>
      </c>
      <c r="L899" s="5" t="str">
        <f t="shared" si="96"/>
        <v>GŞ PİCASSO YAN SEHPA</v>
      </c>
      <c r="M899" s="8">
        <v>0.2</v>
      </c>
      <c r="N899" s="8">
        <v>0.15</v>
      </c>
      <c r="O899" s="8">
        <v>4887</v>
      </c>
      <c r="P899" s="8">
        <f t="shared" si="97"/>
        <v>4153.95</v>
      </c>
      <c r="Q899" s="12">
        <f t="shared" si="98"/>
        <v>8723.2950000000001</v>
      </c>
      <c r="R899" s="31">
        <f t="shared" si="99"/>
        <v>8700</v>
      </c>
      <c r="T899" s="23"/>
      <c r="U899" s="8">
        <v>13290</v>
      </c>
      <c r="V899" s="23">
        <f t="shared" si="104"/>
        <v>0</v>
      </c>
      <c r="W899" s="23">
        <f t="shared" si="105"/>
        <v>0</v>
      </c>
      <c r="X899" s="23">
        <f t="shared" si="103"/>
        <v>0</v>
      </c>
    </row>
    <row r="900" spans="1:24" s="21" customFormat="1" ht="21.95" customHeight="1" x14ac:dyDescent="0.2">
      <c r="A900" s="5" t="s">
        <v>17</v>
      </c>
      <c r="B900" t="s">
        <v>1587</v>
      </c>
      <c r="C900" t="s">
        <v>494</v>
      </c>
      <c r="D900" t="s">
        <v>119</v>
      </c>
      <c r="E900"/>
      <c r="F900"/>
      <c r="G900"/>
      <c r="H900"/>
      <c r="I900" s="10"/>
      <c r="J900" s="10"/>
      <c r="K900" s="7">
        <v>44005066</v>
      </c>
      <c r="L900" s="5" t="str">
        <f t="shared" si="96"/>
        <v>GŞ PİCASSO PUF</v>
      </c>
      <c r="M900" s="8">
        <v>0.2</v>
      </c>
      <c r="N900" s="8">
        <v>0.15</v>
      </c>
      <c r="O900" s="8">
        <v>4855</v>
      </c>
      <c r="P900" s="8">
        <f t="shared" si="97"/>
        <v>4126.75</v>
      </c>
      <c r="Q900" s="12">
        <f t="shared" si="98"/>
        <v>8666.1750000000011</v>
      </c>
      <c r="R900" s="31">
        <f t="shared" si="99"/>
        <v>8600</v>
      </c>
      <c r="T900" s="23"/>
      <c r="U900" s="8">
        <v>39300</v>
      </c>
      <c r="V900" s="23">
        <f t="shared" si="104"/>
        <v>0</v>
      </c>
      <c r="W900" s="23">
        <f t="shared" si="105"/>
        <v>0</v>
      </c>
      <c r="X900" s="23">
        <f t="shared" si="103"/>
        <v>0</v>
      </c>
    </row>
    <row r="901" spans="1:24" ht="21.95" customHeight="1" x14ac:dyDescent="0.2">
      <c r="A901" s="5" t="s">
        <v>17</v>
      </c>
      <c r="B901" t="s">
        <v>1587</v>
      </c>
      <c r="C901" t="s">
        <v>497</v>
      </c>
      <c r="D901" t="s">
        <v>375</v>
      </c>
      <c r="E901"/>
      <c r="F901"/>
      <c r="G901"/>
      <c r="H901"/>
      <c r="I901" s="10"/>
      <c r="J901" s="10"/>
      <c r="K901" s="7">
        <v>44005067</v>
      </c>
      <c r="L901" s="5" t="str">
        <f t="shared" si="96"/>
        <v xml:space="preserve">GŞ TREND MASA </v>
      </c>
      <c r="M901" s="8">
        <v>0.2</v>
      </c>
      <c r="N901" s="8">
        <v>0.15</v>
      </c>
      <c r="O901" s="8">
        <v>40615</v>
      </c>
      <c r="P901" s="8">
        <f t="shared" si="97"/>
        <v>34522.75</v>
      </c>
      <c r="Q901" s="12">
        <f t="shared" si="98"/>
        <v>72497.775000000009</v>
      </c>
      <c r="R901" s="31">
        <f t="shared" si="99"/>
        <v>72400</v>
      </c>
      <c r="T901" s="12">
        <v>20545</v>
      </c>
      <c r="U901" s="8">
        <v>13270</v>
      </c>
      <c r="V901" s="8">
        <f t="shared" si="104"/>
        <v>18490.5</v>
      </c>
      <c r="W901" s="8">
        <f t="shared" si="105"/>
        <v>46226.25</v>
      </c>
      <c r="X901" s="8">
        <f t="shared" si="103"/>
        <v>46200</v>
      </c>
    </row>
    <row r="902" spans="1:24" ht="21.95" customHeight="1" x14ac:dyDescent="0.2">
      <c r="A902" s="5" t="s">
        <v>17</v>
      </c>
      <c r="B902" t="s">
        <v>1587</v>
      </c>
      <c r="C902" t="s">
        <v>497</v>
      </c>
      <c r="D902" t="s">
        <v>49</v>
      </c>
      <c r="E902"/>
      <c r="F902"/>
      <c r="G902"/>
      <c r="H902"/>
      <c r="I902" s="10"/>
      <c r="J902" s="10"/>
      <c r="K902" s="7">
        <v>44005068</v>
      </c>
      <c r="L902" s="5" t="str">
        <f t="shared" si="96"/>
        <v>GŞ TREND KONSOL</v>
      </c>
      <c r="M902" s="8">
        <v>0.2</v>
      </c>
      <c r="N902" s="8">
        <v>0.15</v>
      </c>
      <c r="O902" s="8">
        <v>38025</v>
      </c>
      <c r="P902" s="8">
        <f t="shared" si="97"/>
        <v>32321.25</v>
      </c>
      <c r="Q902" s="12">
        <f t="shared" si="98"/>
        <v>67874.625</v>
      </c>
      <c r="R902" s="31">
        <f t="shared" si="99"/>
        <v>67800</v>
      </c>
      <c r="T902" s="12">
        <v>5800</v>
      </c>
      <c r="U902" s="8">
        <v>41250</v>
      </c>
      <c r="V902" s="8">
        <f t="shared" si="104"/>
        <v>5220</v>
      </c>
      <c r="W902" s="8">
        <f t="shared" si="105"/>
        <v>13050</v>
      </c>
      <c r="X902" s="8">
        <f t="shared" si="103"/>
        <v>13000</v>
      </c>
    </row>
    <row r="903" spans="1:24" ht="21.95" customHeight="1" x14ac:dyDescent="0.2">
      <c r="A903" s="5" t="s">
        <v>17</v>
      </c>
      <c r="B903" t="s">
        <v>1587</v>
      </c>
      <c r="C903" t="s">
        <v>497</v>
      </c>
      <c r="D903" t="s">
        <v>21</v>
      </c>
      <c r="E903"/>
      <c r="F903"/>
      <c r="G903"/>
      <c r="H903"/>
      <c r="I903" s="10"/>
      <c r="J903" s="10"/>
      <c r="K903" s="7">
        <v>44005069</v>
      </c>
      <c r="L903" s="5" t="str">
        <f t="shared" si="96"/>
        <v>GŞ TREND KONSOL AYNASI</v>
      </c>
      <c r="M903" s="8">
        <v>0.2</v>
      </c>
      <c r="N903" s="8">
        <v>0.15</v>
      </c>
      <c r="O903" s="8">
        <v>6150</v>
      </c>
      <c r="P903" s="8">
        <f t="shared" si="97"/>
        <v>5227.5</v>
      </c>
      <c r="Q903" s="12">
        <f t="shared" si="98"/>
        <v>10977.75</v>
      </c>
      <c r="R903" s="31">
        <f t="shared" si="99"/>
        <v>10900</v>
      </c>
      <c r="T903" s="12">
        <v>7280</v>
      </c>
      <c r="U903" s="8">
        <v>11580</v>
      </c>
      <c r="V903" s="8">
        <f t="shared" si="104"/>
        <v>6552</v>
      </c>
      <c r="W903" s="8">
        <f t="shared" si="105"/>
        <v>16380</v>
      </c>
      <c r="X903" s="8">
        <f t="shared" si="103"/>
        <v>16300</v>
      </c>
    </row>
    <row r="904" spans="1:24" ht="21.95" customHeight="1" x14ac:dyDescent="0.2">
      <c r="A904" s="21" t="s">
        <v>17</v>
      </c>
      <c r="B904" s="24" t="s">
        <v>1587</v>
      </c>
      <c r="C904" s="24" t="s">
        <v>497</v>
      </c>
      <c r="D904" s="24" t="s">
        <v>498</v>
      </c>
      <c r="E904" s="24"/>
      <c r="F904" s="24"/>
      <c r="G904" s="24"/>
      <c r="H904" s="24"/>
      <c r="I904" s="25"/>
      <c r="J904" s="25"/>
      <c r="K904" s="22">
        <v>44005070</v>
      </c>
      <c r="L904" s="21" t="str">
        <f t="shared" si="96"/>
        <v>GŞ TREND SANDALYE 6 ADET</v>
      </c>
      <c r="M904" s="23">
        <v>0.2</v>
      </c>
      <c r="N904" s="23">
        <v>0.15</v>
      </c>
      <c r="O904" s="23">
        <v>36413</v>
      </c>
      <c r="P904" s="23">
        <f t="shared" si="97"/>
        <v>30951.05</v>
      </c>
      <c r="Q904" s="23">
        <f t="shared" si="98"/>
        <v>64997.205000000002</v>
      </c>
      <c r="R904" s="32">
        <f t="shared" si="99"/>
        <v>64900</v>
      </c>
      <c r="T904" s="12">
        <v>9330</v>
      </c>
      <c r="U904" s="8">
        <v>39300</v>
      </c>
      <c r="V904" s="8">
        <f t="shared" si="104"/>
        <v>8397</v>
      </c>
      <c r="W904" s="8">
        <f t="shared" si="105"/>
        <v>20992.5</v>
      </c>
      <c r="X904" s="8">
        <f t="shared" si="103"/>
        <v>20900</v>
      </c>
    </row>
    <row r="905" spans="1:24" ht="21.95" customHeight="1" x14ac:dyDescent="0.2">
      <c r="A905" s="5" t="s">
        <v>17</v>
      </c>
      <c r="B905" t="s">
        <v>1587</v>
      </c>
      <c r="C905" t="s">
        <v>497</v>
      </c>
      <c r="D905" t="s">
        <v>499</v>
      </c>
      <c r="E905"/>
      <c r="F905"/>
      <c r="G905"/>
      <c r="H905"/>
      <c r="I905" s="10"/>
      <c r="J905" s="10"/>
      <c r="K905" s="7">
        <v>44005071</v>
      </c>
      <c r="L905" s="5" t="str">
        <f t="shared" si="96"/>
        <v>GŞ TREND TV ÜST MODÜL</v>
      </c>
      <c r="M905" s="8">
        <v>0.2</v>
      </c>
      <c r="N905" s="8">
        <v>0.15</v>
      </c>
      <c r="O905" s="8">
        <v>10390</v>
      </c>
      <c r="P905" s="8">
        <f t="shared" si="97"/>
        <v>8831.5</v>
      </c>
      <c r="Q905" s="12">
        <f t="shared" si="98"/>
        <v>18546.150000000001</v>
      </c>
      <c r="R905" s="31">
        <f t="shared" si="99"/>
        <v>18500</v>
      </c>
      <c r="T905" s="12">
        <v>12715</v>
      </c>
      <c r="U905" s="8">
        <v>39800</v>
      </c>
      <c r="V905" s="8">
        <f t="shared" si="104"/>
        <v>11443.5</v>
      </c>
      <c r="W905" s="8">
        <f t="shared" si="105"/>
        <v>28608.75</v>
      </c>
      <c r="X905" s="8">
        <f t="shared" si="103"/>
        <v>28600</v>
      </c>
    </row>
    <row r="906" spans="1:24" ht="21.95" customHeight="1" x14ac:dyDescent="0.2">
      <c r="A906" s="5" t="s">
        <v>17</v>
      </c>
      <c r="B906" t="s">
        <v>1587</v>
      </c>
      <c r="C906" t="s">
        <v>497</v>
      </c>
      <c r="D906" t="s">
        <v>500</v>
      </c>
      <c r="E906"/>
      <c r="F906"/>
      <c r="G906"/>
      <c r="H906"/>
      <c r="I906" s="10"/>
      <c r="J906" s="10"/>
      <c r="K906" s="7">
        <v>44005072</v>
      </c>
      <c r="L906" s="5" t="str">
        <f t="shared" si="96"/>
        <v>GŞ TREND TV ALT MODÜL</v>
      </c>
      <c r="M906" s="8">
        <v>0.2</v>
      </c>
      <c r="N906" s="8">
        <v>0.15</v>
      </c>
      <c r="O906" s="8">
        <v>35248</v>
      </c>
      <c r="P906" s="8">
        <f t="shared" si="97"/>
        <v>29960.799999999999</v>
      </c>
      <c r="Q906" s="12">
        <f t="shared" si="98"/>
        <v>62917.68</v>
      </c>
      <c r="R906" s="31">
        <f t="shared" si="99"/>
        <v>62900</v>
      </c>
      <c r="T906" s="12">
        <v>9845</v>
      </c>
      <c r="U906" s="8">
        <v>19760</v>
      </c>
      <c r="V906" s="8">
        <f t="shared" si="104"/>
        <v>8860.5</v>
      </c>
      <c r="W906" s="8">
        <f t="shared" si="105"/>
        <v>22151.25</v>
      </c>
      <c r="X906" s="8">
        <f t="shared" si="103"/>
        <v>22100</v>
      </c>
    </row>
    <row r="907" spans="1:24" ht="21.95" customHeight="1" x14ac:dyDescent="0.2">
      <c r="A907" s="5" t="s">
        <v>17</v>
      </c>
      <c r="B907" t="s">
        <v>1587</v>
      </c>
      <c r="C907" t="s">
        <v>497</v>
      </c>
      <c r="D907" t="s">
        <v>29</v>
      </c>
      <c r="E907"/>
      <c r="F907"/>
      <c r="G907"/>
      <c r="H907"/>
      <c r="I907" s="10"/>
      <c r="J907" s="10"/>
      <c r="K907" s="7">
        <v>44005073</v>
      </c>
      <c r="L907" s="5" t="str">
        <f t="shared" si="96"/>
        <v>GŞ TREND ORTA SEHPA</v>
      </c>
      <c r="M907" s="8">
        <v>0.2</v>
      </c>
      <c r="N907" s="8">
        <v>0.15</v>
      </c>
      <c r="O907" s="8">
        <v>12906</v>
      </c>
      <c r="P907" s="8">
        <f t="shared" si="97"/>
        <v>10970.1</v>
      </c>
      <c r="Q907" s="12">
        <f t="shared" si="98"/>
        <v>23037.210000000003</v>
      </c>
      <c r="R907" s="31">
        <f t="shared" si="99"/>
        <v>23000</v>
      </c>
      <c r="T907" s="12">
        <v>3400</v>
      </c>
      <c r="U907" s="8">
        <v>37650</v>
      </c>
      <c r="V907" s="8">
        <f t="shared" si="104"/>
        <v>3060</v>
      </c>
      <c r="W907" s="8">
        <f t="shared" si="105"/>
        <v>7650</v>
      </c>
      <c r="X907" s="8">
        <f t="shared" si="103"/>
        <v>7600</v>
      </c>
    </row>
    <row r="908" spans="1:24" ht="21.95" customHeight="1" x14ac:dyDescent="0.2">
      <c r="A908" s="5" t="s">
        <v>17</v>
      </c>
      <c r="B908" t="s">
        <v>1587</v>
      </c>
      <c r="C908" t="s">
        <v>497</v>
      </c>
      <c r="D908" t="s">
        <v>30</v>
      </c>
      <c r="E908"/>
      <c r="F908"/>
      <c r="G908"/>
      <c r="H908"/>
      <c r="I908" s="10"/>
      <c r="J908" s="10"/>
      <c r="K908" s="7">
        <v>44005074</v>
      </c>
      <c r="L908" s="5" t="str">
        <f t="shared" si="96"/>
        <v>GŞ TREND YAN SEHPA</v>
      </c>
      <c r="M908" s="8">
        <v>0.2</v>
      </c>
      <c r="N908" s="8">
        <v>0.15</v>
      </c>
      <c r="O908" s="8">
        <v>6453</v>
      </c>
      <c r="P908" s="8">
        <f t="shared" si="97"/>
        <v>5485.05</v>
      </c>
      <c r="Q908" s="12">
        <f t="shared" si="98"/>
        <v>11518.605000000001</v>
      </c>
      <c r="R908" s="31">
        <f t="shared" si="99"/>
        <v>11500</v>
      </c>
      <c r="T908" s="12">
        <v>37630</v>
      </c>
      <c r="U908" s="8">
        <v>11740</v>
      </c>
      <c r="V908" s="8">
        <f t="shared" si="104"/>
        <v>33867</v>
      </c>
      <c r="W908" s="8">
        <f t="shared" si="105"/>
        <v>84667.5</v>
      </c>
      <c r="X908" s="8">
        <f t="shared" si="103"/>
        <v>84600</v>
      </c>
    </row>
    <row r="909" spans="1:24" ht="21.95" customHeight="1" x14ac:dyDescent="0.2">
      <c r="A909" s="5" t="s">
        <v>17</v>
      </c>
      <c r="B909" t="s">
        <v>1587</v>
      </c>
      <c r="C909" t="s">
        <v>501</v>
      </c>
      <c r="D909" t="s">
        <v>155</v>
      </c>
      <c r="E909"/>
      <c r="F909"/>
      <c r="G909"/>
      <c r="H909"/>
      <c r="I909" s="10"/>
      <c r="J909" s="10"/>
      <c r="K909" s="7">
        <v>44005075</v>
      </c>
      <c r="L909" s="5" t="str">
        <f t="shared" si="96"/>
        <v>GŞ LOGAN MASA</v>
      </c>
      <c r="M909" s="8">
        <v>0.2</v>
      </c>
      <c r="N909" s="8">
        <v>0.15</v>
      </c>
      <c r="O909" s="8">
        <v>15148</v>
      </c>
      <c r="P909" s="8">
        <f t="shared" si="97"/>
        <v>12875.8</v>
      </c>
      <c r="Q909" s="12">
        <f t="shared" si="98"/>
        <v>27039.18</v>
      </c>
      <c r="R909" s="31">
        <f t="shared" si="99"/>
        <v>27000</v>
      </c>
      <c r="T909" s="12">
        <v>11555</v>
      </c>
      <c r="U909" s="8">
        <v>48200</v>
      </c>
      <c r="V909" s="8">
        <f t="shared" si="104"/>
        <v>10399.5</v>
      </c>
      <c r="W909" s="8">
        <f t="shared" si="105"/>
        <v>25998.75</v>
      </c>
      <c r="X909" s="8">
        <f t="shared" si="103"/>
        <v>25900</v>
      </c>
    </row>
    <row r="910" spans="1:24" ht="21.95" customHeight="1" x14ac:dyDescent="0.2">
      <c r="A910" s="5" t="s">
        <v>17</v>
      </c>
      <c r="B910" t="s">
        <v>1587</v>
      </c>
      <c r="C910" t="s">
        <v>501</v>
      </c>
      <c r="D910" t="s">
        <v>49</v>
      </c>
      <c r="E910"/>
      <c r="F910"/>
      <c r="G910"/>
      <c r="H910"/>
      <c r="I910" s="10"/>
      <c r="J910" s="10"/>
      <c r="K910" s="7">
        <v>44005076</v>
      </c>
      <c r="L910" s="5" t="str">
        <f t="shared" si="96"/>
        <v>GŞ LOGAN KONSOL</v>
      </c>
      <c r="M910" s="8">
        <v>0.2</v>
      </c>
      <c r="N910" s="8">
        <v>0.15</v>
      </c>
      <c r="O910" s="8">
        <v>23305</v>
      </c>
      <c r="P910" s="8">
        <f t="shared" si="97"/>
        <v>19809.25</v>
      </c>
      <c r="Q910" s="12">
        <f t="shared" si="98"/>
        <v>41599.425000000003</v>
      </c>
      <c r="R910" s="31">
        <f t="shared" si="99"/>
        <v>41500</v>
      </c>
      <c r="T910" s="12">
        <v>11240</v>
      </c>
      <c r="U910" s="8">
        <v>42500</v>
      </c>
      <c r="V910" s="8">
        <f t="shared" si="104"/>
        <v>10116</v>
      </c>
      <c r="W910" s="8">
        <f t="shared" si="105"/>
        <v>25290</v>
      </c>
      <c r="X910" s="8">
        <f t="shared" si="103"/>
        <v>25200</v>
      </c>
    </row>
    <row r="911" spans="1:24" ht="21.95" customHeight="1" x14ac:dyDescent="0.2">
      <c r="A911" s="5" t="s">
        <v>17</v>
      </c>
      <c r="B911" t="s">
        <v>1587</v>
      </c>
      <c r="C911" t="s">
        <v>501</v>
      </c>
      <c r="D911" t="s">
        <v>25</v>
      </c>
      <c r="E911"/>
      <c r="F911"/>
      <c r="G911"/>
      <c r="H911"/>
      <c r="I911" s="10"/>
      <c r="J911" s="10"/>
      <c r="K911" s="7">
        <v>44005077</v>
      </c>
      <c r="L911" s="5" t="str">
        <f t="shared" si="96"/>
        <v>GŞ LOGAN SANDALYE</v>
      </c>
      <c r="M911" s="8">
        <v>0.2</v>
      </c>
      <c r="N911" s="8">
        <v>0.15</v>
      </c>
      <c r="O911" s="8">
        <v>33015</v>
      </c>
      <c r="P911" s="8">
        <f t="shared" si="97"/>
        <v>28062.75</v>
      </c>
      <c r="Q911" s="12">
        <f t="shared" si="98"/>
        <v>58931.775000000001</v>
      </c>
      <c r="R911" s="31">
        <f t="shared" si="99"/>
        <v>58900</v>
      </c>
      <c r="T911" s="12">
        <v>23745</v>
      </c>
      <c r="U911" s="8">
        <v>18100</v>
      </c>
      <c r="V911" s="8">
        <f t="shared" si="104"/>
        <v>21370.5</v>
      </c>
      <c r="W911" s="8">
        <f t="shared" si="105"/>
        <v>53426.25</v>
      </c>
      <c r="X911" s="8">
        <f t="shared" si="103"/>
        <v>53400</v>
      </c>
    </row>
    <row r="912" spans="1:24" ht="21.95" customHeight="1" x14ac:dyDescent="0.2">
      <c r="A912" s="21" t="s">
        <v>17</v>
      </c>
      <c r="B912" s="24" t="s">
        <v>1587</v>
      </c>
      <c r="C912" s="24" t="s">
        <v>501</v>
      </c>
      <c r="D912" s="24" t="s">
        <v>119</v>
      </c>
      <c r="E912" s="24"/>
      <c r="F912" s="24"/>
      <c r="G912" s="24"/>
      <c r="H912" s="24"/>
      <c r="I912" s="25"/>
      <c r="J912" s="25"/>
      <c r="K912" s="22">
        <v>44005078</v>
      </c>
      <c r="L912" s="21" t="str">
        <f t="shared" si="96"/>
        <v>GŞ LOGAN PUF</v>
      </c>
      <c r="M912" s="23">
        <v>0.2</v>
      </c>
      <c r="N912" s="23">
        <v>0.15</v>
      </c>
      <c r="O912" s="23">
        <v>8125</v>
      </c>
      <c r="P912" s="23">
        <f t="shared" si="97"/>
        <v>6906.25</v>
      </c>
      <c r="Q912" s="23">
        <f t="shared" si="98"/>
        <v>14503.125</v>
      </c>
      <c r="R912" s="32">
        <f t="shared" si="99"/>
        <v>14500</v>
      </c>
      <c r="T912" s="12">
        <v>10600</v>
      </c>
      <c r="U912" s="8">
        <v>3680</v>
      </c>
      <c r="V912" s="8">
        <f t="shared" si="104"/>
        <v>9540</v>
      </c>
      <c r="W912" s="8">
        <f t="shared" si="105"/>
        <v>23850</v>
      </c>
      <c r="X912" s="8">
        <f t="shared" si="103"/>
        <v>23800</v>
      </c>
    </row>
    <row r="913" spans="1:24" ht="21.95" customHeight="1" x14ac:dyDescent="0.2">
      <c r="A913" s="5" t="s">
        <v>17</v>
      </c>
      <c r="B913" t="s">
        <v>1587</v>
      </c>
      <c r="C913" t="s">
        <v>501</v>
      </c>
      <c r="D913" t="s">
        <v>496</v>
      </c>
      <c r="E913"/>
      <c r="F913"/>
      <c r="G913"/>
      <c r="H913"/>
      <c r="I913" s="10"/>
      <c r="J913" s="10"/>
      <c r="K913" s="7">
        <v>44005079</v>
      </c>
      <c r="L913" s="5" t="str">
        <f t="shared" si="96"/>
        <v>GŞ LOGAN TV ÜNİTESİ ALT MODÜL</v>
      </c>
      <c r="M913" s="8">
        <v>0.2</v>
      </c>
      <c r="N913" s="8">
        <v>0.15</v>
      </c>
      <c r="O913" s="8">
        <v>22657</v>
      </c>
      <c r="P913" s="8">
        <f t="shared" si="97"/>
        <v>19258.45</v>
      </c>
      <c r="Q913" s="12">
        <f t="shared" si="98"/>
        <v>40442.745000000003</v>
      </c>
      <c r="R913" s="31">
        <f t="shared" si="99"/>
        <v>40400</v>
      </c>
      <c r="T913" s="12">
        <v>14260</v>
      </c>
      <c r="U913" s="23"/>
      <c r="V913" s="8">
        <f t="shared" si="104"/>
        <v>12834</v>
      </c>
      <c r="W913" s="8">
        <f t="shared" si="105"/>
        <v>32085</v>
      </c>
      <c r="X913" s="8">
        <f t="shared" si="103"/>
        <v>32000</v>
      </c>
    </row>
    <row r="914" spans="1:24" ht="21.95" customHeight="1" x14ac:dyDescent="0.2">
      <c r="A914" s="5" t="s">
        <v>17</v>
      </c>
      <c r="B914" t="s">
        <v>1587</v>
      </c>
      <c r="C914" t="s">
        <v>501</v>
      </c>
      <c r="D914" t="s">
        <v>502</v>
      </c>
      <c r="E914"/>
      <c r="F914"/>
      <c r="G914"/>
      <c r="H914"/>
      <c r="I914" s="10"/>
      <c r="J914" s="10"/>
      <c r="K914" s="7">
        <v>44005080</v>
      </c>
      <c r="L914" s="5" t="str">
        <f t="shared" si="96"/>
        <v>GŞ LOGAN VİTRİN (BÜFE)</v>
      </c>
      <c r="M914" s="8">
        <v>0.2</v>
      </c>
      <c r="N914" s="8">
        <v>0.15</v>
      </c>
      <c r="O914" s="8">
        <v>16507</v>
      </c>
      <c r="P914" s="8">
        <f t="shared" si="97"/>
        <v>14030.949999999999</v>
      </c>
      <c r="Q914" s="12">
        <f t="shared" si="98"/>
        <v>29464.994999999999</v>
      </c>
      <c r="R914" s="31">
        <f t="shared" si="99"/>
        <v>29400</v>
      </c>
      <c r="T914" s="12">
        <v>3765</v>
      </c>
      <c r="U914" s="23"/>
      <c r="V914" s="8">
        <f t="shared" si="104"/>
        <v>3388.5</v>
      </c>
      <c r="W914" s="8">
        <f t="shared" si="105"/>
        <v>8471.25</v>
      </c>
      <c r="X914" s="8">
        <f t="shared" si="103"/>
        <v>8400</v>
      </c>
    </row>
    <row r="915" spans="1:24" ht="21.95" customHeight="1" x14ac:dyDescent="0.2">
      <c r="A915" s="5" t="s">
        <v>17</v>
      </c>
      <c r="B915" t="s">
        <v>1587</v>
      </c>
      <c r="C915" t="s">
        <v>501</v>
      </c>
      <c r="D915" t="s">
        <v>29</v>
      </c>
      <c r="E915"/>
      <c r="F915"/>
      <c r="G915"/>
      <c r="H915"/>
      <c r="I915" s="10"/>
      <c r="J915" s="10"/>
      <c r="K915" s="7">
        <v>44005081</v>
      </c>
      <c r="L915" s="5" t="str">
        <f t="shared" si="96"/>
        <v>GŞ LOGAN ORTA SEHPA</v>
      </c>
      <c r="M915" s="8">
        <v>0.2</v>
      </c>
      <c r="N915" s="8">
        <v>0.15</v>
      </c>
      <c r="O915" s="8">
        <v>6797</v>
      </c>
      <c r="P915" s="8">
        <f t="shared" si="97"/>
        <v>5777.45</v>
      </c>
      <c r="Q915" s="12">
        <f t="shared" si="98"/>
        <v>12132.645</v>
      </c>
      <c r="R915" s="31">
        <f t="shared" si="99"/>
        <v>12100</v>
      </c>
      <c r="T915" s="12">
        <v>13360</v>
      </c>
      <c r="U915" s="23"/>
      <c r="V915" s="8">
        <f t="shared" si="104"/>
        <v>12024</v>
      </c>
      <c r="W915" s="8">
        <f t="shared" si="105"/>
        <v>30060</v>
      </c>
      <c r="X915" s="8">
        <f t="shared" si="103"/>
        <v>30000</v>
      </c>
    </row>
    <row r="916" spans="1:24" ht="21.95" customHeight="1" x14ac:dyDescent="0.2">
      <c r="B916" t="s">
        <v>1587</v>
      </c>
      <c r="C916" s="5" t="s">
        <v>2008</v>
      </c>
      <c r="D916" s="5" t="s">
        <v>375</v>
      </c>
      <c r="K916" s="7">
        <v>44005082</v>
      </c>
      <c r="L916" s="5" t="str">
        <f t="shared" si="96"/>
        <v xml:space="preserve">GŞ VELAR MASA </v>
      </c>
      <c r="Q916" s="12"/>
      <c r="T916" s="12">
        <v>19505</v>
      </c>
      <c r="U916" s="12"/>
      <c r="V916" s="8">
        <f t="shared" si="104"/>
        <v>17554.5</v>
      </c>
      <c r="W916" s="8">
        <f t="shared" si="105"/>
        <v>43886.25</v>
      </c>
      <c r="X916" s="8">
        <f t="shared" si="103"/>
        <v>43800</v>
      </c>
    </row>
    <row r="917" spans="1:24" ht="21.95" customHeight="1" x14ac:dyDescent="0.2">
      <c r="B917" t="s">
        <v>1587</v>
      </c>
      <c r="C917" s="5" t="s">
        <v>2008</v>
      </c>
      <c r="D917" s="6" t="s">
        <v>194</v>
      </c>
      <c r="K917" s="7">
        <v>44005083</v>
      </c>
      <c r="L917" s="5" t="str">
        <f t="shared" si="96"/>
        <v xml:space="preserve">GŞ VELAR KONSOL </v>
      </c>
      <c r="Q917" s="12"/>
      <c r="T917" s="12">
        <v>4465</v>
      </c>
      <c r="U917" s="12"/>
      <c r="V917" s="8">
        <f t="shared" si="104"/>
        <v>4018.5</v>
      </c>
      <c r="W917" s="8">
        <f t="shared" si="105"/>
        <v>10046.25</v>
      </c>
      <c r="X917" s="8">
        <f t="shared" si="103"/>
        <v>10000</v>
      </c>
    </row>
    <row r="918" spans="1:24" ht="21.95" customHeight="1" x14ac:dyDescent="0.2">
      <c r="B918" t="s">
        <v>1587</v>
      </c>
      <c r="C918" s="5" t="s">
        <v>2008</v>
      </c>
      <c r="D918" s="6" t="s">
        <v>21</v>
      </c>
      <c r="K918" s="7">
        <v>44005084</v>
      </c>
      <c r="L918" s="5" t="str">
        <f t="shared" si="96"/>
        <v>GŞ VELAR KONSOL AYNASI</v>
      </c>
      <c r="Q918" s="12"/>
      <c r="T918" s="12">
        <v>12340</v>
      </c>
      <c r="U918" s="12"/>
      <c r="V918" s="8">
        <f t="shared" si="104"/>
        <v>11106</v>
      </c>
      <c r="W918" s="8">
        <f t="shared" si="105"/>
        <v>27765</v>
      </c>
      <c r="X918" s="8">
        <f t="shared" si="103"/>
        <v>27700</v>
      </c>
    </row>
    <row r="919" spans="1:24" ht="21.95" customHeight="1" x14ac:dyDescent="0.2">
      <c r="B919" t="s">
        <v>1587</v>
      </c>
      <c r="C919" s="5" t="s">
        <v>2008</v>
      </c>
      <c r="D919" s="6" t="s">
        <v>2009</v>
      </c>
      <c r="K919" s="7">
        <v>44005085</v>
      </c>
      <c r="L919" s="5" t="str">
        <f t="shared" si="96"/>
        <v xml:space="preserve">GŞ VELAR TV ALT MODÜL </v>
      </c>
      <c r="Q919" s="12"/>
      <c r="T919" s="12">
        <v>27415</v>
      </c>
      <c r="U919" s="12"/>
      <c r="V919" s="8">
        <f t="shared" si="104"/>
        <v>24673.5</v>
      </c>
      <c r="W919" s="8">
        <f t="shared" si="105"/>
        <v>61683.75</v>
      </c>
      <c r="X919" s="8">
        <f t="shared" si="103"/>
        <v>61600</v>
      </c>
    </row>
    <row r="920" spans="1:24" ht="21.95" customHeight="1" x14ac:dyDescent="0.2">
      <c r="B920" t="s">
        <v>1587</v>
      </c>
      <c r="C920" s="5" t="s">
        <v>2008</v>
      </c>
      <c r="D920" s="6" t="s">
        <v>29</v>
      </c>
      <c r="K920" s="7">
        <v>44005086</v>
      </c>
      <c r="L920" s="5" t="str">
        <f t="shared" si="96"/>
        <v>GŞ VELAR ORTA SEHPA</v>
      </c>
      <c r="Q920" s="12"/>
      <c r="T920" s="12">
        <v>6200</v>
      </c>
      <c r="U920" s="12"/>
      <c r="V920" s="8">
        <f t="shared" si="104"/>
        <v>5580</v>
      </c>
      <c r="W920" s="8">
        <f t="shared" si="105"/>
        <v>13950</v>
      </c>
      <c r="X920" s="8">
        <f t="shared" si="103"/>
        <v>13900</v>
      </c>
    </row>
    <row r="921" spans="1:24" ht="21.95" customHeight="1" x14ac:dyDescent="0.2">
      <c r="B921" t="s">
        <v>1587</v>
      </c>
      <c r="C921" s="5" t="s">
        <v>2008</v>
      </c>
      <c r="D921" s="6" t="s">
        <v>1862</v>
      </c>
      <c r="K921" s="7">
        <v>44005087</v>
      </c>
      <c r="L921" s="5" t="str">
        <f t="shared" si="96"/>
        <v xml:space="preserve">GŞ VELAR YAN SEHPA </v>
      </c>
      <c r="Q921" s="12"/>
      <c r="T921" s="12">
        <v>8695</v>
      </c>
      <c r="U921" s="12"/>
      <c r="V921" s="8">
        <f t="shared" si="104"/>
        <v>7825.5</v>
      </c>
      <c r="W921" s="8">
        <f t="shared" si="105"/>
        <v>19563.75</v>
      </c>
      <c r="X921" s="8">
        <f t="shared" si="103"/>
        <v>19500</v>
      </c>
    </row>
    <row r="922" spans="1:24" ht="21.95" customHeight="1" x14ac:dyDescent="0.2">
      <c r="B922" t="s">
        <v>1587</v>
      </c>
      <c r="C922" s="5" t="s">
        <v>2008</v>
      </c>
      <c r="D922" s="6" t="s">
        <v>2010</v>
      </c>
      <c r="K922" s="7">
        <v>44005088</v>
      </c>
      <c r="L922" s="5" t="str">
        <f t="shared" si="96"/>
        <v xml:space="preserve">GŞ VELAR C SEHPA </v>
      </c>
      <c r="Q922" s="12"/>
      <c r="T922" s="12">
        <v>12275</v>
      </c>
      <c r="U922" s="12"/>
      <c r="V922" s="8">
        <f t="shared" si="104"/>
        <v>11047.5</v>
      </c>
      <c r="W922" s="8">
        <f t="shared" si="105"/>
        <v>27618.75</v>
      </c>
      <c r="X922" s="8">
        <f t="shared" si="103"/>
        <v>27600</v>
      </c>
    </row>
    <row r="923" spans="1:24" ht="21.95" customHeight="1" x14ac:dyDescent="0.2">
      <c r="B923" t="s">
        <v>1587</v>
      </c>
      <c r="C923" s="5" t="s">
        <v>261</v>
      </c>
      <c r="D923" s="6" t="s">
        <v>375</v>
      </c>
      <c r="K923" s="7">
        <v>44005089</v>
      </c>
      <c r="L923" s="5" t="str">
        <f t="shared" si="96"/>
        <v xml:space="preserve">GŞ GUCCİ MASA </v>
      </c>
      <c r="Q923" s="12"/>
      <c r="T923" s="12">
        <v>13995</v>
      </c>
      <c r="U923" s="12"/>
      <c r="V923" s="8">
        <f t="shared" si="104"/>
        <v>12595.5</v>
      </c>
      <c r="W923" s="8">
        <f t="shared" si="105"/>
        <v>31488.75</v>
      </c>
      <c r="X923" s="8">
        <f t="shared" si="103"/>
        <v>31400</v>
      </c>
    </row>
    <row r="924" spans="1:24" ht="21.95" customHeight="1" x14ac:dyDescent="0.2">
      <c r="B924" t="s">
        <v>1587</v>
      </c>
      <c r="C924" s="5" t="s">
        <v>261</v>
      </c>
      <c r="D924" s="6" t="s">
        <v>194</v>
      </c>
      <c r="K924" s="7">
        <v>44005090</v>
      </c>
      <c r="L924" s="5" t="str">
        <f t="shared" si="96"/>
        <v xml:space="preserve">GŞ GUCCİ KONSOL </v>
      </c>
      <c r="Q924" s="12"/>
      <c r="T924" s="12">
        <v>13780</v>
      </c>
      <c r="U924" s="12"/>
      <c r="V924" s="8">
        <f t="shared" si="104"/>
        <v>12402</v>
      </c>
      <c r="W924" s="8">
        <f t="shared" si="105"/>
        <v>31005</v>
      </c>
      <c r="X924" s="8">
        <f t="shared" si="103"/>
        <v>31000</v>
      </c>
    </row>
    <row r="925" spans="1:24" ht="21.95" customHeight="1" x14ac:dyDescent="0.2">
      <c r="B925" t="s">
        <v>1587</v>
      </c>
      <c r="C925" s="5" t="s">
        <v>261</v>
      </c>
      <c r="D925" s="6" t="s">
        <v>21</v>
      </c>
      <c r="K925" s="7">
        <v>44005091</v>
      </c>
      <c r="L925" s="5" t="str">
        <f t="shared" si="96"/>
        <v>GŞ GUCCİ KONSOL AYNASI</v>
      </c>
      <c r="Q925" s="12"/>
      <c r="T925" s="12">
        <v>3415</v>
      </c>
      <c r="U925" s="12"/>
      <c r="V925" s="8">
        <f t="shared" si="104"/>
        <v>3073.5</v>
      </c>
      <c r="W925" s="8">
        <f t="shared" si="105"/>
        <v>7683.75</v>
      </c>
      <c r="X925" s="8">
        <f t="shared" si="103"/>
        <v>7600</v>
      </c>
    </row>
    <row r="926" spans="1:24" ht="21.95" customHeight="1" x14ac:dyDescent="0.2">
      <c r="B926" t="s">
        <v>1587</v>
      </c>
      <c r="C926" s="5" t="s">
        <v>261</v>
      </c>
      <c r="D926" s="6" t="s">
        <v>2009</v>
      </c>
      <c r="K926" s="7">
        <v>44005092</v>
      </c>
      <c r="L926" s="5" t="str">
        <f t="shared" si="96"/>
        <v xml:space="preserve">GŞ GUCCİ TV ALT MODÜL </v>
      </c>
      <c r="Q926" s="12"/>
      <c r="T926" s="12">
        <v>38145</v>
      </c>
      <c r="U926" s="12"/>
      <c r="V926" s="8">
        <f t="shared" si="104"/>
        <v>34330.5</v>
      </c>
      <c r="W926" s="8">
        <f t="shared" si="105"/>
        <v>85826.25</v>
      </c>
      <c r="X926" s="8">
        <f t="shared" si="103"/>
        <v>85800</v>
      </c>
    </row>
    <row r="927" spans="1:24" ht="21.95" customHeight="1" x14ac:dyDescent="0.2">
      <c r="B927" t="s">
        <v>1587</v>
      </c>
      <c r="C927" s="5" t="s">
        <v>261</v>
      </c>
      <c r="D927" s="6" t="s">
        <v>29</v>
      </c>
      <c r="K927" s="7">
        <v>44005093</v>
      </c>
      <c r="L927" s="5" t="str">
        <f t="shared" si="96"/>
        <v>GŞ GUCCİ ORTA SEHPA</v>
      </c>
      <c r="Q927" s="12"/>
      <c r="T927" s="12">
        <v>11430</v>
      </c>
      <c r="U927" s="12"/>
      <c r="V927" s="8">
        <f t="shared" si="104"/>
        <v>10287</v>
      </c>
      <c r="W927" s="8">
        <f t="shared" si="105"/>
        <v>25717.5</v>
      </c>
      <c r="X927" s="8">
        <f t="shared" si="103"/>
        <v>25700</v>
      </c>
    </row>
    <row r="928" spans="1:24" ht="21.95" customHeight="1" x14ac:dyDescent="0.2">
      <c r="B928" t="s">
        <v>1587</v>
      </c>
      <c r="C928" s="5" t="s">
        <v>261</v>
      </c>
      <c r="D928" s="6" t="s">
        <v>1862</v>
      </c>
      <c r="K928" s="7">
        <v>44005094</v>
      </c>
      <c r="L928" s="5" t="str">
        <f t="shared" si="96"/>
        <v xml:space="preserve">GŞ GUCCİ YAN SEHPA </v>
      </c>
      <c r="Q928" s="12"/>
      <c r="T928" s="12">
        <v>11215</v>
      </c>
      <c r="U928" s="12"/>
      <c r="V928" s="8">
        <f t="shared" si="104"/>
        <v>10093.5</v>
      </c>
      <c r="W928" s="8">
        <f t="shared" si="105"/>
        <v>25233.75</v>
      </c>
      <c r="X928" s="8">
        <f t="shared" si="103"/>
        <v>25200</v>
      </c>
    </row>
    <row r="929" spans="1:24" ht="21.95" customHeight="1" x14ac:dyDescent="0.2">
      <c r="B929" t="s">
        <v>1587</v>
      </c>
      <c r="C929" s="5" t="s">
        <v>2008</v>
      </c>
      <c r="D929" s="5" t="s">
        <v>375</v>
      </c>
      <c r="K929" s="7">
        <v>44005095</v>
      </c>
      <c r="L929" s="5" t="str">
        <f t="shared" si="96"/>
        <v xml:space="preserve">GŞ VELAR MASA </v>
      </c>
      <c r="T929" s="12">
        <v>22800</v>
      </c>
      <c r="U929" s="12"/>
      <c r="V929" s="8">
        <f t="shared" si="104"/>
        <v>20520</v>
      </c>
      <c r="W929" s="8">
        <f t="shared" si="105"/>
        <v>51300</v>
      </c>
      <c r="X929" s="8">
        <f t="shared" si="103"/>
        <v>51300</v>
      </c>
    </row>
    <row r="930" spans="1:24" ht="21.95" customHeight="1" x14ac:dyDescent="0.2">
      <c r="B930" t="s">
        <v>1587</v>
      </c>
      <c r="C930" s="5" t="s">
        <v>2008</v>
      </c>
      <c r="D930" s="6" t="s">
        <v>194</v>
      </c>
      <c r="K930" s="7">
        <v>44005096</v>
      </c>
      <c r="L930" s="5" t="str">
        <f t="shared" si="96"/>
        <v xml:space="preserve">GŞ VELAR KONSOL </v>
      </c>
      <c r="T930" s="12">
        <v>9055</v>
      </c>
      <c r="U930" s="12"/>
      <c r="V930" s="8">
        <f t="shared" si="104"/>
        <v>8149.5</v>
      </c>
      <c r="W930" s="8">
        <f t="shared" si="105"/>
        <v>20373.75</v>
      </c>
      <c r="X930" s="8">
        <f t="shared" si="103"/>
        <v>20300</v>
      </c>
    </row>
    <row r="931" spans="1:24" ht="21.95" customHeight="1" x14ac:dyDescent="0.2">
      <c r="B931" t="s">
        <v>1587</v>
      </c>
      <c r="C931" s="5" t="s">
        <v>2008</v>
      </c>
      <c r="D931" s="6" t="s">
        <v>21</v>
      </c>
      <c r="K931" s="7">
        <v>44005097</v>
      </c>
      <c r="L931" s="5" t="str">
        <f t="shared" si="96"/>
        <v>GŞ VELAR KONSOL AYNASI</v>
      </c>
      <c r="T931" s="12">
        <v>3370</v>
      </c>
      <c r="U931" s="12"/>
      <c r="V931" s="8">
        <f t="shared" si="104"/>
        <v>3033</v>
      </c>
      <c r="W931" s="8">
        <f t="shared" si="105"/>
        <v>7582.5</v>
      </c>
      <c r="X931" s="8">
        <f t="shared" si="103"/>
        <v>7500</v>
      </c>
    </row>
    <row r="932" spans="1:24" ht="21.95" customHeight="1" x14ac:dyDescent="0.2">
      <c r="B932" t="s">
        <v>1587</v>
      </c>
      <c r="C932" s="5" t="s">
        <v>2008</v>
      </c>
      <c r="D932" s="6" t="s">
        <v>2009</v>
      </c>
      <c r="K932" s="7">
        <v>44005098</v>
      </c>
      <c r="L932" s="5" t="str">
        <f t="shared" si="96"/>
        <v xml:space="preserve">GŞ VELAR TV ALT MODÜL </v>
      </c>
      <c r="T932" s="12">
        <v>10540</v>
      </c>
      <c r="U932" s="12"/>
      <c r="V932" s="8">
        <f t="shared" si="104"/>
        <v>9486</v>
      </c>
      <c r="W932" s="8">
        <f t="shared" si="105"/>
        <v>23715</v>
      </c>
      <c r="X932" s="8">
        <f t="shared" si="103"/>
        <v>23700</v>
      </c>
    </row>
    <row r="933" spans="1:24" ht="21.95" customHeight="1" x14ac:dyDescent="0.2">
      <c r="B933" t="s">
        <v>1587</v>
      </c>
      <c r="C933" s="5" t="s">
        <v>2008</v>
      </c>
      <c r="D933" s="6" t="s">
        <v>29</v>
      </c>
      <c r="K933" s="7">
        <v>44005099</v>
      </c>
      <c r="L933" s="5" t="str">
        <f t="shared" si="96"/>
        <v>GŞ VELAR ORTA SEHPA</v>
      </c>
      <c r="T933" s="12">
        <v>16950</v>
      </c>
      <c r="U933" s="12"/>
      <c r="V933" s="8">
        <f t="shared" si="104"/>
        <v>15255</v>
      </c>
      <c r="W933" s="8">
        <f t="shared" si="105"/>
        <v>38137.5</v>
      </c>
      <c r="X933" s="8">
        <f t="shared" si="103"/>
        <v>38100</v>
      </c>
    </row>
    <row r="934" spans="1:24" ht="21.95" customHeight="1" x14ac:dyDescent="0.2">
      <c r="B934" t="s">
        <v>1587</v>
      </c>
      <c r="C934" s="5" t="s">
        <v>2008</v>
      </c>
      <c r="D934" s="6" t="s">
        <v>1862</v>
      </c>
      <c r="K934" s="7">
        <v>44005100</v>
      </c>
      <c r="L934" s="5" t="str">
        <f t="shared" ref="L934:L941" si="106">B934&amp;" "&amp;C934&amp;" "&amp;D934</f>
        <v xml:space="preserve">GŞ VELAR YAN SEHPA </v>
      </c>
      <c r="T934" s="12">
        <v>4260</v>
      </c>
      <c r="U934" s="12"/>
      <c r="V934" s="8">
        <f t="shared" si="104"/>
        <v>3834</v>
      </c>
      <c r="W934" s="8">
        <f t="shared" si="105"/>
        <v>9585</v>
      </c>
      <c r="X934" s="8">
        <f t="shared" si="103"/>
        <v>9500</v>
      </c>
    </row>
    <row r="935" spans="1:24" ht="21.95" customHeight="1" x14ac:dyDescent="0.2">
      <c r="B935" t="s">
        <v>1587</v>
      </c>
      <c r="C935" s="5" t="s">
        <v>2008</v>
      </c>
      <c r="D935" s="6" t="s">
        <v>2010</v>
      </c>
      <c r="K935" s="7">
        <v>44005101</v>
      </c>
      <c r="L935" s="5" t="str">
        <f t="shared" si="106"/>
        <v xml:space="preserve">GŞ VELAR C SEHPA </v>
      </c>
      <c r="T935" s="12">
        <v>14380</v>
      </c>
      <c r="U935" s="12"/>
      <c r="V935" s="8">
        <f t="shared" si="104"/>
        <v>12942</v>
      </c>
      <c r="W935" s="8">
        <f t="shared" si="105"/>
        <v>32355</v>
      </c>
      <c r="X935" s="8">
        <f t="shared" si="103"/>
        <v>32300</v>
      </c>
    </row>
    <row r="936" spans="1:24" ht="21.95" customHeight="1" x14ac:dyDescent="0.2">
      <c r="B936" t="s">
        <v>1587</v>
      </c>
      <c r="C936" s="5" t="s">
        <v>261</v>
      </c>
      <c r="D936" s="6" t="s">
        <v>375</v>
      </c>
      <c r="K936" s="7">
        <v>44005102</v>
      </c>
      <c r="L936" s="5" t="str">
        <f t="shared" si="106"/>
        <v xml:space="preserve">GŞ GUCCİ MASA </v>
      </c>
      <c r="T936" s="12">
        <v>22800</v>
      </c>
      <c r="U936" s="12"/>
      <c r="V936" s="8">
        <f t="shared" si="104"/>
        <v>20520</v>
      </c>
      <c r="W936" s="8">
        <f t="shared" si="105"/>
        <v>51300</v>
      </c>
      <c r="X936" s="8">
        <f t="shared" si="103"/>
        <v>51300</v>
      </c>
    </row>
    <row r="937" spans="1:24" ht="21.95" customHeight="1" x14ac:dyDescent="0.2">
      <c r="B937" t="s">
        <v>1587</v>
      </c>
      <c r="C937" s="5" t="s">
        <v>261</v>
      </c>
      <c r="D937" s="6" t="s">
        <v>194</v>
      </c>
      <c r="K937" s="7">
        <v>44005103</v>
      </c>
      <c r="L937" s="5" t="str">
        <f t="shared" si="106"/>
        <v xml:space="preserve">GŞ GUCCİ KONSOL </v>
      </c>
      <c r="T937" s="12">
        <v>5510</v>
      </c>
      <c r="U937" s="12"/>
      <c r="V937" s="8">
        <f t="shared" si="104"/>
        <v>4959</v>
      </c>
      <c r="W937" s="8">
        <f t="shared" si="105"/>
        <v>12397.5</v>
      </c>
      <c r="X937" s="8">
        <f t="shared" si="103"/>
        <v>12300</v>
      </c>
    </row>
    <row r="938" spans="1:24" ht="21.95" customHeight="1" x14ac:dyDescent="0.2">
      <c r="B938" t="s">
        <v>1587</v>
      </c>
      <c r="C938" s="5" t="s">
        <v>261</v>
      </c>
      <c r="D938" s="6" t="s">
        <v>21</v>
      </c>
      <c r="K938" s="7">
        <v>44005104</v>
      </c>
      <c r="L938" s="5" t="str">
        <f t="shared" si="106"/>
        <v>GŞ GUCCİ KONSOL AYNASI</v>
      </c>
      <c r="T938" s="12">
        <v>8370</v>
      </c>
      <c r="U938" s="12"/>
      <c r="V938" s="8">
        <f t="shared" si="104"/>
        <v>7533</v>
      </c>
      <c r="W938" s="8">
        <f t="shared" si="105"/>
        <v>18832.5</v>
      </c>
      <c r="X938" s="8">
        <f t="shared" si="103"/>
        <v>18800</v>
      </c>
    </row>
    <row r="939" spans="1:24" ht="21.95" customHeight="1" x14ac:dyDescent="0.2">
      <c r="B939" t="s">
        <v>1587</v>
      </c>
      <c r="C939" s="5" t="s">
        <v>261</v>
      </c>
      <c r="D939" s="6" t="s">
        <v>2009</v>
      </c>
      <c r="K939" s="7">
        <v>44005105</v>
      </c>
      <c r="L939" s="5" t="str">
        <f t="shared" si="106"/>
        <v xml:space="preserve">GŞ GUCCİ TV ALT MODÜL </v>
      </c>
      <c r="T939" s="12">
        <v>14145</v>
      </c>
      <c r="U939" s="12"/>
      <c r="V939" s="8">
        <f t="shared" si="104"/>
        <v>12730.5</v>
      </c>
      <c r="W939" s="8">
        <f t="shared" si="105"/>
        <v>31826.25</v>
      </c>
      <c r="X939" s="8">
        <f t="shared" si="103"/>
        <v>31800</v>
      </c>
    </row>
    <row r="940" spans="1:24" ht="21.95" customHeight="1" x14ac:dyDescent="0.2">
      <c r="B940" t="s">
        <v>1587</v>
      </c>
      <c r="C940" s="5" t="s">
        <v>261</v>
      </c>
      <c r="D940" s="6" t="s">
        <v>29</v>
      </c>
      <c r="K940" s="7">
        <v>44005106</v>
      </c>
      <c r="L940" s="5" t="str">
        <f t="shared" si="106"/>
        <v>GŞ GUCCİ ORTA SEHPA</v>
      </c>
      <c r="T940" s="12">
        <v>2740</v>
      </c>
      <c r="U940" s="12"/>
      <c r="V940" s="8">
        <f t="shared" si="104"/>
        <v>2466</v>
      </c>
      <c r="W940" s="8">
        <f t="shared" si="105"/>
        <v>6165</v>
      </c>
      <c r="X940" s="8">
        <f t="shared" si="103"/>
        <v>6100</v>
      </c>
    </row>
    <row r="941" spans="1:24" ht="21.95" customHeight="1" x14ac:dyDescent="0.2">
      <c r="B941" t="s">
        <v>1587</v>
      </c>
      <c r="C941" s="5" t="s">
        <v>261</v>
      </c>
      <c r="D941" s="6" t="s">
        <v>1862</v>
      </c>
      <c r="K941" s="7">
        <v>44005107</v>
      </c>
      <c r="L941" s="5" t="str">
        <f t="shared" si="106"/>
        <v xml:space="preserve">GŞ GUCCİ YAN SEHPA </v>
      </c>
      <c r="T941" s="12">
        <v>40605</v>
      </c>
      <c r="U941" s="12"/>
      <c r="V941" s="8">
        <f t="shared" si="104"/>
        <v>36544.5</v>
      </c>
      <c r="W941" s="8">
        <f t="shared" si="105"/>
        <v>91361.25</v>
      </c>
      <c r="X941" s="8">
        <f t="shared" si="103"/>
        <v>91300</v>
      </c>
    </row>
    <row r="942" spans="1:24" ht="21.95" customHeight="1" x14ac:dyDescent="0.2">
      <c r="A942" s="5" t="s">
        <v>17</v>
      </c>
      <c r="B942" s="5" t="s">
        <v>1583</v>
      </c>
      <c r="C942" s="5" t="s">
        <v>503</v>
      </c>
      <c r="D942" s="6" t="s">
        <v>49</v>
      </c>
      <c r="E942" s="6"/>
      <c r="G942" s="6">
        <v>230</v>
      </c>
      <c r="H942" s="5">
        <v>53</v>
      </c>
      <c r="K942" s="7">
        <v>44005109</v>
      </c>
      <c r="L942" s="5" t="str">
        <f t="shared" ref="L942:L983" si="107">B942&amp;" "&amp;C942&amp;" "&amp;D942&amp;" "&amp;G942&amp;"x"&amp;H942</f>
        <v>BR FABIO KONSOL 230x53</v>
      </c>
      <c r="M942" s="8">
        <v>0.15</v>
      </c>
      <c r="N942" s="8">
        <v>0.05</v>
      </c>
      <c r="O942" s="8">
        <v>27906</v>
      </c>
      <c r="P942" s="8">
        <f t="shared" ref="P942:P1005" si="108">O942*(1-N942)</f>
        <v>26510.699999999997</v>
      </c>
      <c r="Q942" s="12">
        <f t="shared" ref="Q942:Q1005" si="109">O942*(1-N942)*2.1</f>
        <v>55672.469999999994</v>
      </c>
      <c r="R942" s="31">
        <f t="shared" ref="R942:R1005" si="110">ROUNDDOWN(Q942,-2)</f>
        <v>55600</v>
      </c>
      <c r="T942" s="12">
        <v>9030</v>
      </c>
      <c r="U942" s="12"/>
      <c r="V942" s="8">
        <f t="shared" si="104"/>
        <v>8127</v>
      </c>
      <c r="W942" s="8">
        <f t="shared" si="105"/>
        <v>20317.5</v>
      </c>
      <c r="X942" s="8">
        <f t="shared" si="103"/>
        <v>20300</v>
      </c>
    </row>
    <row r="943" spans="1:24" ht="21.95" customHeight="1" x14ac:dyDescent="0.2">
      <c r="A943" s="5" t="s">
        <v>17</v>
      </c>
      <c r="B943" s="5" t="s">
        <v>1583</v>
      </c>
      <c r="C943" s="5" t="s">
        <v>503</v>
      </c>
      <c r="D943" s="6" t="s">
        <v>155</v>
      </c>
      <c r="E943" s="6"/>
      <c r="G943" s="5">
        <v>208</v>
      </c>
      <c r="H943" s="5">
        <v>94.5</v>
      </c>
      <c r="K943" s="7">
        <v>44005110</v>
      </c>
      <c r="L943" s="5" t="str">
        <f t="shared" si="107"/>
        <v>BR FABIO MASA 208x94,5</v>
      </c>
      <c r="M943" s="8">
        <v>0.15</v>
      </c>
      <c r="N943" s="8">
        <v>0.05</v>
      </c>
      <c r="O943" s="8">
        <v>18281</v>
      </c>
      <c r="P943" s="8">
        <f t="shared" si="108"/>
        <v>17366.95</v>
      </c>
      <c r="Q943" s="12">
        <f t="shared" si="109"/>
        <v>36470.595000000001</v>
      </c>
      <c r="R943" s="31">
        <f t="shared" si="110"/>
        <v>36400</v>
      </c>
      <c r="T943" s="12">
        <v>8970</v>
      </c>
      <c r="U943" s="12"/>
      <c r="V943" s="8">
        <f t="shared" si="104"/>
        <v>8073</v>
      </c>
      <c r="W943" s="8">
        <f t="shared" si="105"/>
        <v>20182.5</v>
      </c>
      <c r="X943" s="8">
        <f t="shared" si="103"/>
        <v>20100</v>
      </c>
    </row>
    <row r="944" spans="1:24" ht="21.95" customHeight="1" x14ac:dyDescent="0.2">
      <c r="A944" s="5" t="s">
        <v>17</v>
      </c>
      <c r="B944" s="5" t="s">
        <v>1583</v>
      </c>
      <c r="C944" s="5" t="s">
        <v>503</v>
      </c>
      <c r="D944" s="6" t="s">
        <v>25</v>
      </c>
      <c r="E944" s="6"/>
      <c r="G944" s="5">
        <v>55</v>
      </c>
      <c r="H944" s="5">
        <v>65</v>
      </c>
      <c r="K944" s="7">
        <v>44005111</v>
      </c>
      <c r="L944" s="5" t="str">
        <f t="shared" si="107"/>
        <v>BR FABIO SANDALYE 55x65</v>
      </c>
      <c r="M944" s="8">
        <v>0.15</v>
      </c>
      <c r="N944" s="8">
        <v>0.05</v>
      </c>
      <c r="O944" s="8">
        <v>4747</v>
      </c>
      <c r="P944" s="8">
        <f t="shared" si="108"/>
        <v>4509.6499999999996</v>
      </c>
      <c r="Q944" s="12">
        <f t="shared" si="109"/>
        <v>9470.2649999999994</v>
      </c>
      <c r="R944" s="31">
        <f t="shared" si="110"/>
        <v>9400</v>
      </c>
      <c r="T944" s="12">
        <v>22535</v>
      </c>
      <c r="U944" s="12"/>
      <c r="V944" s="8">
        <f t="shared" si="104"/>
        <v>20281.5</v>
      </c>
      <c r="W944" s="8">
        <f t="shared" si="105"/>
        <v>50703.75</v>
      </c>
      <c r="X944" s="8">
        <f t="shared" si="103"/>
        <v>50700</v>
      </c>
    </row>
    <row r="945" spans="1:24" ht="21.95" customHeight="1" x14ac:dyDescent="0.2">
      <c r="A945" s="5" t="s">
        <v>17</v>
      </c>
      <c r="B945" s="5" t="s">
        <v>1583</v>
      </c>
      <c r="C945" s="5" t="s">
        <v>503</v>
      </c>
      <c r="D945" s="6" t="s">
        <v>102</v>
      </c>
      <c r="E945" s="6"/>
      <c r="G945" s="6">
        <v>230</v>
      </c>
      <c r="H945" s="6">
        <v>53</v>
      </c>
      <c r="I945" s="9"/>
      <c r="J945" s="9"/>
      <c r="K945" s="7">
        <v>44005113</v>
      </c>
      <c r="L945" s="5" t="str">
        <f t="shared" si="107"/>
        <v>BR FABIO TV ÜNİTESİ ALT BLOK 230x53</v>
      </c>
      <c r="M945" s="8">
        <v>0.15</v>
      </c>
      <c r="N945" s="8">
        <v>0.05</v>
      </c>
      <c r="O945" s="8">
        <v>22328</v>
      </c>
      <c r="P945" s="8">
        <f t="shared" si="108"/>
        <v>21211.599999999999</v>
      </c>
      <c r="Q945" s="12">
        <f t="shared" si="109"/>
        <v>44544.36</v>
      </c>
      <c r="R945" s="31">
        <f t="shared" si="110"/>
        <v>44500</v>
      </c>
      <c r="T945" s="12">
        <v>14350</v>
      </c>
      <c r="U945" s="12"/>
      <c r="V945" s="8">
        <f t="shared" si="104"/>
        <v>12915</v>
      </c>
      <c r="W945" s="8">
        <f t="shared" si="105"/>
        <v>32287.5</v>
      </c>
      <c r="X945" s="8">
        <f t="shared" si="103"/>
        <v>32200</v>
      </c>
    </row>
    <row r="946" spans="1:24" ht="21.95" customHeight="1" x14ac:dyDescent="0.2">
      <c r="A946" s="5" t="s">
        <v>17</v>
      </c>
      <c r="B946" s="5" t="s">
        <v>1583</v>
      </c>
      <c r="C946" s="5" t="s">
        <v>503</v>
      </c>
      <c r="D946" s="6" t="s">
        <v>46</v>
      </c>
      <c r="E946" s="6"/>
      <c r="G946" s="6">
        <v>138</v>
      </c>
      <c r="H946" s="6">
        <v>20</v>
      </c>
      <c r="I946" s="9"/>
      <c r="J946" s="9"/>
      <c r="K946" s="7">
        <v>44005114</v>
      </c>
      <c r="L946" s="5" t="str">
        <f t="shared" si="107"/>
        <v>BR FABIO TV ÜNİTESİ ÜST BLOK 138x20</v>
      </c>
      <c r="M946" s="8">
        <v>0.15</v>
      </c>
      <c r="N946" s="8">
        <v>0.05</v>
      </c>
      <c r="O946" s="8">
        <v>4306</v>
      </c>
      <c r="P946" s="8">
        <f t="shared" si="108"/>
        <v>4090.7</v>
      </c>
      <c r="Q946" s="12">
        <f t="shared" si="109"/>
        <v>8590.4699999999993</v>
      </c>
      <c r="R946" s="31">
        <f t="shared" si="110"/>
        <v>8500</v>
      </c>
      <c r="T946" s="12">
        <v>20150</v>
      </c>
      <c r="U946" s="12"/>
      <c r="V946" s="8">
        <f t="shared" si="104"/>
        <v>18135</v>
      </c>
      <c r="W946" s="8">
        <f t="shared" si="105"/>
        <v>45337.5</v>
      </c>
      <c r="X946" s="8">
        <f t="shared" si="103"/>
        <v>45300</v>
      </c>
    </row>
    <row r="947" spans="1:24" ht="21.95" customHeight="1" x14ac:dyDescent="0.2">
      <c r="A947" s="5" t="s">
        <v>17</v>
      </c>
      <c r="B947" s="5" t="s">
        <v>1583</v>
      </c>
      <c r="C947" s="5" t="s">
        <v>503</v>
      </c>
      <c r="D947" s="6" t="s">
        <v>219</v>
      </c>
      <c r="E947" s="6"/>
      <c r="G947" s="6">
        <v>55</v>
      </c>
      <c r="H947" s="6">
        <v>20</v>
      </c>
      <c r="I947" s="9"/>
      <c r="J947" s="9"/>
      <c r="K947" s="7">
        <v>44005115</v>
      </c>
      <c r="L947" s="5" t="str">
        <f t="shared" si="107"/>
        <v>BR FABIO TV ÜNİTESİ RAF 55x20</v>
      </c>
      <c r="M947" s="8">
        <v>0.15</v>
      </c>
      <c r="N947" s="8">
        <v>0.05</v>
      </c>
      <c r="O947" s="8">
        <v>4365</v>
      </c>
      <c r="P947" s="8">
        <f t="shared" si="108"/>
        <v>4146.75</v>
      </c>
      <c r="Q947" s="12">
        <f t="shared" si="109"/>
        <v>8708.1750000000011</v>
      </c>
      <c r="R947" s="31">
        <f t="shared" si="110"/>
        <v>8700</v>
      </c>
      <c r="T947" s="12">
        <v>3510</v>
      </c>
      <c r="U947" s="12"/>
      <c r="V947" s="8">
        <f t="shared" si="104"/>
        <v>3159</v>
      </c>
      <c r="W947" s="8">
        <f t="shared" si="105"/>
        <v>7897.5</v>
      </c>
      <c r="X947" s="8">
        <f t="shared" si="103"/>
        <v>7800</v>
      </c>
    </row>
    <row r="948" spans="1:24" ht="21.95" customHeight="1" x14ac:dyDescent="0.2">
      <c r="A948" s="5" t="s">
        <v>17</v>
      </c>
      <c r="B948" s="5" t="s">
        <v>1583</v>
      </c>
      <c r="C948" s="5" t="s">
        <v>503</v>
      </c>
      <c r="D948" s="6" t="s">
        <v>29</v>
      </c>
      <c r="E948" s="6"/>
      <c r="G948" s="6">
        <v>114</v>
      </c>
      <c r="H948" s="6">
        <v>123</v>
      </c>
      <c r="K948" s="7">
        <v>44005116</v>
      </c>
      <c r="L948" s="5" t="str">
        <f t="shared" si="107"/>
        <v>BR FABIO ORTA SEHPA 114x123</v>
      </c>
      <c r="M948" s="8">
        <v>0.15</v>
      </c>
      <c r="N948" s="8">
        <v>0.05</v>
      </c>
      <c r="O948" s="8">
        <v>8286</v>
      </c>
      <c r="P948" s="8">
        <f t="shared" si="108"/>
        <v>7871.7</v>
      </c>
      <c r="Q948" s="12">
        <f t="shared" si="109"/>
        <v>16530.57</v>
      </c>
      <c r="R948" s="31">
        <f t="shared" si="110"/>
        <v>16500</v>
      </c>
      <c r="T948" s="12">
        <v>16960</v>
      </c>
      <c r="U948" s="12"/>
      <c r="V948" s="8">
        <f t="shared" si="104"/>
        <v>15264</v>
      </c>
      <c r="W948" s="8">
        <f t="shared" si="105"/>
        <v>38160</v>
      </c>
      <c r="X948" s="8">
        <f t="shared" si="103"/>
        <v>38100</v>
      </c>
    </row>
    <row r="949" spans="1:24" ht="21.95" customHeight="1" x14ac:dyDescent="0.2">
      <c r="A949" s="5" t="s">
        <v>17</v>
      </c>
      <c r="B949" s="5" t="s">
        <v>1583</v>
      </c>
      <c r="C949" s="5" t="s">
        <v>503</v>
      </c>
      <c r="D949" s="6" t="s">
        <v>30</v>
      </c>
      <c r="E949" s="6"/>
      <c r="G949" s="6">
        <v>56</v>
      </c>
      <c r="H949" s="6">
        <v>56</v>
      </c>
      <c r="I949" s="9"/>
      <c r="J949" s="9"/>
      <c r="K949" s="7">
        <v>44005117</v>
      </c>
      <c r="L949" s="5" t="str">
        <f t="shared" si="107"/>
        <v>BR FABIO YAN SEHPA 56x56</v>
      </c>
      <c r="M949" s="8">
        <v>0.15</v>
      </c>
      <c r="N949" s="8">
        <v>0.05</v>
      </c>
      <c r="O949" s="8">
        <v>6337</v>
      </c>
      <c r="P949" s="8">
        <f t="shared" si="108"/>
        <v>6020.15</v>
      </c>
      <c r="Q949" s="12">
        <f t="shared" si="109"/>
        <v>12642.315000000001</v>
      </c>
      <c r="R949" s="31">
        <f t="shared" si="110"/>
        <v>12600</v>
      </c>
      <c r="T949" s="12">
        <v>4485</v>
      </c>
      <c r="U949" s="12"/>
      <c r="V949" s="8">
        <f t="shared" si="104"/>
        <v>4036.5</v>
      </c>
      <c r="W949" s="8">
        <f t="shared" si="105"/>
        <v>10091.25</v>
      </c>
      <c r="X949" s="8">
        <f t="shared" si="103"/>
        <v>10000</v>
      </c>
    </row>
    <row r="950" spans="1:24" ht="21.95" customHeight="1" x14ac:dyDescent="0.2">
      <c r="A950" s="5" t="s">
        <v>17</v>
      </c>
      <c r="B950" s="5" t="s">
        <v>1583</v>
      </c>
      <c r="C950" s="5" t="s">
        <v>503</v>
      </c>
      <c r="D950" s="6" t="s">
        <v>406</v>
      </c>
      <c r="E950" s="6"/>
      <c r="G950" s="6">
        <v>92</v>
      </c>
      <c r="H950" s="6">
        <v>42</v>
      </c>
      <c r="I950" s="9"/>
      <c r="J950" s="9"/>
      <c r="K950" s="7">
        <v>44005118</v>
      </c>
      <c r="L950" s="5" t="str">
        <f t="shared" si="107"/>
        <v>BR FABIO KİTAPLIK 92x42</v>
      </c>
      <c r="M950" s="8">
        <v>0.15</v>
      </c>
      <c r="N950" s="8">
        <v>0.05</v>
      </c>
      <c r="O950" s="8">
        <v>12935</v>
      </c>
      <c r="P950" s="8">
        <f t="shared" si="108"/>
        <v>12288.25</v>
      </c>
      <c r="Q950" s="12">
        <f t="shared" si="109"/>
        <v>25805.325000000001</v>
      </c>
      <c r="R950" s="31">
        <f t="shared" si="110"/>
        <v>25800</v>
      </c>
      <c r="T950" s="12">
        <v>14575</v>
      </c>
      <c r="U950" s="12"/>
      <c r="V950" s="8">
        <f t="shared" si="104"/>
        <v>13117.5</v>
      </c>
      <c r="W950" s="8">
        <f t="shared" si="105"/>
        <v>32793.75</v>
      </c>
      <c r="X950" s="8">
        <f t="shared" si="103"/>
        <v>32700</v>
      </c>
    </row>
    <row r="951" spans="1:24" ht="21.95" customHeight="1" x14ac:dyDescent="0.2">
      <c r="A951" s="5" t="s">
        <v>17</v>
      </c>
      <c r="B951" s="5" t="s">
        <v>1583</v>
      </c>
      <c r="C951" s="5" t="s">
        <v>503</v>
      </c>
      <c r="D951" s="6" t="s">
        <v>152</v>
      </c>
      <c r="E951" s="6"/>
      <c r="G951" s="6">
        <v>100</v>
      </c>
      <c r="H951" s="6">
        <v>25</v>
      </c>
      <c r="I951" s="9"/>
      <c r="J951" s="9"/>
      <c r="K951" s="7">
        <v>44005119</v>
      </c>
      <c r="L951" s="5" t="str">
        <f t="shared" si="107"/>
        <v>BR FABIO AYNA 100x25</v>
      </c>
      <c r="M951" s="8">
        <v>0.15</v>
      </c>
      <c r="N951" s="8">
        <v>0.05</v>
      </c>
      <c r="O951" s="8">
        <v>3581</v>
      </c>
      <c r="P951" s="8">
        <f t="shared" si="108"/>
        <v>3401.95</v>
      </c>
      <c r="Q951" s="12">
        <f t="shared" si="109"/>
        <v>7144.0950000000003</v>
      </c>
      <c r="R951" s="31">
        <f t="shared" si="110"/>
        <v>7100</v>
      </c>
      <c r="T951" s="12">
        <v>24635</v>
      </c>
      <c r="U951" s="12"/>
      <c r="V951" s="8">
        <f t="shared" si="104"/>
        <v>22171.5</v>
      </c>
      <c r="W951" s="8">
        <f t="shared" si="105"/>
        <v>55428.75</v>
      </c>
      <c r="X951" s="8">
        <f t="shared" si="103"/>
        <v>55400</v>
      </c>
    </row>
    <row r="952" spans="1:24" ht="21.95" customHeight="1" x14ac:dyDescent="0.2">
      <c r="A952" s="5" t="s">
        <v>17</v>
      </c>
      <c r="B952" s="5" t="s">
        <v>1583</v>
      </c>
      <c r="C952" s="5" t="s">
        <v>503</v>
      </c>
      <c r="D952" s="6" t="s">
        <v>411</v>
      </c>
      <c r="E952" s="6"/>
      <c r="G952" s="6">
        <v>265</v>
      </c>
      <c r="H952" s="6">
        <v>94</v>
      </c>
      <c r="I952" s="9"/>
      <c r="J952" s="9"/>
      <c r="K952" s="7">
        <v>44005121</v>
      </c>
      <c r="L952" s="5" t="str">
        <f t="shared" si="107"/>
        <v>BR FABIO KANEPE 4 LÜ 265x94</v>
      </c>
      <c r="M952" s="8">
        <v>0.15</v>
      </c>
      <c r="N952" s="8">
        <v>0.05</v>
      </c>
      <c r="O952" s="8">
        <v>39039</v>
      </c>
      <c r="P952" s="8">
        <f t="shared" si="108"/>
        <v>37087.049999999996</v>
      </c>
      <c r="Q952" s="12">
        <f t="shared" si="109"/>
        <v>77882.804999999993</v>
      </c>
      <c r="R952" s="31">
        <f t="shared" si="110"/>
        <v>77800</v>
      </c>
      <c r="T952" s="12">
        <v>10185</v>
      </c>
      <c r="U952" s="12"/>
      <c r="V952" s="8">
        <f t="shared" si="104"/>
        <v>9166.5</v>
      </c>
      <c r="W952" s="8">
        <f t="shared" si="105"/>
        <v>22916.25</v>
      </c>
      <c r="X952" s="8">
        <f t="shared" ref="X952:X991" si="111">ROUNDDOWN(W952,-2)</f>
        <v>22900</v>
      </c>
    </row>
    <row r="953" spans="1:24" ht="21.95" customHeight="1" x14ac:dyDescent="0.2">
      <c r="A953" s="5" t="s">
        <v>17</v>
      </c>
      <c r="B953" s="5" t="s">
        <v>1583</v>
      </c>
      <c r="C953" s="5" t="s">
        <v>503</v>
      </c>
      <c r="D953" s="6" t="s">
        <v>411</v>
      </c>
      <c r="E953" s="6"/>
      <c r="G953" s="6">
        <v>325</v>
      </c>
      <c r="H953" s="6">
        <v>94</v>
      </c>
      <c r="K953" s="7">
        <v>44005122</v>
      </c>
      <c r="L953" s="5" t="str">
        <f t="shared" si="107"/>
        <v>BR FABIO KANEPE 4 LÜ 325x94</v>
      </c>
      <c r="M953" s="8">
        <v>0.15</v>
      </c>
      <c r="N953" s="8">
        <v>0.05</v>
      </c>
      <c r="O953" s="8">
        <v>42070</v>
      </c>
      <c r="P953" s="8">
        <f t="shared" si="108"/>
        <v>39966.5</v>
      </c>
      <c r="Q953" s="12">
        <f t="shared" si="109"/>
        <v>83929.650000000009</v>
      </c>
      <c r="R953" s="31">
        <f t="shared" si="110"/>
        <v>83900</v>
      </c>
      <c r="T953" s="12">
        <v>13400</v>
      </c>
      <c r="U953" s="12"/>
      <c r="V953" s="8">
        <f t="shared" ref="V953:V991" si="112">T953*0.9</f>
        <v>12060</v>
      </c>
      <c r="W953" s="8">
        <f t="shared" ref="W953:W991" si="113">V953*2.5</f>
        <v>30150</v>
      </c>
      <c r="X953" s="8">
        <f t="shared" si="111"/>
        <v>30100</v>
      </c>
    </row>
    <row r="954" spans="1:24" ht="21.95" customHeight="1" x14ac:dyDescent="0.2">
      <c r="A954" s="5" t="s">
        <v>17</v>
      </c>
      <c r="B954" s="5" t="s">
        <v>1583</v>
      </c>
      <c r="C954" s="5" t="s">
        <v>503</v>
      </c>
      <c r="D954" s="6" t="s">
        <v>412</v>
      </c>
      <c r="E954" s="6"/>
      <c r="G954" s="6">
        <v>232</v>
      </c>
      <c r="H954" s="6">
        <v>94</v>
      </c>
      <c r="I954" s="9"/>
      <c r="J954" s="9"/>
      <c r="K954" s="7">
        <v>44005123</v>
      </c>
      <c r="L954" s="5" t="str">
        <f t="shared" si="107"/>
        <v>BR FABIO KANEPE 3 LÜ 232x94</v>
      </c>
      <c r="M954" s="8">
        <v>0.15</v>
      </c>
      <c r="N954" s="8">
        <v>0.05</v>
      </c>
      <c r="O954" s="8">
        <v>25385</v>
      </c>
      <c r="P954" s="8">
        <f t="shared" si="108"/>
        <v>24115.75</v>
      </c>
      <c r="Q954" s="12">
        <f t="shared" si="109"/>
        <v>50643.075000000004</v>
      </c>
      <c r="R954" s="31">
        <f t="shared" si="110"/>
        <v>50600</v>
      </c>
      <c r="T954" s="12">
        <v>12705</v>
      </c>
      <c r="U954" s="12"/>
      <c r="V954" s="8">
        <f t="shared" si="112"/>
        <v>11434.5</v>
      </c>
      <c r="W954" s="8">
        <f t="shared" si="113"/>
        <v>28586.25</v>
      </c>
      <c r="X954" s="8">
        <f t="shared" si="111"/>
        <v>28500</v>
      </c>
    </row>
    <row r="955" spans="1:24" ht="21.95" customHeight="1" x14ac:dyDescent="0.2">
      <c r="A955" s="5" t="s">
        <v>17</v>
      </c>
      <c r="B955" s="5" t="s">
        <v>1583</v>
      </c>
      <c r="C955" s="5" t="s">
        <v>503</v>
      </c>
      <c r="D955" s="6" t="s">
        <v>504</v>
      </c>
      <c r="E955" s="6"/>
      <c r="G955" s="6">
        <v>100</v>
      </c>
      <c r="H955" s="6">
        <v>94</v>
      </c>
      <c r="I955" s="9"/>
      <c r="J955" s="9"/>
      <c r="K955" s="7">
        <v>44005124</v>
      </c>
      <c r="L955" s="5" t="str">
        <f t="shared" si="107"/>
        <v>BR FABIO TEKLİ 100x94</v>
      </c>
      <c r="M955" s="8">
        <v>0.15</v>
      </c>
      <c r="N955" s="8">
        <v>0.05</v>
      </c>
      <c r="O955" s="8">
        <v>12852</v>
      </c>
      <c r="P955" s="8">
        <f t="shared" si="108"/>
        <v>12209.4</v>
      </c>
      <c r="Q955" s="12">
        <f t="shared" si="109"/>
        <v>25639.74</v>
      </c>
      <c r="R955" s="31">
        <f t="shared" si="110"/>
        <v>25600</v>
      </c>
      <c r="T955" s="12">
        <v>16960</v>
      </c>
      <c r="U955" s="12"/>
      <c r="V955" s="8">
        <f t="shared" si="112"/>
        <v>15264</v>
      </c>
      <c r="W955" s="8">
        <f t="shared" si="113"/>
        <v>38160</v>
      </c>
      <c r="X955" s="8">
        <f t="shared" si="111"/>
        <v>38100</v>
      </c>
    </row>
    <row r="956" spans="1:24" ht="21.95" customHeight="1" x14ac:dyDescent="0.2">
      <c r="A956" s="5" t="s">
        <v>17</v>
      </c>
      <c r="B956" s="5" t="s">
        <v>1583</v>
      </c>
      <c r="C956" s="5" t="s">
        <v>503</v>
      </c>
      <c r="D956" s="6" t="s">
        <v>33</v>
      </c>
      <c r="E956" s="6"/>
      <c r="G956" s="6">
        <v>70</v>
      </c>
      <c r="H956" s="6">
        <v>78</v>
      </c>
      <c r="I956" s="9"/>
      <c r="J956" s="9"/>
      <c r="K956" s="7">
        <v>44005125</v>
      </c>
      <c r="L956" s="5" t="str">
        <f t="shared" si="107"/>
        <v>BR FABIO BERJER 70x78</v>
      </c>
      <c r="M956" s="8">
        <v>0.15</v>
      </c>
      <c r="N956" s="8">
        <v>0.05</v>
      </c>
      <c r="O956" s="8">
        <v>16262</v>
      </c>
      <c r="P956" s="8">
        <f t="shared" si="108"/>
        <v>15448.9</v>
      </c>
      <c r="Q956" s="12">
        <f t="shared" si="109"/>
        <v>32442.690000000002</v>
      </c>
      <c r="R956" s="31">
        <f t="shared" si="110"/>
        <v>32400</v>
      </c>
      <c r="T956" s="12">
        <v>22960</v>
      </c>
      <c r="U956" s="12"/>
      <c r="V956" s="8">
        <f t="shared" si="112"/>
        <v>20664</v>
      </c>
      <c r="W956" s="8">
        <f t="shared" si="113"/>
        <v>51660</v>
      </c>
      <c r="X956" s="8">
        <f t="shared" si="111"/>
        <v>51600</v>
      </c>
    </row>
    <row r="957" spans="1:24" ht="21.95" customHeight="1" x14ac:dyDescent="0.2">
      <c r="A957" s="5" t="s">
        <v>17</v>
      </c>
      <c r="B957" s="5" t="s">
        <v>1583</v>
      </c>
      <c r="C957" s="5" t="s">
        <v>503</v>
      </c>
      <c r="D957" s="6" t="s">
        <v>158</v>
      </c>
      <c r="E957" s="6"/>
      <c r="G957" s="6">
        <v>116</v>
      </c>
      <c r="H957" s="6">
        <v>140</v>
      </c>
      <c r="K957" s="7">
        <v>44005126</v>
      </c>
      <c r="L957" s="5" t="str">
        <f t="shared" si="107"/>
        <v>BR FABIO RELAX MODÜL 116x140</v>
      </c>
      <c r="M957" s="8">
        <v>0.15</v>
      </c>
      <c r="N957" s="8">
        <v>0.05</v>
      </c>
      <c r="O957" s="8">
        <v>18290</v>
      </c>
      <c r="P957" s="8">
        <f t="shared" si="108"/>
        <v>17375.5</v>
      </c>
      <c r="Q957" s="12">
        <f t="shared" si="109"/>
        <v>36488.550000000003</v>
      </c>
      <c r="R957" s="31">
        <f t="shared" si="110"/>
        <v>36400</v>
      </c>
      <c r="T957" s="12">
        <v>4275</v>
      </c>
      <c r="U957" s="12"/>
      <c r="V957" s="8">
        <f t="shared" si="112"/>
        <v>3847.5</v>
      </c>
      <c r="W957" s="8">
        <f t="shared" si="113"/>
        <v>9618.75</v>
      </c>
      <c r="X957" s="8">
        <f t="shared" si="111"/>
        <v>9600</v>
      </c>
    </row>
    <row r="958" spans="1:24" ht="21.95" customHeight="1" x14ac:dyDescent="0.2">
      <c r="A958" s="5" t="s">
        <v>17</v>
      </c>
      <c r="B958" s="5" t="s">
        <v>1583</v>
      </c>
      <c r="C958" s="5" t="s">
        <v>503</v>
      </c>
      <c r="D958" s="6" t="s">
        <v>505</v>
      </c>
      <c r="E958" s="6"/>
      <c r="G958" s="6">
        <v>95</v>
      </c>
      <c r="H958" s="6">
        <v>94</v>
      </c>
      <c r="I958" s="9"/>
      <c r="J958" s="9"/>
      <c r="K958" s="7">
        <v>44005127</v>
      </c>
      <c r="L958" s="5" t="str">
        <f t="shared" si="107"/>
        <v>BR FABIO ARA MODÜL 95 LİK 95x94</v>
      </c>
      <c r="M958" s="8">
        <v>0.15</v>
      </c>
      <c r="N958" s="8">
        <v>0.05</v>
      </c>
      <c r="O958" s="8">
        <v>11894</v>
      </c>
      <c r="P958" s="8">
        <f t="shared" si="108"/>
        <v>11299.3</v>
      </c>
      <c r="Q958" s="12">
        <f t="shared" si="109"/>
        <v>23728.53</v>
      </c>
      <c r="R958" s="31">
        <f t="shared" si="110"/>
        <v>23700</v>
      </c>
      <c r="T958" s="12">
        <v>20130</v>
      </c>
      <c r="U958" s="12"/>
      <c r="V958" s="8">
        <f t="shared" si="112"/>
        <v>18117</v>
      </c>
      <c r="W958" s="8">
        <f t="shared" si="113"/>
        <v>45292.5</v>
      </c>
      <c r="X958" s="8">
        <f t="shared" si="111"/>
        <v>45200</v>
      </c>
    </row>
    <row r="959" spans="1:24" ht="21.95" customHeight="1" x14ac:dyDescent="0.2">
      <c r="A959" s="5" t="s">
        <v>17</v>
      </c>
      <c r="B959" s="5" t="s">
        <v>1583</v>
      </c>
      <c r="C959" s="5" t="s">
        <v>503</v>
      </c>
      <c r="D959" s="6" t="s">
        <v>59</v>
      </c>
      <c r="E959" s="6"/>
      <c r="G959" s="6">
        <v>104</v>
      </c>
      <c r="H959" s="6">
        <v>104</v>
      </c>
      <c r="I959" s="9"/>
      <c r="J959" s="9"/>
      <c r="K959" s="7">
        <v>44005128</v>
      </c>
      <c r="L959" s="5" t="str">
        <f t="shared" si="107"/>
        <v>BR FABIO KÖŞE MODÜL 104x104</v>
      </c>
      <c r="M959" s="8">
        <v>0.15</v>
      </c>
      <c r="N959" s="8">
        <v>0.05</v>
      </c>
      <c r="O959" s="8">
        <v>15920</v>
      </c>
      <c r="P959" s="8">
        <f t="shared" si="108"/>
        <v>15124</v>
      </c>
      <c r="Q959" s="12">
        <f t="shared" si="109"/>
        <v>31760.400000000001</v>
      </c>
      <c r="R959" s="31">
        <f t="shared" si="110"/>
        <v>31700</v>
      </c>
      <c r="T959" s="12">
        <v>8180</v>
      </c>
      <c r="U959" s="12"/>
      <c r="V959" s="8">
        <f t="shared" si="112"/>
        <v>7362</v>
      </c>
      <c r="W959" s="8">
        <f t="shared" si="113"/>
        <v>18405</v>
      </c>
      <c r="X959" s="8">
        <f t="shared" si="111"/>
        <v>18400</v>
      </c>
    </row>
    <row r="960" spans="1:24" ht="21.95" customHeight="1" x14ac:dyDescent="0.2">
      <c r="A960" s="5" t="s">
        <v>17</v>
      </c>
      <c r="B960" s="5" t="s">
        <v>1583</v>
      </c>
      <c r="C960" s="5" t="s">
        <v>503</v>
      </c>
      <c r="D960" s="6" t="s">
        <v>506</v>
      </c>
      <c r="E960" s="6"/>
      <c r="G960" s="6">
        <v>210</v>
      </c>
      <c r="H960" s="6">
        <v>94</v>
      </c>
      <c r="I960" s="9"/>
      <c r="J960" s="9"/>
      <c r="K960" s="7">
        <v>44005129</v>
      </c>
      <c r="L960" s="5" t="str">
        <f t="shared" si="107"/>
        <v>BR FABIO KANEPE MODÜL TEK KOLLU 210x94</v>
      </c>
      <c r="M960" s="8">
        <v>0.15</v>
      </c>
      <c r="N960" s="8">
        <v>0.05</v>
      </c>
      <c r="O960" s="8">
        <v>24013</v>
      </c>
      <c r="P960" s="8">
        <f t="shared" si="108"/>
        <v>22812.35</v>
      </c>
      <c r="Q960" s="12">
        <f t="shared" si="109"/>
        <v>47905.934999999998</v>
      </c>
      <c r="R960" s="31">
        <f t="shared" si="110"/>
        <v>47900</v>
      </c>
      <c r="T960" s="12">
        <v>7660</v>
      </c>
      <c r="U960" s="12"/>
      <c r="V960" s="8">
        <f t="shared" si="112"/>
        <v>6894</v>
      </c>
      <c r="W960" s="8">
        <f t="shared" si="113"/>
        <v>17235</v>
      </c>
      <c r="X960" s="8">
        <f t="shared" si="111"/>
        <v>17200</v>
      </c>
    </row>
    <row r="961" spans="1:24" ht="21.95" customHeight="1" x14ac:dyDescent="0.2">
      <c r="A961" s="5" t="s">
        <v>17</v>
      </c>
      <c r="B961" s="5" t="s">
        <v>1583</v>
      </c>
      <c r="C961" s="5" t="s">
        <v>503</v>
      </c>
      <c r="D961" s="6" t="s">
        <v>507</v>
      </c>
      <c r="E961" s="6"/>
      <c r="G961" s="6">
        <v>75</v>
      </c>
      <c r="H961" s="6">
        <v>94</v>
      </c>
      <c r="I961" s="9"/>
      <c r="J961" s="9"/>
      <c r="K961" s="7">
        <v>44005130</v>
      </c>
      <c r="L961" s="5" t="str">
        <f t="shared" si="107"/>
        <v>BR FABIO ARA MODÜL 75 LİK 75x94</v>
      </c>
      <c r="M961" s="8">
        <v>0.15</v>
      </c>
      <c r="N961" s="8">
        <v>0.05</v>
      </c>
      <c r="O961" s="8">
        <v>11051</v>
      </c>
      <c r="P961" s="8">
        <f t="shared" si="108"/>
        <v>10498.449999999999</v>
      </c>
      <c r="Q961" s="12">
        <f t="shared" si="109"/>
        <v>22046.744999999999</v>
      </c>
      <c r="R961" s="31">
        <f t="shared" si="110"/>
        <v>22000</v>
      </c>
      <c r="T961" s="12">
        <v>19540</v>
      </c>
      <c r="U961" s="12"/>
      <c r="V961" s="8">
        <f t="shared" si="112"/>
        <v>17586</v>
      </c>
      <c r="W961" s="8">
        <f t="shared" si="113"/>
        <v>43965</v>
      </c>
      <c r="X961" s="8">
        <f t="shared" si="111"/>
        <v>43900</v>
      </c>
    </row>
    <row r="962" spans="1:24" ht="21.95" customHeight="1" x14ac:dyDescent="0.2">
      <c r="A962" s="5" t="s">
        <v>17</v>
      </c>
      <c r="B962" s="5" t="s">
        <v>1583</v>
      </c>
      <c r="C962" s="5" t="s">
        <v>503</v>
      </c>
      <c r="D962" s="6" t="s">
        <v>508</v>
      </c>
      <c r="E962" s="6"/>
      <c r="G962" s="6">
        <v>115</v>
      </c>
      <c r="H962" s="6">
        <v>94</v>
      </c>
      <c r="I962" s="9"/>
      <c r="J962" s="9"/>
      <c r="K962" s="7">
        <v>44005131</v>
      </c>
      <c r="L962" s="5" t="str">
        <f t="shared" si="107"/>
        <v>BR FABIO MODÜL TEK KOLLU 95CM OTURUM 115x94</v>
      </c>
      <c r="M962" s="8">
        <v>0.15</v>
      </c>
      <c r="N962" s="8">
        <v>0.05</v>
      </c>
      <c r="O962" s="8">
        <v>15088</v>
      </c>
      <c r="P962" s="8">
        <f t="shared" si="108"/>
        <v>14333.599999999999</v>
      </c>
      <c r="Q962" s="12">
        <f t="shared" si="109"/>
        <v>30100.559999999998</v>
      </c>
      <c r="R962" s="31">
        <f t="shared" si="110"/>
        <v>30100</v>
      </c>
      <c r="T962" s="12">
        <v>5970</v>
      </c>
      <c r="U962" s="12"/>
      <c r="V962" s="8">
        <f t="shared" si="112"/>
        <v>5373</v>
      </c>
      <c r="W962" s="8">
        <f t="shared" si="113"/>
        <v>13432.5</v>
      </c>
      <c r="X962" s="8">
        <f t="shared" si="111"/>
        <v>13400</v>
      </c>
    </row>
    <row r="963" spans="1:24" ht="21.95" customHeight="1" x14ac:dyDescent="0.2">
      <c r="A963" s="5" t="s">
        <v>17</v>
      </c>
      <c r="B963" s="5" t="s">
        <v>1583</v>
      </c>
      <c r="C963" s="5" t="s">
        <v>503</v>
      </c>
      <c r="D963" s="6" t="s">
        <v>509</v>
      </c>
      <c r="E963" s="6"/>
      <c r="G963" s="6">
        <v>95</v>
      </c>
      <c r="H963" s="6">
        <v>94</v>
      </c>
      <c r="K963" s="7">
        <v>44005132</v>
      </c>
      <c r="L963" s="5" t="str">
        <f t="shared" si="107"/>
        <v>BR FABIO MODÜL TEK KOLLU 75CM OTURUM 95x94</v>
      </c>
      <c r="M963" s="8">
        <v>0.15</v>
      </c>
      <c r="N963" s="8">
        <v>0.05</v>
      </c>
      <c r="O963" s="8">
        <v>13994</v>
      </c>
      <c r="P963" s="8">
        <f t="shared" si="108"/>
        <v>13294.3</v>
      </c>
      <c r="Q963" s="12">
        <f t="shared" si="109"/>
        <v>27918.03</v>
      </c>
      <c r="R963" s="31">
        <f t="shared" si="110"/>
        <v>27900</v>
      </c>
      <c r="T963" s="12">
        <v>13270</v>
      </c>
      <c r="U963" s="12"/>
      <c r="V963" s="8">
        <f t="shared" si="112"/>
        <v>11943</v>
      </c>
      <c r="W963" s="8">
        <f t="shared" si="113"/>
        <v>29857.5</v>
      </c>
      <c r="X963" s="8">
        <f t="shared" si="111"/>
        <v>29800</v>
      </c>
    </row>
    <row r="964" spans="1:24" ht="21.95" customHeight="1" x14ac:dyDescent="0.2">
      <c r="A964" s="5" t="s">
        <v>17</v>
      </c>
      <c r="B964" s="5" t="s">
        <v>1583</v>
      </c>
      <c r="C964" s="5" t="s">
        <v>503</v>
      </c>
      <c r="D964" s="6" t="s">
        <v>510</v>
      </c>
      <c r="E964" s="6"/>
      <c r="G964" s="6">
        <v>52</v>
      </c>
      <c r="H964" s="6">
        <v>90</v>
      </c>
      <c r="I964" s="9"/>
      <c r="J964" s="9"/>
      <c r="K964" s="7">
        <v>44005133</v>
      </c>
      <c r="L964" s="5" t="str">
        <f t="shared" si="107"/>
        <v>BR FABIO ARA MODÜL AHŞAP SEHPA 52x90</v>
      </c>
      <c r="M964" s="8">
        <v>0.15</v>
      </c>
      <c r="N964" s="8">
        <v>0.05</v>
      </c>
      <c r="O964" s="8">
        <v>7533</v>
      </c>
      <c r="P964" s="8">
        <f t="shared" si="108"/>
        <v>7156.3499999999995</v>
      </c>
      <c r="Q964" s="12">
        <f t="shared" si="109"/>
        <v>15028.334999999999</v>
      </c>
      <c r="R964" s="31">
        <f t="shared" si="110"/>
        <v>15000</v>
      </c>
      <c r="T964" s="12">
        <v>2915</v>
      </c>
      <c r="U964" s="12"/>
      <c r="V964" s="8">
        <f t="shared" si="112"/>
        <v>2623.5</v>
      </c>
      <c r="W964" s="8">
        <f t="shared" si="113"/>
        <v>6558.75</v>
      </c>
      <c r="X964" s="8">
        <f t="shared" si="111"/>
        <v>6500</v>
      </c>
    </row>
    <row r="965" spans="1:24" ht="21.95" customHeight="1" x14ac:dyDescent="0.2">
      <c r="A965" s="5" t="s">
        <v>17</v>
      </c>
      <c r="B965" s="5" t="s">
        <v>1583</v>
      </c>
      <c r="C965" s="5" t="s">
        <v>503</v>
      </c>
      <c r="D965" s="6" t="s">
        <v>119</v>
      </c>
      <c r="E965" s="6"/>
      <c r="G965" s="6">
        <v>77</v>
      </c>
      <c r="H965" s="6">
        <v>69</v>
      </c>
      <c r="I965" s="9"/>
      <c r="J965" s="9"/>
      <c r="K965" s="7">
        <v>44005134</v>
      </c>
      <c r="L965" s="5" t="str">
        <f t="shared" si="107"/>
        <v>BR FABIO PUF 77x69</v>
      </c>
      <c r="M965" s="8">
        <v>0.15</v>
      </c>
      <c r="N965" s="8">
        <v>0.05</v>
      </c>
      <c r="O965" s="8">
        <v>6392</v>
      </c>
      <c r="P965" s="8">
        <f t="shared" si="108"/>
        <v>6072.4</v>
      </c>
      <c r="Q965" s="12">
        <f t="shared" si="109"/>
        <v>12752.039999999999</v>
      </c>
      <c r="R965" s="31">
        <f t="shared" si="110"/>
        <v>12700</v>
      </c>
      <c r="T965" s="12">
        <v>9510</v>
      </c>
      <c r="U965" s="12"/>
      <c r="V965" s="8">
        <f t="shared" si="112"/>
        <v>8559</v>
      </c>
      <c r="W965" s="8">
        <f t="shared" si="113"/>
        <v>21397.5</v>
      </c>
      <c r="X965" s="8">
        <f t="shared" si="111"/>
        <v>21300</v>
      </c>
    </row>
    <row r="966" spans="1:24" ht="21.95" customHeight="1" x14ac:dyDescent="0.2">
      <c r="A966" s="5" t="s">
        <v>17</v>
      </c>
      <c r="B966" s="5" t="s">
        <v>1583</v>
      </c>
      <c r="C966" s="5" t="s">
        <v>503</v>
      </c>
      <c r="D966" s="6" t="s">
        <v>511</v>
      </c>
      <c r="E966" s="6"/>
      <c r="G966" s="6">
        <v>45</v>
      </c>
      <c r="H966" s="6">
        <v>45</v>
      </c>
      <c r="I966" s="9"/>
      <c r="J966" s="9"/>
      <c r="K966" s="7">
        <v>44005135</v>
      </c>
      <c r="L966" s="5" t="str">
        <f t="shared" si="107"/>
        <v>BR FABIO KIRLENT 45x45</v>
      </c>
      <c r="M966" s="8">
        <v>0.15</v>
      </c>
      <c r="N966" s="8">
        <v>0.05</v>
      </c>
      <c r="O966" s="8">
        <v>850</v>
      </c>
      <c r="P966" s="8">
        <f t="shared" si="108"/>
        <v>807.5</v>
      </c>
      <c r="Q966" s="12">
        <f t="shared" si="109"/>
        <v>1695.75</v>
      </c>
      <c r="R966" s="31">
        <f t="shared" si="110"/>
        <v>1600</v>
      </c>
      <c r="T966" s="12">
        <v>4740</v>
      </c>
      <c r="U966" s="12"/>
      <c r="V966" s="8">
        <f t="shared" si="112"/>
        <v>4266</v>
      </c>
      <c r="W966" s="8">
        <f t="shared" si="113"/>
        <v>10665</v>
      </c>
      <c r="X966" s="8">
        <f t="shared" si="111"/>
        <v>10600</v>
      </c>
    </row>
    <row r="967" spans="1:24" ht="21.95" customHeight="1" x14ac:dyDescent="0.2">
      <c r="A967" s="5" t="s">
        <v>17</v>
      </c>
      <c r="B967" s="5" t="s">
        <v>1583</v>
      </c>
      <c r="C967" s="5" t="s">
        <v>512</v>
      </c>
      <c r="D967" s="6" t="s">
        <v>411</v>
      </c>
      <c r="E967" s="6"/>
      <c r="G967" s="6">
        <v>265</v>
      </c>
      <c r="H967" s="6">
        <v>103</v>
      </c>
      <c r="I967" s="9"/>
      <c r="J967" s="9"/>
      <c r="K967" s="7">
        <v>44005137</v>
      </c>
      <c r="L967" s="5" t="str">
        <f t="shared" si="107"/>
        <v>BR HERO KANEPE 4 LÜ 265x103</v>
      </c>
      <c r="M967" s="8">
        <v>0.15</v>
      </c>
      <c r="N967" s="8">
        <v>0.05</v>
      </c>
      <c r="O967" s="8">
        <v>39902</v>
      </c>
      <c r="P967" s="8">
        <f t="shared" si="108"/>
        <v>37906.9</v>
      </c>
      <c r="Q967" s="12">
        <f t="shared" si="109"/>
        <v>79604.490000000005</v>
      </c>
      <c r="R967" s="31">
        <f t="shared" si="110"/>
        <v>79600</v>
      </c>
      <c r="T967" s="12">
        <v>11745</v>
      </c>
      <c r="U967" s="12"/>
      <c r="V967" s="8">
        <f t="shared" si="112"/>
        <v>10570.5</v>
      </c>
      <c r="W967" s="8">
        <f t="shared" si="113"/>
        <v>26426.25</v>
      </c>
      <c r="X967" s="8">
        <f t="shared" si="111"/>
        <v>26400</v>
      </c>
    </row>
    <row r="968" spans="1:24" ht="21.95" customHeight="1" x14ac:dyDescent="0.2">
      <c r="A968" s="5" t="s">
        <v>17</v>
      </c>
      <c r="B968" s="5" t="s">
        <v>1583</v>
      </c>
      <c r="C968" s="5" t="s">
        <v>512</v>
      </c>
      <c r="D968" s="6" t="s">
        <v>411</v>
      </c>
      <c r="E968" s="6"/>
      <c r="G968" s="6">
        <v>325</v>
      </c>
      <c r="H968" s="6">
        <v>103</v>
      </c>
      <c r="I968" s="9"/>
      <c r="J968" s="9"/>
      <c r="K968" s="7">
        <v>44005138</v>
      </c>
      <c r="L968" s="5" t="str">
        <f t="shared" si="107"/>
        <v>BR HERO KANEPE 4 LÜ 325x103</v>
      </c>
      <c r="M968" s="8">
        <v>0.15</v>
      </c>
      <c r="N968" s="8">
        <v>0.05</v>
      </c>
      <c r="O968" s="8">
        <v>43569</v>
      </c>
      <c r="P968" s="8">
        <f t="shared" si="108"/>
        <v>41390.549999999996</v>
      </c>
      <c r="Q968" s="12">
        <f t="shared" si="109"/>
        <v>86920.154999999999</v>
      </c>
      <c r="R968" s="31">
        <f t="shared" si="110"/>
        <v>86900</v>
      </c>
      <c r="T968" s="12">
        <v>19725</v>
      </c>
      <c r="U968" s="12"/>
      <c r="V968" s="8">
        <f t="shared" si="112"/>
        <v>17752.5</v>
      </c>
      <c r="W968" s="8">
        <f t="shared" si="113"/>
        <v>44381.25</v>
      </c>
      <c r="X968" s="8">
        <f t="shared" si="111"/>
        <v>44300</v>
      </c>
    </row>
    <row r="969" spans="1:24" ht="21.95" customHeight="1" x14ac:dyDescent="0.2">
      <c r="A969" s="5" t="s">
        <v>17</v>
      </c>
      <c r="B969" s="5" t="s">
        <v>1583</v>
      </c>
      <c r="C969" s="5" t="s">
        <v>512</v>
      </c>
      <c r="D969" s="6" t="s">
        <v>412</v>
      </c>
      <c r="E969" s="6"/>
      <c r="G969" s="6">
        <v>232</v>
      </c>
      <c r="H969" s="6">
        <v>103</v>
      </c>
      <c r="I969" s="9"/>
      <c r="J969" s="9"/>
      <c r="K969" s="7">
        <v>44005139</v>
      </c>
      <c r="L969" s="5" t="str">
        <f t="shared" si="107"/>
        <v>BR HERO KANEPE 3 LÜ 232x103</v>
      </c>
      <c r="M969" s="8">
        <v>0.15</v>
      </c>
      <c r="N969" s="8">
        <v>0.05</v>
      </c>
      <c r="O969" s="8">
        <v>26471</v>
      </c>
      <c r="P969" s="8">
        <f t="shared" si="108"/>
        <v>25147.449999999997</v>
      </c>
      <c r="Q969" s="12">
        <f t="shared" si="109"/>
        <v>52809.644999999997</v>
      </c>
      <c r="R969" s="31">
        <f t="shared" si="110"/>
        <v>52800</v>
      </c>
      <c r="T969" s="12">
        <v>6240</v>
      </c>
      <c r="U969" s="12"/>
      <c r="V969" s="8">
        <f t="shared" si="112"/>
        <v>5616</v>
      </c>
      <c r="W969" s="8">
        <f t="shared" si="113"/>
        <v>14040</v>
      </c>
      <c r="X969" s="8">
        <f t="shared" si="111"/>
        <v>14000</v>
      </c>
    </row>
    <row r="970" spans="1:24" ht="21.95" customHeight="1" x14ac:dyDescent="0.2">
      <c r="A970" s="5" t="s">
        <v>17</v>
      </c>
      <c r="B970" s="5" t="s">
        <v>1583</v>
      </c>
      <c r="C970" s="5" t="s">
        <v>512</v>
      </c>
      <c r="D970" s="6" t="s">
        <v>504</v>
      </c>
      <c r="E970" s="6"/>
      <c r="G970" s="6">
        <v>100</v>
      </c>
      <c r="H970" s="6">
        <v>103</v>
      </c>
      <c r="K970" s="7">
        <v>44005140</v>
      </c>
      <c r="L970" s="5" t="str">
        <f t="shared" si="107"/>
        <v>BR HERO TEKLİ 100x103</v>
      </c>
      <c r="M970" s="8">
        <v>0.15</v>
      </c>
      <c r="N970" s="8">
        <v>0.05</v>
      </c>
      <c r="O970" s="8">
        <v>14171</v>
      </c>
      <c r="P970" s="8">
        <f t="shared" si="108"/>
        <v>13462.449999999999</v>
      </c>
      <c r="Q970" s="12">
        <f t="shared" si="109"/>
        <v>28271.145</v>
      </c>
      <c r="R970" s="31">
        <f t="shared" si="110"/>
        <v>28200</v>
      </c>
      <c r="T970" s="12">
        <v>6300</v>
      </c>
      <c r="U970" s="12"/>
      <c r="V970" s="8">
        <f t="shared" si="112"/>
        <v>5670</v>
      </c>
      <c r="W970" s="8">
        <f t="shared" si="113"/>
        <v>14175</v>
      </c>
      <c r="X970" s="8">
        <f t="shared" si="111"/>
        <v>14100</v>
      </c>
    </row>
    <row r="971" spans="1:24" ht="21.95" customHeight="1" x14ac:dyDescent="0.2">
      <c r="A971" s="5" t="s">
        <v>17</v>
      </c>
      <c r="B971" s="5" t="s">
        <v>1583</v>
      </c>
      <c r="C971" s="5" t="s">
        <v>512</v>
      </c>
      <c r="D971" s="6" t="s">
        <v>33</v>
      </c>
      <c r="E971" s="6"/>
      <c r="G971" s="6">
        <v>70</v>
      </c>
      <c r="H971" s="6">
        <v>78</v>
      </c>
      <c r="I971" s="9"/>
      <c r="J971" s="9"/>
      <c r="K971" s="7">
        <v>44005141</v>
      </c>
      <c r="L971" s="5" t="str">
        <f t="shared" si="107"/>
        <v>BR HERO BERJER 70x78</v>
      </c>
      <c r="M971" s="8">
        <v>0.15</v>
      </c>
      <c r="N971" s="8">
        <v>0.05</v>
      </c>
      <c r="O971" s="8">
        <v>16262</v>
      </c>
      <c r="P971" s="8">
        <f t="shared" si="108"/>
        <v>15448.9</v>
      </c>
      <c r="Q971" s="12">
        <f t="shared" si="109"/>
        <v>32442.690000000002</v>
      </c>
      <c r="R971" s="31">
        <f t="shared" si="110"/>
        <v>32400</v>
      </c>
      <c r="T971" s="12">
        <v>8570</v>
      </c>
      <c r="U971" s="12"/>
      <c r="V971" s="8">
        <f t="shared" si="112"/>
        <v>7713</v>
      </c>
      <c r="W971" s="8">
        <f t="shared" si="113"/>
        <v>19282.5</v>
      </c>
      <c r="X971" s="8">
        <f t="shared" si="111"/>
        <v>19200</v>
      </c>
    </row>
    <row r="972" spans="1:24" ht="21.95" customHeight="1" x14ac:dyDescent="0.2">
      <c r="A972" s="5" t="s">
        <v>17</v>
      </c>
      <c r="B972" s="5" t="s">
        <v>1583</v>
      </c>
      <c r="C972" s="5" t="s">
        <v>512</v>
      </c>
      <c r="D972" s="6" t="s">
        <v>158</v>
      </c>
      <c r="E972" s="6"/>
      <c r="G972" s="6">
        <v>116</v>
      </c>
      <c r="H972" s="6">
        <v>140</v>
      </c>
      <c r="I972" s="9"/>
      <c r="J972" s="9"/>
      <c r="K972" s="7">
        <v>44005143</v>
      </c>
      <c r="L972" s="5" t="str">
        <f t="shared" si="107"/>
        <v>BR HERO RELAX MODÜL 116x140</v>
      </c>
      <c r="M972" s="8">
        <v>0.15</v>
      </c>
      <c r="N972" s="8">
        <v>0.05</v>
      </c>
      <c r="O972" s="8">
        <v>18567</v>
      </c>
      <c r="P972" s="8">
        <f t="shared" si="108"/>
        <v>17638.649999999998</v>
      </c>
      <c r="Q972" s="12">
        <f t="shared" si="109"/>
        <v>37041.164999999994</v>
      </c>
      <c r="R972" s="31">
        <f t="shared" si="110"/>
        <v>37000</v>
      </c>
      <c r="T972" s="12">
        <v>13715</v>
      </c>
      <c r="U972" s="12"/>
      <c r="V972" s="8">
        <f t="shared" si="112"/>
        <v>12343.5</v>
      </c>
      <c r="W972" s="8">
        <f t="shared" si="113"/>
        <v>30858.75</v>
      </c>
      <c r="X972" s="8">
        <f t="shared" si="111"/>
        <v>30800</v>
      </c>
    </row>
    <row r="973" spans="1:24" ht="21.95" customHeight="1" x14ac:dyDescent="0.2">
      <c r="A973" s="5" t="s">
        <v>17</v>
      </c>
      <c r="B973" s="5" t="s">
        <v>1583</v>
      </c>
      <c r="C973" s="5" t="s">
        <v>512</v>
      </c>
      <c r="D973" s="6" t="s">
        <v>505</v>
      </c>
      <c r="E973" s="6"/>
      <c r="G973" s="6">
        <v>95</v>
      </c>
      <c r="H973" s="6">
        <v>103</v>
      </c>
      <c r="I973" s="9"/>
      <c r="J973" s="9"/>
      <c r="K973" s="7">
        <v>44005144</v>
      </c>
      <c r="L973" s="5" t="str">
        <f t="shared" si="107"/>
        <v>BR HERO ARA MODÜL 95 LİK 95x103</v>
      </c>
      <c r="M973" s="8">
        <v>0.15</v>
      </c>
      <c r="N973" s="8">
        <v>0.05</v>
      </c>
      <c r="O973" s="8">
        <v>12818</v>
      </c>
      <c r="P973" s="8">
        <f t="shared" si="108"/>
        <v>12177.099999999999</v>
      </c>
      <c r="Q973" s="12">
        <f t="shared" si="109"/>
        <v>25571.909999999996</v>
      </c>
      <c r="R973" s="31">
        <f t="shared" si="110"/>
        <v>25500</v>
      </c>
      <c r="T973" s="12">
        <v>12435</v>
      </c>
      <c r="U973" s="12"/>
      <c r="V973" s="8">
        <f t="shared" si="112"/>
        <v>11191.5</v>
      </c>
      <c r="W973" s="8">
        <f t="shared" si="113"/>
        <v>27978.75</v>
      </c>
      <c r="X973" s="8">
        <f t="shared" si="111"/>
        <v>27900</v>
      </c>
    </row>
    <row r="974" spans="1:24" ht="21.95" customHeight="1" x14ac:dyDescent="0.2">
      <c r="A974" s="5" t="s">
        <v>17</v>
      </c>
      <c r="B974" s="5" t="s">
        <v>1583</v>
      </c>
      <c r="C974" s="5" t="s">
        <v>512</v>
      </c>
      <c r="D974" s="6" t="s">
        <v>59</v>
      </c>
      <c r="E974" s="6"/>
      <c r="G974" s="6">
        <v>110</v>
      </c>
      <c r="H974" s="6">
        <v>110</v>
      </c>
      <c r="I974" s="9"/>
      <c r="J974" s="9"/>
      <c r="K974" s="7">
        <v>44005145</v>
      </c>
      <c r="L974" s="5" t="str">
        <f t="shared" si="107"/>
        <v>BR HERO KÖŞE MODÜL 110x110</v>
      </c>
      <c r="M974" s="8">
        <v>0.15</v>
      </c>
      <c r="N974" s="8">
        <v>0.05</v>
      </c>
      <c r="O974" s="8">
        <v>17035</v>
      </c>
      <c r="P974" s="8">
        <f t="shared" si="108"/>
        <v>16183.25</v>
      </c>
      <c r="Q974" s="12">
        <f t="shared" si="109"/>
        <v>33984.825000000004</v>
      </c>
      <c r="R974" s="31">
        <f t="shared" si="110"/>
        <v>33900</v>
      </c>
      <c r="T974" s="12">
        <v>3120</v>
      </c>
      <c r="U974" s="12"/>
      <c r="V974" s="8">
        <f t="shared" si="112"/>
        <v>2808</v>
      </c>
      <c r="W974" s="8">
        <f t="shared" si="113"/>
        <v>7020</v>
      </c>
      <c r="X974" s="8">
        <f t="shared" si="111"/>
        <v>7000</v>
      </c>
    </row>
    <row r="975" spans="1:24" ht="21.95" customHeight="1" x14ac:dyDescent="0.2">
      <c r="A975" s="5" t="s">
        <v>17</v>
      </c>
      <c r="B975" s="5" t="s">
        <v>1583</v>
      </c>
      <c r="C975" s="5" t="s">
        <v>512</v>
      </c>
      <c r="D975" s="6" t="s">
        <v>506</v>
      </c>
      <c r="E975" s="6"/>
      <c r="G975" s="6">
        <v>210</v>
      </c>
      <c r="H975" s="6">
        <v>103</v>
      </c>
      <c r="I975" s="9"/>
      <c r="J975" s="9"/>
      <c r="K975" s="7">
        <v>44005146</v>
      </c>
      <c r="L975" s="5" t="str">
        <f t="shared" si="107"/>
        <v>BR HERO KANEPE MODÜL TEK KOLLU 210x103</v>
      </c>
      <c r="M975" s="8">
        <v>0.15</v>
      </c>
      <c r="N975" s="8">
        <v>0.05</v>
      </c>
      <c r="O975" s="8">
        <v>25453</v>
      </c>
      <c r="P975" s="8">
        <f t="shared" si="108"/>
        <v>24180.35</v>
      </c>
      <c r="Q975" s="12">
        <f t="shared" si="109"/>
        <v>50778.735000000001</v>
      </c>
      <c r="R975" s="31">
        <f t="shared" si="110"/>
        <v>50700</v>
      </c>
      <c r="T975" s="12">
        <v>39215</v>
      </c>
      <c r="U975" s="12"/>
      <c r="V975" s="8">
        <f t="shared" si="112"/>
        <v>35293.5</v>
      </c>
      <c r="W975" s="8">
        <f t="shared" si="113"/>
        <v>88233.75</v>
      </c>
      <c r="X975" s="8">
        <f t="shared" si="111"/>
        <v>88200</v>
      </c>
    </row>
    <row r="976" spans="1:24" ht="21.95" customHeight="1" x14ac:dyDescent="0.2">
      <c r="A976" s="5" t="s">
        <v>17</v>
      </c>
      <c r="B976" s="5" t="s">
        <v>1583</v>
      </c>
      <c r="C976" s="5" t="s">
        <v>512</v>
      </c>
      <c r="D976" s="6" t="s">
        <v>507</v>
      </c>
      <c r="E976" s="6"/>
      <c r="G976" s="6">
        <v>75</v>
      </c>
      <c r="H976" s="6">
        <v>103</v>
      </c>
      <c r="K976" s="7">
        <v>44005147</v>
      </c>
      <c r="L976" s="5" t="str">
        <f t="shared" si="107"/>
        <v>BR HERO ARA MODÜL 75 LİK 75x103</v>
      </c>
      <c r="M976" s="8">
        <v>0.15</v>
      </c>
      <c r="N976" s="8">
        <v>0.05</v>
      </c>
      <c r="O976" s="8">
        <v>11598</v>
      </c>
      <c r="P976" s="8">
        <f t="shared" si="108"/>
        <v>11018.1</v>
      </c>
      <c r="Q976" s="12">
        <f t="shared" si="109"/>
        <v>23138.010000000002</v>
      </c>
      <c r="R976" s="31">
        <f t="shared" si="110"/>
        <v>23100</v>
      </c>
      <c r="T976" s="12">
        <v>10870</v>
      </c>
      <c r="U976" s="12"/>
      <c r="V976" s="8">
        <f t="shared" si="112"/>
        <v>9783</v>
      </c>
      <c r="W976" s="8">
        <f t="shared" si="113"/>
        <v>24457.5</v>
      </c>
      <c r="X976" s="8">
        <f t="shared" si="111"/>
        <v>24400</v>
      </c>
    </row>
    <row r="977" spans="1:24" ht="21.95" customHeight="1" x14ac:dyDescent="0.2">
      <c r="A977" s="5" t="s">
        <v>17</v>
      </c>
      <c r="B977" s="5" t="s">
        <v>1583</v>
      </c>
      <c r="C977" s="5" t="s">
        <v>512</v>
      </c>
      <c r="D977" s="6" t="s">
        <v>508</v>
      </c>
      <c r="E977" s="6"/>
      <c r="G977" s="6">
        <v>115</v>
      </c>
      <c r="H977" s="6">
        <v>103</v>
      </c>
      <c r="I977" s="9"/>
      <c r="J977" s="9"/>
      <c r="K977" s="7">
        <v>44005148</v>
      </c>
      <c r="L977" s="5" t="str">
        <f t="shared" si="107"/>
        <v>BR HERO MODÜL TEK KOLLU 95CM OTURUM 115x103</v>
      </c>
      <c r="M977" s="8">
        <v>0.15</v>
      </c>
      <c r="N977" s="8">
        <v>0.05</v>
      </c>
      <c r="O977" s="8">
        <v>15375</v>
      </c>
      <c r="P977" s="8">
        <f t="shared" si="108"/>
        <v>14606.25</v>
      </c>
      <c r="Q977" s="12">
        <f t="shared" si="109"/>
        <v>30673.125</v>
      </c>
      <c r="R977" s="31">
        <f t="shared" si="110"/>
        <v>30600</v>
      </c>
      <c r="T977" s="12">
        <v>10650</v>
      </c>
      <c r="U977" s="12"/>
      <c r="V977" s="8">
        <f t="shared" si="112"/>
        <v>9585</v>
      </c>
      <c r="W977" s="8">
        <f t="shared" si="113"/>
        <v>23962.5</v>
      </c>
      <c r="X977" s="8">
        <f t="shared" si="111"/>
        <v>23900</v>
      </c>
    </row>
    <row r="978" spans="1:24" ht="21.95" customHeight="1" x14ac:dyDescent="0.2">
      <c r="A978" s="5" t="s">
        <v>17</v>
      </c>
      <c r="B978" s="5" t="s">
        <v>1583</v>
      </c>
      <c r="C978" s="5" t="s">
        <v>512</v>
      </c>
      <c r="D978" s="6" t="s">
        <v>509</v>
      </c>
      <c r="E978" s="6"/>
      <c r="G978" s="6">
        <v>95</v>
      </c>
      <c r="H978" s="6">
        <v>103</v>
      </c>
      <c r="I978" s="9"/>
      <c r="J978" s="9"/>
      <c r="K978" s="7">
        <v>44005149</v>
      </c>
      <c r="L978" s="5" t="str">
        <f t="shared" si="107"/>
        <v>BR HERO MODÜL TEK KOLLU 75CM OTURUM 95x103</v>
      </c>
      <c r="M978" s="8">
        <v>0.15</v>
      </c>
      <c r="N978" s="8">
        <v>0.05</v>
      </c>
      <c r="O978" s="8">
        <v>14152</v>
      </c>
      <c r="P978" s="8">
        <f t="shared" si="108"/>
        <v>13444.4</v>
      </c>
      <c r="Q978" s="12">
        <f t="shared" si="109"/>
        <v>28233.24</v>
      </c>
      <c r="R978" s="31">
        <f t="shared" si="110"/>
        <v>28200</v>
      </c>
      <c r="T978" s="12">
        <v>21550</v>
      </c>
      <c r="U978" s="12"/>
      <c r="V978" s="8">
        <f t="shared" si="112"/>
        <v>19395</v>
      </c>
      <c r="W978" s="8">
        <f t="shared" si="113"/>
        <v>48487.5</v>
      </c>
      <c r="X978" s="8">
        <f t="shared" si="111"/>
        <v>48400</v>
      </c>
    </row>
    <row r="979" spans="1:24" ht="21.95" customHeight="1" x14ac:dyDescent="0.2">
      <c r="A979" s="5" t="s">
        <v>17</v>
      </c>
      <c r="B979" s="5" t="s">
        <v>1583</v>
      </c>
      <c r="C979" s="5" t="s">
        <v>512</v>
      </c>
      <c r="D979" s="6" t="s">
        <v>514</v>
      </c>
      <c r="E979" s="6"/>
      <c r="G979" s="6">
        <v>52</v>
      </c>
      <c r="H979" s="6">
        <v>100</v>
      </c>
      <c r="I979" s="9"/>
      <c r="J979" s="9"/>
      <c r="K979" s="7">
        <v>44005150</v>
      </c>
      <c r="L979" s="5" t="str">
        <f t="shared" si="107"/>
        <v>BR HERO ARA SEHPA AHŞAP 52x100</v>
      </c>
      <c r="M979" s="8">
        <v>0.15</v>
      </c>
      <c r="N979" s="8">
        <v>0.05</v>
      </c>
      <c r="O979" s="8">
        <v>7924</v>
      </c>
      <c r="P979" s="8">
        <f t="shared" si="108"/>
        <v>7527.7999999999993</v>
      </c>
      <c r="Q979" s="12">
        <f t="shared" si="109"/>
        <v>15808.38</v>
      </c>
      <c r="R979" s="31">
        <f t="shared" si="110"/>
        <v>15800</v>
      </c>
      <c r="T979" s="12">
        <v>10230</v>
      </c>
      <c r="U979" s="12"/>
      <c r="V979" s="8">
        <f t="shared" si="112"/>
        <v>9207</v>
      </c>
      <c r="W979" s="8">
        <f t="shared" si="113"/>
        <v>23017.5</v>
      </c>
      <c r="X979" s="8">
        <f t="shared" si="111"/>
        <v>23000</v>
      </c>
    </row>
    <row r="980" spans="1:24" ht="21.95" customHeight="1" x14ac:dyDescent="0.2">
      <c r="A980" s="5" t="s">
        <v>17</v>
      </c>
      <c r="B980" s="5" t="s">
        <v>1583</v>
      </c>
      <c r="C980" s="5" t="s">
        <v>512</v>
      </c>
      <c r="D980" s="6" t="s">
        <v>119</v>
      </c>
      <c r="E980" s="6"/>
      <c r="G980" s="6">
        <v>77</v>
      </c>
      <c r="H980" s="6">
        <v>69</v>
      </c>
      <c r="K980" s="7">
        <v>44005151</v>
      </c>
      <c r="L980" s="5" t="str">
        <f t="shared" si="107"/>
        <v>BR HERO PUF 77x69</v>
      </c>
      <c r="M980" s="8">
        <v>0.15</v>
      </c>
      <c r="N980" s="8">
        <v>0.05</v>
      </c>
      <c r="O980" s="8">
        <v>6392</v>
      </c>
      <c r="P980" s="8">
        <f t="shared" si="108"/>
        <v>6072.4</v>
      </c>
      <c r="Q980" s="12">
        <f t="shared" si="109"/>
        <v>12752.039999999999</v>
      </c>
      <c r="R980" s="31">
        <f t="shared" si="110"/>
        <v>12700</v>
      </c>
      <c r="T980" s="12">
        <v>16720</v>
      </c>
      <c r="U980" s="12"/>
      <c r="V980" s="8">
        <f t="shared" si="112"/>
        <v>15048</v>
      </c>
      <c r="W980" s="8">
        <f t="shared" si="113"/>
        <v>37620</v>
      </c>
      <c r="X980" s="8">
        <f t="shared" si="111"/>
        <v>37600</v>
      </c>
    </row>
    <row r="981" spans="1:24" ht="21.95" customHeight="1" x14ac:dyDescent="0.2">
      <c r="A981" s="5" t="s">
        <v>17</v>
      </c>
      <c r="B981" s="5" t="s">
        <v>1583</v>
      </c>
      <c r="C981" s="5" t="s">
        <v>512</v>
      </c>
      <c r="D981" s="6" t="s">
        <v>511</v>
      </c>
      <c r="E981" s="6"/>
      <c r="G981" s="6">
        <v>45</v>
      </c>
      <c r="H981" s="6">
        <v>45</v>
      </c>
      <c r="I981" s="9"/>
      <c r="J981" s="9"/>
      <c r="K981" s="7">
        <v>44005152</v>
      </c>
      <c r="L981" s="5" t="str">
        <f t="shared" si="107"/>
        <v>BR HERO KIRLENT 45x45</v>
      </c>
      <c r="M981" s="8">
        <v>0.15</v>
      </c>
      <c r="N981" s="8">
        <v>0.05</v>
      </c>
      <c r="O981" s="8">
        <v>850</v>
      </c>
      <c r="P981" s="8">
        <f t="shared" si="108"/>
        <v>807.5</v>
      </c>
      <c r="Q981" s="12">
        <f t="shared" si="109"/>
        <v>1695.75</v>
      </c>
      <c r="R981" s="31">
        <f t="shared" si="110"/>
        <v>1600</v>
      </c>
      <c r="T981" s="12">
        <v>5900</v>
      </c>
      <c r="U981" s="12"/>
      <c r="V981" s="8">
        <f t="shared" si="112"/>
        <v>5310</v>
      </c>
      <c r="W981" s="8">
        <f t="shared" si="113"/>
        <v>13275</v>
      </c>
      <c r="X981" s="8">
        <f t="shared" si="111"/>
        <v>13200</v>
      </c>
    </row>
    <row r="982" spans="1:24" ht="21.95" customHeight="1" x14ac:dyDescent="0.2">
      <c r="A982" s="5" t="s">
        <v>17</v>
      </c>
      <c r="B982" s="5" t="s">
        <v>1583</v>
      </c>
      <c r="C982" s="6" t="s">
        <v>515</v>
      </c>
      <c r="D982" s="6" t="s">
        <v>49</v>
      </c>
      <c r="E982" s="6"/>
      <c r="G982" s="6">
        <v>227</v>
      </c>
      <c r="H982" s="6">
        <v>50</v>
      </c>
      <c r="I982" s="9"/>
      <c r="J982" s="9"/>
      <c r="K982" s="7">
        <v>44005154</v>
      </c>
      <c r="L982" s="5" t="str">
        <f t="shared" si="107"/>
        <v>BR BONNY KONSOL 227x50</v>
      </c>
      <c r="M982" s="8">
        <v>0.15</v>
      </c>
      <c r="N982" s="8">
        <v>0.05</v>
      </c>
      <c r="O982" s="8">
        <v>26154</v>
      </c>
      <c r="P982" s="8">
        <f t="shared" si="108"/>
        <v>24846.3</v>
      </c>
      <c r="Q982" s="12">
        <f t="shared" si="109"/>
        <v>52177.23</v>
      </c>
      <c r="R982" s="31">
        <f t="shared" si="110"/>
        <v>52100</v>
      </c>
      <c r="T982" s="12">
        <v>20285</v>
      </c>
      <c r="U982" s="12"/>
      <c r="V982" s="8">
        <f t="shared" si="112"/>
        <v>18256.5</v>
      </c>
      <c r="W982" s="8">
        <f t="shared" si="113"/>
        <v>45641.25</v>
      </c>
      <c r="X982" s="8">
        <f t="shared" si="111"/>
        <v>45600</v>
      </c>
    </row>
    <row r="983" spans="1:24" ht="21.95" customHeight="1" x14ac:dyDescent="0.2">
      <c r="A983" s="5" t="s">
        <v>17</v>
      </c>
      <c r="B983" s="5" t="s">
        <v>1583</v>
      </c>
      <c r="C983" s="6" t="s">
        <v>515</v>
      </c>
      <c r="D983" s="6" t="s">
        <v>155</v>
      </c>
      <c r="E983" s="6"/>
      <c r="G983" s="6">
        <v>208</v>
      </c>
      <c r="H983" s="6">
        <v>100</v>
      </c>
      <c r="I983" s="9">
        <v>78</v>
      </c>
      <c r="J983" s="9"/>
      <c r="K983" s="7">
        <v>44005155</v>
      </c>
      <c r="L983" s="5" t="str">
        <f t="shared" si="107"/>
        <v>BR BONNY MASA 208x100</v>
      </c>
      <c r="M983" s="8">
        <v>0.15</v>
      </c>
      <c r="N983" s="8">
        <v>0.05</v>
      </c>
      <c r="O983" s="8">
        <v>22145</v>
      </c>
      <c r="P983" s="8">
        <f t="shared" si="108"/>
        <v>21037.75</v>
      </c>
      <c r="Q983" s="12">
        <f t="shared" si="109"/>
        <v>44179.275000000001</v>
      </c>
      <c r="R983" s="31">
        <f t="shared" si="110"/>
        <v>44100</v>
      </c>
      <c r="T983" s="12">
        <v>4620</v>
      </c>
      <c r="U983" s="12"/>
      <c r="V983" s="8">
        <f t="shared" si="112"/>
        <v>4158</v>
      </c>
      <c r="W983" s="8">
        <f t="shared" si="113"/>
        <v>10395</v>
      </c>
      <c r="X983" s="8">
        <f t="shared" si="111"/>
        <v>10300</v>
      </c>
    </row>
    <row r="984" spans="1:24" ht="21.95" customHeight="1" x14ac:dyDescent="0.2">
      <c r="A984" s="5" t="s">
        <v>17</v>
      </c>
      <c r="B984" s="5" t="s">
        <v>1583</v>
      </c>
      <c r="C984" s="6" t="s">
        <v>515</v>
      </c>
      <c r="D984" s="6" t="s">
        <v>25</v>
      </c>
      <c r="E984" s="6"/>
      <c r="G984" s="6">
        <v>53</v>
      </c>
      <c r="H984" s="6">
        <v>57</v>
      </c>
      <c r="I984" s="9">
        <v>83</v>
      </c>
      <c r="J984" s="9"/>
      <c r="K984" s="7">
        <v>44005156</v>
      </c>
      <c r="L984" s="5" t="str">
        <f>B984&amp;" "&amp;C984&amp;" "&amp;D984&amp;" "&amp;G984&amp;"x"&amp;H984&amp;"x"&amp;I984</f>
        <v>BR BONNY SANDALYE 53x57x83</v>
      </c>
      <c r="M984" s="8">
        <v>0.15</v>
      </c>
      <c r="N984" s="8">
        <v>0.05</v>
      </c>
      <c r="O984" s="8">
        <v>4747</v>
      </c>
      <c r="P984" s="8">
        <f t="shared" si="108"/>
        <v>4509.6499999999996</v>
      </c>
      <c r="Q984" s="12">
        <f t="shared" si="109"/>
        <v>9470.2649999999994</v>
      </c>
      <c r="R984" s="31">
        <f t="shared" si="110"/>
        <v>9400</v>
      </c>
      <c r="T984" s="12">
        <v>28820</v>
      </c>
      <c r="U984" s="12"/>
      <c r="V984" s="8">
        <f t="shared" si="112"/>
        <v>25938</v>
      </c>
      <c r="W984" s="8">
        <f t="shared" si="113"/>
        <v>64845</v>
      </c>
      <c r="X984" s="8">
        <f t="shared" si="111"/>
        <v>64800</v>
      </c>
    </row>
    <row r="985" spans="1:24" ht="21.95" customHeight="1" x14ac:dyDescent="0.2">
      <c r="A985" s="5" t="s">
        <v>17</v>
      </c>
      <c r="B985" s="5" t="s">
        <v>1583</v>
      </c>
      <c r="C985" s="6" t="s">
        <v>515</v>
      </c>
      <c r="D985" s="6" t="s">
        <v>102</v>
      </c>
      <c r="E985" s="6"/>
      <c r="G985" s="6">
        <v>227</v>
      </c>
      <c r="H985" s="6">
        <v>50</v>
      </c>
      <c r="I985" s="9"/>
      <c r="J985" s="9"/>
      <c r="K985" s="7">
        <v>44005158</v>
      </c>
      <c r="L985" s="5" t="str">
        <f t="shared" ref="L985:L1003" si="114">B985&amp;" "&amp;C985&amp;" "&amp;D985&amp;" "&amp;G985&amp;"x"&amp;H985</f>
        <v>BR BONNY TV ÜNİTESİ ALT BLOK 227x50</v>
      </c>
      <c r="M985" s="8">
        <v>0.15</v>
      </c>
      <c r="N985" s="8">
        <v>0.05</v>
      </c>
      <c r="O985" s="8">
        <v>23591</v>
      </c>
      <c r="P985" s="8">
        <f t="shared" si="108"/>
        <v>22411.45</v>
      </c>
      <c r="Q985" s="12">
        <f t="shared" si="109"/>
        <v>47064.045000000006</v>
      </c>
      <c r="R985" s="31">
        <f t="shared" si="110"/>
        <v>47000</v>
      </c>
      <c r="T985" s="12">
        <v>22730</v>
      </c>
      <c r="U985" s="12"/>
      <c r="V985" s="8">
        <f t="shared" si="112"/>
        <v>20457</v>
      </c>
      <c r="W985" s="8">
        <f t="shared" si="113"/>
        <v>51142.5</v>
      </c>
      <c r="X985" s="8">
        <f t="shared" si="111"/>
        <v>51100</v>
      </c>
    </row>
    <row r="986" spans="1:24" ht="21.95" customHeight="1" x14ac:dyDescent="0.2">
      <c r="A986" s="5" t="s">
        <v>17</v>
      </c>
      <c r="B986" s="5" t="s">
        <v>1583</v>
      </c>
      <c r="C986" s="6" t="s">
        <v>515</v>
      </c>
      <c r="D986" s="6" t="s">
        <v>46</v>
      </c>
      <c r="E986" s="6"/>
      <c r="G986" s="6">
        <v>60</v>
      </c>
      <c r="H986" s="6">
        <v>29</v>
      </c>
      <c r="K986" s="7">
        <v>44005159</v>
      </c>
      <c r="L986" s="5" t="str">
        <f t="shared" si="114"/>
        <v>BR BONNY TV ÜNİTESİ ÜST BLOK 60x29</v>
      </c>
      <c r="M986" s="8">
        <v>0.15</v>
      </c>
      <c r="N986" s="8">
        <v>0.05</v>
      </c>
      <c r="O986" s="8">
        <v>4699</v>
      </c>
      <c r="P986" s="8">
        <f t="shared" si="108"/>
        <v>4464.05</v>
      </c>
      <c r="Q986" s="12">
        <f t="shared" si="109"/>
        <v>9374.505000000001</v>
      </c>
      <c r="R986" s="31">
        <f t="shared" si="110"/>
        <v>9300</v>
      </c>
      <c r="T986" s="12">
        <v>6875</v>
      </c>
      <c r="U986" s="12"/>
      <c r="V986" s="8">
        <f t="shared" si="112"/>
        <v>6187.5</v>
      </c>
      <c r="W986" s="8">
        <f t="shared" si="113"/>
        <v>15468.75</v>
      </c>
      <c r="X986" s="8">
        <f t="shared" si="111"/>
        <v>15400</v>
      </c>
    </row>
    <row r="987" spans="1:24" ht="21.95" customHeight="1" x14ac:dyDescent="0.2">
      <c r="A987" s="5" t="s">
        <v>17</v>
      </c>
      <c r="B987" s="5" t="s">
        <v>1583</v>
      </c>
      <c r="C987" s="6" t="s">
        <v>515</v>
      </c>
      <c r="D987" s="6" t="s">
        <v>516</v>
      </c>
      <c r="E987" s="6"/>
      <c r="G987" s="6">
        <v>138</v>
      </c>
      <c r="H987" s="6">
        <v>45</v>
      </c>
      <c r="I987" s="9"/>
      <c r="J987" s="9"/>
      <c r="K987" s="7">
        <v>44005160</v>
      </c>
      <c r="L987" s="5" t="str">
        <f t="shared" si="114"/>
        <v>BR BONNY ORTA SEHPA X2 138x45</v>
      </c>
      <c r="M987" s="8">
        <v>0.15</v>
      </c>
      <c r="N987" s="8">
        <v>0.05</v>
      </c>
      <c r="O987" s="8">
        <v>7767</v>
      </c>
      <c r="P987" s="8">
        <f t="shared" si="108"/>
        <v>7378.65</v>
      </c>
      <c r="Q987" s="12">
        <f t="shared" si="109"/>
        <v>15495.164999999999</v>
      </c>
      <c r="R987" s="31">
        <f t="shared" si="110"/>
        <v>15400</v>
      </c>
      <c r="T987" s="12">
        <v>13460</v>
      </c>
      <c r="U987" s="12"/>
      <c r="V987" s="8">
        <f t="shared" si="112"/>
        <v>12114</v>
      </c>
      <c r="W987" s="8">
        <f t="shared" si="113"/>
        <v>30285</v>
      </c>
      <c r="X987" s="8">
        <f t="shared" si="111"/>
        <v>30200</v>
      </c>
    </row>
    <row r="988" spans="1:24" ht="21.95" customHeight="1" x14ac:dyDescent="0.2">
      <c r="A988" s="5" t="s">
        <v>17</v>
      </c>
      <c r="B988" s="5" t="s">
        <v>1583</v>
      </c>
      <c r="C988" s="6" t="s">
        <v>515</v>
      </c>
      <c r="D988" s="6" t="s">
        <v>517</v>
      </c>
      <c r="E988" s="6"/>
      <c r="G988" s="6">
        <v>36</v>
      </c>
      <c r="H988" s="6">
        <v>36</v>
      </c>
      <c r="I988" s="9"/>
      <c r="J988" s="9"/>
      <c r="K988" s="7">
        <v>44005161</v>
      </c>
      <c r="L988" s="5" t="str">
        <f t="shared" si="114"/>
        <v>BR BONNY YAN SEHPA X2 36x36</v>
      </c>
      <c r="M988" s="8">
        <v>0.15</v>
      </c>
      <c r="N988" s="8">
        <v>0.05</v>
      </c>
      <c r="O988" s="8">
        <v>5100</v>
      </c>
      <c r="P988" s="8">
        <f t="shared" si="108"/>
        <v>4845</v>
      </c>
      <c r="Q988" s="12">
        <f t="shared" si="109"/>
        <v>10174.5</v>
      </c>
      <c r="R988" s="31">
        <f t="shared" si="110"/>
        <v>10100</v>
      </c>
      <c r="T988" s="12">
        <v>12760</v>
      </c>
      <c r="U988" s="12"/>
      <c r="V988" s="8">
        <f t="shared" si="112"/>
        <v>11484</v>
      </c>
      <c r="W988" s="8">
        <f t="shared" si="113"/>
        <v>28710</v>
      </c>
      <c r="X988" s="8">
        <f t="shared" si="111"/>
        <v>28700</v>
      </c>
    </row>
    <row r="989" spans="1:24" ht="21.95" customHeight="1" x14ac:dyDescent="0.2">
      <c r="A989" s="5" t="s">
        <v>17</v>
      </c>
      <c r="B989" s="5" t="s">
        <v>1583</v>
      </c>
      <c r="C989" s="6" t="s">
        <v>515</v>
      </c>
      <c r="D989" s="6" t="s">
        <v>152</v>
      </c>
      <c r="E989" s="6"/>
      <c r="G989" s="6">
        <v>100</v>
      </c>
      <c r="H989" s="6">
        <v>25</v>
      </c>
      <c r="I989" s="9"/>
      <c r="J989" s="9"/>
      <c r="K989" s="7">
        <v>44005162</v>
      </c>
      <c r="L989" s="5" t="str">
        <f t="shared" si="114"/>
        <v>BR BONNY AYNA 100x25</v>
      </c>
      <c r="M989" s="8">
        <v>0.15</v>
      </c>
      <c r="N989" s="8">
        <v>0.05</v>
      </c>
      <c r="O989" s="8">
        <v>3581</v>
      </c>
      <c r="P989" s="8">
        <f t="shared" si="108"/>
        <v>3401.95</v>
      </c>
      <c r="Q989" s="12">
        <f t="shared" si="109"/>
        <v>7144.0950000000003</v>
      </c>
      <c r="R989" s="31">
        <f t="shared" si="110"/>
        <v>7100</v>
      </c>
      <c r="T989" s="12">
        <v>14470</v>
      </c>
      <c r="U989" s="12"/>
      <c r="V989" s="8">
        <f t="shared" si="112"/>
        <v>13023</v>
      </c>
      <c r="W989" s="8">
        <f t="shared" si="113"/>
        <v>32557.5</v>
      </c>
      <c r="X989" s="8">
        <f t="shared" si="111"/>
        <v>32500</v>
      </c>
    </row>
    <row r="990" spans="1:24" ht="21.95" customHeight="1" x14ac:dyDescent="0.2">
      <c r="A990" s="5" t="s">
        <v>17</v>
      </c>
      <c r="B990" s="5" t="s">
        <v>1583</v>
      </c>
      <c r="C990" s="6" t="s">
        <v>515</v>
      </c>
      <c r="D990" s="6" t="s">
        <v>411</v>
      </c>
      <c r="E990" s="6"/>
      <c r="G990" s="6">
        <v>336</v>
      </c>
      <c r="H990" s="6">
        <v>96</v>
      </c>
      <c r="I990" s="9"/>
      <c r="J990" s="9"/>
      <c r="K990" s="7">
        <v>44005164</v>
      </c>
      <c r="L990" s="5" t="str">
        <f t="shared" si="114"/>
        <v>BR BONNY KANEPE 4 LÜ 336x96</v>
      </c>
      <c r="M990" s="8">
        <v>0.15</v>
      </c>
      <c r="N990" s="8">
        <v>0.05</v>
      </c>
      <c r="O990" s="8">
        <v>42236</v>
      </c>
      <c r="P990" s="8">
        <f t="shared" si="108"/>
        <v>40124.199999999997</v>
      </c>
      <c r="Q990" s="12">
        <f t="shared" si="109"/>
        <v>84260.819999999992</v>
      </c>
      <c r="R990" s="31">
        <f t="shared" si="110"/>
        <v>84200</v>
      </c>
      <c r="T990" s="12">
        <v>20460</v>
      </c>
      <c r="U990" s="12"/>
      <c r="V990" s="8">
        <f t="shared" si="112"/>
        <v>18414</v>
      </c>
      <c r="W990" s="8">
        <f t="shared" si="113"/>
        <v>46035</v>
      </c>
      <c r="X990" s="8">
        <f t="shared" si="111"/>
        <v>46000</v>
      </c>
    </row>
    <row r="991" spans="1:24" ht="21.95" customHeight="1" x14ac:dyDescent="0.2">
      <c r="A991" s="5" t="s">
        <v>17</v>
      </c>
      <c r="B991" s="5" t="s">
        <v>1583</v>
      </c>
      <c r="C991" s="6" t="s">
        <v>515</v>
      </c>
      <c r="D991" s="6" t="s">
        <v>411</v>
      </c>
      <c r="E991" s="6"/>
      <c r="G991" s="6">
        <v>315</v>
      </c>
      <c r="H991" s="6">
        <v>96</v>
      </c>
      <c r="I991" s="9"/>
      <c r="J991" s="9"/>
      <c r="K991" s="7">
        <v>44005165</v>
      </c>
      <c r="L991" s="5" t="str">
        <f t="shared" si="114"/>
        <v>BR BONNY KANEPE 4 LÜ 315x96</v>
      </c>
      <c r="M991" s="8">
        <v>0.15</v>
      </c>
      <c r="N991" s="8">
        <v>0.05</v>
      </c>
      <c r="O991" s="8">
        <v>41074</v>
      </c>
      <c r="P991" s="8">
        <f t="shared" si="108"/>
        <v>39020.299999999996</v>
      </c>
      <c r="Q991" s="12">
        <f t="shared" si="109"/>
        <v>81942.62999999999</v>
      </c>
      <c r="R991" s="31">
        <f t="shared" si="110"/>
        <v>81900</v>
      </c>
      <c r="T991" s="12">
        <v>2820</v>
      </c>
      <c r="U991" s="12"/>
      <c r="V991" s="8">
        <f t="shared" si="112"/>
        <v>2538</v>
      </c>
      <c r="W991" s="8">
        <f t="shared" si="113"/>
        <v>6345</v>
      </c>
      <c r="X991" s="8">
        <f t="shared" si="111"/>
        <v>6300</v>
      </c>
    </row>
    <row r="992" spans="1:24" ht="21.95" customHeight="1" x14ac:dyDescent="0.2">
      <c r="A992" s="5" t="s">
        <v>17</v>
      </c>
      <c r="B992" s="5" t="s">
        <v>1583</v>
      </c>
      <c r="C992" s="6" t="s">
        <v>515</v>
      </c>
      <c r="D992" s="6" t="s">
        <v>412</v>
      </c>
      <c r="E992" s="6"/>
      <c r="G992" s="6">
        <v>241</v>
      </c>
      <c r="H992" s="6">
        <v>96</v>
      </c>
      <c r="I992" s="9"/>
      <c r="J992" s="9"/>
      <c r="K992" s="7">
        <v>44005166</v>
      </c>
      <c r="L992" s="5" t="str">
        <f t="shared" si="114"/>
        <v>BR BONNY KANEPE 3 LÜ 241x96</v>
      </c>
      <c r="M992" s="8">
        <v>0.15</v>
      </c>
      <c r="N992" s="8">
        <v>0.05</v>
      </c>
      <c r="O992" s="8">
        <v>24621</v>
      </c>
      <c r="P992" s="8">
        <f t="shared" si="108"/>
        <v>23389.949999999997</v>
      </c>
      <c r="Q992" s="12">
        <f t="shared" si="109"/>
        <v>49118.894999999997</v>
      </c>
      <c r="R992" s="31">
        <f t="shared" si="110"/>
        <v>49100</v>
      </c>
    </row>
    <row r="993" spans="1:18" ht="21.95" customHeight="1" x14ac:dyDescent="0.2">
      <c r="A993" s="5" t="s">
        <v>17</v>
      </c>
      <c r="B993" s="5" t="s">
        <v>1583</v>
      </c>
      <c r="C993" s="6" t="s">
        <v>515</v>
      </c>
      <c r="D993" s="6" t="s">
        <v>518</v>
      </c>
      <c r="E993" s="6"/>
      <c r="G993" s="6">
        <v>200</v>
      </c>
      <c r="H993" s="6">
        <v>96</v>
      </c>
      <c r="K993" s="7">
        <v>44005167</v>
      </c>
      <c r="L993" s="5" t="str">
        <f t="shared" si="114"/>
        <v>BR BONNY KANEPE 2 Lİ 200x96</v>
      </c>
      <c r="M993" s="8">
        <v>0.15</v>
      </c>
      <c r="N993" s="8">
        <v>0.05</v>
      </c>
      <c r="O993" s="8">
        <v>22863</v>
      </c>
      <c r="P993" s="8">
        <f t="shared" si="108"/>
        <v>21719.85</v>
      </c>
      <c r="Q993" s="12">
        <f t="shared" si="109"/>
        <v>45611.684999999998</v>
      </c>
      <c r="R993" s="31">
        <f t="shared" si="110"/>
        <v>45600</v>
      </c>
    </row>
    <row r="994" spans="1:18" ht="21.95" customHeight="1" x14ac:dyDescent="0.2">
      <c r="A994" s="5" t="s">
        <v>17</v>
      </c>
      <c r="B994" s="5" t="s">
        <v>1583</v>
      </c>
      <c r="C994" s="6" t="s">
        <v>515</v>
      </c>
      <c r="D994" s="6" t="s">
        <v>519</v>
      </c>
      <c r="E994" s="6"/>
      <c r="G994" s="6">
        <v>87</v>
      </c>
      <c r="H994" s="6">
        <v>87</v>
      </c>
      <c r="K994" s="7">
        <v>44005168</v>
      </c>
      <c r="L994" s="5" t="str">
        <f t="shared" si="114"/>
        <v>BR BONNY TEKLİ  87x87</v>
      </c>
      <c r="M994" s="8">
        <v>0.15</v>
      </c>
      <c r="N994" s="8">
        <v>0.05</v>
      </c>
      <c r="O994" s="8">
        <v>9580</v>
      </c>
      <c r="P994" s="8">
        <f t="shared" si="108"/>
        <v>9101</v>
      </c>
      <c r="Q994" s="12">
        <f t="shared" si="109"/>
        <v>19112.100000000002</v>
      </c>
      <c r="R994" s="31">
        <f t="shared" si="110"/>
        <v>19100</v>
      </c>
    </row>
    <row r="995" spans="1:18" ht="21.95" customHeight="1" x14ac:dyDescent="0.2">
      <c r="A995" s="5" t="s">
        <v>17</v>
      </c>
      <c r="B995" s="5" t="s">
        <v>1583</v>
      </c>
      <c r="C995" s="6" t="s">
        <v>515</v>
      </c>
      <c r="D995" s="6" t="s">
        <v>158</v>
      </c>
      <c r="E995" s="6"/>
      <c r="G995" s="6">
        <v>120</v>
      </c>
      <c r="H995" s="6">
        <v>175</v>
      </c>
      <c r="K995" s="7">
        <v>44005170</v>
      </c>
      <c r="L995" s="5" t="str">
        <f t="shared" si="114"/>
        <v>BR BONNY RELAX MODÜL 120x175</v>
      </c>
      <c r="M995" s="8">
        <v>0.15</v>
      </c>
      <c r="N995" s="8">
        <v>0.05</v>
      </c>
      <c r="O995" s="8">
        <v>17292</v>
      </c>
      <c r="P995" s="8">
        <f t="shared" si="108"/>
        <v>16427.399999999998</v>
      </c>
      <c r="Q995" s="12">
        <f t="shared" si="109"/>
        <v>34497.539999999994</v>
      </c>
      <c r="R995" s="31">
        <f t="shared" si="110"/>
        <v>34400</v>
      </c>
    </row>
    <row r="996" spans="1:18" ht="21.95" customHeight="1" x14ac:dyDescent="0.2">
      <c r="A996" s="5" t="s">
        <v>17</v>
      </c>
      <c r="B996" s="5" t="s">
        <v>1583</v>
      </c>
      <c r="C996" s="6" t="s">
        <v>515</v>
      </c>
      <c r="D996" s="6" t="s">
        <v>520</v>
      </c>
      <c r="E996" s="6"/>
      <c r="G996" s="6">
        <v>96</v>
      </c>
      <c r="H996" s="6">
        <v>96</v>
      </c>
      <c r="K996" s="7">
        <v>44005171</v>
      </c>
      <c r="L996" s="5" t="str">
        <f t="shared" si="114"/>
        <v>BR BONNY ARA MODÜL 96 LIK 96x96</v>
      </c>
      <c r="M996" s="8">
        <v>0.15</v>
      </c>
      <c r="N996" s="8">
        <v>0.05</v>
      </c>
      <c r="O996" s="8">
        <v>11510</v>
      </c>
      <c r="P996" s="8">
        <f t="shared" si="108"/>
        <v>10934.5</v>
      </c>
      <c r="Q996" s="12">
        <f t="shared" si="109"/>
        <v>22962.45</v>
      </c>
      <c r="R996" s="31">
        <f t="shared" si="110"/>
        <v>22900</v>
      </c>
    </row>
    <row r="997" spans="1:18" ht="21.95" customHeight="1" x14ac:dyDescent="0.2">
      <c r="A997" s="5" t="s">
        <v>17</v>
      </c>
      <c r="B997" s="5" t="s">
        <v>1583</v>
      </c>
      <c r="C997" s="6" t="s">
        <v>515</v>
      </c>
      <c r="D997" s="6" t="s">
        <v>59</v>
      </c>
      <c r="E997" s="6"/>
      <c r="G997" s="6">
        <v>120</v>
      </c>
      <c r="H997" s="6">
        <v>120</v>
      </c>
      <c r="K997" s="7">
        <v>44005172</v>
      </c>
      <c r="L997" s="5" t="str">
        <f t="shared" si="114"/>
        <v>BR BONNY KÖŞE MODÜL 120x120</v>
      </c>
      <c r="M997" s="8">
        <v>0.15</v>
      </c>
      <c r="N997" s="8">
        <v>0.05</v>
      </c>
      <c r="O997" s="8">
        <v>19303</v>
      </c>
      <c r="P997" s="8">
        <f t="shared" si="108"/>
        <v>18337.849999999999</v>
      </c>
      <c r="Q997" s="12">
        <f t="shared" si="109"/>
        <v>38509.485000000001</v>
      </c>
      <c r="R997" s="31">
        <f t="shared" si="110"/>
        <v>38500</v>
      </c>
    </row>
    <row r="998" spans="1:18" ht="21.95" customHeight="1" x14ac:dyDescent="0.2">
      <c r="A998" s="5" t="s">
        <v>17</v>
      </c>
      <c r="B998" s="5" t="s">
        <v>1583</v>
      </c>
      <c r="C998" s="6" t="s">
        <v>515</v>
      </c>
      <c r="D998" s="6" t="s">
        <v>521</v>
      </c>
      <c r="E998" s="6"/>
      <c r="G998" s="6">
        <v>120</v>
      </c>
      <c r="H998" s="6">
        <v>120</v>
      </c>
      <c r="K998" s="7">
        <v>44005173</v>
      </c>
      <c r="L998" s="5" t="str">
        <f t="shared" si="114"/>
        <v>BR BONNY KÖŞE MODÜL MEKANİZMALI 120x120</v>
      </c>
      <c r="M998" s="8">
        <v>0.15</v>
      </c>
      <c r="N998" s="8">
        <v>0.05</v>
      </c>
      <c r="O998" s="8">
        <v>20363</v>
      </c>
      <c r="P998" s="8">
        <f t="shared" si="108"/>
        <v>19344.849999999999</v>
      </c>
      <c r="Q998" s="12">
        <f t="shared" si="109"/>
        <v>40624.184999999998</v>
      </c>
      <c r="R998" s="31">
        <f t="shared" si="110"/>
        <v>40600</v>
      </c>
    </row>
    <row r="999" spans="1:18" ht="21.95" customHeight="1" x14ac:dyDescent="0.2">
      <c r="A999" s="5" t="s">
        <v>17</v>
      </c>
      <c r="B999" s="5" t="s">
        <v>1583</v>
      </c>
      <c r="C999" s="6" t="s">
        <v>515</v>
      </c>
      <c r="D999" s="6" t="s">
        <v>522</v>
      </c>
      <c r="E999" s="6"/>
      <c r="G999" s="6">
        <v>120</v>
      </c>
      <c r="H999" s="6">
        <v>96</v>
      </c>
      <c r="K999" s="7">
        <v>44005174</v>
      </c>
      <c r="L999" s="5" t="str">
        <f t="shared" si="114"/>
        <v>BR BONNY MODÜL TEK KOLLU 120x96</v>
      </c>
      <c r="M999" s="8">
        <v>0.15</v>
      </c>
      <c r="N999" s="8">
        <v>0.05</v>
      </c>
      <c r="O999" s="8">
        <v>15363</v>
      </c>
      <c r="P999" s="8">
        <f t="shared" si="108"/>
        <v>14594.849999999999</v>
      </c>
      <c r="Q999" s="12">
        <f t="shared" si="109"/>
        <v>30649.184999999998</v>
      </c>
      <c r="R999" s="31">
        <f t="shared" si="110"/>
        <v>30600</v>
      </c>
    </row>
    <row r="1000" spans="1:18" ht="21.95" customHeight="1" x14ac:dyDescent="0.2">
      <c r="A1000" s="5" t="s">
        <v>17</v>
      </c>
      <c r="B1000" s="5" t="s">
        <v>1583</v>
      </c>
      <c r="C1000" s="6" t="s">
        <v>515</v>
      </c>
      <c r="D1000" s="6" t="s">
        <v>507</v>
      </c>
      <c r="E1000" s="6"/>
      <c r="G1000" s="6">
        <v>75</v>
      </c>
      <c r="H1000" s="6">
        <v>96</v>
      </c>
      <c r="K1000" s="7">
        <v>44005175</v>
      </c>
      <c r="L1000" s="5" t="str">
        <f t="shared" si="114"/>
        <v>BR BONNY ARA MODÜL 75 LİK 75x96</v>
      </c>
      <c r="M1000" s="8">
        <v>0.15</v>
      </c>
      <c r="N1000" s="8">
        <v>0.05</v>
      </c>
      <c r="O1000" s="8">
        <v>1348</v>
      </c>
      <c r="P1000" s="8">
        <f t="shared" si="108"/>
        <v>1280.5999999999999</v>
      </c>
      <c r="Q1000" s="12">
        <f t="shared" si="109"/>
        <v>2689.2599999999998</v>
      </c>
      <c r="R1000" s="31">
        <f t="shared" si="110"/>
        <v>2600</v>
      </c>
    </row>
    <row r="1001" spans="1:18" ht="21.95" customHeight="1" x14ac:dyDescent="0.2">
      <c r="A1001" s="5" t="s">
        <v>17</v>
      </c>
      <c r="B1001" s="21" t="s">
        <v>1583</v>
      </c>
      <c r="C1001" s="21" t="s">
        <v>515</v>
      </c>
      <c r="D1001" s="21" t="s">
        <v>511</v>
      </c>
      <c r="E1001" s="21"/>
      <c r="F1001" s="21"/>
      <c r="G1001" s="21">
        <v>45</v>
      </c>
      <c r="H1001" s="21">
        <v>45</v>
      </c>
      <c r="I1001" s="22"/>
      <c r="J1001" s="22"/>
      <c r="K1001" s="22">
        <v>44005176</v>
      </c>
      <c r="L1001" s="21" t="str">
        <f t="shared" si="114"/>
        <v>BR BONNY KIRLENT 45x45</v>
      </c>
      <c r="M1001" s="8">
        <v>0.15</v>
      </c>
      <c r="N1001" s="8">
        <v>0.05</v>
      </c>
      <c r="O1001" s="23">
        <v>850</v>
      </c>
      <c r="P1001" s="8">
        <f t="shared" si="108"/>
        <v>807.5</v>
      </c>
      <c r="Q1001" s="12">
        <f t="shared" si="109"/>
        <v>1695.75</v>
      </c>
      <c r="R1001" s="31">
        <f t="shared" si="110"/>
        <v>1600</v>
      </c>
    </row>
    <row r="1002" spans="1:18" ht="21.95" customHeight="1" x14ac:dyDescent="0.2">
      <c r="A1002" s="5" t="s">
        <v>17</v>
      </c>
      <c r="B1002" s="5" t="s">
        <v>1583</v>
      </c>
      <c r="C1002" s="6" t="s">
        <v>523</v>
      </c>
      <c r="D1002" s="6" t="s">
        <v>49</v>
      </c>
      <c r="E1002" s="6"/>
      <c r="G1002" s="6">
        <v>230</v>
      </c>
      <c r="H1002" s="6">
        <v>480</v>
      </c>
      <c r="I1002" s="9"/>
      <c r="J1002" s="9"/>
      <c r="K1002" s="7">
        <v>44005178</v>
      </c>
      <c r="L1002" s="5" t="str">
        <f t="shared" si="114"/>
        <v>BR ASTOR KONSOL 230x480</v>
      </c>
      <c r="M1002" s="8">
        <v>0.15</v>
      </c>
      <c r="N1002" s="8">
        <v>0.05</v>
      </c>
      <c r="O1002" s="8">
        <v>27299</v>
      </c>
      <c r="P1002" s="8">
        <f t="shared" si="108"/>
        <v>25934.05</v>
      </c>
      <c r="Q1002" s="12">
        <f t="shared" si="109"/>
        <v>54461.504999999997</v>
      </c>
      <c r="R1002" s="31">
        <f t="shared" si="110"/>
        <v>54400</v>
      </c>
    </row>
    <row r="1003" spans="1:18" ht="21.95" customHeight="1" x14ac:dyDescent="0.2">
      <c r="A1003" s="5" t="s">
        <v>17</v>
      </c>
      <c r="B1003" s="5" t="s">
        <v>1583</v>
      </c>
      <c r="C1003" s="6" t="s">
        <v>523</v>
      </c>
      <c r="D1003" s="6" t="s">
        <v>155</v>
      </c>
      <c r="E1003" s="6"/>
      <c r="G1003" s="6">
        <v>208</v>
      </c>
      <c r="H1003" s="6">
        <v>103</v>
      </c>
      <c r="I1003" s="9"/>
      <c r="J1003" s="9"/>
      <c r="K1003" s="7">
        <v>44005179</v>
      </c>
      <c r="L1003" s="5" t="str">
        <f t="shared" si="114"/>
        <v>BR ASTOR MASA 208x103</v>
      </c>
      <c r="M1003" s="8">
        <v>0.15</v>
      </c>
      <c r="N1003" s="8">
        <v>0.05</v>
      </c>
      <c r="O1003" s="8">
        <v>22931</v>
      </c>
      <c r="P1003" s="8">
        <f t="shared" si="108"/>
        <v>21784.45</v>
      </c>
      <c r="Q1003" s="12">
        <f t="shared" si="109"/>
        <v>45747.345000000001</v>
      </c>
      <c r="R1003" s="31">
        <f t="shared" si="110"/>
        <v>45700</v>
      </c>
    </row>
    <row r="1004" spans="1:18" ht="21.95" customHeight="1" x14ac:dyDescent="0.2">
      <c r="A1004" s="5" t="s">
        <v>17</v>
      </c>
      <c r="B1004" s="5" t="s">
        <v>1583</v>
      </c>
      <c r="C1004" s="6" t="s">
        <v>523</v>
      </c>
      <c r="D1004" s="6" t="s">
        <v>25</v>
      </c>
      <c r="E1004" s="6"/>
      <c r="G1004" s="6">
        <v>56</v>
      </c>
      <c r="H1004" s="6">
        <v>60</v>
      </c>
      <c r="I1004" s="9">
        <v>90</v>
      </c>
      <c r="J1004" s="9"/>
      <c r="K1004" s="7">
        <v>44005180</v>
      </c>
      <c r="L1004" s="5" t="str">
        <f>B1004&amp;" "&amp;C1004&amp;" "&amp;D1004&amp;" "&amp;G1004&amp;"x"&amp;H1004&amp;"x"&amp;I1004</f>
        <v>BR ASTOR SANDALYE 56x60x90</v>
      </c>
      <c r="M1004" s="8">
        <v>0.15</v>
      </c>
      <c r="N1004" s="8">
        <v>0.05</v>
      </c>
      <c r="O1004" s="8">
        <v>4950</v>
      </c>
      <c r="P1004" s="8">
        <f t="shared" si="108"/>
        <v>4702.5</v>
      </c>
      <c r="Q1004" s="12">
        <f t="shared" si="109"/>
        <v>9875.25</v>
      </c>
      <c r="R1004" s="31">
        <f t="shared" si="110"/>
        <v>9800</v>
      </c>
    </row>
    <row r="1005" spans="1:18" ht="21.95" customHeight="1" x14ac:dyDescent="0.2">
      <c r="A1005" s="5" t="s">
        <v>17</v>
      </c>
      <c r="B1005" s="5" t="s">
        <v>1583</v>
      </c>
      <c r="C1005" s="6" t="s">
        <v>523</v>
      </c>
      <c r="D1005" s="6" t="s">
        <v>102</v>
      </c>
      <c r="E1005" s="6"/>
      <c r="G1005" s="6">
        <v>230</v>
      </c>
      <c r="H1005" s="6">
        <v>480</v>
      </c>
      <c r="I1005" s="9"/>
      <c r="J1005" s="9"/>
      <c r="K1005" s="7">
        <v>44005182</v>
      </c>
      <c r="L1005" s="5" t="str">
        <f t="shared" ref="L1005:L1025" si="115">B1005&amp;" "&amp;C1005&amp;" "&amp;D1005&amp;" "&amp;G1005&amp;"x"&amp;H1005</f>
        <v>BR ASTOR TV ÜNİTESİ ALT BLOK 230x480</v>
      </c>
      <c r="M1005" s="8">
        <v>0.15</v>
      </c>
      <c r="N1005" s="8">
        <v>0.05</v>
      </c>
      <c r="O1005" s="8">
        <v>19753</v>
      </c>
      <c r="P1005" s="8">
        <f t="shared" si="108"/>
        <v>18765.349999999999</v>
      </c>
      <c r="Q1005" s="12">
        <f t="shared" si="109"/>
        <v>39407.235000000001</v>
      </c>
      <c r="R1005" s="31">
        <f t="shared" si="110"/>
        <v>39400</v>
      </c>
    </row>
    <row r="1006" spans="1:18" ht="21.95" customHeight="1" x14ac:dyDescent="0.2">
      <c r="A1006" s="5" t="s">
        <v>17</v>
      </c>
      <c r="B1006" s="5" t="s">
        <v>1583</v>
      </c>
      <c r="C1006" s="6" t="s">
        <v>523</v>
      </c>
      <c r="D1006" s="6" t="s">
        <v>524</v>
      </c>
      <c r="E1006" s="6"/>
      <c r="G1006" s="6">
        <v>88</v>
      </c>
      <c r="H1006" s="6">
        <v>48</v>
      </c>
      <c r="K1006" s="7">
        <v>44005183</v>
      </c>
      <c r="L1006" s="5" t="str">
        <f t="shared" si="115"/>
        <v>BR ASTOR TV ÜNİTESİ YAN BLOK 88x48</v>
      </c>
      <c r="M1006" s="8">
        <v>0.15</v>
      </c>
      <c r="N1006" s="8">
        <v>0.05</v>
      </c>
      <c r="O1006" s="8">
        <v>13300</v>
      </c>
      <c r="P1006" s="8">
        <f t="shared" ref="P1006:P1069" si="116">O1006*(1-N1006)</f>
        <v>12635</v>
      </c>
      <c r="Q1006" s="12">
        <f t="shared" ref="Q1006:Q1069" si="117">O1006*(1-N1006)*2.1</f>
        <v>26533.5</v>
      </c>
      <c r="R1006" s="31">
        <f t="shared" ref="R1006:R1069" si="118">ROUNDDOWN(Q1006,-2)</f>
        <v>26500</v>
      </c>
    </row>
    <row r="1007" spans="1:18" ht="21.95" customHeight="1" x14ac:dyDescent="0.2">
      <c r="A1007" s="5" t="s">
        <v>17</v>
      </c>
      <c r="B1007" s="5" t="s">
        <v>1583</v>
      </c>
      <c r="C1007" s="6" t="s">
        <v>523</v>
      </c>
      <c r="D1007" s="6" t="s">
        <v>29</v>
      </c>
      <c r="E1007" s="6"/>
      <c r="G1007" s="6">
        <v>104</v>
      </c>
      <c r="H1007" s="6">
        <v>104</v>
      </c>
      <c r="I1007" s="9"/>
      <c r="J1007" s="9"/>
      <c r="K1007" s="7">
        <v>44005184</v>
      </c>
      <c r="L1007" s="5" t="str">
        <f t="shared" si="115"/>
        <v>BR ASTOR ORTA SEHPA 104x104</v>
      </c>
      <c r="M1007" s="8">
        <v>0.15</v>
      </c>
      <c r="N1007" s="8">
        <v>0.05</v>
      </c>
      <c r="O1007" s="8">
        <v>7918</v>
      </c>
      <c r="P1007" s="8">
        <f t="shared" si="116"/>
        <v>7522.0999999999995</v>
      </c>
      <c r="Q1007" s="12">
        <f t="shared" si="117"/>
        <v>15796.41</v>
      </c>
      <c r="R1007" s="31">
        <f t="shared" si="118"/>
        <v>15700</v>
      </c>
    </row>
    <row r="1008" spans="1:18" ht="21.95" customHeight="1" x14ac:dyDescent="0.2">
      <c r="A1008" s="5" t="s">
        <v>17</v>
      </c>
      <c r="B1008" s="5" t="s">
        <v>1583</v>
      </c>
      <c r="C1008" s="6" t="s">
        <v>523</v>
      </c>
      <c r="D1008" s="6" t="s">
        <v>525</v>
      </c>
      <c r="E1008" s="6"/>
      <c r="G1008" s="6">
        <v>49</v>
      </c>
      <c r="H1008" s="6">
        <v>49</v>
      </c>
      <c r="I1008" s="9"/>
      <c r="J1008" s="9"/>
      <c r="K1008" s="7">
        <v>44005185</v>
      </c>
      <c r="L1008" s="5" t="str">
        <f t="shared" si="115"/>
        <v>BR ASTOR YAN SEHPA BÜYÜK 49x49</v>
      </c>
      <c r="M1008" s="8">
        <v>0.15</v>
      </c>
      <c r="N1008" s="8">
        <v>0.05</v>
      </c>
      <c r="O1008" s="8">
        <v>2967</v>
      </c>
      <c r="P1008" s="8">
        <f t="shared" si="116"/>
        <v>2818.65</v>
      </c>
      <c r="Q1008" s="12">
        <f t="shared" si="117"/>
        <v>5919.1650000000009</v>
      </c>
      <c r="R1008" s="31">
        <f t="shared" si="118"/>
        <v>5900</v>
      </c>
    </row>
    <row r="1009" spans="1:18" ht="21.95" customHeight="1" x14ac:dyDescent="0.2">
      <c r="A1009" s="5" t="s">
        <v>17</v>
      </c>
      <c r="B1009" s="5" t="s">
        <v>1583</v>
      </c>
      <c r="C1009" s="6" t="s">
        <v>523</v>
      </c>
      <c r="D1009" s="6" t="s">
        <v>526</v>
      </c>
      <c r="E1009" s="6"/>
      <c r="G1009" s="6">
        <v>49</v>
      </c>
      <c r="H1009" s="6">
        <v>49</v>
      </c>
      <c r="I1009" s="9"/>
      <c r="J1009" s="9"/>
      <c r="K1009" s="7">
        <v>44005186</v>
      </c>
      <c r="L1009" s="5" t="str">
        <f t="shared" si="115"/>
        <v>BR ASTOR YAN SEHPA KÜÇÜK 49x49</v>
      </c>
      <c r="M1009" s="8">
        <v>0.15</v>
      </c>
      <c r="N1009" s="8">
        <v>0.05</v>
      </c>
      <c r="O1009" s="8">
        <v>2910</v>
      </c>
      <c r="P1009" s="8">
        <f t="shared" si="116"/>
        <v>2764.5</v>
      </c>
      <c r="Q1009" s="12">
        <f t="shared" si="117"/>
        <v>5805.45</v>
      </c>
      <c r="R1009" s="31">
        <f t="shared" si="118"/>
        <v>5800</v>
      </c>
    </row>
    <row r="1010" spans="1:18" ht="21.95" customHeight="1" x14ac:dyDescent="0.2">
      <c r="A1010" s="5" t="s">
        <v>17</v>
      </c>
      <c r="B1010" s="5" t="s">
        <v>1583</v>
      </c>
      <c r="C1010" s="6" t="s">
        <v>523</v>
      </c>
      <c r="D1010" s="6" t="s">
        <v>152</v>
      </c>
      <c r="E1010" s="6"/>
      <c r="G1010" s="6">
        <v>103</v>
      </c>
      <c r="H1010" s="6">
        <v>25</v>
      </c>
      <c r="I1010" s="9"/>
      <c r="J1010" s="9"/>
      <c r="K1010" s="7">
        <v>44005187</v>
      </c>
      <c r="L1010" s="5" t="str">
        <f t="shared" si="115"/>
        <v>BR ASTOR AYNA 103x25</v>
      </c>
      <c r="M1010" s="8">
        <v>0.15</v>
      </c>
      <c r="N1010" s="8">
        <v>0.05</v>
      </c>
      <c r="O1010" s="8">
        <v>4833</v>
      </c>
      <c r="P1010" s="8">
        <f t="shared" si="116"/>
        <v>4591.3499999999995</v>
      </c>
      <c r="Q1010" s="12">
        <f t="shared" si="117"/>
        <v>9641.8349999999991</v>
      </c>
      <c r="R1010" s="31">
        <f t="shared" si="118"/>
        <v>9600</v>
      </c>
    </row>
    <row r="1011" spans="1:18" ht="21.95" customHeight="1" x14ac:dyDescent="0.2">
      <c r="A1011" s="5" t="s">
        <v>17</v>
      </c>
      <c r="B1011" s="5" t="s">
        <v>1583</v>
      </c>
      <c r="C1011" s="6" t="s">
        <v>523</v>
      </c>
      <c r="D1011" s="6" t="s">
        <v>412</v>
      </c>
      <c r="E1011" s="6"/>
      <c r="G1011" s="6">
        <v>249</v>
      </c>
      <c r="H1011" s="6">
        <v>99</v>
      </c>
      <c r="I1011" s="9"/>
      <c r="J1011" s="9"/>
      <c r="K1011" s="7">
        <v>44005189</v>
      </c>
      <c r="L1011" s="5" t="str">
        <f t="shared" si="115"/>
        <v>BR ASTOR KANEPE 3 LÜ 249x99</v>
      </c>
      <c r="M1011" s="8">
        <v>0.15</v>
      </c>
      <c r="N1011" s="8">
        <v>0.05</v>
      </c>
      <c r="O1011" s="8">
        <v>26121</v>
      </c>
      <c r="P1011" s="8">
        <f t="shared" si="116"/>
        <v>24814.949999999997</v>
      </c>
      <c r="Q1011" s="12">
        <f t="shared" si="117"/>
        <v>52111.394999999997</v>
      </c>
      <c r="R1011" s="31">
        <f t="shared" si="118"/>
        <v>52100</v>
      </c>
    </row>
    <row r="1012" spans="1:18" ht="21.95" customHeight="1" x14ac:dyDescent="0.2">
      <c r="A1012" s="5" t="s">
        <v>17</v>
      </c>
      <c r="B1012" s="5" t="s">
        <v>1583</v>
      </c>
      <c r="C1012" s="6" t="s">
        <v>523</v>
      </c>
      <c r="D1012" s="6" t="s">
        <v>168</v>
      </c>
      <c r="E1012" s="6"/>
      <c r="G1012" s="6">
        <v>97</v>
      </c>
      <c r="H1012" s="6">
        <v>90</v>
      </c>
      <c r="I1012" s="9"/>
      <c r="J1012" s="9"/>
      <c r="K1012" s="7">
        <v>44005190</v>
      </c>
      <c r="L1012" s="5" t="str">
        <f t="shared" si="115"/>
        <v>BR ASTOR BERJER  97x90</v>
      </c>
      <c r="M1012" s="8">
        <v>0.15</v>
      </c>
      <c r="N1012" s="8">
        <v>0.05</v>
      </c>
      <c r="O1012" s="8">
        <v>13394</v>
      </c>
      <c r="P1012" s="8">
        <f t="shared" si="116"/>
        <v>12724.3</v>
      </c>
      <c r="Q1012" s="12">
        <f t="shared" si="117"/>
        <v>26721.03</v>
      </c>
      <c r="R1012" s="31">
        <f t="shared" si="118"/>
        <v>26700</v>
      </c>
    </row>
    <row r="1013" spans="1:18" ht="21.95" customHeight="1" x14ac:dyDescent="0.2">
      <c r="A1013" s="5" t="s">
        <v>17</v>
      </c>
      <c r="B1013" s="21" t="s">
        <v>1583</v>
      </c>
      <c r="C1013" s="21" t="s">
        <v>523</v>
      </c>
      <c r="D1013" s="21" t="s">
        <v>119</v>
      </c>
      <c r="E1013" s="21"/>
      <c r="F1013" s="21"/>
      <c r="G1013" s="21">
        <v>75</v>
      </c>
      <c r="H1013" s="21">
        <v>63</v>
      </c>
      <c r="I1013" s="22"/>
      <c r="J1013" s="22"/>
      <c r="K1013" s="22">
        <v>44005191</v>
      </c>
      <c r="L1013" s="21" t="str">
        <f t="shared" si="115"/>
        <v>BR ASTOR PUF 75x63</v>
      </c>
      <c r="M1013" s="8">
        <v>0.15</v>
      </c>
      <c r="N1013" s="8">
        <v>0.05</v>
      </c>
      <c r="O1013" s="23">
        <v>4386</v>
      </c>
      <c r="P1013" s="8">
        <f t="shared" si="116"/>
        <v>4166.7</v>
      </c>
      <c r="Q1013" s="12">
        <f t="shared" si="117"/>
        <v>8750.07</v>
      </c>
      <c r="R1013" s="31">
        <f t="shared" si="118"/>
        <v>8700</v>
      </c>
    </row>
    <row r="1014" spans="1:18" ht="21.95" customHeight="1" x14ac:dyDescent="0.2">
      <c r="A1014" s="5" t="s">
        <v>17</v>
      </c>
      <c r="B1014" s="21" t="s">
        <v>1583</v>
      </c>
      <c r="C1014" s="21" t="s">
        <v>523</v>
      </c>
      <c r="D1014" s="21" t="s">
        <v>511</v>
      </c>
      <c r="E1014" s="21"/>
      <c r="F1014" s="21"/>
      <c r="G1014" s="21">
        <v>45</v>
      </c>
      <c r="H1014" s="21">
        <v>45</v>
      </c>
      <c r="I1014" s="22"/>
      <c r="J1014" s="22"/>
      <c r="K1014" s="22">
        <v>44005192</v>
      </c>
      <c r="L1014" s="21" t="str">
        <f t="shared" si="115"/>
        <v>BR ASTOR KIRLENT 45x45</v>
      </c>
      <c r="M1014" s="8">
        <v>0.15</v>
      </c>
      <c r="N1014" s="8">
        <v>0.05</v>
      </c>
      <c r="O1014" s="23">
        <v>900</v>
      </c>
      <c r="P1014" s="8">
        <f t="shared" si="116"/>
        <v>855</v>
      </c>
      <c r="Q1014" s="12">
        <f t="shared" si="117"/>
        <v>1795.5</v>
      </c>
      <c r="R1014" s="31">
        <f t="shared" si="118"/>
        <v>1700</v>
      </c>
    </row>
    <row r="1015" spans="1:18" ht="21.95" customHeight="1" x14ac:dyDescent="0.2">
      <c r="A1015" s="5" t="s">
        <v>17</v>
      </c>
      <c r="B1015" s="5" t="s">
        <v>1583</v>
      </c>
      <c r="C1015" s="6" t="s">
        <v>527</v>
      </c>
      <c r="D1015" s="6" t="s">
        <v>412</v>
      </c>
      <c r="E1015" s="6"/>
      <c r="G1015" s="6">
        <v>249</v>
      </c>
      <c r="H1015" s="6">
        <v>99</v>
      </c>
      <c r="I1015" s="9"/>
      <c r="J1015" s="9"/>
      <c r="K1015" s="7">
        <v>44005194</v>
      </c>
      <c r="L1015" s="5" t="str">
        <f t="shared" si="115"/>
        <v>BR VEGA KANEPE 3 LÜ 249x99</v>
      </c>
      <c r="M1015" s="8">
        <v>0.15</v>
      </c>
      <c r="N1015" s="8">
        <v>0.05</v>
      </c>
      <c r="O1015" s="8">
        <v>24593</v>
      </c>
      <c r="P1015" s="8">
        <f t="shared" si="116"/>
        <v>23363.35</v>
      </c>
      <c r="Q1015" s="12">
        <f t="shared" si="117"/>
        <v>49063.034999999996</v>
      </c>
      <c r="R1015" s="31">
        <f t="shared" si="118"/>
        <v>49000</v>
      </c>
    </row>
    <row r="1016" spans="1:18" ht="21.95" customHeight="1" x14ac:dyDescent="0.2">
      <c r="A1016" s="5" t="s">
        <v>17</v>
      </c>
      <c r="B1016" s="5" t="s">
        <v>1583</v>
      </c>
      <c r="C1016" s="6" t="s">
        <v>527</v>
      </c>
      <c r="D1016" s="6" t="s">
        <v>168</v>
      </c>
      <c r="E1016" s="6"/>
      <c r="G1016" s="6">
        <v>92</v>
      </c>
      <c r="H1016" s="6">
        <v>94</v>
      </c>
      <c r="I1016" s="9"/>
      <c r="J1016" s="9"/>
      <c r="K1016" s="7">
        <v>44005195</v>
      </c>
      <c r="L1016" s="5" t="str">
        <f t="shared" si="115"/>
        <v>BR VEGA BERJER  92x94</v>
      </c>
      <c r="M1016" s="8">
        <v>0.15</v>
      </c>
      <c r="N1016" s="8">
        <v>0.05</v>
      </c>
      <c r="O1016" s="8">
        <v>11431</v>
      </c>
      <c r="P1016" s="8">
        <f t="shared" si="116"/>
        <v>10859.449999999999</v>
      </c>
      <c r="Q1016" s="12">
        <f t="shared" si="117"/>
        <v>22804.844999999998</v>
      </c>
      <c r="R1016" s="31">
        <f t="shared" si="118"/>
        <v>22800</v>
      </c>
    </row>
    <row r="1017" spans="1:18" ht="21.95" customHeight="1" x14ac:dyDescent="0.2">
      <c r="A1017" s="5" t="s">
        <v>17</v>
      </c>
      <c r="B1017" s="21" t="s">
        <v>1583</v>
      </c>
      <c r="C1017" s="21" t="s">
        <v>527</v>
      </c>
      <c r="D1017" s="21" t="s">
        <v>511</v>
      </c>
      <c r="E1017" s="21"/>
      <c r="F1017" s="21"/>
      <c r="G1017" s="21">
        <v>45</v>
      </c>
      <c r="H1017" s="21">
        <v>45</v>
      </c>
      <c r="I1017" s="22"/>
      <c r="J1017" s="22"/>
      <c r="K1017" s="22">
        <v>44005196</v>
      </c>
      <c r="L1017" s="21" t="str">
        <f t="shared" si="115"/>
        <v>BR VEGA KIRLENT 45x45</v>
      </c>
      <c r="M1017" s="8">
        <v>0.15</v>
      </c>
      <c r="N1017" s="8">
        <v>0.05</v>
      </c>
      <c r="O1017" s="23">
        <v>850</v>
      </c>
      <c r="P1017" s="8">
        <f t="shared" si="116"/>
        <v>807.5</v>
      </c>
      <c r="Q1017" s="12">
        <f t="shared" si="117"/>
        <v>1695.75</v>
      </c>
      <c r="R1017" s="31">
        <f t="shared" si="118"/>
        <v>1600</v>
      </c>
    </row>
    <row r="1018" spans="1:18" ht="21.95" customHeight="1" x14ac:dyDescent="0.2">
      <c r="A1018" s="5" t="s">
        <v>17</v>
      </c>
      <c r="B1018" s="5" t="s">
        <v>1583</v>
      </c>
      <c r="C1018" s="6" t="s">
        <v>528</v>
      </c>
      <c r="D1018" s="6" t="s">
        <v>411</v>
      </c>
      <c r="E1018" s="6"/>
      <c r="G1018" s="5">
        <v>277</v>
      </c>
      <c r="H1018" s="6">
        <v>102</v>
      </c>
      <c r="I1018" s="9"/>
      <c r="J1018" s="9"/>
      <c r="K1018" s="7">
        <v>44005198</v>
      </c>
      <c r="L1018" s="5" t="str">
        <f t="shared" si="115"/>
        <v>BR HAMILTON KANEPE 4 LÜ 277x102</v>
      </c>
      <c r="M1018" s="8">
        <v>0.15</v>
      </c>
      <c r="N1018" s="8">
        <v>0.05</v>
      </c>
      <c r="O1018" s="8">
        <v>32960</v>
      </c>
      <c r="P1018" s="8">
        <f t="shared" si="116"/>
        <v>31312</v>
      </c>
      <c r="Q1018" s="12">
        <f t="shared" si="117"/>
        <v>65755.199999999997</v>
      </c>
      <c r="R1018" s="31">
        <f t="shared" si="118"/>
        <v>65700</v>
      </c>
    </row>
    <row r="1019" spans="1:18" ht="21.95" customHeight="1" x14ac:dyDescent="0.2">
      <c r="A1019" s="5" t="s">
        <v>17</v>
      </c>
      <c r="B1019" s="5" t="s">
        <v>1583</v>
      </c>
      <c r="C1019" s="6" t="s">
        <v>528</v>
      </c>
      <c r="D1019" s="6" t="s">
        <v>412</v>
      </c>
      <c r="E1019" s="6"/>
      <c r="G1019" s="6">
        <v>240</v>
      </c>
      <c r="H1019" s="6">
        <v>102</v>
      </c>
      <c r="K1019" s="7">
        <v>44005199</v>
      </c>
      <c r="L1019" s="5" t="str">
        <f t="shared" si="115"/>
        <v>BR HAMILTON KANEPE 3 LÜ 240x102</v>
      </c>
      <c r="M1019" s="8">
        <v>0.15</v>
      </c>
      <c r="N1019" s="8">
        <v>0.05</v>
      </c>
      <c r="O1019" s="8">
        <v>27070</v>
      </c>
      <c r="P1019" s="8">
        <f t="shared" si="116"/>
        <v>25716.5</v>
      </c>
      <c r="Q1019" s="12">
        <f t="shared" si="117"/>
        <v>54004.65</v>
      </c>
      <c r="R1019" s="31">
        <f t="shared" si="118"/>
        <v>54000</v>
      </c>
    </row>
    <row r="1020" spans="1:18" ht="21.95" customHeight="1" x14ac:dyDescent="0.2">
      <c r="A1020" s="5" t="s">
        <v>17</v>
      </c>
      <c r="B1020" s="6" t="s">
        <v>1583</v>
      </c>
      <c r="C1020" s="6" t="s">
        <v>528</v>
      </c>
      <c r="D1020" s="6" t="s">
        <v>504</v>
      </c>
      <c r="E1020" s="6"/>
      <c r="F1020" s="6"/>
      <c r="G1020" s="6">
        <v>80</v>
      </c>
      <c r="H1020" s="6">
        <v>83</v>
      </c>
      <c r="I1020" s="9"/>
      <c r="J1020" s="9"/>
      <c r="K1020" s="9">
        <v>44005200</v>
      </c>
      <c r="L1020" s="6" t="str">
        <f t="shared" si="115"/>
        <v>BR HAMILTON TEKLİ 80x83</v>
      </c>
      <c r="M1020" s="8">
        <v>0.15</v>
      </c>
      <c r="N1020" s="8">
        <v>0.05</v>
      </c>
      <c r="O1020" s="12">
        <v>10275</v>
      </c>
      <c r="P1020" s="8">
        <f t="shared" si="116"/>
        <v>9761.25</v>
      </c>
      <c r="Q1020" s="12">
        <f t="shared" si="117"/>
        <v>20498.625</v>
      </c>
      <c r="R1020" s="31">
        <f t="shared" si="118"/>
        <v>20400</v>
      </c>
    </row>
    <row r="1021" spans="1:18" ht="21.95" customHeight="1" x14ac:dyDescent="0.2">
      <c r="A1021" s="5" t="s">
        <v>17</v>
      </c>
      <c r="B1021" s="21" t="s">
        <v>1583</v>
      </c>
      <c r="C1021" s="21" t="s">
        <v>528</v>
      </c>
      <c r="D1021" s="21" t="s">
        <v>511</v>
      </c>
      <c r="E1021" s="21"/>
      <c r="F1021" s="21"/>
      <c r="G1021" s="21">
        <v>45</v>
      </c>
      <c r="H1021" s="21">
        <v>45</v>
      </c>
      <c r="I1021" s="22"/>
      <c r="J1021" s="22"/>
      <c r="K1021" s="22">
        <v>44005201</v>
      </c>
      <c r="L1021" s="21" t="str">
        <f t="shared" si="115"/>
        <v>BR HAMILTON KIRLENT 45x45</v>
      </c>
      <c r="M1021" s="8">
        <v>0.15</v>
      </c>
      <c r="N1021" s="8">
        <v>0.05</v>
      </c>
      <c r="O1021" s="23">
        <v>850</v>
      </c>
      <c r="P1021" s="8">
        <f t="shared" si="116"/>
        <v>807.5</v>
      </c>
      <c r="Q1021" s="12">
        <f t="shared" si="117"/>
        <v>1695.75</v>
      </c>
      <c r="R1021" s="31">
        <f t="shared" si="118"/>
        <v>1600</v>
      </c>
    </row>
    <row r="1022" spans="1:18" ht="21.95" customHeight="1" x14ac:dyDescent="0.2">
      <c r="A1022" s="5" t="s">
        <v>17</v>
      </c>
      <c r="B1022" s="5" t="s">
        <v>1583</v>
      </c>
      <c r="C1022" s="6" t="s">
        <v>529</v>
      </c>
      <c r="D1022" s="6" t="s">
        <v>411</v>
      </c>
      <c r="E1022" s="6"/>
      <c r="G1022" s="6">
        <v>270</v>
      </c>
      <c r="H1022" s="6">
        <v>100</v>
      </c>
      <c r="I1022" s="9"/>
      <c r="J1022" s="9"/>
      <c r="K1022" s="7">
        <v>44005203</v>
      </c>
      <c r="L1022" s="5" t="str">
        <f t="shared" si="115"/>
        <v>BR DEAR KANEPE 4 LÜ 270x100</v>
      </c>
      <c r="M1022" s="8">
        <v>0.15</v>
      </c>
      <c r="N1022" s="8">
        <v>0.05</v>
      </c>
      <c r="O1022" s="8">
        <v>30219</v>
      </c>
      <c r="P1022" s="8">
        <f t="shared" si="116"/>
        <v>28708.05</v>
      </c>
      <c r="Q1022" s="12">
        <f t="shared" si="117"/>
        <v>60286.904999999999</v>
      </c>
      <c r="R1022" s="31">
        <f t="shared" si="118"/>
        <v>60200</v>
      </c>
    </row>
    <row r="1023" spans="1:18" ht="21.95" customHeight="1" x14ac:dyDescent="0.2">
      <c r="A1023" s="5" t="s">
        <v>17</v>
      </c>
      <c r="B1023" s="5" t="s">
        <v>1583</v>
      </c>
      <c r="C1023" s="6" t="s">
        <v>529</v>
      </c>
      <c r="D1023" s="6" t="s">
        <v>412</v>
      </c>
      <c r="E1023" s="6"/>
      <c r="G1023" s="6">
        <v>230</v>
      </c>
      <c r="H1023" s="6">
        <v>100</v>
      </c>
      <c r="I1023" s="9"/>
      <c r="J1023" s="9"/>
      <c r="K1023" s="7">
        <v>44005204</v>
      </c>
      <c r="L1023" s="5" t="str">
        <f t="shared" si="115"/>
        <v>BR DEAR KANEPE 3 LÜ 230x100</v>
      </c>
      <c r="M1023" s="8">
        <v>0.15</v>
      </c>
      <c r="N1023" s="8">
        <v>0.05</v>
      </c>
      <c r="O1023" s="8">
        <v>24472</v>
      </c>
      <c r="P1023" s="8">
        <f t="shared" si="116"/>
        <v>23248.399999999998</v>
      </c>
      <c r="Q1023" s="12">
        <f t="shared" si="117"/>
        <v>48821.64</v>
      </c>
      <c r="R1023" s="31">
        <f t="shared" si="118"/>
        <v>48800</v>
      </c>
    </row>
    <row r="1024" spans="1:18" ht="21.95" customHeight="1" x14ac:dyDescent="0.2">
      <c r="A1024" s="5" t="s">
        <v>17</v>
      </c>
      <c r="B1024" s="5" t="s">
        <v>1583</v>
      </c>
      <c r="C1024" s="6" t="s">
        <v>529</v>
      </c>
      <c r="D1024" s="6" t="s">
        <v>33</v>
      </c>
      <c r="E1024" s="6"/>
      <c r="G1024" s="6">
        <v>79</v>
      </c>
      <c r="H1024" s="6">
        <v>85</v>
      </c>
      <c r="I1024" s="9"/>
      <c r="J1024" s="9"/>
      <c r="K1024" s="7">
        <v>44005205</v>
      </c>
      <c r="L1024" s="5" t="str">
        <f t="shared" si="115"/>
        <v>BR DEAR BERJER 79x85</v>
      </c>
      <c r="M1024" s="8">
        <v>0.15</v>
      </c>
      <c r="N1024" s="8">
        <v>0.05</v>
      </c>
      <c r="O1024" s="8">
        <v>9486</v>
      </c>
      <c r="P1024" s="8">
        <f t="shared" si="116"/>
        <v>9011.6999999999989</v>
      </c>
      <c r="Q1024" s="12">
        <f t="shared" si="117"/>
        <v>18924.57</v>
      </c>
      <c r="R1024" s="31">
        <f t="shared" si="118"/>
        <v>18900</v>
      </c>
    </row>
    <row r="1025" spans="1:23" ht="21.95" customHeight="1" x14ac:dyDescent="0.2">
      <c r="A1025" s="5" t="s">
        <v>17</v>
      </c>
      <c r="B1025" s="21" t="s">
        <v>1583</v>
      </c>
      <c r="C1025" s="21" t="s">
        <v>529</v>
      </c>
      <c r="D1025" s="21" t="s">
        <v>511</v>
      </c>
      <c r="E1025" s="21"/>
      <c r="F1025" s="21"/>
      <c r="G1025" s="21">
        <v>45</v>
      </c>
      <c r="H1025" s="21">
        <v>45</v>
      </c>
      <c r="I1025" s="22"/>
      <c r="J1025" s="22"/>
      <c r="K1025" s="22">
        <v>44005206</v>
      </c>
      <c r="L1025" s="21" t="str">
        <f t="shared" si="115"/>
        <v>BR DEAR KIRLENT 45x45</v>
      </c>
      <c r="M1025" s="8">
        <v>0.15</v>
      </c>
      <c r="N1025" s="8">
        <v>0.05</v>
      </c>
      <c r="O1025" s="23">
        <v>850</v>
      </c>
      <c r="P1025" s="8">
        <f t="shared" si="116"/>
        <v>807.5</v>
      </c>
      <c r="Q1025" s="12">
        <f t="shared" si="117"/>
        <v>1695.75</v>
      </c>
      <c r="R1025" s="31">
        <f t="shared" si="118"/>
        <v>1600</v>
      </c>
    </row>
    <row r="1026" spans="1:23" ht="21.95" customHeight="1" x14ac:dyDescent="0.2">
      <c r="A1026" s="5" t="s">
        <v>17</v>
      </c>
      <c r="B1026" s="21" t="s">
        <v>1583</v>
      </c>
      <c r="C1026" s="21" t="s">
        <v>497</v>
      </c>
      <c r="D1026" s="21" t="s">
        <v>530</v>
      </c>
      <c r="E1026" s="21"/>
      <c r="F1026" s="21"/>
      <c r="G1026" s="21"/>
      <c r="H1026" s="21"/>
      <c r="I1026" s="22"/>
      <c r="J1026" s="22"/>
      <c r="K1026" s="22">
        <v>44005207</v>
      </c>
      <c r="L1026" s="21" t="str">
        <f>B1026&amp;" "&amp;C1026&amp;" "&amp;D1026</f>
        <v xml:space="preserve">BR TREND KİTAPLIK </v>
      </c>
      <c r="M1026" s="8">
        <v>0.15</v>
      </c>
      <c r="N1026" s="8">
        <v>0.05</v>
      </c>
      <c r="O1026" s="23">
        <v>31840</v>
      </c>
      <c r="P1026" s="8">
        <f t="shared" si="116"/>
        <v>30248</v>
      </c>
      <c r="Q1026" s="12">
        <f t="shared" si="117"/>
        <v>63520.800000000003</v>
      </c>
      <c r="R1026" s="31">
        <f t="shared" si="118"/>
        <v>63500</v>
      </c>
    </row>
    <row r="1027" spans="1:23" ht="21.95" customHeight="1" x14ac:dyDescent="0.2">
      <c r="A1027" s="5" t="s">
        <v>17</v>
      </c>
      <c r="B1027" s="21" t="s">
        <v>1583</v>
      </c>
      <c r="C1027" s="21" t="s">
        <v>497</v>
      </c>
      <c r="D1027" s="21" t="s">
        <v>531</v>
      </c>
      <c r="E1027" s="21"/>
      <c r="F1027" s="21"/>
      <c r="G1027" s="21"/>
      <c r="H1027" s="21"/>
      <c r="I1027" s="22"/>
      <c r="J1027" s="22"/>
      <c r="K1027" s="22">
        <v>44005208</v>
      </c>
      <c r="L1027" s="21" t="str">
        <f>B1027&amp;" "&amp;C1027&amp;" "&amp;D1027</f>
        <v xml:space="preserve">BR TREND KİTAPLIK 100CM </v>
      </c>
      <c r="M1027" s="8">
        <v>0.15</v>
      </c>
      <c r="N1027" s="8">
        <v>0.05</v>
      </c>
      <c r="O1027" s="23">
        <v>15920</v>
      </c>
      <c r="P1027" s="8">
        <f t="shared" si="116"/>
        <v>15124</v>
      </c>
      <c r="Q1027" s="12">
        <f t="shared" si="117"/>
        <v>31760.400000000001</v>
      </c>
      <c r="R1027" s="31">
        <f t="shared" si="118"/>
        <v>31700</v>
      </c>
    </row>
    <row r="1028" spans="1:23" ht="21.95" customHeight="1" x14ac:dyDescent="0.2">
      <c r="A1028" s="5" t="s">
        <v>17</v>
      </c>
      <c r="B1028" s="21" t="s">
        <v>1583</v>
      </c>
      <c r="C1028" s="21" t="s">
        <v>497</v>
      </c>
      <c r="D1028" s="21" t="s">
        <v>532</v>
      </c>
      <c r="E1028" s="21"/>
      <c r="F1028" s="21"/>
      <c r="G1028" s="21"/>
      <c r="H1028" s="21"/>
      <c r="I1028" s="22"/>
      <c r="J1028" s="22"/>
      <c r="K1028" s="22">
        <v>44005209</v>
      </c>
      <c r="L1028" s="21" t="str">
        <f>B1028&amp;" "&amp;C1028&amp;" "&amp;D1028</f>
        <v>BR TREND KİTAPLIK 200CM</v>
      </c>
      <c r="M1028" s="8">
        <v>0.15</v>
      </c>
      <c r="N1028" s="8">
        <v>0.05</v>
      </c>
      <c r="O1028" s="23">
        <v>31840</v>
      </c>
      <c r="P1028" s="8">
        <f t="shared" si="116"/>
        <v>30248</v>
      </c>
      <c r="Q1028" s="12">
        <f t="shared" si="117"/>
        <v>63520.800000000003</v>
      </c>
      <c r="R1028" s="31">
        <f t="shared" si="118"/>
        <v>63500</v>
      </c>
    </row>
    <row r="1029" spans="1:23" ht="21.95" customHeight="1" x14ac:dyDescent="0.2">
      <c r="A1029" s="5" t="s">
        <v>17</v>
      </c>
      <c r="B1029" s="5" t="s">
        <v>1583</v>
      </c>
      <c r="C1029" s="6" t="s">
        <v>497</v>
      </c>
      <c r="D1029" s="6" t="s">
        <v>411</v>
      </c>
      <c r="E1029" s="6"/>
      <c r="G1029" s="5">
        <v>280</v>
      </c>
      <c r="H1029" s="6">
        <v>103</v>
      </c>
      <c r="I1029" s="9"/>
      <c r="J1029" s="9"/>
      <c r="K1029" s="7">
        <v>44005211</v>
      </c>
      <c r="L1029" s="5" t="str">
        <f t="shared" ref="L1029:L1036" si="119">B1029&amp;" "&amp;C1029&amp;" "&amp;D1029&amp;" "&amp;G1029&amp;"x"&amp;H1029</f>
        <v>BR TREND KANEPE 4 LÜ 280x103</v>
      </c>
      <c r="M1029" s="8">
        <v>0.15</v>
      </c>
      <c r="N1029" s="8">
        <v>0.05</v>
      </c>
      <c r="O1029" s="8">
        <v>30881</v>
      </c>
      <c r="P1029" s="8">
        <f t="shared" si="116"/>
        <v>29336.949999999997</v>
      </c>
      <c r="Q1029" s="12">
        <f t="shared" si="117"/>
        <v>61607.594999999994</v>
      </c>
      <c r="R1029" s="31">
        <f t="shared" si="118"/>
        <v>61600</v>
      </c>
    </row>
    <row r="1030" spans="1:23" ht="21.95" customHeight="1" x14ac:dyDescent="0.2">
      <c r="A1030" s="5" t="s">
        <v>17</v>
      </c>
      <c r="B1030" s="5" t="s">
        <v>1583</v>
      </c>
      <c r="C1030" s="6" t="s">
        <v>497</v>
      </c>
      <c r="D1030" s="6" t="s">
        <v>412</v>
      </c>
      <c r="E1030" s="6"/>
      <c r="G1030" s="5">
        <v>240</v>
      </c>
      <c r="H1030" s="6">
        <v>103</v>
      </c>
      <c r="I1030" s="9"/>
      <c r="J1030" s="9"/>
      <c r="K1030" s="7">
        <v>44005212</v>
      </c>
      <c r="L1030" s="5" t="str">
        <f t="shared" si="119"/>
        <v>BR TREND KANEPE 3 LÜ 240x103</v>
      </c>
      <c r="M1030" s="8">
        <v>0.15</v>
      </c>
      <c r="N1030" s="8">
        <v>0.05</v>
      </c>
      <c r="O1030" s="8">
        <v>23696</v>
      </c>
      <c r="P1030" s="8">
        <f t="shared" si="116"/>
        <v>22511.200000000001</v>
      </c>
      <c r="Q1030" s="12">
        <f t="shared" si="117"/>
        <v>47273.520000000004</v>
      </c>
      <c r="R1030" s="31">
        <f t="shared" si="118"/>
        <v>47200</v>
      </c>
    </row>
    <row r="1031" spans="1:23" ht="21.95" customHeight="1" x14ac:dyDescent="0.2">
      <c r="A1031" s="5" t="s">
        <v>17</v>
      </c>
      <c r="B1031" s="5" t="s">
        <v>1583</v>
      </c>
      <c r="C1031" s="6" t="s">
        <v>497</v>
      </c>
      <c r="D1031" s="6" t="s">
        <v>168</v>
      </c>
      <c r="E1031" s="6"/>
      <c r="G1031" s="5">
        <v>130</v>
      </c>
      <c r="H1031" s="6">
        <v>103</v>
      </c>
      <c r="I1031" s="9"/>
      <c r="J1031" s="9"/>
      <c r="K1031" s="7">
        <v>44005213</v>
      </c>
      <c r="L1031" s="5" t="str">
        <f t="shared" si="119"/>
        <v>BR TREND BERJER  130x103</v>
      </c>
      <c r="M1031" s="8">
        <v>0.15</v>
      </c>
      <c r="N1031" s="8">
        <v>0.05</v>
      </c>
      <c r="O1031" s="8">
        <v>13060</v>
      </c>
      <c r="P1031" s="8">
        <f t="shared" si="116"/>
        <v>12407</v>
      </c>
      <c r="Q1031" s="12">
        <f t="shared" si="117"/>
        <v>26054.7</v>
      </c>
      <c r="R1031" s="31">
        <f t="shared" si="118"/>
        <v>26000</v>
      </c>
    </row>
    <row r="1032" spans="1:23" ht="21.95" customHeight="1" x14ac:dyDescent="0.2">
      <c r="A1032" s="5" t="s">
        <v>17</v>
      </c>
      <c r="B1032" s="21" t="s">
        <v>1583</v>
      </c>
      <c r="C1032" s="21" t="s">
        <v>497</v>
      </c>
      <c r="D1032" s="21" t="s">
        <v>511</v>
      </c>
      <c r="E1032" s="21"/>
      <c r="F1032" s="21"/>
      <c r="G1032" s="21">
        <v>45</v>
      </c>
      <c r="H1032" s="21">
        <v>45</v>
      </c>
      <c r="I1032" s="22"/>
      <c r="J1032" s="22"/>
      <c r="K1032" s="22">
        <v>44005214</v>
      </c>
      <c r="L1032" s="21" t="str">
        <f t="shared" si="119"/>
        <v>BR TREND KIRLENT 45x45</v>
      </c>
      <c r="M1032" s="8">
        <v>0.15</v>
      </c>
      <c r="N1032" s="8">
        <v>0.05</v>
      </c>
      <c r="O1032" s="23">
        <v>850</v>
      </c>
      <c r="P1032" s="8">
        <f t="shared" si="116"/>
        <v>807.5</v>
      </c>
      <c r="Q1032" s="12">
        <f t="shared" si="117"/>
        <v>1695.75</v>
      </c>
      <c r="R1032" s="31">
        <f t="shared" si="118"/>
        <v>1600</v>
      </c>
    </row>
    <row r="1033" spans="1:23" ht="21.95" customHeight="1" x14ac:dyDescent="0.2">
      <c r="A1033" s="5" t="s">
        <v>17</v>
      </c>
      <c r="B1033" s="21" t="s">
        <v>1583</v>
      </c>
      <c r="C1033" s="21" t="s">
        <v>352</v>
      </c>
      <c r="D1033" s="21" t="s">
        <v>412</v>
      </c>
      <c r="E1033" s="21"/>
      <c r="F1033" s="21"/>
      <c r="G1033" s="21">
        <v>238</v>
      </c>
      <c r="H1033" s="21">
        <v>97</v>
      </c>
      <c r="I1033" s="22"/>
      <c r="J1033" s="22"/>
      <c r="K1033" s="22">
        <v>44005216</v>
      </c>
      <c r="L1033" s="21" t="str">
        <f t="shared" si="119"/>
        <v>BR CLOUD KANEPE 3 LÜ 238x97</v>
      </c>
      <c r="M1033" s="8">
        <v>0.15</v>
      </c>
      <c r="N1033" s="8">
        <v>0.05</v>
      </c>
      <c r="O1033" s="23">
        <v>29624</v>
      </c>
      <c r="P1033" s="8">
        <f t="shared" si="116"/>
        <v>28142.799999999999</v>
      </c>
      <c r="Q1033" s="12">
        <f t="shared" si="117"/>
        <v>59099.88</v>
      </c>
      <c r="R1033" s="31">
        <f t="shared" si="118"/>
        <v>59000</v>
      </c>
    </row>
    <row r="1034" spans="1:23" ht="21.95" customHeight="1" x14ac:dyDescent="0.2">
      <c r="A1034" s="5" t="s">
        <v>17</v>
      </c>
      <c r="B1034" s="21" t="s">
        <v>1583</v>
      </c>
      <c r="C1034" s="21" t="s">
        <v>352</v>
      </c>
      <c r="D1034" s="21" t="s">
        <v>533</v>
      </c>
      <c r="E1034" s="21"/>
      <c r="F1034" s="21"/>
      <c r="G1034" s="21">
        <v>77</v>
      </c>
      <c r="H1034" s="21">
        <v>94</v>
      </c>
      <c r="I1034" s="25"/>
      <c r="J1034" s="25"/>
      <c r="K1034" s="22">
        <v>44005217</v>
      </c>
      <c r="L1034" s="21" t="str">
        <f t="shared" si="119"/>
        <v>BR CLOUD BERJER METAL BRW 77x94</v>
      </c>
      <c r="M1034" s="8">
        <v>0.15</v>
      </c>
      <c r="N1034" s="8">
        <v>0.05</v>
      </c>
      <c r="O1034" s="23">
        <v>12816</v>
      </c>
      <c r="P1034" s="8">
        <f t="shared" si="116"/>
        <v>12175.199999999999</v>
      </c>
      <c r="Q1034" s="12">
        <f t="shared" si="117"/>
        <v>25567.919999999998</v>
      </c>
      <c r="R1034" s="31">
        <f t="shared" si="118"/>
        <v>25500</v>
      </c>
    </row>
    <row r="1035" spans="1:23" ht="21.95" customHeight="1" x14ac:dyDescent="0.2">
      <c r="A1035" s="5" t="s">
        <v>17</v>
      </c>
      <c r="B1035" s="21" t="s">
        <v>1583</v>
      </c>
      <c r="C1035" s="21" t="s">
        <v>352</v>
      </c>
      <c r="D1035" s="21" t="s">
        <v>511</v>
      </c>
      <c r="E1035" s="21"/>
      <c r="F1035" s="21"/>
      <c r="G1035" s="21">
        <v>45</v>
      </c>
      <c r="H1035" s="21">
        <v>45</v>
      </c>
      <c r="I1035" s="25"/>
      <c r="J1035" s="25"/>
      <c r="K1035" s="22">
        <v>44005218</v>
      </c>
      <c r="L1035" s="21" t="str">
        <f t="shared" si="119"/>
        <v>BR CLOUD KIRLENT 45x45</v>
      </c>
      <c r="M1035" s="8">
        <v>0.15</v>
      </c>
      <c r="N1035" s="8">
        <v>0.05</v>
      </c>
      <c r="O1035" s="23">
        <v>950</v>
      </c>
      <c r="P1035" s="8">
        <f t="shared" si="116"/>
        <v>902.5</v>
      </c>
      <c r="Q1035" s="12">
        <f t="shared" si="117"/>
        <v>1895.25</v>
      </c>
      <c r="R1035" s="31">
        <f t="shared" si="118"/>
        <v>1800</v>
      </c>
    </row>
    <row r="1036" spans="1:23" ht="21.95" customHeight="1" x14ac:dyDescent="0.2">
      <c r="A1036" s="5" t="s">
        <v>17</v>
      </c>
      <c r="B1036" s="5" t="s">
        <v>1583</v>
      </c>
      <c r="C1036" s="6" t="s">
        <v>534</v>
      </c>
      <c r="D1036" s="6" t="s">
        <v>49</v>
      </c>
      <c r="E1036" s="6"/>
      <c r="G1036" s="6">
        <v>230</v>
      </c>
      <c r="H1036" s="6">
        <v>50</v>
      </c>
      <c r="I1036" s="10"/>
      <c r="J1036" s="10"/>
      <c r="K1036" s="7">
        <v>44005220</v>
      </c>
      <c r="L1036" s="6" t="str">
        <f t="shared" si="119"/>
        <v>BR HARMONY KONSOL 230x50</v>
      </c>
      <c r="M1036" s="8">
        <v>0.15</v>
      </c>
      <c r="N1036" s="8">
        <v>0.05</v>
      </c>
      <c r="O1036" s="8">
        <v>41938</v>
      </c>
      <c r="P1036" s="8">
        <f t="shared" si="116"/>
        <v>39841.1</v>
      </c>
      <c r="Q1036" s="12">
        <f t="shared" si="117"/>
        <v>83666.31</v>
      </c>
      <c r="R1036" s="31">
        <f t="shared" si="118"/>
        <v>83600</v>
      </c>
    </row>
    <row r="1037" spans="1:23" ht="21.95" customHeight="1" x14ac:dyDescent="0.2">
      <c r="A1037" s="5" t="s">
        <v>17</v>
      </c>
      <c r="B1037" s="5" t="s">
        <v>1583</v>
      </c>
      <c r="C1037" s="6" t="s">
        <v>534</v>
      </c>
      <c r="D1037" s="6" t="s">
        <v>21</v>
      </c>
      <c r="E1037" s="6"/>
      <c r="F1037" s="6"/>
      <c r="G1037" s="6">
        <v>86</v>
      </c>
      <c r="H1037" s="6">
        <v>6.5</v>
      </c>
      <c r="I1037" s="10">
        <v>86</v>
      </c>
      <c r="J1037" s="10"/>
      <c r="K1037" s="7">
        <v>44005221</v>
      </c>
      <c r="L1037" s="6" t="str">
        <f>B1037&amp;" "&amp;C1037&amp;" "&amp;D1037&amp;" "&amp;G1037&amp;"x"&amp;H1037&amp;"x"&amp;I1037</f>
        <v>BR HARMONY KONSOL AYNASI 86x6,5x86</v>
      </c>
      <c r="M1037" s="8">
        <v>0.15</v>
      </c>
      <c r="N1037" s="8">
        <v>0.05</v>
      </c>
      <c r="O1037" s="8">
        <v>4744</v>
      </c>
      <c r="P1037" s="8">
        <f t="shared" si="116"/>
        <v>4506.8</v>
      </c>
      <c r="Q1037" s="12">
        <f t="shared" si="117"/>
        <v>9464.2800000000007</v>
      </c>
      <c r="R1037" s="31">
        <f t="shared" si="118"/>
        <v>9400</v>
      </c>
    </row>
    <row r="1038" spans="1:23" ht="21.95" customHeight="1" x14ac:dyDescent="0.2">
      <c r="A1038" s="5" t="s">
        <v>17</v>
      </c>
      <c r="B1038" s="5" t="s">
        <v>1583</v>
      </c>
      <c r="C1038" s="6" t="s">
        <v>534</v>
      </c>
      <c r="D1038" s="6" t="s">
        <v>155</v>
      </c>
      <c r="E1038" s="6"/>
      <c r="F1038" s="6"/>
      <c r="G1038" s="6">
        <v>220</v>
      </c>
      <c r="H1038" s="6">
        <v>104</v>
      </c>
      <c r="I1038" s="27">
        <v>77.099999999999994</v>
      </c>
      <c r="J1038" s="10"/>
      <c r="K1038" s="7">
        <v>44005222</v>
      </c>
      <c r="L1038" s="6" t="str">
        <f>B1038&amp;" "&amp;C1038&amp;" "&amp;D1038&amp;" "&amp;G1038&amp;"x"&amp;H1038&amp;"x"&amp;I1038</f>
        <v>BR HARMONY MASA 220x104x77,1</v>
      </c>
      <c r="M1038" s="8">
        <v>0.15</v>
      </c>
      <c r="N1038" s="8">
        <v>0.05</v>
      </c>
      <c r="O1038" s="8">
        <v>26228</v>
      </c>
      <c r="P1038" s="8">
        <f t="shared" si="116"/>
        <v>24916.6</v>
      </c>
      <c r="Q1038" s="12">
        <f t="shared" si="117"/>
        <v>52324.86</v>
      </c>
      <c r="R1038" s="31">
        <f t="shared" si="118"/>
        <v>52300</v>
      </c>
      <c r="U1038" s="8">
        <v>20633.599999999999</v>
      </c>
      <c r="V1038" s="8">
        <f t="shared" ref="V1038:V1069" si="120">T1038*(1-N1038)</f>
        <v>0</v>
      </c>
      <c r="W1038" s="8">
        <f>V1038*2.5</f>
        <v>0</v>
      </c>
    </row>
    <row r="1039" spans="1:23" ht="21.95" customHeight="1" x14ac:dyDescent="0.2">
      <c r="A1039" s="5" t="s">
        <v>17</v>
      </c>
      <c r="B1039" s="5" t="s">
        <v>1583</v>
      </c>
      <c r="C1039" s="6" t="s">
        <v>534</v>
      </c>
      <c r="D1039" s="6" t="s">
        <v>25</v>
      </c>
      <c r="E1039" s="6"/>
      <c r="F1039" s="6"/>
      <c r="G1039" s="6">
        <v>55</v>
      </c>
      <c r="H1039" s="6">
        <v>59</v>
      </c>
      <c r="I1039" s="9">
        <v>81</v>
      </c>
      <c r="J1039" s="9"/>
      <c r="K1039" s="7">
        <v>44005223</v>
      </c>
      <c r="L1039" s="6" t="str">
        <f>B1039&amp;" "&amp;C1039&amp;" "&amp;D1039&amp;" "&amp;G1039&amp;"x"&amp;H1039&amp;"x"&amp;I1039</f>
        <v>BR HARMONY SANDALYE 55x59x81</v>
      </c>
      <c r="M1039" s="8">
        <v>0.15</v>
      </c>
      <c r="N1039" s="8">
        <v>0.05</v>
      </c>
      <c r="O1039" s="8">
        <v>3919</v>
      </c>
      <c r="P1039" s="8">
        <f t="shared" si="116"/>
        <v>3723.0499999999997</v>
      </c>
      <c r="Q1039" s="12">
        <f t="shared" si="117"/>
        <v>7818.4049999999997</v>
      </c>
      <c r="R1039" s="31">
        <f t="shared" si="118"/>
        <v>7800</v>
      </c>
      <c r="U1039" s="8">
        <v>23790</v>
      </c>
      <c r="V1039" s="8">
        <f t="shared" si="120"/>
        <v>0</v>
      </c>
      <c r="W1039" s="8">
        <f t="shared" ref="W1039:W1099" si="121">V1039*2.5</f>
        <v>0</v>
      </c>
    </row>
    <row r="1040" spans="1:23" ht="21.95" customHeight="1" x14ac:dyDescent="0.2">
      <c r="A1040" s="5" t="s">
        <v>17</v>
      </c>
      <c r="B1040" s="5" t="s">
        <v>1583</v>
      </c>
      <c r="C1040" s="6" t="s">
        <v>534</v>
      </c>
      <c r="D1040" s="6" t="s">
        <v>496</v>
      </c>
      <c r="E1040" s="6"/>
      <c r="F1040" s="6"/>
      <c r="G1040" s="6">
        <v>301.2</v>
      </c>
      <c r="H1040" s="6">
        <v>50</v>
      </c>
      <c r="I1040" s="9">
        <v>40.4</v>
      </c>
      <c r="J1040" s="9"/>
      <c r="K1040" s="7">
        <v>44005225</v>
      </c>
      <c r="L1040" s="6" t="str">
        <f>B1040&amp;" "&amp;C1040&amp;" "&amp;D1040&amp;" "&amp;G1040&amp;"x"&amp;H1040&amp;"x"&amp;I1040</f>
        <v>BR HARMONY TV ÜNİTESİ ALT MODÜL 301,2x50x40,4</v>
      </c>
      <c r="M1040" s="8">
        <v>0.15</v>
      </c>
      <c r="N1040" s="8">
        <v>0.05</v>
      </c>
      <c r="O1040" s="8">
        <v>25025</v>
      </c>
      <c r="P1040" s="8">
        <f t="shared" si="116"/>
        <v>23773.75</v>
      </c>
      <c r="Q1040" s="12">
        <f t="shared" si="117"/>
        <v>49924.875</v>
      </c>
      <c r="R1040" s="31">
        <f t="shared" si="118"/>
        <v>49900</v>
      </c>
      <c r="U1040" s="8">
        <v>6150</v>
      </c>
      <c r="V1040" s="8">
        <f t="shared" si="120"/>
        <v>0</v>
      </c>
      <c r="W1040" s="8">
        <f t="shared" si="121"/>
        <v>0</v>
      </c>
    </row>
    <row r="1041" spans="1:23" s="21" customFormat="1" ht="21.95" customHeight="1" x14ac:dyDescent="0.2">
      <c r="A1041" s="5" t="s">
        <v>17</v>
      </c>
      <c r="B1041" s="21" t="s">
        <v>1583</v>
      </c>
      <c r="C1041" s="21" t="s">
        <v>534</v>
      </c>
      <c r="D1041" s="21" t="s">
        <v>535</v>
      </c>
      <c r="I1041" s="22"/>
      <c r="J1041" s="22"/>
      <c r="K1041" s="22">
        <v>44005226</v>
      </c>
      <c r="L1041" s="21" t="str">
        <f>B1041&amp;" "&amp;C1041&amp;" "&amp;D1041</f>
        <v>BR HARMONY TV ÜNİTESİ ÜST KISA MODÜL</v>
      </c>
      <c r="M1041" s="8">
        <v>0.15</v>
      </c>
      <c r="N1041" s="8">
        <v>0.05</v>
      </c>
      <c r="O1041" s="23">
        <v>5438</v>
      </c>
      <c r="P1041" s="8">
        <f t="shared" si="116"/>
        <v>5166.0999999999995</v>
      </c>
      <c r="Q1041" s="12">
        <f t="shared" si="117"/>
        <v>10848.81</v>
      </c>
      <c r="R1041" s="31">
        <f t="shared" si="118"/>
        <v>10800</v>
      </c>
      <c r="T1041" s="23"/>
      <c r="U1041" s="23"/>
      <c r="V1041" s="23">
        <f t="shared" si="120"/>
        <v>0</v>
      </c>
      <c r="W1041" s="23">
        <f t="shared" si="121"/>
        <v>0</v>
      </c>
    </row>
    <row r="1042" spans="1:23" ht="21.95" customHeight="1" x14ac:dyDescent="0.2">
      <c r="A1042" s="5" t="s">
        <v>17</v>
      </c>
      <c r="B1042" s="21" t="s">
        <v>1583</v>
      </c>
      <c r="C1042" s="21" t="s">
        <v>534</v>
      </c>
      <c r="D1042" s="21" t="s">
        <v>536</v>
      </c>
      <c r="E1042" s="21"/>
      <c r="F1042" s="21"/>
      <c r="G1042" s="21"/>
      <c r="H1042" s="21"/>
      <c r="I1042" s="22"/>
      <c r="J1042" s="22"/>
      <c r="K1042" s="22">
        <v>44005227</v>
      </c>
      <c r="L1042" s="21" t="str">
        <f>B1042&amp;" "&amp;C1042&amp;" "&amp;D1042</f>
        <v>BR HARMONY TV ÜNİTESİ ÜST UZUN MODÜL</v>
      </c>
      <c r="M1042" s="8">
        <v>0.15</v>
      </c>
      <c r="N1042" s="8">
        <v>0.05</v>
      </c>
      <c r="O1042" s="23">
        <v>5825</v>
      </c>
      <c r="P1042" s="8">
        <f t="shared" si="116"/>
        <v>5533.75</v>
      </c>
      <c r="Q1042" s="12">
        <f t="shared" si="117"/>
        <v>11620.875</v>
      </c>
      <c r="R1042" s="31">
        <f t="shared" si="118"/>
        <v>11600</v>
      </c>
      <c r="U1042" s="8">
        <v>6473</v>
      </c>
      <c r="V1042" s="8">
        <f t="shared" si="120"/>
        <v>0</v>
      </c>
      <c r="W1042" s="8">
        <f t="shared" si="121"/>
        <v>0</v>
      </c>
    </row>
    <row r="1043" spans="1:23" ht="21.95" customHeight="1" x14ac:dyDescent="0.2">
      <c r="A1043" s="5" t="s">
        <v>17</v>
      </c>
      <c r="B1043" s="5" t="s">
        <v>1583</v>
      </c>
      <c r="C1043" s="6" t="s">
        <v>534</v>
      </c>
      <c r="D1043" s="6" t="s">
        <v>537</v>
      </c>
      <c r="E1043" s="6"/>
      <c r="F1043" s="6"/>
      <c r="G1043" s="6">
        <v>100</v>
      </c>
      <c r="H1043" s="6">
        <v>100</v>
      </c>
      <c r="I1043" s="9">
        <v>37.6</v>
      </c>
      <c r="J1043" s="9"/>
      <c r="K1043" s="7">
        <v>44005228</v>
      </c>
      <c r="L1043" s="6" t="str">
        <f>B1043&amp;" "&amp;C1043&amp;" "&amp;D1043&amp;" "&amp;G1043&amp;"x"&amp;H1043&amp;"x"&amp;I1043</f>
        <v>BR HARMONY ORTA SEHPA CAMLI  100x100x37,6</v>
      </c>
      <c r="M1043" s="8">
        <v>0.15</v>
      </c>
      <c r="N1043" s="8">
        <v>0.05</v>
      </c>
      <c r="O1043" s="8">
        <v>17128</v>
      </c>
      <c r="P1043" s="8">
        <f t="shared" si="116"/>
        <v>16271.599999999999</v>
      </c>
      <c r="Q1043" s="12">
        <f t="shared" si="117"/>
        <v>34170.36</v>
      </c>
      <c r="R1043" s="31">
        <f t="shared" si="118"/>
        <v>34100</v>
      </c>
      <c r="U1043" s="8">
        <v>26825</v>
      </c>
      <c r="V1043" s="8">
        <f t="shared" si="120"/>
        <v>0</v>
      </c>
      <c r="W1043" s="8">
        <f t="shared" si="121"/>
        <v>0</v>
      </c>
    </row>
    <row r="1044" spans="1:23" ht="21.95" customHeight="1" x14ac:dyDescent="0.2">
      <c r="A1044" s="5" t="s">
        <v>17</v>
      </c>
      <c r="B1044" s="21" t="s">
        <v>1583</v>
      </c>
      <c r="C1044" s="21" t="s">
        <v>534</v>
      </c>
      <c r="D1044" s="21" t="s">
        <v>538</v>
      </c>
      <c r="E1044" s="21"/>
      <c r="F1044" s="21"/>
      <c r="G1044" s="21"/>
      <c r="H1044" s="21"/>
      <c r="I1044" s="22"/>
      <c r="J1044" s="22"/>
      <c r="K1044" s="22">
        <v>44005229</v>
      </c>
      <c r="L1044" s="21" t="str">
        <f>B1044&amp;" "&amp;C1044&amp;" "&amp;D1044</f>
        <v>BR HARMONY ORTA SEHPA AHŞAP</v>
      </c>
      <c r="M1044" s="8">
        <v>0.15</v>
      </c>
      <c r="N1044" s="8">
        <v>0.05</v>
      </c>
      <c r="O1044" s="23">
        <v>11507</v>
      </c>
      <c r="P1044" s="8">
        <f t="shared" si="116"/>
        <v>10931.65</v>
      </c>
      <c r="Q1044" s="12">
        <f t="shared" si="117"/>
        <v>22956.465</v>
      </c>
      <c r="R1044" s="31">
        <f t="shared" si="118"/>
        <v>22900</v>
      </c>
      <c r="U1044" s="8">
        <v>14450</v>
      </c>
      <c r="V1044" s="8">
        <f t="shared" si="120"/>
        <v>0</v>
      </c>
      <c r="W1044" s="8">
        <f t="shared" si="121"/>
        <v>0</v>
      </c>
    </row>
    <row r="1045" spans="1:23" ht="21.95" customHeight="1" x14ac:dyDescent="0.2">
      <c r="A1045" s="5" t="s">
        <v>17</v>
      </c>
      <c r="B1045" s="21" t="s">
        <v>1583</v>
      </c>
      <c r="C1045" s="21" t="s">
        <v>534</v>
      </c>
      <c r="D1045" s="21" t="s">
        <v>539</v>
      </c>
      <c r="E1045" s="21"/>
      <c r="F1045" s="21"/>
      <c r="G1045" s="21"/>
      <c r="H1045" s="21"/>
      <c r="I1045" s="22"/>
      <c r="J1045" s="22"/>
      <c r="K1045" s="22">
        <v>44005230</v>
      </c>
      <c r="L1045" s="21" t="str">
        <f>B1045&amp;" "&amp;C1045&amp;" "&amp;D1045</f>
        <v>BR HARMONY YAN SEHPA MERMER</v>
      </c>
      <c r="M1045" s="8">
        <v>0.15</v>
      </c>
      <c r="N1045" s="8">
        <v>0.05</v>
      </c>
      <c r="O1045" s="23">
        <v>10088</v>
      </c>
      <c r="P1045" s="8">
        <f t="shared" si="116"/>
        <v>9583.6</v>
      </c>
      <c r="Q1045" s="12">
        <f t="shared" si="117"/>
        <v>20125.560000000001</v>
      </c>
      <c r="R1045" s="31">
        <f t="shared" si="118"/>
        <v>20100</v>
      </c>
      <c r="U1045" s="8">
        <v>16315</v>
      </c>
      <c r="V1045" s="8">
        <f t="shared" si="120"/>
        <v>0</v>
      </c>
      <c r="W1045" s="8">
        <f t="shared" si="121"/>
        <v>0</v>
      </c>
    </row>
    <row r="1046" spans="1:23" ht="21.95" customHeight="1" x14ac:dyDescent="0.2">
      <c r="A1046" s="5" t="s">
        <v>17</v>
      </c>
      <c r="B1046" s="5" t="s">
        <v>1583</v>
      </c>
      <c r="C1046" s="6" t="s">
        <v>534</v>
      </c>
      <c r="D1046" s="6" t="s">
        <v>540</v>
      </c>
      <c r="E1046" s="6"/>
      <c r="F1046" s="6"/>
      <c r="G1046" s="6">
        <v>50</v>
      </c>
      <c r="H1046" s="6">
        <v>50</v>
      </c>
      <c r="I1046" s="9">
        <v>51.6</v>
      </c>
      <c r="J1046" s="9"/>
      <c r="K1046" s="7">
        <v>44005231</v>
      </c>
      <c r="L1046" s="6" t="str">
        <f>B1046&amp;" "&amp;C1046&amp;" "&amp;D1046&amp;" "&amp;G1046&amp;"x"&amp;H1046&amp;"x"&amp;I1046</f>
        <v>BR HARMONY YAN SEHPA DİJİTAL BASKILI 50x50x51,6</v>
      </c>
      <c r="M1046" s="8">
        <v>0.15</v>
      </c>
      <c r="N1046" s="8">
        <v>0.05</v>
      </c>
      <c r="O1046" s="8">
        <v>4495</v>
      </c>
      <c r="P1046" s="8">
        <f t="shared" si="116"/>
        <v>4270.25</v>
      </c>
      <c r="Q1046" s="12">
        <f t="shared" si="117"/>
        <v>8967.5249999999996</v>
      </c>
      <c r="R1046" s="31">
        <f t="shared" si="118"/>
        <v>8900</v>
      </c>
      <c r="U1046" s="8">
        <v>19453</v>
      </c>
      <c r="V1046" s="8">
        <f t="shared" si="120"/>
        <v>0</v>
      </c>
      <c r="W1046" s="8">
        <f t="shared" si="121"/>
        <v>0</v>
      </c>
    </row>
    <row r="1047" spans="1:23" ht="21.95" customHeight="1" x14ac:dyDescent="0.2">
      <c r="A1047" s="5" t="s">
        <v>17</v>
      </c>
      <c r="B1047" s="5" t="s">
        <v>1583</v>
      </c>
      <c r="C1047" s="6" t="s">
        <v>534</v>
      </c>
      <c r="D1047" s="6" t="s">
        <v>2080</v>
      </c>
      <c r="E1047" s="6"/>
      <c r="F1047" s="6"/>
      <c r="G1047" s="6">
        <v>40</v>
      </c>
      <c r="H1047" s="6"/>
      <c r="I1047" s="9">
        <v>45</v>
      </c>
      <c r="J1047" s="9"/>
      <c r="K1047" s="7">
        <v>44005232</v>
      </c>
      <c r="L1047" s="6" t="str">
        <f>B1047&amp;" "&amp;C1047&amp;" "&amp;D1047&amp;" "&amp;G1047&amp;"x"&amp;I1047</f>
        <v>BR HARMONY KARE PUF KÜÇÜK 40x45</v>
      </c>
      <c r="M1047" s="8">
        <v>0.15</v>
      </c>
      <c r="N1047" s="8">
        <v>0.05</v>
      </c>
      <c r="O1047" s="8">
        <v>2695</v>
      </c>
      <c r="P1047" s="8">
        <f t="shared" si="116"/>
        <v>2560.25</v>
      </c>
      <c r="Q1047" s="12">
        <f t="shared" si="117"/>
        <v>5376.5250000000005</v>
      </c>
      <c r="R1047" s="31">
        <f t="shared" si="118"/>
        <v>5300</v>
      </c>
      <c r="U1047" s="8">
        <v>9322</v>
      </c>
      <c r="V1047" s="8">
        <f t="shared" si="120"/>
        <v>0</v>
      </c>
      <c r="W1047" s="8">
        <f t="shared" si="121"/>
        <v>0</v>
      </c>
    </row>
    <row r="1048" spans="1:23" ht="21.95" customHeight="1" x14ac:dyDescent="0.2">
      <c r="A1048" s="5" t="s">
        <v>17</v>
      </c>
      <c r="B1048" s="5" t="s">
        <v>1583</v>
      </c>
      <c r="C1048" s="6" t="s">
        <v>534</v>
      </c>
      <c r="D1048" s="6" t="s">
        <v>2079</v>
      </c>
      <c r="E1048" s="6"/>
      <c r="F1048" s="6"/>
      <c r="G1048" s="6">
        <v>70</v>
      </c>
      <c r="H1048" s="6">
        <v>50</v>
      </c>
      <c r="I1048" s="9">
        <v>30</v>
      </c>
      <c r="J1048" s="9"/>
      <c r="K1048" s="7">
        <v>44005233</v>
      </c>
      <c r="L1048" s="6" t="str">
        <f t="shared" ref="L1048:L1060" si="122">B1048&amp;" "&amp;C1048&amp;" "&amp;D1048&amp;" "&amp;G1048&amp;"x"&amp;H1048&amp;"x"&amp;I1048</f>
        <v>BR HARMONY PUF BÜYÜK  70x50x30</v>
      </c>
      <c r="M1048" s="8">
        <v>0.15</v>
      </c>
      <c r="N1048" s="8">
        <v>0.05</v>
      </c>
      <c r="O1048" s="8">
        <v>2915</v>
      </c>
      <c r="P1048" s="8">
        <f t="shared" si="116"/>
        <v>2769.25</v>
      </c>
      <c r="Q1048" s="12">
        <f t="shared" si="117"/>
        <v>5815.4250000000002</v>
      </c>
      <c r="R1048" s="31">
        <f t="shared" si="118"/>
        <v>5800</v>
      </c>
      <c r="U1048" s="8">
        <v>4887.5</v>
      </c>
      <c r="V1048" s="8">
        <f t="shared" si="120"/>
        <v>0</v>
      </c>
      <c r="W1048" s="8">
        <f t="shared" si="121"/>
        <v>0</v>
      </c>
    </row>
    <row r="1049" spans="1:23" ht="21.95" customHeight="1" x14ac:dyDescent="0.2">
      <c r="A1049" s="5" t="s">
        <v>17</v>
      </c>
      <c r="B1049" s="5" t="s">
        <v>1583</v>
      </c>
      <c r="C1049" s="6" t="s">
        <v>534</v>
      </c>
      <c r="D1049" s="6" t="s">
        <v>541</v>
      </c>
      <c r="E1049" s="6"/>
      <c r="F1049" s="6"/>
      <c r="G1049" s="6">
        <v>125</v>
      </c>
      <c r="H1049" s="6">
        <v>100</v>
      </c>
      <c r="I1049" s="9"/>
      <c r="J1049" s="9"/>
      <c r="K1049" s="7">
        <v>44005235</v>
      </c>
      <c r="L1049" s="6" t="str">
        <f t="shared" si="122"/>
        <v>BR HARMONY MODÜL KOLLU 125CM 125x100x</v>
      </c>
      <c r="M1049" s="8">
        <v>0.15</v>
      </c>
      <c r="N1049" s="8">
        <v>0.05</v>
      </c>
      <c r="O1049" s="8">
        <v>15837</v>
      </c>
      <c r="P1049" s="8">
        <f t="shared" si="116"/>
        <v>15045.15</v>
      </c>
      <c r="Q1049" s="12">
        <f t="shared" si="117"/>
        <v>31594.815000000002</v>
      </c>
      <c r="R1049" s="31">
        <f t="shared" si="118"/>
        <v>31500</v>
      </c>
      <c r="U1049" s="8">
        <v>4855</v>
      </c>
      <c r="V1049" s="8">
        <f t="shared" si="120"/>
        <v>0</v>
      </c>
      <c r="W1049" s="8">
        <f t="shared" si="121"/>
        <v>0</v>
      </c>
    </row>
    <row r="1050" spans="1:23" ht="21.95" customHeight="1" x14ac:dyDescent="0.2">
      <c r="A1050" s="5" t="s">
        <v>17</v>
      </c>
      <c r="B1050" s="5" t="s">
        <v>1583</v>
      </c>
      <c r="C1050" s="6" t="s">
        <v>534</v>
      </c>
      <c r="D1050" s="6" t="s">
        <v>2082</v>
      </c>
      <c r="E1050" s="6"/>
      <c r="F1050" s="6"/>
      <c r="G1050" s="6">
        <v>90</v>
      </c>
      <c r="H1050" s="6">
        <v>100</v>
      </c>
      <c r="I1050" s="9"/>
      <c r="J1050" s="9"/>
      <c r="K1050" s="7">
        <v>44005236</v>
      </c>
      <c r="L1050" s="6" t="str">
        <f t="shared" si="122"/>
        <v>BR HARMONY ARA MODÜL 90 CM LİK 90x100x</v>
      </c>
      <c r="M1050" s="8">
        <v>0.15</v>
      </c>
      <c r="N1050" s="8">
        <v>0.05</v>
      </c>
      <c r="O1050" s="8">
        <v>9871</v>
      </c>
      <c r="P1050" s="8">
        <f t="shared" si="116"/>
        <v>9377.4499999999989</v>
      </c>
      <c r="Q1050" s="12">
        <f t="shared" si="117"/>
        <v>19692.644999999997</v>
      </c>
      <c r="R1050" s="31">
        <f t="shared" si="118"/>
        <v>19600</v>
      </c>
      <c r="U1050" s="8">
        <v>26825</v>
      </c>
      <c r="V1050" s="8">
        <f t="shared" si="120"/>
        <v>0</v>
      </c>
      <c r="W1050" s="8">
        <f t="shared" si="121"/>
        <v>0</v>
      </c>
    </row>
    <row r="1051" spans="1:23" ht="21.95" customHeight="1" x14ac:dyDescent="0.2">
      <c r="A1051" s="5" t="s">
        <v>17</v>
      </c>
      <c r="B1051" s="5" t="s">
        <v>1583</v>
      </c>
      <c r="C1051" s="6" t="s">
        <v>534</v>
      </c>
      <c r="D1051" s="6" t="s">
        <v>2081</v>
      </c>
      <c r="E1051" s="6"/>
      <c r="F1051" s="6"/>
      <c r="G1051" s="6">
        <v>70</v>
      </c>
      <c r="H1051" s="6">
        <v>100</v>
      </c>
      <c r="I1051" s="9"/>
      <c r="J1051" s="9"/>
      <c r="K1051" s="7">
        <v>44005237</v>
      </c>
      <c r="L1051" s="6" t="str">
        <f t="shared" si="122"/>
        <v>BR HARMONY ARA MODÜL 70 CM LİK 70x100x</v>
      </c>
      <c r="M1051" s="8">
        <v>0.15</v>
      </c>
      <c r="N1051" s="8">
        <v>0.05</v>
      </c>
      <c r="O1051" s="8">
        <v>8995</v>
      </c>
      <c r="P1051" s="8">
        <f t="shared" si="116"/>
        <v>8545.25</v>
      </c>
      <c r="Q1051" s="12">
        <f t="shared" si="117"/>
        <v>17945.025000000001</v>
      </c>
      <c r="R1051" s="31">
        <f t="shared" si="118"/>
        <v>17900</v>
      </c>
      <c r="U1051" s="8">
        <v>27771.3</v>
      </c>
      <c r="V1051" s="8">
        <f t="shared" si="120"/>
        <v>0</v>
      </c>
      <c r="W1051" s="8">
        <f t="shared" si="121"/>
        <v>0</v>
      </c>
    </row>
    <row r="1052" spans="1:23" ht="21.95" customHeight="1" x14ac:dyDescent="0.2">
      <c r="A1052" s="5" t="s">
        <v>17</v>
      </c>
      <c r="B1052" s="5" t="s">
        <v>1583</v>
      </c>
      <c r="C1052" s="6" t="s">
        <v>534</v>
      </c>
      <c r="D1052" s="6" t="s">
        <v>59</v>
      </c>
      <c r="E1052" s="6"/>
      <c r="F1052" s="6"/>
      <c r="G1052" s="6">
        <v>115</v>
      </c>
      <c r="H1052" s="6">
        <v>115</v>
      </c>
      <c r="I1052" s="9"/>
      <c r="J1052" s="9"/>
      <c r="K1052" s="7">
        <v>44005238</v>
      </c>
      <c r="L1052" s="6" t="str">
        <f t="shared" si="122"/>
        <v>BR HARMONY KÖŞE MODÜL 115x115x</v>
      </c>
      <c r="M1052" s="8">
        <v>0.15</v>
      </c>
      <c r="N1052" s="8">
        <v>0.05</v>
      </c>
      <c r="O1052" s="8">
        <v>16454</v>
      </c>
      <c r="P1052" s="8">
        <f t="shared" si="116"/>
        <v>15631.3</v>
      </c>
      <c r="Q1052" s="12">
        <f t="shared" si="117"/>
        <v>32825.730000000003</v>
      </c>
      <c r="R1052" s="31">
        <f t="shared" si="118"/>
        <v>32800</v>
      </c>
      <c r="U1052" s="8">
        <v>6150</v>
      </c>
      <c r="V1052" s="8">
        <f t="shared" si="120"/>
        <v>0</v>
      </c>
      <c r="W1052" s="8">
        <f t="shared" si="121"/>
        <v>0</v>
      </c>
    </row>
    <row r="1053" spans="1:23" s="21" customFormat="1" ht="21.95" customHeight="1" x14ac:dyDescent="0.2">
      <c r="A1053" s="5" t="s">
        <v>17</v>
      </c>
      <c r="B1053" s="5" t="s">
        <v>1583</v>
      </c>
      <c r="C1053" s="6" t="s">
        <v>534</v>
      </c>
      <c r="D1053" s="6" t="s">
        <v>542</v>
      </c>
      <c r="E1053" s="6"/>
      <c r="F1053" s="6"/>
      <c r="G1053" s="6">
        <v>180</v>
      </c>
      <c r="H1053" s="6">
        <v>100</v>
      </c>
      <c r="I1053" s="9"/>
      <c r="J1053" s="9"/>
      <c r="K1053" s="7">
        <v>44005239</v>
      </c>
      <c r="L1053" s="6" t="str">
        <f t="shared" si="122"/>
        <v>BR HARMONY MODÜL MOBİLYALI 180x100x</v>
      </c>
      <c r="M1053" s="8">
        <v>0.15</v>
      </c>
      <c r="N1053" s="8">
        <v>0.05</v>
      </c>
      <c r="O1053" s="8">
        <v>15680</v>
      </c>
      <c r="P1053" s="8">
        <f t="shared" si="116"/>
        <v>14896</v>
      </c>
      <c r="Q1053" s="12">
        <f t="shared" si="117"/>
        <v>31281.600000000002</v>
      </c>
      <c r="R1053" s="31">
        <f t="shared" si="118"/>
        <v>31200</v>
      </c>
      <c r="T1053" s="23"/>
      <c r="U1053" s="23"/>
      <c r="V1053" s="23">
        <f t="shared" si="120"/>
        <v>0</v>
      </c>
      <c r="W1053" s="23">
        <f t="shared" si="121"/>
        <v>0</v>
      </c>
    </row>
    <row r="1054" spans="1:23" ht="21.95" customHeight="1" x14ac:dyDescent="0.2">
      <c r="A1054" s="5" t="s">
        <v>17</v>
      </c>
      <c r="B1054" s="5" t="s">
        <v>1583</v>
      </c>
      <c r="C1054" s="6" t="s">
        <v>534</v>
      </c>
      <c r="D1054" s="6" t="s">
        <v>33</v>
      </c>
      <c r="E1054" s="6"/>
      <c r="F1054" s="6"/>
      <c r="G1054" s="6">
        <v>89</v>
      </c>
      <c r="H1054" s="6">
        <v>90</v>
      </c>
      <c r="I1054" s="9"/>
      <c r="J1054" s="9"/>
      <c r="K1054" s="7">
        <v>44005240</v>
      </c>
      <c r="L1054" s="6" t="str">
        <f t="shared" si="122"/>
        <v>BR HARMONY BERJER 89x90x</v>
      </c>
      <c r="M1054" s="8">
        <v>0.15</v>
      </c>
      <c r="N1054" s="8">
        <v>0.05</v>
      </c>
      <c r="O1054" s="8">
        <v>9484</v>
      </c>
      <c r="P1054" s="8">
        <f t="shared" si="116"/>
        <v>9009.7999999999993</v>
      </c>
      <c r="Q1054" s="12">
        <f t="shared" si="117"/>
        <v>18920.579999999998</v>
      </c>
      <c r="R1054" s="31">
        <f t="shared" si="118"/>
        <v>18900</v>
      </c>
      <c r="U1054" s="8">
        <v>6473.5</v>
      </c>
      <c r="V1054" s="8">
        <f t="shared" si="120"/>
        <v>0</v>
      </c>
      <c r="W1054" s="8">
        <f t="shared" si="121"/>
        <v>0</v>
      </c>
    </row>
    <row r="1055" spans="1:23" ht="21.95" customHeight="1" x14ac:dyDescent="0.2">
      <c r="A1055" s="5" t="s">
        <v>17</v>
      </c>
      <c r="B1055" s="5" t="s">
        <v>1583</v>
      </c>
      <c r="C1055" s="6" t="s">
        <v>543</v>
      </c>
      <c r="D1055" s="6" t="s">
        <v>49</v>
      </c>
      <c r="E1055" s="6"/>
      <c r="F1055" s="6"/>
      <c r="G1055" s="6">
        <v>226</v>
      </c>
      <c r="H1055" s="6">
        <v>55</v>
      </c>
      <c r="I1055" s="9">
        <v>80.599999999999994</v>
      </c>
      <c r="J1055" s="9"/>
      <c r="K1055" s="7">
        <v>44005242</v>
      </c>
      <c r="L1055" s="6" t="str">
        <f t="shared" si="122"/>
        <v>BR YUEN KONSOL 226x55x80,6</v>
      </c>
      <c r="M1055" s="8">
        <v>0.15</v>
      </c>
      <c r="N1055" s="8">
        <v>0.05</v>
      </c>
      <c r="O1055" s="8">
        <v>24948</v>
      </c>
      <c r="P1055" s="8">
        <f t="shared" si="116"/>
        <v>23700.6</v>
      </c>
      <c r="Q1055" s="12">
        <f t="shared" si="117"/>
        <v>49771.26</v>
      </c>
      <c r="R1055" s="31">
        <f t="shared" si="118"/>
        <v>49700</v>
      </c>
      <c r="U1055" s="8">
        <v>24440</v>
      </c>
      <c r="V1055" s="8">
        <f t="shared" si="120"/>
        <v>0</v>
      </c>
      <c r="W1055" s="8">
        <f t="shared" si="121"/>
        <v>0</v>
      </c>
    </row>
    <row r="1056" spans="1:23" ht="21.95" customHeight="1" x14ac:dyDescent="0.2">
      <c r="A1056" s="5" t="s">
        <v>17</v>
      </c>
      <c r="B1056" s="5" t="s">
        <v>1583</v>
      </c>
      <c r="C1056" s="6" t="s">
        <v>543</v>
      </c>
      <c r="D1056" s="6" t="s">
        <v>21</v>
      </c>
      <c r="E1056" s="6"/>
      <c r="F1056" s="6"/>
      <c r="G1056" s="6">
        <v>69.8</v>
      </c>
      <c r="H1056" s="6">
        <v>5.4</v>
      </c>
      <c r="I1056" s="9">
        <v>96</v>
      </c>
      <c r="J1056" s="9"/>
      <c r="K1056" s="7">
        <v>44005243</v>
      </c>
      <c r="L1056" s="6" t="str">
        <f t="shared" si="122"/>
        <v>BR YUEN KONSOL AYNASI 69,8x5,4x96</v>
      </c>
      <c r="M1056" s="8">
        <v>0.15</v>
      </c>
      <c r="N1056" s="8">
        <v>0.05</v>
      </c>
      <c r="O1056" s="8">
        <v>3644</v>
      </c>
      <c r="P1056" s="8">
        <f t="shared" si="116"/>
        <v>3461.7999999999997</v>
      </c>
      <c r="Q1056" s="12">
        <f t="shared" si="117"/>
        <v>7269.78</v>
      </c>
      <c r="R1056" s="31">
        <f t="shared" si="118"/>
        <v>7200</v>
      </c>
      <c r="U1056" s="8">
        <v>9322</v>
      </c>
      <c r="V1056" s="8">
        <f t="shared" si="120"/>
        <v>0</v>
      </c>
      <c r="W1056" s="8">
        <f t="shared" si="121"/>
        <v>0</v>
      </c>
    </row>
    <row r="1057" spans="1:23" ht="21.95" customHeight="1" x14ac:dyDescent="0.2">
      <c r="A1057" s="5" t="s">
        <v>17</v>
      </c>
      <c r="B1057" s="5" t="s">
        <v>1583</v>
      </c>
      <c r="C1057" s="6" t="s">
        <v>543</v>
      </c>
      <c r="D1057" s="6" t="s">
        <v>155</v>
      </c>
      <c r="E1057" s="6"/>
      <c r="F1057" s="6"/>
      <c r="G1057" s="6">
        <v>208</v>
      </c>
      <c r="H1057" s="6">
        <v>100</v>
      </c>
      <c r="I1057" s="9">
        <v>78.599999999999994</v>
      </c>
      <c r="J1057" s="9"/>
      <c r="K1057" s="7">
        <v>44005244</v>
      </c>
      <c r="L1057" s="6" t="str">
        <f t="shared" si="122"/>
        <v>BR YUEN MASA 208x100x78,6</v>
      </c>
      <c r="M1057" s="8">
        <v>0.15</v>
      </c>
      <c r="N1057" s="8">
        <v>0.05</v>
      </c>
      <c r="O1057" s="8">
        <v>18106</v>
      </c>
      <c r="P1057" s="8">
        <f t="shared" si="116"/>
        <v>17200.7</v>
      </c>
      <c r="Q1057" s="12">
        <f t="shared" si="117"/>
        <v>36121.47</v>
      </c>
      <c r="R1057" s="31">
        <f t="shared" si="118"/>
        <v>36100</v>
      </c>
      <c r="U1057" s="8">
        <v>4887.5</v>
      </c>
      <c r="V1057" s="8">
        <f t="shared" si="120"/>
        <v>0</v>
      </c>
      <c r="W1057" s="8">
        <f t="shared" si="121"/>
        <v>0</v>
      </c>
    </row>
    <row r="1058" spans="1:23" ht="21.95" customHeight="1" x14ac:dyDescent="0.2">
      <c r="A1058" s="5" t="s">
        <v>17</v>
      </c>
      <c r="B1058" s="5" t="s">
        <v>1583</v>
      </c>
      <c r="C1058" s="6" t="s">
        <v>543</v>
      </c>
      <c r="D1058" s="6" t="s">
        <v>25</v>
      </c>
      <c r="E1058" s="6"/>
      <c r="F1058" s="6"/>
      <c r="G1058" s="6">
        <v>56</v>
      </c>
      <c r="H1058" s="6">
        <v>59</v>
      </c>
      <c r="I1058" s="9"/>
      <c r="J1058" s="9"/>
      <c r="K1058" s="7">
        <v>44005245</v>
      </c>
      <c r="L1058" s="6" t="str">
        <f t="shared" si="122"/>
        <v>BR YUEN SANDALYE 56x59x</v>
      </c>
      <c r="M1058" s="8">
        <v>0.15</v>
      </c>
      <c r="N1058" s="8">
        <v>0.05</v>
      </c>
      <c r="O1058" s="8">
        <v>4263</v>
      </c>
      <c r="P1058" s="8">
        <f t="shared" si="116"/>
        <v>4049.85</v>
      </c>
      <c r="Q1058" s="12">
        <f t="shared" si="117"/>
        <v>8504.6849999999995</v>
      </c>
      <c r="R1058" s="31">
        <f t="shared" si="118"/>
        <v>8500</v>
      </c>
      <c r="U1058" s="8">
        <v>4855</v>
      </c>
      <c r="V1058" s="8">
        <f t="shared" si="120"/>
        <v>0</v>
      </c>
      <c r="W1058" s="8">
        <f t="shared" si="121"/>
        <v>0</v>
      </c>
    </row>
    <row r="1059" spans="1:23" ht="21.95" customHeight="1" x14ac:dyDescent="0.2">
      <c r="A1059" s="5" t="s">
        <v>17</v>
      </c>
      <c r="B1059" s="5" t="s">
        <v>1583</v>
      </c>
      <c r="C1059" s="6" t="s">
        <v>543</v>
      </c>
      <c r="D1059" s="6" t="s">
        <v>544</v>
      </c>
      <c r="E1059" s="6"/>
      <c r="F1059" s="6"/>
      <c r="G1059" s="6">
        <v>226</v>
      </c>
      <c r="H1059" s="6">
        <v>55</v>
      </c>
      <c r="I1059" s="9">
        <v>60.6</v>
      </c>
      <c r="J1059" s="9"/>
      <c r="K1059" s="7">
        <v>44005247</v>
      </c>
      <c r="L1059" s="6" t="str">
        <f t="shared" si="122"/>
        <v>BR YUEN TV ÜNİTESİ ALT MODÜL  226x55x60,6</v>
      </c>
      <c r="M1059" s="8">
        <v>0.15</v>
      </c>
      <c r="N1059" s="8">
        <v>0.05</v>
      </c>
      <c r="O1059" s="8">
        <v>19594</v>
      </c>
      <c r="P1059" s="8">
        <f t="shared" si="116"/>
        <v>18614.3</v>
      </c>
      <c r="Q1059" s="12">
        <f t="shared" si="117"/>
        <v>39090.03</v>
      </c>
      <c r="R1059" s="31">
        <f t="shared" si="118"/>
        <v>39000</v>
      </c>
      <c r="U1059" s="8">
        <v>44677</v>
      </c>
      <c r="V1059" s="8">
        <f t="shared" si="120"/>
        <v>0</v>
      </c>
      <c r="W1059" s="8">
        <f t="shared" si="121"/>
        <v>0</v>
      </c>
    </row>
    <row r="1060" spans="1:23" ht="21.95" customHeight="1" x14ac:dyDescent="0.2">
      <c r="A1060" s="5" t="s">
        <v>17</v>
      </c>
      <c r="B1060" s="5" t="s">
        <v>1583</v>
      </c>
      <c r="C1060" s="6" t="s">
        <v>543</v>
      </c>
      <c r="D1060" s="6" t="s">
        <v>103</v>
      </c>
      <c r="E1060" s="6"/>
      <c r="F1060" s="6"/>
      <c r="G1060" s="6">
        <v>83.6</v>
      </c>
      <c r="H1060" s="6"/>
      <c r="I1060" s="9">
        <v>100</v>
      </c>
      <c r="J1060" s="9"/>
      <c r="K1060" s="7">
        <v>44005248</v>
      </c>
      <c r="L1060" s="6" t="str">
        <f t="shared" si="122"/>
        <v>BR YUEN TV ÜNİTESİ ÜST MODÜL 83,6xx100</v>
      </c>
      <c r="M1060" s="8">
        <v>0.15</v>
      </c>
      <c r="N1060" s="8">
        <v>0.05</v>
      </c>
      <c r="O1060" s="8">
        <v>5157</v>
      </c>
      <c r="P1060" s="8">
        <f t="shared" si="116"/>
        <v>4899.1499999999996</v>
      </c>
      <c r="Q1060" s="12">
        <f t="shared" si="117"/>
        <v>10288.215</v>
      </c>
      <c r="R1060" s="31">
        <f t="shared" si="118"/>
        <v>10200</v>
      </c>
      <c r="U1060" s="8">
        <v>41828</v>
      </c>
      <c r="V1060" s="8">
        <f t="shared" si="120"/>
        <v>0</v>
      </c>
      <c r="W1060" s="8">
        <f t="shared" si="121"/>
        <v>0</v>
      </c>
    </row>
    <row r="1061" spans="1:23" ht="21.95" customHeight="1" x14ac:dyDescent="0.2">
      <c r="A1061" s="5" t="s">
        <v>17</v>
      </c>
      <c r="B1061" s="5" t="s">
        <v>1583</v>
      </c>
      <c r="C1061" s="6" t="s">
        <v>543</v>
      </c>
      <c r="D1061" s="6" t="s">
        <v>545</v>
      </c>
      <c r="E1061" s="6"/>
      <c r="F1061" s="6"/>
      <c r="G1061" s="6"/>
      <c r="H1061" s="6"/>
      <c r="I1061" s="9"/>
      <c r="J1061" s="9"/>
      <c r="K1061" s="7">
        <v>44005249</v>
      </c>
      <c r="L1061" s="6" t="str">
        <f>B1061&amp;" "&amp;C1061&amp;" "&amp;D1061</f>
        <v>BR YUEN ZİGON SEHPA 3 LÜ</v>
      </c>
      <c r="M1061" s="8">
        <v>0.15</v>
      </c>
      <c r="N1061" s="8">
        <v>0.05</v>
      </c>
      <c r="O1061" s="8">
        <v>5225</v>
      </c>
      <c r="P1061" s="8">
        <f t="shared" si="116"/>
        <v>4963.75</v>
      </c>
      <c r="Q1061" s="12">
        <f t="shared" si="117"/>
        <v>10423.875</v>
      </c>
      <c r="R1061" s="31">
        <f t="shared" si="118"/>
        <v>10400</v>
      </c>
      <c r="U1061" s="8">
        <v>6765</v>
      </c>
      <c r="V1061" s="8">
        <f t="shared" si="120"/>
        <v>0</v>
      </c>
      <c r="W1061" s="8">
        <f t="shared" si="121"/>
        <v>0</v>
      </c>
    </row>
    <row r="1062" spans="1:23" s="21" customFormat="1" ht="21.95" customHeight="1" x14ac:dyDescent="0.2">
      <c r="A1062" s="5" t="s">
        <v>17</v>
      </c>
      <c r="B1062" s="5" t="s">
        <v>1583</v>
      </c>
      <c r="C1062" s="6" t="s">
        <v>543</v>
      </c>
      <c r="D1062" s="6" t="s">
        <v>29</v>
      </c>
      <c r="E1062" s="6"/>
      <c r="F1062" s="6"/>
      <c r="G1062" s="6">
        <v>120</v>
      </c>
      <c r="H1062" s="6">
        <v>68.5</v>
      </c>
      <c r="I1062" s="9">
        <v>39.5</v>
      </c>
      <c r="J1062" s="9"/>
      <c r="K1062" s="7">
        <v>44005250</v>
      </c>
      <c r="L1062" s="6" t="str">
        <f t="shared" ref="L1062:L1093" si="123">B1062&amp;" "&amp;C1062&amp;" "&amp;D1062&amp;" "&amp;G1062&amp;"x"&amp;H1062&amp;"x"&amp;I1062</f>
        <v>BR YUEN ORTA SEHPA 120x68,5x39,5</v>
      </c>
      <c r="M1062" s="8">
        <v>0.15</v>
      </c>
      <c r="N1062" s="8">
        <v>0.05</v>
      </c>
      <c r="O1062" s="8">
        <v>6306</v>
      </c>
      <c r="P1062" s="8">
        <f t="shared" si="116"/>
        <v>5990.7</v>
      </c>
      <c r="Q1062" s="12">
        <f t="shared" si="117"/>
        <v>12580.47</v>
      </c>
      <c r="R1062" s="31">
        <f t="shared" si="118"/>
        <v>12500</v>
      </c>
      <c r="T1062" s="23"/>
      <c r="U1062" s="23"/>
      <c r="V1062" s="23">
        <f t="shared" si="120"/>
        <v>0</v>
      </c>
      <c r="W1062" s="23">
        <f t="shared" si="121"/>
        <v>0</v>
      </c>
    </row>
    <row r="1063" spans="1:23" ht="21.95" customHeight="1" x14ac:dyDescent="0.2">
      <c r="A1063" s="5" t="s">
        <v>17</v>
      </c>
      <c r="B1063" s="5" t="s">
        <v>1583</v>
      </c>
      <c r="C1063" s="6" t="s">
        <v>543</v>
      </c>
      <c r="D1063" s="6" t="s">
        <v>30</v>
      </c>
      <c r="E1063" s="6"/>
      <c r="F1063" s="6"/>
      <c r="G1063" s="6">
        <v>50</v>
      </c>
      <c r="H1063" s="6">
        <v>50</v>
      </c>
      <c r="I1063" s="9">
        <v>55</v>
      </c>
      <c r="J1063" s="9"/>
      <c r="K1063" s="7">
        <v>44005251</v>
      </c>
      <c r="L1063" s="6" t="str">
        <f t="shared" si="123"/>
        <v>BR YUEN YAN SEHPA 50x50x55</v>
      </c>
      <c r="M1063" s="8">
        <v>0.15</v>
      </c>
      <c r="N1063" s="8">
        <v>0.05</v>
      </c>
      <c r="O1063" s="8">
        <v>3507</v>
      </c>
      <c r="P1063" s="8">
        <f t="shared" si="116"/>
        <v>3331.6499999999996</v>
      </c>
      <c r="Q1063" s="12">
        <f t="shared" si="117"/>
        <v>6996.4649999999992</v>
      </c>
      <c r="R1063" s="31">
        <f t="shared" si="118"/>
        <v>6900</v>
      </c>
      <c r="U1063" s="8">
        <v>11429</v>
      </c>
      <c r="V1063" s="8">
        <f t="shared" si="120"/>
        <v>0</v>
      </c>
      <c r="W1063" s="8">
        <f t="shared" si="121"/>
        <v>0</v>
      </c>
    </row>
    <row r="1064" spans="1:23" ht="21.95" customHeight="1" x14ac:dyDescent="0.2">
      <c r="A1064" s="5" t="s">
        <v>17</v>
      </c>
      <c r="B1064" s="5" t="s">
        <v>1583</v>
      </c>
      <c r="C1064" s="6" t="s">
        <v>543</v>
      </c>
      <c r="D1064" s="6" t="s">
        <v>2087</v>
      </c>
      <c r="E1064" s="6"/>
      <c r="F1064" s="6"/>
      <c r="G1064" s="6">
        <v>280</v>
      </c>
      <c r="H1064" s="6">
        <v>103</v>
      </c>
      <c r="I1064" s="9"/>
      <c r="J1064" s="9"/>
      <c r="K1064" s="7">
        <v>44005253</v>
      </c>
      <c r="L1064" s="6" t="str">
        <f t="shared" si="123"/>
        <v>BR YUEN 2 PARÇALI KOLTUK 4 LÜ 280x103x</v>
      </c>
      <c r="M1064" s="8">
        <v>0.15</v>
      </c>
      <c r="N1064" s="8">
        <v>0.05</v>
      </c>
      <c r="O1064" s="8">
        <v>31647</v>
      </c>
      <c r="P1064" s="8">
        <f t="shared" si="116"/>
        <v>30064.649999999998</v>
      </c>
      <c r="Q1064" s="12">
        <f t="shared" si="117"/>
        <v>63135.764999999999</v>
      </c>
      <c r="R1064" s="31">
        <f t="shared" si="118"/>
        <v>63100</v>
      </c>
      <c r="U1064" s="8">
        <v>38775</v>
      </c>
      <c r="V1064" s="8">
        <f t="shared" si="120"/>
        <v>0</v>
      </c>
      <c r="W1064" s="8">
        <f t="shared" si="121"/>
        <v>0</v>
      </c>
    </row>
    <row r="1065" spans="1:23" ht="21.95" customHeight="1" x14ac:dyDescent="0.2">
      <c r="A1065" s="5" t="s">
        <v>17</v>
      </c>
      <c r="B1065" s="21" t="s">
        <v>1583</v>
      </c>
      <c r="C1065" s="21" t="s">
        <v>543</v>
      </c>
      <c r="D1065" s="21" t="s">
        <v>32</v>
      </c>
      <c r="E1065" s="21"/>
      <c r="F1065" s="21"/>
      <c r="G1065" s="21">
        <v>240</v>
      </c>
      <c r="H1065" s="21">
        <v>103</v>
      </c>
      <c r="I1065" s="22"/>
      <c r="J1065" s="22"/>
      <c r="K1065" s="22">
        <v>44005254</v>
      </c>
      <c r="L1065" s="21" t="str">
        <f t="shared" si="123"/>
        <v>BR YUEN KOLTUK 3 LÜ 240x103x</v>
      </c>
      <c r="M1065" s="8">
        <v>0.15</v>
      </c>
      <c r="N1065" s="8">
        <v>0.05</v>
      </c>
      <c r="O1065" s="23">
        <v>26811</v>
      </c>
      <c r="P1065" s="8">
        <f t="shared" si="116"/>
        <v>25470.449999999997</v>
      </c>
      <c r="Q1065" s="12">
        <f t="shared" si="117"/>
        <v>53487.945</v>
      </c>
      <c r="R1065" s="31">
        <f t="shared" si="118"/>
        <v>53400</v>
      </c>
      <c r="U1065" s="8">
        <v>14197</v>
      </c>
      <c r="V1065" s="8">
        <f t="shared" si="120"/>
        <v>0</v>
      </c>
      <c r="W1065" s="8">
        <f t="shared" si="121"/>
        <v>0</v>
      </c>
    </row>
    <row r="1066" spans="1:23" ht="21.6" customHeight="1" x14ac:dyDescent="0.2">
      <c r="A1066" s="5" t="s">
        <v>17</v>
      </c>
      <c r="B1066" s="5" t="s">
        <v>1583</v>
      </c>
      <c r="C1066" s="6" t="s">
        <v>543</v>
      </c>
      <c r="D1066" s="6" t="s">
        <v>33</v>
      </c>
      <c r="E1066" s="6"/>
      <c r="F1066" s="6"/>
      <c r="G1066" s="6">
        <v>90</v>
      </c>
      <c r="H1066" s="6">
        <v>91</v>
      </c>
      <c r="I1066" s="9"/>
      <c r="K1066" s="7">
        <v>44005255</v>
      </c>
      <c r="L1066" s="6" t="str">
        <f t="shared" si="123"/>
        <v>BR YUEN BERJER 90x91x</v>
      </c>
      <c r="M1066" s="8">
        <v>0.15</v>
      </c>
      <c r="N1066" s="8">
        <v>0.05</v>
      </c>
      <c r="O1066" s="8">
        <v>10004</v>
      </c>
      <c r="P1066" s="8">
        <f t="shared" si="116"/>
        <v>9503.7999999999993</v>
      </c>
      <c r="Q1066" s="12">
        <f t="shared" si="117"/>
        <v>19957.98</v>
      </c>
      <c r="R1066" s="31">
        <f t="shared" si="118"/>
        <v>19900</v>
      </c>
      <c r="U1066" s="8">
        <v>7099.5</v>
      </c>
      <c r="V1066" s="8">
        <f t="shared" si="120"/>
        <v>0</v>
      </c>
      <c r="W1066" s="8">
        <f t="shared" si="121"/>
        <v>0</v>
      </c>
    </row>
    <row r="1067" spans="1:23" ht="21.95" customHeight="1" x14ac:dyDescent="0.2">
      <c r="A1067" s="5" t="s">
        <v>17</v>
      </c>
      <c r="B1067" s="5" t="s">
        <v>1583</v>
      </c>
      <c r="C1067" s="6" t="s">
        <v>543</v>
      </c>
      <c r="D1067" s="6" t="s">
        <v>546</v>
      </c>
      <c r="E1067" s="6"/>
      <c r="F1067" s="6"/>
      <c r="G1067" s="6">
        <v>50</v>
      </c>
      <c r="H1067" s="6">
        <v>105</v>
      </c>
      <c r="I1067" s="9"/>
      <c r="J1067" s="9"/>
      <c r="K1067" s="7">
        <v>44005256</v>
      </c>
      <c r="L1067" s="6" t="str">
        <f t="shared" si="123"/>
        <v>BR YUEN ARA SEHPA 50x105x</v>
      </c>
      <c r="M1067" s="8">
        <v>0.15</v>
      </c>
      <c r="N1067" s="8">
        <v>0.05</v>
      </c>
      <c r="O1067" s="8">
        <v>5215</v>
      </c>
      <c r="P1067" s="8">
        <f t="shared" si="116"/>
        <v>4954.25</v>
      </c>
      <c r="Q1067" s="12">
        <f t="shared" si="117"/>
        <v>10403.925000000001</v>
      </c>
      <c r="R1067" s="31">
        <f t="shared" si="118"/>
        <v>10400</v>
      </c>
      <c r="U1067" s="8">
        <v>15150</v>
      </c>
      <c r="V1067" s="8">
        <f t="shared" si="120"/>
        <v>0</v>
      </c>
      <c r="W1067" s="8">
        <f t="shared" si="121"/>
        <v>0</v>
      </c>
    </row>
    <row r="1068" spans="1:23" ht="21.95" customHeight="1" x14ac:dyDescent="0.2">
      <c r="A1068" s="5" t="s">
        <v>17</v>
      </c>
      <c r="B1068" s="5" t="s">
        <v>1583</v>
      </c>
      <c r="C1068" s="6" t="s">
        <v>543</v>
      </c>
      <c r="D1068" s="6" t="s">
        <v>119</v>
      </c>
      <c r="E1068" s="6"/>
      <c r="F1068" s="6"/>
      <c r="G1068" s="6">
        <v>40</v>
      </c>
      <c r="H1068" s="6"/>
      <c r="I1068" s="9">
        <v>40</v>
      </c>
      <c r="J1068" s="9"/>
      <c r="K1068" s="7">
        <v>44005257</v>
      </c>
      <c r="L1068" s="6" t="str">
        <f t="shared" si="123"/>
        <v>BR YUEN PUF 40xx40</v>
      </c>
      <c r="M1068" s="8">
        <v>0.15</v>
      </c>
      <c r="N1068" s="8">
        <v>0.05</v>
      </c>
      <c r="O1068" s="8">
        <v>2709</v>
      </c>
      <c r="P1068" s="8">
        <f t="shared" si="116"/>
        <v>2573.5499999999997</v>
      </c>
      <c r="Q1068" s="12">
        <f t="shared" si="117"/>
        <v>5404.4549999999999</v>
      </c>
      <c r="R1068" s="31">
        <f t="shared" si="118"/>
        <v>5400</v>
      </c>
      <c r="U1068" s="8">
        <v>23305</v>
      </c>
      <c r="V1068" s="8">
        <f t="shared" si="120"/>
        <v>0</v>
      </c>
      <c r="W1068" s="8">
        <f t="shared" si="121"/>
        <v>0</v>
      </c>
    </row>
    <row r="1069" spans="1:23" ht="21.95" customHeight="1" x14ac:dyDescent="0.2">
      <c r="A1069" s="5" t="s">
        <v>17</v>
      </c>
      <c r="B1069" s="5" t="s">
        <v>1583</v>
      </c>
      <c r="C1069" s="6" t="s">
        <v>543</v>
      </c>
      <c r="D1069" s="6" t="s">
        <v>547</v>
      </c>
      <c r="E1069" s="6"/>
      <c r="F1069" s="6"/>
      <c r="G1069" s="6"/>
      <c r="H1069" s="6"/>
      <c r="I1069" s="9"/>
      <c r="J1069" s="9"/>
      <c r="K1069" s="7">
        <v>44005258</v>
      </c>
      <c r="L1069" s="6" t="str">
        <f t="shared" si="123"/>
        <v>BR YUEN KOLTUK 3 LÜ TEK OTURUM xx</v>
      </c>
      <c r="M1069" s="8">
        <v>0.15</v>
      </c>
      <c r="N1069" s="8">
        <v>0.05</v>
      </c>
      <c r="O1069" s="8">
        <v>25480</v>
      </c>
      <c r="P1069" s="8">
        <f t="shared" si="116"/>
        <v>24206</v>
      </c>
      <c r="Q1069" s="12">
        <f t="shared" si="117"/>
        <v>50832.6</v>
      </c>
      <c r="R1069" s="31">
        <f t="shared" si="118"/>
        <v>50800</v>
      </c>
      <c r="U1069" s="8">
        <v>33015</v>
      </c>
      <c r="V1069" s="8">
        <f t="shared" si="120"/>
        <v>0</v>
      </c>
      <c r="W1069" s="8">
        <f t="shared" si="121"/>
        <v>0</v>
      </c>
    </row>
    <row r="1070" spans="1:23" s="21" customFormat="1" ht="21.95" customHeight="1" x14ac:dyDescent="0.2">
      <c r="A1070" s="5" t="s">
        <v>17</v>
      </c>
      <c r="B1070" s="5" t="s">
        <v>1583</v>
      </c>
      <c r="C1070" s="6" t="s">
        <v>543</v>
      </c>
      <c r="D1070" s="6" t="s">
        <v>548</v>
      </c>
      <c r="E1070" s="6"/>
      <c r="F1070" s="6"/>
      <c r="G1070" s="6">
        <v>140</v>
      </c>
      <c r="H1070" s="6">
        <v>103</v>
      </c>
      <c r="I1070" s="9"/>
      <c r="J1070" s="9"/>
      <c r="K1070" s="7">
        <v>44005259</v>
      </c>
      <c r="L1070" s="6" t="str">
        <f t="shared" si="123"/>
        <v>BR YUEN KOLLU MODÜL 140CM 140x103x</v>
      </c>
      <c r="M1070" s="8">
        <v>0.15</v>
      </c>
      <c r="N1070" s="8">
        <v>0.05</v>
      </c>
      <c r="O1070" s="8">
        <v>17277</v>
      </c>
      <c r="P1070" s="8">
        <f t="shared" ref="P1070:P1133" si="124">O1070*(1-N1070)</f>
        <v>16413.149999999998</v>
      </c>
      <c r="Q1070" s="12">
        <f t="shared" ref="Q1070:Q1133" si="125">O1070*(1-N1070)*2.1</f>
        <v>34467.614999999998</v>
      </c>
      <c r="R1070" s="31">
        <f t="shared" ref="R1070:R1133" si="126">ROUNDDOWN(Q1070,-2)</f>
        <v>34400</v>
      </c>
      <c r="T1070" s="8"/>
      <c r="U1070" s="23"/>
      <c r="V1070" s="23">
        <f t="shared" ref="V1070:V1099" si="127">T1070*(1-N1070)</f>
        <v>0</v>
      </c>
      <c r="W1070" s="23">
        <f t="shared" si="121"/>
        <v>0</v>
      </c>
    </row>
    <row r="1071" spans="1:23" ht="21.95" customHeight="1" x14ac:dyDescent="0.2">
      <c r="A1071" s="5" t="s">
        <v>17</v>
      </c>
      <c r="B1071" s="5" t="s">
        <v>1583</v>
      </c>
      <c r="C1071" s="6" t="s">
        <v>543</v>
      </c>
      <c r="D1071" s="6" t="s">
        <v>549</v>
      </c>
      <c r="E1071" s="6"/>
      <c r="F1071" s="6"/>
      <c r="G1071" s="6">
        <v>120</v>
      </c>
      <c r="H1071" s="6">
        <v>103</v>
      </c>
      <c r="I1071" s="9"/>
      <c r="J1071" s="9"/>
      <c r="K1071" s="7">
        <v>44005260</v>
      </c>
      <c r="L1071" s="6" t="str">
        <f t="shared" si="123"/>
        <v>BR YUEN KOLLU MODÜL 120CM 120x103x</v>
      </c>
      <c r="M1071" s="8">
        <v>0.15</v>
      </c>
      <c r="N1071" s="8">
        <v>0.05</v>
      </c>
      <c r="O1071" s="8">
        <v>15512</v>
      </c>
      <c r="P1071" s="8">
        <f t="shared" si="124"/>
        <v>14736.4</v>
      </c>
      <c r="Q1071" s="12">
        <f t="shared" si="125"/>
        <v>30946.440000000002</v>
      </c>
      <c r="R1071" s="31">
        <f t="shared" si="126"/>
        <v>30900</v>
      </c>
      <c r="U1071" s="8">
        <v>22658</v>
      </c>
      <c r="V1071" s="8">
        <f t="shared" si="127"/>
        <v>0</v>
      </c>
      <c r="W1071" s="8">
        <f t="shared" si="121"/>
        <v>0</v>
      </c>
    </row>
    <row r="1072" spans="1:23" ht="21.95" customHeight="1" x14ac:dyDescent="0.2">
      <c r="A1072" s="5" t="s">
        <v>17</v>
      </c>
      <c r="B1072" s="5" t="s">
        <v>1583</v>
      </c>
      <c r="C1072" s="6" t="s">
        <v>543</v>
      </c>
      <c r="D1072" s="6" t="s">
        <v>158</v>
      </c>
      <c r="E1072" s="6"/>
      <c r="F1072" s="6"/>
      <c r="G1072" s="6">
        <v>120</v>
      </c>
      <c r="H1072" s="6">
        <v>160</v>
      </c>
      <c r="I1072" s="9"/>
      <c r="J1072" s="9"/>
      <c r="K1072" s="7">
        <v>44005261</v>
      </c>
      <c r="L1072" s="6" t="str">
        <f t="shared" si="123"/>
        <v>BR YUEN RELAX MODÜL 120x160x</v>
      </c>
      <c r="M1072" s="8">
        <v>0.15</v>
      </c>
      <c r="N1072" s="8">
        <v>0.05</v>
      </c>
      <c r="O1072" s="8">
        <v>21607</v>
      </c>
      <c r="P1072" s="8">
        <f t="shared" si="124"/>
        <v>20526.649999999998</v>
      </c>
      <c r="Q1072" s="12">
        <f t="shared" si="125"/>
        <v>43105.964999999997</v>
      </c>
      <c r="R1072" s="31">
        <f t="shared" si="126"/>
        <v>43100</v>
      </c>
      <c r="U1072" s="8">
        <v>16508</v>
      </c>
      <c r="V1072" s="8">
        <f t="shared" si="127"/>
        <v>0</v>
      </c>
      <c r="W1072" s="8">
        <f t="shared" si="121"/>
        <v>0</v>
      </c>
    </row>
    <row r="1073" spans="1:23" ht="21.95" customHeight="1" x14ac:dyDescent="0.2">
      <c r="A1073" s="5" t="s">
        <v>17</v>
      </c>
      <c r="B1073" s="5" t="s">
        <v>1583</v>
      </c>
      <c r="C1073" s="6" t="s">
        <v>543</v>
      </c>
      <c r="D1073" s="6" t="s">
        <v>2085</v>
      </c>
      <c r="E1073" s="6"/>
      <c r="F1073" s="6"/>
      <c r="G1073" s="6">
        <v>95</v>
      </c>
      <c r="H1073" s="6">
        <v>103</v>
      </c>
      <c r="I1073" s="9"/>
      <c r="J1073" s="9"/>
      <c r="K1073" s="7">
        <v>44005262</v>
      </c>
      <c r="L1073" s="6" t="str">
        <f t="shared" si="123"/>
        <v>BR YUEN 95 CM LİK ARA MODÜL  95x103x</v>
      </c>
      <c r="M1073" s="8">
        <v>0.15</v>
      </c>
      <c r="N1073" s="8">
        <v>0.05</v>
      </c>
      <c r="O1073" s="8">
        <v>11002</v>
      </c>
      <c r="P1073" s="8">
        <f t="shared" si="124"/>
        <v>10451.9</v>
      </c>
      <c r="Q1073" s="12">
        <f t="shared" si="125"/>
        <v>21948.99</v>
      </c>
      <c r="R1073" s="31">
        <f t="shared" si="126"/>
        <v>21900</v>
      </c>
      <c r="U1073" s="8">
        <v>6797</v>
      </c>
      <c r="V1073" s="8">
        <f t="shared" si="127"/>
        <v>0</v>
      </c>
      <c r="W1073" s="8">
        <f t="shared" si="121"/>
        <v>0</v>
      </c>
    </row>
    <row r="1074" spans="1:23" ht="21.95" customHeight="1" x14ac:dyDescent="0.2">
      <c r="A1074" s="5" t="s">
        <v>17</v>
      </c>
      <c r="B1074" s="5" t="s">
        <v>1583</v>
      </c>
      <c r="C1074" s="6" t="s">
        <v>543</v>
      </c>
      <c r="D1074" s="6" t="s">
        <v>2086</v>
      </c>
      <c r="E1074" s="6"/>
      <c r="F1074" s="6"/>
      <c r="G1074" s="6">
        <v>75</v>
      </c>
      <c r="H1074" s="6">
        <v>103</v>
      </c>
      <c r="I1074" s="9"/>
      <c r="J1074" s="9"/>
      <c r="K1074" s="7">
        <v>44005263</v>
      </c>
      <c r="L1074" s="6" t="str">
        <f t="shared" si="123"/>
        <v>BR YUEN 75 CM LİK ARA MODÜL  75x103x</v>
      </c>
      <c r="M1074" s="8">
        <v>0.15</v>
      </c>
      <c r="N1074" s="8">
        <v>0.05</v>
      </c>
      <c r="O1074" s="8">
        <v>10109</v>
      </c>
      <c r="P1074" s="8">
        <f t="shared" si="124"/>
        <v>9603.5499999999993</v>
      </c>
      <c r="Q1074" s="12">
        <f t="shared" si="125"/>
        <v>20167.454999999998</v>
      </c>
      <c r="R1074" s="31">
        <f t="shared" si="126"/>
        <v>20100</v>
      </c>
      <c r="U1074" s="8">
        <v>22550</v>
      </c>
      <c r="V1074" s="8">
        <f t="shared" si="127"/>
        <v>0</v>
      </c>
      <c r="W1074" s="8">
        <f t="shared" si="121"/>
        <v>0</v>
      </c>
    </row>
    <row r="1075" spans="1:23" ht="21.95" customHeight="1" x14ac:dyDescent="0.2">
      <c r="A1075" s="5" t="s">
        <v>17</v>
      </c>
      <c r="B1075" s="5" t="s">
        <v>1583</v>
      </c>
      <c r="C1075" s="6" t="s">
        <v>543</v>
      </c>
      <c r="D1075" s="6" t="s">
        <v>59</v>
      </c>
      <c r="E1075" s="6"/>
      <c r="F1075" s="6"/>
      <c r="G1075" s="6">
        <v>130</v>
      </c>
      <c r="H1075" s="6">
        <v>130</v>
      </c>
      <c r="I1075" s="9"/>
      <c r="K1075" s="7">
        <v>44005264</v>
      </c>
      <c r="L1075" s="6" t="str">
        <f t="shared" si="123"/>
        <v>BR YUEN KÖŞE MODÜL 130x130x</v>
      </c>
      <c r="M1075" s="8">
        <v>0.15</v>
      </c>
      <c r="N1075" s="8">
        <v>0.05</v>
      </c>
      <c r="O1075" s="8">
        <v>21513</v>
      </c>
      <c r="P1075" s="8">
        <f t="shared" si="124"/>
        <v>20437.349999999999</v>
      </c>
      <c r="Q1075" s="12">
        <f t="shared" si="125"/>
        <v>42918.434999999998</v>
      </c>
      <c r="R1075" s="31">
        <f t="shared" si="126"/>
        <v>42900</v>
      </c>
      <c r="U1075" s="8">
        <v>27225</v>
      </c>
      <c r="V1075" s="8">
        <f t="shared" si="127"/>
        <v>0</v>
      </c>
      <c r="W1075" s="8">
        <f t="shared" si="121"/>
        <v>0</v>
      </c>
    </row>
    <row r="1076" spans="1:23" ht="21.95" customHeight="1" x14ac:dyDescent="0.2">
      <c r="A1076" s="5" t="s">
        <v>17</v>
      </c>
      <c r="B1076" s="5" t="s">
        <v>1583</v>
      </c>
      <c r="C1076" s="6" t="s">
        <v>550</v>
      </c>
      <c r="D1076" s="6" t="s">
        <v>32</v>
      </c>
      <c r="E1076" s="6"/>
      <c r="F1076" s="6"/>
      <c r="G1076" s="6">
        <v>230</v>
      </c>
      <c r="H1076" s="6">
        <v>102</v>
      </c>
      <c r="I1076" s="9"/>
      <c r="J1076" s="9"/>
      <c r="K1076" s="7">
        <v>44005266</v>
      </c>
      <c r="L1076" s="6" t="str">
        <f t="shared" si="123"/>
        <v>BR GAME KOLTUK 3 LÜ 230x102x</v>
      </c>
      <c r="M1076" s="8">
        <v>0.15</v>
      </c>
      <c r="N1076" s="8">
        <v>0.05</v>
      </c>
      <c r="O1076" s="8">
        <v>26320</v>
      </c>
      <c r="P1076" s="8">
        <f t="shared" si="124"/>
        <v>25004</v>
      </c>
      <c r="Q1076" s="12">
        <f t="shared" si="125"/>
        <v>52508.4</v>
      </c>
      <c r="R1076" s="31">
        <f t="shared" si="126"/>
        <v>52500</v>
      </c>
      <c r="U1076" s="8">
        <v>5225</v>
      </c>
      <c r="V1076" s="8">
        <f t="shared" si="127"/>
        <v>0</v>
      </c>
      <c r="W1076" s="8">
        <f t="shared" si="121"/>
        <v>0</v>
      </c>
    </row>
    <row r="1077" spans="1:23" ht="21.95" customHeight="1" x14ac:dyDescent="0.2">
      <c r="A1077" s="6" t="s">
        <v>17</v>
      </c>
      <c r="B1077" s="5" t="s">
        <v>1583</v>
      </c>
      <c r="C1077" s="6" t="s">
        <v>550</v>
      </c>
      <c r="D1077" s="6" t="s">
        <v>33</v>
      </c>
      <c r="E1077" s="6"/>
      <c r="F1077" s="6"/>
      <c r="G1077" s="6">
        <v>95</v>
      </c>
      <c r="H1077" s="6">
        <v>97</v>
      </c>
      <c r="I1077" s="9"/>
      <c r="J1077" s="9"/>
      <c r="K1077" s="7">
        <v>44005267</v>
      </c>
      <c r="L1077" s="6" t="str">
        <f t="shared" si="123"/>
        <v>BR GAME BERJER 95x97x</v>
      </c>
      <c r="M1077" s="8">
        <v>0.15</v>
      </c>
      <c r="N1077" s="8">
        <v>0.05</v>
      </c>
      <c r="O1077" s="8">
        <v>9362</v>
      </c>
      <c r="P1077" s="8">
        <f t="shared" si="124"/>
        <v>8893.9</v>
      </c>
      <c r="Q1077" s="12">
        <f t="shared" si="125"/>
        <v>18677.189999999999</v>
      </c>
      <c r="R1077" s="31">
        <f t="shared" si="126"/>
        <v>18600</v>
      </c>
      <c r="U1077" s="8">
        <v>23100</v>
      </c>
      <c r="V1077" s="8">
        <f t="shared" si="127"/>
        <v>0</v>
      </c>
      <c r="W1077" s="8">
        <f t="shared" si="121"/>
        <v>0</v>
      </c>
    </row>
    <row r="1078" spans="1:23" ht="21.95" customHeight="1" x14ac:dyDescent="0.2">
      <c r="A1078" s="5" t="s">
        <v>17</v>
      </c>
      <c r="B1078" s="5" t="s">
        <v>1583</v>
      </c>
      <c r="C1078" s="6" t="s">
        <v>550</v>
      </c>
      <c r="D1078" s="6" t="s">
        <v>551</v>
      </c>
      <c r="E1078" s="6"/>
      <c r="F1078" s="6"/>
      <c r="G1078" s="6">
        <v>130</v>
      </c>
      <c r="H1078" s="6">
        <v>102</v>
      </c>
      <c r="I1078" s="9"/>
      <c r="J1078" s="9"/>
      <c r="K1078" s="7">
        <v>44005268</v>
      </c>
      <c r="L1078" s="6" t="str">
        <f t="shared" si="123"/>
        <v>BR GAME KOLLU MODÜL 130CM 130x102x</v>
      </c>
      <c r="M1078" s="8">
        <v>0.15</v>
      </c>
      <c r="N1078" s="8">
        <v>0.05</v>
      </c>
      <c r="O1078" s="8">
        <v>14525</v>
      </c>
      <c r="P1078" s="8">
        <f t="shared" si="124"/>
        <v>13798.75</v>
      </c>
      <c r="Q1078" s="12">
        <f t="shared" si="125"/>
        <v>28977.375</v>
      </c>
      <c r="R1078" s="31">
        <f t="shared" si="126"/>
        <v>28900</v>
      </c>
      <c r="U1078" s="8">
        <v>9487.5</v>
      </c>
      <c r="V1078" s="8">
        <f t="shared" si="127"/>
        <v>0</v>
      </c>
      <c r="W1078" s="8">
        <f t="shared" si="121"/>
        <v>0</v>
      </c>
    </row>
    <row r="1079" spans="1:23" ht="21.95" customHeight="1" x14ac:dyDescent="0.2">
      <c r="A1079" s="5" t="s">
        <v>17</v>
      </c>
      <c r="B1079" s="5" t="s">
        <v>1583</v>
      </c>
      <c r="C1079" s="6" t="s">
        <v>550</v>
      </c>
      <c r="D1079" s="6" t="s">
        <v>552</v>
      </c>
      <c r="E1079" s="6"/>
      <c r="F1079" s="6"/>
      <c r="G1079" s="6">
        <v>113</v>
      </c>
      <c r="H1079" s="6">
        <v>102</v>
      </c>
      <c r="I1079" s="9"/>
      <c r="J1079" s="9"/>
      <c r="K1079" s="7">
        <v>44005269</v>
      </c>
      <c r="L1079" s="6" t="str">
        <f t="shared" si="123"/>
        <v>BR GAME KOLLU MODÜL 115CM 113x102x</v>
      </c>
      <c r="M1079" s="8">
        <v>0.15</v>
      </c>
      <c r="N1079" s="8">
        <v>0.05</v>
      </c>
      <c r="O1079" s="8">
        <v>13484</v>
      </c>
      <c r="P1079" s="8">
        <f t="shared" si="124"/>
        <v>12809.8</v>
      </c>
      <c r="Q1079" s="12">
        <f t="shared" si="125"/>
        <v>26900.579999999998</v>
      </c>
      <c r="R1079" s="31">
        <f t="shared" si="126"/>
        <v>26900</v>
      </c>
      <c r="U1079" s="8">
        <v>5431.8</v>
      </c>
      <c r="V1079" s="8">
        <f t="shared" si="127"/>
        <v>0</v>
      </c>
      <c r="W1079" s="8">
        <f t="shared" si="121"/>
        <v>0</v>
      </c>
    </row>
    <row r="1080" spans="1:23" ht="21.95" customHeight="1" x14ac:dyDescent="0.2">
      <c r="A1080" s="5" t="s">
        <v>17</v>
      </c>
      <c r="B1080" s="5" t="s">
        <v>1583</v>
      </c>
      <c r="C1080" s="6" t="s">
        <v>550</v>
      </c>
      <c r="D1080" s="6" t="s">
        <v>158</v>
      </c>
      <c r="E1080" s="6"/>
      <c r="F1080" s="6"/>
      <c r="G1080" s="6">
        <v>130</v>
      </c>
      <c r="H1080" s="6">
        <v>160</v>
      </c>
      <c r="I1080" s="9"/>
      <c r="J1080" s="9"/>
      <c r="K1080" s="7">
        <v>44005270</v>
      </c>
      <c r="L1080" s="6" t="str">
        <f t="shared" si="123"/>
        <v>BR GAME RELAX MODÜL 130x160x</v>
      </c>
      <c r="M1080" s="8">
        <v>0.15</v>
      </c>
      <c r="N1080" s="8">
        <v>0.05</v>
      </c>
      <c r="O1080" s="8">
        <v>16590</v>
      </c>
      <c r="P1080" s="8">
        <f t="shared" si="124"/>
        <v>15760.5</v>
      </c>
      <c r="Q1080" s="12">
        <f t="shared" si="125"/>
        <v>33097.050000000003</v>
      </c>
      <c r="R1080" s="31">
        <f t="shared" si="126"/>
        <v>33000</v>
      </c>
      <c r="U1080" s="8">
        <v>4472</v>
      </c>
      <c r="V1080" s="8">
        <f t="shared" si="127"/>
        <v>0</v>
      </c>
      <c r="W1080" s="8">
        <f t="shared" si="121"/>
        <v>0</v>
      </c>
    </row>
    <row r="1081" spans="1:23" ht="21.95" customHeight="1" x14ac:dyDescent="0.2">
      <c r="A1081" s="5" t="s">
        <v>17</v>
      </c>
      <c r="B1081" s="5" t="s">
        <v>1583</v>
      </c>
      <c r="C1081" s="6" t="s">
        <v>550</v>
      </c>
      <c r="D1081" s="6" t="s">
        <v>553</v>
      </c>
      <c r="E1081" s="6"/>
      <c r="F1081" s="6"/>
      <c r="G1081" s="6">
        <v>135</v>
      </c>
      <c r="H1081" s="6">
        <v>130</v>
      </c>
      <c r="I1081" s="9"/>
      <c r="J1081" s="9"/>
      <c r="K1081" s="7">
        <v>44005271</v>
      </c>
      <c r="L1081" s="6" t="str">
        <f t="shared" si="123"/>
        <v>BR GAME ÇAP MODÜL 135x130x</v>
      </c>
      <c r="M1081" s="8">
        <v>0.15</v>
      </c>
      <c r="N1081" s="8">
        <v>0.05</v>
      </c>
      <c r="O1081" s="8">
        <v>15373</v>
      </c>
      <c r="P1081" s="8">
        <f t="shared" si="124"/>
        <v>14604.349999999999</v>
      </c>
      <c r="Q1081" s="12">
        <f t="shared" si="125"/>
        <v>30669.134999999998</v>
      </c>
      <c r="R1081" s="31">
        <f t="shared" si="126"/>
        <v>30600</v>
      </c>
      <c r="U1081" s="8">
        <v>30250</v>
      </c>
      <c r="V1081" s="8">
        <f t="shared" si="127"/>
        <v>0</v>
      </c>
      <c r="W1081" s="8">
        <f t="shared" si="121"/>
        <v>0</v>
      </c>
    </row>
    <row r="1082" spans="1:23" ht="21.95" customHeight="1" x14ac:dyDescent="0.2">
      <c r="A1082" s="5" t="s">
        <v>17</v>
      </c>
      <c r="B1082" s="5" t="s">
        <v>1583</v>
      </c>
      <c r="C1082" s="6" t="s">
        <v>550</v>
      </c>
      <c r="D1082" s="6" t="s">
        <v>2085</v>
      </c>
      <c r="E1082" s="6"/>
      <c r="F1082" s="6"/>
      <c r="G1082" s="6">
        <v>95</v>
      </c>
      <c r="H1082" s="6">
        <v>102</v>
      </c>
      <c r="I1082" s="27"/>
      <c r="J1082" s="10"/>
      <c r="K1082" s="7">
        <v>44005272</v>
      </c>
      <c r="L1082" s="6" t="str">
        <f t="shared" si="123"/>
        <v>BR GAME 95 CM LİK ARA MODÜL  95x102x</v>
      </c>
      <c r="M1082" s="8">
        <v>0.15</v>
      </c>
      <c r="N1082" s="8">
        <v>0.05</v>
      </c>
      <c r="O1082" s="8">
        <v>10587</v>
      </c>
      <c r="P1082" s="8">
        <f t="shared" si="124"/>
        <v>10057.65</v>
      </c>
      <c r="Q1082" s="12">
        <f t="shared" si="125"/>
        <v>21121.064999999999</v>
      </c>
      <c r="R1082" s="31">
        <f t="shared" si="126"/>
        <v>21100</v>
      </c>
      <c r="U1082" s="8">
        <v>23650</v>
      </c>
      <c r="V1082" s="8">
        <f t="shared" si="127"/>
        <v>0</v>
      </c>
      <c r="W1082" s="8">
        <f t="shared" si="121"/>
        <v>0</v>
      </c>
    </row>
    <row r="1083" spans="1:23" ht="21.95" customHeight="1" x14ac:dyDescent="0.2">
      <c r="A1083" s="5" t="s">
        <v>17</v>
      </c>
      <c r="B1083" s="5" t="s">
        <v>1583</v>
      </c>
      <c r="C1083" s="6" t="s">
        <v>550</v>
      </c>
      <c r="D1083" s="6" t="s">
        <v>2086</v>
      </c>
      <c r="E1083" s="6"/>
      <c r="F1083" s="6"/>
      <c r="G1083" s="6">
        <v>75</v>
      </c>
      <c r="H1083" s="6">
        <v>102</v>
      </c>
      <c r="I1083" s="27"/>
      <c r="J1083" s="10"/>
      <c r="K1083" s="7">
        <v>44005273</v>
      </c>
      <c r="L1083" s="6" t="str">
        <f t="shared" si="123"/>
        <v>BR GAME 75 CM LİK ARA MODÜL  75x102x</v>
      </c>
      <c r="M1083" s="8">
        <v>0.15</v>
      </c>
      <c r="N1083" s="8">
        <v>0.05</v>
      </c>
      <c r="O1083" s="8">
        <v>9555</v>
      </c>
      <c r="P1083" s="8">
        <f t="shared" si="124"/>
        <v>9077.25</v>
      </c>
      <c r="Q1083" s="12">
        <f t="shared" si="125"/>
        <v>19062.225000000002</v>
      </c>
      <c r="R1083" s="31">
        <f t="shared" si="126"/>
        <v>19000</v>
      </c>
      <c r="U1083" s="8">
        <v>5362.5</v>
      </c>
      <c r="V1083" s="8">
        <f t="shared" si="127"/>
        <v>0</v>
      </c>
      <c r="W1083" s="8">
        <f t="shared" si="121"/>
        <v>0</v>
      </c>
    </row>
    <row r="1084" spans="1:23" ht="21.95" customHeight="1" x14ac:dyDescent="0.2">
      <c r="A1084" s="5" t="s">
        <v>17</v>
      </c>
      <c r="B1084" s="5" t="s">
        <v>1583</v>
      </c>
      <c r="C1084" s="6" t="s">
        <v>550</v>
      </c>
      <c r="D1084" s="6" t="s">
        <v>554</v>
      </c>
      <c r="E1084" s="6"/>
      <c r="F1084" s="6"/>
      <c r="G1084" s="6">
        <v>112</v>
      </c>
      <c r="H1084" s="6">
        <v>112</v>
      </c>
      <c r="I1084" s="27"/>
      <c r="J1084" s="10"/>
      <c r="K1084" s="7">
        <v>44005274</v>
      </c>
      <c r="L1084" s="6" t="str">
        <f t="shared" si="123"/>
        <v>BR GAME KÖŞE MODÜLÜ 112x112x</v>
      </c>
      <c r="M1084" s="8">
        <v>0.15</v>
      </c>
      <c r="N1084" s="8">
        <v>0.05</v>
      </c>
      <c r="O1084" s="8">
        <v>17500</v>
      </c>
      <c r="P1084" s="8">
        <f t="shared" si="124"/>
        <v>16625</v>
      </c>
      <c r="Q1084" s="12">
        <f t="shared" si="125"/>
        <v>34912.5</v>
      </c>
      <c r="R1084" s="31">
        <f t="shared" si="126"/>
        <v>34900</v>
      </c>
      <c r="U1084" s="8">
        <v>18700</v>
      </c>
      <c r="V1084" s="8">
        <f t="shared" si="127"/>
        <v>0</v>
      </c>
      <c r="W1084" s="8">
        <f t="shared" si="121"/>
        <v>0</v>
      </c>
    </row>
    <row r="1085" spans="1:23" ht="21.95" customHeight="1" x14ac:dyDescent="0.2">
      <c r="A1085" s="5" t="s">
        <v>17</v>
      </c>
      <c r="B1085" s="5" t="s">
        <v>1583</v>
      </c>
      <c r="C1085" s="6" t="s">
        <v>550</v>
      </c>
      <c r="D1085" s="6" t="s">
        <v>29</v>
      </c>
      <c r="E1085" s="6"/>
      <c r="F1085" s="6"/>
      <c r="G1085" s="6">
        <v>137.4</v>
      </c>
      <c r="H1085" s="26"/>
      <c r="I1085" s="27"/>
      <c r="J1085" s="10"/>
      <c r="K1085" s="7">
        <v>44005275</v>
      </c>
      <c r="L1085" s="6" t="str">
        <f t="shared" si="123"/>
        <v>BR GAME ORTA SEHPA 137,4xx</v>
      </c>
      <c r="M1085" s="8">
        <v>0.15</v>
      </c>
      <c r="N1085" s="8">
        <v>0.05</v>
      </c>
      <c r="O1085" s="8">
        <v>6394</v>
      </c>
      <c r="P1085" s="8">
        <f t="shared" si="124"/>
        <v>6074.2999999999993</v>
      </c>
      <c r="Q1085" s="12">
        <f t="shared" si="125"/>
        <v>12756.029999999999</v>
      </c>
      <c r="R1085" s="31">
        <f t="shared" si="126"/>
        <v>12700</v>
      </c>
      <c r="U1085" s="8">
        <v>11687.5</v>
      </c>
      <c r="V1085" s="8">
        <f t="shared" si="127"/>
        <v>0</v>
      </c>
      <c r="W1085" s="8">
        <f t="shared" si="121"/>
        <v>0</v>
      </c>
    </row>
    <row r="1086" spans="1:23" ht="21.95" customHeight="1" x14ac:dyDescent="0.2">
      <c r="A1086" s="5" t="s">
        <v>17</v>
      </c>
      <c r="B1086" s="5" t="s">
        <v>1583</v>
      </c>
      <c r="C1086" s="6" t="s">
        <v>550</v>
      </c>
      <c r="D1086" s="6" t="s">
        <v>30</v>
      </c>
      <c r="E1086" s="6"/>
      <c r="F1086" s="6"/>
      <c r="G1086" s="6"/>
      <c r="H1086" s="26"/>
      <c r="I1086" s="27"/>
      <c r="J1086" s="10"/>
      <c r="K1086" s="7">
        <v>44005276</v>
      </c>
      <c r="L1086" s="6" t="str">
        <f t="shared" si="123"/>
        <v>BR GAME YAN SEHPA xx</v>
      </c>
      <c r="M1086" s="8">
        <v>0.15</v>
      </c>
      <c r="N1086" s="8">
        <v>0.05</v>
      </c>
      <c r="O1086" s="8">
        <v>3887</v>
      </c>
      <c r="P1086" s="8">
        <f t="shared" si="124"/>
        <v>3692.6499999999996</v>
      </c>
      <c r="Q1086" s="12">
        <f t="shared" si="125"/>
        <v>7754.5649999999996</v>
      </c>
      <c r="R1086" s="31">
        <f t="shared" si="126"/>
        <v>7700</v>
      </c>
      <c r="U1086" s="8">
        <v>5362.5</v>
      </c>
      <c r="V1086" s="8">
        <f t="shared" si="127"/>
        <v>0</v>
      </c>
      <c r="W1086" s="8">
        <f t="shared" si="121"/>
        <v>0</v>
      </c>
    </row>
    <row r="1087" spans="1:23" ht="21.95" customHeight="1" x14ac:dyDescent="0.2">
      <c r="A1087" s="5" t="s">
        <v>17</v>
      </c>
      <c r="B1087" s="5" t="s">
        <v>1583</v>
      </c>
      <c r="C1087" s="6" t="s">
        <v>550</v>
      </c>
      <c r="D1087" s="6" t="s">
        <v>555</v>
      </c>
      <c r="E1087" s="6"/>
      <c r="F1087" s="6"/>
      <c r="G1087" s="6">
        <v>135</v>
      </c>
      <c r="H1087" s="26"/>
      <c r="I1087" s="27">
        <v>135</v>
      </c>
      <c r="J1087" s="10"/>
      <c r="K1087" s="7">
        <v>44005277</v>
      </c>
      <c r="L1087" s="6" t="str">
        <f t="shared" si="123"/>
        <v>BR GAME AYAKLI PUF 135xx135</v>
      </c>
      <c r="M1087" s="8">
        <v>0.15</v>
      </c>
      <c r="N1087" s="8">
        <v>0.05</v>
      </c>
      <c r="O1087" s="8">
        <v>2784</v>
      </c>
      <c r="P1087" s="8">
        <f t="shared" si="124"/>
        <v>2644.7999999999997</v>
      </c>
      <c r="Q1087" s="12">
        <f t="shared" si="125"/>
        <v>5554.08</v>
      </c>
      <c r="R1087" s="31">
        <f t="shared" si="126"/>
        <v>5500</v>
      </c>
      <c r="U1087" s="8">
        <v>22550</v>
      </c>
      <c r="V1087" s="8">
        <f t="shared" si="127"/>
        <v>0</v>
      </c>
      <c r="W1087" s="8">
        <f t="shared" si="121"/>
        <v>0</v>
      </c>
    </row>
    <row r="1088" spans="1:23" ht="19.899999999999999" customHeight="1" x14ac:dyDescent="0.2">
      <c r="A1088" s="5" t="s">
        <v>17</v>
      </c>
      <c r="B1088" s="5" t="s">
        <v>1583</v>
      </c>
      <c r="C1088" s="6" t="s">
        <v>550</v>
      </c>
      <c r="D1088" s="6" t="s">
        <v>119</v>
      </c>
      <c r="E1088" s="6"/>
      <c r="F1088" s="6"/>
      <c r="G1088" s="6">
        <v>60</v>
      </c>
      <c r="H1088" s="6"/>
      <c r="I1088" s="9">
        <v>33</v>
      </c>
      <c r="J1088" s="9"/>
      <c r="K1088" s="7">
        <v>44005278</v>
      </c>
      <c r="L1088" s="6" t="str">
        <f t="shared" si="123"/>
        <v>BR GAME PUF 60xx33</v>
      </c>
      <c r="M1088" s="8">
        <v>0.15</v>
      </c>
      <c r="N1088" s="8">
        <v>0.05</v>
      </c>
      <c r="O1088" s="8">
        <v>2939</v>
      </c>
      <c r="P1088" s="8">
        <f t="shared" si="124"/>
        <v>2792.0499999999997</v>
      </c>
      <c r="Q1088" s="12">
        <f t="shared" si="125"/>
        <v>5863.3049999999994</v>
      </c>
      <c r="R1088" s="31">
        <f t="shared" si="126"/>
        <v>5800</v>
      </c>
      <c r="U1088" s="8">
        <v>27225</v>
      </c>
      <c r="V1088" s="8">
        <f t="shared" si="127"/>
        <v>0</v>
      </c>
      <c r="W1088" s="8">
        <f t="shared" si="121"/>
        <v>0</v>
      </c>
    </row>
    <row r="1089" spans="1:23" ht="21.95" customHeight="1" x14ac:dyDescent="0.2">
      <c r="A1089" s="5" t="s">
        <v>17</v>
      </c>
      <c r="B1089" s="5" t="s">
        <v>1583</v>
      </c>
      <c r="C1089" s="6" t="s">
        <v>556</v>
      </c>
      <c r="D1089" s="6" t="s">
        <v>49</v>
      </c>
      <c r="E1089" s="6"/>
      <c r="F1089" s="6"/>
      <c r="G1089" s="6">
        <v>233</v>
      </c>
      <c r="H1089" s="6">
        <v>50.4</v>
      </c>
      <c r="I1089" s="9">
        <v>81.599999999999994</v>
      </c>
      <c r="J1089" s="9"/>
      <c r="K1089" s="7">
        <v>44005280</v>
      </c>
      <c r="L1089" s="6" t="str">
        <f t="shared" si="123"/>
        <v>BR CROWN KONSOL 233x50,4x81,6</v>
      </c>
      <c r="M1089" s="8">
        <v>0.15</v>
      </c>
      <c r="N1089" s="8">
        <v>0.05</v>
      </c>
      <c r="O1089" s="8">
        <v>33295</v>
      </c>
      <c r="P1089" s="8">
        <f t="shared" si="124"/>
        <v>31630.25</v>
      </c>
      <c r="Q1089" s="12">
        <f t="shared" si="125"/>
        <v>66423.525000000009</v>
      </c>
      <c r="R1089" s="31">
        <f t="shared" si="126"/>
        <v>66400</v>
      </c>
      <c r="U1089" s="8">
        <v>5225</v>
      </c>
      <c r="V1089" s="8">
        <f t="shared" si="127"/>
        <v>0</v>
      </c>
      <c r="W1089" s="8">
        <f t="shared" si="121"/>
        <v>0</v>
      </c>
    </row>
    <row r="1090" spans="1:23" ht="21.95" customHeight="1" x14ac:dyDescent="0.2">
      <c r="A1090" s="5" t="s">
        <v>17</v>
      </c>
      <c r="B1090" s="5" t="s">
        <v>1583</v>
      </c>
      <c r="C1090" s="6" t="s">
        <v>556</v>
      </c>
      <c r="D1090" s="6" t="s">
        <v>21</v>
      </c>
      <c r="E1090" s="6"/>
      <c r="F1090" s="6"/>
      <c r="G1090" s="6">
        <v>99</v>
      </c>
      <c r="H1090" s="6">
        <v>4</v>
      </c>
      <c r="I1090" s="9">
        <v>114</v>
      </c>
      <c r="J1090" s="9"/>
      <c r="K1090" s="7">
        <v>44005281</v>
      </c>
      <c r="L1090" s="6" t="str">
        <f t="shared" si="123"/>
        <v>BR CROWN KONSOL AYNASI 99x4x114</v>
      </c>
      <c r="M1090" s="8">
        <v>0.15</v>
      </c>
      <c r="N1090" s="8">
        <v>0.05</v>
      </c>
      <c r="O1090" s="8">
        <v>5943</v>
      </c>
      <c r="P1090" s="8">
        <f t="shared" si="124"/>
        <v>5645.8499999999995</v>
      </c>
      <c r="Q1090" s="12">
        <f t="shared" si="125"/>
        <v>11856.285</v>
      </c>
      <c r="R1090" s="31">
        <f t="shared" si="126"/>
        <v>11800</v>
      </c>
      <c r="U1090" s="8">
        <v>23100</v>
      </c>
      <c r="V1090" s="8">
        <f t="shared" si="127"/>
        <v>0</v>
      </c>
      <c r="W1090" s="8">
        <f t="shared" si="121"/>
        <v>0</v>
      </c>
    </row>
    <row r="1091" spans="1:23" ht="21.95" customHeight="1" x14ac:dyDescent="0.2">
      <c r="A1091" s="5" t="s">
        <v>17</v>
      </c>
      <c r="B1091" s="5" t="s">
        <v>1583</v>
      </c>
      <c r="C1091" s="6" t="s">
        <v>556</v>
      </c>
      <c r="D1091" s="6" t="s">
        <v>155</v>
      </c>
      <c r="E1091" s="6"/>
      <c r="F1091" s="6"/>
      <c r="G1091" s="6">
        <v>220</v>
      </c>
      <c r="H1091" s="6">
        <v>104</v>
      </c>
      <c r="I1091" s="9">
        <v>77.599999999999994</v>
      </c>
      <c r="J1091" s="9"/>
      <c r="K1091" s="7">
        <v>44005282</v>
      </c>
      <c r="L1091" s="6" t="str">
        <f t="shared" si="123"/>
        <v>BR CROWN MASA 220x104x77,6</v>
      </c>
      <c r="M1091" s="8">
        <v>0.15</v>
      </c>
      <c r="N1091" s="8">
        <v>0.05</v>
      </c>
      <c r="O1091" s="8">
        <v>24599</v>
      </c>
      <c r="P1091" s="8">
        <f t="shared" si="124"/>
        <v>23369.05</v>
      </c>
      <c r="Q1091" s="12">
        <f t="shared" si="125"/>
        <v>49075.004999999997</v>
      </c>
      <c r="R1091" s="31">
        <f t="shared" si="126"/>
        <v>49000</v>
      </c>
      <c r="U1091" s="8">
        <v>9487.5</v>
      </c>
      <c r="V1091" s="8">
        <f t="shared" si="127"/>
        <v>0</v>
      </c>
      <c r="W1091" s="8">
        <f t="shared" si="121"/>
        <v>0</v>
      </c>
    </row>
    <row r="1092" spans="1:23" ht="21.95" customHeight="1" x14ac:dyDescent="0.2">
      <c r="A1092" s="5" t="s">
        <v>17</v>
      </c>
      <c r="B1092" s="5" t="s">
        <v>1583</v>
      </c>
      <c r="C1092" s="6" t="s">
        <v>556</v>
      </c>
      <c r="D1092" s="6" t="s">
        <v>25</v>
      </c>
      <c r="E1092" s="6"/>
      <c r="F1092" s="6"/>
      <c r="G1092" s="6">
        <v>55</v>
      </c>
      <c r="H1092" s="6">
        <v>57</v>
      </c>
      <c r="I1092" s="9">
        <v>85</v>
      </c>
      <c r="J1092" s="9"/>
      <c r="K1092" s="7">
        <v>44005283</v>
      </c>
      <c r="L1092" s="6" t="str">
        <f t="shared" si="123"/>
        <v>BR CROWN SANDALYE 55x57x85</v>
      </c>
      <c r="M1092" s="8">
        <v>0.15</v>
      </c>
      <c r="N1092" s="8">
        <v>0.05</v>
      </c>
      <c r="O1092" s="8">
        <v>5500</v>
      </c>
      <c r="P1092" s="8">
        <f t="shared" si="124"/>
        <v>5225</v>
      </c>
      <c r="Q1092" s="12">
        <f t="shared" si="125"/>
        <v>10972.5</v>
      </c>
      <c r="R1092" s="31">
        <f t="shared" si="126"/>
        <v>10900</v>
      </c>
      <c r="U1092" s="8">
        <v>5431.8</v>
      </c>
      <c r="V1092" s="8">
        <f t="shared" si="127"/>
        <v>0</v>
      </c>
      <c r="W1092" s="8">
        <f t="shared" si="121"/>
        <v>0</v>
      </c>
    </row>
    <row r="1093" spans="1:23" ht="21.95" customHeight="1" x14ac:dyDescent="0.2">
      <c r="A1093" s="5" t="s">
        <v>17</v>
      </c>
      <c r="B1093" s="5" t="s">
        <v>1583</v>
      </c>
      <c r="C1093" s="6" t="s">
        <v>556</v>
      </c>
      <c r="D1093" s="6" t="s">
        <v>496</v>
      </c>
      <c r="E1093" s="6"/>
      <c r="F1093" s="6"/>
      <c r="G1093" s="6">
        <v>233</v>
      </c>
      <c r="H1093" s="6">
        <v>50.4</v>
      </c>
      <c r="I1093" s="9">
        <v>53.6</v>
      </c>
      <c r="J1093" s="9"/>
      <c r="K1093" s="7">
        <v>44005285</v>
      </c>
      <c r="L1093" s="6" t="str">
        <f t="shared" si="123"/>
        <v>BR CROWN TV ÜNİTESİ ALT MODÜL 233x50,4x53,6</v>
      </c>
      <c r="M1093" s="8">
        <v>0.15</v>
      </c>
      <c r="N1093" s="8">
        <v>0.05</v>
      </c>
      <c r="O1093" s="8">
        <v>27661</v>
      </c>
      <c r="P1093" s="8">
        <f t="shared" si="124"/>
        <v>26277.949999999997</v>
      </c>
      <c r="Q1093" s="12">
        <f t="shared" si="125"/>
        <v>55183.695</v>
      </c>
      <c r="R1093" s="31">
        <f t="shared" si="126"/>
        <v>55100</v>
      </c>
      <c r="U1093" s="8">
        <v>4472</v>
      </c>
      <c r="V1093" s="8">
        <f t="shared" si="127"/>
        <v>0</v>
      </c>
      <c r="W1093" s="8">
        <f t="shared" si="121"/>
        <v>0</v>
      </c>
    </row>
    <row r="1094" spans="1:23" ht="21.95" customHeight="1" x14ac:dyDescent="0.2">
      <c r="A1094" s="5" t="s">
        <v>17</v>
      </c>
      <c r="B1094" s="5" t="s">
        <v>1583</v>
      </c>
      <c r="C1094" s="6" t="s">
        <v>556</v>
      </c>
      <c r="D1094" s="6" t="s">
        <v>2093</v>
      </c>
      <c r="E1094" s="6"/>
      <c r="F1094" s="6"/>
      <c r="G1094" s="6">
        <v>138</v>
      </c>
      <c r="H1094" s="6">
        <v>16</v>
      </c>
      <c r="I1094" s="9"/>
      <c r="J1094" s="9"/>
      <c r="K1094" s="7">
        <v>44005286</v>
      </c>
      <c r="L1094" s="6" t="str">
        <f t="shared" ref="L1094:L1125" si="128">B1094&amp;" "&amp;C1094&amp;" "&amp;D1094&amp;" "&amp;G1094&amp;"x"&amp;H1094&amp;"x"&amp;I1094</f>
        <v>BR CROWN TV ÜNİTESİ ÜST RAF SOL 138x16x</v>
      </c>
      <c r="M1094" s="8">
        <v>0.15</v>
      </c>
      <c r="N1094" s="8">
        <v>0.05</v>
      </c>
      <c r="O1094" s="8">
        <v>2170</v>
      </c>
      <c r="P1094" s="8">
        <f t="shared" si="124"/>
        <v>2061.5</v>
      </c>
      <c r="Q1094" s="12">
        <f t="shared" si="125"/>
        <v>4329.1500000000005</v>
      </c>
      <c r="R1094" s="31">
        <f t="shared" si="126"/>
        <v>4300</v>
      </c>
      <c r="U1094" s="8">
        <v>30250</v>
      </c>
      <c r="V1094" s="8">
        <f t="shared" si="127"/>
        <v>0</v>
      </c>
      <c r="W1094" s="8">
        <f t="shared" si="121"/>
        <v>0</v>
      </c>
    </row>
    <row r="1095" spans="1:23" ht="21.95" customHeight="1" x14ac:dyDescent="0.2">
      <c r="A1095" s="5" t="s">
        <v>17</v>
      </c>
      <c r="B1095" s="5" t="s">
        <v>1583</v>
      </c>
      <c r="C1095" s="6" t="s">
        <v>556</v>
      </c>
      <c r="D1095" s="6" t="s">
        <v>2092</v>
      </c>
      <c r="E1095" s="6"/>
      <c r="F1095" s="6"/>
      <c r="G1095" s="6">
        <v>68</v>
      </c>
      <c r="H1095" s="6">
        <v>16</v>
      </c>
      <c r="I1095" s="9"/>
      <c r="J1095" s="9"/>
      <c r="K1095" s="7">
        <v>44005287</v>
      </c>
      <c r="L1095" s="6" t="str">
        <f t="shared" si="128"/>
        <v>BR CROWN TV ÜNİTESİ ÜST RAF SAĞ 68x16x</v>
      </c>
      <c r="M1095" s="8">
        <v>0.15</v>
      </c>
      <c r="N1095" s="8">
        <v>0.05</v>
      </c>
      <c r="O1095" s="8">
        <v>1865</v>
      </c>
      <c r="P1095" s="8">
        <f t="shared" si="124"/>
        <v>1771.75</v>
      </c>
      <c r="Q1095" s="12">
        <f t="shared" si="125"/>
        <v>3720.6750000000002</v>
      </c>
      <c r="R1095" s="31">
        <f t="shared" si="126"/>
        <v>3700</v>
      </c>
      <c r="U1095" s="8">
        <v>23650</v>
      </c>
      <c r="V1095" s="8">
        <f t="shared" si="127"/>
        <v>0</v>
      </c>
      <c r="W1095" s="8">
        <f t="shared" si="121"/>
        <v>0</v>
      </c>
    </row>
    <row r="1096" spans="1:23" ht="21.95" customHeight="1" x14ac:dyDescent="0.2">
      <c r="A1096" s="5" t="s">
        <v>17</v>
      </c>
      <c r="B1096" s="5" t="s">
        <v>1583</v>
      </c>
      <c r="C1096" s="6" t="s">
        <v>556</v>
      </c>
      <c r="D1096" s="6" t="s">
        <v>660</v>
      </c>
      <c r="E1096" s="6"/>
      <c r="F1096" s="6"/>
      <c r="G1096" s="6">
        <v>136</v>
      </c>
      <c r="H1096" s="6">
        <v>136</v>
      </c>
      <c r="I1096" s="9">
        <v>41</v>
      </c>
      <c r="J1096" s="9"/>
      <c r="K1096" s="7">
        <v>44005288</v>
      </c>
      <c r="L1096" s="6" t="str">
        <f t="shared" si="128"/>
        <v>BR CROWN ORTA SEHPA  136x136x41</v>
      </c>
      <c r="M1096" s="8">
        <v>0.15</v>
      </c>
      <c r="N1096" s="8">
        <v>0.05</v>
      </c>
      <c r="O1096" s="8">
        <v>15610</v>
      </c>
      <c r="P1096" s="8">
        <f t="shared" si="124"/>
        <v>14829.5</v>
      </c>
      <c r="Q1096" s="12">
        <f t="shared" si="125"/>
        <v>31141.95</v>
      </c>
      <c r="R1096" s="31">
        <f t="shared" si="126"/>
        <v>31100</v>
      </c>
      <c r="U1096" s="8">
        <v>5362.5</v>
      </c>
      <c r="V1096" s="8">
        <f t="shared" si="127"/>
        <v>0</v>
      </c>
      <c r="W1096" s="8">
        <f t="shared" si="121"/>
        <v>0</v>
      </c>
    </row>
    <row r="1097" spans="1:23" ht="21.95" customHeight="1" x14ac:dyDescent="0.2">
      <c r="A1097" s="5" t="s">
        <v>17</v>
      </c>
      <c r="B1097" s="5" t="s">
        <v>1583</v>
      </c>
      <c r="C1097" s="6" t="s">
        <v>556</v>
      </c>
      <c r="D1097" s="6" t="s">
        <v>660</v>
      </c>
      <c r="E1097" s="6"/>
      <c r="F1097" s="6"/>
      <c r="G1097" s="6">
        <v>108</v>
      </c>
      <c r="H1097" s="6">
        <v>108</v>
      </c>
      <c r="I1097" s="9">
        <v>41</v>
      </c>
      <c r="J1097" s="9"/>
      <c r="K1097" s="7">
        <v>44005289</v>
      </c>
      <c r="L1097" s="6" t="str">
        <f t="shared" si="128"/>
        <v>BR CROWN ORTA SEHPA  108x108x41</v>
      </c>
      <c r="M1097" s="8">
        <v>0.15</v>
      </c>
      <c r="N1097" s="8">
        <v>0.05</v>
      </c>
      <c r="O1097" s="8">
        <v>14829</v>
      </c>
      <c r="P1097" s="8">
        <f t="shared" si="124"/>
        <v>14087.55</v>
      </c>
      <c r="Q1097" s="12">
        <f t="shared" si="125"/>
        <v>29583.855</v>
      </c>
      <c r="R1097" s="31">
        <f t="shared" si="126"/>
        <v>29500</v>
      </c>
      <c r="U1097" s="8">
        <v>18700</v>
      </c>
      <c r="V1097" s="8">
        <f t="shared" si="127"/>
        <v>0</v>
      </c>
      <c r="W1097" s="8">
        <f t="shared" si="121"/>
        <v>0</v>
      </c>
    </row>
    <row r="1098" spans="1:23" ht="21.95" customHeight="1" x14ac:dyDescent="0.2">
      <c r="A1098" s="5" t="s">
        <v>17</v>
      </c>
      <c r="B1098" s="5" t="s">
        <v>1583</v>
      </c>
      <c r="C1098" s="6" t="s">
        <v>556</v>
      </c>
      <c r="D1098" s="6" t="s">
        <v>2088</v>
      </c>
      <c r="E1098" s="6"/>
      <c r="F1098" s="6"/>
      <c r="G1098" s="6">
        <v>42</v>
      </c>
      <c r="H1098" s="6">
        <v>42</v>
      </c>
      <c r="I1098" s="9">
        <v>61.8</v>
      </c>
      <c r="J1098" s="9"/>
      <c r="K1098" s="7">
        <v>44005290</v>
      </c>
      <c r="L1098" s="6" t="str">
        <f t="shared" si="128"/>
        <v>BR CROWN YAN SEHPA UZUN 42x42x61,8</v>
      </c>
      <c r="M1098" s="8">
        <v>0.15</v>
      </c>
      <c r="N1098" s="8">
        <v>0.05</v>
      </c>
      <c r="O1098" s="8">
        <v>5060</v>
      </c>
      <c r="P1098" s="8">
        <f t="shared" si="124"/>
        <v>4807</v>
      </c>
      <c r="Q1098" s="12">
        <f t="shared" si="125"/>
        <v>10094.700000000001</v>
      </c>
      <c r="R1098" s="31">
        <f t="shared" si="126"/>
        <v>10000</v>
      </c>
      <c r="U1098" s="8">
        <v>11687.5</v>
      </c>
      <c r="V1098" s="8">
        <f t="shared" si="127"/>
        <v>0</v>
      </c>
      <c r="W1098" s="8">
        <f t="shared" si="121"/>
        <v>0</v>
      </c>
    </row>
    <row r="1099" spans="1:23" ht="21.95" customHeight="1" x14ac:dyDescent="0.2">
      <c r="A1099" s="5" t="s">
        <v>17</v>
      </c>
      <c r="B1099" s="5" t="s">
        <v>1583</v>
      </c>
      <c r="C1099" s="6" t="s">
        <v>556</v>
      </c>
      <c r="D1099" s="6" t="s">
        <v>2089</v>
      </c>
      <c r="E1099" s="6"/>
      <c r="F1099" s="6"/>
      <c r="G1099" s="6">
        <v>42</v>
      </c>
      <c r="H1099" s="6">
        <v>42</v>
      </c>
      <c r="I1099" s="9">
        <v>56.8</v>
      </c>
      <c r="J1099" s="9"/>
      <c r="K1099" s="7">
        <v>44005291</v>
      </c>
      <c r="L1099" s="6" t="str">
        <f t="shared" si="128"/>
        <v>BR CROWN YAN SEHPA KISA 42x42x56,8</v>
      </c>
      <c r="M1099" s="8">
        <v>0.15</v>
      </c>
      <c r="N1099" s="8">
        <v>0.05</v>
      </c>
      <c r="O1099" s="8">
        <v>4217</v>
      </c>
      <c r="P1099" s="8">
        <f t="shared" si="124"/>
        <v>4006.1499999999996</v>
      </c>
      <c r="Q1099" s="12">
        <f t="shared" si="125"/>
        <v>8412.9149999999991</v>
      </c>
      <c r="R1099" s="31">
        <f t="shared" si="126"/>
        <v>8400</v>
      </c>
      <c r="U1099" s="8">
        <v>5362.5</v>
      </c>
      <c r="V1099" s="8">
        <f t="shared" si="127"/>
        <v>0</v>
      </c>
      <c r="W1099" s="8">
        <f t="shared" si="121"/>
        <v>0</v>
      </c>
    </row>
    <row r="1100" spans="1:23" ht="21.95" customHeight="1" x14ac:dyDescent="0.2">
      <c r="A1100" s="5" t="s">
        <v>17</v>
      </c>
      <c r="B1100" s="5" t="s">
        <v>1583</v>
      </c>
      <c r="C1100" s="6" t="s">
        <v>556</v>
      </c>
      <c r="D1100" s="6" t="s">
        <v>557</v>
      </c>
      <c r="E1100" s="6"/>
      <c r="F1100" s="6"/>
      <c r="G1100" s="6">
        <v>57.5</v>
      </c>
      <c r="H1100" s="6">
        <v>57.5</v>
      </c>
      <c r="I1100" s="9">
        <v>57.8</v>
      </c>
      <c r="J1100" s="9"/>
      <c r="K1100" s="7">
        <v>44005292</v>
      </c>
      <c r="L1100" s="6" t="str">
        <f t="shared" si="128"/>
        <v>BR CROWN SEHPA TEPSİLİ 57,5x57,5x57,8</v>
      </c>
      <c r="M1100" s="8">
        <v>0.15</v>
      </c>
      <c r="N1100" s="8">
        <v>0.05</v>
      </c>
      <c r="O1100" s="8">
        <v>4590</v>
      </c>
      <c r="P1100" s="8">
        <f t="shared" si="124"/>
        <v>4360.5</v>
      </c>
      <c r="Q1100" s="12">
        <f t="shared" si="125"/>
        <v>9157.0500000000011</v>
      </c>
      <c r="R1100" s="31">
        <f t="shared" si="126"/>
        <v>9100</v>
      </c>
      <c r="U1100" s="8">
        <v>32371</v>
      </c>
    </row>
    <row r="1101" spans="1:23" ht="21.95" customHeight="1" x14ac:dyDescent="0.2">
      <c r="A1101" s="5" t="s">
        <v>17</v>
      </c>
      <c r="B1101" s="5" t="s">
        <v>1583</v>
      </c>
      <c r="C1101" s="6" t="s">
        <v>556</v>
      </c>
      <c r="D1101" s="6" t="s">
        <v>558</v>
      </c>
      <c r="E1101" s="6"/>
      <c r="F1101" s="6"/>
      <c r="G1101" s="6">
        <v>330</v>
      </c>
      <c r="H1101" s="6">
        <v>113</v>
      </c>
      <c r="I1101" s="9"/>
      <c r="J1101" s="9"/>
      <c r="K1101" s="7">
        <v>44005294</v>
      </c>
      <c r="L1101" s="6" t="str">
        <f t="shared" si="128"/>
        <v>BR CROWN KOLTUK 4 LÜ SEHPALI 330x113x</v>
      </c>
      <c r="M1101" s="8">
        <v>0.15</v>
      </c>
      <c r="N1101" s="8">
        <v>0.05</v>
      </c>
      <c r="O1101" s="8">
        <v>44269</v>
      </c>
      <c r="P1101" s="8">
        <f t="shared" si="124"/>
        <v>42055.549999999996</v>
      </c>
      <c r="Q1101" s="12">
        <f t="shared" si="125"/>
        <v>88316.654999999999</v>
      </c>
      <c r="R1101" s="31">
        <f t="shared" si="126"/>
        <v>88300</v>
      </c>
      <c r="U1101" s="8">
        <v>21206</v>
      </c>
    </row>
    <row r="1102" spans="1:23" ht="21.95" customHeight="1" x14ac:dyDescent="0.2">
      <c r="A1102" s="5" t="s">
        <v>17</v>
      </c>
      <c r="B1102" s="5" t="s">
        <v>1583</v>
      </c>
      <c r="C1102" s="6" t="s">
        <v>556</v>
      </c>
      <c r="D1102" s="6" t="s">
        <v>2087</v>
      </c>
      <c r="E1102" s="6"/>
      <c r="F1102" s="6"/>
      <c r="G1102" s="6">
        <v>280</v>
      </c>
      <c r="H1102" s="6">
        <v>102</v>
      </c>
      <c r="I1102" s="9"/>
      <c r="J1102" s="9"/>
      <c r="K1102" s="7">
        <v>44005295</v>
      </c>
      <c r="L1102" s="6" t="str">
        <f t="shared" si="128"/>
        <v>BR CROWN 2 PARÇALI KOLTUK 4 LÜ 280x102x</v>
      </c>
      <c r="M1102" s="8">
        <v>0.15</v>
      </c>
      <c r="N1102" s="8">
        <v>0.05</v>
      </c>
      <c r="O1102" s="8">
        <v>35959</v>
      </c>
      <c r="P1102" s="8">
        <f t="shared" si="124"/>
        <v>34161.049999999996</v>
      </c>
      <c r="Q1102" s="12">
        <f t="shared" si="125"/>
        <v>71738.204999999987</v>
      </c>
      <c r="R1102" s="31">
        <f t="shared" si="126"/>
        <v>71700</v>
      </c>
      <c r="U1102" s="8">
        <v>21206</v>
      </c>
    </row>
    <row r="1103" spans="1:23" ht="21.95" customHeight="1" x14ac:dyDescent="0.2">
      <c r="A1103" s="5" t="s">
        <v>17</v>
      </c>
      <c r="B1103" s="5" t="s">
        <v>1583</v>
      </c>
      <c r="C1103" s="6" t="s">
        <v>556</v>
      </c>
      <c r="D1103" s="6" t="s">
        <v>2090</v>
      </c>
      <c r="E1103" s="6"/>
      <c r="F1103" s="6"/>
      <c r="G1103" s="6">
        <v>240</v>
      </c>
      <c r="H1103" s="6">
        <v>102</v>
      </c>
      <c r="I1103" s="9"/>
      <c r="J1103" s="9"/>
      <c r="K1103" s="7">
        <v>44005297</v>
      </c>
      <c r="L1103" s="6" t="str">
        <f t="shared" si="128"/>
        <v>BR CROWN 2 PARÇALI KOLTUK 3 LÜ 240x102x</v>
      </c>
      <c r="M1103" s="8">
        <v>0.15</v>
      </c>
      <c r="N1103" s="8">
        <v>0.05</v>
      </c>
      <c r="O1103" s="8">
        <v>30810</v>
      </c>
      <c r="P1103" s="8">
        <f t="shared" si="124"/>
        <v>29269.5</v>
      </c>
      <c r="Q1103" s="12">
        <f t="shared" si="125"/>
        <v>61465.950000000004</v>
      </c>
      <c r="R1103" s="31">
        <f t="shared" si="126"/>
        <v>61400</v>
      </c>
      <c r="U1103" s="8">
        <v>5507</v>
      </c>
    </row>
    <row r="1104" spans="1:23" ht="21.95" customHeight="1" x14ac:dyDescent="0.2">
      <c r="A1104" s="5" t="s">
        <v>17</v>
      </c>
      <c r="B1104" s="5" t="s">
        <v>1583</v>
      </c>
      <c r="C1104" s="6" t="s">
        <v>556</v>
      </c>
      <c r="D1104" s="6" t="s">
        <v>2091</v>
      </c>
      <c r="E1104" s="6"/>
      <c r="F1104" s="6"/>
      <c r="G1104" s="6">
        <v>240</v>
      </c>
      <c r="H1104" s="6">
        <v>102</v>
      </c>
      <c r="I1104" s="9"/>
      <c r="K1104" s="7">
        <v>44005298</v>
      </c>
      <c r="L1104" s="6" t="str">
        <f t="shared" si="128"/>
        <v>BR CROWN TEK OTURUM 3 LÜ KOLTUK  240x102x</v>
      </c>
      <c r="M1104" s="8">
        <v>0.15</v>
      </c>
      <c r="N1104" s="8">
        <v>0.05</v>
      </c>
      <c r="O1104" s="8">
        <v>29064</v>
      </c>
      <c r="P1104" s="8">
        <f t="shared" si="124"/>
        <v>27610.799999999999</v>
      </c>
      <c r="Q1104" s="12">
        <f t="shared" si="125"/>
        <v>57982.68</v>
      </c>
      <c r="R1104" s="31">
        <f t="shared" si="126"/>
        <v>57900</v>
      </c>
      <c r="U1104" s="8">
        <v>25900</v>
      </c>
    </row>
    <row r="1105" spans="1:21" ht="21.95" customHeight="1" x14ac:dyDescent="0.2">
      <c r="A1105" s="5" t="s">
        <v>17</v>
      </c>
      <c r="B1105" s="5" t="s">
        <v>1583</v>
      </c>
      <c r="C1105" s="6" t="s">
        <v>556</v>
      </c>
      <c r="D1105" s="6" t="s">
        <v>33</v>
      </c>
      <c r="E1105" s="6"/>
      <c r="F1105" s="6"/>
      <c r="G1105" s="6">
        <v>87</v>
      </c>
      <c r="H1105" s="6">
        <v>83</v>
      </c>
      <c r="I1105" s="9"/>
      <c r="J1105" s="9"/>
      <c r="K1105" s="7">
        <v>44005299</v>
      </c>
      <c r="L1105" s="6" t="str">
        <f t="shared" si="128"/>
        <v>BR CROWN BERJER 87x83x</v>
      </c>
      <c r="M1105" s="8">
        <v>0.15</v>
      </c>
      <c r="N1105" s="8">
        <v>0.05</v>
      </c>
      <c r="O1105" s="8">
        <v>11431</v>
      </c>
      <c r="P1105" s="8">
        <f t="shared" si="124"/>
        <v>10859.449999999999</v>
      </c>
      <c r="Q1105" s="12">
        <f t="shared" si="125"/>
        <v>22804.844999999998</v>
      </c>
      <c r="R1105" s="31">
        <f t="shared" si="126"/>
        <v>22800</v>
      </c>
      <c r="U1105" s="8">
        <v>4995</v>
      </c>
    </row>
    <row r="1106" spans="1:21" ht="21.95" customHeight="1" x14ac:dyDescent="0.2">
      <c r="A1106" s="5" t="s">
        <v>17</v>
      </c>
      <c r="B1106" s="5" t="s">
        <v>1583</v>
      </c>
      <c r="C1106" s="6" t="s">
        <v>556</v>
      </c>
      <c r="D1106" s="6" t="s">
        <v>546</v>
      </c>
      <c r="E1106" s="6"/>
      <c r="F1106" s="6"/>
      <c r="G1106" s="6">
        <v>50</v>
      </c>
      <c r="H1106" s="6">
        <v>100</v>
      </c>
      <c r="I1106" s="9"/>
      <c r="J1106" s="9"/>
      <c r="K1106" s="7">
        <v>44005300</v>
      </c>
      <c r="L1106" s="6" t="str">
        <f t="shared" si="128"/>
        <v>BR CROWN ARA SEHPA 50x100x</v>
      </c>
      <c r="M1106" s="8">
        <v>0.15</v>
      </c>
      <c r="N1106" s="8">
        <v>0.05</v>
      </c>
      <c r="O1106" s="8">
        <v>8310</v>
      </c>
      <c r="P1106" s="8">
        <f t="shared" si="124"/>
        <v>7894.5</v>
      </c>
      <c r="Q1106" s="12">
        <f t="shared" si="125"/>
        <v>16578.45</v>
      </c>
      <c r="R1106" s="31">
        <f t="shared" si="126"/>
        <v>16500</v>
      </c>
      <c r="U1106" s="8">
        <v>5064</v>
      </c>
    </row>
    <row r="1107" spans="1:21" ht="21.95" customHeight="1" x14ac:dyDescent="0.2">
      <c r="A1107" s="5" t="s">
        <v>17</v>
      </c>
      <c r="B1107" s="21" t="s">
        <v>1583</v>
      </c>
      <c r="C1107" s="21" t="s">
        <v>559</v>
      </c>
      <c r="D1107" s="21" t="s">
        <v>560</v>
      </c>
      <c r="E1107" s="21"/>
      <c r="F1107" s="21"/>
      <c r="G1107" s="21"/>
      <c r="H1107" s="21"/>
      <c r="I1107" s="22"/>
      <c r="J1107" s="22"/>
      <c r="K1107" s="22">
        <v>44005302</v>
      </c>
      <c r="L1107" s="21" t="str">
        <f t="shared" si="128"/>
        <v>BR KEOPS TEK KOLLU MODÜL 185CM xx</v>
      </c>
      <c r="M1107" s="8">
        <v>0.15</v>
      </c>
      <c r="N1107" s="8">
        <v>0.05</v>
      </c>
      <c r="O1107" s="23">
        <v>19127</v>
      </c>
      <c r="P1107" s="8">
        <f t="shared" si="124"/>
        <v>18170.649999999998</v>
      </c>
      <c r="Q1107" s="12">
        <f t="shared" si="125"/>
        <v>38158.364999999998</v>
      </c>
      <c r="R1107" s="31">
        <f t="shared" si="126"/>
        <v>38100</v>
      </c>
      <c r="U1107" s="8">
        <v>9612</v>
      </c>
    </row>
    <row r="1108" spans="1:21" ht="21.95" customHeight="1" x14ac:dyDescent="0.2">
      <c r="A1108" s="5" t="s">
        <v>17</v>
      </c>
      <c r="B1108" s="21" t="s">
        <v>1583</v>
      </c>
      <c r="C1108" s="21" t="s">
        <v>559</v>
      </c>
      <c r="D1108" s="21" t="s">
        <v>561</v>
      </c>
      <c r="E1108" s="21"/>
      <c r="F1108" s="21"/>
      <c r="G1108" s="21"/>
      <c r="H1108" s="21"/>
      <c r="I1108" s="22"/>
      <c r="J1108" s="22"/>
      <c r="K1108" s="22">
        <v>44005303</v>
      </c>
      <c r="L1108" s="21" t="str">
        <f t="shared" si="128"/>
        <v>BR KEOPS ARA MODÜL KOLSUZ SEHPALI xx</v>
      </c>
      <c r="M1108" s="8">
        <v>0.15</v>
      </c>
      <c r="N1108" s="8">
        <v>0.05</v>
      </c>
      <c r="O1108" s="23">
        <v>19565</v>
      </c>
      <c r="P1108" s="8">
        <f t="shared" si="124"/>
        <v>18586.75</v>
      </c>
      <c r="Q1108" s="12">
        <f t="shared" si="125"/>
        <v>39032.175000000003</v>
      </c>
      <c r="R1108" s="31">
        <f t="shared" si="126"/>
        <v>39000</v>
      </c>
      <c r="U1108" s="8">
        <v>7351</v>
      </c>
    </row>
    <row r="1109" spans="1:21" ht="21.95" customHeight="1" x14ac:dyDescent="0.2">
      <c r="A1109" s="5" t="s">
        <v>17</v>
      </c>
      <c r="B1109" s="5" t="s">
        <v>1583</v>
      </c>
      <c r="C1109" s="6" t="s">
        <v>559</v>
      </c>
      <c r="D1109" s="6" t="s">
        <v>562</v>
      </c>
      <c r="E1109" s="6"/>
      <c r="F1109" s="6"/>
      <c r="G1109" s="6">
        <v>140</v>
      </c>
      <c r="H1109" s="6">
        <v>90</v>
      </c>
      <c r="I1109" s="9"/>
      <c r="J1109" s="9"/>
      <c r="K1109" s="7">
        <v>44005304</v>
      </c>
      <c r="L1109" s="6" t="str">
        <f t="shared" si="128"/>
        <v>BR KEOPS TEK KOLLU MODÜL 140CM 140x90x</v>
      </c>
      <c r="M1109" s="8">
        <v>0.15</v>
      </c>
      <c r="N1109" s="8">
        <v>0.05</v>
      </c>
      <c r="O1109" s="8">
        <v>16139</v>
      </c>
      <c r="P1109" s="8">
        <f t="shared" si="124"/>
        <v>15332.05</v>
      </c>
      <c r="Q1109" s="12">
        <f t="shared" si="125"/>
        <v>32197.305</v>
      </c>
      <c r="R1109" s="31">
        <f t="shared" si="126"/>
        <v>32100</v>
      </c>
      <c r="U1109" s="8">
        <v>15005</v>
      </c>
    </row>
    <row r="1110" spans="1:21" ht="21.95" customHeight="1" x14ac:dyDescent="0.2">
      <c r="A1110" s="5" t="s">
        <v>17</v>
      </c>
      <c r="B1110" s="21" t="s">
        <v>1583</v>
      </c>
      <c r="C1110" s="21" t="s">
        <v>559</v>
      </c>
      <c r="D1110" s="21" t="s">
        <v>560</v>
      </c>
      <c r="E1110" s="21"/>
      <c r="F1110" s="21"/>
      <c r="G1110" s="21"/>
      <c r="H1110" s="21"/>
      <c r="I1110" s="22"/>
      <c r="J1110" s="22"/>
      <c r="K1110" s="22">
        <v>44005305</v>
      </c>
      <c r="L1110" s="21" t="str">
        <f t="shared" si="128"/>
        <v>BR KEOPS TEK KOLLU MODÜL 185CM xx</v>
      </c>
      <c r="M1110" s="8">
        <v>0.15</v>
      </c>
      <c r="N1110" s="8">
        <v>0.05</v>
      </c>
      <c r="O1110" s="23">
        <v>19127</v>
      </c>
      <c r="P1110" s="8">
        <f t="shared" si="124"/>
        <v>18170.649999999998</v>
      </c>
      <c r="Q1110" s="12">
        <f t="shared" si="125"/>
        <v>38158.364999999998</v>
      </c>
      <c r="R1110" s="31">
        <f t="shared" si="126"/>
        <v>38100</v>
      </c>
      <c r="U1110" s="8">
        <v>4154</v>
      </c>
    </row>
    <row r="1111" spans="1:21" ht="21.95" customHeight="1" x14ac:dyDescent="0.2">
      <c r="A1111" s="5" t="s">
        <v>17</v>
      </c>
      <c r="B1111" s="21" t="s">
        <v>1583</v>
      </c>
      <c r="C1111" s="21" t="s">
        <v>559</v>
      </c>
      <c r="D1111" s="21" t="s">
        <v>158</v>
      </c>
      <c r="E1111" s="21"/>
      <c r="F1111" s="21"/>
      <c r="G1111" s="21"/>
      <c r="H1111" s="21"/>
      <c r="I1111" s="22"/>
      <c r="J1111" s="22"/>
      <c r="K1111" s="22">
        <v>44005306</v>
      </c>
      <c r="L1111" s="21" t="str">
        <f t="shared" si="128"/>
        <v>BR KEOPS RELAX MODÜL xx</v>
      </c>
      <c r="M1111" s="8">
        <v>0.15</v>
      </c>
      <c r="N1111" s="8">
        <v>0.05</v>
      </c>
      <c r="O1111" s="23">
        <v>15547</v>
      </c>
      <c r="P1111" s="8">
        <f t="shared" si="124"/>
        <v>14769.65</v>
      </c>
      <c r="Q1111" s="12">
        <f t="shared" si="125"/>
        <v>31016.264999999999</v>
      </c>
      <c r="R1111" s="31">
        <f t="shared" si="126"/>
        <v>31000</v>
      </c>
      <c r="U1111" s="8">
        <v>44895</v>
      </c>
    </row>
    <row r="1112" spans="1:21" ht="21.95" customHeight="1" x14ac:dyDescent="0.2">
      <c r="A1112" s="5" t="s">
        <v>17</v>
      </c>
      <c r="B1112" s="21" t="s">
        <v>1583</v>
      </c>
      <c r="C1112" s="21" t="s">
        <v>559</v>
      </c>
      <c r="D1112" s="21" t="s">
        <v>563</v>
      </c>
      <c r="E1112" s="21"/>
      <c r="F1112" s="21"/>
      <c r="G1112" s="21"/>
      <c r="H1112" s="21"/>
      <c r="I1112" s="22"/>
      <c r="J1112" s="22"/>
      <c r="K1112" s="22">
        <v>44005307</v>
      </c>
      <c r="L1112" s="21" t="str">
        <f t="shared" si="128"/>
        <v>BR KEOPS TEK KOLLU MODÜL SEHPALI xx</v>
      </c>
      <c r="M1112" s="8">
        <v>0.15</v>
      </c>
      <c r="N1112" s="8">
        <v>0.05</v>
      </c>
      <c r="O1112" s="23">
        <v>21097</v>
      </c>
      <c r="P1112" s="8">
        <f t="shared" si="124"/>
        <v>20042.149999999998</v>
      </c>
      <c r="Q1112" s="12">
        <f t="shared" si="125"/>
        <v>42088.514999999999</v>
      </c>
      <c r="R1112" s="31">
        <f t="shared" si="126"/>
        <v>42000</v>
      </c>
      <c r="U1112" s="8">
        <v>48381</v>
      </c>
    </row>
    <row r="1113" spans="1:21" ht="21.95" customHeight="1" x14ac:dyDescent="0.2">
      <c r="A1113" s="5" t="s">
        <v>17</v>
      </c>
      <c r="B1113" s="5" t="s">
        <v>1583</v>
      </c>
      <c r="C1113" s="6" t="s">
        <v>559</v>
      </c>
      <c r="D1113" s="6" t="s">
        <v>564</v>
      </c>
      <c r="E1113" s="6"/>
      <c r="F1113" s="6"/>
      <c r="G1113" s="6">
        <v>135</v>
      </c>
      <c r="H1113" s="6">
        <v>90</v>
      </c>
      <c r="I1113" s="9"/>
      <c r="J1113" s="9"/>
      <c r="K1113" s="7">
        <v>44005308</v>
      </c>
      <c r="L1113" s="6" t="str">
        <f t="shared" si="128"/>
        <v>BR KEOPS ARA MODÜL KOLSUZ 135CM 135x90x</v>
      </c>
      <c r="M1113" s="8">
        <v>0.15</v>
      </c>
      <c r="N1113" s="8">
        <v>0.05</v>
      </c>
      <c r="O1113" s="8">
        <v>15881</v>
      </c>
      <c r="P1113" s="8">
        <f t="shared" si="124"/>
        <v>15086.949999999999</v>
      </c>
      <c r="Q1113" s="12">
        <f t="shared" si="125"/>
        <v>31682.594999999998</v>
      </c>
      <c r="R1113" s="31">
        <f t="shared" si="126"/>
        <v>31600</v>
      </c>
      <c r="U1113" s="8">
        <v>29193</v>
      </c>
    </row>
    <row r="1114" spans="1:21" ht="21.95" customHeight="1" x14ac:dyDescent="0.2">
      <c r="A1114" s="21" t="s">
        <v>17</v>
      </c>
      <c r="B1114" s="21" t="s">
        <v>1583</v>
      </c>
      <c r="C1114" s="21" t="s">
        <v>559</v>
      </c>
      <c r="D1114" s="21" t="s">
        <v>565</v>
      </c>
      <c r="E1114" s="21"/>
      <c r="F1114" s="21"/>
      <c r="G1114" s="21"/>
      <c r="H1114" s="21"/>
      <c r="I1114" s="22"/>
      <c r="J1114" s="22"/>
      <c r="K1114" s="22">
        <v>44005309</v>
      </c>
      <c r="L1114" s="21" t="str">
        <f t="shared" si="128"/>
        <v>BR KEOPS ARA MODÜL KOLSUZ 180CM xx</v>
      </c>
      <c r="M1114" s="23">
        <v>0.15</v>
      </c>
      <c r="N1114" s="23">
        <v>0.05</v>
      </c>
      <c r="O1114" s="23">
        <v>17504</v>
      </c>
      <c r="P1114" s="23">
        <f t="shared" si="124"/>
        <v>16628.8</v>
      </c>
      <c r="Q1114" s="23">
        <f t="shared" si="125"/>
        <v>34920.480000000003</v>
      </c>
      <c r="R1114" s="32">
        <f t="shared" si="126"/>
        <v>34900</v>
      </c>
      <c r="U1114" s="8">
        <v>32186</v>
      </c>
    </row>
    <row r="1115" spans="1:21" ht="21.95" customHeight="1" x14ac:dyDescent="0.2">
      <c r="A1115" s="21" t="s">
        <v>17</v>
      </c>
      <c r="B1115" s="21" t="s">
        <v>1583</v>
      </c>
      <c r="C1115" s="21" t="s">
        <v>559</v>
      </c>
      <c r="D1115" s="21" t="s">
        <v>511</v>
      </c>
      <c r="E1115" s="21"/>
      <c r="F1115" s="21"/>
      <c r="G1115" s="21"/>
      <c r="H1115" s="21"/>
      <c r="I1115" s="22"/>
      <c r="J1115" s="22"/>
      <c r="K1115" s="22">
        <v>44005310</v>
      </c>
      <c r="L1115" s="21" t="str">
        <f t="shared" si="128"/>
        <v>BR KEOPS KIRLENT xx</v>
      </c>
      <c r="M1115" s="23">
        <v>0.15</v>
      </c>
      <c r="N1115" s="23">
        <v>0.05</v>
      </c>
      <c r="O1115" s="23">
        <v>850</v>
      </c>
      <c r="P1115" s="23">
        <f t="shared" si="124"/>
        <v>807.5</v>
      </c>
      <c r="Q1115" s="23">
        <f t="shared" si="125"/>
        <v>1695.75</v>
      </c>
      <c r="R1115" s="32">
        <f t="shared" si="126"/>
        <v>1600</v>
      </c>
      <c r="U1115" s="8">
        <v>14780</v>
      </c>
    </row>
    <row r="1116" spans="1:21" ht="21.95" customHeight="1" x14ac:dyDescent="0.2">
      <c r="A1116" s="21" t="s">
        <v>17</v>
      </c>
      <c r="B1116" s="21" t="s">
        <v>1583</v>
      </c>
      <c r="C1116" s="21" t="s">
        <v>566</v>
      </c>
      <c r="D1116" s="21" t="s">
        <v>567</v>
      </c>
      <c r="E1116" s="21"/>
      <c r="F1116" s="21"/>
      <c r="G1116" s="21">
        <v>280</v>
      </c>
      <c r="H1116" s="21">
        <v>100</v>
      </c>
      <c r="I1116" s="22"/>
      <c r="J1116" s="22"/>
      <c r="K1116" s="22">
        <v>44005312</v>
      </c>
      <c r="L1116" s="21" t="str">
        <f t="shared" si="128"/>
        <v>BR NATURA KANEPE 4 LÜ S MODEL 280x100x</v>
      </c>
      <c r="M1116" s="23">
        <v>0.15</v>
      </c>
      <c r="N1116" s="23">
        <v>0.05</v>
      </c>
      <c r="O1116" s="23">
        <v>36237</v>
      </c>
      <c r="P1116" s="23">
        <f t="shared" si="124"/>
        <v>34425.15</v>
      </c>
      <c r="Q1116" s="23">
        <f t="shared" si="125"/>
        <v>72292.815000000002</v>
      </c>
      <c r="R1116" s="32">
        <f t="shared" si="126"/>
        <v>72200</v>
      </c>
      <c r="U1116" s="8">
        <v>18701</v>
      </c>
    </row>
    <row r="1117" spans="1:21" ht="21.95" customHeight="1" x14ac:dyDescent="0.2">
      <c r="A1117" s="21" t="s">
        <v>17</v>
      </c>
      <c r="B1117" s="21" t="s">
        <v>1583</v>
      </c>
      <c r="C1117" s="21" t="s">
        <v>566</v>
      </c>
      <c r="D1117" s="21" t="s">
        <v>411</v>
      </c>
      <c r="E1117" s="21"/>
      <c r="F1117" s="21"/>
      <c r="G1117" s="21">
        <v>280</v>
      </c>
      <c r="H1117" s="21">
        <v>100</v>
      </c>
      <c r="I1117" s="22"/>
      <c r="J1117" s="22"/>
      <c r="K1117" s="22">
        <v>44005313</v>
      </c>
      <c r="L1117" s="21" t="str">
        <f t="shared" si="128"/>
        <v>BR NATURA KANEPE 4 LÜ 280x100x</v>
      </c>
      <c r="M1117" s="23">
        <v>0.15</v>
      </c>
      <c r="N1117" s="23">
        <v>0.05</v>
      </c>
      <c r="O1117" s="23">
        <v>30442</v>
      </c>
      <c r="P1117" s="23">
        <f t="shared" si="124"/>
        <v>28919.899999999998</v>
      </c>
      <c r="Q1117" s="23">
        <f t="shared" si="125"/>
        <v>60731.79</v>
      </c>
      <c r="R1117" s="32">
        <f t="shared" si="126"/>
        <v>60700</v>
      </c>
      <c r="U1117" s="8">
        <v>21034</v>
      </c>
    </row>
    <row r="1118" spans="1:21" ht="21.95" customHeight="1" x14ac:dyDescent="0.2">
      <c r="A1118" s="21" t="s">
        <v>17</v>
      </c>
      <c r="B1118" s="21" t="s">
        <v>1583</v>
      </c>
      <c r="C1118" s="21" t="s">
        <v>566</v>
      </c>
      <c r="D1118" s="21" t="s">
        <v>412</v>
      </c>
      <c r="E1118" s="21"/>
      <c r="F1118" s="21"/>
      <c r="G1118" s="21">
        <v>235</v>
      </c>
      <c r="H1118" s="21">
        <v>100</v>
      </c>
      <c r="I1118" s="22"/>
      <c r="J1118" s="22"/>
      <c r="K1118" s="22">
        <v>44005314</v>
      </c>
      <c r="L1118" s="21" t="str">
        <f t="shared" si="128"/>
        <v>BR NATURA KANEPE 3 LÜ 235x100x</v>
      </c>
      <c r="M1118" s="23">
        <v>0.15</v>
      </c>
      <c r="N1118" s="23">
        <v>0.05</v>
      </c>
      <c r="O1118" s="23">
        <v>26658</v>
      </c>
      <c r="P1118" s="23">
        <f t="shared" si="124"/>
        <v>25325.1</v>
      </c>
      <c r="Q1118" s="23">
        <f t="shared" si="125"/>
        <v>53182.71</v>
      </c>
      <c r="R1118" s="32">
        <f t="shared" si="126"/>
        <v>53100</v>
      </c>
      <c r="U1118" s="8">
        <v>13678</v>
      </c>
    </row>
    <row r="1119" spans="1:21" ht="21.95" customHeight="1" x14ac:dyDescent="0.2">
      <c r="A1119" s="21" t="s">
        <v>17</v>
      </c>
      <c r="B1119" s="21" t="s">
        <v>1583</v>
      </c>
      <c r="C1119" s="21" t="s">
        <v>566</v>
      </c>
      <c r="D1119" s="21" t="s">
        <v>568</v>
      </c>
      <c r="E1119" s="21"/>
      <c r="F1119" s="21"/>
      <c r="G1119" s="21">
        <v>82</v>
      </c>
      <c r="H1119" s="21">
        <v>96</v>
      </c>
      <c r="I1119" s="22"/>
      <c r="J1119" s="22"/>
      <c r="K1119" s="22">
        <v>44005315</v>
      </c>
      <c r="L1119" s="21" t="str">
        <f t="shared" si="128"/>
        <v>BR NATURA BERJER AHŞAP 82x96x</v>
      </c>
      <c r="M1119" s="23">
        <v>0.15</v>
      </c>
      <c r="N1119" s="23">
        <v>0.05</v>
      </c>
      <c r="O1119" s="23">
        <v>14330</v>
      </c>
      <c r="P1119" s="23">
        <f t="shared" si="124"/>
        <v>13613.5</v>
      </c>
      <c r="Q1119" s="23">
        <f t="shared" si="125"/>
        <v>28588.350000000002</v>
      </c>
      <c r="R1119" s="32">
        <f t="shared" si="126"/>
        <v>28500</v>
      </c>
      <c r="U1119" s="8">
        <v>18308</v>
      </c>
    </row>
    <row r="1120" spans="1:21" ht="21.95" customHeight="1" x14ac:dyDescent="0.2">
      <c r="A1120" s="21" t="s">
        <v>17</v>
      </c>
      <c r="B1120" s="21" t="s">
        <v>1583</v>
      </c>
      <c r="C1120" s="21" t="s">
        <v>566</v>
      </c>
      <c r="D1120" s="21" t="s">
        <v>569</v>
      </c>
      <c r="E1120" s="21"/>
      <c r="F1120" s="21"/>
      <c r="G1120" s="21">
        <v>87</v>
      </c>
      <c r="H1120" s="21">
        <v>90</v>
      </c>
      <c r="I1120" s="22"/>
      <c r="J1120" s="22"/>
      <c r="K1120" s="22">
        <v>44005316</v>
      </c>
      <c r="L1120" s="21" t="str">
        <f t="shared" si="128"/>
        <v>BR NATURA BERJER KAPALI 87x90x</v>
      </c>
      <c r="M1120" s="23">
        <v>0.15</v>
      </c>
      <c r="N1120" s="23">
        <v>0.05</v>
      </c>
      <c r="O1120" s="23">
        <v>10201</v>
      </c>
      <c r="P1120" s="23">
        <f t="shared" si="124"/>
        <v>9690.9499999999989</v>
      </c>
      <c r="Q1120" s="23">
        <f t="shared" si="125"/>
        <v>20350.994999999999</v>
      </c>
      <c r="R1120" s="32">
        <f t="shared" si="126"/>
        <v>20300</v>
      </c>
      <c r="U1120" s="8">
        <v>27615</v>
      </c>
    </row>
    <row r="1121" spans="1:21" ht="21.95" customHeight="1" x14ac:dyDescent="0.2">
      <c r="A1121" s="21" t="s">
        <v>17</v>
      </c>
      <c r="B1121" s="21" t="s">
        <v>1583</v>
      </c>
      <c r="C1121" s="21" t="s">
        <v>566</v>
      </c>
      <c r="D1121" s="21" t="s">
        <v>511</v>
      </c>
      <c r="E1121" s="21"/>
      <c r="F1121" s="21"/>
      <c r="G1121" s="21">
        <v>45</v>
      </c>
      <c r="H1121" s="21">
        <v>45</v>
      </c>
      <c r="I1121" s="22"/>
      <c r="J1121" s="22"/>
      <c r="K1121" s="22">
        <v>44005317</v>
      </c>
      <c r="L1121" s="21" t="str">
        <f t="shared" si="128"/>
        <v>BR NATURA KIRLENT 45x45x</v>
      </c>
      <c r="M1121" s="23">
        <v>0.15</v>
      </c>
      <c r="N1121" s="23">
        <v>0.05</v>
      </c>
      <c r="O1121" s="23">
        <v>900</v>
      </c>
      <c r="P1121" s="23">
        <f t="shared" si="124"/>
        <v>855</v>
      </c>
      <c r="Q1121" s="23">
        <f t="shared" si="125"/>
        <v>1795.5</v>
      </c>
      <c r="R1121" s="32">
        <f t="shared" si="126"/>
        <v>1700</v>
      </c>
      <c r="U1121" s="8">
        <v>12709</v>
      </c>
    </row>
    <row r="1122" spans="1:21" ht="21.95" customHeight="1" x14ac:dyDescent="0.2">
      <c r="A1122" s="21" t="s">
        <v>17</v>
      </c>
      <c r="B1122" s="21" t="s">
        <v>1583</v>
      </c>
      <c r="C1122" s="21" t="s">
        <v>566</v>
      </c>
      <c r="D1122" s="21" t="s">
        <v>513</v>
      </c>
      <c r="E1122" s="21"/>
      <c r="F1122" s="21"/>
      <c r="G1122" s="21"/>
      <c r="H1122" s="21"/>
      <c r="I1122" s="22"/>
      <c r="J1122" s="22"/>
      <c r="K1122" s="22">
        <v>44005318</v>
      </c>
      <c r="L1122" s="21" t="str">
        <f t="shared" si="128"/>
        <v>BR NATURA KÖŞE TAKIMI xx</v>
      </c>
      <c r="M1122" s="23">
        <v>0.15</v>
      </c>
      <c r="N1122" s="23">
        <v>0.05</v>
      </c>
      <c r="O1122" s="23">
        <v>90999</v>
      </c>
      <c r="P1122" s="23">
        <f t="shared" si="124"/>
        <v>86449.05</v>
      </c>
      <c r="Q1122" s="23">
        <f t="shared" si="125"/>
        <v>181543.005</v>
      </c>
      <c r="R1122" s="32">
        <f t="shared" si="126"/>
        <v>181500</v>
      </c>
      <c r="U1122" s="8">
        <v>17351</v>
      </c>
    </row>
    <row r="1123" spans="1:21" ht="21.95" customHeight="1" x14ac:dyDescent="0.2">
      <c r="A1123" s="21" t="s">
        <v>17</v>
      </c>
      <c r="B1123" s="21" t="s">
        <v>1583</v>
      </c>
      <c r="C1123" s="21" t="s">
        <v>566</v>
      </c>
      <c r="D1123" s="21" t="s">
        <v>570</v>
      </c>
      <c r="E1123" s="21"/>
      <c r="F1123" s="21"/>
      <c r="G1123" s="21">
        <v>250</v>
      </c>
      <c r="H1123" s="21">
        <v>100</v>
      </c>
      <c r="I1123" s="22"/>
      <c r="J1123" s="22"/>
      <c r="K1123" s="22">
        <v>44005319</v>
      </c>
      <c r="L1123" s="21" t="str">
        <f t="shared" si="128"/>
        <v>BR NATURA TEK KOLLU MODÜL  MOBİLYALI 250x100x</v>
      </c>
      <c r="M1123" s="23">
        <v>0.15</v>
      </c>
      <c r="N1123" s="23">
        <v>0.05</v>
      </c>
      <c r="O1123" s="23">
        <v>32091</v>
      </c>
      <c r="P1123" s="23">
        <f t="shared" si="124"/>
        <v>30486.449999999997</v>
      </c>
      <c r="Q1123" s="23">
        <f t="shared" si="125"/>
        <v>64021.544999999998</v>
      </c>
      <c r="R1123" s="32">
        <f t="shared" si="126"/>
        <v>64000</v>
      </c>
      <c r="U1123" s="8">
        <v>16093</v>
      </c>
    </row>
    <row r="1124" spans="1:21" ht="21.95" customHeight="1" x14ac:dyDescent="0.2">
      <c r="A1124" s="21" t="s">
        <v>17</v>
      </c>
      <c r="B1124" s="21" t="s">
        <v>1583</v>
      </c>
      <c r="C1124" s="21" t="s">
        <v>566</v>
      </c>
      <c r="D1124" s="21" t="s">
        <v>571</v>
      </c>
      <c r="E1124" s="21"/>
      <c r="F1124" s="21"/>
      <c r="G1124" s="21">
        <v>135</v>
      </c>
      <c r="H1124" s="21">
        <v>135</v>
      </c>
      <c r="I1124" s="22"/>
      <c r="J1124" s="22"/>
      <c r="K1124" s="22">
        <v>44005320</v>
      </c>
      <c r="L1124" s="21" t="str">
        <f t="shared" si="128"/>
        <v>BR NATURA KÖŞE MODÜL LONG (UZUN) 135x135x</v>
      </c>
      <c r="M1124" s="23">
        <v>0.15</v>
      </c>
      <c r="N1124" s="23">
        <v>0.05</v>
      </c>
      <c r="O1124" s="23">
        <v>23881</v>
      </c>
      <c r="P1124" s="23">
        <f t="shared" si="124"/>
        <v>22686.95</v>
      </c>
      <c r="Q1124" s="23">
        <f t="shared" si="125"/>
        <v>47642.595000000001</v>
      </c>
      <c r="R1124" s="32">
        <f t="shared" si="126"/>
        <v>47600</v>
      </c>
      <c r="U1124" s="8">
        <v>8663</v>
      </c>
    </row>
    <row r="1125" spans="1:21" ht="21.95" customHeight="1" x14ac:dyDescent="0.2">
      <c r="A1125" s="21" t="s">
        <v>17</v>
      </c>
      <c r="B1125" s="21" t="s">
        <v>1583</v>
      </c>
      <c r="C1125" s="21" t="s">
        <v>566</v>
      </c>
      <c r="D1125" s="21" t="s">
        <v>572</v>
      </c>
      <c r="E1125" s="21"/>
      <c r="F1125" s="21"/>
      <c r="G1125" s="21">
        <v>80</v>
      </c>
      <c r="H1125" s="21">
        <v>100</v>
      </c>
      <c r="I1125" s="22"/>
      <c r="J1125" s="22"/>
      <c r="K1125" s="22">
        <v>44005321</v>
      </c>
      <c r="L1125" s="21" t="str">
        <f t="shared" si="128"/>
        <v>BR NATURA ARA MODÜL  80x100x</v>
      </c>
      <c r="M1125" s="23">
        <v>0.15</v>
      </c>
      <c r="N1125" s="23">
        <v>0.05</v>
      </c>
      <c r="O1125" s="23">
        <v>13718</v>
      </c>
      <c r="P1125" s="23">
        <f t="shared" si="124"/>
        <v>13032.099999999999</v>
      </c>
      <c r="Q1125" s="23">
        <f t="shared" si="125"/>
        <v>27367.41</v>
      </c>
      <c r="R1125" s="32">
        <f t="shared" si="126"/>
        <v>27300</v>
      </c>
      <c r="U1125" s="8">
        <v>7351</v>
      </c>
    </row>
    <row r="1126" spans="1:21" ht="21.95" customHeight="1" x14ac:dyDescent="0.2">
      <c r="A1126" s="21" t="s">
        <v>17</v>
      </c>
      <c r="B1126" s="21" t="s">
        <v>1583</v>
      </c>
      <c r="C1126" s="21" t="s">
        <v>566</v>
      </c>
      <c r="D1126" s="21" t="s">
        <v>573</v>
      </c>
      <c r="E1126" s="21"/>
      <c r="F1126" s="21"/>
      <c r="G1126" s="21">
        <v>200</v>
      </c>
      <c r="H1126" s="21">
        <v>100</v>
      </c>
      <c r="I1126" s="22"/>
      <c r="J1126" s="22"/>
      <c r="K1126" s="22">
        <v>44005322</v>
      </c>
      <c r="L1126" s="21" t="str">
        <f t="shared" ref="L1126:L1140" si="129">B1126&amp;" "&amp;C1126&amp;" "&amp;D1126&amp;" "&amp;G1126&amp;"x"&amp;H1126&amp;"x"&amp;I1126</f>
        <v>BR NATURA TEK KOLLU KANEPE MODÜL 200x100x</v>
      </c>
      <c r="M1126" s="23">
        <v>0.15</v>
      </c>
      <c r="N1126" s="23">
        <v>0.05</v>
      </c>
      <c r="O1126" s="23">
        <v>21309</v>
      </c>
      <c r="P1126" s="23">
        <f t="shared" si="124"/>
        <v>20243.55</v>
      </c>
      <c r="Q1126" s="23">
        <f t="shared" si="125"/>
        <v>42511.455000000002</v>
      </c>
      <c r="R1126" s="32">
        <f t="shared" si="126"/>
        <v>42500</v>
      </c>
    </row>
    <row r="1127" spans="1:21" ht="21.95" customHeight="1" x14ac:dyDescent="0.2">
      <c r="A1127" s="21" t="s">
        <v>17</v>
      </c>
      <c r="B1127" s="21" t="s">
        <v>1583</v>
      </c>
      <c r="C1127" s="21" t="s">
        <v>566</v>
      </c>
      <c r="D1127" s="21" t="s">
        <v>574</v>
      </c>
      <c r="E1127" s="21"/>
      <c r="F1127" s="21"/>
      <c r="G1127" s="21">
        <v>150</v>
      </c>
      <c r="H1127" s="21">
        <v>100</v>
      </c>
      <c r="I1127" s="22"/>
      <c r="J1127" s="22"/>
      <c r="K1127" s="22">
        <v>44005323</v>
      </c>
      <c r="L1127" s="21" t="str">
        <f t="shared" si="129"/>
        <v>BR NATURA KOLSUZ KANEPE MODÜL 150x100x</v>
      </c>
      <c r="M1127" s="23">
        <v>0.15</v>
      </c>
      <c r="N1127" s="23">
        <v>0.05</v>
      </c>
      <c r="O1127" s="23">
        <v>18596</v>
      </c>
      <c r="P1127" s="23">
        <f t="shared" si="124"/>
        <v>17666.2</v>
      </c>
      <c r="Q1127" s="23">
        <f t="shared" si="125"/>
        <v>37099.020000000004</v>
      </c>
      <c r="R1127" s="32">
        <f t="shared" si="126"/>
        <v>37000</v>
      </c>
      <c r="U1127" s="8">
        <v>45887</v>
      </c>
    </row>
    <row r="1128" spans="1:21" ht="21.95" customHeight="1" x14ac:dyDescent="0.2">
      <c r="A1128" s="21" t="s">
        <v>17</v>
      </c>
      <c r="B1128" s="21" t="s">
        <v>1583</v>
      </c>
      <c r="C1128" s="21" t="s">
        <v>566</v>
      </c>
      <c r="D1128" s="21" t="s">
        <v>459</v>
      </c>
      <c r="E1128" s="21"/>
      <c r="F1128" s="21"/>
      <c r="G1128" s="21">
        <v>105</v>
      </c>
      <c r="H1128" s="21">
        <v>105</v>
      </c>
      <c r="I1128" s="22"/>
      <c r="J1128" s="22"/>
      <c r="K1128" s="22">
        <v>44005324</v>
      </c>
      <c r="L1128" s="21" t="str">
        <f t="shared" si="129"/>
        <v>BR NATURA KÖŞE MODÜL KÜÇÜK 105x105x</v>
      </c>
      <c r="M1128" s="23">
        <v>0.15</v>
      </c>
      <c r="N1128" s="23">
        <v>0.05</v>
      </c>
      <c r="O1128" s="23">
        <v>17754</v>
      </c>
      <c r="P1128" s="23">
        <f t="shared" si="124"/>
        <v>16866.3</v>
      </c>
      <c r="Q1128" s="23">
        <f t="shared" si="125"/>
        <v>35419.230000000003</v>
      </c>
      <c r="R1128" s="32">
        <f t="shared" si="126"/>
        <v>35400</v>
      </c>
      <c r="U1128" s="8">
        <v>50104</v>
      </c>
    </row>
    <row r="1129" spans="1:21" ht="21.95" customHeight="1" x14ac:dyDescent="0.2">
      <c r="A1129" s="21" t="s">
        <v>17</v>
      </c>
      <c r="B1129" s="21" t="s">
        <v>1583</v>
      </c>
      <c r="C1129" s="21" t="s">
        <v>566</v>
      </c>
      <c r="D1129" s="21" t="s">
        <v>572</v>
      </c>
      <c r="E1129" s="21"/>
      <c r="F1129" s="21"/>
      <c r="G1129" s="21">
        <v>100</v>
      </c>
      <c r="H1129" s="21">
        <v>100</v>
      </c>
      <c r="I1129" s="22"/>
      <c r="J1129" s="22"/>
      <c r="K1129" s="22">
        <v>44005325</v>
      </c>
      <c r="L1129" s="21" t="str">
        <f t="shared" si="129"/>
        <v>BR NATURA ARA MODÜL  100x100x</v>
      </c>
      <c r="M1129" s="23">
        <v>0.15</v>
      </c>
      <c r="N1129" s="23">
        <v>0.05</v>
      </c>
      <c r="O1129" s="23">
        <v>15198</v>
      </c>
      <c r="P1129" s="23">
        <f t="shared" si="124"/>
        <v>14438.099999999999</v>
      </c>
      <c r="Q1129" s="23">
        <f t="shared" si="125"/>
        <v>30320.01</v>
      </c>
      <c r="R1129" s="32">
        <f t="shared" si="126"/>
        <v>30300</v>
      </c>
      <c r="U1129" s="8">
        <v>30442</v>
      </c>
    </row>
    <row r="1130" spans="1:21" ht="21.95" customHeight="1" x14ac:dyDescent="0.2">
      <c r="A1130" s="21" t="s">
        <v>17</v>
      </c>
      <c r="B1130" s="21" t="s">
        <v>1583</v>
      </c>
      <c r="C1130" s="21" t="s">
        <v>566</v>
      </c>
      <c r="D1130" s="21" t="s">
        <v>575</v>
      </c>
      <c r="E1130" s="21"/>
      <c r="F1130" s="21"/>
      <c r="G1130" s="21">
        <v>105</v>
      </c>
      <c r="H1130" s="21">
        <v>100</v>
      </c>
      <c r="I1130" s="22"/>
      <c r="J1130" s="22"/>
      <c r="K1130" s="22">
        <v>44005326</v>
      </c>
      <c r="L1130" s="21" t="str">
        <f t="shared" si="129"/>
        <v>BR NATURA KOLLU MODÜL TEK OTURUM 105x100x</v>
      </c>
      <c r="M1130" s="23">
        <v>0.15</v>
      </c>
      <c r="N1130" s="23">
        <v>0.05</v>
      </c>
      <c r="O1130" s="23">
        <v>15959</v>
      </c>
      <c r="P1130" s="23">
        <f t="shared" si="124"/>
        <v>15161.05</v>
      </c>
      <c r="Q1130" s="23">
        <f t="shared" si="125"/>
        <v>31838.204999999998</v>
      </c>
      <c r="R1130" s="32">
        <f t="shared" si="126"/>
        <v>31800</v>
      </c>
      <c r="U1130" s="8">
        <v>32550</v>
      </c>
    </row>
    <row r="1131" spans="1:21" ht="21.95" customHeight="1" x14ac:dyDescent="0.2">
      <c r="A1131" s="5" t="s">
        <v>17</v>
      </c>
      <c r="B1131" s="6" t="s">
        <v>2077</v>
      </c>
      <c r="C1131" s="6" t="s">
        <v>576</v>
      </c>
      <c r="D1131" s="6" t="s">
        <v>577</v>
      </c>
      <c r="E1131" s="6"/>
      <c r="F1131" s="6"/>
      <c r="G1131" s="6"/>
      <c r="H1131" s="6"/>
      <c r="I1131" s="9"/>
      <c r="J1131" s="9"/>
      <c r="K1131" s="7">
        <v>44005327</v>
      </c>
      <c r="L1131" s="6" t="str">
        <f t="shared" si="129"/>
        <v>BR  OPSİYON BERJER HELİX xx</v>
      </c>
      <c r="M1131" s="8">
        <v>0.15</v>
      </c>
      <c r="N1131" s="8">
        <v>0.05</v>
      </c>
      <c r="O1131" s="12">
        <v>10879</v>
      </c>
      <c r="P1131" s="8">
        <f t="shared" si="124"/>
        <v>10335.049999999999</v>
      </c>
      <c r="Q1131" s="12">
        <f t="shared" si="125"/>
        <v>21703.605</v>
      </c>
      <c r="R1131" s="31">
        <f t="shared" si="126"/>
        <v>21700</v>
      </c>
      <c r="U1131" s="8">
        <v>16297</v>
      </c>
    </row>
    <row r="1132" spans="1:21" ht="21.95" customHeight="1" x14ac:dyDescent="0.2">
      <c r="A1132" s="5" t="s">
        <v>17</v>
      </c>
      <c r="B1132" s="6" t="s">
        <v>2077</v>
      </c>
      <c r="C1132" s="6" t="s">
        <v>576</v>
      </c>
      <c r="D1132" s="6" t="s">
        <v>527</v>
      </c>
      <c r="E1132" s="6"/>
      <c r="F1132" s="6"/>
      <c r="G1132" s="6"/>
      <c r="H1132" s="6"/>
      <c r="I1132" s="9"/>
      <c r="J1132" s="9"/>
      <c r="K1132" s="7">
        <v>44005328</v>
      </c>
      <c r="L1132" s="6" t="str">
        <f t="shared" si="129"/>
        <v>BR  OPSİYON BERJER VEGA xx</v>
      </c>
      <c r="M1132" s="8">
        <v>0.15</v>
      </c>
      <c r="N1132" s="8">
        <v>0.05</v>
      </c>
      <c r="O1132" s="12">
        <v>11431</v>
      </c>
      <c r="P1132" s="8">
        <f t="shared" si="124"/>
        <v>10859.449999999999</v>
      </c>
      <c r="Q1132" s="12">
        <f t="shared" si="125"/>
        <v>22804.844999999998</v>
      </c>
      <c r="R1132" s="31">
        <f t="shared" si="126"/>
        <v>22800</v>
      </c>
      <c r="U1132" s="8">
        <v>18702</v>
      </c>
    </row>
    <row r="1133" spans="1:21" ht="21.95" customHeight="1" x14ac:dyDescent="0.2">
      <c r="A1133" s="5" t="s">
        <v>17</v>
      </c>
      <c r="B1133" s="6" t="s">
        <v>2077</v>
      </c>
      <c r="C1133" s="6" t="s">
        <v>576</v>
      </c>
      <c r="D1133" s="6" t="s">
        <v>578</v>
      </c>
      <c r="E1133" s="6"/>
      <c r="F1133" s="6"/>
      <c r="G1133" s="6"/>
      <c r="H1133" s="6"/>
      <c r="I1133" s="9"/>
      <c r="J1133" s="9"/>
      <c r="K1133" s="7">
        <v>44005329</v>
      </c>
      <c r="L1133" s="6" t="str">
        <f t="shared" si="129"/>
        <v>BR  OPSİYON BERJER ASTOR DÖNER xx</v>
      </c>
      <c r="M1133" s="8">
        <v>0.15</v>
      </c>
      <c r="N1133" s="8">
        <v>0.05</v>
      </c>
      <c r="O1133" s="12">
        <v>13394</v>
      </c>
      <c r="P1133" s="8">
        <f t="shared" si="124"/>
        <v>12724.3</v>
      </c>
      <c r="Q1133" s="12">
        <f t="shared" si="125"/>
        <v>26721.03</v>
      </c>
      <c r="R1133" s="31">
        <f t="shared" si="126"/>
        <v>26700</v>
      </c>
      <c r="U1133" s="8">
        <v>21352</v>
      </c>
    </row>
    <row r="1134" spans="1:21" ht="21.95" customHeight="1" x14ac:dyDescent="0.2">
      <c r="A1134" s="5" t="s">
        <v>17</v>
      </c>
      <c r="B1134" s="6" t="s">
        <v>2077</v>
      </c>
      <c r="C1134" s="6" t="s">
        <v>576</v>
      </c>
      <c r="D1134" s="6" t="s">
        <v>579</v>
      </c>
      <c r="E1134" s="6"/>
      <c r="F1134" s="6"/>
      <c r="G1134" s="6"/>
      <c r="H1134" s="6"/>
      <c r="I1134" s="9"/>
      <c r="J1134" s="9"/>
      <c r="K1134" s="7">
        <v>44005330</v>
      </c>
      <c r="L1134" s="6" t="str">
        <f t="shared" si="129"/>
        <v>BR  OPSİYON BERJER ÜSKÜP DÖNER xx</v>
      </c>
      <c r="M1134" s="8">
        <v>0.15</v>
      </c>
      <c r="N1134" s="8">
        <v>0.05</v>
      </c>
      <c r="O1134" s="12">
        <v>11077</v>
      </c>
      <c r="P1134" s="8">
        <f t="shared" ref="P1134:P1196" si="130">O1134*(1-N1134)</f>
        <v>10523.15</v>
      </c>
      <c r="Q1134" s="12">
        <f t="shared" ref="Q1134:Q1196" si="131">O1134*(1-N1134)*2.1</f>
        <v>22098.615000000002</v>
      </c>
      <c r="R1134" s="31">
        <f t="shared" ref="R1134:R1196" si="132">ROUNDDOWN(Q1134,-2)</f>
        <v>22000</v>
      </c>
      <c r="U1134" s="8">
        <v>14741</v>
      </c>
    </row>
    <row r="1135" spans="1:21" ht="21.95" customHeight="1" x14ac:dyDescent="0.2">
      <c r="A1135" s="5" t="s">
        <v>17</v>
      </c>
      <c r="B1135" s="6" t="s">
        <v>2077</v>
      </c>
      <c r="C1135" s="6" t="s">
        <v>576</v>
      </c>
      <c r="D1135" s="6" t="s">
        <v>529</v>
      </c>
      <c r="E1135" s="6"/>
      <c r="G1135" s="6"/>
      <c r="H1135" s="6"/>
      <c r="I1135" s="9"/>
      <c r="J1135" s="9"/>
      <c r="K1135" s="7">
        <v>44005331</v>
      </c>
      <c r="L1135" s="6" t="str">
        <f t="shared" si="129"/>
        <v>BR  OPSİYON BERJER DEAR xx</v>
      </c>
      <c r="M1135" s="8">
        <v>0.15</v>
      </c>
      <c r="N1135" s="8">
        <v>0.05</v>
      </c>
      <c r="O1135" s="12">
        <v>9486</v>
      </c>
      <c r="P1135" s="8">
        <f t="shared" si="130"/>
        <v>9011.6999999999989</v>
      </c>
      <c r="Q1135" s="12">
        <f t="shared" si="131"/>
        <v>18924.57</v>
      </c>
      <c r="R1135" s="31">
        <f t="shared" si="132"/>
        <v>18900</v>
      </c>
      <c r="U1135" s="8">
        <v>19590</v>
      </c>
    </row>
    <row r="1136" spans="1:21" ht="21.95" customHeight="1" x14ac:dyDescent="0.2">
      <c r="A1136" s="5" t="s">
        <v>17</v>
      </c>
      <c r="B1136" s="6" t="s">
        <v>2077</v>
      </c>
      <c r="C1136" s="6" t="s">
        <v>576</v>
      </c>
      <c r="D1136" s="6" t="s">
        <v>580</v>
      </c>
      <c r="E1136" s="6"/>
      <c r="F1136" s="6"/>
      <c r="G1136" s="6"/>
      <c r="H1136" s="6"/>
      <c r="I1136" s="9"/>
      <c r="J1136" s="9"/>
      <c r="K1136" s="7">
        <v>44005332</v>
      </c>
      <c r="L1136" s="6" t="str">
        <f t="shared" si="129"/>
        <v>BR  OPSİYON BERJER TOG xx</v>
      </c>
      <c r="M1136" s="8">
        <v>0.15</v>
      </c>
      <c r="N1136" s="8">
        <v>0.05</v>
      </c>
      <c r="O1136" s="12">
        <v>11020</v>
      </c>
      <c r="P1136" s="8">
        <f t="shared" si="130"/>
        <v>10469</v>
      </c>
      <c r="Q1136" s="12">
        <f t="shared" si="131"/>
        <v>21984.9</v>
      </c>
      <c r="R1136" s="31">
        <f t="shared" si="132"/>
        <v>21900</v>
      </c>
      <c r="U1136" s="8">
        <v>29271</v>
      </c>
    </row>
    <row r="1137" spans="1:21" ht="21.95" customHeight="1" x14ac:dyDescent="0.2">
      <c r="A1137" s="5" t="s">
        <v>17</v>
      </c>
      <c r="B1137" s="6" t="s">
        <v>2077</v>
      </c>
      <c r="C1137" s="6" t="s">
        <v>576</v>
      </c>
      <c r="D1137" s="6" t="s">
        <v>581</v>
      </c>
      <c r="E1137" s="6"/>
      <c r="F1137" s="6"/>
      <c r="G1137" s="6"/>
      <c r="H1137" s="6"/>
      <c r="I1137" s="9"/>
      <c r="J1137" s="9"/>
      <c r="K1137" s="7">
        <v>44005333</v>
      </c>
      <c r="L1137" s="6" t="str">
        <f t="shared" si="129"/>
        <v>BR  OPSİYON BERJER FABİO xx</v>
      </c>
      <c r="M1137" s="8">
        <v>0.15</v>
      </c>
      <c r="N1137" s="8">
        <v>0.05</v>
      </c>
      <c r="O1137" s="12">
        <v>12852</v>
      </c>
      <c r="P1137" s="8">
        <f t="shared" si="130"/>
        <v>12209.4</v>
      </c>
      <c r="Q1137" s="12">
        <f t="shared" si="131"/>
        <v>25639.74</v>
      </c>
      <c r="R1137" s="31">
        <f t="shared" si="132"/>
        <v>25600</v>
      </c>
      <c r="U1137" s="8">
        <v>13338</v>
      </c>
    </row>
    <row r="1138" spans="1:21" ht="21.95" customHeight="1" x14ac:dyDescent="0.2">
      <c r="A1138" s="5" t="s">
        <v>17</v>
      </c>
      <c r="B1138" s="6" t="s">
        <v>2077</v>
      </c>
      <c r="C1138" s="6" t="s">
        <v>576</v>
      </c>
      <c r="D1138" s="6" t="s">
        <v>582</v>
      </c>
      <c r="E1138" s="6"/>
      <c r="F1138"/>
      <c r="G1138" s="26"/>
      <c r="H1138" s="26"/>
      <c r="I1138" s="27"/>
      <c r="J1138" s="10"/>
      <c r="K1138" s="7">
        <v>44005334</v>
      </c>
      <c r="L1138" s="6" t="str">
        <f t="shared" si="129"/>
        <v>BR  OPSİYON BERJER BRW AHŞAP 101 xx</v>
      </c>
      <c r="M1138" s="8">
        <v>0.15</v>
      </c>
      <c r="N1138" s="8">
        <v>0.05</v>
      </c>
      <c r="O1138" s="12">
        <v>16262</v>
      </c>
      <c r="P1138" s="8">
        <f t="shared" si="130"/>
        <v>15448.9</v>
      </c>
      <c r="Q1138" s="12">
        <f t="shared" si="131"/>
        <v>32442.690000000002</v>
      </c>
      <c r="R1138" s="31">
        <f t="shared" si="132"/>
        <v>32400</v>
      </c>
      <c r="U1138" s="8">
        <v>17681</v>
      </c>
    </row>
    <row r="1139" spans="1:21" ht="21.95" customHeight="1" x14ac:dyDescent="0.2">
      <c r="A1139" s="5" t="s">
        <v>17</v>
      </c>
      <c r="B1139" s="6" t="s">
        <v>2077</v>
      </c>
      <c r="C1139" s="6" t="s">
        <v>576</v>
      </c>
      <c r="D1139" s="6" t="s">
        <v>583</v>
      </c>
      <c r="E1139" s="6"/>
      <c r="F1139"/>
      <c r="G1139" s="26"/>
      <c r="H1139" s="26"/>
      <c r="I1139" s="27"/>
      <c r="J1139" s="10"/>
      <c r="K1139" s="7">
        <v>44005335</v>
      </c>
      <c r="L1139" s="6" t="str">
        <f t="shared" si="129"/>
        <v>BR  OPSİYON BERJER BRW AHŞAP 102 xx</v>
      </c>
      <c r="M1139" s="8">
        <v>0.15</v>
      </c>
      <c r="N1139" s="8">
        <v>0.05</v>
      </c>
      <c r="O1139" s="12">
        <v>16253</v>
      </c>
      <c r="P1139" s="8">
        <f t="shared" si="130"/>
        <v>15440.349999999999</v>
      </c>
      <c r="Q1139" s="12">
        <f t="shared" si="131"/>
        <v>32424.734999999997</v>
      </c>
      <c r="R1139" s="31">
        <f t="shared" si="132"/>
        <v>32400</v>
      </c>
      <c r="U1139" s="8">
        <v>16275</v>
      </c>
    </row>
    <row r="1140" spans="1:21" ht="21.95" customHeight="1" x14ac:dyDescent="0.2">
      <c r="A1140" s="5" t="s">
        <v>17</v>
      </c>
      <c r="B1140" s="6" t="s">
        <v>2077</v>
      </c>
      <c r="C1140" s="6" t="s">
        <v>576</v>
      </c>
      <c r="D1140" s="6" t="s">
        <v>584</v>
      </c>
      <c r="E1140" s="6"/>
      <c r="F1140"/>
      <c r="G1140" s="26"/>
      <c r="H1140" s="26"/>
      <c r="I1140" s="27"/>
      <c r="J1140" s="10"/>
      <c r="K1140" s="7">
        <v>44005336</v>
      </c>
      <c r="L1140" s="6" t="str">
        <f t="shared" si="129"/>
        <v>BR  OPSİYON BERJER HAMİLTON xx</v>
      </c>
      <c r="M1140" s="8">
        <v>0.15</v>
      </c>
      <c r="N1140" s="8">
        <v>0.05</v>
      </c>
      <c r="O1140" s="12">
        <v>10275</v>
      </c>
      <c r="P1140" s="8">
        <f t="shared" si="130"/>
        <v>9761.25</v>
      </c>
      <c r="Q1140" s="12">
        <f t="shared" si="131"/>
        <v>20498.625</v>
      </c>
      <c r="R1140" s="31">
        <f t="shared" si="132"/>
        <v>20400</v>
      </c>
      <c r="U1140" s="8">
        <v>9113</v>
      </c>
    </row>
    <row r="1141" spans="1:21" ht="21.95" customHeight="1" x14ac:dyDescent="0.2">
      <c r="A1141" s="5" t="s">
        <v>17</v>
      </c>
      <c r="B1141" t="s">
        <v>1582</v>
      </c>
      <c r="C1141" t="s">
        <v>585</v>
      </c>
      <c r="D1141" t="s">
        <v>49</v>
      </c>
      <c r="E1141"/>
      <c r="F1141"/>
      <c r="G1141"/>
      <c r="H1141"/>
      <c r="I1141" s="10"/>
      <c r="J1141" s="10"/>
      <c r="K1141" s="7">
        <v>44005337</v>
      </c>
      <c r="L1141" s="5" t="str">
        <f t="shared" ref="L1141:L1172" si="133">B1141&amp;" "&amp;C1141&amp;" "&amp;D1141</f>
        <v>AR MONGE KONSOL</v>
      </c>
      <c r="M1141" s="8">
        <v>0.15</v>
      </c>
      <c r="N1141" s="8">
        <v>0.1</v>
      </c>
      <c r="O1141" s="8">
        <v>33905</v>
      </c>
      <c r="P1141" s="8">
        <f t="shared" si="130"/>
        <v>30514.5</v>
      </c>
      <c r="Q1141" s="12">
        <f t="shared" si="131"/>
        <v>64080.450000000004</v>
      </c>
      <c r="R1141" s="31">
        <f t="shared" si="132"/>
        <v>64000</v>
      </c>
      <c r="U1141" s="8">
        <v>7351</v>
      </c>
    </row>
    <row r="1142" spans="1:21" ht="21.95" customHeight="1" x14ac:dyDescent="0.2">
      <c r="A1142" s="5" t="s">
        <v>17</v>
      </c>
      <c r="B1142" t="s">
        <v>1582</v>
      </c>
      <c r="C1142" t="s">
        <v>585</v>
      </c>
      <c r="D1142" t="s">
        <v>586</v>
      </c>
      <c r="E1142"/>
      <c r="F1142"/>
      <c r="G1142"/>
      <c r="H1142"/>
      <c r="I1142" s="10"/>
      <c r="J1142" s="10"/>
      <c r="K1142" s="7">
        <v>44005338</v>
      </c>
      <c r="L1142" s="5" t="str">
        <f t="shared" si="133"/>
        <v>AR MONGE MASA 220CM</v>
      </c>
      <c r="M1142" s="8">
        <v>0.15</v>
      </c>
      <c r="N1142" s="8">
        <v>0.1</v>
      </c>
      <c r="O1142" s="8">
        <v>29855</v>
      </c>
      <c r="P1142" s="8">
        <f t="shared" si="130"/>
        <v>26869.5</v>
      </c>
      <c r="Q1142" s="12">
        <f t="shared" si="131"/>
        <v>56425.950000000004</v>
      </c>
      <c r="R1142" s="31">
        <f t="shared" si="132"/>
        <v>56400</v>
      </c>
    </row>
    <row r="1143" spans="1:21" ht="21.95" customHeight="1" x14ac:dyDescent="0.2">
      <c r="A1143" s="5" t="s">
        <v>17</v>
      </c>
      <c r="B1143" t="s">
        <v>1582</v>
      </c>
      <c r="C1143" t="s">
        <v>585</v>
      </c>
      <c r="D1143" t="s">
        <v>24</v>
      </c>
      <c r="E1143"/>
      <c r="F1143"/>
      <c r="G1143"/>
      <c r="H1143"/>
      <c r="I1143" s="10"/>
      <c r="J1143" s="10"/>
      <c r="K1143" s="7">
        <v>44005339</v>
      </c>
      <c r="L1143" s="5" t="str">
        <f t="shared" si="133"/>
        <v>AR MONGE MASA 240CM</v>
      </c>
      <c r="M1143" s="8">
        <v>0.15</v>
      </c>
      <c r="N1143" s="8">
        <v>0.1</v>
      </c>
      <c r="O1143" s="8">
        <v>44356</v>
      </c>
      <c r="P1143" s="8">
        <f t="shared" si="130"/>
        <v>39920.400000000001</v>
      </c>
      <c r="Q1143" s="12">
        <f t="shared" si="131"/>
        <v>83832.840000000011</v>
      </c>
      <c r="R1143" s="31">
        <f t="shared" si="132"/>
        <v>83800</v>
      </c>
      <c r="U1143" s="8">
        <v>30338</v>
      </c>
    </row>
    <row r="1144" spans="1:21" ht="21.95" customHeight="1" x14ac:dyDescent="0.2">
      <c r="A1144" s="5" t="s">
        <v>17</v>
      </c>
      <c r="B1144" t="s">
        <v>1582</v>
      </c>
      <c r="C1144" t="s">
        <v>585</v>
      </c>
      <c r="D1144" t="s">
        <v>587</v>
      </c>
      <c r="E1144"/>
      <c r="F1144"/>
      <c r="G1144"/>
      <c r="H1144"/>
      <c r="I1144" s="10"/>
      <c r="J1144" s="10"/>
      <c r="K1144" s="7">
        <v>44005340</v>
      </c>
      <c r="L1144" s="5" t="str">
        <f t="shared" si="133"/>
        <v>AR MONGE MASA 180CM</v>
      </c>
      <c r="M1144" s="8">
        <v>0.15</v>
      </c>
      <c r="N1144" s="8">
        <v>0.1</v>
      </c>
      <c r="O1144" s="8">
        <v>38812</v>
      </c>
      <c r="P1144" s="8">
        <f t="shared" si="130"/>
        <v>34930.800000000003</v>
      </c>
      <c r="Q1144" s="12">
        <f t="shared" si="131"/>
        <v>73354.680000000008</v>
      </c>
      <c r="R1144" s="31">
        <f t="shared" si="132"/>
        <v>73300</v>
      </c>
      <c r="U1144" s="8">
        <v>25688</v>
      </c>
    </row>
    <row r="1145" spans="1:21" ht="21.95" customHeight="1" x14ac:dyDescent="0.2">
      <c r="A1145" s="5" t="s">
        <v>17</v>
      </c>
      <c r="B1145" t="s">
        <v>1582</v>
      </c>
      <c r="C1145" t="s">
        <v>585</v>
      </c>
      <c r="D1145" t="s">
        <v>358</v>
      </c>
      <c r="E1145"/>
      <c r="F1145"/>
      <c r="G1145"/>
      <c r="H1145"/>
      <c r="I1145" s="10"/>
      <c r="J1145" s="10"/>
      <c r="K1145" s="7">
        <v>44005341</v>
      </c>
      <c r="L1145" s="5" t="str">
        <f t="shared" si="133"/>
        <v xml:space="preserve">AR MONGE SANDALYE </v>
      </c>
      <c r="M1145" s="8">
        <v>0.15</v>
      </c>
      <c r="N1145" s="8">
        <v>0.1</v>
      </c>
      <c r="O1145" s="8">
        <v>4816</v>
      </c>
      <c r="P1145" s="8">
        <f t="shared" si="130"/>
        <v>4334.4000000000005</v>
      </c>
      <c r="Q1145" s="12">
        <f t="shared" si="131"/>
        <v>9102.2400000000016</v>
      </c>
      <c r="R1145" s="31">
        <f t="shared" si="132"/>
        <v>9100</v>
      </c>
      <c r="U1145" s="8">
        <v>25688</v>
      </c>
    </row>
    <row r="1146" spans="1:21" ht="21.95" customHeight="1" x14ac:dyDescent="0.2">
      <c r="A1146" s="5" t="s">
        <v>17</v>
      </c>
      <c r="B1146" t="s">
        <v>1582</v>
      </c>
      <c r="C1146" t="s">
        <v>585</v>
      </c>
      <c r="D1146" t="s">
        <v>588</v>
      </c>
      <c r="E1146"/>
      <c r="F1146"/>
      <c r="G1146"/>
      <c r="H1146"/>
      <c r="I1146" s="10"/>
      <c r="J1146" s="10"/>
      <c r="K1146" s="7">
        <v>44005342</v>
      </c>
      <c r="L1146" s="5" t="str">
        <f t="shared" si="133"/>
        <v xml:space="preserve">AR MONGE DRESUAR </v>
      </c>
      <c r="M1146" s="8">
        <v>0.15</v>
      </c>
      <c r="N1146" s="8">
        <v>0.1</v>
      </c>
      <c r="O1146" s="8">
        <v>19410</v>
      </c>
      <c r="P1146" s="8">
        <f t="shared" si="130"/>
        <v>17469</v>
      </c>
      <c r="Q1146" s="12">
        <f t="shared" si="131"/>
        <v>36684.9</v>
      </c>
      <c r="R1146" s="31">
        <f t="shared" si="132"/>
        <v>36600</v>
      </c>
      <c r="U1146" s="8">
        <v>5506</v>
      </c>
    </row>
    <row r="1147" spans="1:21" ht="21.95" customHeight="1" x14ac:dyDescent="0.2">
      <c r="A1147" s="5" t="s">
        <v>17</v>
      </c>
      <c r="B1147" t="s">
        <v>1582</v>
      </c>
      <c r="C1147" t="s">
        <v>585</v>
      </c>
      <c r="D1147" t="s">
        <v>589</v>
      </c>
      <c r="E1147"/>
      <c r="F1147"/>
      <c r="G1147"/>
      <c r="H1147"/>
      <c r="I1147" s="10"/>
      <c r="J1147" s="10"/>
      <c r="K1147" s="7">
        <v>44005343</v>
      </c>
      <c r="L1147" s="5" t="str">
        <f t="shared" si="133"/>
        <v>AR MONGE TABLO</v>
      </c>
      <c r="M1147" s="8">
        <v>0.15</v>
      </c>
      <c r="N1147" s="8">
        <v>0.1</v>
      </c>
      <c r="O1147" s="8">
        <v>8130</v>
      </c>
      <c r="P1147" s="8">
        <f t="shared" si="130"/>
        <v>7317</v>
      </c>
      <c r="Q1147" s="12">
        <f t="shared" si="131"/>
        <v>15365.7</v>
      </c>
      <c r="R1147" s="31">
        <f t="shared" si="132"/>
        <v>15300</v>
      </c>
      <c r="U1147" s="8">
        <v>27365</v>
      </c>
    </row>
    <row r="1148" spans="1:21" ht="21.95" customHeight="1" x14ac:dyDescent="0.2">
      <c r="A1148" s="5" t="s">
        <v>17</v>
      </c>
      <c r="B1148" t="s">
        <v>1582</v>
      </c>
      <c r="C1148" t="s">
        <v>585</v>
      </c>
      <c r="D1148" t="s">
        <v>496</v>
      </c>
      <c r="E1148"/>
      <c r="F1148"/>
      <c r="G1148"/>
      <c r="H1148"/>
      <c r="I1148" s="10"/>
      <c r="J1148" s="10"/>
      <c r="K1148" s="7">
        <v>44005344</v>
      </c>
      <c r="L1148" s="5" t="str">
        <f t="shared" si="133"/>
        <v>AR MONGE TV ÜNİTESİ ALT MODÜL</v>
      </c>
      <c r="M1148" s="8">
        <v>0.15</v>
      </c>
      <c r="N1148" s="8">
        <v>0.1</v>
      </c>
      <c r="O1148" s="8">
        <v>30480</v>
      </c>
      <c r="P1148" s="8">
        <f t="shared" si="130"/>
        <v>27432</v>
      </c>
      <c r="Q1148" s="12">
        <f t="shared" si="131"/>
        <v>57607.200000000004</v>
      </c>
      <c r="R1148" s="31">
        <f t="shared" si="132"/>
        <v>57600</v>
      </c>
      <c r="U1148" s="8">
        <v>5451</v>
      </c>
    </row>
    <row r="1149" spans="1:21" ht="21.95" customHeight="1" x14ac:dyDescent="0.2">
      <c r="A1149" s="5" t="s">
        <v>17</v>
      </c>
      <c r="B1149" t="s">
        <v>1582</v>
      </c>
      <c r="C1149" t="s">
        <v>585</v>
      </c>
      <c r="D1149" t="s">
        <v>590</v>
      </c>
      <c r="E1149"/>
      <c r="F1149"/>
      <c r="G1149"/>
      <c r="H1149"/>
      <c r="I1149" s="10"/>
      <c r="J1149" s="10"/>
      <c r="K1149" s="7">
        <v>44005345</v>
      </c>
      <c r="L1149" s="5" t="str">
        <f t="shared" si="133"/>
        <v>AR MONGE ORTA SEHPA CAM</v>
      </c>
      <c r="M1149" s="8">
        <v>0.15</v>
      </c>
      <c r="N1149" s="8">
        <v>0.1</v>
      </c>
      <c r="O1149" s="8">
        <v>10970</v>
      </c>
      <c r="P1149" s="8">
        <f t="shared" si="130"/>
        <v>9873</v>
      </c>
      <c r="Q1149" s="12">
        <f t="shared" si="131"/>
        <v>20733.3</v>
      </c>
      <c r="R1149" s="31">
        <f t="shared" si="132"/>
        <v>20700</v>
      </c>
      <c r="U1149" s="8">
        <v>9010</v>
      </c>
    </row>
    <row r="1150" spans="1:21" ht="21.95" customHeight="1" x14ac:dyDescent="0.2">
      <c r="A1150" s="5" t="s">
        <v>17</v>
      </c>
      <c r="B1150" t="s">
        <v>1582</v>
      </c>
      <c r="C1150" t="s">
        <v>585</v>
      </c>
      <c r="D1150" t="s">
        <v>29</v>
      </c>
      <c r="E1150"/>
      <c r="F1150"/>
      <c r="G1150"/>
      <c r="H1150"/>
      <c r="I1150" s="10"/>
      <c r="J1150" s="10"/>
      <c r="K1150" s="7">
        <v>44005346</v>
      </c>
      <c r="L1150" s="5" t="str">
        <f t="shared" si="133"/>
        <v>AR MONGE ORTA SEHPA</v>
      </c>
      <c r="M1150" s="8">
        <v>0.15</v>
      </c>
      <c r="N1150" s="8">
        <v>0.1</v>
      </c>
      <c r="O1150" s="8">
        <v>19465</v>
      </c>
      <c r="P1150" s="8">
        <f t="shared" si="130"/>
        <v>17518.5</v>
      </c>
      <c r="Q1150" s="12">
        <f t="shared" si="131"/>
        <v>36788.85</v>
      </c>
      <c r="R1150" s="31">
        <f t="shared" si="132"/>
        <v>36700</v>
      </c>
      <c r="U1150" s="8">
        <v>5916</v>
      </c>
    </row>
    <row r="1151" spans="1:21" ht="21.95" customHeight="1" x14ac:dyDescent="0.2">
      <c r="A1151" s="5" t="s">
        <v>17</v>
      </c>
      <c r="B1151" t="s">
        <v>1582</v>
      </c>
      <c r="C1151" t="s">
        <v>585</v>
      </c>
      <c r="D1151" t="s">
        <v>30</v>
      </c>
      <c r="E1151"/>
      <c r="F1151"/>
      <c r="G1151"/>
      <c r="H1151"/>
      <c r="I1151" s="10"/>
      <c r="J1151" s="10"/>
      <c r="K1151" s="7">
        <v>44005347</v>
      </c>
      <c r="L1151" s="5" t="str">
        <f t="shared" si="133"/>
        <v>AR MONGE YAN SEHPA</v>
      </c>
      <c r="M1151" s="8">
        <v>0.15</v>
      </c>
      <c r="N1151" s="8">
        <v>0.1</v>
      </c>
      <c r="O1151" s="8">
        <v>10665</v>
      </c>
      <c r="P1151" s="8">
        <f t="shared" si="130"/>
        <v>9598.5</v>
      </c>
      <c r="Q1151" s="12">
        <f t="shared" si="131"/>
        <v>20156.850000000002</v>
      </c>
      <c r="R1151" s="31">
        <f t="shared" si="132"/>
        <v>20100</v>
      </c>
      <c r="U1151" s="8">
        <v>4153</v>
      </c>
    </row>
    <row r="1152" spans="1:21" ht="21.95" customHeight="1" x14ac:dyDescent="0.2">
      <c r="A1152" s="5" t="s">
        <v>17</v>
      </c>
      <c r="B1152" t="s">
        <v>1582</v>
      </c>
      <c r="C1152" t="s">
        <v>585</v>
      </c>
      <c r="D1152" t="s">
        <v>591</v>
      </c>
      <c r="E1152"/>
      <c r="F1152"/>
      <c r="G1152"/>
      <c r="H1152"/>
      <c r="I1152" s="10"/>
      <c r="J1152" s="10"/>
      <c r="K1152" s="7">
        <v>44005348</v>
      </c>
      <c r="L1152" s="5" t="str">
        <f t="shared" si="133"/>
        <v>AR MONGE SERVİS SEHPASI</v>
      </c>
      <c r="M1152" s="8">
        <v>0.15</v>
      </c>
      <c r="N1152" s="8">
        <v>0.1</v>
      </c>
      <c r="O1152" s="8">
        <v>8715</v>
      </c>
      <c r="P1152" s="8">
        <f t="shared" si="130"/>
        <v>7843.5</v>
      </c>
      <c r="Q1152" s="12">
        <f t="shared" si="131"/>
        <v>16471.350000000002</v>
      </c>
      <c r="R1152" s="31">
        <f t="shared" si="132"/>
        <v>16400</v>
      </c>
      <c r="U1152" s="8">
        <v>48571</v>
      </c>
    </row>
    <row r="1153" spans="1:23" ht="21.95" customHeight="1" x14ac:dyDescent="0.2">
      <c r="A1153" s="5" t="s">
        <v>17</v>
      </c>
      <c r="B1153" t="s">
        <v>1582</v>
      </c>
      <c r="C1153" t="s">
        <v>585</v>
      </c>
      <c r="D1153" t="s">
        <v>31</v>
      </c>
      <c r="E1153"/>
      <c r="F1153"/>
      <c r="G1153"/>
      <c r="H1153"/>
      <c r="I1153" s="10"/>
      <c r="J1153" s="10"/>
      <c r="K1153" s="7">
        <v>44005349</v>
      </c>
      <c r="L1153" s="5" t="str">
        <f t="shared" si="133"/>
        <v>AR MONGE KOLTUK 4 LÜ</v>
      </c>
      <c r="M1153" s="8">
        <v>0.15</v>
      </c>
      <c r="N1153" s="8">
        <v>0.1</v>
      </c>
      <c r="O1153" s="8">
        <v>33275</v>
      </c>
      <c r="P1153" s="8">
        <f t="shared" si="130"/>
        <v>29947.5</v>
      </c>
      <c r="Q1153" s="12">
        <f t="shared" si="131"/>
        <v>62889.75</v>
      </c>
      <c r="R1153" s="31">
        <f t="shared" si="132"/>
        <v>62800</v>
      </c>
      <c r="U1153" s="8">
        <v>47235</v>
      </c>
    </row>
    <row r="1154" spans="1:23" ht="21.95" customHeight="1" x14ac:dyDescent="0.2">
      <c r="A1154" s="5" t="s">
        <v>17</v>
      </c>
      <c r="B1154" t="s">
        <v>1582</v>
      </c>
      <c r="C1154" t="s">
        <v>585</v>
      </c>
      <c r="D1154" t="s">
        <v>32</v>
      </c>
      <c r="E1154"/>
      <c r="F1154"/>
      <c r="G1154"/>
      <c r="H1154"/>
      <c r="I1154" s="10"/>
      <c r="J1154" s="10"/>
      <c r="K1154" s="7">
        <v>44005350</v>
      </c>
      <c r="L1154" s="5" t="str">
        <f t="shared" si="133"/>
        <v>AR MONGE KOLTUK 3 LÜ</v>
      </c>
      <c r="M1154" s="8">
        <v>0.15</v>
      </c>
      <c r="N1154" s="8">
        <v>0.1</v>
      </c>
      <c r="O1154" s="8">
        <v>30410</v>
      </c>
      <c r="P1154" s="8">
        <f t="shared" si="130"/>
        <v>27369</v>
      </c>
      <c r="Q1154" s="12">
        <f t="shared" si="131"/>
        <v>57474.9</v>
      </c>
      <c r="R1154" s="31">
        <f t="shared" si="132"/>
        <v>57400</v>
      </c>
      <c r="U1154" s="8">
        <v>28314</v>
      </c>
    </row>
    <row r="1155" spans="1:23" ht="21.95" customHeight="1" x14ac:dyDescent="0.2">
      <c r="A1155" s="5" t="s">
        <v>17</v>
      </c>
      <c r="B1155" t="s">
        <v>1582</v>
      </c>
      <c r="C1155" t="s">
        <v>585</v>
      </c>
      <c r="D1155" t="s">
        <v>592</v>
      </c>
      <c r="E1155"/>
      <c r="F1155"/>
      <c r="G1155"/>
      <c r="H1155"/>
      <c r="I1155" s="10"/>
      <c r="J1155" s="10"/>
      <c r="K1155" s="7">
        <v>44005351</v>
      </c>
      <c r="L1155" s="5" t="str">
        <f t="shared" si="133"/>
        <v>AR MONGE KOLTUK TEKLİ</v>
      </c>
      <c r="M1155" s="8">
        <v>0.15</v>
      </c>
      <c r="N1155" s="8">
        <v>0.1</v>
      </c>
      <c r="O1155" s="8">
        <v>14620</v>
      </c>
      <c r="P1155" s="8">
        <f t="shared" si="130"/>
        <v>13158</v>
      </c>
      <c r="Q1155" s="12">
        <f t="shared" si="131"/>
        <v>27631.800000000003</v>
      </c>
      <c r="R1155" s="31">
        <f t="shared" si="132"/>
        <v>27600</v>
      </c>
      <c r="U1155" s="8">
        <v>26292</v>
      </c>
    </row>
    <row r="1156" spans="1:23" ht="21.95" customHeight="1" x14ac:dyDescent="0.2">
      <c r="A1156" s="5" t="s">
        <v>17</v>
      </c>
      <c r="B1156" t="s">
        <v>1582</v>
      </c>
      <c r="C1156" t="s">
        <v>585</v>
      </c>
      <c r="D1156" t="s">
        <v>593</v>
      </c>
      <c r="E1156"/>
      <c r="F1156"/>
      <c r="G1156"/>
      <c r="H1156"/>
      <c r="I1156" s="10"/>
      <c r="J1156" s="10"/>
      <c r="K1156" s="7">
        <v>44005352</v>
      </c>
      <c r="L1156" s="5" t="str">
        <f t="shared" si="133"/>
        <v>AR MONGE KARYOLA İÇ KAYITLI 160CM</v>
      </c>
      <c r="M1156" s="8">
        <v>0.15</v>
      </c>
      <c r="N1156" s="8">
        <v>0.1</v>
      </c>
      <c r="O1156" s="8">
        <v>24535</v>
      </c>
      <c r="P1156" s="8">
        <f t="shared" si="130"/>
        <v>22081.5</v>
      </c>
      <c r="Q1156" s="12">
        <f t="shared" si="131"/>
        <v>46371.15</v>
      </c>
      <c r="R1156" s="31">
        <f t="shared" si="132"/>
        <v>46300</v>
      </c>
      <c r="U1156" s="8">
        <v>11017</v>
      </c>
    </row>
    <row r="1157" spans="1:23" ht="21.95" customHeight="1" x14ac:dyDescent="0.2">
      <c r="A1157" s="5" t="s">
        <v>17</v>
      </c>
      <c r="B1157" t="s">
        <v>1582</v>
      </c>
      <c r="C1157" t="s">
        <v>585</v>
      </c>
      <c r="D1157" t="s">
        <v>75</v>
      </c>
      <c r="E1157"/>
      <c r="F1157"/>
      <c r="G1157"/>
      <c r="H1157"/>
      <c r="I1157" s="10"/>
      <c r="J1157" s="10"/>
      <c r="K1157" s="7">
        <v>44005353</v>
      </c>
      <c r="L1157" s="5" t="str">
        <f t="shared" si="133"/>
        <v>AR MONGE KARYOLA BAZALI 160CM</v>
      </c>
      <c r="M1157" s="8">
        <v>0.15</v>
      </c>
      <c r="N1157" s="8">
        <v>0.1</v>
      </c>
      <c r="O1157" s="8">
        <v>29135</v>
      </c>
      <c r="P1157" s="8">
        <f t="shared" si="130"/>
        <v>26221.5</v>
      </c>
      <c r="Q1157" s="12">
        <f t="shared" si="131"/>
        <v>55065.15</v>
      </c>
      <c r="R1157" s="31">
        <f t="shared" si="132"/>
        <v>55000</v>
      </c>
      <c r="U1157" s="8">
        <v>19886</v>
      </c>
    </row>
    <row r="1158" spans="1:23" ht="21.95" customHeight="1" x14ac:dyDescent="0.2">
      <c r="A1158" s="5" t="s">
        <v>17</v>
      </c>
      <c r="B1158" t="s">
        <v>1582</v>
      </c>
      <c r="C1158" t="s">
        <v>585</v>
      </c>
      <c r="D1158" t="s">
        <v>76</v>
      </c>
      <c r="E1158"/>
      <c r="F1158"/>
      <c r="G1158"/>
      <c r="H1158"/>
      <c r="I1158" s="10"/>
      <c r="J1158" s="10"/>
      <c r="K1158" s="7">
        <v>44005354</v>
      </c>
      <c r="L1158" s="5" t="str">
        <f t="shared" si="133"/>
        <v>AR MONGE KARYOLA BAZALI 180CM</v>
      </c>
      <c r="M1158" s="8">
        <v>0.15</v>
      </c>
      <c r="N1158" s="8">
        <v>0.1</v>
      </c>
      <c r="O1158" s="8">
        <v>31635</v>
      </c>
      <c r="P1158" s="8">
        <f t="shared" si="130"/>
        <v>28471.5</v>
      </c>
      <c r="Q1158" s="12">
        <f t="shared" si="131"/>
        <v>59790.15</v>
      </c>
      <c r="R1158" s="31">
        <f t="shared" si="132"/>
        <v>59700</v>
      </c>
      <c r="U1158" s="8">
        <v>13237</v>
      </c>
    </row>
    <row r="1159" spans="1:23" ht="21.95" customHeight="1" x14ac:dyDescent="0.2">
      <c r="A1159" s="5" t="s">
        <v>17</v>
      </c>
      <c r="B1159" t="s">
        <v>1582</v>
      </c>
      <c r="C1159" t="s">
        <v>585</v>
      </c>
      <c r="D1159" t="s">
        <v>594</v>
      </c>
      <c r="E1159"/>
      <c r="F1159"/>
      <c r="G1159"/>
      <c r="H1159"/>
      <c r="I1159" s="10"/>
      <c r="J1159" s="10"/>
      <c r="K1159" s="7">
        <v>44005355</v>
      </c>
      <c r="L1159" s="5" t="str">
        <f t="shared" si="133"/>
        <v>AR MONGE KARYOLA İÇ KAYITLI 180CM</v>
      </c>
      <c r="M1159" s="8">
        <v>0.15</v>
      </c>
      <c r="N1159" s="8">
        <v>0.1</v>
      </c>
      <c r="O1159" s="8">
        <v>27035</v>
      </c>
      <c r="P1159" s="8">
        <f t="shared" si="130"/>
        <v>24331.5</v>
      </c>
      <c r="Q1159" s="12">
        <f t="shared" si="131"/>
        <v>51096.15</v>
      </c>
      <c r="R1159" s="31">
        <f t="shared" si="132"/>
        <v>51000</v>
      </c>
      <c r="U1159" s="8">
        <v>22198</v>
      </c>
    </row>
    <row r="1160" spans="1:23" ht="21.95" customHeight="1" x14ac:dyDescent="0.2">
      <c r="A1160" s="5" t="s">
        <v>17</v>
      </c>
      <c r="B1160" t="s">
        <v>1582</v>
      </c>
      <c r="C1160" t="s">
        <v>585</v>
      </c>
      <c r="D1160" t="s">
        <v>362</v>
      </c>
      <c r="E1160"/>
      <c r="F1160"/>
      <c r="G1160"/>
      <c r="H1160"/>
      <c r="I1160" s="10"/>
      <c r="J1160" s="10"/>
      <c r="K1160" s="7">
        <v>44005356</v>
      </c>
      <c r="L1160" s="5" t="str">
        <f t="shared" si="133"/>
        <v>AR MONGE KOMODİN</v>
      </c>
      <c r="M1160" s="8">
        <v>0.15</v>
      </c>
      <c r="N1160" s="8">
        <v>0.1</v>
      </c>
      <c r="O1160" s="8">
        <v>6925</v>
      </c>
      <c r="P1160" s="8">
        <f t="shared" si="130"/>
        <v>6232.5</v>
      </c>
      <c r="Q1160" s="12">
        <f t="shared" si="131"/>
        <v>13088.25</v>
      </c>
      <c r="R1160" s="31">
        <f t="shared" si="132"/>
        <v>13000</v>
      </c>
      <c r="U1160" s="8">
        <v>23417</v>
      </c>
    </row>
    <row r="1161" spans="1:23" ht="21.95" customHeight="1" x14ac:dyDescent="0.2">
      <c r="A1161" s="5" t="s">
        <v>17</v>
      </c>
      <c r="B1161" t="s">
        <v>1582</v>
      </c>
      <c r="C1161" t="s">
        <v>585</v>
      </c>
      <c r="D1161" t="s">
        <v>361</v>
      </c>
      <c r="E1161"/>
      <c r="F1161"/>
      <c r="G1161"/>
      <c r="H1161"/>
      <c r="I1161" s="10"/>
      <c r="J1161" s="10"/>
      <c r="K1161" s="7">
        <v>44005357</v>
      </c>
      <c r="L1161" s="5" t="str">
        <f t="shared" si="133"/>
        <v>AR MONGE DOLAP</v>
      </c>
      <c r="M1161" s="8">
        <v>0.15</v>
      </c>
      <c r="N1161" s="8">
        <v>0.1</v>
      </c>
      <c r="O1161" s="8">
        <v>38610</v>
      </c>
      <c r="P1161" s="8">
        <f t="shared" si="130"/>
        <v>34749</v>
      </c>
      <c r="Q1161" s="12">
        <f t="shared" si="131"/>
        <v>72972.900000000009</v>
      </c>
      <c r="R1161" s="31">
        <f t="shared" si="132"/>
        <v>72900</v>
      </c>
      <c r="U1161" s="8">
        <v>17667</v>
      </c>
    </row>
    <row r="1162" spans="1:23" ht="21.95" customHeight="1" x14ac:dyDescent="0.2">
      <c r="A1162" s="5" t="s">
        <v>17</v>
      </c>
      <c r="B1162" t="s">
        <v>1582</v>
      </c>
      <c r="C1162" t="s">
        <v>585</v>
      </c>
      <c r="D1162" t="s">
        <v>595</v>
      </c>
      <c r="E1162"/>
      <c r="F1162"/>
      <c r="G1162"/>
      <c r="H1162"/>
      <c r="I1162" s="10"/>
      <c r="J1162" s="10"/>
      <c r="K1162" s="7">
        <v>44005358</v>
      </c>
      <c r="L1162" s="5" t="str">
        <f t="shared" si="133"/>
        <v>AR MONGE ŞİFONYER &amp; AYNASI</v>
      </c>
      <c r="M1162" s="8">
        <v>0.15</v>
      </c>
      <c r="N1162" s="8">
        <v>0.1</v>
      </c>
      <c r="O1162" s="8">
        <v>20940</v>
      </c>
      <c r="P1162" s="8">
        <f t="shared" si="130"/>
        <v>18846</v>
      </c>
      <c r="Q1162" s="12">
        <f t="shared" si="131"/>
        <v>39576.6</v>
      </c>
      <c r="R1162" s="31">
        <f t="shared" si="132"/>
        <v>39500</v>
      </c>
      <c r="U1162" s="8">
        <v>11900</v>
      </c>
    </row>
    <row r="1163" spans="1:23" s="21" customFormat="1" ht="21.95" customHeight="1" x14ac:dyDescent="0.2">
      <c r="A1163" s="5" t="s">
        <v>17</v>
      </c>
      <c r="B1163" t="s">
        <v>1582</v>
      </c>
      <c r="C1163" t="s">
        <v>585</v>
      </c>
      <c r="D1163" t="s">
        <v>126</v>
      </c>
      <c r="E1163"/>
      <c r="F1163"/>
      <c r="G1163"/>
      <c r="H1163"/>
      <c r="I1163" s="10"/>
      <c r="J1163" s="10"/>
      <c r="K1163" s="7">
        <v>44005359</v>
      </c>
      <c r="L1163" s="5" t="str">
        <f t="shared" si="133"/>
        <v>AR MONGE ÇAMAŞIRLIK</v>
      </c>
      <c r="M1163" s="8">
        <v>0.15</v>
      </c>
      <c r="N1163" s="8">
        <v>0.1</v>
      </c>
      <c r="O1163" s="8">
        <v>10280</v>
      </c>
      <c r="P1163" s="8">
        <f t="shared" si="130"/>
        <v>9252</v>
      </c>
      <c r="Q1163" s="12">
        <f t="shared" si="131"/>
        <v>19429.2</v>
      </c>
      <c r="R1163" s="31">
        <f t="shared" si="132"/>
        <v>19400</v>
      </c>
      <c r="S1163" s="5"/>
      <c r="T1163" s="23"/>
      <c r="U1163" s="23"/>
      <c r="V1163" s="23"/>
      <c r="W1163" s="23"/>
    </row>
    <row r="1164" spans="1:23" ht="21.95" customHeight="1" x14ac:dyDescent="0.2">
      <c r="A1164" s="5" t="s">
        <v>17</v>
      </c>
      <c r="B1164" t="s">
        <v>1582</v>
      </c>
      <c r="C1164" t="s">
        <v>585</v>
      </c>
      <c r="D1164" t="s">
        <v>82</v>
      </c>
      <c r="E1164"/>
      <c r="F1164"/>
      <c r="G1164"/>
      <c r="H1164"/>
      <c r="I1164" s="10"/>
      <c r="J1164" s="10"/>
      <c r="K1164" s="7">
        <v>44005360</v>
      </c>
      <c r="L1164" s="5" t="str">
        <f t="shared" si="133"/>
        <v>AR MONGE BOY AYNASI</v>
      </c>
      <c r="M1164" s="8">
        <v>0.15</v>
      </c>
      <c r="N1164" s="8">
        <v>0.1</v>
      </c>
      <c r="O1164" s="8">
        <v>4305</v>
      </c>
      <c r="P1164" s="8">
        <f t="shared" si="130"/>
        <v>3874.5</v>
      </c>
      <c r="Q1164" s="12">
        <f t="shared" si="131"/>
        <v>8136.4500000000007</v>
      </c>
      <c r="R1164" s="31">
        <f t="shared" si="132"/>
        <v>8100</v>
      </c>
      <c r="U1164" s="8">
        <v>31666</v>
      </c>
    </row>
    <row r="1165" spans="1:23" ht="21.95" customHeight="1" x14ac:dyDescent="0.2">
      <c r="A1165" s="5" t="s">
        <v>17</v>
      </c>
      <c r="B1165" t="s">
        <v>1582</v>
      </c>
      <c r="C1165" t="s">
        <v>585</v>
      </c>
      <c r="D1165" t="s">
        <v>596</v>
      </c>
      <c r="E1165"/>
      <c r="F1165"/>
      <c r="G1165"/>
      <c r="H1165"/>
      <c r="I1165" s="10"/>
      <c r="J1165" s="10"/>
      <c r="K1165" s="7">
        <v>44005361</v>
      </c>
      <c r="L1165" s="5" t="str">
        <f t="shared" si="133"/>
        <v>AR MONGE MAKYAJ PUFU</v>
      </c>
      <c r="M1165" s="8">
        <v>0.15</v>
      </c>
      <c r="N1165" s="8">
        <v>0.1</v>
      </c>
      <c r="O1165" s="8">
        <v>4280</v>
      </c>
      <c r="P1165" s="8">
        <f t="shared" si="130"/>
        <v>3852</v>
      </c>
      <c r="Q1165" s="12">
        <f t="shared" si="131"/>
        <v>8089.2000000000007</v>
      </c>
      <c r="R1165" s="31">
        <f t="shared" si="132"/>
        <v>8000</v>
      </c>
      <c r="U1165" s="8">
        <v>26599</v>
      </c>
    </row>
    <row r="1166" spans="1:23" ht="21.95" customHeight="1" x14ac:dyDescent="0.2">
      <c r="A1166" s="5" t="s">
        <v>17</v>
      </c>
      <c r="B1166" t="s">
        <v>1582</v>
      </c>
      <c r="C1166" t="s">
        <v>597</v>
      </c>
      <c r="D1166" t="s">
        <v>49</v>
      </c>
      <c r="E1166"/>
      <c r="F1166"/>
      <c r="G1166"/>
      <c r="H1166"/>
      <c r="I1166" s="10"/>
      <c r="J1166" s="10"/>
      <c r="K1166" s="7">
        <v>44005362</v>
      </c>
      <c r="L1166" s="5" t="str">
        <f t="shared" si="133"/>
        <v>AR SOHO KONSOL</v>
      </c>
      <c r="M1166" s="8">
        <v>0.15</v>
      </c>
      <c r="N1166" s="8">
        <v>0.1</v>
      </c>
      <c r="O1166" s="8">
        <v>31735</v>
      </c>
      <c r="P1166" s="8">
        <f t="shared" si="130"/>
        <v>28561.5</v>
      </c>
      <c r="Q1166" s="12">
        <f t="shared" si="131"/>
        <v>59979.15</v>
      </c>
      <c r="R1166" s="31">
        <f t="shared" si="132"/>
        <v>59900</v>
      </c>
      <c r="U1166" s="8">
        <v>5324</v>
      </c>
    </row>
    <row r="1167" spans="1:23" ht="21.95" customHeight="1" x14ac:dyDescent="0.2">
      <c r="A1167" s="5" t="s">
        <v>17</v>
      </c>
      <c r="B1167" t="s">
        <v>1582</v>
      </c>
      <c r="C1167" t="s">
        <v>597</v>
      </c>
      <c r="D1167" t="s">
        <v>598</v>
      </c>
      <c r="E1167"/>
      <c r="F1167"/>
      <c r="G1167"/>
      <c r="H1167"/>
      <c r="I1167" s="10"/>
      <c r="J1167" s="10"/>
      <c r="K1167" s="7">
        <v>44005363</v>
      </c>
      <c r="L1167" s="5" t="str">
        <f t="shared" si="133"/>
        <v>AR SOHO TABLO KÜÇÜK</v>
      </c>
      <c r="M1167" s="8">
        <v>0.15</v>
      </c>
      <c r="N1167" s="8">
        <v>0.1</v>
      </c>
      <c r="O1167" s="8">
        <v>4850</v>
      </c>
      <c r="P1167" s="8">
        <f t="shared" si="130"/>
        <v>4365</v>
      </c>
      <c r="Q1167" s="12">
        <f t="shared" si="131"/>
        <v>9166.5</v>
      </c>
      <c r="R1167" s="31">
        <f t="shared" si="132"/>
        <v>9100</v>
      </c>
      <c r="U1167" s="8">
        <v>22913</v>
      </c>
    </row>
    <row r="1168" spans="1:23" ht="21.95" customHeight="1" x14ac:dyDescent="0.2">
      <c r="A1168" s="5" t="s">
        <v>17</v>
      </c>
      <c r="B1168" t="s">
        <v>1582</v>
      </c>
      <c r="C1168" t="s">
        <v>597</v>
      </c>
      <c r="D1168" t="s">
        <v>599</v>
      </c>
      <c r="E1168"/>
      <c r="F1168"/>
      <c r="G1168"/>
      <c r="H1168"/>
      <c r="I1168" s="10"/>
      <c r="J1168" s="10"/>
      <c r="K1168" s="7">
        <v>44005364</v>
      </c>
      <c r="L1168" s="5" t="str">
        <f t="shared" si="133"/>
        <v>AR SOHO MASA 210CM</v>
      </c>
      <c r="M1168" s="8">
        <v>0.15</v>
      </c>
      <c r="N1168" s="8">
        <v>0.1</v>
      </c>
      <c r="O1168" s="8">
        <v>28550</v>
      </c>
      <c r="P1168" s="8">
        <f t="shared" si="130"/>
        <v>25695</v>
      </c>
      <c r="Q1168" s="12">
        <f t="shared" si="131"/>
        <v>53959.5</v>
      </c>
      <c r="R1168" s="31">
        <f t="shared" si="132"/>
        <v>53900</v>
      </c>
      <c r="U1168" s="8">
        <v>15428</v>
      </c>
    </row>
    <row r="1169" spans="1:23" ht="21.95" customHeight="1" x14ac:dyDescent="0.2">
      <c r="A1169" s="5" t="s">
        <v>17</v>
      </c>
      <c r="B1169" t="s">
        <v>1582</v>
      </c>
      <c r="C1169" t="s">
        <v>597</v>
      </c>
      <c r="D1169" t="s">
        <v>587</v>
      </c>
      <c r="E1169"/>
      <c r="F1169"/>
      <c r="G1169"/>
      <c r="H1169"/>
      <c r="I1169" s="10"/>
      <c r="J1169" s="10"/>
      <c r="K1169" s="7">
        <v>44005365</v>
      </c>
      <c r="L1169" s="5" t="str">
        <f t="shared" si="133"/>
        <v>AR SOHO MASA 180CM</v>
      </c>
      <c r="M1169" s="8">
        <v>0.15</v>
      </c>
      <c r="N1169" s="8">
        <v>0.1</v>
      </c>
      <c r="O1169" s="8">
        <v>37115</v>
      </c>
      <c r="P1169" s="8">
        <f t="shared" si="130"/>
        <v>33403.5</v>
      </c>
      <c r="Q1169" s="12">
        <f t="shared" si="131"/>
        <v>70147.350000000006</v>
      </c>
      <c r="R1169" s="31">
        <f t="shared" si="132"/>
        <v>70100</v>
      </c>
      <c r="U1169" s="8">
        <v>9185</v>
      </c>
    </row>
    <row r="1170" spans="1:23" ht="21.95" customHeight="1" x14ac:dyDescent="0.2">
      <c r="A1170" s="5" t="s">
        <v>17</v>
      </c>
      <c r="B1170" t="s">
        <v>1582</v>
      </c>
      <c r="C1170" t="s">
        <v>597</v>
      </c>
      <c r="D1170" t="s">
        <v>24</v>
      </c>
      <c r="E1170"/>
      <c r="F1170"/>
      <c r="G1170"/>
      <c r="H1170"/>
      <c r="I1170" s="10"/>
      <c r="J1170" s="10"/>
      <c r="K1170" s="7">
        <v>44005366</v>
      </c>
      <c r="L1170" s="5" t="str">
        <f t="shared" si="133"/>
        <v>AR SOHO MASA 240CM</v>
      </c>
      <c r="M1170" s="8">
        <v>0.15</v>
      </c>
      <c r="N1170" s="8">
        <v>0.1</v>
      </c>
      <c r="O1170" s="8">
        <v>42417</v>
      </c>
      <c r="P1170" s="8">
        <f t="shared" si="130"/>
        <v>38175.300000000003</v>
      </c>
      <c r="Q1170" s="12">
        <f t="shared" si="131"/>
        <v>80168.13</v>
      </c>
      <c r="R1170" s="31">
        <f t="shared" si="132"/>
        <v>80100</v>
      </c>
      <c r="U1170" s="8">
        <v>3441</v>
      </c>
    </row>
    <row r="1171" spans="1:23" ht="21.95" customHeight="1" x14ac:dyDescent="0.2">
      <c r="A1171" s="5" t="s">
        <v>17</v>
      </c>
      <c r="B1171" t="s">
        <v>1582</v>
      </c>
      <c r="C1171" t="s">
        <v>597</v>
      </c>
      <c r="D1171" s="5" t="s">
        <v>358</v>
      </c>
      <c r="F1171"/>
      <c r="G1171"/>
      <c r="H1171"/>
      <c r="I1171" s="10"/>
      <c r="J1171" s="10"/>
      <c r="K1171" s="7">
        <v>44005367</v>
      </c>
      <c r="L1171" s="5" t="str">
        <f t="shared" si="133"/>
        <v xml:space="preserve">AR SOHO SANDALYE </v>
      </c>
      <c r="M1171" s="8">
        <v>0.15</v>
      </c>
      <c r="N1171" s="8">
        <v>0.1</v>
      </c>
      <c r="O1171" s="8">
        <v>5453</v>
      </c>
      <c r="P1171" s="8">
        <f t="shared" si="130"/>
        <v>4907.7</v>
      </c>
      <c r="Q1171" s="12">
        <f t="shared" si="131"/>
        <v>10306.17</v>
      </c>
      <c r="R1171" s="31">
        <f t="shared" si="132"/>
        <v>10300</v>
      </c>
      <c r="U1171" s="8">
        <v>3375</v>
      </c>
    </row>
    <row r="1172" spans="1:23" ht="21.95" customHeight="1" x14ac:dyDescent="0.2">
      <c r="A1172" s="5" t="s">
        <v>17</v>
      </c>
      <c r="B1172" t="s">
        <v>1582</v>
      </c>
      <c r="C1172" t="s">
        <v>597</v>
      </c>
      <c r="D1172" t="s">
        <v>588</v>
      </c>
      <c r="E1172"/>
      <c r="F1172"/>
      <c r="G1172"/>
      <c r="H1172"/>
      <c r="I1172" s="10"/>
      <c r="J1172" s="10"/>
      <c r="K1172" s="7">
        <v>44005368</v>
      </c>
      <c r="L1172" s="5" t="str">
        <f t="shared" si="133"/>
        <v xml:space="preserve">AR SOHO DRESUAR </v>
      </c>
      <c r="M1172" s="8">
        <v>0.15</v>
      </c>
      <c r="N1172" s="8">
        <v>0.1</v>
      </c>
      <c r="O1172" s="8">
        <v>22455</v>
      </c>
      <c r="P1172" s="8">
        <f t="shared" si="130"/>
        <v>20209.5</v>
      </c>
      <c r="Q1172" s="12">
        <f t="shared" si="131"/>
        <v>42439.950000000004</v>
      </c>
      <c r="R1172" s="31">
        <f t="shared" si="132"/>
        <v>42400</v>
      </c>
      <c r="U1172" s="8">
        <v>5606</v>
      </c>
    </row>
    <row r="1173" spans="1:23" ht="21.95" customHeight="1" x14ac:dyDescent="0.2">
      <c r="A1173" s="5" t="s">
        <v>17</v>
      </c>
      <c r="B1173" t="s">
        <v>1582</v>
      </c>
      <c r="C1173" t="s">
        <v>597</v>
      </c>
      <c r="D1173" t="s">
        <v>600</v>
      </c>
      <c r="E1173"/>
      <c r="F1173"/>
      <c r="G1173"/>
      <c r="H1173"/>
      <c r="I1173" s="10"/>
      <c r="J1173" s="10"/>
      <c r="K1173" s="7">
        <v>44005369</v>
      </c>
      <c r="L1173" s="5" t="str">
        <f t="shared" ref="L1173:L1204" si="134">B1173&amp;" "&amp;C1173&amp;" "&amp;D1173</f>
        <v>AR SOHO TABLO BÜYÜK</v>
      </c>
      <c r="M1173" s="8">
        <v>0.15</v>
      </c>
      <c r="N1173" s="8">
        <v>0.1</v>
      </c>
      <c r="O1173" s="8">
        <v>9210</v>
      </c>
      <c r="P1173" s="8">
        <f t="shared" si="130"/>
        <v>8289</v>
      </c>
      <c r="Q1173" s="12">
        <f t="shared" si="131"/>
        <v>17406.900000000001</v>
      </c>
      <c r="R1173" s="31">
        <f t="shared" si="132"/>
        <v>17400</v>
      </c>
      <c r="U1173" s="8">
        <v>28281</v>
      </c>
    </row>
    <row r="1174" spans="1:23" ht="21.95" customHeight="1" x14ac:dyDescent="0.2">
      <c r="A1174" s="5" t="s">
        <v>17</v>
      </c>
      <c r="B1174" t="s">
        <v>1582</v>
      </c>
      <c r="C1174" t="s">
        <v>597</v>
      </c>
      <c r="D1174" t="s">
        <v>544</v>
      </c>
      <c r="E1174"/>
      <c r="F1174"/>
      <c r="G1174"/>
      <c r="H1174"/>
      <c r="I1174" s="10"/>
      <c r="J1174" s="10"/>
      <c r="K1174" s="7">
        <v>44005370</v>
      </c>
      <c r="L1174" s="5" t="str">
        <f t="shared" si="134"/>
        <v xml:space="preserve">AR SOHO TV ÜNİTESİ ALT MODÜL </v>
      </c>
      <c r="M1174" s="8">
        <v>0.15</v>
      </c>
      <c r="N1174" s="8">
        <v>0.1</v>
      </c>
      <c r="O1174" s="8">
        <v>28610</v>
      </c>
      <c r="P1174" s="8">
        <f t="shared" si="130"/>
        <v>25749</v>
      </c>
      <c r="Q1174" s="12">
        <f t="shared" si="131"/>
        <v>54072.9</v>
      </c>
      <c r="R1174" s="31">
        <f t="shared" si="132"/>
        <v>54000</v>
      </c>
      <c r="U1174" s="8">
        <v>15403</v>
      </c>
    </row>
    <row r="1175" spans="1:23" s="21" customFormat="1" ht="21.95" customHeight="1" x14ac:dyDescent="0.2">
      <c r="A1175" s="5" t="s">
        <v>17</v>
      </c>
      <c r="B1175" t="s">
        <v>1582</v>
      </c>
      <c r="C1175" t="s">
        <v>597</v>
      </c>
      <c r="D1175" t="s">
        <v>601</v>
      </c>
      <c r="E1175"/>
      <c r="F1175"/>
      <c r="G1175"/>
      <c r="H1175"/>
      <c r="I1175" s="10"/>
      <c r="J1175" s="10"/>
      <c r="K1175" s="7">
        <v>44005371</v>
      </c>
      <c r="L1175" s="5" t="str">
        <f t="shared" si="134"/>
        <v>AR SOHO ORTA SEHPA SERAMİK</v>
      </c>
      <c r="M1175" s="8">
        <v>0.15</v>
      </c>
      <c r="N1175" s="8">
        <v>0.1</v>
      </c>
      <c r="O1175" s="8">
        <v>17125</v>
      </c>
      <c r="P1175" s="8">
        <f t="shared" si="130"/>
        <v>15412.5</v>
      </c>
      <c r="Q1175" s="12">
        <f t="shared" si="131"/>
        <v>32366.25</v>
      </c>
      <c r="R1175" s="31">
        <f t="shared" si="132"/>
        <v>32300</v>
      </c>
      <c r="S1175" s="5"/>
      <c r="T1175" s="23"/>
      <c r="U1175" s="23"/>
      <c r="V1175" s="23"/>
      <c r="W1175" s="23"/>
    </row>
    <row r="1176" spans="1:23" s="6" customFormat="1" ht="21.95" customHeight="1" x14ac:dyDescent="0.2">
      <c r="A1176" s="5" t="s">
        <v>17</v>
      </c>
      <c r="B1176" t="s">
        <v>1582</v>
      </c>
      <c r="C1176" t="s">
        <v>597</v>
      </c>
      <c r="D1176" t="s">
        <v>538</v>
      </c>
      <c r="E1176"/>
      <c r="F1176"/>
      <c r="G1176"/>
      <c r="H1176"/>
      <c r="I1176" s="10"/>
      <c r="J1176" s="10"/>
      <c r="K1176" s="7">
        <v>44005372</v>
      </c>
      <c r="L1176" s="5" t="str">
        <f t="shared" si="134"/>
        <v>AR SOHO ORTA SEHPA AHŞAP</v>
      </c>
      <c r="M1176" s="8">
        <v>0.15</v>
      </c>
      <c r="N1176" s="8">
        <v>0.1</v>
      </c>
      <c r="O1176" s="8">
        <v>12600</v>
      </c>
      <c r="P1176" s="8">
        <f t="shared" si="130"/>
        <v>11340</v>
      </c>
      <c r="Q1176" s="12">
        <f t="shared" si="131"/>
        <v>23814</v>
      </c>
      <c r="R1176" s="31">
        <f t="shared" si="132"/>
        <v>23800</v>
      </c>
      <c r="S1176" s="5"/>
      <c r="T1176" s="12"/>
      <c r="U1176" s="12">
        <v>3379</v>
      </c>
      <c r="V1176" s="12"/>
      <c r="W1176" s="12"/>
    </row>
    <row r="1177" spans="1:23" s="21" customFormat="1" ht="21.95" customHeight="1" x14ac:dyDescent="0.2">
      <c r="A1177" s="5" t="s">
        <v>17</v>
      </c>
      <c r="B1177" t="s">
        <v>1582</v>
      </c>
      <c r="C1177" t="s">
        <v>597</v>
      </c>
      <c r="D1177" t="s">
        <v>30</v>
      </c>
      <c r="E1177"/>
      <c r="F1177"/>
      <c r="G1177"/>
      <c r="H1177"/>
      <c r="I1177" s="10"/>
      <c r="J1177" s="10"/>
      <c r="K1177" s="7">
        <v>44005373</v>
      </c>
      <c r="L1177" s="5" t="str">
        <f t="shared" si="134"/>
        <v>AR SOHO YAN SEHPA</v>
      </c>
      <c r="M1177" s="8">
        <v>0.15</v>
      </c>
      <c r="N1177" s="8">
        <v>0.1</v>
      </c>
      <c r="O1177" s="8">
        <v>9555</v>
      </c>
      <c r="P1177" s="8">
        <f t="shared" si="130"/>
        <v>8599.5</v>
      </c>
      <c r="Q1177" s="12">
        <f t="shared" si="131"/>
        <v>18058.95</v>
      </c>
      <c r="R1177" s="31">
        <f t="shared" si="132"/>
        <v>18000</v>
      </c>
      <c r="S1177" s="5"/>
      <c r="T1177" s="23"/>
      <c r="U1177" s="23"/>
      <c r="V1177" s="23"/>
      <c r="W1177" s="23"/>
    </row>
    <row r="1178" spans="1:23" ht="21.95" customHeight="1" x14ac:dyDescent="0.2">
      <c r="A1178" s="5" t="s">
        <v>17</v>
      </c>
      <c r="B1178" t="s">
        <v>1582</v>
      </c>
      <c r="C1178" t="s">
        <v>597</v>
      </c>
      <c r="D1178" t="s">
        <v>591</v>
      </c>
      <c r="E1178"/>
      <c r="F1178"/>
      <c r="G1178"/>
      <c r="H1178"/>
      <c r="I1178" s="10"/>
      <c r="J1178" s="10"/>
      <c r="K1178" s="7">
        <v>44005374</v>
      </c>
      <c r="L1178" s="5" t="str">
        <f t="shared" si="134"/>
        <v>AR SOHO SERVİS SEHPASI</v>
      </c>
      <c r="M1178" s="8">
        <v>0.15</v>
      </c>
      <c r="N1178" s="8">
        <v>0.1</v>
      </c>
      <c r="O1178" s="8">
        <v>8715</v>
      </c>
      <c r="P1178" s="8">
        <f t="shared" si="130"/>
        <v>7843.5</v>
      </c>
      <c r="Q1178" s="12">
        <f t="shared" si="131"/>
        <v>16471.350000000002</v>
      </c>
      <c r="R1178" s="31">
        <f t="shared" si="132"/>
        <v>16400</v>
      </c>
      <c r="U1178" s="8">
        <v>28281</v>
      </c>
    </row>
    <row r="1179" spans="1:23" ht="21.95" customHeight="1" x14ac:dyDescent="0.2">
      <c r="A1179" s="5" t="s">
        <v>17</v>
      </c>
      <c r="B1179" t="s">
        <v>1582</v>
      </c>
      <c r="C1179" t="s">
        <v>597</v>
      </c>
      <c r="D1179" t="s">
        <v>31</v>
      </c>
      <c r="E1179"/>
      <c r="F1179"/>
      <c r="G1179"/>
      <c r="H1179"/>
      <c r="I1179" s="10"/>
      <c r="J1179" s="10"/>
      <c r="K1179" s="7">
        <v>44005375</v>
      </c>
      <c r="L1179" s="5" t="str">
        <f t="shared" si="134"/>
        <v>AR SOHO KOLTUK 4 LÜ</v>
      </c>
      <c r="M1179" s="8">
        <v>0.15</v>
      </c>
      <c r="N1179" s="8">
        <v>0.1</v>
      </c>
      <c r="O1179" s="8">
        <v>32365</v>
      </c>
      <c r="P1179" s="8">
        <f t="shared" si="130"/>
        <v>29128.5</v>
      </c>
      <c r="Q1179" s="12">
        <f t="shared" si="131"/>
        <v>61169.850000000006</v>
      </c>
      <c r="R1179" s="31">
        <f t="shared" si="132"/>
        <v>61100</v>
      </c>
      <c r="U1179" s="8">
        <v>13145</v>
      </c>
    </row>
    <row r="1180" spans="1:23" s="21" customFormat="1" ht="21.95" customHeight="1" x14ac:dyDescent="0.2">
      <c r="A1180" s="5" t="s">
        <v>17</v>
      </c>
      <c r="B1180" t="s">
        <v>1582</v>
      </c>
      <c r="C1180" t="s">
        <v>597</v>
      </c>
      <c r="D1180" t="s">
        <v>32</v>
      </c>
      <c r="E1180"/>
      <c r="F1180"/>
      <c r="G1180"/>
      <c r="H1180"/>
      <c r="I1180" s="10"/>
      <c r="J1180" s="10"/>
      <c r="K1180" s="7">
        <v>44005376</v>
      </c>
      <c r="L1180" s="5" t="str">
        <f t="shared" si="134"/>
        <v>AR SOHO KOLTUK 3 LÜ</v>
      </c>
      <c r="M1180" s="8">
        <v>0.15</v>
      </c>
      <c r="N1180" s="8">
        <v>0.1</v>
      </c>
      <c r="O1180" s="8">
        <v>28930</v>
      </c>
      <c r="P1180" s="8">
        <f t="shared" si="130"/>
        <v>26037</v>
      </c>
      <c r="Q1180" s="12">
        <f t="shared" si="131"/>
        <v>54677.700000000004</v>
      </c>
      <c r="R1180" s="31">
        <f t="shared" si="132"/>
        <v>54600</v>
      </c>
      <c r="S1180" s="5"/>
      <c r="T1180" s="23"/>
      <c r="U1180" s="23"/>
      <c r="V1180" s="23"/>
      <c r="W1180" s="23"/>
    </row>
    <row r="1181" spans="1:23" ht="21.95" customHeight="1" x14ac:dyDescent="0.2">
      <c r="A1181" s="5" t="s">
        <v>17</v>
      </c>
      <c r="B1181" t="s">
        <v>1582</v>
      </c>
      <c r="C1181" t="s">
        <v>597</v>
      </c>
      <c r="D1181" t="s">
        <v>592</v>
      </c>
      <c r="E1181"/>
      <c r="F1181"/>
      <c r="G1181"/>
      <c r="H1181"/>
      <c r="I1181" s="10"/>
      <c r="J1181" s="10"/>
      <c r="K1181" s="7">
        <v>44005377</v>
      </c>
      <c r="L1181" s="5" t="str">
        <f t="shared" si="134"/>
        <v>AR SOHO KOLTUK TEKLİ</v>
      </c>
      <c r="M1181" s="8">
        <v>0.15</v>
      </c>
      <c r="N1181" s="8">
        <v>0.1</v>
      </c>
      <c r="O1181" s="8">
        <v>13755</v>
      </c>
      <c r="P1181" s="8">
        <f t="shared" si="130"/>
        <v>12379.5</v>
      </c>
      <c r="Q1181" s="12">
        <f t="shared" si="131"/>
        <v>25996.95</v>
      </c>
      <c r="R1181" s="31">
        <f t="shared" si="132"/>
        <v>25900</v>
      </c>
      <c r="U1181" s="8">
        <v>37904</v>
      </c>
    </row>
    <row r="1182" spans="1:23" ht="21.95" customHeight="1" x14ac:dyDescent="0.2">
      <c r="A1182" s="5" t="s">
        <v>17</v>
      </c>
      <c r="B1182" t="s">
        <v>1582</v>
      </c>
      <c r="C1182" t="s">
        <v>597</v>
      </c>
      <c r="D1182" t="s">
        <v>602</v>
      </c>
      <c r="E1182"/>
      <c r="F1182"/>
      <c r="G1182"/>
      <c r="H1182"/>
      <c r="I1182" s="10"/>
      <c r="J1182" s="10"/>
      <c r="K1182" s="7">
        <v>44005378</v>
      </c>
      <c r="L1182" s="5" t="str">
        <f t="shared" si="134"/>
        <v>AR SOHO KOLTUK TEKLİ OPSİYONEL</v>
      </c>
      <c r="M1182" s="8">
        <v>0.15</v>
      </c>
      <c r="N1182" s="8">
        <v>0.1</v>
      </c>
      <c r="O1182" s="8">
        <v>15395</v>
      </c>
      <c r="P1182" s="8">
        <f t="shared" si="130"/>
        <v>13855.5</v>
      </c>
      <c r="Q1182" s="12">
        <f t="shared" si="131"/>
        <v>29096.550000000003</v>
      </c>
      <c r="R1182" s="31">
        <f t="shared" si="132"/>
        <v>29000</v>
      </c>
      <c r="U1182" s="8">
        <v>31131</v>
      </c>
    </row>
    <row r="1183" spans="1:23" s="6" customFormat="1" ht="21.95" customHeight="1" x14ac:dyDescent="0.2">
      <c r="A1183" s="5" t="s">
        <v>17</v>
      </c>
      <c r="B1183" t="s">
        <v>1582</v>
      </c>
      <c r="C1183" t="s">
        <v>597</v>
      </c>
      <c r="D1183" t="s">
        <v>298</v>
      </c>
      <c r="E1183"/>
      <c r="F1183"/>
      <c r="G1183"/>
      <c r="H1183"/>
      <c r="I1183" s="10"/>
      <c r="J1183" s="10"/>
      <c r="K1183" s="7">
        <v>44005379</v>
      </c>
      <c r="L1183" s="5" t="str">
        <f t="shared" si="134"/>
        <v>AR SOHO DİNLENMELİ MODÜL</v>
      </c>
      <c r="M1183" s="8">
        <v>0.15</v>
      </c>
      <c r="N1183" s="8">
        <v>0.1</v>
      </c>
      <c r="O1183" s="8">
        <v>20870</v>
      </c>
      <c r="P1183" s="8">
        <f t="shared" si="130"/>
        <v>18783</v>
      </c>
      <c r="Q1183" s="12">
        <f t="shared" si="131"/>
        <v>39444.300000000003</v>
      </c>
      <c r="R1183" s="31">
        <f t="shared" si="132"/>
        <v>39400</v>
      </c>
      <c r="S1183" s="5"/>
      <c r="T1183" s="12"/>
      <c r="U1183" s="12">
        <v>11816</v>
      </c>
      <c r="V1183" s="12"/>
      <c r="W1183" s="12"/>
    </row>
    <row r="1184" spans="1:23" s="21" customFormat="1" ht="21.95" customHeight="1" x14ac:dyDescent="0.2">
      <c r="A1184" s="5" t="s">
        <v>17</v>
      </c>
      <c r="B1184" t="s">
        <v>1582</v>
      </c>
      <c r="C1184" t="s">
        <v>597</v>
      </c>
      <c r="D1184" t="s">
        <v>1873</v>
      </c>
      <c r="E1184"/>
      <c r="F1184"/>
      <c r="G1184"/>
      <c r="H1184"/>
      <c r="I1184" s="10"/>
      <c r="J1184" s="10"/>
      <c r="K1184" s="7">
        <v>44005380</v>
      </c>
      <c r="L1184" s="5" t="str">
        <f t="shared" si="134"/>
        <v>AR SOHO DİNLENMELİ PUF MODÜL</v>
      </c>
      <c r="M1184" s="8">
        <v>0.15</v>
      </c>
      <c r="N1184" s="8">
        <v>0.1</v>
      </c>
      <c r="O1184" s="8">
        <v>5950</v>
      </c>
      <c r="P1184" s="8">
        <f t="shared" si="130"/>
        <v>5355</v>
      </c>
      <c r="Q1184" s="12">
        <f t="shared" si="131"/>
        <v>11245.5</v>
      </c>
      <c r="R1184" s="31">
        <f t="shared" si="132"/>
        <v>11200</v>
      </c>
      <c r="S1184" s="5"/>
      <c r="T1184" s="23"/>
      <c r="U1184" s="23"/>
      <c r="V1184" s="23"/>
      <c r="W1184" s="23"/>
    </row>
    <row r="1185" spans="1:23" ht="21.95" customHeight="1" x14ac:dyDescent="0.2">
      <c r="A1185" s="5" t="s">
        <v>17</v>
      </c>
      <c r="B1185" t="s">
        <v>1582</v>
      </c>
      <c r="C1185" t="s">
        <v>597</v>
      </c>
      <c r="D1185" t="s">
        <v>603</v>
      </c>
      <c r="E1185"/>
      <c r="F1185"/>
      <c r="G1185"/>
      <c r="H1185"/>
      <c r="I1185" s="10"/>
      <c r="J1185" s="10"/>
      <c r="K1185" s="7">
        <v>44005381</v>
      </c>
      <c r="L1185" s="5" t="str">
        <f t="shared" si="134"/>
        <v>AR SOHO TEKLİ MODÜL KOLSUZ</v>
      </c>
      <c r="M1185" s="8">
        <v>0.15</v>
      </c>
      <c r="N1185" s="8">
        <v>0.1</v>
      </c>
      <c r="O1185" s="8">
        <v>11095</v>
      </c>
      <c r="P1185" s="8">
        <f t="shared" si="130"/>
        <v>9985.5</v>
      </c>
      <c r="Q1185" s="12">
        <f t="shared" si="131"/>
        <v>20969.55</v>
      </c>
      <c r="R1185" s="31">
        <f t="shared" si="132"/>
        <v>20900</v>
      </c>
      <c r="U1185" s="8">
        <v>34752</v>
      </c>
    </row>
    <row r="1186" spans="1:23" ht="21.95" customHeight="1" x14ac:dyDescent="0.2">
      <c r="A1186" s="5" t="s">
        <v>17</v>
      </c>
      <c r="B1186" t="s">
        <v>1582</v>
      </c>
      <c r="C1186" t="s">
        <v>597</v>
      </c>
      <c r="D1186" t="s">
        <v>604</v>
      </c>
      <c r="E1186"/>
      <c r="F1186"/>
      <c r="G1186"/>
      <c r="H1186"/>
      <c r="I1186" s="10"/>
      <c r="J1186" s="10"/>
      <c r="K1186" s="7">
        <v>44005382</v>
      </c>
      <c r="L1186" s="5" t="str">
        <f t="shared" si="134"/>
        <v>AR SOHO MODÜL KOLLU SOL</v>
      </c>
      <c r="M1186" s="8">
        <v>0.15</v>
      </c>
      <c r="N1186" s="8">
        <v>0.1</v>
      </c>
      <c r="O1186" s="8">
        <v>13490</v>
      </c>
      <c r="P1186" s="8">
        <f t="shared" si="130"/>
        <v>12141</v>
      </c>
      <c r="Q1186" s="12">
        <f t="shared" si="131"/>
        <v>25496.100000000002</v>
      </c>
      <c r="R1186" s="31">
        <f t="shared" si="132"/>
        <v>25400</v>
      </c>
      <c r="U1186" s="8">
        <v>28143</v>
      </c>
    </row>
    <row r="1187" spans="1:23" ht="21.95" customHeight="1" x14ac:dyDescent="0.2">
      <c r="A1187" s="5" t="s">
        <v>17</v>
      </c>
      <c r="B1187" t="s">
        <v>1582</v>
      </c>
      <c r="C1187" t="s">
        <v>597</v>
      </c>
      <c r="D1187" t="s">
        <v>605</v>
      </c>
      <c r="E1187"/>
      <c r="F1187"/>
      <c r="G1187"/>
      <c r="H1187"/>
      <c r="I1187" s="10"/>
      <c r="J1187" s="10"/>
      <c r="K1187" s="7">
        <v>44005383</v>
      </c>
      <c r="L1187" s="5" t="str">
        <f t="shared" si="134"/>
        <v>AR SOHO MODÜL KOLLU SAĞ</v>
      </c>
      <c r="M1187" s="8">
        <v>0.15</v>
      </c>
      <c r="N1187" s="8">
        <v>0.1</v>
      </c>
      <c r="O1187" s="8">
        <v>13320</v>
      </c>
      <c r="P1187" s="8">
        <f t="shared" si="130"/>
        <v>11988</v>
      </c>
      <c r="Q1187" s="12">
        <f t="shared" si="131"/>
        <v>25174.799999999999</v>
      </c>
      <c r="R1187" s="31">
        <f t="shared" si="132"/>
        <v>25100</v>
      </c>
      <c r="U1187" s="8">
        <v>10908</v>
      </c>
    </row>
    <row r="1188" spans="1:23" s="21" customFormat="1" ht="21.95" customHeight="1" x14ac:dyDescent="0.2">
      <c r="A1188" s="5" t="s">
        <v>17</v>
      </c>
      <c r="B1188" t="s">
        <v>1582</v>
      </c>
      <c r="C1188" t="s">
        <v>597</v>
      </c>
      <c r="D1188" t="s">
        <v>59</v>
      </c>
      <c r="E1188"/>
      <c r="F1188"/>
      <c r="G1188"/>
      <c r="H1188"/>
      <c r="I1188" s="10"/>
      <c r="J1188" s="10"/>
      <c r="K1188" s="7">
        <v>44005384</v>
      </c>
      <c r="L1188" s="5" t="str">
        <f t="shared" si="134"/>
        <v>AR SOHO KÖŞE MODÜL</v>
      </c>
      <c r="M1188" s="8">
        <v>0.15</v>
      </c>
      <c r="N1188" s="8">
        <v>0.1</v>
      </c>
      <c r="O1188" s="8">
        <v>13420</v>
      </c>
      <c r="P1188" s="8">
        <f t="shared" si="130"/>
        <v>12078</v>
      </c>
      <c r="Q1188" s="12">
        <f t="shared" si="131"/>
        <v>25363.8</v>
      </c>
      <c r="R1188" s="31">
        <f t="shared" si="132"/>
        <v>25300</v>
      </c>
      <c r="S1188" s="5"/>
      <c r="T1188" s="23"/>
      <c r="U1188" s="23"/>
      <c r="V1188" s="23"/>
      <c r="W1188" s="23"/>
    </row>
    <row r="1189" spans="1:23" s="21" customFormat="1" ht="21.95" customHeight="1" x14ac:dyDescent="0.2">
      <c r="A1189" s="5" t="s">
        <v>17</v>
      </c>
      <c r="B1189" t="s">
        <v>1582</v>
      </c>
      <c r="C1189" t="s">
        <v>597</v>
      </c>
      <c r="D1189" t="s">
        <v>606</v>
      </c>
      <c r="E1189"/>
      <c r="F1189"/>
      <c r="G1189"/>
      <c r="H1189"/>
      <c r="I1189" s="10"/>
      <c r="J1189" s="10"/>
      <c r="K1189" s="7">
        <v>44005385</v>
      </c>
      <c r="L1189" s="5" t="str">
        <f t="shared" si="134"/>
        <v>AR SOHO ARA MODÜL SEHPA (SARJ+SES SİSTEMİ)</v>
      </c>
      <c r="M1189" s="8">
        <v>0.15</v>
      </c>
      <c r="N1189" s="8">
        <v>0.1</v>
      </c>
      <c r="O1189" s="8">
        <v>20650</v>
      </c>
      <c r="P1189" s="8">
        <f t="shared" si="130"/>
        <v>18585</v>
      </c>
      <c r="Q1189" s="12">
        <f t="shared" si="131"/>
        <v>39028.5</v>
      </c>
      <c r="R1189" s="31">
        <f t="shared" si="132"/>
        <v>39000</v>
      </c>
      <c r="S1189" s="5"/>
      <c r="T1189" s="23"/>
      <c r="U1189" s="23"/>
      <c r="V1189" s="23"/>
      <c r="W1189" s="23"/>
    </row>
    <row r="1190" spans="1:23" s="21" customFormat="1" ht="21.95" customHeight="1" x14ac:dyDescent="0.2">
      <c r="A1190" s="5" t="s">
        <v>17</v>
      </c>
      <c r="B1190" t="s">
        <v>1582</v>
      </c>
      <c r="C1190" t="s">
        <v>597</v>
      </c>
      <c r="D1190" t="s">
        <v>593</v>
      </c>
      <c r="E1190"/>
      <c r="F1190"/>
      <c r="G1190"/>
      <c r="H1190"/>
      <c r="I1190" s="10"/>
      <c r="J1190" s="10"/>
      <c r="K1190" s="7">
        <v>44005386</v>
      </c>
      <c r="L1190" s="5" t="str">
        <f t="shared" si="134"/>
        <v>AR SOHO KARYOLA İÇ KAYITLI 160CM</v>
      </c>
      <c r="M1190" s="8">
        <v>0.15</v>
      </c>
      <c r="N1190" s="8">
        <v>0.1</v>
      </c>
      <c r="O1190" s="8">
        <v>25905</v>
      </c>
      <c r="P1190" s="8">
        <f t="shared" si="130"/>
        <v>23314.5</v>
      </c>
      <c r="Q1190" s="12">
        <f t="shared" si="131"/>
        <v>48960.450000000004</v>
      </c>
      <c r="R1190" s="31">
        <f t="shared" si="132"/>
        <v>48900</v>
      </c>
      <c r="S1190" s="5"/>
      <c r="T1190" s="23"/>
      <c r="U1190" s="23"/>
      <c r="V1190" s="23"/>
      <c r="W1190" s="23"/>
    </row>
    <row r="1191" spans="1:23" s="21" customFormat="1" ht="21.95" customHeight="1" x14ac:dyDescent="0.2">
      <c r="A1191" s="5" t="s">
        <v>17</v>
      </c>
      <c r="B1191" t="s">
        <v>1582</v>
      </c>
      <c r="C1191" t="s">
        <v>597</v>
      </c>
      <c r="D1191" t="s">
        <v>75</v>
      </c>
      <c r="E1191"/>
      <c r="F1191"/>
      <c r="G1191"/>
      <c r="H1191"/>
      <c r="I1191" s="10"/>
      <c r="J1191" s="10"/>
      <c r="K1191" s="7">
        <v>44005387</v>
      </c>
      <c r="L1191" s="5" t="str">
        <f t="shared" si="134"/>
        <v>AR SOHO KARYOLA BAZALI 160CM</v>
      </c>
      <c r="M1191" s="8">
        <v>0.15</v>
      </c>
      <c r="N1191" s="8">
        <v>0.1</v>
      </c>
      <c r="O1191" s="8">
        <v>30505</v>
      </c>
      <c r="P1191" s="8">
        <f t="shared" si="130"/>
        <v>27454.5</v>
      </c>
      <c r="Q1191" s="12">
        <f t="shared" si="131"/>
        <v>57654.450000000004</v>
      </c>
      <c r="R1191" s="31">
        <f t="shared" si="132"/>
        <v>57600</v>
      </c>
      <c r="S1191" s="5"/>
      <c r="T1191" s="23"/>
      <c r="U1191" s="23"/>
      <c r="V1191" s="23"/>
      <c r="W1191" s="23"/>
    </row>
    <row r="1192" spans="1:23" ht="21.95" customHeight="1" x14ac:dyDescent="0.2">
      <c r="A1192" s="5" t="s">
        <v>17</v>
      </c>
      <c r="B1192" t="s">
        <v>1582</v>
      </c>
      <c r="C1192" t="s">
        <v>597</v>
      </c>
      <c r="D1192" t="s">
        <v>76</v>
      </c>
      <c r="E1192"/>
      <c r="F1192"/>
      <c r="G1192"/>
      <c r="H1192"/>
      <c r="I1192" s="10"/>
      <c r="J1192" s="10"/>
      <c r="K1192" s="7">
        <v>44005388</v>
      </c>
      <c r="L1192" s="5" t="str">
        <f t="shared" si="134"/>
        <v>AR SOHO KARYOLA BAZALI 180CM</v>
      </c>
      <c r="M1192" s="8">
        <v>0.15</v>
      </c>
      <c r="N1192" s="8">
        <v>0.1</v>
      </c>
      <c r="O1192" s="8">
        <v>33005</v>
      </c>
      <c r="P1192" s="8">
        <f t="shared" si="130"/>
        <v>29704.5</v>
      </c>
      <c r="Q1192" s="12">
        <f t="shared" si="131"/>
        <v>62379.450000000004</v>
      </c>
      <c r="R1192" s="31">
        <f t="shared" si="132"/>
        <v>62300</v>
      </c>
      <c r="U1192" s="8">
        <v>35514</v>
      </c>
    </row>
    <row r="1193" spans="1:23" ht="21.95" customHeight="1" x14ac:dyDescent="0.2">
      <c r="A1193" s="5" t="s">
        <v>17</v>
      </c>
      <c r="B1193" t="s">
        <v>1582</v>
      </c>
      <c r="C1193" t="s">
        <v>597</v>
      </c>
      <c r="D1193" t="s">
        <v>594</v>
      </c>
      <c r="E1193"/>
      <c r="F1193"/>
      <c r="G1193"/>
      <c r="H1193"/>
      <c r="I1193" s="10"/>
      <c r="J1193" s="10"/>
      <c r="K1193" s="7">
        <v>44005389</v>
      </c>
      <c r="L1193" s="5" t="str">
        <f t="shared" si="134"/>
        <v>AR SOHO KARYOLA İÇ KAYITLI 180CM</v>
      </c>
      <c r="M1193" s="8">
        <v>0.15</v>
      </c>
      <c r="N1193" s="8">
        <v>0.1</v>
      </c>
      <c r="O1193" s="8">
        <v>28405</v>
      </c>
      <c r="P1193" s="8">
        <f t="shared" si="130"/>
        <v>25564.5</v>
      </c>
      <c r="Q1193" s="12">
        <f t="shared" si="131"/>
        <v>53685.450000000004</v>
      </c>
      <c r="R1193" s="31">
        <f t="shared" si="132"/>
        <v>53600</v>
      </c>
      <c r="U1193" s="8">
        <v>27250</v>
      </c>
    </row>
    <row r="1194" spans="1:23" ht="21.95" customHeight="1" x14ac:dyDescent="0.2">
      <c r="A1194" s="5" t="s">
        <v>17</v>
      </c>
      <c r="B1194" t="s">
        <v>1582</v>
      </c>
      <c r="C1194" t="s">
        <v>597</v>
      </c>
      <c r="D1194" t="s">
        <v>126</v>
      </c>
      <c r="E1194"/>
      <c r="F1194"/>
      <c r="G1194"/>
      <c r="H1194"/>
      <c r="I1194" s="10"/>
      <c r="J1194" s="10"/>
      <c r="K1194" s="7">
        <v>44005390</v>
      </c>
      <c r="L1194" s="5" t="str">
        <f t="shared" si="134"/>
        <v>AR SOHO ÇAMAŞIRLIK</v>
      </c>
      <c r="M1194" s="8">
        <v>0.15</v>
      </c>
      <c r="N1194" s="8">
        <v>0.1</v>
      </c>
      <c r="O1194" s="8">
        <v>12130</v>
      </c>
      <c r="P1194" s="8">
        <f t="shared" si="130"/>
        <v>10917</v>
      </c>
      <c r="Q1194" s="12">
        <f t="shared" si="131"/>
        <v>22925.7</v>
      </c>
      <c r="R1194" s="31">
        <f t="shared" si="132"/>
        <v>22900</v>
      </c>
      <c r="U1194" s="8">
        <v>15019</v>
      </c>
    </row>
    <row r="1195" spans="1:23" ht="21.95" customHeight="1" x14ac:dyDescent="0.2">
      <c r="A1195" s="5" t="s">
        <v>17</v>
      </c>
      <c r="B1195" t="s">
        <v>1582</v>
      </c>
      <c r="C1195" t="s">
        <v>597</v>
      </c>
      <c r="D1195" t="s">
        <v>82</v>
      </c>
      <c r="E1195"/>
      <c r="F1195"/>
      <c r="G1195"/>
      <c r="H1195"/>
      <c r="I1195" s="10"/>
      <c r="J1195" s="10"/>
      <c r="K1195" s="7">
        <v>44005391</v>
      </c>
      <c r="L1195" s="5" t="str">
        <f t="shared" si="134"/>
        <v>AR SOHO BOY AYNASI</v>
      </c>
      <c r="M1195" s="8">
        <v>0.15</v>
      </c>
      <c r="N1195" s="8">
        <v>0.1</v>
      </c>
      <c r="O1195" s="8">
        <v>4305</v>
      </c>
      <c r="P1195" s="8">
        <f t="shared" si="130"/>
        <v>3874.5</v>
      </c>
      <c r="Q1195" s="12">
        <f t="shared" si="131"/>
        <v>8136.4500000000007</v>
      </c>
      <c r="R1195" s="31">
        <f t="shared" si="132"/>
        <v>8100</v>
      </c>
      <c r="U1195" s="8">
        <v>25888</v>
      </c>
    </row>
    <row r="1196" spans="1:23" s="21" customFormat="1" ht="21.95" customHeight="1" x14ac:dyDescent="0.2">
      <c r="A1196" s="5" t="s">
        <v>17</v>
      </c>
      <c r="B1196" t="s">
        <v>1582</v>
      </c>
      <c r="C1196" t="s">
        <v>597</v>
      </c>
      <c r="D1196" t="s">
        <v>596</v>
      </c>
      <c r="E1196"/>
      <c r="F1196"/>
      <c r="G1196"/>
      <c r="H1196"/>
      <c r="I1196" s="10"/>
      <c r="J1196" s="10"/>
      <c r="K1196" s="7">
        <v>44005392</v>
      </c>
      <c r="L1196" s="5" t="str">
        <f t="shared" si="134"/>
        <v>AR SOHO MAKYAJ PUFU</v>
      </c>
      <c r="M1196" s="8">
        <v>0.15</v>
      </c>
      <c r="N1196" s="8">
        <v>0.1</v>
      </c>
      <c r="O1196" s="8">
        <v>3460</v>
      </c>
      <c r="P1196" s="8">
        <f t="shared" si="130"/>
        <v>3114</v>
      </c>
      <c r="Q1196" s="12">
        <f t="shared" si="131"/>
        <v>6539.4000000000005</v>
      </c>
      <c r="R1196" s="31">
        <f t="shared" si="132"/>
        <v>6500</v>
      </c>
      <c r="S1196" s="5"/>
      <c r="T1196" s="23"/>
      <c r="U1196" s="23"/>
      <c r="V1196" s="23"/>
      <c r="W1196" s="23"/>
    </row>
    <row r="1197" spans="1:23" s="21" customFormat="1" ht="21.95" customHeight="1" x14ac:dyDescent="0.2">
      <c r="A1197" s="5"/>
      <c r="B1197" t="s">
        <v>1582</v>
      </c>
      <c r="C1197" t="s">
        <v>597</v>
      </c>
      <c r="D1197" t="s">
        <v>361</v>
      </c>
      <c r="E1197"/>
      <c r="F1197"/>
      <c r="G1197"/>
      <c r="H1197"/>
      <c r="I1197" s="10"/>
      <c r="J1197" s="10"/>
      <c r="K1197" s="7">
        <v>44005393</v>
      </c>
      <c r="L1197" s="5" t="str">
        <f t="shared" si="134"/>
        <v>AR SOHO DOLAP</v>
      </c>
      <c r="M1197" s="8"/>
      <c r="N1197" s="8"/>
      <c r="O1197" s="8"/>
      <c r="P1197" s="8"/>
      <c r="Q1197" s="12"/>
      <c r="R1197" s="31"/>
      <c r="S1197" s="5"/>
      <c r="T1197" s="23"/>
      <c r="U1197" s="23"/>
      <c r="V1197" s="23"/>
      <c r="W1197" s="23"/>
    </row>
    <row r="1198" spans="1:23" s="21" customFormat="1" ht="21.95" customHeight="1" x14ac:dyDescent="0.2">
      <c r="A1198" s="5"/>
      <c r="B1198" t="s">
        <v>1582</v>
      </c>
      <c r="C1198" t="s">
        <v>597</v>
      </c>
      <c r="D1198" t="s">
        <v>595</v>
      </c>
      <c r="E1198"/>
      <c r="F1198"/>
      <c r="G1198"/>
      <c r="H1198"/>
      <c r="I1198" s="10"/>
      <c r="J1198" s="10"/>
      <c r="K1198" s="7">
        <v>44005394</v>
      </c>
      <c r="L1198" s="5" t="str">
        <f t="shared" si="134"/>
        <v>AR SOHO ŞİFONYER &amp; AYNASI</v>
      </c>
      <c r="M1198" s="8"/>
      <c r="N1198" s="8"/>
      <c r="O1198" s="8"/>
      <c r="P1198" s="8"/>
      <c r="Q1198" s="12"/>
      <c r="R1198" s="31"/>
      <c r="S1198" s="5"/>
      <c r="T1198" s="23"/>
      <c r="U1198" s="23"/>
      <c r="V1198" s="23"/>
      <c r="W1198" s="23"/>
    </row>
    <row r="1199" spans="1:23" s="21" customFormat="1" ht="21.95" customHeight="1" x14ac:dyDescent="0.2">
      <c r="A1199" s="5"/>
      <c r="B1199" t="s">
        <v>1582</v>
      </c>
      <c r="C1199" t="s">
        <v>597</v>
      </c>
      <c r="D1199" t="s">
        <v>362</v>
      </c>
      <c r="E1199"/>
      <c r="F1199"/>
      <c r="G1199"/>
      <c r="H1199"/>
      <c r="I1199" s="10"/>
      <c r="J1199" s="10"/>
      <c r="K1199" s="7">
        <v>44005395</v>
      </c>
      <c r="L1199" s="5" t="str">
        <f t="shared" si="134"/>
        <v>AR SOHO KOMODİN</v>
      </c>
      <c r="M1199" s="8"/>
      <c r="N1199" s="8"/>
      <c r="O1199" s="8"/>
      <c r="P1199" s="8"/>
      <c r="Q1199" s="12"/>
      <c r="R1199" s="31"/>
      <c r="S1199" s="5"/>
      <c r="T1199" s="23"/>
      <c r="U1199" s="23"/>
      <c r="V1199" s="23"/>
      <c r="W1199" s="23"/>
    </row>
    <row r="1200" spans="1:23" ht="21.95" customHeight="1" x14ac:dyDescent="0.2">
      <c r="A1200" s="5" t="s">
        <v>17</v>
      </c>
      <c r="B1200" t="s">
        <v>1582</v>
      </c>
      <c r="C1200" t="s">
        <v>607</v>
      </c>
      <c r="D1200" t="s">
        <v>49</v>
      </c>
      <c r="E1200"/>
      <c r="F1200"/>
      <c r="G1200"/>
      <c r="H1200"/>
      <c r="I1200" s="10"/>
      <c r="J1200" s="10"/>
      <c r="K1200" s="7">
        <v>44005396</v>
      </c>
      <c r="L1200" s="5" t="str">
        <f t="shared" si="134"/>
        <v>AR PALERMO KONSOL</v>
      </c>
      <c r="M1200" s="8">
        <v>0.15</v>
      </c>
      <c r="N1200" s="8">
        <v>0.1</v>
      </c>
      <c r="O1200" s="8">
        <v>22450</v>
      </c>
      <c r="P1200" s="8">
        <f t="shared" ref="P1200:P1263" si="135">O1200*(1-N1200)</f>
        <v>20205</v>
      </c>
      <c r="Q1200" s="12">
        <f t="shared" ref="Q1200:Q1263" si="136">O1200*(1-N1200)*2.1</f>
        <v>42430.5</v>
      </c>
      <c r="R1200" s="31">
        <f t="shared" ref="R1200:R1263" si="137">ROUNDDOWN(Q1200,-2)</f>
        <v>42400</v>
      </c>
      <c r="U1200" s="8">
        <v>48648</v>
      </c>
    </row>
    <row r="1201" spans="1:23" ht="21.95" customHeight="1" x14ac:dyDescent="0.2">
      <c r="A1201" s="5" t="s">
        <v>17</v>
      </c>
      <c r="B1201" t="s">
        <v>1582</v>
      </c>
      <c r="C1201" t="s">
        <v>607</v>
      </c>
      <c r="D1201" t="s">
        <v>608</v>
      </c>
      <c r="E1201"/>
      <c r="F1201"/>
      <c r="G1201"/>
      <c r="H1201"/>
      <c r="I1201" s="10"/>
      <c r="J1201" s="10"/>
      <c r="K1201" s="7">
        <v>44005397</v>
      </c>
      <c r="L1201" s="5" t="str">
        <f t="shared" si="134"/>
        <v>AR PALERMO MASA  210CM</v>
      </c>
      <c r="M1201" s="8">
        <v>0.15</v>
      </c>
      <c r="N1201" s="8">
        <v>0.1</v>
      </c>
      <c r="O1201" s="8">
        <v>19570</v>
      </c>
      <c r="P1201" s="8">
        <f t="shared" si="135"/>
        <v>17613</v>
      </c>
      <c r="Q1201" s="12">
        <f t="shared" si="136"/>
        <v>36987.300000000003</v>
      </c>
      <c r="R1201" s="31">
        <f t="shared" si="137"/>
        <v>36900</v>
      </c>
      <c r="T1201" s="12"/>
      <c r="U1201" s="8">
        <v>5503</v>
      </c>
    </row>
    <row r="1202" spans="1:23" ht="21.95" customHeight="1" x14ac:dyDescent="0.2">
      <c r="A1202" s="5" t="s">
        <v>17</v>
      </c>
      <c r="B1202" t="s">
        <v>1582</v>
      </c>
      <c r="C1202" t="s">
        <v>607</v>
      </c>
      <c r="D1202" t="s">
        <v>587</v>
      </c>
      <c r="E1202"/>
      <c r="F1202"/>
      <c r="G1202"/>
      <c r="H1202"/>
      <c r="I1202" s="10"/>
      <c r="J1202" s="10"/>
      <c r="K1202" s="7">
        <v>44005398</v>
      </c>
      <c r="L1202" s="5" t="str">
        <f t="shared" si="134"/>
        <v>AR PALERMO MASA 180CM</v>
      </c>
      <c r="M1202" s="8">
        <v>0.15</v>
      </c>
      <c r="N1202" s="8">
        <v>0.1</v>
      </c>
      <c r="O1202" s="8">
        <v>25441</v>
      </c>
      <c r="P1202" s="8">
        <f t="shared" si="135"/>
        <v>22896.9</v>
      </c>
      <c r="Q1202" s="12">
        <f t="shared" si="136"/>
        <v>48083.490000000005</v>
      </c>
      <c r="R1202" s="31">
        <f t="shared" si="137"/>
        <v>48000</v>
      </c>
      <c r="U1202" s="8">
        <v>30231</v>
      </c>
    </row>
    <row r="1203" spans="1:23" ht="21.95" customHeight="1" x14ac:dyDescent="0.2">
      <c r="A1203" s="5" t="s">
        <v>17</v>
      </c>
      <c r="B1203" t="s">
        <v>1582</v>
      </c>
      <c r="C1203" t="s">
        <v>607</v>
      </c>
      <c r="D1203" t="s">
        <v>24</v>
      </c>
      <c r="E1203"/>
      <c r="F1203"/>
      <c r="G1203"/>
      <c r="H1203"/>
      <c r="I1203" s="10"/>
      <c r="J1203" s="10"/>
      <c r="K1203" s="7">
        <v>44005399</v>
      </c>
      <c r="L1203" s="5" t="str">
        <f t="shared" si="134"/>
        <v>AR PALERMO MASA 240CM</v>
      </c>
      <c r="M1203" s="8">
        <v>0.15</v>
      </c>
      <c r="N1203" s="8">
        <v>0.1</v>
      </c>
      <c r="O1203" s="8">
        <v>29075</v>
      </c>
      <c r="P1203" s="8">
        <f t="shared" si="135"/>
        <v>26167.5</v>
      </c>
      <c r="Q1203" s="12">
        <f t="shared" si="136"/>
        <v>54951.75</v>
      </c>
      <c r="R1203" s="31">
        <f t="shared" si="137"/>
        <v>54900</v>
      </c>
      <c r="U1203" s="8">
        <v>4506</v>
      </c>
    </row>
    <row r="1204" spans="1:23" ht="21.95" customHeight="1" x14ac:dyDescent="0.2">
      <c r="A1204" s="5" t="s">
        <v>17</v>
      </c>
      <c r="B1204" t="s">
        <v>1582</v>
      </c>
      <c r="C1204" t="s">
        <v>607</v>
      </c>
      <c r="D1204" t="s">
        <v>358</v>
      </c>
      <c r="E1204"/>
      <c r="F1204"/>
      <c r="G1204"/>
      <c r="H1204"/>
      <c r="I1204" s="10"/>
      <c r="J1204" s="10"/>
      <c r="K1204" s="7">
        <v>44005400</v>
      </c>
      <c r="L1204" s="5" t="str">
        <f t="shared" si="134"/>
        <v xml:space="preserve">AR PALERMO SANDALYE </v>
      </c>
      <c r="M1204" s="8">
        <v>0.15</v>
      </c>
      <c r="N1204" s="8">
        <v>0.1</v>
      </c>
      <c r="O1204" s="8">
        <v>5530</v>
      </c>
      <c r="P1204" s="8">
        <f t="shared" si="135"/>
        <v>4977</v>
      </c>
      <c r="Q1204" s="12">
        <f t="shared" si="136"/>
        <v>10451.700000000001</v>
      </c>
      <c r="R1204" s="31">
        <f t="shared" si="137"/>
        <v>10400</v>
      </c>
      <c r="U1204" s="8">
        <v>28778</v>
      </c>
    </row>
    <row r="1205" spans="1:23" s="21" customFormat="1" ht="21.95" customHeight="1" x14ac:dyDescent="0.2">
      <c r="A1205" s="5" t="s">
        <v>17</v>
      </c>
      <c r="B1205" t="s">
        <v>1582</v>
      </c>
      <c r="C1205" t="s">
        <v>607</v>
      </c>
      <c r="D1205" t="s">
        <v>588</v>
      </c>
      <c r="E1205"/>
      <c r="F1205"/>
      <c r="G1205"/>
      <c r="H1205"/>
      <c r="I1205" s="10"/>
      <c r="J1205" s="10"/>
      <c r="K1205" s="7">
        <v>44005401</v>
      </c>
      <c r="L1205" s="5" t="str">
        <f t="shared" ref="L1205:L1228" si="138">B1205&amp;" "&amp;C1205&amp;" "&amp;D1205</f>
        <v xml:space="preserve">AR PALERMO DRESUAR </v>
      </c>
      <c r="M1205" s="8">
        <v>0.15</v>
      </c>
      <c r="N1205" s="8">
        <v>0.1</v>
      </c>
      <c r="O1205" s="8">
        <v>19440</v>
      </c>
      <c r="P1205" s="8">
        <f t="shared" si="135"/>
        <v>17496</v>
      </c>
      <c r="Q1205" s="12">
        <f t="shared" si="136"/>
        <v>36741.599999999999</v>
      </c>
      <c r="R1205" s="31">
        <f t="shared" si="137"/>
        <v>36700</v>
      </c>
      <c r="S1205" s="5"/>
      <c r="T1205" s="23"/>
      <c r="U1205" s="23"/>
      <c r="V1205" s="23"/>
      <c r="W1205" s="23"/>
    </row>
    <row r="1206" spans="1:23" s="21" customFormat="1" ht="21.95" customHeight="1" x14ac:dyDescent="0.2">
      <c r="A1206" s="5" t="s">
        <v>17</v>
      </c>
      <c r="B1206" t="s">
        <v>1582</v>
      </c>
      <c r="C1206" t="s">
        <v>607</v>
      </c>
      <c r="D1206" t="s">
        <v>598</v>
      </c>
      <c r="E1206"/>
      <c r="F1206"/>
      <c r="G1206"/>
      <c r="H1206"/>
      <c r="I1206" s="10"/>
      <c r="J1206" s="10"/>
      <c r="K1206" s="7">
        <v>44005402</v>
      </c>
      <c r="L1206" s="5" t="str">
        <f t="shared" si="138"/>
        <v>AR PALERMO TABLO KÜÇÜK</v>
      </c>
      <c r="M1206" s="8">
        <v>0.15</v>
      </c>
      <c r="N1206" s="8">
        <v>0.1</v>
      </c>
      <c r="O1206" s="8">
        <v>4145</v>
      </c>
      <c r="P1206" s="8">
        <f t="shared" si="135"/>
        <v>3730.5</v>
      </c>
      <c r="Q1206" s="12">
        <f t="shared" si="136"/>
        <v>7834.05</v>
      </c>
      <c r="R1206" s="31">
        <f t="shared" si="137"/>
        <v>7800</v>
      </c>
      <c r="S1206" s="5"/>
      <c r="T1206" s="23"/>
      <c r="U1206" s="23"/>
      <c r="V1206" s="23"/>
      <c r="W1206" s="23"/>
    </row>
    <row r="1207" spans="1:23" s="21" customFormat="1" ht="21.95" customHeight="1" x14ac:dyDescent="0.2">
      <c r="A1207" s="5" t="s">
        <v>17</v>
      </c>
      <c r="B1207" t="s">
        <v>1582</v>
      </c>
      <c r="C1207" t="s">
        <v>607</v>
      </c>
      <c r="D1207" t="s">
        <v>600</v>
      </c>
      <c r="E1207"/>
      <c r="F1207"/>
      <c r="G1207"/>
      <c r="H1207"/>
      <c r="I1207" s="10"/>
      <c r="J1207" s="10"/>
      <c r="K1207" s="7">
        <v>44005403</v>
      </c>
      <c r="L1207" s="5" t="str">
        <f t="shared" si="138"/>
        <v>AR PALERMO TABLO BÜYÜK</v>
      </c>
      <c r="M1207" s="8">
        <v>0.15</v>
      </c>
      <c r="N1207" s="8">
        <v>0.1</v>
      </c>
      <c r="O1207" s="8">
        <v>8160</v>
      </c>
      <c r="P1207" s="8">
        <f t="shared" si="135"/>
        <v>7344</v>
      </c>
      <c r="Q1207" s="12">
        <f t="shared" si="136"/>
        <v>15422.400000000001</v>
      </c>
      <c r="R1207" s="31">
        <f t="shared" si="137"/>
        <v>15400</v>
      </c>
      <c r="T1207" s="23"/>
      <c r="U1207" s="23">
        <v>6698</v>
      </c>
      <c r="V1207" s="23"/>
      <c r="W1207" s="23"/>
    </row>
    <row r="1208" spans="1:23" s="21" customFormat="1" ht="21.95" customHeight="1" x14ac:dyDescent="0.2">
      <c r="A1208" s="5" t="s">
        <v>17</v>
      </c>
      <c r="B1208" t="s">
        <v>1582</v>
      </c>
      <c r="C1208" t="s">
        <v>607</v>
      </c>
      <c r="D1208" t="s">
        <v>609</v>
      </c>
      <c r="E1208"/>
      <c r="F1208"/>
      <c r="G1208"/>
      <c r="H1208"/>
      <c r="I1208" s="10"/>
      <c r="J1208" s="10"/>
      <c r="K1208" s="7">
        <v>44005404</v>
      </c>
      <c r="L1208" s="5" t="str">
        <f t="shared" si="138"/>
        <v>AR PALERMO TV ÜNİTESİ ÜST KAPAKLI MODÜL</v>
      </c>
      <c r="M1208" s="8">
        <v>0.15</v>
      </c>
      <c r="N1208" s="8">
        <v>0.1</v>
      </c>
      <c r="O1208" s="8">
        <v>10555</v>
      </c>
      <c r="P1208" s="8">
        <f t="shared" si="135"/>
        <v>9499.5</v>
      </c>
      <c r="Q1208" s="12">
        <f t="shared" si="136"/>
        <v>19948.95</v>
      </c>
      <c r="R1208" s="31">
        <f t="shared" si="137"/>
        <v>19900</v>
      </c>
      <c r="T1208" s="23"/>
      <c r="U1208" s="23">
        <v>6253</v>
      </c>
      <c r="V1208" s="23"/>
      <c r="W1208" s="23"/>
    </row>
    <row r="1209" spans="1:23" s="21" customFormat="1" ht="21.95" customHeight="1" x14ac:dyDescent="0.2">
      <c r="A1209" s="5" t="s">
        <v>17</v>
      </c>
      <c r="B1209" t="s">
        <v>1582</v>
      </c>
      <c r="C1209" t="s">
        <v>607</v>
      </c>
      <c r="D1209" t="s">
        <v>610</v>
      </c>
      <c r="E1209"/>
      <c r="F1209"/>
      <c r="G1209"/>
      <c r="H1209"/>
      <c r="I1209" s="10"/>
      <c r="J1209" s="10"/>
      <c r="K1209" s="7">
        <v>44005405</v>
      </c>
      <c r="L1209" s="5" t="str">
        <f t="shared" si="138"/>
        <v>AR PALERMO TV ÜNİTESİ SOL TEKLİ MODÜL</v>
      </c>
      <c r="M1209" s="8">
        <v>0.15</v>
      </c>
      <c r="N1209" s="8">
        <v>0.1</v>
      </c>
      <c r="O1209" s="8">
        <v>5760</v>
      </c>
      <c r="P1209" s="8">
        <f t="shared" si="135"/>
        <v>5184</v>
      </c>
      <c r="Q1209" s="12">
        <f t="shared" si="136"/>
        <v>10886.4</v>
      </c>
      <c r="R1209" s="31">
        <f t="shared" si="137"/>
        <v>10800</v>
      </c>
      <c r="T1209" s="23"/>
      <c r="U1209" s="23">
        <v>19697</v>
      </c>
      <c r="V1209" s="23"/>
      <c r="W1209" s="23"/>
    </row>
    <row r="1210" spans="1:23" s="21" customFormat="1" ht="21.95" customHeight="1" x14ac:dyDescent="0.2">
      <c r="A1210" s="5" t="s">
        <v>17</v>
      </c>
      <c r="B1210" t="s">
        <v>1582</v>
      </c>
      <c r="C1210" t="s">
        <v>607</v>
      </c>
      <c r="D1210" t="s">
        <v>611</v>
      </c>
      <c r="E1210"/>
      <c r="F1210"/>
      <c r="G1210"/>
      <c r="H1210"/>
      <c r="I1210" s="10"/>
      <c r="J1210" s="10"/>
      <c r="K1210" s="7">
        <v>44005406</v>
      </c>
      <c r="L1210" s="5" t="str">
        <f t="shared" si="138"/>
        <v>AR PALERMO TV ÜNİTESİ SOL ÇİFTLİ MODÜL</v>
      </c>
      <c r="M1210" s="8">
        <v>0.15</v>
      </c>
      <c r="N1210" s="8">
        <v>0.1</v>
      </c>
      <c r="O1210" s="8">
        <v>11300</v>
      </c>
      <c r="P1210" s="8">
        <f t="shared" si="135"/>
        <v>10170</v>
      </c>
      <c r="Q1210" s="12">
        <f t="shared" si="136"/>
        <v>21357</v>
      </c>
      <c r="R1210" s="31">
        <f t="shared" si="137"/>
        <v>21300</v>
      </c>
      <c r="T1210" s="23"/>
      <c r="U1210" s="23"/>
      <c r="V1210" s="23"/>
      <c r="W1210" s="23"/>
    </row>
    <row r="1211" spans="1:23" s="21" customFormat="1" ht="21.95" customHeight="1" x14ac:dyDescent="0.2">
      <c r="A1211" s="5" t="s">
        <v>17</v>
      </c>
      <c r="B1211" t="s">
        <v>1582</v>
      </c>
      <c r="C1211" t="s">
        <v>607</v>
      </c>
      <c r="D1211" t="s">
        <v>612</v>
      </c>
      <c r="E1211"/>
      <c r="F1211"/>
      <c r="G1211"/>
      <c r="H1211"/>
      <c r="I1211" s="10"/>
      <c r="J1211" s="10"/>
      <c r="K1211" s="7">
        <v>44005407</v>
      </c>
      <c r="L1211" s="5" t="str">
        <f t="shared" si="138"/>
        <v>AR PALERMO TV ÜNİTESİ SAĞ RAF MODÜL</v>
      </c>
      <c r="M1211" s="8">
        <v>0.15</v>
      </c>
      <c r="N1211" s="8">
        <v>0.1</v>
      </c>
      <c r="O1211" s="8">
        <v>12260</v>
      </c>
      <c r="P1211" s="8">
        <f t="shared" si="135"/>
        <v>11034</v>
      </c>
      <c r="Q1211" s="12">
        <f t="shared" si="136"/>
        <v>23171.4</v>
      </c>
      <c r="R1211" s="31">
        <f t="shared" si="137"/>
        <v>23100</v>
      </c>
      <c r="T1211" s="23"/>
      <c r="U1211" s="23"/>
      <c r="V1211" s="23"/>
      <c r="W1211" s="23"/>
    </row>
    <row r="1212" spans="1:23" s="21" customFormat="1" ht="21.95" customHeight="1" x14ac:dyDescent="0.2">
      <c r="A1212" s="5" t="s">
        <v>17</v>
      </c>
      <c r="B1212" t="s">
        <v>1582</v>
      </c>
      <c r="C1212" t="s">
        <v>607</v>
      </c>
      <c r="D1212" t="s">
        <v>601</v>
      </c>
      <c r="E1212"/>
      <c r="F1212"/>
      <c r="G1212"/>
      <c r="H1212"/>
      <c r="I1212" s="10"/>
      <c r="J1212" s="10"/>
      <c r="K1212" s="7">
        <v>44005408</v>
      </c>
      <c r="L1212" s="5" t="str">
        <f t="shared" si="138"/>
        <v>AR PALERMO ORTA SEHPA SERAMİK</v>
      </c>
      <c r="M1212" s="8">
        <v>0.15</v>
      </c>
      <c r="N1212" s="8">
        <v>0.1</v>
      </c>
      <c r="O1212" s="8">
        <v>19845</v>
      </c>
      <c r="P1212" s="8">
        <f t="shared" si="135"/>
        <v>17860.5</v>
      </c>
      <c r="Q1212" s="12">
        <f t="shared" si="136"/>
        <v>37507.050000000003</v>
      </c>
      <c r="R1212" s="31">
        <f t="shared" si="137"/>
        <v>37500</v>
      </c>
      <c r="T1212" s="23"/>
      <c r="U1212" s="23">
        <v>5169</v>
      </c>
      <c r="V1212" s="23"/>
      <c r="W1212" s="23"/>
    </row>
    <row r="1213" spans="1:23" s="21" customFormat="1" ht="21.95" customHeight="1" x14ac:dyDescent="0.2">
      <c r="A1213" s="5" t="s">
        <v>17</v>
      </c>
      <c r="B1213" t="s">
        <v>1582</v>
      </c>
      <c r="C1213" t="s">
        <v>607</v>
      </c>
      <c r="D1213" t="s">
        <v>538</v>
      </c>
      <c r="E1213"/>
      <c r="F1213"/>
      <c r="G1213"/>
      <c r="H1213"/>
      <c r="I1213" s="10"/>
      <c r="J1213" s="10"/>
      <c r="K1213" s="7">
        <v>44005409</v>
      </c>
      <c r="L1213" s="5" t="str">
        <f t="shared" si="138"/>
        <v>AR PALERMO ORTA SEHPA AHŞAP</v>
      </c>
      <c r="M1213" s="8">
        <v>0.15</v>
      </c>
      <c r="N1213" s="8">
        <v>0.1</v>
      </c>
      <c r="O1213" s="8">
        <v>9720</v>
      </c>
      <c r="P1213" s="8">
        <f t="shared" si="135"/>
        <v>8748</v>
      </c>
      <c r="Q1213" s="12">
        <f t="shared" si="136"/>
        <v>18370.8</v>
      </c>
      <c r="R1213" s="31">
        <f t="shared" si="137"/>
        <v>18300</v>
      </c>
      <c r="T1213" s="23"/>
      <c r="U1213" s="23">
        <v>3100</v>
      </c>
      <c r="V1213" s="23"/>
      <c r="W1213" s="23"/>
    </row>
    <row r="1214" spans="1:23" s="21" customFormat="1" ht="21.95" customHeight="1" x14ac:dyDescent="0.2">
      <c r="A1214" s="5" t="s">
        <v>17</v>
      </c>
      <c r="B1214" t="s">
        <v>1582</v>
      </c>
      <c r="C1214" t="s">
        <v>607</v>
      </c>
      <c r="D1214" t="s">
        <v>30</v>
      </c>
      <c r="E1214"/>
      <c r="F1214"/>
      <c r="G1214"/>
      <c r="H1214"/>
      <c r="I1214" s="10"/>
      <c r="J1214" s="10"/>
      <c r="K1214" s="7">
        <v>44005410</v>
      </c>
      <c r="L1214" s="5" t="str">
        <f t="shared" si="138"/>
        <v>AR PALERMO YAN SEHPA</v>
      </c>
      <c r="M1214" s="8">
        <v>0.15</v>
      </c>
      <c r="N1214" s="8">
        <v>0.1</v>
      </c>
      <c r="O1214" s="8">
        <v>11600</v>
      </c>
      <c r="P1214" s="8">
        <f t="shared" si="135"/>
        <v>10440</v>
      </c>
      <c r="Q1214" s="12">
        <f t="shared" si="136"/>
        <v>21924</v>
      </c>
      <c r="R1214" s="31">
        <f t="shared" si="137"/>
        <v>21900</v>
      </c>
      <c r="T1214" s="23"/>
      <c r="U1214" s="23">
        <v>3355</v>
      </c>
      <c r="V1214" s="23"/>
      <c r="W1214" s="23"/>
    </row>
    <row r="1215" spans="1:23" s="21" customFormat="1" ht="21.95" customHeight="1" x14ac:dyDescent="0.2">
      <c r="A1215" s="5" t="s">
        <v>17</v>
      </c>
      <c r="B1215" t="s">
        <v>1582</v>
      </c>
      <c r="C1215" t="s">
        <v>607</v>
      </c>
      <c r="D1215" t="s">
        <v>591</v>
      </c>
      <c r="E1215"/>
      <c r="F1215"/>
      <c r="G1215"/>
      <c r="H1215"/>
      <c r="I1215" s="10"/>
      <c r="J1215" s="10"/>
      <c r="K1215" s="7">
        <v>44005411</v>
      </c>
      <c r="L1215" s="5" t="str">
        <f t="shared" si="138"/>
        <v>AR PALERMO SERVİS SEHPASI</v>
      </c>
      <c r="M1215" s="8">
        <v>0.15</v>
      </c>
      <c r="N1215" s="8">
        <v>0.1</v>
      </c>
      <c r="O1215" s="8">
        <v>11505</v>
      </c>
      <c r="P1215" s="8">
        <f t="shared" si="135"/>
        <v>10354.5</v>
      </c>
      <c r="Q1215" s="12">
        <f t="shared" si="136"/>
        <v>21744.45</v>
      </c>
      <c r="R1215" s="31">
        <f t="shared" si="137"/>
        <v>21700</v>
      </c>
      <c r="T1215" s="23"/>
      <c r="U1215" s="23">
        <v>18995</v>
      </c>
      <c r="V1215" s="23"/>
      <c r="W1215" s="23"/>
    </row>
    <row r="1216" spans="1:23" s="21" customFormat="1" ht="21.95" customHeight="1" x14ac:dyDescent="0.2">
      <c r="A1216" s="5" t="s">
        <v>17</v>
      </c>
      <c r="B1216" t="s">
        <v>1582</v>
      </c>
      <c r="C1216" t="s">
        <v>607</v>
      </c>
      <c r="D1216" t="s">
        <v>31</v>
      </c>
      <c r="E1216"/>
      <c r="F1216"/>
      <c r="G1216"/>
      <c r="H1216"/>
      <c r="I1216" s="10"/>
      <c r="J1216" s="10"/>
      <c r="K1216" s="7">
        <v>44005412</v>
      </c>
      <c r="L1216" s="5" t="str">
        <f t="shared" si="138"/>
        <v>AR PALERMO KOLTUK 4 LÜ</v>
      </c>
      <c r="M1216" s="8">
        <v>0.15</v>
      </c>
      <c r="N1216" s="8">
        <v>0.1</v>
      </c>
      <c r="O1216" s="8">
        <v>32625</v>
      </c>
      <c r="P1216" s="8">
        <f t="shared" si="135"/>
        <v>29362.5</v>
      </c>
      <c r="Q1216" s="12">
        <f t="shared" si="136"/>
        <v>61661.25</v>
      </c>
      <c r="R1216" s="31">
        <f t="shared" si="137"/>
        <v>61600</v>
      </c>
      <c r="T1216" s="23"/>
      <c r="U1216" s="23">
        <v>11975</v>
      </c>
      <c r="V1216" s="23"/>
      <c r="W1216" s="23"/>
    </row>
    <row r="1217" spans="1:23" s="21" customFormat="1" ht="21.95" customHeight="1" x14ac:dyDescent="0.2">
      <c r="A1217" s="5" t="s">
        <v>17</v>
      </c>
      <c r="B1217" t="s">
        <v>1582</v>
      </c>
      <c r="C1217" t="s">
        <v>607</v>
      </c>
      <c r="D1217" t="s">
        <v>32</v>
      </c>
      <c r="E1217"/>
      <c r="F1217"/>
      <c r="G1217"/>
      <c r="H1217"/>
      <c r="I1217" s="10"/>
      <c r="J1217" s="10"/>
      <c r="K1217" s="7">
        <v>44005413</v>
      </c>
      <c r="L1217" s="5" t="str">
        <f t="shared" si="138"/>
        <v>AR PALERMO KOLTUK 3 LÜ</v>
      </c>
      <c r="M1217" s="8">
        <v>0.15</v>
      </c>
      <c r="N1217" s="8">
        <v>0.1</v>
      </c>
      <c r="O1217" s="8">
        <v>30140</v>
      </c>
      <c r="P1217" s="8">
        <f t="shared" si="135"/>
        <v>27126</v>
      </c>
      <c r="Q1217" s="12">
        <f t="shared" si="136"/>
        <v>56964.600000000006</v>
      </c>
      <c r="R1217" s="31">
        <f t="shared" si="137"/>
        <v>56900</v>
      </c>
      <c r="T1217" s="23"/>
      <c r="U1217" s="23">
        <v>11115</v>
      </c>
      <c r="V1217" s="23"/>
      <c r="W1217" s="23"/>
    </row>
    <row r="1218" spans="1:23" s="21" customFormat="1" ht="21.95" customHeight="1" x14ac:dyDescent="0.2">
      <c r="A1218" s="5" t="s">
        <v>17</v>
      </c>
      <c r="B1218" t="s">
        <v>1582</v>
      </c>
      <c r="C1218" t="s">
        <v>607</v>
      </c>
      <c r="D1218" t="s">
        <v>592</v>
      </c>
      <c r="E1218"/>
      <c r="F1218"/>
      <c r="G1218"/>
      <c r="H1218"/>
      <c r="I1218" s="10"/>
      <c r="J1218" s="10"/>
      <c r="K1218" s="7">
        <v>44005414</v>
      </c>
      <c r="L1218" s="5" t="str">
        <f t="shared" si="138"/>
        <v>AR PALERMO KOLTUK TEKLİ</v>
      </c>
      <c r="M1218" s="8">
        <v>0.15</v>
      </c>
      <c r="N1218" s="8">
        <v>0.1</v>
      </c>
      <c r="O1218" s="8">
        <v>16445</v>
      </c>
      <c r="P1218" s="8">
        <f t="shared" si="135"/>
        <v>14800.5</v>
      </c>
      <c r="Q1218" s="12">
        <f t="shared" si="136"/>
        <v>31081.050000000003</v>
      </c>
      <c r="R1218" s="31">
        <f t="shared" si="137"/>
        <v>31000</v>
      </c>
      <c r="T1218" s="23"/>
      <c r="U1218" s="23">
        <v>20870</v>
      </c>
      <c r="V1218" s="23"/>
      <c r="W1218" s="23"/>
    </row>
    <row r="1219" spans="1:23" s="21" customFormat="1" ht="21.95" customHeight="1" x14ac:dyDescent="0.2">
      <c r="A1219" s="5" t="s">
        <v>17</v>
      </c>
      <c r="B1219" t="s">
        <v>1582</v>
      </c>
      <c r="C1219" t="s">
        <v>607</v>
      </c>
      <c r="D1219" t="s">
        <v>593</v>
      </c>
      <c r="E1219"/>
      <c r="F1219"/>
      <c r="G1219"/>
      <c r="H1219"/>
      <c r="I1219" s="10"/>
      <c r="J1219" s="10"/>
      <c r="K1219" s="7">
        <v>44005415</v>
      </c>
      <c r="L1219" s="5" t="str">
        <f t="shared" si="138"/>
        <v>AR PALERMO KARYOLA İÇ KAYITLI 160CM</v>
      </c>
      <c r="M1219" s="8">
        <v>0.15</v>
      </c>
      <c r="N1219" s="8">
        <v>0.1</v>
      </c>
      <c r="O1219" s="8">
        <v>23210</v>
      </c>
      <c r="P1219" s="8">
        <f t="shared" si="135"/>
        <v>20889</v>
      </c>
      <c r="Q1219" s="12">
        <f t="shared" si="136"/>
        <v>43866.9</v>
      </c>
      <c r="R1219" s="31">
        <f t="shared" si="137"/>
        <v>43800</v>
      </c>
      <c r="T1219" s="23"/>
      <c r="U1219" s="23">
        <v>21325</v>
      </c>
      <c r="V1219" s="23"/>
      <c r="W1219" s="23"/>
    </row>
    <row r="1220" spans="1:23" s="21" customFormat="1" ht="21.95" customHeight="1" x14ac:dyDescent="0.2">
      <c r="A1220" s="5" t="s">
        <v>17</v>
      </c>
      <c r="B1220" t="s">
        <v>1582</v>
      </c>
      <c r="C1220" t="s">
        <v>607</v>
      </c>
      <c r="D1220" t="s">
        <v>75</v>
      </c>
      <c r="E1220"/>
      <c r="F1220"/>
      <c r="G1220"/>
      <c r="H1220"/>
      <c r="I1220" s="10"/>
      <c r="J1220" s="10"/>
      <c r="K1220" s="7">
        <v>44005416</v>
      </c>
      <c r="L1220" s="5" t="str">
        <f t="shared" si="138"/>
        <v>AR PALERMO KARYOLA BAZALI 160CM</v>
      </c>
      <c r="M1220" s="8">
        <v>0.15</v>
      </c>
      <c r="N1220" s="8">
        <v>0.1</v>
      </c>
      <c r="O1220" s="8">
        <v>27810</v>
      </c>
      <c r="P1220" s="8">
        <f t="shared" si="135"/>
        <v>25029</v>
      </c>
      <c r="Q1220" s="12">
        <f t="shared" si="136"/>
        <v>52560.9</v>
      </c>
      <c r="R1220" s="31">
        <f t="shared" si="137"/>
        <v>52500</v>
      </c>
      <c r="T1220" s="23"/>
      <c r="U1220" s="23">
        <v>11280</v>
      </c>
      <c r="V1220" s="23"/>
      <c r="W1220" s="23"/>
    </row>
    <row r="1221" spans="1:23" s="21" customFormat="1" ht="21.95" customHeight="1" x14ac:dyDescent="0.2">
      <c r="A1221" s="5" t="s">
        <v>17</v>
      </c>
      <c r="B1221" t="s">
        <v>1582</v>
      </c>
      <c r="C1221" t="s">
        <v>607</v>
      </c>
      <c r="D1221" t="s">
        <v>76</v>
      </c>
      <c r="E1221"/>
      <c r="F1221"/>
      <c r="G1221"/>
      <c r="H1221"/>
      <c r="I1221" s="10"/>
      <c r="J1221" s="10"/>
      <c r="K1221" s="7">
        <v>44005417</v>
      </c>
      <c r="L1221" s="5" t="str">
        <f t="shared" si="138"/>
        <v>AR PALERMO KARYOLA BAZALI 180CM</v>
      </c>
      <c r="M1221" s="8">
        <v>0.15</v>
      </c>
      <c r="N1221" s="8">
        <v>0.1</v>
      </c>
      <c r="O1221" s="8">
        <v>30310</v>
      </c>
      <c r="P1221" s="8">
        <f t="shared" si="135"/>
        <v>27279</v>
      </c>
      <c r="Q1221" s="12">
        <f t="shared" si="136"/>
        <v>57285.9</v>
      </c>
      <c r="R1221" s="31">
        <f t="shared" si="137"/>
        <v>57200</v>
      </c>
      <c r="T1221" s="23"/>
      <c r="U1221" s="23">
        <v>28690</v>
      </c>
      <c r="V1221" s="23"/>
      <c r="W1221" s="23"/>
    </row>
    <row r="1222" spans="1:23" s="21" customFormat="1" ht="21.95" customHeight="1" x14ac:dyDescent="0.2">
      <c r="A1222" s="5" t="s">
        <v>17</v>
      </c>
      <c r="B1222" t="s">
        <v>1582</v>
      </c>
      <c r="C1222" t="s">
        <v>607</v>
      </c>
      <c r="D1222" t="s">
        <v>594</v>
      </c>
      <c r="E1222"/>
      <c r="F1222"/>
      <c r="G1222"/>
      <c r="H1222"/>
      <c r="I1222" s="10"/>
      <c r="J1222" s="10"/>
      <c r="K1222" s="7">
        <v>44005418</v>
      </c>
      <c r="L1222" s="5" t="str">
        <f t="shared" si="138"/>
        <v>AR PALERMO KARYOLA İÇ KAYITLI 180CM</v>
      </c>
      <c r="M1222" s="8">
        <v>0.15</v>
      </c>
      <c r="N1222" s="8">
        <v>0.1</v>
      </c>
      <c r="O1222" s="8">
        <v>25710</v>
      </c>
      <c r="P1222" s="8">
        <f t="shared" si="135"/>
        <v>23139</v>
      </c>
      <c r="Q1222" s="12">
        <f t="shared" si="136"/>
        <v>48591.9</v>
      </c>
      <c r="R1222" s="31">
        <f t="shared" si="137"/>
        <v>48500</v>
      </c>
      <c r="T1222" s="23"/>
      <c r="U1222" s="23">
        <v>4227</v>
      </c>
      <c r="V1222" s="23"/>
      <c r="W1222" s="23"/>
    </row>
    <row r="1223" spans="1:23" s="21" customFormat="1" ht="21.95" customHeight="1" x14ac:dyDescent="0.2">
      <c r="A1223" s="5" t="s">
        <v>17</v>
      </c>
      <c r="B1223" t="s">
        <v>1582</v>
      </c>
      <c r="C1223" t="s">
        <v>607</v>
      </c>
      <c r="D1223" t="s">
        <v>362</v>
      </c>
      <c r="E1223"/>
      <c r="F1223"/>
      <c r="G1223"/>
      <c r="H1223"/>
      <c r="I1223" s="10"/>
      <c r="J1223" s="10"/>
      <c r="K1223" s="7">
        <v>44005419</v>
      </c>
      <c r="L1223" s="5" t="str">
        <f t="shared" si="138"/>
        <v>AR PALERMO KOMODİN</v>
      </c>
      <c r="M1223" s="8">
        <v>0.15</v>
      </c>
      <c r="N1223" s="8">
        <v>0.1</v>
      </c>
      <c r="O1223" s="8">
        <v>4820</v>
      </c>
      <c r="P1223" s="8">
        <f t="shared" si="135"/>
        <v>4338</v>
      </c>
      <c r="Q1223" s="12">
        <f t="shared" si="136"/>
        <v>9109.8000000000011</v>
      </c>
      <c r="R1223" s="31">
        <f t="shared" si="137"/>
        <v>9100</v>
      </c>
      <c r="T1223" s="23"/>
      <c r="U1223" s="23">
        <v>21003</v>
      </c>
      <c r="V1223" s="23"/>
      <c r="W1223" s="23"/>
    </row>
    <row r="1224" spans="1:23" ht="21.95" customHeight="1" x14ac:dyDescent="0.2">
      <c r="A1224" s="5" t="s">
        <v>17</v>
      </c>
      <c r="B1224" t="s">
        <v>1582</v>
      </c>
      <c r="C1224" t="s">
        <v>607</v>
      </c>
      <c r="D1224" t="s">
        <v>361</v>
      </c>
      <c r="E1224"/>
      <c r="F1224"/>
      <c r="G1224"/>
      <c r="H1224"/>
      <c r="I1224" s="10"/>
      <c r="J1224" s="10"/>
      <c r="K1224" s="7">
        <v>44005420</v>
      </c>
      <c r="L1224" s="5" t="str">
        <f t="shared" si="138"/>
        <v>AR PALERMO DOLAP</v>
      </c>
      <c r="M1224" s="8">
        <v>0.15</v>
      </c>
      <c r="N1224" s="8">
        <v>0.1</v>
      </c>
      <c r="O1224" s="8">
        <v>33375</v>
      </c>
      <c r="P1224" s="8">
        <f t="shared" si="135"/>
        <v>30037.5</v>
      </c>
      <c r="Q1224" s="12">
        <f t="shared" si="136"/>
        <v>63078.75</v>
      </c>
      <c r="R1224" s="31">
        <f t="shared" si="137"/>
        <v>63000</v>
      </c>
      <c r="U1224" s="8">
        <v>4945</v>
      </c>
    </row>
    <row r="1225" spans="1:23" ht="21.95" customHeight="1" x14ac:dyDescent="0.2">
      <c r="A1225" s="5" t="s">
        <v>17</v>
      </c>
      <c r="B1225" t="s">
        <v>1582</v>
      </c>
      <c r="C1225" t="s">
        <v>607</v>
      </c>
      <c r="D1225" t="s">
        <v>595</v>
      </c>
      <c r="E1225"/>
      <c r="F1225"/>
      <c r="G1225"/>
      <c r="H1225"/>
      <c r="I1225" s="10"/>
      <c r="J1225" s="10"/>
      <c r="K1225" s="7">
        <v>44005421</v>
      </c>
      <c r="L1225" s="5" t="str">
        <f t="shared" si="138"/>
        <v>AR PALERMO ŞİFONYER &amp; AYNASI</v>
      </c>
      <c r="M1225" s="8">
        <v>0.15</v>
      </c>
      <c r="N1225" s="8">
        <v>0.1</v>
      </c>
      <c r="O1225" s="8">
        <v>19025</v>
      </c>
      <c r="P1225" s="8">
        <f t="shared" si="135"/>
        <v>17122.5</v>
      </c>
      <c r="Q1225" s="12">
        <f t="shared" si="136"/>
        <v>35957.25</v>
      </c>
      <c r="R1225" s="31">
        <f t="shared" si="137"/>
        <v>35900</v>
      </c>
      <c r="U1225" s="8">
        <v>22729</v>
      </c>
    </row>
    <row r="1226" spans="1:23" ht="21.95" customHeight="1" x14ac:dyDescent="0.2">
      <c r="A1226" s="5" t="s">
        <v>17</v>
      </c>
      <c r="B1226" t="s">
        <v>1582</v>
      </c>
      <c r="C1226" t="s">
        <v>607</v>
      </c>
      <c r="D1226" t="s">
        <v>126</v>
      </c>
      <c r="E1226"/>
      <c r="F1226"/>
      <c r="G1226"/>
      <c r="H1226"/>
      <c r="I1226" s="10"/>
      <c r="J1226" s="10"/>
      <c r="K1226" s="7">
        <v>44005422</v>
      </c>
      <c r="L1226" s="5" t="str">
        <f t="shared" si="138"/>
        <v>AR PALERMO ÇAMAŞIRLIK</v>
      </c>
      <c r="M1226" s="8">
        <v>0.15</v>
      </c>
      <c r="N1226" s="8">
        <v>0.1</v>
      </c>
      <c r="O1226" s="8">
        <v>9820</v>
      </c>
      <c r="P1226" s="8">
        <f t="shared" si="135"/>
        <v>8838</v>
      </c>
      <c r="Q1226" s="12">
        <f t="shared" si="136"/>
        <v>18559.8</v>
      </c>
      <c r="R1226" s="31">
        <f t="shared" si="137"/>
        <v>18500</v>
      </c>
      <c r="U1226" s="8">
        <v>5982</v>
      </c>
    </row>
    <row r="1227" spans="1:23" ht="21.95" customHeight="1" x14ac:dyDescent="0.2">
      <c r="A1227" s="5" t="s">
        <v>17</v>
      </c>
      <c r="B1227" t="s">
        <v>1582</v>
      </c>
      <c r="C1227" t="s">
        <v>607</v>
      </c>
      <c r="D1227" t="s">
        <v>82</v>
      </c>
      <c r="E1227"/>
      <c r="F1227"/>
      <c r="G1227"/>
      <c r="H1227"/>
      <c r="I1227" s="10"/>
      <c r="J1227" s="10"/>
      <c r="K1227" s="7">
        <v>44005423</v>
      </c>
      <c r="L1227" s="5" t="str">
        <f t="shared" si="138"/>
        <v>AR PALERMO BOY AYNASI</v>
      </c>
      <c r="M1227" s="8">
        <v>0.15</v>
      </c>
      <c r="N1227" s="8">
        <v>0.1</v>
      </c>
      <c r="O1227" s="8">
        <v>4305</v>
      </c>
      <c r="P1227" s="8">
        <f t="shared" si="135"/>
        <v>3874.5</v>
      </c>
      <c r="Q1227" s="12">
        <f t="shared" si="136"/>
        <v>8136.4500000000007</v>
      </c>
      <c r="R1227" s="31">
        <f t="shared" si="137"/>
        <v>8100</v>
      </c>
      <c r="U1227" s="8">
        <v>6061</v>
      </c>
    </row>
    <row r="1228" spans="1:23" ht="21.95" customHeight="1" x14ac:dyDescent="0.2">
      <c r="A1228" s="5" t="s">
        <v>17</v>
      </c>
      <c r="B1228" t="s">
        <v>1582</v>
      </c>
      <c r="C1228" t="s">
        <v>607</v>
      </c>
      <c r="D1228" t="s">
        <v>596</v>
      </c>
      <c r="E1228"/>
      <c r="F1228"/>
      <c r="G1228"/>
      <c r="H1228"/>
      <c r="I1228" s="10"/>
      <c r="J1228" s="10"/>
      <c r="K1228" s="7">
        <v>44005424</v>
      </c>
      <c r="L1228" s="5" t="str">
        <f t="shared" si="138"/>
        <v>AR PALERMO MAKYAJ PUFU</v>
      </c>
      <c r="M1228" s="8">
        <v>0.15</v>
      </c>
      <c r="N1228" s="8">
        <v>0.1</v>
      </c>
      <c r="O1228" s="8">
        <v>4020</v>
      </c>
      <c r="P1228" s="8">
        <f t="shared" si="135"/>
        <v>3618</v>
      </c>
      <c r="Q1228" s="12">
        <f t="shared" si="136"/>
        <v>7597.8</v>
      </c>
      <c r="R1228" s="31">
        <f t="shared" si="137"/>
        <v>7500</v>
      </c>
      <c r="U1228" s="8">
        <v>7314</v>
      </c>
    </row>
    <row r="1229" spans="1:23" ht="21.95" customHeight="1" x14ac:dyDescent="0.2">
      <c r="A1229" s="5" t="s">
        <v>17</v>
      </c>
      <c r="B1229" t="s">
        <v>1582</v>
      </c>
      <c r="C1229" t="s">
        <v>613</v>
      </c>
      <c r="D1229" t="s">
        <v>49</v>
      </c>
      <c r="E1229"/>
      <c r="F1229"/>
      <c r="G1229">
        <v>231</v>
      </c>
      <c r="H1229">
        <v>81</v>
      </c>
      <c r="I1229" s="10">
        <v>51</v>
      </c>
      <c r="J1229" s="10"/>
      <c r="K1229" s="7">
        <v>44005425</v>
      </c>
      <c r="L1229" s="5" t="str">
        <f t="shared" ref="L1229:L1234" si="139">B1229&amp;" "&amp;C1229&amp;" "&amp;D1229&amp;" "&amp;G1229&amp;"x"&amp;H1229&amp;"x"&amp;I1229</f>
        <v>AR BELIZE KONSOL 231x81x51</v>
      </c>
      <c r="M1229" s="8">
        <v>0.15</v>
      </c>
      <c r="N1229" s="8">
        <v>0.1</v>
      </c>
      <c r="O1229" s="8">
        <v>31780</v>
      </c>
      <c r="P1229" s="8">
        <f t="shared" si="135"/>
        <v>28602</v>
      </c>
      <c r="Q1229" s="12">
        <f t="shared" si="136"/>
        <v>60064.200000000004</v>
      </c>
      <c r="R1229" s="31">
        <f t="shared" si="137"/>
        <v>60000</v>
      </c>
      <c r="U1229" s="8">
        <v>4068</v>
      </c>
    </row>
    <row r="1230" spans="1:23" ht="21.95" customHeight="1" x14ac:dyDescent="0.2">
      <c r="A1230" s="5" t="s">
        <v>17</v>
      </c>
      <c r="B1230" t="s">
        <v>1582</v>
      </c>
      <c r="C1230" t="s">
        <v>613</v>
      </c>
      <c r="D1230" t="s">
        <v>21</v>
      </c>
      <c r="E1230"/>
      <c r="F1230"/>
      <c r="G1230">
        <v>93</v>
      </c>
      <c r="H1230">
        <v>93</v>
      </c>
      <c r="I1230" s="10">
        <v>4</v>
      </c>
      <c r="J1230" s="10"/>
      <c r="K1230" s="7">
        <v>44005426</v>
      </c>
      <c r="L1230" s="5" t="str">
        <f t="shared" si="139"/>
        <v>AR BELIZE KONSOL AYNASI 93x93x4</v>
      </c>
      <c r="M1230" s="8">
        <v>0.15</v>
      </c>
      <c r="N1230" s="8">
        <v>0.1</v>
      </c>
      <c r="O1230" s="8">
        <v>5744</v>
      </c>
      <c r="P1230" s="8">
        <f t="shared" si="135"/>
        <v>5169.6000000000004</v>
      </c>
      <c r="Q1230" s="12">
        <f t="shared" si="136"/>
        <v>10856.160000000002</v>
      </c>
      <c r="R1230" s="31">
        <f t="shared" si="137"/>
        <v>10800</v>
      </c>
      <c r="U1230" s="8">
        <v>39737</v>
      </c>
    </row>
    <row r="1231" spans="1:23" s="21" customFormat="1" ht="21.95" customHeight="1" x14ac:dyDescent="0.2">
      <c r="A1231" s="5" t="s">
        <v>17</v>
      </c>
      <c r="B1231" t="s">
        <v>1582</v>
      </c>
      <c r="C1231" t="s">
        <v>613</v>
      </c>
      <c r="D1231" t="s">
        <v>599</v>
      </c>
      <c r="E1231"/>
      <c r="F1231"/>
      <c r="G1231">
        <v>210</v>
      </c>
      <c r="H1231">
        <v>77</v>
      </c>
      <c r="I1231" s="10">
        <v>100</v>
      </c>
      <c r="J1231" s="10"/>
      <c r="K1231" s="7">
        <v>44005427</v>
      </c>
      <c r="L1231" s="5" t="str">
        <f t="shared" si="139"/>
        <v>AR BELIZE MASA 210CM 210x77x100</v>
      </c>
      <c r="M1231" s="8">
        <v>0.15</v>
      </c>
      <c r="N1231" s="8">
        <v>0.1</v>
      </c>
      <c r="O1231" s="8">
        <v>18755</v>
      </c>
      <c r="P1231" s="8">
        <f t="shared" si="135"/>
        <v>16879.5</v>
      </c>
      <c r="Q1231" s="12">
        <f t="shared" si="136"/>
        <v>35446.950000000004</v>
      </c>
      <c r="R1231" s="31">
        <f t="shared" si="137"/>
        <v>35400</v>
      </c>
      <c r="S1231" s="5"/>
      <c r="T1231" s="23"/>
      <c r="U1231" s="23"/>
      <c r="V1231" s="23"/>
      <c r="W1231" s="23"/>
    </row>
    <row r="1232" spans="1:23" ht="21.95" customHeight="1" x14ac:dyDescent="0.2">
      <c r="A1232" s="5" t="s">
        <v>17</v>
      </c>
      <c r="B1232" t="s">
        <v>1582</v>
      </c>
      <c r="C1232" t="s">
        <v>613</v>
      </c>
      <c r="D1232" t="s">
        <v>587</v>
      </c>
      <c r="E1232"/>
      <c r="F1232"/>
      <c r="G1232">
        <v>180</v>
      </c>
      <c r="H1232">
        <v>77</v>
      </c>
      <c r="I1232" s="10">
        <v>100</v>
      </c>
      <c r="J1232" s="10"/>
      <c r="K1232" s="7">
        <v>44005428</v>
      </c>
      <c r="L1232" s="5" t="str">
        <f t="shared" si="139"/>
        <v>AR BELIZE MASA 180CM 180x77x100</v>
      </c>
      <c r="M1232" s="8">
        <v>0.15</v>
      </c>
      <c r="N1232" s="8">
        <v>0.1</v>
      </c>
      <c r="O1232" s="8">
        <v>24382</v>
      </c>
      <c r="P1232" s="8">
        <f t="shared" si="135"/>
        <v>21943.8</v>
      </c>
      <c r="Q1232" s="12">
        <f t="shared" si="136"/>
        <v>46081.98</v>
      </c>
      <c r="R1232" s="31">
        <f t="shared" si="137"/>
        <v>46000</v>
      </c>
      <c r="U1232" s="8">
        <v>35677</v>
      </c>
    </row>
    <row r="1233" spans="1:24" ht="21.95" customHeight="1" x14ac:dyDescent="0.2">
      <c r="A1233" s="5" t="s">
        <v>17</v>
      </c>
      <c r="B1233" t="s">
        <v>1582</v>
      </c>
      <c r="C1233" t="s">
        <v>613</v>
      </c>
      <c r="D1233" t="s">
        <v>24</v>
      </c>
      <c r="E1233"/>
      <c r="F1233"/>
      <c r="G1233">
        <v>240</v>
      </c>
      <c r="H1233">
        <v>77</v>
      </c>
      <c r="I1233" s="10">
        <v>100</v>
      </c>
      <c r="J1233" s="10"/>
      <c r="K1233" s="7">
        <v>44005429</v>
      </c>
      <c r="L1233" s="5" t="str">
        <f t="shared" si="139"/>
        <v>AR BELIZE MASA 240CM 240x77x100</v>
      </c>
      <c r="M1233" s="8">
        <v>0.15</v>
      </c>
      <c r="N1233" s="8">
        <v>0.1</v>
      </c>
      <c r="O1233" s="8">
        <v>27865</v>
      </c>
      <c r="P1233" s="8">
        <f t="shared" si="135"/>
        <v>25078.5</v>
      </c>
      <c r="Q1233" s="12">
        <f t="shared" si="136"/>
        <v>52664.850000000006</v>
      </c>
      <c r="R1233" s="31">
        <f t="shared" si="137"/>
        <v>52600</v>
      </c>
      <c r="U1233" s="8">
        <v>41675</v>
      </c>
    </row>
    <row r="1234" spans="1:24" ht="21.95" customHeight="1" x14ac:dyDescent="0.2">
      <c r="A1234" s="5" t="s">
        <v>17</v>
      </c>
      <c r="B1234" t="s">
        <v>1582</v>
      </c>
      <c r="C1234" t="s">
        <v>613</v>
      </c>
      <c r="D1234" t="s">
        <v>25</v>
      </c>
      <c r="E1234"/>
      <c r="F1234"/>
      <c r="G1234">
        <v>51</v>
      </c>
      <c r="H1234">
        <v>78</v>
      </c>
      <c r="I1234" s="10">
        <v>46</v>
      </c>
      <c r="J1234" s="10"/>
      <c r="K1234" s="7">
        <v>44005430</v>
      </c>
      <c r="L1234" s="5" t="str">
        <f t="shared" si="139"/>
        <v>AR BELIZE SANDALYE 51x78x46</v>
      </c>
      <c r="M1234" s="8">
        <v>0.15</v>
      </c>
      <c r="N1234" s="8">
        <v>0.1</v>
      </c>
      <c r="O1234" s="8">
        <v>5516</v>
      </c>
      <c r="P1234" s="8">
        <f t="shared" si="135"/>
        <v>4964.4000000000005</v>
      </c>
      <c r="Q1234" s="12">
        <f t="shared" si="136"/>
        <v>10425.240000000002</v>
      </c>
      <c r="R1234" s="31">
        <f t="shared" si="137"/>
        <v>10400</v>
      </c>
      <c r="U1234" s="8">
        <v>7910</v>
      </c>
      <c r="V1234" s="8">
        <f>T1234*(1-N1234)</f>
        <v>0</v>
      </c>
      <c r="W1234" s="8">
        <f>V1234*2.5</f>
        <v>0</v>
      </c>
      <c r="X1234" s="8">
        <f t="shared" ref="X1234:X1252" si="140">ROUNDDOWN(W1234,-2)</f>
        <v>0</v>
      </c>
    </row>
    <row r="1235" spans="1:24" ht="21.95" customHeight="1" x14ac:dyDescent="0.2">
      <c r="A1235" s="5" t="s">
        <v>17</v>
      </c>
      <c r="B1235" t="s">
        <v>1582</v>
      </c>
      <c r="C1235" t="s">
        <v>613</v>
      </c>
      <c r="D1235" t="s">
        <v>588</v>
      </c>
      <c r="E1235"/>
      <c r="F1235"/>
      <c r="G1235"/>
      <c r="H1235"/>
      <c r="I1235" s="10"/>
      <c r="J1235" s="10"/>
      <c r="K1235" s="7">
        <v>44005431</v>
      </c>
      <c r="L1235" s="5" t="str">
        <f t="shared" ref="L1235:L1298" si="141">B1235&amp;" "&amp;C1235&amp;" "&amp;D1235</f>
        <v xml:space="preserve">AR BELIZE DRESUAR </v>
      </c>
      <c r="M1235" s="8">
        <v>0.15</v>
      </c>
      <c r="N1235" s="8">
        <v>0.1</v>
      </c>
      <c r="O1235" s="8">
        <v>17280</v>
      </c>
      <c r="P1235" s="8">
        <f t="shared" si="135"/>
        <v>15552</v>
      </c>
      <c r="Q1235" s="12">
        <f t="shared" si="136"/>
        <v>32659.200000000001</v>
      </c>
      <c r="R1235" s="31">
        <f t="shared" si="137"/>
        <v>32600</v>
      </c>
      <c r="U1235" s="8">
        <v>38920</v>
      </c>
      <c r="V1235" s="8">
        <f t="shared" ref="V1235:V1252" si="142">T1235*(1-N1235)</f>
        <v>0</v>
      </c>
      <c r="W1235" s="8">
        <f>V1235*2.5</f>
        <v>0</v>
      </c>
      <c r="X1235" s="8">
        <f t="shared" si="140"/>
        <v>0</v>
      </c>
    </row>
    <row r="1236" spans="1:24" ht="21.95" customHeight="1" x14ac:dyDescent="0.2">
      <c r="A1236" s="5" t="s">
        <v>17</v>
      </c>
      <c r="B1236" t="s">
        <v>1582</v>
      </c>
      <c r="C1236" t="s">
        <v>613</v>
      </c>
      <c r="D1236" t="s">
        <v>589</v>
      </c>
      <c r="E1236"/>
      <c r="F1236"/>
      <c r="G1236"/>
      <c r="H1236"/>
      <c r="I1236" s="10"/>
      <c r="J1236" s="10"/>
      <c r="K1236" s="7">
        <v>44005432</v>
      </c>
      <c r="L1236" s="5" t="str">
        <f t="shared" si="141"/>
        <v>AR BELIZE TABLO</v>
      </c>
      <c r="M1236" s="8">
        <v>0.15</v>
      </c>
      <c r="N1236" s="8">
        <v>0.1</v>
      </c>
      <c r="O1236" s="8">
        <v>6795</v>
      </c>
      <c r="P1236" s="8">
        <f t="shared" si="135"/>
        <v>6115.5</v>
      </c>
      <c r="Q1236" s="12">
        <f t="shared" si="136"/>
        <v>12842.550000000001</v>
      </c>
      <c r="R1236" s="31">
        <f t="shared" si="137"/>
        <v>12800</v>
      </c>
      <c r="U1236" s="8">
        <v>13290</v>
      </c>
      <c r="V1236" s="8">
        <f t="shared" si="142"/>
        <v>0</v>
      </c>
      <c r="W1236" s="8">
        <f t="shared" ref="W1236:W1252" si="143">V1236*2.5</f>
        <v>0</v>
      </c>
      <c r="X1236" s="8">
        <f t="shared" si="140"/>
        <v>0</v>
      </c>
    </row>
    <row r="1237" spans="1:24" ht="21.95" customHeight="1" x14ac:dyDescent="0.2">
      <c r="A1237" s="5" t="s">
        <v>17</v>
      </c>
      <c r="B1237" t="s">
        <v>1582</v>
      </c>
      <c r="C1237" t="s">
        <v>613</v>
      </c>
      <c r="D1237" t="s">
        <v>496</v>
      </c>
      <c r="E1237"/>
      <c r="F1237"/>
      <c r="G1237"/>
      <c r="H1237"/>
      <c r="I1237" s="10"/>
      <c r="J1237" s="10"/>
      <c r="K1237" s="7">
        <v>44005433</v>
      </c>
      <c r="L1237" s="5" t="str">
        <f t="shared" si="141"/>
        <v>AR BELIZE TV ÜNİTESİ ALT MODÜL</v>
      </c>
      <c r="M1237" s="8">
        <v>0.15</v>
      </c>
      <c r="N1237" s="8">
        <v>0.1</v>
      </c>
      <c r="O1237" s="8">
        <v>27245</v>
      </c>
      <c r="P1237" s="8">
        <f t="shared" si="135"/>
        <v>24520.5</v>
      </c>
      <c r="Q1237" s="12">
        <f t="shared" si="136"/>
        <v>51493.05</v>
      </c>
      <c r="R1237" s="31">
        <f t="shared" si="137"/>
        <v>51400</v>
      </c>
      <c r="U1237" s="8">
        <v>39300</v>
      </c>
      <c r="V1237" s="8">
        <f t="shared" si="142"/>
        <v>0</v>
      </c>
      <c r="W1237" s="8">
        <f t="shared" si="143"/>
        <v>0</v>
      </c>
      <c r="X1237" s="8">
        <f t="shared" si="140"/>
        <v>0</v>
      </c>
    </row>
    <row r="1238" spans="1:24" ht="21.95" customHeight="1" x14ac:dyDescent="0.2">
      <c r="A1238" s="5" t="s">
        <v>17</v>
      </c>
      <c r="B1238" t="s">
        <v>1582</v>
      </c>
      <c r="C1238" t="s">
        <v>613</v>
      </c>
      <c r="D1238" t="s">
        <v>590</v>
      </c>
      <c r="E1238"/>
      <c r="F1238"/>
      <c r="G1238"/>
      <c r="H1238"/>
      <c r="I1238" s="10"/>
      <c r="J1238" s="10"/>
      <c r="K1238" s="7">
        <v>44005434</v>
      </c>
      <c r="L1238" s="5" t="str">
        <f t="shared" si="141"/>
        <v>AR BELIZE ORTA SEHPA CAM</v>
      </c>
      <c r="M1238" s="8">
        <v>0.15</v>
      </c>
      <c r="N1238" s="8">
        <v>0.1</v>
      </c>
      <c r="O1238" s="8">
        <v>22230</v>
      </c>
      <c r="P1238" s="8">
        <f t="shared" si="135"/>
        <v>20007</v>
      </c>
      <c r="Q1238" s="12">
        <f t="shared" si="136"/>
        <v>42014.700000000004</v>
      </c>
      <c r="R1238" s="31">
        <f t="shared" si="137"/>
        <v>42000</v>
      </c>
      <c r="U1238" s="8">
        <v>13270</v>
      </c>
      <c r="V1238" s="8">
        <f t="shared" si="142"/>
        <v>0</v>
      </c>
      <c r="W1238" s="8">
        <f t="shared" si="143"/>
        <v>0</v>
      </c>
      <c r="X1238" s="8">
        <f t="shared" si="140"/>
        <v>0</v>
      </c>
    </row>
    <row r="1239" spans="1:24" ht="21.95" customHeight="1" x14ac:dyDescent="0.2">
      <c r="A1239" s="5" t="s">
        <v>17</v>
      </c>
      <c r="B1239" t="s">
        <v>1582</v>
      </c>
      <c r="C1239" t="s">
        <v>613</v>
      </c>
      <c r="D1239" t="s">
        <v>538</v>
      </c>
      <c r="E1239"/>
      <c r="F1239"/>
      <c r="G1239"/>
      <c r="H1239"/>
      <c r="I1239" s="10"/>
      <c r="J1239" s="10"/>
      <c r="K1239" s="7">
        <v>44005435</v>
      </c>
      <c r="L1239" s="5" t="str">
        <f t="shared" si="141"/>
        <v>AR BELIZE ORTA SEHPA AHŞAP</v>
      </c>
      <c r="M1239" s="8">
        <v>0.15</v>
      </c>
      <c r="N1239" s="8">
        <v>0.1</v>
      </c>
      <c r="O1239" s="8">
        <v>11720</v>
      </c>
      <c r="P1239" s="8">
        <f t="shared" si="135"/>
        <v>10548</v>
      </c>
      <c r="Q1239" s="12">
        <f t="shared" si="136"/>
        <v>22150.799999999999</v>
      </c>
      <c r="R1239" s="31">
        <f t="shared" si="137"/>
        <v>22100</v>
      </c>
      <c r="U1239" s="8">
        <v>41250</v>
      </c>
      <c r="V1239" s="8">
        <f t="shared" si="142"/>
        <v>0</v>
      </c>
      <c r="W1239" s="8">
        <f t="shared" si="143"/>
        <v>0</v>
      </c>
      <c r="X1239" s="8">
        <f t="shared" si="140"/>
        <v>0</v>
      </c>
    </row>
    <row r="1240" spans="1:24" ht="21.95" customHeight="1" x14ac:dyDescent="0.2">
      <c r="A1240" s="5" t="s">
        <v>17</v>
      </c>
      <c r="B1240" t="s">
        <v>1582</v>
      </c>
      <c r="C1240" t="s">
        <v>613</v>
      </c>
      <c r="D1240" t="s">
        <v>30</v>
      </c>
      <c r="E1240"/>
      <c r="F1240"/>
      <c r="G1240"/>
      <c r="H1240"/>
      <c r="I1240" s="10"/>
      <c r="J1240" s="10"/>
      <c r="K1240" s="7">
        <v>44005436</v>
      </c>
      <c r="L1240" s="5" t="str">
        <f t="shared" si="141"/>
        <v>AR BELIZE YAN SEHPA</v>
      </c>
      <c r="M1240" s="8">
        <v>0.15</v>
      </c>
      <c r="N1240" s="8">
        <v>0.1</v>
      </c>
      <c r="O1240" s="8">
        <v>11625</v>
      </c>
      <c r="P1240" s="8">
        <f t="shared" si="135"/>
        <v>10462.5</v>
      </c>
      <c r="Q1240" s="12">
        <f t="shared" si="136"/>
        <v>21971.25</v>
      </c>
      <c r="R1240" s="31">
        <f t="shared" si="137"/>
        <v>21900</v>
      </c>
      <c r="U1240" s="8">
        <v>11580</v>
      </c>
      <c r="V1240" s="8">
        <f t="shared" si="142"/>
        <v>0</v>
      </c>
      <c r="W1240" s="8">
        <f t="shared" si="143"/>
        <v>0</v>
      </c>
      <c r="X1240" s="8">
        <f t="shared" si="140"/>
        <v>0</v>
      </c>
    </row>
    <row r="1241" spans="1:24" ht="21.95" customHeight="1" x14ac:dyDescent="0.2">
      <c r="A1241" s="5" t="s">
        <v>17</v>
      </c>
      <c r="B1241" t="s">
        <v>1582</v>
      </c>
      <c r="C1241" t="s">
        <v>613</v>
      </c>
      <c r="D1241" t="s">
        <v>591</v>
      </c>
      <c r="E1241"/>
      <c r="F1241"/>
      <c r="G1241"/>
      <c r="H1241"/>
      <c r="I1241" s="10"/>
      <c r="J1241" s="10"/>
      <c r="K1241" s="7">
        <v>44005437</v>
      </c>
      <c r="L1241" s="5" t="str">
        <f t="shared" si="141"/>
        <v>AR BELIZE SERVİS SEHPASI</v>
      </c>
      <c r="M1241" s="8">
        <v>0.15</v>
      </c>
      <c r="N1241" s="8">
        <v>0.1</v>
      </c>
      <c r="O1241" s="8">
        <v>8715</v>
      </c>
      <c r="P1241" s="8">
        <f t="shared" si="135"/>
        <v>7843.5</v>
      </c>
      <c r="Q1241" s="12">
        <f t="shared" si="136"/>
        <v>16471.350000000002</v>
      </c>
      <c r="R1241" s="31">
        <f t="shared" si="137"/>
        <v>16400</v>
      </c>
      <c r="U1241" s="8">
        <v>39300</v>
      </c>
      <c r="V1241" s="8">
        <f t="shared" si="142"/>
        <v>0</v>
      </c>
      <c r="W1241" s="8">
        <f t="shared" si="143"/>
        <v>0</v>
      </c>
      <c r="X1241" s="8">
        <f t="shared" si="140"/>
        <v>0</v>
      </c>
    </row>
    <row r="1242" spans="1:24" ht="21.95" customHeight="1" x14ac:dyDescent="0.2">
      <c r="A1242" s="5" t="s">
        <v>17</v>
      </c>
      <c r="B1242" t="s">
        <v>1582</v>
      </c>
      <c r="C1242" t="s">
        <v>613</v>
      </c>
      <c r="D1242" t="s">
        <v>31</v>
      </c>
      <c r="E1242"/>
      <c r="F1242"/>
      <c r="G1242"/>
      <c r="H1242"/>
      <c r="I1242" s="10"/>
      <c r="J1242" s="10"/>
      <c r="K1242" s="7">
        <v>44005438</v>
      </c>
      <c r="L1242" s="5" t="str">
        <f t="shared" si="141"/>
        <v>AR BELIZE KOLTUK 4 LÜ</v>
      </c>
      <c r="M1242" s="8">
        <v>0.15</v>
      </c>
      <c r="N1242" s="8">
        <v>0.1</v>
      </c>
      <c r="O1242" s="8">
        <v>34500</v>
      </c>
      <c r="P1242" s="8">
        <f t="shared" si="135"/>
        <v>31050</v>
      </c>
      <c r="Q1242" s="12">
        <f t="shared" si="136"/>
        <v>65205</v>
      </c>
      <c r="R1242" s="31">
        <f t="shared" si="137"/>
        <v>65200</v>
      </c>
      <c r="U1242" s="8">
        <v>39800</v>
      </c>
      <c r="V1242" s="8">
        <f t="shared" si="142"/>
        <v>0</v>
      </c>
      <c r="W1242" s="8">
        <f t="shared" si="143"/>
        <v>0</v>
      </c>
      <c r="X1242" s="8">
        <f t="shared" si="140"/>
        <v>0</v>
      </c>
    </row>
    <row r="1243" spans="1:24" ht="21.95" customHeight="1" x14ac:dyDescent="0.2">
      <c r="A1243" s="5" t="s">
        <v>17</v>
      </c>
      <c r="B1243" t="s">
        <v>1582</v>
      </c>
      <c r="C1243" t="s">
        <v>613</v>
      </c>
      <c r="D1243" t="s">
        <v>32</v>
      </c>
      <c r="E1243"/>
      <c r="F1243"/>
      <c r="G1243"/>
      <c r="H1243"/>
      <c r="I1243" s="10"/>
      <c r="J1243" s="10"/>
      <c r="K1243" s="7">
        <v>44005439</v>
      </c>
      <c r="L1243" s="5" t="str">
        <f t="shared" si="141"/>
        <v>AR BELIZE KOLTUK 3 LÜ</v>
      </c>
      <c r="M1243" s="8">
        <v>0.15</v>
      </c>
      <c r="N1243" s="8">
        <v>0.1</v>
      </c>
      <c r="O1243" s="8">
        <v>30690</v>
      </c>
      <c r="P1243" s="8">
        <f t="shared" si="135"/>
        <v>27621</v>
      </c>
      <c r="Q1243" s="12">
        <f t="shared" si="136"/>
        <v>58004.100000000006</v>
      </c>
      <c r="R1243" s="31">
        <f t="shared" si="137"/>
        <v>58000</v>
      </c>
      <c r="U1243" s="8">
        <v>19760</v>
      </c>
      <c r="V1243" s="8">
        <f t="shared" si="142"/>
        <v>0</v>
      </c>
      <c r="W1243" s="8">
        <f t="shared" si="143"/>
        <v>0</v>
      </c>
      <c r="X1243" s="8">
        <f t="shared" si="140"/>
        <v>0</v>
      </c>
    </row>
    <row r="1244" spans="1:24" ht="21.95" customHeight="1" x14ac:dyDescent="0.2">
      <c r="A1244" s="5" t="s">
        <v>17</v>
      </c>
      <c r="B1244" t="s">
        <v>1582</v>
      </c>
      <c r="C1244" t="s">
        <v>613</v>
      </c>
      <c r="D1244" t="s">
        <v>614</v>
      </c>
      <c r="E1244"/>
      <c r="F1244"/>
      <c r="G1244"/>
      <c r="H1244"/>
      <c r="I1244" s="10"/>
      <c r="J1244" s="10"/>
      <c r="K1244" s="7">
        <v>44005440</v>
      </c>
      <c r="L1244" s="5" t="str">
        <f t="shared" si="141"/>
        <v>AR BELIZE KOLTUK 2 Lİ</v>
      </c>
      <c r="M1244" s="8">
        <v>0.15</v>
      </c>
      <c r="N1244" s="8">
        <v>0.1</v>
      </c>
      <c r="O1244" s="8">
        <v>26760</v>
      </c>
      <c r="P1244" s="8">
        <f t="shared" si="135"/>
        <v>24084</v>
      </c>
      <c r="Q1244" s="12">
        <f t="shared" si="136"/>
        <v>50576.4</v>
      </c>
      <c r="R1244" s="31">
        <f t="shared" si="137"/>
        <v>50500</v>
      </c>
      <c r="U1244" s="8">
        <v>37650</v>
      </c>
      <c r="V1244" s="8">
        <f t="shared" si="142"/>
        <v>0</v>
      </c>
      <c r="W1244" s="8">
        <f t="shared" si="143"/>
        <v>0</v>
      </c>
      <c r="X1244" s="8">
        <f t="shared" si="140"/>
        <v>0</v>
      </c>
    </row>
    <row r="1245" spans="1:24" ht="21.95" customHeight="1" x14ac:dyDescent="0.2">
      <c r="A1245" s="5" t="s">
        <v>17</v>
      </c>
      <c r="B1245" t="s">
        <v>1582</v>
      </c>
      <c r="C1245" t="s">
        <v>613</v>
      </c>
      <c r="D1245" t="s">
        <v>592</v>
      </c>
      <c r="E1245"/>
      <c r="F1245"/>
      <c r="G1245"/>
      <c r="H1245"/>
      <c r="I1245" s="10"/>
      <c r="J1245" s="10"/>
      <c r="K1245" s="7">
        <v>44005441</v>
      </c>
      <c r="L1245" s="5" t="str">
        <f t="shared" si="141"/>
        <v>AR BELIZE KOLTUK TEKLİ</v>
      </c>
      <c r="M1245" s="8">
        <v>0.15</v>
      </c>
      <c r="N1245" s="8">
        <v>0.1</v>
      </c>
      <c r="O1245" s="8">
        <v>14480</v>
      </c>
      <c r="P1245" s="8">
        <f t="shared" si="135"/>
        <v>13032</v>
      </c>
      <c r="Q1245" s="12">
        <f t="shared" si="136"/>
        <v>27367.200000000001</v>
      </c>
      <c r="R1245" s="31">
        <f t="shared" si="137"/>
        <v>27300</v>
      </c>
      <c r="U1245" s="8">
        <v>11740</v>
      </c>
      <c r="V1245" s="8">
        <f t="shared" si="142"/>
        <v>0</v>
      </c>
      <c r="W1245" s="8">
        <f t="shared" si="143"/>
        <v>0</v>
      </c>
      <c r="X1245" s="8">
        <f t="shared" si="140"/>
        <v>0</v>
      </c>
    </row>
    <row r="1246" spans="1:24" ht="21.95" customHeight="1" x14ac:dyDescent="0.2">
      <c r="A1246" s="5" t="s">
        <v>17</v>
      </c>
      <c r="B1246" t="s">
        <v>1582</v>
      </c>
      <c r="C1246" t="s">
        <v>613</v>
      </c>
      <c r="D1246" t="s">
        <v>62</v>
      </c>
      <c r="E1246"/>
      <c r="F1246"/>
      <c r="G1246"/>
      <c r="H1246"/>
      <c r="I1246" s="10"/>
      <c r="J1246" s="10"/>
      <c r="K1246" s="7">
        <v>44005442</v>
      </c>
      <c r="L1246" s="5" t="str">
        <f t="shared" si="141"/>
        <v>AR BELIZE DİNLENMELİ MODÜL SAĞ-SOL</v>
      </c>
      <c r="M1246" s="8">
        <v>0.15</v>
      </c>
      <c r="N1246" s="8">
        <v>0.1</v>
      </c>
      <c r="O1246" s="8">
        <v>21005</v>
      </c>
      <c r="P1246" s="8">
        <f t="shared" si="135"/>
        <v>18904.5</v>
      </c>
      <c r="Q1246" s="12">
        <f t="shared" si="136"/>
        <v>39699.450000000004</v>
      </c>
      <c r="R1246" s="31">
        <f t="shared" si="137"/>
        <v>39600</v>
      </c>
      <c r="U1246" s="8">
        <v>48200</v>
      </c>
      <c r="V1246" s="8">
        <f t="shared" si="142"/>
        <v>0</v>
      </c>
      <c r="W1246" s="8">
        <f t="shared" si="143"/>
        <v>0</v>
      </c>
      <c r="X1246" s="8">
        <f t="shared" si="140"/>
        <v>0</v>
      </c>
    </row>
    <row r="1247" spans="1:24" ht="21.95" customHeight="1" x14ac:dyDescent="0.2">
      <c r="A1247" s="5" t="s">
        <v>17</v>
      </c>
      <c r="B1247" t="s">
        <v>1582</v>
      </c>
      <c r="C1247" t="s">
        <v>613</v>
      </c>
      <c r="D1247" t="s">
        <v>615</v>
      </c>
      <c r="E1247"/>
      <c r="F1247"/>
      <c r="G1247"/>
      <c r="H1247"/>
      <c r="I1247" s="10"/>
      <c r="J1247" s="10"/>
      <c r="K1247" s="7">
        <v>44005443</v>
      </c>
      <c r="L1247" s="5" t="str">
        <f t="shared" si="141"/>
        <v>AR BELIZE TEKLİ KOLSUZ MODÜL</v>
      </c>
      <c r="M1247" s="8">
        <v>0.15</v>
      </c>
      <c r="N1247" s="8">
        <v>0.1</v>
      </c>
      <c r="O1247" s="8">
        <v>10240</v>
      </c>
      <c r="P1247" s="8">
        <f t="shared" si="135"/>
        <v>9216</v>
      </c>
      <c r="Q1247" s="12">
        <f t="shared" si="136"/>
        <v>19353.600000000002</v>
      </c>
      <c r="R1247" s="31">
        <f t="shared" si="137"/>
        <v>19300</v>
      </c>
      <c r="U1247" s="8">
        <v>42500</v>
      </c>
      <c r="V1247" s="8">
        <f t="shared" si="142"/>
        <v>0</v>
      </c>
      <c r="W1247" s="8">
        <f t="shared" si="143"/>
        <v>0</v>
      </c>
      <c r="X1247" s="8">
        <f t="shared" si="140"/>
        <v>0</v>
      </c>
    </row>
    <row r="1248" spans="1:24" ht="21.95" customHeight="1" x14ac:dyDescent="0.2">
      <c r="A1248" s="5" t="s">
        <v>17</v>
      </c>
      <c r="B1248" t="s">
        <v>1582</v>
      </c>
      <c r="C1248" t="s">
        <v>613</v>
      </c>
      <c r="D1248" t="s">
        <v>616</v>
      </c>
      <c r="E1248"/>
      <c r="F1248"/>
      <c r="G1248"/>
      <c r="H1248"/>
      <c r="I1248" s="10"/>
      <c r="J1248" s="10"/>
      <c r="K1248" s="7">
        <v>44005444</v>
      </c>
      <c r="L1248" s="5" t="str">
        <f t="shared" si="141"/>
        <v>AR BELIZE AÇILI MODÜL DÜZ KIRLENT</v>
      </c>
      <c r="M1248" s="8">
        <v>0.15</v>
      </c>
      <c r="N1248" s="8">
        <v>0.1</v>
      </c>
      <c r="O1248" s="8">
        <v>13975</v>
      </c>
      <c r="P1248" s="8">
        <f t="shared" si="135"/>
        <v>12577.5</v>
      </c>
      <c r="Q1248" s="12">
        <f t="shared" si="136"/>
        <v>26412.75</v>
      </c>
      <c r="R1248" s="31">
        <f t="shared" si="137"/>
        <v>26400</v>
      </c>
      <c r="U1248" s="8">
        <v>18100</v>
      </c>
      <c r="V1248" s="8">
        <f t="shared" si="142"/>
        <v>0</v>
      </c>
      <c r="W1248" s="8">
        <f t="shared" si="143"/>
        <v>0</v>
      </c>
      <c r="X1248" s="8">
        <f t="shared" si="140"/>
        <v>0</v>
      </c>
    </row>
    <row r="1249" spans="1:24" ht="21.95" customHeight="1" x14ac:dyDescent="0.2">
      <c r="A1249" s="5" t="s">
        <v>17</v>
      </c>
      <c r="B1249" t="s">
        <v>1582</v>
      </c>
      <c r="C1249" t="s">
        <v>613</v>
      </c>
      <c r="D1249" t="s">
        <v>617</v>
      </c>
      <c r="E1249"/>
      <c r="F1249"/>
      <c r="G1249"/>
      <c r="H1249"/>
      <c r="I1249" s="10"/>
      <c r="J1249" s="10"/>
      <c r="K1249" s="7">
        <v>44005445</v>
      </c>
      <c r="L1249" s="5" t="str">
        <f t="shared" si="141"/>
        <v>AR BELIZE AÇILI MODÜL DESENLİ KIRLENT</v>
      </c>
      <c r="M1249" s="8">
        <v>0.15</v>
      </c>
      <c r="N1249" s="8">
        <v>0.1</v>
      </c>
      <c r="O1249" s="8">
        <v>11080</v>
      </c>
      <c r="P1249" s="8">
        <f t="shared" si="135"/>
        <v>9972</v>
      </c>
      <c r="Q1249" s="12">
        <f t="shared" si="136"/>
        <v>20941.2</v>
      </c>
      <c r="R1249" s="31">
        <f t="shared" si="137"/>
        <v>20900</v>
      </c>
      <c r="U1249" s="8">
        <v>3680</v>
      </c>
      <c r="V1249" s="8">
        <f t="shared" si="142"/>
        <v>0</v>
      </c>
      <c r="W1249" s="8">
        <f t="shared" si="143"/>
        <v>0</v>
      </c>
      <c r="X1249" s="8">
        <f t="shared" si="140"/>
        <v>0</v>
      </c>
    </row>
    <row r="1250" spans="1:24" s="21" customFormat="1" ht="21.95" customHeight="1" x14ac:dyDescent="0.2">
      <c r="A1250" s="5" t="s">
        <v>17</v>
      </c>
      <c r="B1250" t="s">
        <v>1582</v>
      </c>
      <c r="C1250" t="s">
        <v>613</v>
      </c>
      <c r="D1250" t="s">
        <v>618</v>
      </c>
      <c r="E1250"/>
      <c r="F1250"/>
      <c r="G1250"/>
      <c r="H1250"/>
      <c r="I1250" s="10"/>
      <c r="J1250" s="10"/>
      <c r="K1250" s="7">
        <v>44005446</v>
      </c>
      <c r="L1250" s="5" t="str">
        <f t="shared" si="141"/>
        <v>AR BELIZE SOL MODÜL 4 LÜ</v>
      </c>
      <c r="M1250" s="8">
        <v>0.15</v>
      </c>
      <c r="N1250" s="8">
        <v>0.1</v>
      </c>
      <c r="O1250" s="8">
        <v>18060</v>
      </c>
      <c r="P1250" s="8">
        <f t="shared" si="135"/>
        <v>16254</v>
      </c>
      <c r="Q1250" s="12">
        <f t="shared" si="136"/>
        <v>34133.4</v>
      </c>
      <c r="R1250" s="31">
        <f t="shared" si="137"/>
        <v>34100</v>
      </c>
      <c r="T1250" s="23"/>
      <c r="U1250" s="23"/>
      <c r="V1250" s="23">
        <f t="shared" si="142"/>
        <v>0</v>
      </c>
      <c r="W1250" s="23">
        <f t="shared" si="143"/>
        <v>0</v>
      </c>
      <c r="X1250" s="23">
        <f t="shared" si="140"/>
        <v>0</v>
      </c>
    </row>
    <row r="1251" spans="1:24" s="21" customFormat="1" ht="21.95" customHeight="1" x14ac:dyDescent="0.2">
      <c r="A1251" s="5" t="s">
        <v>17</v>
      </c>
      <c r="B1251" t="s">
        <v>1582</v>
      </c>
      <c r="C1251" t="s">
        <v>613</v>
      </c>
      <c r="D1251" t="s">
        <v>619</v>
      </c>
      <c r="E1251"/>
      <c r="F1251"/>
      <c r="G1251"/>
      <c r="H1251"/>
      <c r="I1251" s="10"/>
      <c r="J1251" s="10"/>
      <c r="K1251" s="7">
        <v>44005447</v>
      </c>
      <c r="L1251" s="5" t="str">
        <f t="shared" si="141"/>
        <v>AR BELIZE SAĞ MODÜL 4 LÜ</v>
      </c>
      <c r="M1251" s="8">
        <v>0.15</v>
      </c>
      <c r="N1251" s="8">
        <v>0.1</v>
      </c>
      <c r="O1251" s="8">
        <v>16940</v>
      </c>
      <c r="P1251" s="8">
        <f t="shared" si="135"/>
        <v>15246</v>
      </c>
      <c r="Q1251" s="12">
        <f t="shared" si="136"/>
        <v>32016.600000000002</v>
      </c>
      <c r="R1251" s="31">
        <f t="shared" si="137"/>
        <v>32000</v>
      </c>
      <c r="T1251" s="23"/>
      <c r="U1251" s="23"/>
      <c r="V1251" s="23">
        <f t="shared" si="142"/>
        <v>0</v>
      </c>
      <c r="W1251" s="23">
        <f t="shared" si="143"/>
        <v>0</v>
      </c>
      <c r="X1251" s="23">
        <f t="shared" si="140"/>
        <v>0</v>
      </c>
    </row>
    <row r="1252" spans="1:24" s="21" customFormat="1" ht="21.95" customHeight="1" x14ac:dyDescent="0.2">
      <c r="A1252" s="5" t="s">
        <v>17</v>
      </c>
      <c r="B1252" t="s">
        <v>1582</v>
      </c>
      <c r="C1252" t="s">
        <v>613</v>
      </c>
      <c r="D1252" t="s">
        <v>620</v>
      </c>
      <c r="E1252"/>
      <c r="F1252"/>
      <c r="G1252"/>
      <c r="H1252"/>
      <c r="I1252" s="10"/>
      <c r="J1252" s="10"/>
      <c r="K1252" s="7">
        <v>44005448</v>
      </c>
      <c r="L1252" s="5" t="str">
        <f t="shared" si="141"/>
        <v>AR BELIZE SOL MODÜL 3 LÜ</v>
      </c>
      <c r="M1252" s="8">
        <v>0.15</v>
      </c>
      <c r="N1252" s="8">
        <v>0.1</v>
      </c>
      <c r="O1252" s="8">
        <v>15965</v>
      </c>
      <c r="P1252" s="8">
        <f t="shared" si="135"/>
        <v>14368.5</v>
      </c>
      <c r="Q1252" s="12">
        <f t="shared" si="136"/>
        <v>30173.850000000002</v>
      </c>
      <c r="R1252" s="31">
        <f t="shared" si="137"/>
        <v>30100</v>
      </c>
      <c r="T1252" s="23"/>
      <c r="U1252" s="23"/>
      <c r="V1252" s="23">
        <f t="shared" si="142"/>
        <v>0</v>
      </c>
      <c r="W1252" s="23">
        <f t="shared" si="143"/>
        <v>0</v>
      </c>
      <c r="X1252" s="23">
        <f t="shared" si="140"/>
        <v>0</v>
      </c>
    </row>
    <row r="1253" spans="1:24" ht="21.95" customHeight="1" x14ac:dyDescent="0.2">
      <c r="A1253" s="5" t="s">
        <v>17</v>
      </c>
      <c r="B1253" t="s">
        <v>1582</v>
      </c>
      <c r="C1253" t="s">
        <v>613</v>
      </c>
      <c r="D1253" t="s">
        <v>621</v>
      </c>
      <c r="E1253"/>
      <c r="F1253"/>
      <c r="G1253"/>
      <c r="H1253"/>
      <c r="I1253" s="10"/>
      <c r="J1253" s="10"/>
      <c r="K1253" s="7">
        <v>44005449</v>
      </c>
      <c r="L1253" s="5" t="str">
        <f t="shared" si="141"/>
        <v>AR BELIZE SAĞ MODÜL 3 LÜ</v>
      </c>
      <c r="M1253" s="8">
        <v>0.15</v>
      </c>
      <c r="N1253" s="8">
        <v>0.1</v>
      </c>
      <c r="O1253" s="8">
        <v>15145</v>
      </c>
      <c r="P1253" s="8">
        <f t="shared" si="135"/>
        <v>13630.5</v>
      </c>
      <c r="Q1253" s="12">
        <f t="shared" si="136"/>
        <v>28624.050000000003</v>
      </c>
      <c r="R1253" s="31">
        <f t="shared" si="137"/>
        <v>28600</v>
      </c>
    </row>
    <row r="1254" spans="1:24" ht="21.95" customHeight="1" x14ac:dyDescent="0.2">
      <c r="A1254" s="5" t="s">
        <v>17</v>
      </c>
      <c r="B1254" t="s">
        <v>1582</v>
      </c>
      <c r="C1254" t="s">
        <v>613</v>
      </c>
      <c r="D1254" t="s">
        <v>622</v>
      </c>
      <c r="E1254"/>
      <c r="F1254"/>
      <c r="G1254"/>
      <c r="H1254"/>
      <c r="I1254" s="10"/>
      <c r="J1254" s="10"/>
      <c r="K1254" s="7">
        <v>44005450</v>
      </c>
      <c r="L1254" s="5" t="str">
        <f t="shared" si="141"/>
        <v>AR BELIZE SOL MODÜL 2 Lİ</v>
      </c>
      <c r="M1254" s="8">
        <v>0.15</v>
      </c>
      <c r="N1254" s="8">
        <v>0.1</v>
      </c>
      <c r="O1254" s="8">
        <v>14165</v>
      </c>
      <c r="P1254" s="8">
        <f t="shared" si="135"/>
        <v>12748.5</v>
      </c>
      <c r="Q1254" s="12">
        <f t="shared" si="136"/>
        <v>26771.850000000002</v>
      </c>
      <c r="R1254" s="31">
        <f t="shared" si="137"/>
        <v>26700</v>
      </c>
    </row>
    <row r="1255" spans="1:24" ht="21.95" customHeight="1" x14ac:dyDescent="0.2">
      <c r="A1255" s="5" t="s">
        <v>17</v>
      </c>
      <c r="B1255" t="s">
        <v>1582</v>
      </c>
      <c r="C1255" t="s">
        <v>613</v>
      </c>
      <c r="D1255" t="s">
        <v>623</v>
      </c>
      <c r="E1255"/>
      <c r="F1255"/>
      <c r="G1255"/>
      <c r="H1255"/>
      <c r="I1255" s="10"/>
      <c r="J1255" s="10"/>
      <c r="K1255" s="7">
        <v>44005451</v>
      </c>
      <c r="L1255" s="5" t="str">
        <f t="shared" si="141"/>
        <v>AR BELIZE SAĞ MODÜL 2 Lİ</v>
      </c>
      <c r="M1255" s="8">
        <v>0.15</v>
      </c>
      <c r="N1255" s="8">
        <v>0.1</v>
      </c>
      <c r="O1255" s="8">
        <v>13340</v>
      </c>
      <c r="P1255" s="8">
        <f t="shared" si="135"/>
        <v>12006</v>
      </c>
      <c r="Q1255" s="12">
        <f t="shared" si="136"/>
        <v>25212.600000000002</v>
      </c>
      <c r="R1255" s="31">
        <f t="shared" si="137"/>
        <v>25200</v>
      </c>
    </row>
    <row r="1256" spans="1:24" ht="21.95" customHeight="1" x14ac:dyDescent="0.2">
      <c r="A1256" s="5" t="s">
        <v>17</v>
      </c>
      <c r="B1256" t="s">
        <v>1582</v>
      </c>
      <c r="C1256" t="s">
        <v>613</v>
      </c>
      <c r="D1256" t="s">
        <v>593</v>
      </c>
      <c r="E1256"/>
      <c r="F1256"/>
      <c r="G1256"/>
      <c r="H1256"/>
      <c r="I1256" s="10"/>
      <c r="J1256" s="10"/>
      <c r="K1256" s="7">
        <v>44005452</v>
      </c>
      <c r="L1256" s="5" t="str">
        <f t="shared" si="141"/>
        <v>AR BELIZE KARYOLA İÇ KAYITLI 160CM</v>
      </c>
      <c r="M1256" s="8">
        <v>0.15</v>
      </c>
      <c r="N1256" s="8">
        <v>0.1</v>
      </c>
      <c r="O1256" s="8">
        <v>25245</v>
      </c>
      <c r="P1256" s="8">
        <f t="shared" si="135"/>
        <v>22720.5</v>
      </c>
      <c r="Q1256" s="12">
        <f t="shared" si="136"/>
        <v>47713.05</v>
      </c>
      <c r="R1256" s="31">
        <f t="shared" si="137"/>
        <v>47700</v>
      </c>
    </row>
    <row r="1257" spans="1:24" ht="21.95" customHeight="1" x14ac:dyDescent="0.2">
      <c r="A1257" s="5" t="s">
        <v>17</v>
      </c>
      <c r="B1257" t="s">
        <v>1582</v>
      </c>
      <c r="C1257" t="s">
        <v>613</v>
      </c>
      <c r="D1257" t="s">
        <v>75</v>
      </c>
      <c r="E1257"/>
      <c r="F1257"/>
      <c r="G1257"/>
      <c r="H1257"/>
      <c r="I1257" s="10"/>
      <c r="J1257" s="10"/>
      <c r="K1257" s="7">
        <v>44005453</v>
      </c>
      <c r="L1257" s="5" t="str">
        <f t="shared" si="141"/>
        <v>AR BELIZE KARYOLA BAZALI 160CM</v>
      </c>
      <c r="M1257" s="8">
        <v>0.15</v>
      </c>
      <c r="N1257" s="8">
        <v>0.1</v>
      </c>
      <c r="O1257" s="8">
        <v>29845</v>
      </c>
      <c r="P1257" s="8">
        <f t="shared" si="135"/>
        <v>26860.5</v>
      </c>
      <c r="Q1257" s="12">
        <f t="shared" si="136"/>
        <v>56407.05</v>
      </c>
      <c r="R1257" s="31">
        <f t="shared" si="137"/>
        <v>56400</v>
      </c>
    </row>
    <row r="1258" spans="1:24" ht="21.95" customHeight="1" x14ac:dyDescent="0.2">
      <c r="A1258" s="5" t="s">
        <v>17</v>
      </c>
      <c r="B1258" t="s">
        <v>1582</v>
      </c>
      <c r="C1258" t="s">
        <v>613</v>
      </c>
      <c r="D1258" t="s">
        <v>76</v>
      </c>
      <c r="E1258"/>
      <c r="F1258"/>
      <c r="G1258"/>
      <c r="H1258"/>
      <c r="I1258" s="10"/>
      <c r="J1258" s="10"/>
      <c r="K1258" s="7">
        <v>44005454</v>
      </c>
      <c r="L1258" s="5" t="str">
        <f t="shared" si="141"/>
        <v>AR BELIZE KARYOLA BAZALI 180CM</v>
      </c>
      <c r="M1258" s="8">
        <v>0.15</v>
      </c>
      <c r="N1258" s="8">
        <v>0.1</v>
      </c>
      <c r="O1258" s="8">
        <v>32345</v>
      </c>
      <c r="P1258" s="8">
        <f t="shared" si="135"/>
        <v>29110.5</v>
      </c>
      <c r="Q1258" s="12">
        <f t="shared" si="136"/>
        <v>61132.05</v>
      </c>
      <c r="R1258" s="31">
        <f t="shared" si="137"/>
        <v>61100</v>
      </c>
    </row>
    <row r="1259" spans="1:24" ht="21.95" customHeight="1" x14ac:dyDescent="0.2">
      <c r="A1259" s="5" t="s">
        <v>17</v>
      </c>
      <c r="B1259" t="s">
        <v>1582</v>
      </c>
      <c r="C1259" t="s">
        <v>613</v>
      </c>
      <c r="D1259" t="s">
        <v>594</v>
      </c>
      <c r="E1259"/>
      <c r="F1259"/>
      <c r="G1259"/>
      <c r="H1259"/>
      <c r="I1259" s="10"/>
      <c r="J1259" s="10"/>
      <c r="K1259" s="7">
        <v>44005455</v>
      </c>
      <c r="L1259" s="5" t="str">
        <f t="shared" si="141"/>
        <v>AR BELIZE KARYOLA İÇ KAYITLI 180CM</v>
      </c>
      <c r="M1259" s="8">
        <v>0.15</v>
      </c>
      <c r="N1259" s="8">
        <v>0.1</v>
      </c>
      <c r="O1259" s="8">
        <v>27745</v>
      </c>
      <c r="P1259" s="8">
        <f t="shared" si="135"/>
        <v>24970.5</v>
      </c>
      <c r="Q1259" s="12">
        <f t="shared" si="136"/>
        <v>52438.05</v>
      </c>
      <c r="R1259" s="31">
        <f t="shared" si="137"/>
        <v>52400</v>
      </c>
    </row>
    <row r="1260" spans="1:24" ht="21.95" customHeight="1" x14ac:dyDescent="0.2">
      <c r="A1260" s="5" t="s">
        <v>17</v>
      </c>
      <c r="B1260" t="s">
        <v>1582</v>
      </c>
      <c r="C1260" t="s">
        <v>613</v>
      </c>
      <c r="D1260" t="s">
        <v>362</v>
      </c>
      <c r="E1260"/>
      <c r="F1260"/>
      <c r="G1260"/>
      <c r="H1260"/>
      <c r="I1260" s="10"/>
      <c r="J1260" s="10"/>
      <c r="K1260" s="7">
        <v>44005456</v>
      </c>
      <c r="L1260" s="5" t="str">
        <f t="shared" si="141"/>
        <v>AR BELIZE KOMODİN</v>
      </c>
      <c r="M1260" s="8">
        <v>0.15</v>
      </c>
      <c r="N1260" s="8">
        <v>0.1</v>
      </c>
      <c r="O1260" s="8">
        <v>7265</v>
      </c>
      <c r="P1260" s="8">
        <f t="shared" si="135"/>
        <v>6538.5</v>
      </c>
      <c r="Q1260" s="12">
        <f t="shared" si="136"/>
        <v>13730.85</v>
      </c>
      <c r="R1260" s="31">
        <f t="shared" si="137"/>
        <v>13700</v>
      </c>
    </row>
    <row r="1261" spans="1:24" ht="21.95" customHeight="1" x14ac:dyDescent="0.2">
      <c r="A1261" s="5" t="s">
        <v>17</v>
      </c>
      <c r="B1261" t="s">
        <v>1582</v>
      </c>
      <c r="C1261" t="s">
        <v>613</v>
      </c>
      <c r="D1261" t="s">
        <v>361</v>
      </c>
      <c r="E1261"/>
      <c r="F1261"/>
      <c r="G1261"/>
      <c r="H1261"/>
      <c r="I1261" s="10"/>
      <c r="J1261" s="10"/>
      <c r="K1261" s="7">
        <v>44005457</v>
      </c>
      <c r="L1261" s="5" t="str">
        <f t="shared" si="141"/>
        <v>AR BELIZE DOLAP</v>
      </c>
      <c r="M1261" s="8">
        <v>0.15</v>
      </c>
      <c r="N1261" s="8">
        <v>0.1</v>
      </c>
      <c r="O1261" s="8">
        <v>35730</v>
      </c>
      <c r="P1261" s="8">
        <f t="shared" si="135"/>
        <v>32157</v>
      </c>
      <c r="Q1261" s="12">
        <f t="shared" si="136"/>
        <v>67529.7</v>
      </c>
      <c r="R1261" s="31">
        <f t="shared" si="137"/>
        <v>67500</v>
      </c>
    </row>
    <row r="1262" spans="1:24" ht="21.95" customHeight="1" x14ac:dyDescent="0.2">
      <c r="A1262" s="5" t="s">
        <v>17</v>
      </c>
      <c r="B1262" t="s">
        <v>1582</v>
      </c>
      <c r="C1262" t="s">
        <v>613</v>
      </c>
      <c r="D1262" t="s">
        <v>595</v>
      </c>
      <c r="E1262"/>
      <c r="F1262"/>
      <c r="G1262"/>
      <c r="H1262"/>
      <c r="I1262" s="10"/>
      <c r="J1262" s="10"/>
      <c r="K1262" s="7">
        <v>44005458</v>
      </c>
      <c r="L1262" s="5" t="str">
        <f t="shared" si="141"/>
        <v>AR BELIZE ŞİFONYER &amp; AYNASI</v>
      </c>
      <c r="M1262" s="8">
        <v>0.15</v>
      </c>
      <c r="N1262" s="8">
        <v>0.1</v>
      </c>
      <c r="O1262" s="8">
        <v>22640</v>
      </c>
      <c r="P1262" s="8">
        <f t="shared" si="135"/>
        <v>20376</v>
      </c>
      <c r="Q1262" s="12">
        <f t="shared" si="136"/>
        <v>42789.599999999999</v>
      </c>
      <c r="R1262" s="31">
        <f t="shared" si="137"/>
        <v>42700</v>
      </c>
    </row>
    <row r="1263" spans="1:24" ht="21.95" customHeight="1" x14ac:dyDescent="0.2">
      <c r="A1263" s="5" t="s">
        <v>17</v>
      </c>
      <c r="B1263" t="s">
        <v>1582</v>
      </c>
      <c r="C1263" t="s">
        <v>613</v>
      </c>
      <c r="D1263" t="s">
        <v>126</v>
      </c>
      <c r="E1263"/>
      <c r="F1263"/>
      <c r="G1263"/>
      <c r="H1263"/>
      <c r="I1263" s="10"/>
      <c r="J1263" s="10"/>
      <c r="K1263" s="7">
        <v>44005459</v>
      </c>
      <c r="L1263" s="5" t="str">
        <f t="shared" si="141"/>
        <v>AR BELIZE ÇAMAŞIRLIK</v>
      </c>
      <c r="M1263" s="8">
        <v>0.15</v>
      </c>
      <c r="N1263" s="8">
        <v>0.1</v>
      </c>
      <c r="O1263" s="8">
        <v>9850</v>
      </c>
      <c r="P1263" s="8">
        <f t="shared" si="135"/>
        <v>8865</v>
      </c>
      <c r="Q1263" s="12">
        <f t="shared" si="136"/>
        <v>18616.5</v>
      </c>
      <c r="R1263" s="31">
        <f t="shared" si="137"/>
        <v>18600</v>
      </c>
    </row>
    <row r="1264" spans="1:24" ht="21.95" customHeight="1" x14ac:dyDescent="0.2">
      <c r="A1264" s="5" t="s">
        <v>17</v>
      </c>
      <c r="B1264" t="s">
        <v>1582</v>
      </c>
      <c r="C1264" t="s">
        <v>613</v>
      </c>
      <c r="D1264" t="s">
        <v>82</v>
      </c>
      <c r="E1264"/>
      <c r="F1264"/>
      <c r="G1264"/>
      <c r="H1264"/>
      <c r="I1264" s="10"/>
      <c r="J1264" s="10"/>
      <c r="K1264" s="7">
        <v>44005460</v>
      </c>
      <c r="L1264" s="5" t="str">
        <f t="shared" si="141"/>
        <v>AR BELIZE BOY AYNASI</v>
      </c>
      <c r="M1264" s="8">
        <v>0.15</v>
      </c>
      <c r="N1264" s="8">
        <v>0.1</v>
      </c>
      <c r="O1264" s="8">
        <v>4305</v>
      </c>
      <c r="P1264" s="8">
        <f t="shared" ref="P1264:P1327" si="144">O1264*(1-N1264)</f>
        <v>3874.5</v>
      </c>
      <c r="Q1264" s="12">
        <f t="shared" ref="Q1264:Q1327" si="145">O1264*(1-N1264)*2.1</f>
        <v>8136.4500000000007</v>
      </c>
      <c r="R1264" s="31">
        <f t="shared" ref="R1264:R1327" si="146">ROUNDDOWN(Q1264,-2)</f>
        <v>8100</v>
      </c>
    </row>
    <row r="1265" spans="1:18" ht="21.95" customHeight="1" x14ac:dyDescent="0.2">
      <c r="A1265" s="5" t="s">
        <v>17</v>
      </c>
      <c r="B1265" t="s">
        <v>1582</v>
      </c>
      <c r="C1265" t="s">
        <v>613</v>
      </c>
      <c r="D1265" t="s">
        <v>596</v>
      </c>
      <c r="E1265"/>
      <c r="F1265"/>
      <c r="G1265"/>
      <c r="H1265"/>
      <c r="I1265" s="10"/>
      <c r="J1265" s="10"/>
      <c r="K1265" s="7">
        <v>44005461</v>
      </c>
      <c r="L1265" s="5" t="str">
        <f t="shared" si="141"/>
        <v>AR BELIZE MAKYAJ PUFU</v>
      </c>
      <c r="M1265" s="8">
        <v>0.15</v>
      </c>
      <c r="N1265" s="8">
        <v>0.1</v>
      </c>
      <c r="O1265" s="8">
        <v>6360</v>
      </c>
      <c r="P1265" s="8">
        <f t="shared" si="144"/>
        <v>5724</v>
      </c>
      <c r="Q1265" s="12">
        <f t="shared" si="145"/>
        <v>12020.4</v>
      </c>
      <c r="R1265" s="31">
        <f t="shared" si="146"/>
        <v>12000</v>
      </c>
    </row>
    <row r="1266" spans="1:18" ht="21.95" customHeight="1" x14ac:dyDescent="0.2">
      <c r="A1266" s="5" t="s">
        <v>17</v>
      </c>
      <c r="B1266" t="s">
        <v>1582</v>
      </c>
      <c r="C1266" t="s">
        <v>624</v>
      </c>
      <c r="D1266" t="s">
        <v>31</v>
      </c>
      <c r="E1266"/>
      <c r="F1266"/>
      <c r="G1266"/>
      <c r="H1266"/>
      <c r="I1266" s="10"/>
      <c r="J1266" s="10"/>
      <c r="K1266" s="7">
        <v>44005462</v>
      </c>
      <c r="L1266" s="5" t="str">
        <f t="shared" si="141"/>
        <v>AR PETRA KOLTUK 4 LÜ</v>
      </c>
      <c r="M1266" s="8">
        <v>0.15</v>
      </c>
      <c r="N1266" s="8">
        <v>0.1</v>
      </c>
      <c r="O1266" s="8">
        <v>34940</v>
      </c>
      <c r="P1266" s="8">
        <f t="shared" si="144"/>
        <v>31446</v>
      </c>
      <c r="Q1266" s="12">
        <f t="shared" si="145"/>
        <v>66036.600000000006</v>
      </c>
      <c r="R1266" s="31">
        <f t="shared" si="146"/>
        <v>66000</v>
      </c>
    </row>
    <row r="1267" spans="1:18" ht="21.95" customHeight="1" x14ac:dyDescent="0.2">
      <c r="A1267" s="5" t="s">
        <v>17</v>
      </c>
      <c r="B1267" t="s">
        <v>1582</v>
      </c>
      <c r="C1267" t="s">
        <v>624</v>
      </c>
      <c r="D1267" t="s">
        <v>32</v>
      </c>
      <c r="E1267"/>
      <c r="F1267"/>
      <c r="G1267"/>
      <c r="H1267"/>
      <c r="I1267" s="10"/>
      <c r="J1267" s="10"/>
      <c r="K1267" s="7">
        <v>44005463</v>
      </c>
      <c r="L1267" s="5" t="str">
        <f t="shared" si="141"/>
        <v>AR PETRA KOLTUK 3 LÜ</v>
      </c>
      <c r="M1267" s="8">
        <v>0.15</v>
      </c>
      <c r="N1267" s="8">
        <v>0.1</v>
      </c>
      <c r="O1267" s="8">
        <v>31355</v>
      </c>
      <c r="P1267" s="8">
        <f t="shared" si="144"/>
        <v>28219.5</v>
      </c>
      <c r="Q1267" s="12">
        <f t="shared" si="145"/>
        <v>59260.950000000004</v>
      </c>
      <c r="R1267" s="31">
        <f t="shared" si="146"/>
        <v>59200</v>
      </c>
    </row>
    <row r="1268" spans="1:18" ht="21.95" customHeight="1" x14ac:dyDescent="0.2">
      <c r="A1268" s="5" t="s">
        <v>17</v>
      </c>
      <c r="B1268" t="s">
        <v>1582</v>
      </c>
      <c r="C1268" t="s">
        <v>624</v>
      </c>
      <c r="D1268" t="s">
        <v>592</v>
      </c>
      <c r="E1268"/>
      <c r="F1268"/>
      <c r="G1268"/>
      <c r="H1268"/>
      <c r="I1268" s="10"/>
      <c r="J1268" s="10"/>
      <c r="K1268" s="7">
        <v>44005464</v>
      </c>
      <c r="L1268" s="5" t="str">
        <f t="shared" si="141"/>
        <v>AR PETRA KOLTUK TEKLİ</v>
      </c>
      <c r="M1268" s="8">
        <v>0.15</v>
      </c>
      <c r="N1268" s="8">
        <v>0.1</v>
      </c>
      <c r="O1268" s="8">
        <v>13315</v>
      </c>
      <c r="P1268" s="8">
        <f t="shared" si="144"/>
        <v>11983.5</v>
      </c>
      <c r="Q1268" s="12">
        <f t="shared" si="145"/>
        <v>25165.350000000002</v>
      </c>
      <c r="R1268" s="31">
        <f t="shared" si="146"/>
        <v>25100</v>
      </c>
    </row>
    <row r="1269" spans="1:18" ht="21.95" customHeight="1" x14ac:dyDescent="0.2">
      <c r="A1269" s="5" t="s">
        <v>17</v>
      </c>
      <c r="B1269" t="s">
        <v>1582</v>
      </c>
      <c r="C1269" t="s">
        <v>624</v>
      </c>
      <c r="D1269" t="s">
        <v>625</v>
      </c>
      <c r="E1269"/>
      <c r="F1269"/>
      <c r="G1269"/>
      <c r="H1269"/>
      <c r="I1269" s="10"/>
      <c r="J1269" s="10"/>
      <c r="K1269" s="7">
        <v>44005465</v>
      </c>
      <c r="L1269" s="5" t="str">
        <f t="shared" si="141"/>
        <v>AR PETRA KOLTUK TEKLİ DESENLİ</v>
      </c>
      <c r="M1269" s="8">
        <v>0.15</v>
      </c>
      <c r="N1269" s="8">
        <v>0.1</v>
      </c>
      <c r="O1269" s="8">
        <v>14110</v>
      </c>
      <c r="P1269" s="8">
        <f t="shared" si="144"/>
        <v>12699</v>
      </c>
      <c r="Q1269" s="12">
        <f t="shared" si="145"/>
        <v>26667.9</v>
      </c>
      <c r="R1269" s="31">
        <f t="shared" si="146"/>
        <v>26600</v>
      </c>
    </row>
    <row r="1270" spans="1:18" ht="21.95" customHeight="1" x14ac:dyDescent="0.2">
      <c r="A1270" s="5" t="s">
        <v>17</v>
      </c>
      <c r="B1270" t="s">
        <v>1582</v>
      </c>
      <c r="C1270" t="s">
        <v>624</v>
      </c>
      <c r="D1270" t="s">
        <v>626</v>
      </c>
      <c r="E1270"/>
      <c r="F1270"/>
      <c r="G1270"/>
      <c r="H1270"/>
      <c r="I1270" s="10"/>
      <c r="J1270" s="10"/>
      <c r="K1270" s="7">
        <v>44005466</v>
      </c>
      <c r="L1270" s="5" t="str">
        <f t="shared" si="141"/>
        <v>AR PETRA MODÜL SOL KOLLU 4  LÜ</v>
      </c>
      <c r="M1270" s="8">
        <v>0.15</v>
      </c>
      <c r="N1270" s="8">
        <v>0.1</v>
      </c>
      <c r="O1270" s="8">
        <v>14140</v>
      </c>
      <c r="P1270" s="8">
        <f t="shared" si="144"/>
        <v>12726</v>
      </c>
      <c r="Q1270" s="12">
        <f t="shared" si="145"/>
        <v>26724.600000000002</v>
      </c>
      <c r="R1270" s="31">
        <f t="shared" si="146"/>
        <v>26700</v>
      </c>
    </row>
    <row r="1271" spans="1:18" ht="21.95" customHeight="1" x14ac:dyDescent="0.2">
      <c r="A1271" s="5" t="s">
        <v>17</v>
      </c>
      <c r="B1271" t="s">
        <v>1582</v>
      </c>
      <c r="C1271" t="s">
        <v>624</v>
      </c>
      <c r="D1271" t="s">
        <v>627</v>
      </c>
      <c r="E1271"/>
      <c r="F1271"/>
      <c r="G1271"/>
      <c r="H1271"/>
      <c r="I1271" s="10"/>
      <c r="J1271" s="10"/>
      <c r="K1271" s="7">
        <v>44005467</v>
      </c>
      <c r="L1271" s="5" t="str">
        <f t="shared" si="141"/>
        <v>AR PETRA MODÜL SAĞ KOLLU 4 LÜ</v>
      </c>
      <c r="M1271" s="8">
        <v>0.15</v>
      </c>
      <c r="N1271" s="8">
        <v>0.1</v>
      </c>
      <c r="O1271" s="8">
        <v>13590</v>
      </c>
      <c r="P1271" s="8">
        <f t="shared" si="144"/>
        <v>12231</v>
      </c>
      <c r="Q1271" s="12">
        <f t="shared" si="145"/>
        <v>25685.100000000002</v>
      </c>
      <c r="R1271" s="31">
        <f t="shared" si="146"/>
        <v>25600</v>
      </c>
    </row>
    <row r="1272" spans="1:18" ht="21.95" customHeight="1" x14ac:dyDescent="0.2">
      <c r="A1272" s="5" t="s">
        <v>17</v>
      </c>
      <c r="B1272" t="s">
        <v>1582</v>
      </c>
      <c r="C1272" t="s">
        <v>624</v>
      </c>
      <c r="D1272" t="s">
        <v>628</v>
      </c>
      <c r="E1272"/>
      <c r="F1272"/>
      <c r="G1272"/>
      <c r="H1272"/>
      <c r="I1272" s="10"/>
      <c r="J1272" s="10"/>
      <c r="K1272" s="7">
        <v>44005468</v>
      </c>
      <c r="L1272" s="5" t="str">
        <f t="shared" si="141"/>
        <v>AR PETRA MODÜL TEKLİ KOLSUZ</v>
      </c>
      <c r="M1272" s="8">
        <v>0.15</v>
      </c>
      <c r="N1272" s="8">
        <v>0.1</v>
      </c>
      <c r="O1272" s="8">
        <v>9930</v>
      </c>
      <c r="P1272" s="8">
        <f t="shared" si="144"/>
        <v>8937</v>
      </c>
      <c r="Q1272" s="12">
        <f t="shared" si="145"/>
        <v>18767.7</v>
      </c>
      <c r="R1272" s="31">
        <f t="shared" si="146"/>
        <v>18700</v>
      </c>
    </row>
    <row r="1273" spans="1:18" ht="21.95" customHeight="1" x14ac:dyDescent="0.2">
      <c r="A1273" s="5" t="s">
        <v>17</v>
      </c>
      <c r="B1273" t="s">
        <v>1582</v>
      </c>
      <c r="C1273" t="s">
        <v>624</v>
      </c>
      <c r="D1273" t="s">
        <v>629</v>
      </c>
      <c r="E1273"/>
      <c r="F1273"/>
      <c r="G1273"/>
      <c r="H1273"/>
      <c r="I1273" s="10"/>
      <c r="J1273" s="10"/>
      <c r="K1273" s="7">
        <v>44005469</v>
      </c>
      <c r="L1273" s="5" t="str">
        <f t="shared" si="141"/>
        <v>AR PETRA BÜYÜK KÖŞE MODÜL</v>
      </c>
      <c r="M1273" s="8">
        <v>0.15</v>
      </c>
      <c r="N1273" s="8">
        <v>0.1</v>
      </c>
      <c r="O1273" s="8">
        <v>23870</v>
      </c>
      <c r="P1273" s="8">
        <f t="shared" si="144"/>
        <v>21483</v>
      </c>
      <c r="Q1273" s="12">
        <f t="shared" si="145"/>
        <v>45114.3</v>
      </c>
      <c r="R1273" s="31">
        <f t="shared" si="146"/>
        <v>45100</v>
      </c>
    </row>
    <row r="1274" spans="1:18" ht="21.95" customHeight="1" x14ac:dyDescent="0.2">
      <c r="A1274" s="5" t="s">
        <v>17</v>
      </c>
      <c r="B1274" t="s">
        <v>1582</v>
      </c>
      <c r="C1274" t="s">
        <v>630</v>
      </c>
      <c r="D1274" t="s">
        <v>49</v>
      </c>
      <c r="E1274"/>
      <c r="F1274"/>
      <c r="G1274"/>
      <c r="H1274"/>
      <c r="I1274" s="10"/>
      <c r="J1274" s="10"/>
      <c r="K1274" s="7">
        <v>44005470</v>
      </c>
      <c r="L1274" s="5" t="str">
        <f t="shared" si="141"/>
        <v>AR LE MANS KONSOL</v>
      </c>
      <c r="M1274" s="8">
        <v>0.15</v>
      </c>
      <c r="N1274" s="8">
        <v>0.1</v>
      </c>
      <c r="O1274" s="8">
        <v>22955</v>
      </c>
      <c r="P1274" s="8">
        <f t="shared" si="144"/>
        <v>20659.5</v>
      </c>
      <c r="Q1274" s="12">
        <f t="shared" si="145"/>
        <v>43384.950000000004</v>
      </c>
      <c r="R1274" s="31">
        <f t="shared" si="146"/>
        <v>43300</v>
      </c>
    </row>
    <row r="1275" spans="1:18" ht="21.95" customHeight="1" x14ac:dyDescent="0.2">
      <c r="A1275" s="5" t="s">
        <v>17</v>
      </c>
      <c r="B1275" t="s">
        <v>1582</v>
      </c>
      <c r="C1275" t="s">
        <v>630</v>
      </c>
      <c r="D1275" t="s">
        <v>21</v>
      </c>
      <c r="E1275"/>
      <c r="F1275"/>
      <c r="G1275"/>
      <c r="H1275"/>
      <c r="I1275" s="10"/>
      <c r="J1275" s="10"/>
      <c r="K1275" s="7">
        <v>44005471</v>
      </c>
      <c r="L1275" s="5" t="str">
        <f t="shared" si="141"/>
        <v>AR LE MANS KONSOL AYNASI</v>
      </c>
      <c r="M1275" s="8">
        <v>0.15</v>
      </c>
      <c r="N1275" s="8">
        <v>0.1</v>
      </c>
      <c r="O1275" s="8">
        <v>4646</v>
      </c>
      <c r="P1275" s="8">
        <f t="shared" si="144"/>
        <v>4181.4000000000005</v>
      </c>
      <c r="Q1275" s="12">
        <f t="shared" si="145"/>
        <v>8780.9400000000023</v>
      </c>
      <c r="R1275" s="31">
        <f t="shared" si="146"/>
        <v>8700</v>
      </c>
    </row>
    <row r="1276" spans="1:18" ht="21.95" customHeight="1" x14ac:dyDescent="0.2">
      <c r="A1276" s="5" t="s">
        <v>17</v>
      </c>
      <c r="B1276" t="s">
        <v>1582</v>
      </c>
      <c r="C1276" t="s">
        <v>630</v>
      </c>
      <c r="D1276" t="s">
        <v>599</v>
      </c>
      <c r="E1276"/>
      <c r="F1276"/>
      <c r="G1276"/>
      <c r="H1276"/>
      <c r="I1276" s="10"/>
      <c r="J1276" s="10"/>
      <c r="K1276" s="7">
        <v>44005472</v>
      </c>
      <c r="L1276" s="5" t="str">
        <f t="shared" si="141"/>
        <v>AR LE MANS MASA 210CM</v>
      </c>
      <c r="M1276" s="8">
        <v>0.15</v>
      </c>
      <c r="N1276" s="8">
        <v>0.1</v>
      </c>
      <c r="O1276" s="8">
        <v>19455</v>
      </c>
      <c r="P1276" s="8">
        <f t="shared" si="144"/>
        <v>17509.5</v>
      </c>
      <c r="Q1276" s="12">
        <f t="shared" si="145"/>
        <v>36769.950000000004</v>
      </c>
      <c r="R1276" s="31">
        <f t="shared" si="146"/>
        <v>36700</v>
      </c>
    </row>
    <row r="1277" spans="1:18" ht="21.95" customHeight="1" x14ac:dyDescent="0.2">
      <c r="A1277" s="5" t="s">
        <v>17</v>
      </c>
      <c r="B1277" t="s">
        <v>1582</v>
      </c>
      <c r="C1277" t="s">
        <v>630</v>
      </c>
      <c r="D1277" t="s">
        <v>587</v>
      </c>
      <c r="E1277"/>
      <c r="F1277"/>
      <c r="G1277"/>
      <c r="H1277"/>
      <c r="I1277" s="10"/>
      <c r="J1277" s="10"/>
      <c r="K1277" s="7">
        <v>44005473</v>
      </c>
      <c r="L1277" s="5" t="str">
        <f t="shared" si="141"/>
        <v>AR LE MANS MASA 180CM</v>
      </c>
      <c r="M1277" s="8">
        <v>0.15</v>
      </c>
      <c r="N1277" s="8">
        <v>0.1</v>
      </c>
      <c r="O1277" s="8">
        <v>25292</v>
      </c>
      <c r="P1277" s="8">
        <f t="shared" si="144"/>
        <v>22762.799999999999</v>
      </c>
      <c r="Q1277" s="12">
        <f t="shared" si="145"/>
        <v>47801.88</v>
      </c>
      <c r="R1277" s="31">
        <f t="shared" si="146"/>
        <v>47800</v>
      </c>
    </row>
    <row r="1278" spans="1:18" ht="21.95" customHeight="1" x14ac:dyDescent="0.2">
      <c r="A1278" s="5" t="s">
        <v>17</v>
      </c>
      <c r="B1278" t="s">
        <v>1582</v>
      </c>
      <c r="C1278" t="s">
        <v>630</v>
      </c>
      <c r="D1278" t="s">
        <v>24</v>
      </c>
      <c r="E1278"/>
      <c r="F1278"/>
      <c r="G1278"/>
      <c r="H1278"/>
      <c r="I1278" s="10"/>
      <c r="J1278" s="10"/>
      <c r="K1278" s="7">
        <v>44005474</v>
      </c>
      <c r="L1278" s="5" t="str">
        <f t="shared" si="141"/>
        <v>AR LE MANS MASA 240CM</v>
      </c>
      <c r="M1278" s="8">
        <v>0.15</v>
      </c>
      <c r="N1278" s="8">
        <v>0.1</v>
      </c>
      <c r="O1278" s="8">
        <v>28905</v>
      </c>
      <c r="P1278" s="8">
        <f t="shared" si="144"/>
        <v>26014.5</v>
      </c>
      <c r="Q1278" s="12">
        <f t="shared" si="145"/>
        <v>54630.450000000004</v>
      </c>
      <c r="R1278" s="31">
        <f t="shared" si="146"/>
        <v>54600</v>
      </c>
    </row>
    <row r="1279" spans="1:18" ht="21.95" customHeight="1" x14ac:dyDescent="0.2">
      <c r="A1279" s="5" t="s">
        <v>17</v>
      </c>
      <c r="B1279" t="s">
        <v>1582</v>
      </c>
      <c r="C1279" t="s">
        <v>630</v>
      </c>
      <c r="D1279" t="s">
        <v>358</v>
      </c>
      <c r="E1279"/>
      <c r="F1279"/>
      <c r="G1279"/>
      <c r="H1279"/>
      <c r="I1279" s="10"/>
      <c r="J1279" s="10"/>
      <c r="K1279" s="7">
        <v>44005475</v>
      </c>
      <c r="L1279" s="5" t="str">
        <f t="shared" si="141"/>
        <v xml:space="preserve">AR LE MANS SANDALYE </v>
      </c>
      <c r="M1279" s="8">
        <v>0.15</v>
      </c>
      <c r="N1279" s="8">
        <v>0.1</v>
      </c>
      <c r="O1279" s="8">
        <v>6394</v>
      </c>
      <c r="P1279" s="8">
        <f t="shared" si="144"/>
        <v>5754.6</v>
      </c>
      <c r="Q1279" s="12">
        <f t="shared" si="145"/>
        <v>12084.660000000002</v>
      </c>
      <c r="R1279" s="31">
        <f t="shared" si="146"/>
        <v>12000</v>
      </c>
    </row>
    <row r="1280" spans="1:18" ht="21.95" customHeight="1" x14ac:dyDescent="0.2">
      <c r="A1280" s="5" t="s">
        <v>17</v>
      </c>
      <c r="B1280" t="s">
        <v>1582</v>
      </c>
      <c r="C1280" t="s">
        <v>630</v>
      </c>
      <c r="D1280" t="s">
        <v>588</v>
      </c>
      <c r="E1280"/>
      <c r="F1280"/>
      <c r="G1280"/>
      <c r="H1280"/>
      <c r="I1280" s="10"/>
      <c r="J1280" s="10"/>
      <c r="K1280" s="7">
        <v>44005476</v>
      </c>
      <c r="L1280" s="5" t="str">
        <f t="shared" si="141"/>
        <v xml:space="preserve">AR LE MANS DRESUAR </v>
      </c>
      <c r="M1280" s="8">
        <v>0.15</v>
      </c>
      <c r="N1280" s="8">
        <v>0.1</v>
      </c>
      <c r="O1280" s="8">
        <v>19225</v>
      </c>
      <c r="P1280" s="8">
        <f t="shared" si="144"/>
        <v>17302.5</v>
      </c>
      <c r="Q1280" s="12">
        <f t="shared" si="145"/>
        <v>36335.25</v>
      </c>
      <c r="R1280" s="31">
        <f t="shared" si="146"/>
        <v>36300</v>
      </c>
    </row>
    <row r="1281" spans="1:18" ht="21.95" customHeight="1" x14ac:dyDescent="0.2">
      <c r="A1281" s="5" t="s">
        <v>17</v>
      </c>
      <c r="B1281" t="s">
        <v>1582</v>
      </c>
      <c r="C1281" t="s">
        <v>630</v>
      </c>
      <c r="D1281" t="s">
        <v>609</v>
      </c>
      <c r="E1281"/>
      <c r="F1281"/>
      <c r="G1281"/>
      <c r="H1281"/>
      <c r="I1281" s="10"/>
      <c r="J1281" s="10"/>
      <c r="K1281" s="7">
        <v>44005477</v>
      </c>
      <c r="L1281" s="5" t="str">
        <f t="shared" si="141"/>
        <v>AR LE MANS TV ÜNİTESİ ÜST KAPAKLI MODÜL</v>
      </c>
      <c r="M1281" s="8">
        <v>0.15</v>
      </c>
      <c r="N1281" s="8">
        <v>0.1</v>
      </c>
      <c r="O1281" s="8">
        <v>10470</v>
      </c>
      <c r="P1281" s="8">
        <f t="shared" si="144"/>
        <v>9423</v>
      </c>
      <c r="Q1281" s="12">
        <f t="shared" si="145"/>
        <v>19788.3</v>
      </c>
      <c r="R1281" s="31">
        <f t="shared" si="146"/>
        <v>19700</v>
      </c>
    </row>
    <row r="1282" spans="1:18" ht="21.95" customHeight="1" x14ac:dyDescent="0.2">
      <c r="A1282" s="5" t="s">
        <v>17</v>
      </c>
      <c r="B1282" t="s">
        <v>1582</v>
      </c>
      <c r="C1282" t="s">
        <v>630</v>
      </c>
      <c r="D1282" t="s">
        <v>610</v>
      </c>
      <c r="E1282"/>
      <c r="F1282"/>
      <c r="G1282"/>
      <c r="H1282"/>
      <c r="I1282" s="10"/>
      <c r="J1282" s="10"/>
      <c r="K1282" s="7">
        <v>44005478</v>
      </c>
      <c r="L1282" s="5" t="str">
        <f t="shared" si="141"/>
        <v>AR LE MANS TV ÜNİTESİ SOL TEKLİ MODÜL</v>
      </c>
      <c r="M1282" s="8">
        <v>0.15</v>
      </c>
      <c r="N1282" s="8">
        <v>0.1</v>
      </c>
      <c r="O1282" s="8">
        <v>5725</v>
      </c>
      <c r="P1282" s="8">
        <f t="shared" si="144"/>
        <v>5152.5</v>
      </c>
      <c r="Q1282" s="12">
        <f t="shared" si="145"/>
        <v>10820.25</v>
      </c>
      <c r="R1282" s="31">
        <f t="shared" si="146"/>
        <v>10800</v>
      </c>
    </row>
    <row r="1283" spans="1:18" ht="21.95" customHeight="1" x14ac:dyDescent="0.2">
      <c r="A1283" s="5" t="s">
        <v>17</v>
      </c>
      <c r="B1283" t="s">
        <v>1582</v>
      </c>
      <c r="C1283" t="s">
        <v>630</v>
      </c>
      <c r="D1283" t="s">
        <v>611</v>
      </c>
      <c r="E1283"/>
      <c r="F1283"/>
      <c r="G1283"/>
      <c r="H1283"/>
      <c r="I1283" s="10"/>
      <c r="J1283" s="10"/>
      <c r="K1283" s="7">
        <v>44005479</v>
      </c>
      <c r="L1283" s="5" t="str">
        <f t="shared" si="141"/>
        <v>AR LE MANS TV ÜNİTESİ SOL ÇİFTLİ MODÜL</v>
      </c>
      <c r="M1283" s="8">
        <v>0.15</v>
      </c>
      <c r="N1283" s="8">
        <v>0.1</v>
      </c>
      <c r="O1283" s="8">
        <v>11230</v>
      </c>
      <c r="P1283" s="8">
        <f t="shared" si="144"/>
        <v>10107</v>
      </c>
      <c r="Q1283" s="12">
        <f t="shared" si="145"/>
        <v>21224.7</v>
      </c>
      <c r="R1283" s="31">
        <f t="shared" si="146"/>
        <v>21200</v>
      </c>
    </row>
    <row r="1284" spans="1:18" ht="21.95" customHeight="1" x14ac:dyDescent="0.2">
      <c r="A1284" s="5" t="s">
        <v>17</v>
      </c>
      <c r="B1284" t="s">
        <v>1582</v>
      </c>
      <c r="C1284" t="s">
        <v>630</v>
      </c>
      <c r="D1284" t="s">
        <v>612</v>
      </c>
      <c r="E1284"/>
      <c r="F1284"/>
      <c r="G1284"/>
      <c r="H1284"/>
      <c r="I1284" s="10"/>
      <c r="J1284" s="10"/>
      <c r="K1284" s="7">
        <v>44005480</v>
      </c>
      <c r="L1284" s="5" t="str">
        <f t="shared" si="141"/>
        <v>AR LE MANS TV ÜNİTESİ SAĞ RAF MODÜL</v>
      </c>
      <c r="M1284" s="8">
        <v>0.15</v>
      </c>
      <c r="N1284" s="8">
        <v>0.1</v>
      </c>
      <c r="O1284" s="8">
        <v>12225</v>
      </c>
      <c r="P1284" s="8">
        <f t="shared" si="144"/>
        <v>11002.5</v>
      </c>
      <c r="Q1284" s="12">
        <f t="shared" si="145"/>
        <v>23105.25</v>
      </c>
      <c r="R1284" s="31">
        <f t="shared" si="146"/>
        <v>23100</v>
      </c>
    </row>
    <row r="1285" spans="1:18" ht="21.95" customHeight="1" x14ac:dyDescent="0.2">
      <c r="A1285" s="5" t="s">
        <v>17</v>
      </c>
      <c r="B1285" t="s">
        <v>1582</v>
      </c>
      <c r="C1285" t="s">
        <v>630</v>
      </c>
      <c r="D1285" t="s">
        <v>601</v>
      </c>
      <c r="E1285"/>
      <c r="F1285"/>
      <c r="G1285"/>
      <c r="H1285"/>
      <c r="I1285" s="10"/>
      <c r="J1285" s="10"/>
      <c r="K1285" s="7">
        <v>44005481</v>
      </c>
      <c r="L1285" s="5" t="str">
        <f t="shared" si="141"/>
        <v>AR LE MANS ORTA SEHPA SERAMİK</v>
      </c>
      <c r="M1285" s="8">
        <v>0.15</v>
      </c>
      <c r="N1285" s="8">
        <v>0.1</v>
      </c>
      <c r="O1285" s="8">
        <v>19750</v>
      </c>
      <c r="P1285" s="8">
        <f t="shared" si="144"/>
        <v>17775</v>
      </c>
      <c r="Q1285" s="12">
        <f t="shared" si="145"/>
        <v>37327.5</v>
      </c>
      <c r="R1285" s="31">
        <f t="shared" si="146"/>
        <v>37300</v>
      </c>
    </row>
    <row r="1286" spans="1:18" ht="21.95" customHeight="1" x14ac:dyDescent="0.2">
      <c r="A1286" s="5" t="s">
        <v>17</v>
      </c>
      <c r="B1286" t="s">
        <v>1582</v>
      </c>
      <c r="C1286" t="s">
        <v>630</v>
      </c>
      <c r="D1286" t="s">
        <v>538</v>
      </c>
      <c r="E1286"/>
      <c r="F1286"/>
      <c r="G1286"/>
      <c r="H1286"/>
      <c r="I1286" s="10"/>
      <c r="J1286" s="10"/>
      <c r="K1286" s="7">
        <v>44005482</v>
      </c>
      <c r="L1286" s="5" t="str">
        <f t="shared" si="141"/>
        <v>AR LE MANS ORTA SEHPA AHŞAP</v>
      </c>
      <c r="M1286" s="8">
        <v>0.15</v>
      </c>
      <c r="N1286" s="8">
        <v>0.1</v>
      </c>
      <c r="O1286" s="8">
        <v>9705</v>
      </c>
      <c r="P1286" s="8">
        <f t="shared" si="144"/>
        <v>8734.5</v>
      </c>
      <c r="Q1286" s="12">
        <f t="shared" si="145"/>
        <v>18342.45</v>
      </c>
      <c r="R1286" s="31">
        <f t="shared" si="146"/>
        <v>18300</v>
      </c>
    </row>
    <row r="1287" spans="1:18" ht="21.95" customHeight="1" x14ac:dyDescent="0.2">
      <c r="A1287" s="5" t="s">
        <v>17</v>
      </c>
      <c r="B1287" t="s">
        <v>1582</v>
      </c>
      <c r="C1287" t="s">
        <v>630</v>
      </c>
      <c r="D1287" t="s">
        <v>30</v>
      </c>
      <c r="E1287"/>
      <c r="F1287"/>
      <c r="G1287"/>
      <c r="H1287"/>
      <c r="I1287" s="10"/>
      <c r="J1287" s="10"/>
      <c r="K1287" s="7">
        <v>44005483</v>
      </c>
      <c r="L1287" s="5" t="str">
        <f t="shared" si="141"/>
        <v>AR LE MANS YAN SEHPA</v>
      </c>
      <c r="M1287" s="8">
        <v>0.15</v>
      </c>
      <c r="N1287" s="8">
        <v>0.1</v>
      </c>
      <c r="O1287" s="8">
        <v>11545</v>
      </c>
      <c r="P1287" s="8">
        <f t="shared" si="144"/>
        <v>10390.5</v>
      </c>
      <c r="Q1287" s="12">
        <f t="shared" si="145"/>
        <v>21820.05</v>
      </c>
      <c r="R1287" s="31">
        <f t="shared" si="146"/>
        <v>21800</v>
      </c>
    </row>
    <row r="1288" spans="1:18" ht="21.95" customHeight="1" x14ac:dyDescent="0.2">
      <c r="A1288" s="5" t="s">
        <v>17</v>
      </c>
      <c r="B1288" t="s">
        <v>1582</v>
      </c>
      <c r="C1288" t="s">
        <v>630</v>
      </c>
      <c r="D1288" t="s">
        <v>591</v>
      </c>
      <c r="E1288"/>
      <c r="F1288"/>
      <c r="G1288"/>
      <c r="H1288"/>
      <c r="I1288" s="10"/>
      <c r="J1288" s="10"/>
      <c r="K1288" s="7">
        <v>44005484</v>
      </c>
      <c r="L1288" s="5" t="str">
        <f t="shared" si="141"/>
        <v>AR LE MANS SERVİS SEHPASI</v>
      </c>
      <c r="M1288" s="8">
        <v>0.15</v>
      </c>
      <c r="N1288" s="8">
        <v>0.1</v>
      </c>
      <c r="O1288" s="8">
        <v>11500</v>
      </c>
      <c r="P1288" s="8">
        <f t="shared" si="144"/>
        <v>10350</v>
      </c>
      <c r="Q1288" s="12">
        <f t="shared" si="145"/>
        <v>21735</v>
      </c>
      <c r="R1288" s="31">
        <f t="shared" si="146"/>
        <v>21700</v>
      </c>
    </row>
    <row r="1289" spans="1:18" ht="21.95" customHeight="1" x14ac:dyDescent="0.2">
      <c r="A1289" s="5" t="s">
        <v>17</v>
      </c>
      <c r="B1289" t="s">
        <v>1582</v>
      </c>
      <c r="C1289" t="s">
        <v>630</v>
      </c>
      <c r="D1289" t="s">
        <v>31</v>
      </c>
      <c r="E1289"/>
      <c r="F1289"/>
      <c r="G1289"/>
      <c r="H1289"/>
      <c r="I1289" s="10"/>
      <c r="J1289" s="10"/>
      <c r="K1289" s="7">
        <v>44005485</v>
      </c>
      <c r="L1289" s="5" t="str">
        <f t="shared" si="141"/>
        <v>AR LE MANS KOLTUK 4 LÜ</v>
      </c>
      <c r="M1289" s="8">
        <v>0.15</v>
      </c>
      <c r="N1289" s="8">
        <v>0.1</v>
      </c>
      <c r="O1289" s="8">
        <v>32355</v>
      </c>
      <c r="P1289" s="8">
        <f t="shared" si="144"/>
        <v>29119.5</v>
      </c>
      <c r="Q1289" s="12">
        <f t="shared" si="145"/>
        <v>61150.950000000004</v>
      </c>
      <c r="R1289" s="31">
        <f t="shared" si="146"/>
        <v>61100</v>
      </c>
    </row>
    <row r="1290" spans="1:18" ht="21.95" customHeight="1" x14ac:dyDescent="0.2">
      <c r="A1290" s="5" t="s">
        <v>17</v>
      </c>
      <c r="B1290" t="s">
        <v>1582</v>
      </c>
      <c r="C1290" t="s">
        <v>630</v>
      </c>
      <c r="D1290" t="s">
        <v>32</v>
      </c>
      <c r="E1290"/>
      <c r="F1290"/>
      <c r="G1290"/>
      <c r="H1290"/>
      <c r="I1290" s="10"/>
      <c r="J1290" s="10"/>
      <c r="K1290" s="7">
        <v>44005486</v>
      </c>
      <c r="L1290" s="5" t="str">
        <f t="shared" si="141"/>
        <v>AR LE MANS KOLTUK 3 LÜ</v>
      </c>
      <c r="M1290" s="8">
        <v>0.15</v>
      </c>
      <c r="N1290" s="8">
        <v>0.1</v>
      </c>
      <c r="O1290" s="8">
        <v>28855</v>
      </c>
      <c r="P1290" s="8">
        <f t="shared" si="144"/>
        <v>25969.5</v>
      </c>
      <c r="Q1290" s="12">
        <f t="shared" si="145"/>
        <v>54535.950000000004</v>
      </c>
      <c r="R1290" s="31">
        <f t="shared" si="146"/>
        <v>54500</v>
      </c>
    </row>
    <row r="1291" spans="1:18" ht="21.95" customHeight="1" x14ac:dyDescent="0.2">
      <c r="A1291" s="5" t="s">
        <v>17</v>
      </c>
      <c r="B1291" t="s">
        <v>1582</v>
      </c>
      <c r="C1291" t="s">
        <v>630</v>
      </c>
      <c r="D1291" t="s">
        <v>592</v>
      </c>
      <c r="E1291"/>
      <c r="F1291"/>
      <c r="G1291"/>
      <c r="H1291"/>
      <c r="I1291" s="10"/>
      <c r="J1291" s="10"/>
      <c r="K1291" s="7">
        <v>44005487</v>
      </c>
      <c r="L1291" s="5" t="str">
        <f t="shared" si="141"/>
        <v>AR LE MANS KOLTUK TEKLİ</v>
      </c>
      <c r="M1291" s="8">
        <v>0.15</v>
      </c>
      <c r="N1291" s="8">
        <v>0.1</v>
      </c>
      <c r="O1291" s="8">
        <v>12385</v>
      </c>
      <c r="P1291" s="8">
        <f t="shared" si="144"/>
        <v>11146.5</v>
      </c>
      <c r="Q1291" s="12">
        <f t="shared" si="145"/>
        <v>23407.65</v>
      </c>
      <c r="R1291" s="31">
        <f t="shared" si="146"/>
        <v>23400</v>
      </c>
    </row>
    <row r="1292" spans="1:18" ht="21.95" customHeight="1" x14ac:dyDescent="0.2">
      <c r="A1292" s="5" t="s">
        <v>17</v>
      </c>
      <c r="B1292" t="s">
        <v>1582</v>
      </c>
      <c r="C1292" t="s">
        <v>630</v>
      </c>
      <c r="D1292" t="s">
        <v>593</v>
      </c>
      <c r="E1292"/>
      <c r="F1292"/>
      <c r="G1292"/>
      <c r="H1292"/>
      <c r="I1292" s="10"/>
      <c r="J1292" s="10"/>
      <c r="K1292" s="7">
        <v>44005488</v>
      </c>
      <c r="L1292" s="5" t="str">
        <f t="shared" si="141"/>
        <v>AR LE MANS KARYOLA İÇ KAYITLI 160CM</v>
      </c>
      <c r="M1292" s="8">
        <v>0.15</v>
      </c>
      <c r="N1292" s="8">
        <v>0.1</v>
      </c>
      <c r="O1292" s="8">
        <v>21250</v>
      </c>
      <c r="P1292" s="8">
        <f t="shared" si="144"/>
        <v>19125</v>
      </c>
      <c r="Q1292" s="12">
        <f t="shared" si="145"/>
        <v>40162.5</v>
      </c>
      <c r="R1292" s="31">
        <f t="shared" si="146"/>
        <v>40100</v>
      </c>
    </row>
    <row r="1293" spans="1:18" ht="21.95" customHeight="1" x14ac:dyDescent="0.2">
      <c r="A1293" s="5" t="s">
        <v>17</v>
      </c>
      <c r="B1293" t="s">
        <v>1582</v>
      </c>
      <c r="C1293" t="s">
        <v>630</v>
      </c>
      <c r="D1293" t="s">
        <v>75</v>
      </c>
      <c r="E1293"/>
      <c r="F1293"/>
      <c r="G1293"/>
      <c r="H1293"/>
      <c r="I1293" s="10"/>
      <c r="J1293" s="10"/>
      <c r="K1293" s="7">
        <v>44005489</v>
      </c>
      <c r="L1293" s="5" t="str">
        <f t="shared" si="141"/>
        <v>AR LE MANS KARYOLA BAZALI 160CM</v>
      </c>
      <c r="M1293" s="8">
        <v>0.15</v>
      </c>
      <c r="N1293" s="8">
        <v>0.1</v>
      </c>
      <c r="O1293" s="8">
        <v>25850</v>
      </c>
      <c r="P1293" s="8">
        <f t="shared" si="144"/>
        <v>23265</v>
      </c>
      <c r="Q1293" s="12">
        <f t="shared" si="145"/>
        <v>48856.5</v>
      </c>
      <c r="R1293" s="31">
        <f t="shared" si="146"/>
        <v>48800</v>
      </c>
    </row>
    <row r="1294" spans="1:18" ht="21.95" customHeight="1" x14ac:dyDescent="0.2">
      <c r="A1294" s="5" t="s">
        <v>17</v>
      </c>
      <c r="B1294" t="s">
        <v>1582</v>
      </c>
      <c r="C1294" t="s">
        <v>630</v>
      </c>
      <c r="D1294" t="s">
        <v>76</v>
      </c>
      <c r="E1294"/>
      <c r="F1294"/>
      <c r="G1294"/>
      <c r="H1294"/>
      <c r="I1294" s="10"/>
      <c r="J1294" s="10"/>
      <c r="K1294" s="7">
        <v>44005490</v>
      </c>
      <c r="L1294" s="5" t="str">
        <f t="shared" si="141"/>
        <v>AR LE MANS KARYOLA BAZALI 180CM</v>
      </c>
      <c r="M1294" s="8">
        <v>0.15</v>
      </c>
      <c r="N1294" s="8">
        <v>0.1</v>
      </c>
      <c r="O1294" s="8">
        <v>28350</v>
      </c>
      <c r="P1294" s="8">
        <f t="shared" si="144"/>
        <v>25515</v>
      </c>
      <c r="Q1294" s="12">
        <f t="shared" si="145"/>
        <v>53581.5</v>
      </c>
      <c r="R1294" s="31">
        <f t="shared" si="146"/>
        <v>53500</v>
      </c>
    </row>
    <row r="1295" spans="1:18" ht="21.95" customHeight="1" x14ac:dyDescent="0.2">
      <c r="A1295" s="5" t="s">
        <v>17</v>
      </c>
      <c r="B1295" t="s">
        <v>1582</v>
      </c>
      <c r="C1295" t="s">
        <v>630</v>
      </c>
      <c r="D1295" t="s">
        <v>594</v>
      </c>
      <c r="E1295"/>
      <c r="F1295"/>
      <c r="G1295"/>
      <c r="H1295"/>
      <c r="I1295" s="10"/>
      <c r="J1295" s="10"/>
      <c r="K1295" s="7">
        <v>44005491</v>
      </c>
      <c r="L1295" s="5" t="str">
        <f t="shared" si="141"/>
        <v>AR LE MANS KARYOLA İÇ KAYITLI 180CM</v>
      </c>
      <c r="M1295" s="8">
        <v>0.15</v>
      </c>
      <c r="N1295" s="8">
        <v>0.1</v>
      </c>
      <c r="O1295" s="8">
        <v>23750</v>
      </c>
      <c r="P1295" s="8">
        <f t="shared" si="144"/>
        <v>21375</v>
      </c>
      <c r="Q1295" s="12">
        <f t="shared" si="145"/>
        <v>44887.5</v>
      </c>
      <c r="R1295" s="31">
        <f t="shared" si="146"/>
        <v>44800</v>
      </c>
    </row>
    <row r="1296" spans="1:18" ht="21.95" customHeight="1" x14ac:dyDescent="0.2">
      <c r="A1296" s="5" t="s">
        <v>17</v>
      </c>
      <c r="B1296" t="s">
        <v>1582</v>
      </c>
      <c r="C1296" t="s">
        <v>630</v>
      </c>
      <c r="D1296" t="s">
        <v>362</v>
      </c>
      <c r="E1296"/>
      <c r="F1296"/>
      <c r="G1296"/>
      <c r="H1296"/>
      <c r="I1296" s="10"/>
      <c r="J1296" s="10"/>
      <c r="K1296" s="7">
        <v>44005492</v>
      </c>
      <c r="L1296" s="5" t="str">
        <f t="shared" si="141"/>
        <v>AR LE MANS KOMODİN</v>
      </c>
      <c r="M1296" s="8">
        <v>0.15</v>
      </c>
      <c r="N1296" s="8">
        <v>0.1</v>
      </c>
      <c r="O1296" s="8">
        <v>4805</v>
      </c>
      <c r="P1296" s="8">
        <f t="shared" si="144"/>
        <v>4324.5</v>
      </c>
      <c r="Q1296" s="12">
        <f t="shared" si="145"/>
        <v>9081.4500000000007</v>
      </c>
      <c r="R1296" s="31">
        <f t="shared" si="146"/>
        <v>9000</v>
      </c>
    </row>
    <row r="1297" spans="1:18" ht="21.95" customHeight="1" x14ac:dyDescent="0.2">
      <c r="A1297" s="5" t="s">
        <v>17</v>
      </c>
      <c r="B1297" t="s">
        <v>1582</v>
      </c>
      <c r="C1297" t="s">
        <v>630</v>
      </c>
      <c r="D1297" t="s">
        <v>361</v>
      </c>
      <c r="E1297"/>
      <c r="F1297"/>
      <c r="G1297"/>
      <c r="H1297"/>
      <c r="I1297" s="10"/>
      <c r="J1297" s="10"/>
      <c r="K1297" s="7">
        <v>44005493</v>
      </c>
      <c r="L1297" s="5" t="str">
        <f t="shared" si="141"/>
        <v>AR LE MANS DOLAP</v>
      </c>
      <c r="M1297" s="8">
        <v>0.15</v>
      </c>
      <c r="N1297" s="8">
        <v>0.1</v>
      </c>
      <c r="O1297" s="8">
        <v>32270</v>
      </c>
      <c r="P1297" s="8">
        <f t="shared" si="144"/>
        <v>29043</v>
      </c>
      <c r="Q1297" s="12">
        <f t="shared" si="145"/>
        <v>60990.3</v>
      </c>
      <c r="R1297" s="31">
        <f t="shared" si="146"/>
        <v>60900</v>
      </c>
    </row>
    <row r="1298" spans="1:18" ht="21.95" customHeight="1" x14ac:dyDescent="0.2">
      <c r="A1298" s="5" t="s">
        <v>17</v>
      </c>
      <c r="B1298" t="s">
        <v>1582</v>
      </c>
      <c r="C1298" t="s">
        <v>630</v>
      </c>
      <c r="D1298" t="s">
        <v>631</v>
      </c>
      <c r="E1298"/>
      <c r="F1298"/>
      <c r="G1298"/>
      <c r="H1298"/>
      <c r="I1298" s="10"/>
      <c r="J1298" s="10"/>
      <c r="K1298" s="7">
        <v>44005494</v>
      </c>
      <c r="L1298" s="5" t="str">
        <f t="shared" si="141"/>
        <v>AR LE MANS DOLAP CAMLI</v>
      </c>
      <c r="M1298" s="8">
        <v>0.15</v>
      </c>
      <c r="N1298" s="8">
        <v>0.1</v>
      </c>
      <c r="O1298" s="8">
        <v>35155</v>
      </c>
      <c r="P1298" s="8">
        <f t="shared" si="144"/>
        <v>31639.5</v>
      </c>
      <c r="Q1298" s="12">
        <f t="shared" si="145"/>
        <v>66442.95</v>
      </c>
      <c r="R1298" s="31">
        <f t="shared" si="146"/>
        <v>66400</v>
      </c>
    </row>
    <row r="1299" spans="1:18" ht="21.95" customHeight="1" x14ac:dyDescent="0.2">
      <c r="A1299" s="5" t="s">
        <v>17</v>
      </c>
      <c r="B1299" t="s">
        <v>1582</v>
      </c>
      <c r="C1299" t="s">
        <v>630</v>
      </c>
      <c r="D1299" t="s">
        <v>595</v>
      </c>
      <c r="E1299"/>
      <c r="F1299"/>
      <c r="G1299"/>
      <c r="H1299"/>
      <c r="I1299" s="10"/>
      <c r="J1299" s="10"/>
      <c r="K1299" s="7">
        <v>44005495</v>
      </c>
      <c r="L1299" s="5" t="str">
        <f t="shared" ref="L1299:L1362" si="147">B1299&amp;" "&amp;C1299&amp;" "&amp;D1299</f>
        <v>AR LE MANS ŞİFONYER &amp; AYNASI</v>
      </c>
      <c r="M1299" s="8">
        <v>0.15</v>
      </c>
      <c r="N1299" s="8">
        <v>0.1</v>
      </c>
      <c r="O1299" s="8">
        <v>16520</v>
      </c>
      <c r="P1299" s="8">
        <f t="shared" si="144"/>
        <v>14868</v>
      </c>
      <c r="Q1299" s="12">
        <f t="shared" si="145"/>
        <v>31222.800000000003</v>
      </c>
      <c r="R1299" s="31">
        <f t="shared" si="146"/>
        <v>31200</v>
      </c>
    </row>
    <row r="1300" spans="1:18" ht="21.95" customHeight="1" x14ac:dyDescent="0.2">
      <c r="A1300" s="5" t="s">
        <v>17</v>
      </c>
      <c r="B1300" t="s">
        <v>1582</v>
      </c>
      <c r="C1300" t="s">
        <v>630</v>
      </c>
      <c r="D1300" t="s">
        <v>126</v>
      </c>
      <c r="E1300"/>
      <c r="F1300"/>
      <c r="G1300"/>
      <c r="H1300"/>
      <c r="I1300" s="10"/>
      <c r="J1300" s="10"/>
      <c r="K1300" s="7">
        <v>44005496</v>
      </c>
      <c r="L1300" s="5" t="str">
        <f t="shared" si="147"/>
        <v>AR LE MANS ÇAMAŞIRLIK</v>
      </c>
      <c r="M1300" s="8">
        <v>0.15</v>
      </c>
      <c r="N1300" s="8">
        <v>0.1</v>
      </c>
      <c r="O1300" s="8">
        <v>9755</v>
      </c>
      <c r="P1300" s="8">
        <f t="shared" si="144"/>
        <v>8779.5</v>
      </c>
      <c r="Q1300" s="12">
        <f t="shared" si="145"/>
        <v>18436.95</v>
      </c>
      <c r="R1300" s="31">
        <f t="shared" si="146"/>
        <v>18400</v>
      </c>
    </row>
    <row r="1301" spans="1:18" ht="21.95" customHeight="1" x14ac:dyDescent="0.2">
      <c r="A1301" s="5" t="s">
        <v>17</v>
      </c>
      <c r="B1301" t="s">
        <v>1582</v>
      </c>
      <c r="C1301" t="s">
        <v>630</v>
      </c>
      <c r="D1301" t="s">
        <v>82</v>
      </c>
      <c r="E1301"/>
      <c r="F1301"/>
      <c r="G1301"/>
      <c r="H1301"/>
      <c r="I1301" s="10"/>
      <c r="J1301" s="10"/>
      <c r="K1301" s="7">
        <v>44005497</v>
      </c>
      <c r="L1301" s="5" t="str">
        <f t="shared" si="147"/>
        <v>AR LE MANS BOY AYNASI</v>
      </c>
      <c r="M1301" s="8">
        <v>0.15</v>
      </c>
      <c r="N1301" s="8">
        <v>0.1</v>
      </c>
      <c r="O1301" s="8">
        <v>4305</v>
      </c>
      <c r="P1301" s="8">
        <f t="shared" si="144"/>
        <v>3874.5</v>
      </c>
      <c r="Q1301" s="12">
        <f t="shared" si="145"/>
        <v>8136.4500000000007</v>
      </c>
      <c r="R1301" s="31">
        <f t="shared" si="146"/>
        <v>8100</v>
      </c>
    </row>
    <row r="1302" spans="1:18" ht="21.95" customHeight="1" x14ac:dyDescent="0.2">
      <c r="A1302" s="5" t="s">
        <v>17</v>
      </c>
      <c r="B1302" t="s">
        <v>1582</v>
      </c>
      <c r="C1302" t="s">
        <v>630</v>
      </c>
      <c r="D1302" t="s">
        <v>596</v>
      </c>
      <c r="E1302"/>
      <c r="F1302"/>
      <c r="G1302"/>
      <c r="H1302"/>
      <c r="I1302" s="10"/>
      <c r="J1302" s="10"/>
      <c r="K1302" s="7">
        <v>44005498</v>
      </c>
      <c r="L1302" s="5" t="str">
        <f t="shared" si="147"/>
        <v>AR LE MANS MAKYAJ PUFU</v>
      </c>
      <c r="M1302" s="8">
        <v>0.15</v>
      </c>
      <c r="N1302" s="8">
        <v>0.1</v>
      </c>
      <c r="O1302" s="8">
        <v>4200</v>
      </c>
      <c r="P1302" s="8">
        <f t="shared" si="144"/>
        <v>3780</v>
      </c>
      <c r="Q1302" s="12">
        <f t="shared" si="145"/>
        <v>7938</v>
      </c>
      <c r="R1302" s="31">
        <f t="shared" si="146"/>
        <v>7900</v>
      </c>
    </row>
    <row r="1303" spans="1:18" ht="21.95" customHeight="1" x14ac:dyDescent="0.2">
      <c r="A1303" s="5" t="s">
        <v>17</v>
      </c>
      <c r="B1303" t="s">
        <v>1582</v>
      </c>
      <c r="C1303" t="s">
        <v>632</v>
      </c>
      <c r="D1303" t="s">
        <v>49</v>
      </c>
      <c r="E1303"/>
      <c r="F1303"/>
      <c r="G1303"/>
      <c r="H1303"/>
      <c r="I1303" s="10"/>
      <c r="J1303" s="10"/>
      <c r="K1303" s="7">
        <v>44005499</v>
      </c>
      <c r="L1303" s="5" t="str">
        <f t="shared" si="147"/>
        <v>AR SAN VİTO KONSOL</v>
      </c>
      <c r="M1303" s="8">
        <v>0.15</v>
      </c>
      <c r="N1303" s="8">
        <v>0.1</v>
      </c>
      <c r="O1303" s="8">
        <v>22955</v>
      </c>
      <c r="P1303" s="8">
        <f t="shared" si="144"/>
        <v>20659.5</v>
      </c>
      <c r="Q1303" s="12">
        <f t="shared" si="145"/>
        <v>43384.950000000004</v>
      </c>
      <c r="R1303" s="31">
        <f t="shared" si="146"/>
        <v>43300</v>
      </c>
    </row>
    <row r="1304" spans="1:18" ht="21.95" customHeight="1" x14ac:dyDescent="0.2">
      <c r="A1304" s="5" t="s">
        <v>17</v>
      </c>
      <c r="B1304" t="s">
        <v>1582</v>
      </c>
      <c r="C1304" t="s">
        <v>632</v>
      </c>
      <c r="D1304" t="s">
        <v>21</v>
      </c>
      <c r="E1304"/>
      <c r="F1304"/>
      <c r="G1304"/>
      <c r="H1304"/>
      <c r="I1304" s="10"/>
      <c r="J1304" s="10"/>
      <c r="K1304" s="7">
        <v>44005500</v>
      </c>
      <c r="L1304" s="5" t="str">
        <f t="shared" si="147"/>
        <v>AR SAN VİTO KONSOL AYNASI</v>
      </c>
      <c r="M1304" s="8">
        <v>0.15</v>
      </c>
      <c r="N1304" s="8">
        <v>0.1</v>
      </c>
      <c r="O1304" s="8">
        <v>4646</v>
      </c>
      <c r="P1304" s="8">
        <f t="shared" si="144"/>
        <v>4181.4000000000005</v>
      </c>
      <c r="Q1304" s="12">
        <f t="shared" si="145"/>
        <v>8780.9400000000023</v>
      </c>
      <c r="R1304" s="31">
        <f t="shared" si="146"/>
        <v>8700</v>
      </c>
    </row>
    <row r="1305" spans="1:18" ht="21.95" customHeight="1" x14ac:dyDescent="0.2">
      <c r="A1305" s="5" t="s">
        <v>17</v>
      </c>
      <c r="B1305" t="s">
        <v>1582</v>
      </c>
      <c r="C1305" t="s">
        <v>632</v>
      </c>
      <c r="D1305" t="s">
        <v>599</v>
      </c>
      <c r="E1305"/>
      <c r="F1305"/>
      <c r="G1305"/>
      <c r="H1305"/>
      <c r="I1305" s="10"/>
      <c r="J1305" s="10"/>
      <c r="K1305" s="7">
        <v>44005501</v>
      </c>
      <c r="L1305" s="5" t="str">
        <f t="shared" si="147"/>
        <v>AR SAN VİTO MASA 210CM</v>
      </c>
      <c r="M1305" s="8">
        <v>0.15</v>
      </c>
      <c r="N1305" s="8">
        <v>0.1</v>
      </c>
      <c r="O1305" s="8">
        <v>19455</v>
      </c>
      <c r="P1305" s="8">
        <f t="shared" si="144"/>
        <v>17509.5</v>
      </c>
      <c r="Q1305" s="12">
        <f t="shared" si="145"/>
        <v>36769.950000000004</v>
      </c>
      <c r="R1305" s="31">
        <f t="shared" si="146"/>
        <v>36700</v>
      </c>
    </row>
    <row r="1306" spans="1:18" ht="21.95" customHeight="1" x14ac:dyDescent="0.2">
      <c r="A1306" s="5" t="s">
        <v>17</v>
      </c>
      <c r="B1306" t="s">
        <v>1582</v>
      </c>
      <c r="C1306" t="s">
        <v>632</v>
      </c>
      <c r="D1306" t="s">
        <v>587</v>
      </c>
      <c r="E1306"/>
      <c r="F1306"/>
      <c r="G1306"/>
      <c r="H1306"/>
      <c r="I1306" s="10"/>
      <c r="J1306" s="10"/>
      <c r="K1306" s="7">
        <v>44005502</v>
      </c>
      <c r="L1306" s="5" t="str">
        <f t="shared" si="147"/>
        <v>AR SAN VİTO MASA 180CM</v>
      </c>
      <c r="M1306" s="8">
        <v>0.15</v>
      </c>
      <c r="N1306" s="8">
        <v>0.1</v>
      </c>
      <c r="O1306" s="8">
        <v>25292</v>
      </c>
      <c r="P1306" s="8">
        <f t="shared" si="144"/>
        <v>22762.799999999999</v>
      </c>
      <c r="Q1306" s="12">
        <f t="shared" si="145"/>
        <v>47801.88</v>
      </c>
      <c r="R1306" s="31">
        <f t="shared" si="146"/>
        <v>47800</v>
      </c>
    </row>
    <row r="1307" spans="1:18" ht="21.95" customHeight="1" x14ac:dyDescent="0.2">
      <c r="A1307" s="5" t="s">
        <v>17</v>
      </c>
      <c r="B1307" t="s">
        <v>1582</v>
      </c>
      <c r="C1307" t="s">
        <v>632</v>
      </c>
      <c r="D1307" t="s">
        <v>24</v>
      </c>
      <c r="E1307"/>
      <c r="F1307"/>
      <c r="G1307"/>
      <c r="H1307"/>
      <c r="I1307" s="10"/>
      <c r="J1307" s="10"/>
      <c r="K1307" s="7">
        <v>44005503</v>
      </c>
      <c r="L1307" s="5" t="str">
        <f t="shared" si="147"/>
        <v>AR SAN VİTO MASA 240CM</v>
      </c>
      <c r="M1307" s="8">
        <v>0.15</v>
      </c>
      <c r="N1307" s="8">
        <v>0.1</v>
      </c>
      <c r="O1307" s="8">
        <v>28905</v>
      </c>
      <c r="P1307" s="8">
        <f t="shared" si="144"/>
        <v>26014.5</v>
      </c>
      <c r="Q1307" s="12">
        <f t="shared" si="145"/>
        <v>54630.450000000004</v>
      </c>
      <c r="R1307" s="31">
        <f t="shared" si="146"/>
        <v>54600</v>
      </c>
    </row>
    <row r="1308" spans="1:18" ht="21.95" customHeight="1" x14ac:dyDescent="0.2">
      <c r="A1308" s="5" t="s">
        <v>17</v>
      </c>
      <c r="B1308" t="s">
        <v>1582</v>
      </c>
      <c r="C1308" t="s">
        <v>632</v>
      </c>
      <c r="D1308" t="s">
        <v>358</v>
      </c>
      <c r="E1308"/>
      <c r="F1308"/>
      <c r="G1308"/>
      <c r="H1308"/>
      <c r="I1308" s="10"/>
      <c r="J1308" s="10"/>
      <c r="K1308" s="7">
        <v>44005504</v>
      </c>
      <c r="L1308" s="5" t="str">
        <f t="shared" si="147"/>
        <v xml:space="preserve">AR SAN VİTO SANDALYE </v>
      </c>
      <c r="M1308" s="8">
        <v>0.15</v>
      </c>
      <c r="N1308" s="8">
        <v>0.1</v>
      </c>
      <c r="O1308" s="8">
        <v>5556</v>
      </c>
      <c r="P1308" s="8">
        <f t="shared" si="144"/>
        <v>5000.4000000000005</v>
      </c>
      <c r="Q1308" s="12">
        <f t="shared" si="145"/>
        <v>10500.840000000002</v>
      </c>
      <c r="R1308" s="31">
        <f t="shared" si="146"/>
        <v>10500</v>
      </c>
    </row>
    <row r="1309" spans="1:18" ht="21.95" customHeight="1" x14ac:dyDescent="0.2">
      <c r="A1309" s="5" t="s">
        <v>17</v>
      </c>
      <c r="B1309" t="s">
        <v>1582</v>
      </c>
      <c r="C1309" t="s">
        <v>632</v>
      </c>
      <c r="D1309" t="s">
        <v>31</v>
      </c>
      <c r="E1309"/>
      <c r="F1309"/>
      <c r="G1309"/>
      <c r="H1309"/>
      <c r="I1309" s="10"/>
      <c r="J1309" s="10"/>
      <c r="K1309" s="7">
        <v>44005505</v>
      </c>
      <c r="L1309" s="5" t="str">
        <f t="shared" si="147"/>
        <v>AR SAN VİTO KOLTUK 4 LÜ</v>
      </c>
      <c r="M1309" s="8">
        <v>0.15</v>
      </c>
      <c r="N1309" s="8">
        <v>0.1</v>
      </c>
      <c r="O1309" s="8">
        <v>34295</v>
      </c>
      <c r="P1309" s="8">
        <f t="shared" si="144"/>
        <v>30865.5</v>
      </c>
      <c r="Q1309" s="12">
        <f t="shared" si="145"/>
        <v>64817.55</v>
      </c>
      <c r="R1309" s="31">
        <f t="shared" si="146"/>
        <v>64800</v>
      </c>
    </row>
    <row r="1310" spans="1:18" ht="21.95" customHeight="1" x14ac:dyDescent="0.2">
      <c r="A1310" s="5" t="s">
        <v>17</v>
      </c>
      <c r="B1310" t="s">
        <v>1582</v>
      </c>
      <c r="C1310" t="s">
        <v>632</v>
      </c>
      <c r="D1310" t="s">
        <v>32</v>
      </c>
      <c r="E1310"/>
      <c r="F1310"/>
      <c r="G1310"/>
      <c r="H1310"/>
      <c r="I1310" s="10"/>
      <c r="J1310" s="10"/>
      <c r="K1310" s="7">
        <v>44005506</v>
      </c>
      <c r="L1310" s="5" t="str">
        <f t="shared" si="147"/>
        <v>AR SAN VİTO KOLTUK 3 LÜ</v>
      </c>
      <c r="M1310" s="8">
        <v>0.15</v>
      </c>
      <c r="N1310" s="8">
        <v>0.1</v>
      </c>
      <c r="O1310" s="8">
        <v>29655</v>
      </c>
      <c r="P1310" s="8">
        <f t="shared" si="144"/>
        <v>26689.5</v>
      </c>
      <c r="Q1310" s="12">
        <f t="shared" si="145"/>
        <v>56047.950000000004</v>
      </c>
      <c r="R1310" s="31">
        <f t="shared" si="146"/>
        <v>56000</v>
      </c>
    </row>
    <row r="1311" spans="1:18" ht="21.95" customHeight="1" x14ac:dyDescent="0.2">
      <c r="A1311" s="5" t="s">
        <v>17</v>
      </c>
      <c r="B1311" t="s">
        <v>1582</v>
      </c>
      <c r="C1311" t="s">
        <v>632</v>
      </c>
      <c r="D1311" t="s">
        <v>633</v>
      </c>
      <c r="E1311"/>
      <c r="F1311"/>
      <c r="G1311"/>
      <c r="H1311"/>
      <c r="I1311" s="10"/>
      <c r="J1311" s="10"/>
      <c r="K1311" s="7">
        <v>44005507</v>
      </c>
      <c r="L1311" s="5" t="str">
        <f t="shared" si="147"/>
        <v>AR SAN VİTO KOLTUK TEKLİ METAL</v>
      </c>
      <c r="M1311" s="8">
        <v>0.15</v>
      </c>
      <c r="N1311" s="8">
        <v>0.1</v>
      </c>
      <c r="O1311" s="8">
        <v>15160</v>
      </c>
      <c r="P1311" s="8">
        <f t="shared" si="144"/>
        <v>13644</v>
      </c>
      <c r="Q1311" s="12">
        <f t="shared" si="145"/>
        <v>28652.400000000001</v>
      </c>
      <c r="R1311" s="31">
        <f t="shared" si="146"/>
        <v>28600</v>
      </c>
    </row>
    <row r="1312" spans="1:18" ht="21.95" customHeight="1" x14ac:dyDescent="0.2">
      <c r="A1312" s="5" t="s">
        <v>17</v>
      </c>
      <c r="B1312" t="s">
        <v>1582</v>
      </c>
      <c r="C1312" t="s">
        <v>632</v>
      </c>
      <c r="D1312" t="s">
        <v>634</v>
      </c>
      <c r="E1312"/>
      <c r="F1312"/>
      <c r="G1312"/>
      <c r="H1312"/>
      <c r="I1312" s="10"/>
      <c r="J1312" s="10"/>
      <c r="K1312" s="7">
        <v>44005508</v>
      </c>
      <c r="L1312" s="5" t="str">
        <f t="shared" si="147"/>
        <v>AR SAN VİTO KOLTUK TEKLİ DÖŞEMELİ</v>
      </c>
      <c r="M1312" s="8">
        <v>0.15</v>
      </c>
      <c r="N1312" s="8">
        <v>0.1</v>
      </c>
      <c r="O1312" s="8">
        <v>11955</v>
      </c>
      <c r="P1312" s="8">
        <f t="shared" si="144"/>
        <v>10759.5</v>
      </c>
      <c r="Q1312" s="12">
        <f t="shared" si="145"/>
        <v>22594.95</v>
      </c>
      <c r="R1312" s="31">
        <f t="shared" si="146"/>
        <v>22500</v>
      </c>
    </row>
    <row r="1313" spans="1:21" ht="21.95" customHeight="1" x14ac:dyDescent="0.2">
      <c r="A1313" s="5" t="s">
        <v>17</v>
      </c>
      <c r="B1313" t="s">
        <v>1582</v>
      </c>
      <c r="C1313" t="s">
        <v>632</v>
      </c>
      <c r="D1313" t="s">
        <v>635</v>
      </c>
      <c r="E1313"/>
      <c r="F1313"/>
      <c r="G1313"/>
      <c r="H1313"/>
      <c r="I1313" s="10"/>
      <c r="J1313" s="10"/>
      <c r="K1313" s="7">
        <v>44005509</v>
      </c>
      <c r="L1313" s="5" t="str">
        <f t="shared" si="147"/>
        <v>AR SAN VİTO SOL MODÜL KAVİSLİ</v>
      </c>
      <c r="M1313" s="8">
        <v>0.15</v>
      </c>
      <c r="N1313" s="8">
        <v>0.1</v>
      </c>
      <c r="O1313" s="8">
        <v>18515</v>
      </c>
      <c r="P1313" s="8">
        <f t="shared" si="144"/>
        <v>16663.5</v>
      </c>
      <c r="Q1313" s="12">
        <f t="shared" si="145"/>
        <v>34993.35</v>
      </c>
      <c r="R1313" s="31">
        <f t="shared" si="146"/>
        <v>34900</v>
      </c>
    </row>
    <row r="1314" spans="1:21" ht="21.95" customHeight="1" x14ac:dyDescent="0.2">
      <c r="A1314" s="5" t="s">
        <v>17</v>
      </c>
      <c r="B1314" t="s">
        <v>1582</v>
      </c>
      <c r="C1314" t="s">
        <v>632</v>
      </c>
      <c r="D1314" t="s">
        <v>636</v>
      </c>
      <c r="E1314"/>
      <c r="F1314"/>
      <c r="G1314"/>
      <c r="H1314"/>
      <c r="I1314" s="10"/>
      <c r="J1314" s="10"/>
      <c r="K1314" s="7">
        <v>44005510</v>
      </c>
      <c r="L1314" s="5" t="str">
        <f t="shared" si="147"/>
        <v>AR SAN VİTO SAĞ MODÜL KAVİSLİ</v>
      </c>
      <c r="M1314" s="8">
        <v>0.15</v>
      </c>
      <c r="N1314" s="8">
        <v>0.1</v>
      </c>
      <c r="O1314" s="8">
        <v>17775</v>
      </c>
      <c r="P1314" s="8">
        <f t="shared" si="144"/>
        <v>15997.5</v>
      </c>
      <c r="Q1314" s="12">
        <f t="shared" si="145"/>
        <v>33594.75</v>
      </c>
      <c r="R1314" s="31">
        <f t="shared" si="146"/>
        <v>33500</v>
      </c>
    </row>
    <row r="1315" spans="1:21" ht="21.95" customHeight="1" x14ac:dyDescent="0.2">
      <c r="A1315" s="5" t="s">
        <v>17</v>
      </c>
      <c r="B1315" t="s">
        <v>1582</v>
      </c>
      <c r="C1315" t="s">
        <v>632</v>
      </c>
      <c r="D1315" t="s">
        <v>637</v>
      </c>
      <c r="E1315"/>
      <c r="F1315"/>
      <c r="G1315"/>
      <c r="H1315"/>
      <c r="I1315" s="10"/>
      <c r="J1315" s="10"/>
      <c r="K1315" s="7">
        <v>44005511</v>
      </c>
      <c r="L1315" s="5" t="str">
        <f t="shared" si="147"/>
        <v>AR SAN VİTO TEKLİ METAL</v>
      </c>
      <c r="M1315" s="8">
        <v>0.15</v>
      </c>
      <c r="N1315" s="8">
        <v>0.1</v>
      </c>
      <c r="O1315" s="8">
        <v>15160</v>
      </c>
      <c r="P1315" s="8">
        <f t="shared" si="144"/>
        <v>13644</v>
      </c>
      <c r="Q1315" s="12">
        <f t="shared" si="145"/>
        <v>28652.400000000001</v>
      </c>
      <c r="R1315" s="31">
        <f t="shared" si="146"/>
        <v>28600</v>
      </c>
    </row>
    <row r="1316" spans="1:21" ht="21.95" customHeight="1" x14ac:dyDescent="0.2">
      <c r="A1316" s="5" t="s">
        <v>17</v>
      </c>
      <c r="B1316" t="s">
        <v>1582</v>
      </c>
      <c r="C1316" t="s">
        <v>632</v>
      </c>
      <c r="D1316" t="s">
        <v>638</v>
      </c>
      <c r="E1316"/>
      <c r="F1316"/>
      <c r="G1316"/>
      <c r="H1316"/>
      <c r="I1316" s="10"/>
      <c r="J1316" s="10"/>
      <c r="K1316" s="7">
        <v>44005512</v>
      </c>
      <c r="L1316" s="5" t="str">
        <f t="shared" si="147"/>
        <v>AR SAN VİTO PUF 80 LİK OPSİYONEL</v>
      </c>
      <c r="M1316" s="8">
        <v>0.15</v>
      </c>
      <c r="N1316" s="8">
        <v>0.1</v>
      </c>
      <c r="O1316" s="8">
        <v>6000</v>
      </c>
      <c r="P1316" s="8">
        <f t="shared" si="144"/>
        <v>5400</v>
      </c>
      <c r="Q1316" s="12">
        <f t="shared" si="145"/>
        <v>11340</v>
      </c>
      <c r="R1316" s="31">
        <f t="shared" si="146"/>
        <v>11300</v>
      </c>
    </row>
    <row r="1317" spans="1:21" ht="21.95" customHeight="1" x14ac:dyDescent="0.2">
      <c r="A1317" s="5" t="s">
        <v>17</v>
      </c>
      <c r="B1317" t="s">
        <v>1582</v>
      </c>
      <c r="C1317" t="s">
        <v>632</v>
      </c>
      <c r="D1317" t="s">
        <v>639</v>
      </c>
      <c r="E1317"/>
      <c r="F1317"/>
      <c r="G1317"/>
      <c r="H1317"/>
      <c r="I1317" s="10"/>
      <c r="J1317" s="10"/>
      <c r="K1317" s="7">
        <v>44005513</v>
      </c>
      <c r="L1317" s="5" t="str">
        <f t="shared" si="147"/>
        <v>AR SAN VİTO PUF 60 LIK OPSİYONEL</v>
      </c>
      <c r="M1317" s="8">
        <v>0.15</v>
      </c>
      <c r="N1317" s="8">
        <v>0.1</v>
      </c>
      <c r="O1317" s="8">
        <v>4905</v>
      </c>
      <c r="P1317" s="8">
        <f t="shared" si="144"/>
        <v>4414.5</v>
      </c>
      <c r="Q1317" s="12">
        <f t="shared" si="145"/>
        <v>9270.4500000000007</v>
      </c>
      <c r="R1317" s="31">
        <f t="shared" si="146"/>
        <v>9200</v>
      </c>
    </row>
    <row r="1318" spans="1:21" ht="21.95" customHeight="1" x14ac:dyDescent="0.2">
      <c r="A1318" s="5" t="s">
        <v>17</v>
      </c>
      <c r="B1318" t="s">
        <v>1582</v>
      </c>
      <c r="C1318" t="s">
        <v>632</v>
      </c>
      <c r="D1318" t="s">
        <v>640</v>
      </c>
      <c r="E1318"/>
      <c r="F1318"/>
      <c r="G1318"/>
      <c r="H1318"/>
      <c r="I1318" s="10"/>
      <c r="J1318" s="10"/>
      <c r="K1318" s="7">
        <v>44005514</v>
      </c>
      <c r="L1318" s="5" t="str">
        <f t="shared" si="147"/>
        <v>AR SAN VİTO SOL MODÜL YARIM SIRTLI</v>
      </c>
      <c r="M1318" s="8">
        <v>0.15</v>
      </c>
      <c r="N1318" s="8">
        <v>0.1</v>
      </c>
      <c r="O1318" s="8">
        <v>11000</v>
      </c>
      <c r="P1318" s="8">
        <f t="shared" si="144"/>
        <v>9900</v>
      </c>
      <c r="Q1318" s="12">
        <f t="shared" si="145"/>
        <v>20790</v>
      </c>
      <c r="R1318" s="31">
        <f t="shared" si="146"/>
        <v>20700</v>
      </c>
    </row>
    <row r="1319" spans="1:21" ht="21.95" customHeight="1" x14ac:dyDescent="0.2">
      <c r="A1319" s="5" t="s">
        <v>17</v>
      </c>
      <c r="B1319" t="s">
        <v>1582</v>
      </c>
      <c r="C1319" t="s">
        <v>632</v>
      </c>
      <c r="D1319" t="s">
        <v>641</v>
      </c>
      <c r="E1319"/>
      <c r="F1319"/>
      <c r="G1319"/>
      <c r="H1319"/>
      <c r="I1319" s="10"/>
      <c r="J1319" s="10"/>
      <c r="K1319" s="7">
        <v>44005515</v>
      </c>
      <c r="L1319" s="5" t="str">
        <f t="shared" si="147"/>
        <v>AR SAN VİTO SAĞ MODÜL YARIM SIRTLI</v>
      </c>
      <c r="M1319" s="8">
        <v>0.15</v>
      </c>
      <c r="N1319" s="8">
        <v>0.1</v>
      </c>
      <c r="O1319" s="8">
        <v>11000</v>
      </c>
      <c r="P1319" s="8">
        <f t="shared" si="144"/>
        <v>9900</v>
      </c>
      <c r="Q1319" s="12">
        <f t="shared" si="145"/>
        <v>20790</v>
      </c>
      <c r="R1319" s="31">
        <f t="shared" si="146"/>
        <v>20700</v>
      </c>
    </row>
    <row r="1320" spans="1:21" ht="21.95" customHeight="1" x14ac:dyDescent="0.2">
      <c r="A1320" s="5" t="s">
        <v>17</v>
      </c>
      <c r="B1320" t="s">
        <v>1582</v>
      </c>
      <c r="C1320" t="s">
        <v>632</v>
      </c>
      <c r="D1320" t="s">
        <v>642</v>
      </c>
      <c r="E1320"/>
      <c r="F1320"/>
      <c r="G1320"/>
      <c r="H1320"/>
      <c r="I1320" s="10"/>
      <c r="J1320" s="10"/>
      <c r="K1320" s="7">
        <v>44005516</v>
      </c>
      <c r="L1320" s="5" t="str">
        <f t="shared" si="147"/>
        <v>AR SAN VİTO SOL MODÜL KOLLU 4 LÜ</v>
      </c>
      <c r="M1320" s="8">
        <v>0.15</v>
      </c>
      <c r="N1320" s="8">
        <v>0.1</v>
      </c>
      <c r="O1320" s="8">
        <v>12850</v>
      </c>
      <c r="P1320" s="8">
        <f t="shared" si="144"/>
        <v>11565</v>
      </c>
      <c r="Q1320" s="12">
        <f t="shared" si="145"/>
        <v>24286.5</v>
      </c>
      <c r="R1320" s="31">
        <f t="shared" si="146"/>
        <v>24200</v>
      </c>
    </row>
    <row r="1321" spans="1:21" ht="21.95" customHeight="1" x14ac:dyDescent="0.2">
      <c r="A1321" s="5" t="s">
        <v>17</v>
      </c>
      <c r="B1321" t="s">
        <v>1582</v>
      </c>
      <c r="C1321" t="s">
        <v>632</v>
      </c>
      <c r="D1321" t="s">
        <v>643</v>
      </c>
      <c r="E1321"/>
      <c r="F1321"/>
      <c r="G1321"/>
      <c r="H1321"/>
      <c r="I1321" s="10"/>
      <c r="J1321" s="10"/>
      <c r="K1321" s="7">
        <v>44005517</v>
      </c>
      <c r="L1321" s="5" t="str">
        <f t="shared" si="147"/>
        <v>AR SAN VİTO SAĞ MODÜL KOLLU 4 LÜ</v>
      </c>
      <c r="M1321" s="8">
        <v>0.15</v>
      </c>
      <c r="N1321" s="8">
        <v>0.1</v>
      </c>
      <c r="O1321" s="8">
        <v>13065</v>
      </c>
      <c r="P1321" s="8">
        <f t="shared" si="144"/>
        <v>11758.5</v>
      </c>
      <c r="Q1321" s="12">
        <f t="shared" si="145"/>
        <v>24692.850000000002</v>
      </c>
      <c r="R1321" s="31">
        <f t="shared" si="146"/>
        <v>24600</v>
      </c>
      <c r="U1321" s="8">
        <v>11504</v>
      </c>
    </row>
    <row r="1322" spans="1:21" ht="21.95" customHeight="1" x14ac:dyDescent="0.2">
      <c r="A1322" s="5" t="s">
        <v>17</v>
      </c>
      <c r="B1322" t="s">
        <v>1582</v>
      </c>
      <c r="C1322" t="s">
        <v>632</v>
      </c>
      <c r="D1322" t="s">
        <v>628</v>
      </c>
      <c r="E1322"/>
      <c r="F1322"/>
      <c r="G1322"/>
      <c r="H1322"/>
      <c r="I1322" s="10"/>
      <c r="J1322" s="10"/>
      <c r="K1322" s="7">
        <v>44005518</v>
      </c>
      <c r="L1322" s="5" t="str">
        <f t="shared" si="147"/>
        <v>AR SAN VİTO MODÜL TEKLİ KOLSUZ</v>
      </c>
      <c r="M1322" s="8">
        <v>0.15</v>
      </c>
      <c r="N1322" s="8">
        <v>0.1</v>
      </c>
      <c r="O1322" s="8">
        <v>8380</v>
      </c>
      <c r="P1322" s="8">
        <f t="shared" si="144"/>
        <v>7542</v>
      </c>
      <c r="Q1322" s="12">
        <f t="shared" si="145"/>
        <v>15838.2</v>
      </c>
      <c r="R1322" s="31">
        <f t="shared" si="146"/>
        <v>15800</v>
      </c>
      <c r="U1322" s="8">
        <v>5997</v>
      </c>
    </row>
    <row r="1323" spans="1:21" ht="21.95" customHeight="1" x14ac:dyDescent="0.2">
      <c r="A1323" s="5" t="s">
        <v>17</v>
      </c>
      <c r="B1323" t="s">
        <v>1582</v>
      </c>
      <c r="C1323" t="s">
        <v>632</v>
      </c>
      <c r="D1323" t="s">
        <v>644</v>
      </c>
      <c r="E1323"/>
      <c r="F1323"/>
      <c r="G1323"/>
      <c r="H1323"/>
      <c r="I1323" s="10"/>
      <c r="J1323" s="10"/>
      <c r="K1323" s="7">
        <v>44005519</v>
      </c>
      <c r="L1323" s="5" t="str">
        <f t="shared" si="147"/>
        <v>AR SAN VİTO MODÜL AÇILI</v>
      </c>
      <c r="M1323" s="8">
        <v>0.15</v>
      </c>
      <c r="N1323" s="8">
        <v>0.1</v>
      </c>
      <c r="O1323" s="8">
        <v>10140</v>
      </c>
      <c r="P1323" s="8">
        <f t="shared" si="144"/>
        <v>9126</v>
      </c>
      <c r="Q1323" s="12">
        <f t="shared" si="145"/>
        <v>19164.600000000002</v>
      </c>
      <c r="R1323" s="31">
        <f t="shared" si="146"/>
        <v>19100</v>
      </c>
      <c r="U1323" s="8">
        <v>3115</v>
      </c>
    </row>
    <row r="1324" spans="1:21" ht="21.95" customHeight="1" x14ac:dyDescent="0.2">
      <c r="A1324" s="5" t="s">
        <v>17</v>
      </c>
      <c r="B1324" t="s">
        <v>1582</v>
      </c>
      <c r="C1324" t="s">
        <v>632</v>
      </c>
      <c r="D1324" t="s">
        <v>645</v>
      </c>
      <c r="E1324"/>
      <c r="F1324"/>
      <c r="G1324"/>
      <c r="H1324"/>
      <c r="I1324" s="10"/>
      <c r="J1324" s="10"/>
      <c r="K1324" s="7">
        <v>44005520</v>
      </c>
      <c r="L1324" s="5" t="str">
        <f t="shared" si="147"/>
        <v>AR SAN VİTO SOL MODÜL KOLLU 3 LÜ</v>
      </c>
      <c r="M1324" s="8">
        <v>0.15</v>
      </c>
      <c r="N1324" s="8">
        <v>0.1</v>
      </c>
      <c r="O1324" s="8">
        <v>14725</v>
      </c>
      <c r="P1324" s="8">
        <f t="shared" si="144"/>
        <v>13252.5</v>
      </c>
      <c r="Q1324" s="12">
        <f t="shared" si="145"/>
        <v>27830.25</v>
      </c>
      <c r="R1324" s="31">
        <f t="shared" si="146"/>
        <v>27800</v>
      </c>
      <c r="U1324" s="8">
        <v>33894</v>
      </c>
    </row>
    <row r="1325" spans="1:21" ht="21.95" customHeight="1" x14ac:dyDescent="0.2">
      <c r="A1325" s="5" t="s">
        <v>17</v>
      </c>
      <c r="B1325" t="s">
        <v>1582</v>
      </c>
      <c r="C1325" t="s">
        <v>632</v>
      </c>
      <c r="D1325" t="s">
        <v>646</v>
      </c>
      <c r="E1325"/>
      <c r="F1325"/>
      <c r="G1325"/>
      <c r="H1325"/>
      <c r="I1325" s="10"/>
      <c r="J1325" s="10"/>
      <c r="K1325" s="7">
        <v>44005521</v>
      </c>
      <c r="L1325" s="5" t="str">
        <f t="shared" si="147"/>
        <v>AR SAN VİTO SAĞ MODÜL KOLLU 3 LÜ</v>
      </c>
      <c r="M1325" s="8">
        <v>0.15</v>
      </c>
      <c r="N1325" s="8">
        <v>0.1</v>
      </c>
      <c r="O1325" s="8">
        <v>14930</v>
      </c>
      <c r="P1325" s="8">
        <f t="shared" si="144"/>
        <v>13437</v>
      </c>
      <c r="Q1325" s="12">
        <f t="shared" si="145"/>
        <v>28217.7</v>
      </c>
      <c r="R1325" s="31">
        <f t="shared" si="146"/>
        <v>28200</v>
      </c>
      <c r="U1325" s="8">
        <v>19868</v>
      </c>
    </row>
    <row r="1326" spans="1:21" ht="21.95" customHeight="1" x14ac:dyDescent="0.2">
      <c r="A1326" s="5" t="s">
        <v>17</v>
      </c>
      <c r="B1326" t="s">
        <v>1582</v>
      </c>
      <c r="C1326" t="s">
        <v>647</v>
      </c>
      <c r="D1326" t="s">
        <v>194</v>
      </c>
      <c r="E1326"/>
      <c r="F1326"/>
      <c r="G1326"/>
      <c r="H1326"/>
      <c r="I1326" s="10"/>
      <c r="J1326" s="10"/>
      <c r="K1326" s="7">
        <v>44005522</v>
      </c>
      <c r="L1326" s="5" t="str">
        <f t="shared" si="147"/>
        <v xml:space="preserve">AR FORENZA KONSOL </v>
      </c>
      <c r="M1326" s="8">
        <v>0.15</v>
      </c>
      <c r="N1326" s="8">
        <v>0.1</v>
      </c>
      <c r="O1326" s="8">
        <v>26400</v>
      </c>
      <c r="P1326" s="8">
        <f t="shared" si="144"/>
        <v>23760</v>
      </c>
      <c r="Q1326" s="12">
        <f t="shared" si="145"/>
        <v>49896</v>
      </c>
      <c r="R1326" s="31">
        <f t="shared" si="146"/>
        <v>49800</v>
      </c>
      <c r="U1326" s="8">
        <v>17838</v>
      </c>
    </row>
    <row r="1327" spans="1:21" ht="21.95" customHeight="1" x14ac:dyDescent="0.2">
      <c r="A1327" s="5" t="s">
        <v>17</v>
      </c>
      <c r="B1327" t="s">
        <v>1582</v>
      </c>
      <c r="C1327" t="s">
        <v>647</v>
      </c>
      <c r="D1327" t="s">
        <v>648</v>
      </c>
      <c r="E1327"/>
      <c r="F1327"/>
      <c r="G1327"/>
      <c r="H1327"/>
      <c r="I1327" s="10"/>
      <c r="J1327" s="10"/>
      <c r="K1327" s="7">
        <v>44005523</v>
      </c>
      <c r="L1327" s="5" t="str">
        <f t="shared" si="147"/>
        <v>AR FORENZA KONSOL AYNASI 2 ADET</v>
      </c>
      <c r="M1327" s="8">
        <v>0.15</v>
      </c>
      <c r="N1327" s="8">
        <v>0.1</v>
      </c>
      <c r="O1327" s="8">
        <v>5023</v>
      </c>
      <c r="P1327" s="8">
        <f t="shared" si="144"/>
        <v>4520.7</v>
      </c>
      <c r="Q1327" s="12">
        <f t="shared" si="145"/>
        <v>9493.4699999999993</v>
      </c>
      <c r="R1327" s="31">
        <f t="shared" si="146"/>
        <v>9400</v>
      </c>
      <c r="U1327" s="8">
        <v>24848</v>
      </c>
    </row>
    <row r="1328" spans="1:21" ht="21.95" customHeight="1" x14ac:dyDescent="0.2">
      <c r="A1328" s="5" t="s">
        <v>17</v>
      </c>
      <c r="B1328" t="s">
        <v>1582</v>
      </c>
      <c r="C1328" t="s">
        <v>647</v>
      </c>
      <c r="D1328" t="s">
        <v>599</v>
      </c>
      <c r="E1328"/>
      <c r="F1328"/>
      <c r="G1328"/>
      <c r="H1328"/>
      <c r="I1328" s="10"/>
      <c r="J1328" s="10"/>
      <c r="K1328" s="7">
        <v>44005524</v>
      </c>
      <c r="L1328" s="5" t="str">
        <f t="shared" si="147"/>
        <v>AR FORENZA MASA 210CM</v>
      </c>
      <c r="M1328" s="8">
        <v>0.15</v>
      </c>
      <c r="N1328" s="8">
        <v>0.1</v>
      </c>
      <c r="O1328" s="8">
        <v>14160</v>
      </c>
      <c r="P1328" s="8">
        <f t="shared" ref="P1328:P1391" si="148">O1328*(1-N1328)</f>
        <v>12744</v>
      </c>
      <c r="Q1328" s="12">
        <f t="shared" ref="Q1328:Q1391" si="149">O1328*(1-N1328)*2.1</f>
        <v>26762.400000000001</v>
      </c>
      <c r="R1328" s="31">
        <f t="shared" ref="R1328:R1391" si="150">ROUNDDOWN(Q1328,-2)</f>
        <v>26700</v>
      </c>
      <c r="U1328" s="8">
        <v>12652</v>
      </c>
    </row>
    <row r="1329" spans="1:21" ht="21.95" customHeight="1" x14ac:dyDescent="0.2">
      <c r="A1329" s="5" t="s">
        <v>17</v>
      </c>
      <c r="B1329" t="s">
        <v>1582</v>
      </c>
      <c r="C1329" t="s">
        <v>647</v>
      </c>
      <c r="D1329" t="s">
        <v>587</v>
      </c>
      <c r="E1329"/>
      <c r="F1329"/>
      <c r="G1329"/>
      <c r="H1329"/>
      <c r="I1329" s="10"/>
      <c r="J1329" s="10"/>
      <c r="K1329" s="7">
        <v>44005525</v>
      </c>
      <c r="L1329" s="5" t="str">
        <f t="shared" si="147"/>
        <v>AR FORENZA MASA 180CM</v>
      </c>
      <c r="M1329" s="8">
        <v>0.15</v>
      </c>
      <c r="N1329" s="8">
        <v>0.1</v>
      </c>
      <c r="O1329" s="8">
        <v>18408</v>
      </c>
      <c r="P1329" s="8">
        <f t="shared" si="148"/>
        <v>16567.2</v>
      </c>
      <c r="Q1329" s="12">
        <f t="shared" si="149"/>
        <v>34791.120000000003</v>
      </c>
      <c r="R1329" s="31">
        <f t="shared" si="150"/>
        <v>34700</v>
      </c>
      <c r="U1329" s="8">
        <v>11625</v>
      </c>
    </row>
    <row r="1330" spans="1:21" ht="21.95" customHeight="1" x14ac:dyDescent="0.2">
      <c r="A1330" s="5" t="s">
        <v>17</v>
      </c>
      <c r="B1330" t="s">
        <v>1582</v>
      </c>
      <c r="C1330" t="s">
        <v>647</v>
      </c>
      <c r="D1330" t="s">
        <v>24</v>
      </c>
      <c r="E1330"/>
      <c r="F1330"/>
      <c r="G1330"/>
      <c r="H1330"/>
      <c r="I1330" s="10"/>
      <c r="J1330" s="10"/>
      <c r="K1330" s="7">
        <v>44005526</v>
      </c>
      <c r="L1330" s="5" t="str">
        <f t="shared" si="147"/>
        <v>AR FORENZA MASA 240CM</v>
      </c>
      <c r="M1330" s="8">
        <v>0.15</v>
      </c>
      <c r="N1330" s="8">
        <v>0.1</v>
      </c>
      <c r="O1330" s="8">
        <v>21038</v>
      </c>
      <c r="P1330" s="8">
        <f t="shared" si="148"/>
        <v>18934.2</v>
      </c>
      <c r="Q1330" s="12">
        <f t="shared" si="149"/>
        <v>39761.82</v>
      </c>
      <c r="R1330" s="31">
        <f t="shared" si="150"/>
        <v>39700</v>
      </c>
      <c r="U1330" s="8">
        <v>24739</v>
      </c>
    </row>
    <row r="1331" spans="1:21" ht="21.95" customHeight="1" x14ac:dyDescent="0.2">
      <c r="A1331" s="5" t="s">
        <v>17</v>
      </c>
      <c r="B1331" t="s">
        <v>1582</v>
      </c>
      <c r="C1331" t="s">
        <v>647</v>
      </c>
      <c r="D1331" t="s">
        <v>358</v>
      </c>
      <c r="E1331"/>
      <c r="F1331"/>
      <c r="G1331"/>
      <c r="H1331"/>
      <c r="I1331" s="10"/>
      <c r="J1331" s="10"/>
      <c r="K1331" s="7">
        <v>44005527</v>
      </c>
      <c r="L1331" s="5" t="str">
        <f t="shared" si="147"/>
        <v xml:space="preserve">AR FORENZA SANDALYE </v>
      </c>
      <c r="M1331" s="8">
        <v>0.15</v>
      </c>
      <c r="N1331" s="8">
        <v>0.1</v>
      </c>
      <c r="O1331" s="8">
        <v>4772</v>
      </c>
      <c r="P1331" s="8">
        <f t="shared" si="148"/>
        <v>4294.8</v>
      </c>
      <c r="Q1331" s="12">
        <f t="shared" si="149"/>
        <v>9019.08</v>
      </c>
      <c r="R1331" s="31">
        <f t="shared" si="150"/>
        <v>9000</v>
      </c>
      <c r="U1331" s="8">
        <v>30268</v>
      </c>
    </row>
    <row r="1332" spans="1:21" ht="21.95" customHeight="1" x14ac:dyDescent="0.2">
      <c r="A1332" s="5" t="s">
        <v>17</v>
      </c>
      <c r="B1332" t="s">
        <v>1582</v>
      </c>
      <c r="C1332" t="s">
        <v>647</v>
      </c>
      <c r="D1332" t="s">
        <v>588</v>
      </c>
      <c r="E1332"/>
      <c r="F1332"/>
      <c r="G1332"/>
      <c r="H1332"/>
      <c r="I1332" s="10"/>
      <c r="J1332" s="10"/>
      <c r="K1332" s="7">
        <v>44005528</v>
      </c>
      <c r="L1332" s="5" t="str">
        <f t="shared" si="147"/>
        <v xml:space="preserve">AR FORENZA DRESUAR </v>
      </c>
      <c r="M1332" s="8">
        <v>0.15</v>
      </c>
      <c r="N1332" s="8">
        <v>0.1</v>
      </c>
      <c r="O1332" s="8">
        <v>14365</v>
      </c>
      <c r="P1332" s="8">
        <f t="shared" si="148"/>
        <v>12928.5</v>
      </c>
      <c r="Q1332" s="12">
        <f t="shared" si="149"/>
        <v>27149.850000000002</v>
      </c>
      <c r="R1332" s="31">
        <f t="shared" si="150"/>
        <v>27100</v>
      </c>
      <c r="U1332" s="8">
        <v>10766</v>
      </c>
    </row>
    <row r="1333" spans="1:21" ht="21.95" customHeight="1" x14ac:dyDescent="0.2">
      <c r="A1333" s="5" t="s">
        <v>17</v>
      </c>
      <c r="B1333" t="s">
        <v>1582</v>
      </c>
      <c r="C1333" t="s">
        <v>647</v>
      </c>
      <c r="D1333" t="s">
        <v>649</v>
      </c>
      <c r="E1333"/>
      <c r="F1333"/>
      <c r="G1333"/>
      <c r="H1333"/>
      <c r="I1333" s="10"/>
      <c r="J1333" s="10"/>
      <c r="K1333" s="7">
        <v>44005529</v>
      </c>
      <c r="L1333" s="5" t="str">
        <f t="shared" si="147"/>
        <v>AR FORENZA TV ÜNİTESİ ÜST SOL CAM KAPAKLI M.</v>
      </c>
      <c r="M1333" s="8">
        <v>0.15</v>
      </c>
      <c r="N1333" s="8">
        <v>0.1</v>
      </c>
      <c r="O1333" s="8">
        <v>4725</v>
      </c>
      <c r="P1333" s="8">
        <f t="shared" si="148"/>
        <v>4252.5</v>
      </c>
      <c r="Q1333" s="12">
        <f t="shared" si="149"/>
        <v>8930.25</v>
      </c>
      <c r="R1333" s="31">
        <f t="shared" si="150"/>
        <v>8900</v>
      </c>
      <c r="U1333" s="8">
        <v>16703</v>
      </c>
    </row>
    <row r="1334" spans="1:21" ht="21.95" customHeight="1" x14ac:dyDescent="0.2">
      <c r="A1334" s="5" t="s">
        <v>17</v>
      </c>
      <c r="B1334" t="s">
        <v>1582</v>
      </c>
      <c r="C1334" t="s">
        <v>647</v>
      </c>
      <c r="D1334" t="s">
        <v>650</v>
      </c>
      <c r="E1334"/>
      <c r="F1334"/>
      <c r="G1334"/>
      <c r="H1334"/>
      <c r="I1334" s="10"/>
      <c r="J1334" s="10"/>
      <c r="K1334" s="7">
        <v>44005530</v>
      </c>
      <c r="L1334" s="5" t="str">
        <f t="shared" si="147"/>
        <v>AR FORENZA TV ÜNİTESİ ÜST ORTA RAFLI MODÜL</v>
      </c>
      <c r="M1334" s="8">
        <v>0.15</v>
      </c>
      <c r="N1334" s="8">
        <v>0.1</v>
      </c>
      <c r="O1334" s="8">
        <v>5250</v>
      </c>
      <c r="P1334" s="8">
        <f t="shared" si="148"/>
        <v>4725</v>
      </c>
      <c r="Q1334" s="12">
        <f t="shared" si="149"/>
        <v>9922.5</v>
      </c>
      <c r="R1334" s="31">
        <f t="shared" si="150"/>
        <v>9900</v>
      </c>
      <c r="U1334" s="8">
        <v>15506</v>
      </c>
    </row>
    <row r="1335" spans="1:21" ht="21.95" customHeight="1" x14ac:dyDescent="0.2">
      <c r="A1335" s="5" t="s">
        <v>17</v>
      </c>
      <c r="B1335" t="s">
        <v>1582</v>
      </c>
      <c r="C1335" t="s">
        <v>647</v>
      </c>
      <c r="D1335" t="s">
        <v>651</v>
      </c>
      <c r="E1335"/>
      <c r="F1335"/>
      <c r="G1335"/>
      <c r="H1335"/>
      <c r="I1335" s="10"/>
      <c r="J1335" s="10"/>
      <c r="K1335" s="7">
        <v>44005531</v>
      </c>
      <c r="L1335" s="5" t="str">
        <f t="shared" si="147"/>
        <v>AR FORENZA TV ÜNİTESİ SAĞ RAFLI MODÜL</v>
      </c>
      <c r="M1335" s="8">
        <v>0.15</v>
      </c>
      <c r="N1335" s="8">
        <v>0.1</v>
      </c>
      <c r="O1335" s="8">
        <v>3595</v>
      </c>
      <c r="P1335" s="8">
        <f t="shared" si="148"/>
        <v>3235.5</v>
      </c>
      <c r="Q1335" s="12">
        <f t="shared" si="149"/>
        <v>6794.55</v>
      </c>
      <c r="R1335" s="31">
        <f t="shared" si="150"/>
        <v>6700</v>
      </c>
      <c r="U1335" s="8">
        <v>19078</v>
      </c>
    </row>
    <row r="1336" spans="1:21" ht="21.95" customHeight="1" x14ac:dyDescent="0.2">
      <c r="A1336" s="5" t="s">
        <v>17</v>
      </c>
      <c r="B1336" t="s">
        <v>1582</v>
      </c>
      <c r="C1336" t="s">
        <v>647</v>
      </c>
      <c r="D1336" t="s">
        <v>652</v>
      </c>
      <c r="E1336"/>
      <c r="F1336"/>
      <c r="G1336"/>
      <c r="H1336"/>
      <c r="I1336" s="10"/>
      <c r="J1336" s="10"/>
      <c r="K1336" s="7">
        <v>44005532</v>
      </c>
      <c r="L1336" s="5" t="str">
        <f t="shared" si="147"/>
        <v>AR FORENZA TV ÜNİTESİ ALT ORTA KAPAKLI MODÜL</v>
      </c>
      <c r="M1336" s="8">
        <v>0.15</v>
      </c>
      <c r="N1336" s="8">
        <v>0.1</v>
      </c>
      <c r="O1336" s="8">
        <v>12215</v>
      </c>
      <c r="P1336" s="8">
        <f t="shared" si="148"/>
        <v>10993.5</v>
      </c>
      <c r="Q1336" s="12">
        <f t="shared" si="149"/>
        <v>23086.350000000002</v>
      </c>
      <c r="R1336" s="31">
        <f t="shared" si="150"/>
        <v>23000</v>
      </c>
      <c r="U1336" s="8">
        <v>17678</v>
      </c>
    </row>
    <row r="1337" spans="1:21" ht="21.95" customHeight="1" x14ac:dyDescent="0.2">
      <c r="A1337" s="5" t="s">
        <v>17</v>
      </c>
      <c r="B1337" t="s">
        <v>1582</v>
      </c>
      <c r="C1337" t="s">
        <v>647</v>
      </c>
      <c r="D1337" t="s">
        <v>653</v>
      </c>
      <c r="E1337"/>
      <c r="F1337"/>
      <c r="G1337"/>
      <c r="H1337"/>
      <c r="I1337" s="10"/>
      <c r="J1337" s="10"/>
      <c r="K1337" s="7">
        <v>44005533</v>
      </c>
      <c r="L1337" s="5" t="str">
        <f t="shared" si="147"/>
        <v>AR FORENZA TV ÜNİTESİ ALT SAĞ-SOL ÇEKMECELİ M.</v>
      </c>
      <c r="M1337" s="8">
        <v>0.15</v>
      </c>
      <c r="N1337" s="8">
        <v>0.1</v>
      </c>
      <c r="O1337" s="8">
        <v>10330</v>
      </c>
      <c r="P1337" s="8">
        <f t="shared" si="148"/>
        <v>9297</v>
      </c>
      <c r="Q1337" s="12">
        <f t="shared" si="149"/>
        <v>19523.7</v>
      </c>
      <c r="R1337" s="31">
        <f t="shared" si="150"/>
        <v>19500</v>
      </c>
      <c r="U1337" s="8">
        <v>12175</v>
      </c>
    </row>
    <row r="1338" spans="1:21" ht="21.95" customHeight="1" x14ac:dyDescent="0.2">
      <c r="A1338" s="5" t="s">
        <v>17</v>
      </c>
      <c r="B1338" t="s">
        <v>1582</v>
      </c>
      <c r="C1338" t="s">
        <v>647</v>
      </c>
      <c r="D1338" t="s">
        <v>29</v>
      </c>
      <c r="E1338"/>
      <c r="F1338"/>
      <c r="G1338"/>
      <c r="H1338"/>
      <c r="I1338" s="10"/>
      <c r="J1338" s="10"/>
      <c r="K1338" s="7">
        <v>44005534</v>
      </c>
      <c r="L1338" s="5" t="str">
        <f t="shared" si="147"/>
        <v>AR FORENZA ORTA SEHPA</v>
      </c>
      <c r="M1338" s="8">
        <v>0.15</v>
      </c>
      <c r="N1338" s="8">
        <v>0.1</v>
      </c>
      <c r="O1338" s="8">
        <v>17035</v>
      </c>
      <c r="P1338" s="8">
        <f t="shared" si="148"/>
        <v>15331.5</v>
      </c>
      <c r="Q1338" s="12">
        <f t="shared" si="149"/>
        <v>32196.15</v>
      </c>
      <c r="R1338" s="31">
        <f t="shared" si="150"/>
        <v>32100</v>
      </c>
      <c r="U1338" s="8">
        <v>10988</v>
      </c>
    </row>
    <row r="1339" spans="1:21" ht="21.95" customHeight="1" x14ac:dyDescent="0.2">
      <c r="A1339" s="5" t="s">
        <v>17</v>
      </c>
      <c r="B1339" t="s">
        <v>1582</v>
      </c>
      <c r="C1339" t="s">
        <v>647</v>
      </c>
      <c r="D1339" t="s">
        <v>654</v>
      </c>
      <c r="E1339"/>
      <c r="F1339"/>
      <c r="G1339"/>
      <c r="H1339"/>
      <c r="I1339" s="10"/>
      <c r="J1339" s="10"/>
      <c r="K1339" s="7">
        <v>44005535</v>
      </c>
      <c r="L1339" s="5" t="str">
        <f t="shared" si="147"/>
        <v>AR FORENZA ORTA SEHPA PUF</v>
      </c>
      <c r="M1339" s="8">
        <v>0.15</v>
      </c>
      <c r="N1339" s="8">
        <v>0.1</v>
      </c>
      <c r="O1339" s="8">
        <v>5425</v>
      </c>
      <c r="P1339" s="8">
        <f t="shared" si="148"/>
        <v>4882.5</v>
      </c>
      <c r="Q1339" s="12">
        <f t="shared" si="149"/>
        <v>10253.25</v>
      </c>
      <c r="R1339" s="31">
        <f t="shared" si="150"/>
        <v>10200</v>
      </c>
      <c r="U1339" s="8">
        <v>20125</v>
      </c>
    </row>
    <row r="1340" spans="1:21" ht="21.95" customHeight="1" x14ac:dyDescent="0.2">
      <c r="A1340" s="5" t="s">
        <v>17</v>
      </c>
      <c r="B1340" t="s">
        <v>1582</v>
      </c>
      <c r="C1340" t="s">
        <v>647</v>
      </c>
      <c r="D1340" t="s">
        <v>30</v>
      </c>
      <c r="E1340"/>
      <c r="F1340"/>
      <c r="G1340"/>
      <c r="H1340"/>
      <c r="I1340" s="10"/>
      <c r="J1340" s="10"/>
      <c r="K1340" s="7">
        <v>44005536</v>
      </c>
      <c r="L1340" s="5" t="str">
        <f t="shared" si="147"/>
        <v>AR FORENZA YAN SEHPA</v>
      </c>
      <c r="M1340" s="8">
        <v>0.15</v>
      </c>
      <c r="N1340" s="8">
        <v>0.1</v>
      </c>
      <c r="O1340" s="8">
        <v>8860</v>
      </c>
      <c r="P1340" s="8">
        <f t="shared" si="148"/>
        <v>7974</v>
      </c>
      <c r="Q1340" s="12">
        <f t="shared" si="149"/>
        <v>16745.400000000001</v>
      </c>
      <c r="R1340" s="31">
        <f t="shared" si="150"/>
        <v>16700</v>
      </c>
      <c r="U1340" s="8">
        <v>7417</v>
      </c>
    </row>
    <row r="1341" spans="1:21" ht="21.95" customHeight="1" x14ac:dyDescent="0.2">
      <c r="A1341" s="5" t="s">
        <v>17</v>
      </c>
      <c r="B1341" t="s">
        <v>1582</v>
      </c>
      <c r="C1341" t="s">
        <v>647</v>
      </c>
      <c r="D1341" t="s">
        <v>31</v>
      </c>
      <c r="E1341"/>
      <c r="F1341"/>
      <c r="G1341"/>
      <c r="H1341"/>
      <c r="I1341" s="10"/>
      <c r="J1341" s="10"/>
      <c r="K1341" s="7">
        <v>44005537</v>
      </c>
      <c r="L1341" s="5" t="str">
        <f t="shared" si="147"/>
        <v>AR FORENZA KOLTUK 4 LÜ</v>
      </c>
      <c r="M1341" s="8">
        <v>0.15</v>
      </c>
      <c r="N1341" s="8">
        <v>0.1</v>
      </c>
      <c r="O1341" s="8">
        <v>34280</v>
      </c>
      <c r="P1341" s="8">
        <f t="shared" si="148"/>
        <v>30852</v>
      </c>
      <c r="Q1341" s="12">
        <f t="shared" si="149"/>
        <v>64789.200000000004</v>
      </c>
      <c r="R1341" s="31">
        <f t="shared" si="150"/>
        <v>64700</v>
      </c>
      <c r="U1341" s="8">
        <v>4509</v>
      </c>
    </row>
    <row r="1342" spans="1:21" ht="21.95" customHeight="1" x14ac:dyDescent="0.2">
      <c r="A1342" s="5" t="s">
        <v>17</v>
      </c>
      <c r="B1342" t="s">
        <v>1582</v>
      </c>
      <c r="C1342" t="s">
        <v>647</v>
      </c>
      <c r="D1342" t="s">
        <v>32</v>
      </c>
      <c r="E1342"/>
      <c r="F1342"/>
      <c r="G1342"/>
      <c r="H1342"/>
      <c r="I1342" s="10"/>
      <c r="J1342" s="10"/>
      <c r="K1342" s="7">
        <v>44005538</v>
      </c>
      <c r="L1342" s="5" t="str">
        <f t="shared" si="147"/>
        <v>AR FORENZA KOLTUK 3 LÜ</v>
      </c>
      <c r="M1342" s="8">
        <v>0.15</v>
      </c>
      <c r="N1342" s="8">
        <v>0.1</v>
      </c>
      <c r="O1342" s="8">
        <v>30985</v>
      </c>
      <c r="P1342" s="8">
        <f t="shared" si="148"/>
        <v>27886.5</v>
      </c>
      <c r="Q1342" s="12">
        <f t="shared" si="149"/>
        <v>58561.65</v>
      </c>
      <c r="R1342" s="31">
        <f t="shared" si="150"/>
        <v>58500</v>
      </c>
      <c r="U1342" s="8">
        <v>3202</v>
      </c>
    </row>
    <row r="1343" spans="1:21" ht="21.95" customHeight="1" x14ac:dyDescent="0.2">
      <c r="A1343" s="5" t="s">
        <v>17</v>
      </c>
      <c r="B1343" t="s">
        <v>1582</v>
      </c>
      <c r="C1343" t="s">
        <v>647</v>
      </c>
      <c r="D1343" t="s">
        <v>592</v>
      </c>
      <c r="E1343"/>
      <c r="F1343"/>
      <c r="G1343"/>
      <c r="H1343"/>
      <c r="I1343" s="10"/>
      <c r="J1343" s="10"/>
      <c r="K1343" s="7">
        <v>44005539</v>
      </c>
      <c r="L1343" s="5" t="str">
        <f t="shared" si="147"/>
        <v>AR FORENZA KOLTUK TEKLİ</v>
      </c>
      <c r="M1343" s="8">
        <v>0.15</v>
      </c>
      <c r="N1343" s="8">
        <v>0.1</v>
      </c>
      <c r="O1343" s="8">
        <v>14085</v>
      </c>
      <c r="P1343" s="8">
        <f t="shared" si="148"/>
        <v>12676.5</v>
      </c>
      <c r="Q1343" s="12">
        <f t="shared" si="149"/>
        <v>26620.65</v>
      </c>
      <c r="R1343" s="31">
        <f t="shared" si="150"/>
        <v>26600</v>
      </c>
      <c r="U1343" s="8">
        <v>3380</v>
      </c>
    </row>
    <row r="1344" spans="1:21" ht="21.95" customHeight="1" x14ac:dyDescent="0.2">
      <c r="A1344" s="5" t="s">
        <v>17</v>
      </c>
      <c r="B1344" t="s">
        <v>1582</v>
      </c>
      <c r="C1344" t="s">
        <v>647</v>
      </c>
      <c r="D1344" t="s">
        <v>655</v>
      </c>
      <c r="E1344"/>
      <c r="F1344"/>
      <c r="G1344"/>
      <c r="H1344"/>
      <c r="I1344" s="10"/>
      <c r="J1344" s="10"/>
      <c r="K1344" s="7">
        <v>44005540</v>
      </c>
      <c r="L1344" s="5" t="str">
        <f t="shared" si="147"/>
        <v>AR FORENZA PUF OPSİYONEL</v>
      </c>
      <c r="M1344" s="8">
        <v>0.15</v>
      </c>
      <c r="N1344" s="8">
        <v>0.1</v>
      </c>
      <c r="O1344" s="8">
        <v>5425</v>
      </c>
      <c r="P1344" s="8">
        <f t="shared" si="148"/>
        <v>4882.5</v>
      </c>
      <c r="Q1344" s="12">
        <f t="shared" si="149"/>
        <v>10253.25</v>
      </c>
      <c r="R1344" s="31">
        <f t="shared" si="150"/>
        <v>10200</v>
      </c>
      <c r="U1344" s="8">
        <v>38622</v>
      </c>
    </row>
    <row r="1345" spans="1:21" ht="21.95" customHeight="1" x14ac:dyDescent="0.2">
      <c r="A1345" s="5" t="s">
        <v>17</v>
      </c>
      <c r="B1345" t="s">
        <v>1582</v>
      </c>
      <c r="C1345" t="s">
        <v>647</v>
      </c>
      <c r="D1345" t="s">
        <v>618</v>
      </c>
      <c r="E1345"/>
      <c r="F1345"/>
      <c r="G1345"/>
      <c r="H1345"/>
      <c r="I1345" s="10"/>
      <c r="J1345" s="10"/>
      <c r="K1345" s="7">
        <v>44005541</v>
      </c>
      <c r="L1345" s="5" t="str">
        <f t="shared" si="147"/>
        <v>AR FORENZA SOL MODÜL 4 LÜ</v>
      </c>
      <c r="M1345" s="8">
        <v>0.15</v>
      </c>
      <c r="N1345" s="8">
        <v>0.1</v>
      </c>
      <c r="O1345" s="8">
        <v>17190</v>
      </c>
      <c r="P1345" s="8">
        <f t="shared" si="148"/>
        <v>15471</v>
      </c>
      <c r="Q1345" s="12">
        <f t="shared" si="149"/>
        <v>32489.100000000002</v>
      </c>
      <c r="R1345" s="31">
        <f t="shared" si="150"/>
        <v>32400</v>
      </c>
      <c r="U1345" s="8">
        <v>6893</v>
      </c>
    </row>
    <row r="1346" spans="1:21" ht="21.95" customHeight="1" x14ac:dyDescent="0.2">
      <c r="A1346" s="5" t="s">
        <v>17</v>
      </c>
      <c r="B1346" t="s">
        <v>1582</v>
      </c>
      <c r="C1346" t="s">
        <v>647</v>
      </c>
      <c r="D1346" t="s">
        <v>619</v>
      </c>
      <c r="E1346"/>
      <c r="F1346"/>
      <c r="G1346"/>
      <c r="H1346"/>
      <c r="I1346" s="10"/>
      <c r="J1346" s="10"/>
      <c r="K1346" s="7">
        <v>44005542</v>
      </c>
      <c r="L1346" s="5" t="str">
        <f t="shared" si="147"/>
        <v>AR FORENZA SAĞ MODÜL 4 LÜ</v>
      </c>
      <c r="M1346" s="8">
        <v>0.15</v>
      </c>
      <c r="N1346" s="8">
        <v>0.1</v>
      </c>
      <c r="O1346" s="8">
        <v>17090</v>
      </c>
      <c r="P1346" s="8">
        <f t="shared" si="148"/>
        <v>15381</v>
      </c>
      <c r="Q1346" s="12">
        <f t="shared" si="149"/>
        <v>32300.100000000002</v>
      </c>
      <c r="R1346" s="31">
        <f t="shared" si="150"/>
        <v>32300</v>
      </c>
      <c r="U1346" s="8">
        <v>28534</v>
      </c>
    </row>
    <row r="1347" spans="1:21" ht="21.95" customHeight="1" x14ac:dyDescent="0.2">
      <c r="A1347" s="5" t="s">
        <v>17</v>
      </c>
      <c r="B1347" t="s">
        <v>1582</v>
      </c>
      <c r="C1347" t="s">
        <v>647</v>
      </c>
      <c r="D1347" t="s">
        <v>620</v>
      </c>
      <c r="E1347"/>
      <c r="F1347"/>
      <c r="G1347"/>
      <c r="H1347"/>
      <c r="I1347" s="10"/>
      <c r="J1347" s="10"/>
      <c r="K1347" s="7">
        <v>44005543</v>
      </c>
      <c r="L1347" s="5" t="str">
        <f t="shared" si="147"/>
        <v>AR FORENZA SOL MODÜL 3 LÜ</v>
      </c>
      <c r="M1347" s="8">
        <v>0.15</v>
      </c>
      <c r="N1347" s="8">
        <v>0.1</v>
      </c>
      <c r="O1347" s="8">
        <v>15715</v>
      </c>
      <c r="P1347" s="8">
        <f t="shared" si="148"/>
        <v>14143.5</v>
      </c>
      <c r="Q1347" s="12">
        <f t="shared" si="149"/>
        <v>29701.350000000002</v>
      </c>
      <c r="R1347" s="31">
        <f t="shared" si="150"/>
        <v>29700</v>
      </c>
      <c r="U1347" s="8">
        <v>6380</v>
      </c>
    </row>
    <row r="1348" spans="1:21" ht="21.95" customHeight="1" x14ac:dyDescent="0.2">
      <c r="A1348" s="5" t="s">
        <v>17</v>
      </c>
      <c r="B1348" t="s">
        <v>1582</v>
      </c>
      <c r="C1348" t="s">
        <v>647</v>
      </c>
      <c r="D1348" t="s">
        <v>621</v>
      </c>
      <c r="E1348"/>
      <c r="F1348"/>
      <c r="G1348"/>
      <c r="H1348"/>
      <c r="I1348" s="10"/>
      <c r="J1348" s="10"/>
      <c r="K1348" s="7">
        <v>44005544</v>
      </c>
      <c r="L1348" s="5" t="str">
        <f t="shared" si="147"/>
        <v>AR FORENZA SAĞ MODÜL 3 LÜ</v>
      </c>
      <c r="M1348" s="8">
        <v>0.15</v>
      </c>
      <c r="N1348" s="8">
        <v>0.1</v>
      </c>
      <c r="O1348" s="8">
        <v>15270</v>
      </c>
      <c r="P1348" s="8">
        <f t="shared" si="148"/>
        <v>13743</v>
      </c>
      <c r="Q1348" s="12">
        <f t="shared" si="149"/>
        <v>28860.300000000003</v>
      </c>
      <c r="R1348" s="31">
        <f t="shared" si="150"/>
        <v>28800</v>
      </c>
      <c r="U1348" s="8">
        <v>32086</v>
      </c>
    </row>
    <row r="1349" spans="1:21" ht="21.95" customHeight="1" x14ac:dyDescent="0.2">
      <c r="A1349" s="5" t="s">
        <v>17</v>
      </c>
      <c r="B1349" t="s">
        <v>1582</v>
      </c>
      <c r="C1349" t="s">
        <v>647</v>
      </c>
      <c r="D1349" t="s">
        <v>593</v>
      </c>
      <c r="E1349"/>
      <c r="F1349"/>
      <c r="G1349"/>
      <c r="H1349"/>
      <c r="I1349" s="10"/>
      <c r="J1349" s="10"/>
      <c r="K1349" s="7">
        <v>44005545</v>
      </c>
      <c r="L1349" s="5" t="str">
        <f t="shared" si="147"/>
        <v>AR FORENZA KARYOLA İÇ KAYITLI 160CM</v>
      </c>
      <c r="M1349" s="8">
        <v>0.15</v>
      </c>
      <c r="N1349" s="8">
        <v>0.1</v>
      </c>
      <c r="O1349" s="8">
        <v>20910</v>
      </c>
      <c r="P1349" s="8">
        <f t="shared" si="148"/>
        <v>18819</v>
      </c>
      <c r="Q1349" s="12">
        <f t="shared" si="149"/>
        <v>39519.9</v>
      </c>
      <c r="R1349" s="31">
        <f t="shared" si="150"/>
        <v>39500</v>
      </c>
      <c r="U1349" s="8">
        <v>2517</v>
      </c>
    </row>
    <row r="1350" spans="1:21" ht="21.95" customHeight="1" x14ac:dyDescent="0.2">
      <c r="A1350" s="5" t="s">
        <v>17</v>
      </c>
      <c r="B1350" t="s">
        <v>1582</v>
      </c>
      <c r="C1350" t="s">
        <v>647</v>
      </c>
      <c r="D1350" t="s">
        <v>75</v>
      </c>
      <c r="E1350"/>
      <c r="F1350"/>
      <c r="G1350"/>
      <c r="H1350"/>
      <c r="I1350" s="10"/>
      <c r="J1350" s="10"/>
      <c r="K1350" s="7">
        <v>44005546</v>
      </c>
      <c r="L1350" s="5" t="str">
        <f t="shared" si="147"/>
        <v>AR FORENZA KARYOLA BAZALI 160CM</v>
      </c>
      <c r="M1350" s="8">
        <v>0.15</v>
      </c>
      <c r="N1350" s="8">
        <v>0.1</v>
      </c>
      <c r="O1350" s="8">
        <v>25510</v>
      </c>
      <c r="P1350" s="8">
        <f t="shared" si="148"/>
        <v>22959</v>
      </c>
      <c r="Q1350" s="12">
        <f t="shared" si="149"/>
        <v>48213.9</v>
      </c>
      <c r="R1350" s="31">
        <f t="shared" si="150"/>
        <v>48200</v>
      </c>
      <c r="U1350" s="8">
        <v>2163</v>
      </c>
    </row>
    <row r="1351" spans="1:21" ht="21.95" customHeight="1" x14ac:dyDescent="0.2">
      <c r="A1351" s="5" t="s">
        <v>17</v>
      </c>
      <c r="B1351" t="s">
        <v>1582</v>
      </c>
      <c r="C1351" t="s">
        <v>647</v>
      </c>
      <c r="D1351" t="s">
        <v>76</v>
      </c>
      <c r="E1351"/>
      <c r="F1351"/>
      <c r="G1351"/>
      <c r="H1351"/>
      <c r="I1351" s="10"/>
      <c r="J1351" s="10"/>
      <c r="K1351" s="7">
        <v>44005547</v>
      </c>
      <c r="L1351" s="5" t="str">
        <f t="shared" si="147"/>
        <v>AR FORENZA KARYOLA BAZALI 180CM</v>
      </c>
      <c r="M1351" s="8">
        <v>0.15</v>
      </c>
      <c r="N1351" s="8">
        <v>0.1</v>
      </c>
      <c r="O1351" s="8">
        <v>28010</v>
      </c>
      <c r="P1351" s="8">
        <f t="shared" si="148"/>
        <v>25209</v>
      </c>
      <c r="Q1351" s="12">
        <f t="shared" si="149"/>
        <v>52938.9</v>
      </c>
      <c r="R1351" s="31">
        <f t="shared" si="150"/>
        <v>52900</v>
      </c>
      <c r="U1351" s="8">
        <v>18107</v>
      </c>
    </row>
    <row r="1352" spans="1:21" ht="21.95" customHeight="1" x14ac:dyDescent="0.2">
      <c r="A1352" s="5" t="s">
        <v>17</v>
      </c>
      <c r="B1352" t="s">
        <v>1582</v>
      </c>
      <c r="C1352" t="s">
        <v>647</v>
      </c>
      <c r="D1352" t="s">
        <v>594</v>
      </c>
      <c r="E1352"/>
      <c r="F1352"/>
      <c r="G1352"/>
      <c r="H1352"/>
      <c r="I1352" s="10"/>
      <c r="J1352" s="10"/>
      <c r="K1352" s="7">
        <v>44005548</v>
      </c>
      <c r="L1352" s="5" t="str">
        <f t="shared" si="147"/>
        <v>AR FORENZA KARYOLA İÇ KAYITLI 180CM</v>
      </c>
      <c r="M1352" s="8">
        <v>0.15</v>
      </c>
      <c r="N1352" s="8">
        <v>0.1</v>
      </c>
      <c r="O1352" s="8">
        <v>23410</v>
      </c>
      <c r="P1352" s="8">
        <f t="shared" si="148"/>
        <v>21069</v>
      </c>
      <c r="Q1352" s="12">
        <f t="shared" si="149"/>
        <v>44244.9</v>
      </c>
      <c r="R1352" s="31">
        <f t="shared" si="150"/>
        <v>44200</v>
      </c>
      <c r="U1352" s="8">
        <v>17201</v>
      </c>
    </row>
    <row r="1353" spans="1:21" ht="21.95" customHeight="1" x14ac:dyDescent="0.2">
      <c r="A1353" s="5" t="s">
        <v>17</v>
      </c>
      <c r="B1353" t="s">
        <v>1582</v>
      </c>
      <c r="C1353" t="s">
        <v>647</v>
      </c>
      <c r="D1353" t="s">
        <v>362</v>
      </c>
      <c r="E1353"/>
      <c r="F1353"/>
      <c r="G1353"/>
      <c r="H1353"/>
      <c r="I1353" s="10"/>
      <c r="J1353" s="10"/>
      <c r="K1353" s="7">
        <v>44005549</v>
      </c>
      <c r="L1353" s="5" t="str">
        <f t="shared" si="147"/>
        <v>AR FORENZA KOMODİN</v>
      </c>
      <c r="M1353" s="8">
        <v>0.15</v>
      </c>
      <c r="N1353" s="8">
        <v>0.1</v>
      </c>
      <c r="O1353" s="8">
        <v>4545</v>
      </c>
      <c r="P1353" s="8">
        <f t="shared" si="148"/>
        <v>4090.5</v>
      </c>
      <c r="Q1353" s="12">
        <f t="shared" si="149"/>
        <v>8590.0500000000011</v>
      </c>
      <c r="R1353" s="31">
        <f t="shared" si="150"/>
        <v>8500</v>
      </c>
      <c r="U1353" s="8">
        <v>5869</v>
      </c>
    </row>
    <row r="1354" spans="1:21" ht="21.95" customHeight="1" x14ac:dyDescent="0.2">
      <c r="A1354" s="5" t="s">
        <v>17</v>
      </c>
      <c r="B1354" t="s">
        <v>1582</v>
      </c>
      <c r="C1354" t="s">
        <v>647</v>
      </c>
      <c r="D1354" t="s">
        <v>361</v>
      </c>
      <c r="E1354"/>
      <c r="F1354"/>
      <c r="G1354"/>
      <c r="H1354"/>
      <c r="I1354" s="10"/>
      <c r="J1354" s="10"/>
      <c r="K1354" s="7">
        <v>44005550</v>
      </c>
      <c r="L1354" s="5" t="str">
        <f t="shared" si="147"/>
        <v>AR FORENZA DOLAP</v>
      </c>
      <c r="M1354" s="8">
        <v>0.15</v>
      </c>
      <c r="N1354" s="8">
        <v>0.1</v>
      </c>
      <c r="O1354" s="8">
        <v>35730</v>
      </c>
      <c r="P1354" s="8">
        <f t="shared" si="148"/>
        <v>32157</v>
      </c>
      <c r="Q1354" s="12">
        <f t="shared" si="149"/>
        <v>67529.7</v>
      </c>
      <c r="R1354" s="31">
        <f t="shared" si="150"/>
        <v>67500</v>
      </c>
      <c r="U1354" s="8">
        <v>4891</v>
      </c>
    </row>
    <row r="1355" spans="1:21" ht="21.95" customHeight="1" x14ac:dyDescent="0.2">
      <c r="A1355" s="5" t="s">
        <v>17</v>
      </c>
      <c r="B1355" t="s">
        <v>1582</v>
      </c>
      <c r="C1355" t="s">
        <v>647</v>
      </c>
      <c r="D1355" t="s">
        <v>595</v>
      </c>
      <c r="E1355"/>
      <c r="F1355"/>
      <c r="G1355"/>
      <c r="H1355"/>
      <c r="I1355" s="10"/>
      <c r="J1355" s="10"/>
      <c r="K1355" s="7">
        <v>44005551</v>
      </c>
      <c r="L1355" s="5" t="str">
        <f t="shared" si="147"/>
        <v>AR FORENZA ŞİFONYER &amp; AYNASI</v>
      </c>
      <c r="M1355" s="8">
        <v>0.15</v>
      </c>
      <c r="N1355" s="8">
        <v>0.1</v>
      </c>
      <c r="O1355" s="8">
        <v>16035</v>
      </c>
      <c r="P1355" s="8">
        <f t="shared" si="148"/>
        <v>14431.5</v>
      </c>
      <c r="Q1355" s="12">
        <f t="shared" si="149"/>
        <v>30306.15</v>
      </c>
      <c r="R1355" s="31">
        <f t="shared" si="150"/>
        <v>30300</v>
      </c>
      <c r="U1355" s="8">
        <v>5324</v>
      </c>
    </row>
    <row r="1356" spans="1:21" ht="21.95" customHeight="1" x14ac:dyDescent="0.2">
      <c r="A1356" s="5" t="s">
        <v>17</v>
      </c>
      <c r="B1356" t="s">
        <v>1582</v>
      </c>
      <c r="C1356" t="s">
        <v>647</v>
      </c>
      <c r="D1356" t="s">
        <v>126</v>
      </c>
      <c r="E1356"/>
      <c r="F1356"/>
      <c r="G1356"/>
      <c r="H1356"/>
      <c r="I1356" s="10"/>
      <c r="J1356" s="10"/>
      <c r="K1356" s="7">
        <v>44005552</v>
      </c>
      <c r="L1356" s="5" t="str">
        <f t="shared" si="147"/>
        <v>AR FORENZA ÇAMAŞIRLIK</v>
      </c>
      <c r="M1356" s="8">
        <v>0.15</v>
      </c>
      <c r="N1356" s="8">
        <v>0.1</v>
      </c>
      <c r="O1356" s="8">
        <v>9060</v>
      </c>
      <c r="P1356" s="8">
        <f t="shared" si="148"/>
        <v>8154</v>
      </c>
      <c r="Q1356" s="12">
        <f t="shared" si="149"/>
        <v>17123.400000000001</v>
      </c>
      <c r="R1356" s="31">
        <f t="shared" si="150"/>
        <v>17100</v>
      </c>
      <c r="U1356" s="8">
        <v>49246</v>
      </c>
    </row>
    <row r="1357" spans="1:21" ht="21.95" customHeight="1" x14ac:dyDescent="0.2">
      <c r="A1357" s="5" t="s">
        <v>17</v>
      </c>
      <c r="B1357" t="s">
        <v>1582</v>
      </c>
      <c r="C1357" t="s">
        <v>647</v>
      </c>
      <c r="D1357" t="s">
        <v>82</v>
      </c>
      <c r="E1357"/>
      <c r="F1357"/>
      <c r="G1357"/>
      <c r="H1357"/>
      <c r="I1357" s="10"/>
      <c r="J1357" s="10"/>
      <c r="K1357" s="7">
        <v>44005553</v>
      </c>
      <c r="L1357" s="5" t="str">
        <f t="shared" si="147"/>
        <v>AR FORENZA BOY AYNASI</v>
      </c>
      <c r="M1357" s="8">
        <v>0.15</v>
      </c>
      <c r="N1357" s="8">
        <v>0.1</v>
      </c>
      <c r="O1357" s="8">
        <v>4305</v>
      </c>
      <c r="P1357" s="8">
        <f t="shared" si="148"/>
        <v>3874.5</v>
      </c>
      <c r="Q1357" s="12">
        <f t="shared" si="149"/>
        <v>8136.4500000000007</v>
      </c>
      <c r="R1357" s="31">
        <f t="shared" si="150"/>
        <v>8100</v>
      </c>
      <c r="U1357" s="8">
        <v>40132</v>
      </c>
    </row>
    <row r="1358" spans="1:21" ht="21.95" customHeight="1" x14ac:dyDescent="0.2">
      <c r="A1358" s="5" t="s">
        <v>17</v>
      </c>
      <c r="B1358" t="s">
        <v>1582</v>
      </c>
      <c r="C1358" t="s">
        <v>647</v>
      </c>
      <c r="D1358" t="s">
        <v>119</v>
      </c>
      <c r="E1358"/>
      <c r="F1358"/>
      <c r="G1358"/>
      <c r="H1358"/>
      <c r="I1358" s="10"/>
      <c r="J1358" s="10"/>
      <c r="K1358" s="7">
        <v>44005554</v>
      </c>
      <c r="L1358" s="5" t="str">
        <f t="shared" si="147"/>
        <v>AR FORENZA PUF</v>
      </c>
      <c r="M1358" s="8">
        <v>0.15</v>
      </c>
      <c r="N1358" s="8">
        <v>0.1</v>
      </c>
      <c r="O1358" s="8">
        <v>2990</v>
      </c>
      <c r="P1358" s="8">
        <f t="shared" si="148"/>
        <v>2691</v>
      </c>
      <c r="Q1358" s="12">
        <f t="shared" si="149"/>
        <v>5651.1</v>
      </c>
      <c r="R1358" s="31">
        <f t="shared" si="150"/>
        <v>5600</v>
      </c>
      <c r="U1358" s="8">
        <v>35500</v>
      </c>
    </row>
    <row r="1359" spans="1:21" ht="21.95" customHeight="1" x14ac:dyDescent="0.2">
      <c r="A1359" s="5" t="s">
        <v>17</v>
      </c>
      <c r="B1359" t="s">
        <v>1582</v>
      </c>
      <c r="C1359" t="s">
        <v>656</v>
      </c>
      <c r="D1359" t="s">
        <v>49</v>
      </c>
      <c r="E1359"/>
      <c r="F1359"/>
      <c r="G1359"/>
      <c r="H1359"/>
      <c r="I1359" s="10"/>
      <c r="J1359" s="10"/>
      <c r="K1359" s="7">
        <v>44005555</v>
      </c>
      <c r="L1359" s="5" t="str">
        <f t="shared" si="147"/>
        <v>AR MONTELLA KONSOL</v>
      </c>
      <c r="M1359" s="8">
        <v>0.15</v>
      </c>
      <c r="N1359" s="8">
        <v>0.1</v>
      </c>
      <c r="O1359" s="8">
        <v>26500</v>
      </c>
      <c r="P1359" s="8">
        <f t="shared" si="148"/>
        <v>23850</v>
      </c>
      <c r="Q1359" s="12">
        <f t="shared" si="149"/>
        <v>50085</v>
      </c>
      <c r="R1359" s="31">
        <f t="shared" si="150"/>
        <v>50000</v>
      </c>
      <c r="U1359" s="8">
        <v>32431</v>
      </c>
    </row>
    <row r="1360" spans="1:21" ht="21.95" customHeight="1" x14ac:dyDescent="0.2">
      <c r="A1360" s="5" t="s">
        <v>17</v>
      </c>
      <c r="B1360" t="s">
        <v>1582</v>
      </c>
      <c r="C1360" t="s">
        <v>656</v>
      </c>
      <c r="D1360" t="s">
        <v>648</v>
      </c>
      <c r="E1360"/>
      <c r="F1360"/>
      <c r="G1360"/>
      <c r="H1360"/>
      <c r="I1360" s="10"/>
      <c r="J1360" s="10"/>
      <c r="K1360" s="7">
        <v>44005556</v>
      </c>
      <c r="L1360" s="5" t="str">
        <f t="shared" si="147"/>
        <v>AR MONTELLA KONSOL AYNASI 2 ADET</v>
      </c>
      <c r="M1360" s="8">
        <v>0.15</v>
      </c>
      <c r="N1360" s="8">
        <v>0.1</v>
      </c>
      <c r="O1360" s="8">
        <v>5023</v>
      </c>
      <c r="P1360" s="8">
        <f t="shared" si="148"/>
        <v>4520.7</v>
      </c>
      <c r="Q1360" s="12">
        <f t="shared" si="149"/>
        <v>9493.4699999999993</v>
      </c>
      <c r="R1360" s="31">
        <f t="shared" si="150"/>
        <v>9400</v>
      </c>
      <c r="U1360" s="8">
        <v>12372</v>
      </c>
    </row>
    <row r="1361" spans="1:23" ht="21.95" customHeight="1" x14ac:dyDescent="0.2">
      <c r="A1361" s="5" t="s">
        <v>17</v>
      </c>
      <c r="B1361" t="s">
        <v>1582</v>
      </c>
      <c r="C1361" t="s">
        <v>656</v>
      </c>
      <c r="D1361" t="s">
        <v>599</v>
      </c>
      <c r="E1361"/>
      <c r="F1361"/>
      <c r="G1361"/>
      <c r="H1361"/>
      <c r="I1361" s="10"/>
      <c r="J1361" s="10"/>
      <c r="K1361" s="7">
        <v>44005557</v>
      </c>
      <c r="L1361" s="5" t="str">
        <f t="shared" si="147"/>
        <v>AR MONTELLA MASA 210CM</v>
      </c>
      <c r="M1361" s="8">
        <v>0.15</v>
      </c>
      <c r="N1361" s="8">
        <v>0.1</v>
      </c>
      <c r="O1361" s="8">
        <v>14160</v>
      </c>
      <c r="P1361" s="8">
        <f t="shared" si="148"/>
        <v>12744</v>
      </c>
      <c r="Q1361" s="12">
        <f t="shared" si="149"/>
        <v>26762.400000000001</v>
      </c>
      <c r="R1361" s="31">
        <f t="shared" si="150"/>
        <v>26700</v>
      </c>
      <c r="U1361" s="8">
        <v>9113</v>
      </c>
    </row>
    <row r="1362" spans="1:23" ht="21.95" customHeight="1" x14ac:dyDescent="0.2">
      <c r="A1362" s="5" t="s">
        <v>17</v>
      </c>
      <c r="B1362" t="s">
        <v>1582</v>
      </c>
      <c r="C1362" t="s">
        <v>656</v>
      </c>
      <c r="D1362" t="s">
        <v>587</v>
      </c>
      <c r="E1362"/>
      <c r="F1362"/>
      <c r="G1362"/>
      <c r="H1362"/>
      <c r="I1362" s="10"/>
      <c r="J1362" s="10"/>
      <c r="K1362" s="7">
        <v>44005558</v>
      </c>
      <c r="L1362" s="5" t="str">
        <f t="shared" si="147"/>
        <v>AR MONTELLA MASA 180CM</v>
      </c>
      <c r="M1362" s="8">
        <v>0.15</v>
      </c>
      <c r="N1362" s="8">
        <v>0.1</v>
      </c>
      <c r="O1362" s="8">
        <v>18408</v>
      </c>
      <c r="P1362" s="8">
        <f t="shared" si="148"/>
        <v>16567.2</v>
      </c>
      <c r="Q1362" s="12">
        <f t="shared" si="149"/>
        <v>34791.120000000003</v>
      </c>
      <c r="R1362" s="31">
        <f t="shared" si="150"/>
        <v>34700</v>
      </c>
      <c r="U1362" s="8">
        <v>23097</v>
      </c>
    </row>
    <row r="1363" spans="1:23" ht="21.95" customHeight="1" x14ac:dyDescent="0.2">
      <c r="A1363" s="5" t="s">
        <v>17</v>
      </c>
      <c r="B1363" t="s">
        <v>1582</v>
      </c>
      <c r="C1363" t="s">
        <v>656</v>
      </c>
      <c r="D1363" t="s">
        <v>24</v>
      </c>
      <c r="E1363"/>
      <c r="F1363"/>
      <c r="G1363"/>
      <c r="H1363"/>
      <c r="I1363" s="10"/>
      <c r="J1363" s="10"/>
      <c r="K1363" s="7">
        <v>44005559</v>
      </c>
      <c r="L1363" s="5" t="str">
        <f t="shared" ref="L1363:L1426" si="151">B1363&amp;" "&amp;C1363&amp;" "&amp;D1363</f>
        <v>AR MONTELLA MASA 240CM</v>
      </c>
      <c r="M1363" s="8">
        <v>0.15</v>
      </c>
      <c r="N1363" s="8">
        <v>0.1</v>
      </c>
      <c r="O1363" s="8">
        <v>21038</v>
      </c>
      <c r="P1363" s="8">
        <f t="shared" si="148"/>
        <v>18934.2</v>
      </c>
      <c r="Q1363" s="12">
        <f t="shared" si="149"/>
        <v>39761.82</v>
      </c>
      <c r="R1363" s="31">
        <f t="shared" si="150"/>
        <v>39700</v>
      </c>
      <c r="U1363" s="8">
        <v>14738</v>
      </c>
    </row>
    <row r="1364" spans="1:23" s="21" customFormat="1" ht="21.95" customHeight="1" x14ac:dyDescent="0.2">
      <c r="A1364" s="5" t="s">
        <v>17</v>
      </c>
      <c r="B1364" t="s">
        <v>1582</v>
      </c>
      <c r="C1364" t="s">
        <v>656</v>
      </c>
      <c r="D1364" t="s">
        <v>358</v>
      </c>
      <c r="E1364"/>
      <c r="F1364"/>
      <c r="G1364"/>
      <c r="H1364"/>
      <c r="I1364" s="10"/>
      <c r="J1364" s="10"/>
      <c r="K1364" s="7">
        <v>44005560</v>
      </c>
      <c r="L1364" s="5" t="str">
        <f t="shared" si="151"/>
        <v xml:space="preserve">AR MONTELLA SANDALYE </v>
      </c>
      <c r="M1364" s="8">
        <v>0.15</v>
      </c>
      <c r="N1364" s="8">
        <v>0.1</v>
      </c>
      <c r="O1364" s="8">
        <v>3640</v>
      </c>
      <c r="P1364" s="8">
        <f t="shared" si="148"/>
        <v>3276</v>
      </c>
      <c r="Q1364" s="12">
        <f t="shared" si="149"/>
        <v>6879.6</v>
      </c>
      <c r="R1364" s="31">
        <f t="shared" si="150"/>
        <v>6800</v>
      </c>
      <c r="S1364" s="5"/>
      <c r="T1364" s="23"/>
      <c r="U1364" s="23"/>
      <c r="V1364" s="23"/>
      <c r="W1364" s="23"/>
    </row>
    <row r="1365" spans="1:23" s="21" customFormat="1" ht="21.95" customHeight="1" x14ac:dyDescent="0.2">
      <c r="A1365" s="5" t="s">
        <v>17</v>
      </c>
      <c r="B1365" t="s">
        <v>1582</v>
      </c>
      <c r="C1365" t="s">
        <v>656</v>
      </c>
      <c r="D1365" t="s">
        <v>31</v>
      </c>
      <c r="E1365"/>
      <c r="F1365"/>
      <c r="G1365"/>
      <c r="H1365"/>
      <c r="I1365" s="10"/>
      <c r="J1365" s="10"/>
      <c r="K1365" s="7">
        <v>44005561</v>
      </c>
      <c r="L1365" s="5" t="str">
        <f t="shared" si="151"/>
        <v>AR MONTELLA KOLTUK 4 LÜ</v>
      </c>
      <c r="M1365" s="8">
        <v>0.15</v>
      </c>
      <c r="N1365" s="8">
        <v>0.1</v>
      </c>
      <c r="O1365" s="8">
        <v>33875</v>
      </c>
      <c r="P1365" s="8">
        <f t="shared" si="148"/>
        <v>30487.5</v>
      </c>
      <c r="Q1365" s="12">
        <f t="shared" si="149"/>
        <v>64023.75</v>
      </c>
      <c r="R1365" s="31">
        <f t="shared" si="150"/>
        <v>64000</v>
      </c>
      <c r="S1365" s="5"/>
      <c r="T1365" s="23"/>
      <c r="U1365" s="23"/>
      <c r="V1365" s="23"/>
      <c r="W1365" s="23"/>
    </row>
    <row r="1366" spans="1:23" ht="21.95" customHeight="1" x14ac:dyDescent="0.2">
      <c r="A1366" s="5" t="s">
        <v>17</v>
      </c>
      <c r="B1366" t="s">
        <v>1582</v>
      </c>
      <c r="C1366" t="s">
        <v>656</v>
      </c>
      <c r="D1366" t="s">
        <v>32</v>
      </c>
      <c r="E1366"/>
      <c r="F1366"/>
      <c r="G1366"/>
      <c r="H1366"/>
      <c r="I1366" s="10"/>
      <c r="J1366" s="10"/>
      <c r="K1366" s="7">
        <v>44005562</v>
      </c>
      <c r="L1366" s="5" t="str">
        <f t="shared" si="151"/>
        <v>AR MONTELLA KOLTUK 3 LÜ</v>
      </c>
      <c r="M1366" s="8">
        <v>0.15</v>
      </c>
      <c r="N1366" s="8">
        <v>0.1</v>
      </c>
      <c r="O1366" s="8">
        <v>30630</v>
      </c>
      <c r="P1366" s="8">
        <f t="shared" si="148"/>
        <v>27567</v>
      </c>
      <c r="Q1366" s="12">
        <f t="shared" si="149"/>
        <v>57890.700000000004</v>
      </c>
      <c r="R1366" s="31">
        <f t="shared" si="150"/>
        <v>57800</v>
      </c>
      <c r="U1366" s="8">
        <v>18560</v>
      </c>
    </row>
    <row r="1367" spans="1:23" s="21" customFormat="1" ht="21.95" customHeight="1" x14ac:dyDescent="0.2">
      <c r="A1367" s="5" t="s">
        <v>17</v>
      </c>
      <c r="B1367" t="s">
        <v>1582</v>
      </c>
      <c r="C1367" t="s">
        <v>656</v>
      </c>
      <c r="D1367" t="s">
        <v>592</v>
      </c>
      <c r="E1367"/>
      <c r="F1367"/>
      <c r="G1367"/>
      <c r="H1367"/>
      <c r="I1367" s="10"/>
      <c r="J1367" s="10"/>
      <c r="K1367" s="7">
        <v>44005563</v>
      </c>
      <c r="L1367" s="5" t="str">
        <f t="shared" si="151"/>
        <v>AR MONTELLA KOLTUK TEKLİ</v>
      </c>
      <c r="M1367" s="8">
        <v>0.15</v>
      </c>
      <c r="N1367" s="8">
        <v>0.1</v>
      </c>
      <c r="O1367" s="8">
        <v>12010</v>
      </c>
      <c r="P1367" s="8">
        <f t="shared" si="148"/>
        <v>10809</v>
      </c>
      <c r="Q1367" s="12">
        <f t="shared" si="149"/>
        <v>22698.9</v>
      </c>
      <c r="R1367" s="31">
        <f t="shared" si="150"/>
        <v>22600</v>
      </c>
      <c r="S1367" s="5"/>
      <c r="T1367" s="23"/>
      <c r="U1367" s="23"/>
      <c r="V1367" s="23"/>
      <c r="W1367" s="23"/>
    </row>
    <row r="1368" spans="1:23" s="21" customFormat="1" ht="21.95" customHeight="1" x14ac:dyDescent="0.2">
      <c r="A1368" s="5" t="s">
        <v>17</v>
      </c>
      <c r="B1368" t="s">
        <v>1582</v>
      </c>
      <c r="C1368" t="s">
        <v>656</v>
      </c>
      <c r="D1368" t="s">
        <v>119</v>
      </c>
      <c r="E1368"/>
      <c r="F1368"/>
      <c r="G1368"/>
      <c r="H1368"/>
      <c r="I1368" s="10"/>
      <c r="J1368" s="10"/>
      <c r="K1368" s="7">
        <v>44005564</v>
      </c>
      <c r="L1368" s="5" t="str">
        <f t="shared" si="151"/>
        <v>AR MONTELLA PUF</v>
      </c>
      <c r="M1368" s="8">
        <v>0.15</v>
      </c>
      <c r="N1368" s="8">
        <v>0.1</v>
      </c>
      <c r="O1368" s="8">
        <v>4340</v>
      </c>
      <c r="P1368" s="8">
        <f t="shared" si="148"/>
        <v>3906</v>
      </c>
      <c r="Q1368" s="12">
        <f t="shared" si="149"/>
        <v>8202.6</v>
      </c>
      <c r="R1368" s="31">
        <f t="shared" si="150"/>
        <v>8200</v>
      </c>
      <c r="S1368" s="5"/>
      <c r="T1368" s="23"/>
      <c r="U1368" s="23"/>
      <c r="V1368" s="23"/>
      <c r="W1368" s="23"/>
    </row>
    <row r="1369" spans="1:23" s="21" customFormat="1" ht="21.95" customHeight="1" x14ac:dyDescent="0.2">
      <c r="A1369" s="5" t="s">
        <v>17</v>
      </c>
      <c r="B1369" t="s">
        <v>1582</v>
      </c>
      <c r="C1369" t="s">
        <v>657</v>
      </c>
      <c r="D1369" t="s">
        <v>49</v>
      </c>
      <c r="E1369"/>
      <c r="F1369"/>
      <c r="G1369"/>
      <c r="H1369"/>
      <c r="I1369" s="10"/>
      <c r="J1369" s="10"/>
      <c r="K1369" s="7">
        <v>44005565</v>
      </c>
      <c r="L1369" s="5" t="str">
        <f t="shared" si="151"/>
        <v>AR ETRO KONSOL</v>
      </c>
      <c r="M1369" s="8">
        <v>0.15</v>
      </c>
      <c r="N1369" s="8">
        <v>0.1</v>
      </c>
      <c r="O1369" s="8">
        <v>25605</v>
      </c>
      <c r="P1369" s="8">
        <f t="shared" si="148"/>
        <v>23044.5</v>
      </c>
      <c r="Q1369" s="12">
        <f t="shared" si="149"/>
        <v>48393.450000000004</v>
      </c>
      <c r="R1369" s="31">
        <f t="shared" si="150"/>
        <v>48300</v>
      </c>
      <c r="S1369" s="5"/>
      <c r="T1369" s="23"/>
      <c r="U1369" s="23"/>
      <c r="V1369" s="23"/>
      <c r="W1369" s="23"/>
    </row>
    <row r="1370" spans="1:23" ht="21.95" customHeight="1" x14ac:dyDescent="0.2">
      <c r="A1370" s="5" t="s">
        <v>17</v>
      </c>
      <c r="B1370" t="s">
        <v>1582</v>
      </c>
      <c r="C1370" t="s">
        <v>657</v>
      </c>
      <c r="D1370" t="s">
        <v>21</v>
      </c>
      <c r="E1370"/>
      <c r="F1370"/>
      <c r="G1370"/>
      <c r="H1370"/>
      <c r="I1370" s="10"/>
      <c r="J1370" s="10"/>
      <c r="K1370" s="7">
        <v>44005566</v>
      </c>
      <c r="L1370" s="5" t="str">
        <f t="shared" si="151"/>
        <v>AR ETRO KONSOL AYNASI</v>
      </c>
      <c r="M1370" s="8">
        <v>0.15</v>
      </c>
      <c r="N1370" s="8">
        <v>0.1</v>
      </c>
      <c r="O1370" s="8">
        <v>4284</v>
      </c>
      <c r="P1370" s="8">
        <f t="shared" si="148"/>
        <v>3855.6</v>
      </c>
      <c r="Q1370" s="12">
        <f t="shared" si="149"/>
        <v>8096.76</v>
      </c>
      <c r="R1370" s="31">
        <f t="shared" si="150"/>
        <v>8000</v>
      </c>
      <c r="U1370" s="8">
        <v>18263</v>
      </c>
    </row>
    <row r="1371" spans="1:23" s="21" customFormat="1" ht="21.95" customHeight="1" x14ac:dyDescent="0.2">
      <c r="A1371" s="5" t="s">
        <v>17</v>
      </c>
      <c r="B1371" t="s">
        <v>1582</v>
      </c>
      <c r="C1371" t="s">
        <v>657</v>
      </c>
      <c r="D1371" t="s">
        <v>599</v>
      </c>
      <c r="E1371"/>
      <c r="F1371"/>
      <c r="G1371"/>
      <c r="H1371"/>
      <c r="I1371" s="10"/>
      <c r="J1371" s="10"/>
      <c r="K1371" s="7">
        <v>44005567</v>
      </c>
      <c r="L1371" s="5" t="str">
        <f t="shared" si="151"/>
        <v>AR ETRO MASA 210CM</v>
      </c>
      <c r="M1371" s="8">
        <v>0.15</v>
      </c>
      <c r="N1371" s="8">
        <v>0.1</v>
      </c>
      <c r="O1371" s="8">
        <v>15430</v>
      </c>
      <c r="P1371" s="8">
        <f t="shared" si="148"/>
        <v>13887</v>
      </c>
      <c r="Q1371" s="12">
        <f t="shared" si="149"/>
        <v>29162.7</v>
      </c>
      <c r="R1371" s="31">
        <f t="shared" si="150"/>
        <v>29100</v>
      </c>
      <c r="S1371" s="5"/>
      <c r="T1371" s="23"/>
      <c r="U1371" s="23"/>
      <c r="V1371" s="23"/>
      <c r="W1371" s="23"/>
    </row>
    <row r="1372" spans="1:23" s="21" customFormat="1" ht="21.95" customHeight="1" x14ac:dyDescent="0.2">
      <c r="A1372" s="5" t="s">
        <v>17</v>
      </c>
      <c r="B1372" t="s">
        <v>1582</v>
      </c>
      <c r="C1372" t="s">
        <v>657</v>
      </c>
      <c r="D1372" t="s">
        <v>587</v>
      </c>
      <c r="E1372"/>
      <c r="F1372"/>
      <c r="G1372"/>
      <c r="H1372"/>
      <c r="I1372" s="10"/>
      <c r="J1372" s="10"/>
      <c r="K1372" s="7">
        <v>44005568</v>
      </c>
      <c r="L1372" s="5" t="str">
        <f t="shared" si="151"/>
        <v>AR ETRO MASA 180CM</v>
      </c>
      <c r="M1372" s="8">
        <v>0.15</v>
      </c>
      <c r="N1372" s="8">
        <v>0.1</v>
      </c>
      <c r="O1372" s="8">
        <v>20059</v>
      </c>
      <c r="P1372" s="8">
        <f t="shared" si="148"/>
        <v>18053.100000000002</v>
      </c>
      <c r="Q1372" s="12">
        <f t="shared" si="149"/>
        <v>37911.510000000009</v>
      </c>
      <c r="R1372" s="31">
        <f t="shared" si="150"/>
        <v>37900</v>
      </c>
      <c r="S1372" s="5"/>
      <c r="T1372" s="23"/>
      <c r="U1372" s="23"/>
      <c r="V1372" s="23"/>
      <c r="W1372" s="23"/>
    </row>
    <row r="1373" spans="1:23" s="21" customFormat="1" ht="21.95" customHeight="1" x14ac:dyDescent="0.2">
      <c r="A1373" s="5" t="s">
        <v>17</v>
      </c>
      <c r="B1373" t="s">
        <v>1582</v>
      </c>
      <c r="C1373" t="s">
        <v>657</v>
      </c>
      <c r="D1373" t="s">
        <v>24</v>
      </c>
      <c r="E1373"/>
      <c r="F1373"/>
      <c r="G1373"/>
      <c r="H1373"/>
      <c r="I1373" s="10"/>
      <c r="J1373" s="10"/>
      <c r="K1373" s="7">
        <v>44005569</v>
      </c>
      <c r="L1373" s="5" t="str">
        <f t="shared" si="151"/>
        <v>AR ETRO MASA 240CM</v>
      </c>
      <c r="M1373" s="8">
        <v>0.15</v>
      </c>
      <c r="N1373" s="8">
        <v>0.1</v>
      </c>
      <c r="O1373" s="8">
        <v>22925</v>
      </c>
      <c r="P1373" s="8">
        <f t="shared" si="148"/>
        <v>20632.5</v>
      </c>
      <c r="Q1373" s="12">
        <f t="shared" si="149"/>
        <v>43328.25</v>
      </c>
      <c r="R1373" s="31">
        <f t="shared" si="150"/>
        <v>43300</v>
      </c>
      <c r="S1373" s="5"/>
      <c r="T1373" s="23"/>
      <c r="U1373" s="23"/>
      <c r="V1373" s="23"/>
      <c r="W1373" s="23"/>
    </row>
    <row r="1374" spans="1:23" s="21" customFormat="1" ht="21.95" customHeight="1" x14ac:dyDescent="0.2">
      <c r="A1374" s="5" t="s">
        <v>17</v>
      </c>
      <c r="B1374" t="s">
        <v>1582</v>
      </c>
      <c r="C1374" t="s">
        <v>657</v>
      </c>
      <c r="D1374" t="s">
        <v>358</v>
      </c>
      <c r="E1374"/>
      <c r="F1374"/>
      <c r="G1374"/>
      <c r="H1374"/>
      <c r="I1374" s="10"/>
      <c r="J1374" s="10"/>
      <c r="K1374" s="7">
        <v>44005570</v>
      </c>
      <c r="L1374" s="5" t="str">
        <f t="shared" si="151"/>
        <v xml:space="preserve">AR ETRO SANDALYE </v>
      </c>
      <c r="M1374" s="8">
        <v>0.15</v>
      </c>
      <c r="N1374" s="8">
        <v>0.1</v>
      </c>
      <c r="O1374" s="8">
        <v>5456</v>
      </c>
      <c r="P1374" s="8">
        <f t="shared" si="148"/>
        <v>4910.4000000000005</v>
      </c>
      <c r="Q1374" s="12">
        <f t="shared" si="149"/>
        <v>10311.840000000002</v>
      </c>
      <c r="R1374" s="31">
        <f t="shared" si="150"/>
        <v>10300</v>
      </c>
      <c r="S1374" s="5"/>
      <c r="T1374" s="23"/>
      <c r="U1374" s="23"/>
      <c r="V1374" s="23"/>
      <c r="W1374" s="23"/>
    </row>
    <row r="1375" spans="1:23" s="21" customFormat="1" ht="24.75" customHeight="1" x14ac:dyDescent="0.2">
      <c r="A1375" s="5" t="s">
        <v>17</v>
      </c>
      <c r="B1375" t="s">
        <v>1582</v>
      </c>
      <c r="C1375" t="s">
        <v>657</v>
      </c>
      <c r="D1375" t="s">
        <v>588</v>
      </c>
      <c r="E1375"/>
      <c r="F1375"/>
      <c r="G1375"/>
      <c r="H1375"/>
      <c r="I1375" s="10"/>
      <c r="J1375" s="10"/>
      <c r="K1375" s="7">
        <v>44005571</v>
      </c>
      <c r="L1375" s="5" t="str">
        <f t="shared" si="151"/>
        <v xml:space="preserve">AR ETRO DRESUAR </v>
      </c>
      <c r="M1375" s="8">
        <v>0.15</v>
      </c>
      <c r="N1375" s="8">
        <v>0.1</v>
      </c>
      <c r="O1375" s="8">
        <v>15350</v>
      </c>
      <c r="P1375" s="8">
        <f t="shared" si="148"/>
        <v>13815</v>
      </c>
      <c r="Q1375" s="12">
        <f t="shared" si="149"/>
        <v>29011.5</v>
      </c>
      <c r="R1375" s="31">
        <f t="shared" si="150"/>
        <v>29000</v>
      </c>
      <c r="S1375" s="5"/>
      <c r="T1375" s="23"/>
      <c r="U1375" s="23"/>
      <c r="V1375" s="23"/>
      <c r="W1375" s="23"/>
    </row>
    <row r="1376" spans="1:23" s="21" customFormat="1" ht="21.95" customHeight="1" x14ac:dyDescent="0.2">
      <c r="A1376" s="5" t="s">
        <v>17</v>
      </c>
      <c r="B1376" t="s">
        <v>1582</v>
      </c>
      <c r="C1376" t="s">
        <v>657</v>
      </c>
      <c r="D1376" t="s">
        <v>103</v>
      </c>
      <c r="E1376"/>
      <c r="F1376"/>
      <c r="G1376"/>
      <c r="H1376"/>
      <c r="I1376" s="10"/>
      <c r="J1376" s="10"/>
      <c r="K1376" s="7">
        <v>44005572</v>
      </c>
      <c r="L1376" s="5" t="str">
        <f t="shared" si="151"/>
        <v>AR ETRO TV ÜNİTESİ ÜST MODÜL</v>
      </c>
      <c r="M1376" s="8">
        <v>0.15</v>
      </c>
      <c r="N1376" s="8">
        <v>0.1</v>
      </c>
      <c r="O1376" s="8">
        <v>9785</v>
      </c>
      <c r="P1376" s="8">
        <f t="shared" si="148"/>
        <v>8806.5</v>
      </c>
      <c r="Q1376" s="12">
        <f t="shared" si="149"/>
        <v>18493.650000000001</v>
      </c>
      <c r="R1376" s="31">
        <f t="shared" si="150"/>
        <v>18400</v>
      </c>
      <c r="S1376" s="5"/>
      <c r="T1376" s="23"/>
      <c r="U1376" s="23"/>
      <c r="V1376" s="23"/>
      <c r="W1376" s="23"/>
    </row>
    <row r="1377" spans="1:23" s="21" customFormat="1" ht="21.95" customHeight="1" x14ac:dyDescent="0.2">
      <c r="A1377" s="5" t="s">
        <v>17</v>
      </c>
      <c r="B1377" t="s">
        <v>1582</v>
      </c>
      <c r="C1377" t="s">
        <v>657</v>
      </c>
      <c r="D1377" t="s">
        <v>658</v>
      </c>
      <c r="E1377"/>
      <c r="F1377"/>
      <c r="G1377"/>
      <c r="H1377"/>
      <c r="I1377" s="10"/>
      <c r="J1377" s="10"/>
      <c r="K1377" s="7">
        <v>44005573</v>
      </c>
      <c r="L1377" s="5" t="str">
        <f t="shared" si="151"/>
        <v>AR ETRO TV ÜNİTESİ SOL MODÜL</v>
      </c>
      <c r="M1377" s="8">
        <v>0.15</v>
      </c>
      <c r="N1377" s="8">
        <v>0.1</v>
      </c>
      <c r="O1377" s="8">
        <v>12850</v>
      </c>
      <c r="P1377" s="8">
        <f t="shared" si="148"/>
        <v>11565</v>
      </c>
      <c r="Q1377" s="12">
        <f t="shared" si="149"/>
        <v>24286.5</v>
      </c>
      <c r="R1377" s="31">
        <f t="shared" si="150"/>
        <v>24200</v>
      </c>
      <c r="S1377" s="5"/>
      <c r="T1377" s="23"/>
      <c r="U1377" s="23"/>
      <c r="V1377" s="23"/>
      <c r="W1377" s="23"/>
    </row>
    <row r="1378" spans="1:23" s="21" customFormat="1" ht="21.95" customHeight="1" x14ac:dyDescent="0.2">
      <c r="A1378" s="5" t="s">
        <v>17</v>
      </c>
      <c r="B1378" t="s">
        <v>1582</v>
      </c>
      <c r="C1378" t="s">
        <v>657</v>
      </c>
      <c r="D1378" t="s">
        <v>659</v>
      </c>
      <c r="E1378"/>
      <c r="F1378"/>
      <c r="G1378"/>
      <c r="H1378"/>
      <c r="I1378" s="10"/>
      <c r="J1378" s="10"/>
      <c r="K1378" s="7">
        <v>44005574</v>
      </c>
      <c r="L1378" s="5" t="str">
        <f t="shared" si="151"/>
        <v>AR ETRO TV ÜNİTESİ SAĞ MODÜL</v>
      </c>
      <c r="M1378" s="8">
        <v>0.15</v>
      </c>
      <c r="N1378" s="8">
        <v>0.1</v>
      </c>
      <c r="O1378" s="8">
        <v>14280</v>
      </c>
      <c r="P1378" s="8">
        <f t="shared" si="148"/>
        <v>12852</v>
      </c>
      <c r="Q1378" s="12">
        <f t="shared" si="149"/>
        <v>26989.200000000001</v>
      </c>
      <c r="R1378" s="31">
        <f t="shared" si="150"/>
        <v>26900</v>
      </c>
      <c r="S1378" s="5"/>
      <c r="T1378" s="23"/>
      <c r="U1378" s="23"/>
      <c r="V1378" s="23"/>
      <c r="W1378" s="23"/>
    </row>
    <row r="1379" spans="1:23" s="21" customFormat="1" ht="21.95" customHeight="1" x14ac:dyDescent="0.2">
      <c r="A1379" s="5" t="s">
        <v>17</v>
      </c>
      <c r="B1379" t="s">
        <v>1582</v>
      </c>
      <c r="C1379" t="s">
        <v>657</v>
      </c>
      <c r="D1379" t="s">
        <v>660</v>
      </c>
      <c r="E1379"/>
      <c r="F1379"/>
      <c r="G1379"/>
      <c r="H1379"/>
      <c r="I1379" s="10"/>
      <c r="J1379" s="10"/>
      <c r="K1379" s="7">
        <v>44005575</v>
      </c>
      <c r="L1379" s="5" t="str">
        <f t="shared" si="151"/>
        <v xml:space="preserve">AR ETRO ORTA SEHPA </v>
      </c>
      <c r="M1379" s="8">
        <v>0.15</v>
      </c>
      <c r="N1379" s="8">
        <v>0.1</v>
      </c>
      <c r="O1379" s="8">
        <v>12330</v>
      </c>
      <c r="P1379" s="8">
        <f t="shared" si="148"/>
        <v>11097</v>
      </c>
      <c r="Q1379" s="12">
        <f t="shared" si="149"/>
        <v>23303.7</v>
      </c>
      <c r="R1379" s="31">
        <f t="shared" si="150"/>
        <v>23300</v>
      </c>
      <c r="S1379" s="5"/>
      <c r="T1379" s="23"/>
      <c r="U1379" s="23"/>
      <c r="V1379" s="23"/>
      <c r="W1379" s="23"/>
    </row>
    <row r="1380" spans="1:23" s="21" customFormat="1" ht="21.95" customHeight="1" x14ac:dyDescent="0.2">
      <c r="A1380" s="5" t="s">
        <v>17</v>
      </c>
      <c r="B1380" t="s">
        <v>1582</v>
      </c>
      <c r="C1380" t="s">
        <v>657</v>
      </c>
      <c r="D1380" t="s">
        <v>30</v>
      </c>
      <c r="E1380"/>
      <c r="F1380"/>
      <c r="G1380"/>
      <c r="H1380"/>
      <c r="I1380" s="10"/>
      <c r="J1380" s="10"/>
      <c r="K1380" s="7">
        <v>44005576</v>
      </c>
      <c r="L1380" s="5" t="str">
        <f t="shared" si="151"/>
        <v>AR ETRO YAN SEHPA</v>
      </c>
      <c r="M1380" s="8">
        <v>0.15</v>
      </c>
      <c r="N1380" s="8">
        <v>0.1</v>
      </c>
      <c r="O1380" s="8">
        <v>7020</v>
      </c>
      <c r="P1380" s="8">
        <f t="shared" si="148"/>
        <v>6318</v>
      </c>
      <c r="Q1380" s="12">
        <f t="shared" si="149"/>
        <v>13267.800000000001</v>
      </c>
      <c r="R1380" s="31">
        <f t="shared" si="150"/>
        <v>13200</v>
      </c>
      <c r="S1380" s="5"/>
      <c r="T1380" s="23"/>
      <c r="U1380" s="23"/>
      <c r="V1380" s="23"/>
      <c r="W1380" s="23"/>
    </row>
    <row r="1381" spans="1:23" s="21" customFormat="1" ht="21.95" customHeight="1" x14ac:dyDescent="0.2">
      <c r="A1381" s="5" t="s">
        <v>17</v>
      </c>
      <c r="B1381" t="s">
        <v>1582</v>
      </c>
      <c r="C1381" t="s">
        <v>657</v>
      </c>
      <c r="D1381" t="s">
        <v>591</v>
      </c>
      <c r="E1381"/>
      <c r="F1381"/>
      <c r="G1381"/>
      <c r="H1381"/>
      <c r="I1381" s="10"/>
      <c r="J1381" s="10"/>
      <c r="K1381" s="7">
        <v>44005577</v>
      </c>
      <c r="L1381" s="5" t="str">
        <f t="shared" si="151"/>
        <v>AR ETRO SERVİS SEHPASI</v>
      </c>
      <c r="M1381" s="8">
        <v>0.15</v>
      </c>
      <c r="N1381" s="8">
        <v>0.1</v>
      </c>
      <c r="O1381" s="8">
        <v>9075</v>
      </c>
      <c r="P1381" s="8">
        <f t="shared" si="148"/>
        <v>8167.5</v>
      </c>
      <c r="Q1381" s="12">
        <f t="shared" si="149"/>
        <v>17151.75</v>
      </c>
      <c r="R1381" s="31">
        <f t="shared" si="150"/>
        <v>17100</v>
      </c>
      <c r="S1381" s="5"/>
      <c r="T1381" s="23"/>
      <c r="U1381" s="23"/>
      <c r="V1381" s="23"/>
      <c r="W1381" s="23"/>
    </row>
    <row r="1382" spans="1:23" s="21" customFormat="1" ht="21.95" customHeight="1" x14ac:dyDescent="0.2">
      <c r="A1382" s="5" t="s">
        <v>17</v>
      </c>
      <c r="B1382" t="s">
        <v>1582</v>
      </c>
      <c r="C1382" t="s">
        <v>657</v>
      </c>
      <c r="D1382" t="s">
        <v>31</v>
      </c>
      <c r="E1382"/>
      <c r="F1382"/>
      <c r="G1382"/>
      <c r="H1382"/>
      <c r="I1382" s="10"/>
      <c r="J1382" s="10"/>
      <c r="K1382" s="7">
        <v>44005578</v>
      </c>
      <c r="L1382" s="5" t="str">
        <f t="shared" si="151"/>
        <v>AR ETRO KOLTUK 4 LÜ</v>
      </c>
      <c r="M1382" s="8">
        <v>0.15</v>
      </c>
      <c r="N1382" s="8">
        <v>0.1</v>
      </c>
      <c r="O1382" s="8">
        <v>33830</v>
      </c>
      <c r="P1382" s="8">
        <f t="shared" si="148"/>
        <v>30447</v>
      </c>
      <c r="Q1382" s="12">
        <f t="shared" si="149"/>
        <v>63938.700000000004</v>
      </c>
      <c r="R1382" s="31">
        <f t="shared" si="150"/>
        <v>63900</v>
      </c>
      <c r="S1382" s="5"/>
      <c r="T1382" s="23"/>
      <c r="U1382" s="23"/>
      <c r="V1382" s="23"/>
      <c r="W1382" s="23"/>
    </row>
    <row r="1383" spans="1:23" s="21" customFormat="1" ht="21.95" customHeight="1" x14ac:dyDescent="0.2">
      <c r="A1383" s="5" t="s">
        <v>17</v>
      </c>
      <c r="B1383" t="s">
        <v>1582</v>
      </c>
      <c r="C1383" t="s">
        <v>657</v>
      </c>
      <c r="D1383" t="s">
        <v>32</v>
      </c>
      <c r="E1383"/>
      <c r="F1383"/>
      <c r="G1383"/>
      <c r="H1383"/>
      <c r="I1383" s="10"/>
      <c r="J1383" s="10"/>
      <c r="K1383" s="7">
        <v>44005579</v>
      </c>
      <c r="L1383" s="5" t="str">
        <f t="shared" si="151"/>
        <v>AR ETRO KOLTUK 3 LÜ</v>
      </c>
      <c r="M1383" s="8">
        <v>0.15</v>
      </c>
      <c r="N1383" s="8">
        <v>0.1</v>
      </c>
      <c r="O1383" s="8">
        <v>29640</v>
      </c>
      <c r="P1383" s="8">
        <f t="shared" si="148"/>
        <v>26676</v>
      </c>
      <c r="Q1383" s="12">
        <f t="shared" si="149"/>
        <v>56019.600000000006</v>
      </c>
      <c r="R1383" s="31">
        <f t="shared" si="150"/>
        <v>56000</v>
      </c>
      <c r="S1383" s="5"/>
      <c r="T1383" s="23"/>
      <c r="U1383" s="23"/>
      <c r="V1383" s="23"/>
      <c r="W1383" s="23"/>
    </row>
    <row r="1384" spans="1:23" s="21" customFormat="1" ht="21.95" customHeight="1" x14ac:dyDescent="0.2">
      <c r="A1384" s="5" t="s">
        <v>17</v>
      </c>
      <c r="B1384" t="s">
        <v>1582</v>
      </c>
      <c r="C1384" t="s">
        <v>657</v>
      </c>
      <c r="D1384" t="s">
        <v>814</v>
      </c>
      <c r="E1384"/>
      <c r="F1384"/>
      <c r="G1384"/>
      <c r="H1384"/>
      <c r="I1384" s="10"/>
      <c r="J1384" s="10"/>
      <c r="K1384" s="7">
        <v>44005580</v>
      </c>
      <c r="L1384" s="5" t="str">
        <f t="shared" si="151"/>
        <v>AR ETRO TEKLİ KOLTUK</v>
      </c>
      <c r="M1384" s="8">
        <v>0.15</v>
      </c>
      <c r="N1384" s="8">
        <v>0.1</v>
      </c>
      <c r="O1384" s="8">
        <v>14325</v>
      </c>
      <c r="P1384" s="8">
        <f t="shared" si="148"/>
        <v>12892.5</v>
      </c>
      <c r="Q1384" s="12">
        <f t="shared" si="149"/>
        <v>27074.25</v>
      </c>
      <c r="R1384" s="31">
        <f t="shared" si="150"/>
        <v>27000</v>
      </c>
      <c r="S1384" s="5"/>
      <c r="T1384" s="23"/>
      <c r="U1384" s="23"/>
      <c r="V1384" s="23"/>
      <c r="W1384" s="23"/>
    </row>
    <row r="1385" spans="1:23" s="21" customFormat="1" ht="21.95" customHeight="1" x14ac:dyDescent="0.2">
      <c r="A1385" s="5" t="s">
        <v>17</v>
      </c>
      <c r="B1385" t="s">
        <v>1582</v>
      </c>
      <c r="C1385" t="s">
        <v>657</v>
      </c>
      <c r="D1385" t="s">
        <v>655</v>
      </c>
      <c r="E1385"/>
      <c r="F1385"/>
      <c r="G1385"/>
      <c r="H1385"/>
      <c r="I1385" s="10"/>
      <c r="J1385" s="10"/>
      <c r="K1385" s="7">
        <v>44005581</v>
      </c>
      <c r="L1385" s="5" t="str">
        <f t="shared" si="151"/>
        <v>AR ETRO PUF OPSİYONEL</v>
      </c>
      <c r="M1385" s="8">
        <v>0.15</v>
      </c>
      <c r="N1385" s="8">
        <v>0.1</v>
      </c>
      <c r="O1385" s="8">
        <v>4925</v>
      </c>
      <c r="P1385" s="8">
        <f t="shared" si="148"/>
        <v>4432.5</v>
      </c>
      <c r="Q1385" s="12">
        <f t="shared" si="149"/>
        <v>9308.25</v>
      </c>
      <c r="R1385" s="31">
        <f t="shared" si="150"/>
        <v>9300</v>
      </c>
      <c r="S1385" s="5"/>
      <c r="T1385" s="23"/>
      <c r="U1385" s="23"/>
      <c r="V1385" s="23"/>
      <c r="W1385" s="23"/>
    </row>
    <row r="1386" spans="1:23" s="21" customFormat="1" ht="21.95" customHeight="1" x14ac:dyDescent="0.2">
      <c r="A1386" s="5" t="s">
        <v>17</v>
      </c>
      <c r="B1386" t="s">
        <v>1582</v>
      </c>
      <c r="C1386" t="s">
        <v>657</v>
      </c>
      <c r="D1386" t="s">
        <v>62</v>
      </c>
      <c r="E1386"/>
      <c r="F1386"/>
      <c r="G1386"/>
      <c r="H1386"/>
      <c r="I1386" s="10"/>
      <c r="J1386" s="10"/>
      <c r="K1386" s="7">
        <v>44005582</v>
      </c>
      <c r="L1386" s="5" t="str">
        <f t="shared" si="151"/>
        <v>AR ETRO DİNLENMELİ MODÜL SAĞ-SOL</v>
      </c>
      <c r="M1386" s="8">
        <v>0.15</v>
      </c>
      <c r="N1386" s="8">
        <v>0.1</v>
      </c>
      <c r="O1386" s="8">
        <v>18975</v>
      </c>
      <c r="P1386" s="8">
        <f t="shared" si="148"/>
        <v>17077.5</v>
      </c>
      <c r="Q1386" s="12">
        <f t="shared" si="149"/>
        <v>35862.75</v>
      </c>
      <c r="R1386" s="31">
        <f t="shared" si="150"/>
        <v>35800</v>
      </c>
      <c r="S1386" s="5"/>
      <c r="T1386" s="23"/>
      <c r="U1386" s="23"/>
      <c r="V1386" s="23"/>
      <c r="W1386" s="23"/>
    </row>
    <row r="1387" spans="1:23" s="21" customFormat="1" ht="21.95" customHeight="1" x14ac:dyDescent="0.2">
      <c r="A1387" s="5" t="s">
        <v>17</v>
      </c>
      <c r="B1387" t="s">
        <v>1582</v>
      </c>
      <c r="C1387" t="s">
        <v>657</v>
      </c>
      <c r="D1387" t="s">
        <v>628</v>
      </c>
      <c r="E1387"/>
      <c r="F1387"/>
      <c r="G1387"/>
      <c r="H1387"/>
      <c r="I1387" s="10"/>
      <c r="J1387" s="10"/>
      <c r="K1387" s="7">
        <v>44005583</v>
      </c>
      <c r="L1387" s="5" t="str">
        <f t="shared" si="151"/>
        <v>AR ETRO MODÜL TEKLİ KOLSUZ</v>
      </c>
      <c r="M1387" s="8">
        <v>0.15</v>
      </c>
      <c r="N1387" s="8">
        <v>0.1</v>
      </c>
      <c r="O1387" s="8">
        <v>10015</v>
      </c>
      <c r="P1387" s="8">
        <f t="shared" si="148"/>
        <v>9013.5</v>
      </c>
      <c r="Q1387" s="12">
        <f t="shared" si="149"/>
        <v>18928.350000000002</v>
      </c>
      <c r="R1387" s="31">
        <f t="shared" si="150"/>
        <v>18900</v>
      </c>
      <c r="S1387" s="5"/>
      <c r="T1387" s="23"/>
      <c r="U1387" s="23"/>
      <c r="V1387" s="23"/>
      <c r="W1387" s="23"/>
    </row>
    <row r="1388" spans="1:23" s="6" customFormat="1" ht="21.95" customHeight="1" x14ac:dyDescent="0.2">
      <c r="A1388" s="5" t="s">
        <v>17</v>
      </c>
      <c r="B1388" t="s">
        <v>1582</v>
      </c>
      <c r="C1388" t="s">
        <v>657</v>
      </c>
      <c r="D1388" t="s">
        <v>661</v>
      </c>
      <c r="E1388"/>
      <c r="F1388"/>
      <c r="G1388"/>
      <c r="H1388"/>
      <c r="I1388" s="10"/>
      <c r="J1388" s="10"/>
      <c r="K1388" s="7">
        <v>44005584</v>
      </c>
      <c r="L1388" s="5" t="str">
        <f t="shared" si="151"/>
        <v>AR ETRO ÜÇGEN MODÜL YARIM</v>
      </c>
      <c r="M1388" s="8">
        <v>0.15</v>
      </c>
      <c r="N1388" s="8">
        <v>0.1</v>
      </c>
      <c r="O1388" s="8">
        <v>14120</v>
      </c>
      <c r="P1388" s="8">
        <f t="shared" si="148"/>
        <v>12708</v>
      </c>
      <c r="Q1388" s="12">
        <f t="shared" si="149"/>
        <v>26686.800000000003</v>
      </c>
      <c r="R1388" s="31">
        <f t="shared" si="150"/>
        <v>26600</v>
      </c>
      <c r="S1388" s="5"/>
      <c r="T1388" s="12"/>
      <c r="U1388" s="12">
        <v>29413</v>
      </c>
      <c r="V1388" s="12"/>
      <c r="W1388" s="12"/>
    </row>
    <row r="1389" spans="1:23" s="6" customFormat="1" ht="21.95" customHeight="1" x14ac:dyDescent="0.2">
      <c r="A1389" s="5" t="s">
        <v>17</v>
      </c>
      <c r="B1389" t="s">
        <v>1582</v>
      </c>
      <c r="C1389" t="s">
        <v>657</v>
      </c>
      <c r="D1389" t="s">
        <v>662</v>
      </c>
      <c r="E1389"/>
      <c r="F1389"/>
      <c r="G1389"/>
      <c r="H1389"/>
      <c r="I1389" s="10"/>
      <c r="J1389" s="10"/>
      <c r="K1389" s="7">
        <v>44005585</v>
      </c>
      <c r="L1389" s="5" t="str">
        <f t="shared" si="151"/>
        <v>AR ETRO ÜÇGEN MODÜL</v>
      </c>
      <c r="M1389" s="8">
        <v>0.15</v>
      </c>
      <c r="N1389" s="8">
        <v>0.1</v>
      </c>
      <c r="O1389" s="8">
        <v>16560</v>
      </c>
      <c r="P1389" s="8">
        <f t="shared" si="148"/>
        <v>14904</v>
      </c>
      <c r="Q1389" s="12">
        <f t="shared" si="149"/>
        <v>31298.400000000001</v>
      </c>
      <c r="R1389" s="31">
        <f t="shared" si="150"/>
        <v>31200</v>
      </c>
      <c r="S1389" s="5"/>
      <c r="T1389" s="12"/>
      <c r="U1389" s="12">
        <v>13321</v>
      </c>
      <c r="V1389" s="12"/>
      <c r="W1389" s="12"/>
    </row>
    <row r="1390" spans="1:23" s="6" customFormat="1" ht="21.95" customHeight="1" x14ac:dyDescent="0.2">
      <c r="A1390" s="5" t="s">
        <v>17</v>
      </c>
      <c r="B1390" t="s">
        <v>1582</v>
      </c>
      <c r="C1390" t="s">
        <v>657</v>
      </c>
      <c r="D1390" t="s">
        <v>663</v>
      </c>
      <c r="E1390"/>
      <c r="F1390"/>
      <c r="G1390"/>
      <c r="H1390"/>
      <c r="I1390" s="10"/>
      <c r="J1390" s="10"/>
      <c r="K1390" s="7">
        <v>44005586</v>
      </c>
      <c r="L1390" s="5" t="str">
        <f t="shared" si="151"/>
        <v>AR ETRO KÖŞE MODÜL BÜYÜK</v>
      </c>
      <c r="M1390" s="8">
        <v>0.15</v>
      </c>
      <c r="N1390" s="8">
        <v>0.1</v>
      </c>
      <c r="O1390" s="8">
        <v>19920</v>
      </c>
      <c r="P1390" s="8">
        <f t="shared" si="148"/>
        <v>17928</v>
      </c>
      <c r="Q1390" s="12">
        <f t="shared" si="149"/>
        <v>37648.800000000003</v>
      </c>
      <c r="R1390" s="31">
        <f t="shared" si="150"/>
        <v>37600</v>
      </c>
      <c r="S1390" s="5"/>
      <c r="T1390" s="12"/>
      <c r="U1390" s="12">
        <v>19368</v>
      </c>
      <c r="V1390" s="12"/>
      <c r="W1390" s="12"/>
    </row>
    <row r="1391" spans="1:23" s="6" customFormat="1" ht="21.95" customHeight="1" x14ac:dyDescent="0.2">
      <c r="A1391" s="5" t="s">
        <v>17</v>
      </c>
      <c r="B1391" t="s">
        <v>1582</v>
      </c>
      <c r="C1391" t="s">
        <v>657</v>
      </c>
      <c r="D1391" t="s">
        <v>664</v>
      </c>
      <c r="E1391"/>
      <c r="F1391"/>
      <c r="G1391"/>
      <c r="H1391"/>
      <c r="I1391" s="10"/>
      <c r="J1391" s="10"/>
      <c r="K1391" s="7">
        <v>44005587</v>
      </c>
      <c r="L1391" s="5" t="str">
        <f t="shared" si="151"/>
        <v>AR ETRO MODÜL KOLLU 3 LÜ SAĞ-SOL</v>
      </c>
      <c r="M1391" s="8">
        <v>0.15</v>
      </c>
      <c r="N1391" s="8">
        <v>0.1</v>
      </c>
      <c r="O1391" s="8">
        <v>15085</v>
      </c>
      <c r="P1391" s="8">
        <f t="shared" si="148"/>
        <v>13576.5</v>
      </c>
      <c r="Q1391" s="12">
        <f t="shared" si="149"/>
        <v>28510.65</v>
      </c>
      <c r="R1391" s="31">
        <f t="shared" si="150"/>
        <v>28500</v>
      </c>
      <c r="S1391" s="5"/>
      <c r="T1391" s="12"/>
      <c r="U1391" s="12">
        <v>17313</v>
      </c>
      <c r="V1391" s="12"/>
      <c r="W1391" s="12"/>
    </row>
    <row r="1392" spans="1:23" s="6" customFormat="1" ht="21.95" customHeight="1" x14ac:dyDescent="0.2">
      <c r="A1392" s="5" t="s">
        <v>17</v>
      </c>
      <c r="B1392" t="s">
        <v>1582</v>
      </c>
      <c r="C1392" t="s">
        <v>657</v>
      </c>
      <c r="D1392" t="s">
        <v>665</v>
      </c>
      <c r="E1392"/>
      <c r="F1392"/>
      <c r="G1392"/>
      <c r="H1392"/>
      <c r="I1392" s="10"/>
      <c r="J1392" s="10"/>
      <c r="K1392" s="7">
        <v>44005588</v>
      </c>
      <c r="L1392" s="5" t="str">
        <f t="shared" si="151"/>
        <v>AR ETRO MODÜL KOLLU 4 LÜ SAĞ-SOL</v>
      </c>
      <c r="M1392" s="8">
        <v>0.15</v>
      </c>
      <c r="N1392" s="8">
        <v>0.1</v>
      </c>
      <c r="O1392" s="8">
        <v>12380</v>
      </c>
      <c r="P1392" s="8">
        <f t="shared" ref="P1392:P1455" si="152">O1392*(1-N1392)</f>
        <v>11142</v>
      </c>
      <c r="Q1392" s="12">
        <f t="shared" ref="Q1392:Q1455" si="153">O1392*(1-N1392)*2.1</f>
        <v>23398.2</v>
      </c>
      <c r="R1392" s="31">
        <f t="shared" ref="R1392:R1455" si="154">ROUNDDOWN(Q1392,-2)</f>
        <v>23300</v>
      </c>
      <c r="S1392" s="5"/>
      <c r="T1392" s="12"/>
      <c r="U1392" s="12">
        <v>25307</v>
      </c>
      <c r="V1392" s="12"/>
      <c r="W1392" s="12"/>
    </row>
    <row r="1393" spans="1:23" s="6" customFormat="1" ht="21.95" customHeight="1" x14ac:dyDescent="0.2">
      <c r="A1393" s="5" t="s">
        <v>17</v>
      </c>
      <c r="B1393" t="s">
        <v>1582</v>
      </c>
      <c r="C1393" t="s">
        <v>657</v>
      </c>
      <c r="D1393" t="s">
        <v>666</v>
      </c>
      <c r="E1393"/>
      <c r="F1393"/>
      <c r="G1393"/>
      <c r="H1393"/>
      <c r="I1393" s="10"/>
      <c r="J1393" s="10"/>
      <c r="K1393" s="7">
        <v>44005589</v>
      </c>
      <c r="L1393" s="5" t="str">
        <f t="shared" si="151"/>
        <v>AR ETRO ARA MODÜL SARJLI</v>
      </c>
      <c r="M1393" s="8">
        <v>0.15</v>
      </c>
      <c r="N1393" s="8">
        <v>0.1</v>
      </c>
      <c r="O1393" s="8">
        <v>10005</v>
      </c>
      <c r="P1393" s="8">
        <f t="shared" si="152"/>
        <v>9004.5</v>
      </c>
      <c r="Q1393" s="12">
        <f t="shared" si="153"/>
        <v>18909.45</v>
      </c>
      <c r="R1393" s="31">
        <f t="shared" si="154"/>
        <v>18900</v>
      </c>
      <c r="S1393" s="5"/>
      <c r="T1393" s="12"/>
      <c r="U1393" s="12">
        <v>12390</v>
      </c>
      <c r="V1393" s="12"/>
      <c r="W1393" s="12"/>
    </row>
    <row r="1394" spans="1:23" s="6" customFormat="1" ht="21.95" customHeight="1" x14ac:dyDescent="0.2">
      <c r="A1394" s="5" t="s">
        <v>17</v>
      </c>
      <c r="B1394" t="s">
        <v>1582</v>
      </c>
      <c r="C1394" t="s">
        <v>657</v>
      </c>
      <c r="D1394" t="s">
        <v>667</v>
      </c>
      <c r="E1394"/>
      <c r="F1394"/>
      <c r="G1394"/>
      <c r="H1394"/>
      <c r="I1394" s="10"/>
      <c r="J1394" s="10"/>
      <c r="K1394" s="7">
        <v>44005590</v>
      </c>
      <c r="L1394" s="5" t="str">
        <f t="shared" si="151"/>
        <v>AR ETRO PUF ALTIGEN 80 LİK</v>
      </c>
      <c r="M1394" s="8">
        <v>0.15</v>
      </c>
      <c r="N1394" s="8">
        <v>0.1</v>
      </c>
      <c r="O1394" s="8">
        <v>5715</v>
      </c>
      <c r="P1394" s="8">
        <f t="shared" si="152"/>
        <v>5143.5</v>
      </c>
      <c r="Q1394" s="12">
        <f t="shared" si="153"/>
        <v>10801.35</v>
      </c>
      <c r="R1394" s="31">
        <f t="shared" si="154"/>
        <v>10800</v>
      </c>
      <c r="S1394" s="5"/>
      <c r="T1394" s="12"/>
      <c r="U1394" s="12">
        <v>11534</v>
      </c>
      <c r="V1394" s="12"/>
      <c r="W1394" s="12"/>
    </row>
    <row r="1395" spans="1:23" s="6" customFormat="1" ht="21.95" customHeight="1" x14ac:dyDescent="0.2">
      <c r="A1395" s="5" t="s">
        <v>17</v>
      </c>
      <c r="B1395" t="s">
        <v>1582</v>
      </c>
      <c r="C1395" t="s">
        <v>657</v>
      </c>
      <c r="D1395" t="s">
        <v>1874</v>
      </c>
      <c r="E1395"/>
      <c r="F1395"/>
      <c r="G1395"/>
      <c r="H1395"/>
      <c r="I1395" s="10"/>
      <c r="J1395" s="10"/>
      <c r="K1395" s="7">
        <v>44005591</v>
      </c>
      <c r="L1395" s="5" t="str">
        <f t="shared" si="151"/>
        <v>AR ETRO PUF ALTIGEN 65 LİK</v>
      </c>
      <c r="M1395" s="8">
        <v>0.15</v>
      </c>
      <c r="N1395" s="8">
        <v>0.1</v>
      </c>
      <c r="O1395" s="8">
        <v>4815</v>
      </c>
      <c r="P1395" s="8">
        <f t="shared" si="152"/>
        <v>4333.5</v>
      </c>
      <c r="Q1395" s="12">
        <f t="shared" si="153"/>
        <v>9100.35</v>
      </c>
      <c r="R1395" s="31">
        <f t="shared" si="154"/>
        <v>9100</v>
      </c>
      <c r="S1395" s="5"/>
      <c r="T1395" s="12"/>
      <c r="U1395" s="12">
        <v>3335</v>
      </c>
      <c r="V1395" s="12"/>
      <c r="W1395" s="12"/>
    </row>
    <row r="1396" spans="1:23" s="6" customFormat="1" ht="21.95" customHeight="1" x14ac:dyDescent="0.2">
      <c r="A1396" s="5" t="s">
        <v>17</v>
      </c>
      <c r="B1396" t="s">
        <v>1582</v>
      </c>
      <c r="C1396" t="s">
        <v>657</v>
      </c>
      <c r="D1396" t="s">
        <v>668</v>
      </c>
      <c r="E1396"/>
      <c r="F1396"/>
      <c r="G1396"/>
      <c r="H1396"/>
      <c r="I1396" s="10"/>
      <c r="J1396" s="10"/>
      <c r="K1396" s="7">
        <v>44005592</v>
      </c>
      <c r="L1396" s="5" t="str">
        <f t="shared" si="151"/>
        <v>AR ETRO PUF ALTIGEN 50 LİK</v>
      </c>
      <c r="M1396" s="8">
        <v>0.15</v>
      </c>
      <c r="N1396" s="8">
        <v>0.1</v>
      </c>
      <c r="O1396" s="8">
        <v>4375</v>
      </c>
      <c r="P1396" s="8">
        <f t="shared" si="152"/>
        <v>3937.5</v>
      </c>
      <c r="Q1396" s="12">
        <f t="shared" si="153"/>
        <v>8268.75</v>
      </c>
      <c r="R1396" s="31">
        <f t="shared" si="154"/>
        <v>8200</v>
      </c>
      <c r="S1396" s="5"/>
      <c r="T1396" s="12"/>
      <c r="U1396" s="12">
        <v>40814</v>
      </c>
      <c r="V1396" s="12"/>
      <c r="W1396" s="12"/>
    </row>
    <row r="1397" spans="1:23" s="6" customFormat="1" ht="21.95" customHeight="1" x14ac:dyDescent="0.2">
      <c r="A1397" s="5" t="s">
        <v>17</v>
      </c>
      <c r="B1397" t="s">
        <v>1582</v>
      </c>
      <c r="C1397" t="s">
        <v>657</v>
      </c>
      <c r="D1397" t="s">
        <v>669</v>
      </c>
      <c r="E1397"/>
      <c r="F1397"/>
      <c r="G1397"/>
      <c r="H1397"/>
      <c r="I1397" s="10"/>
      <c r="J1397" s="10"/>
      <c r="K1397" s="7">
        <v>44005593</v>
      </c>
      <c r="L1397" s="5" t="str">
        <f t="shared" si="151"/>
        <v>AR ETRO KARYOLA İÇ KAYITLI 160CM KISA BAŞLIKLI</v>
      </c>
      <c r="M1397" s="8">
        <v>0.15</v>
      </c>
      <c r="N1397" s="8">
        <v>0.1</v>
      </c>
      <c r="O1397" s="8">
        <v>23200</v>
      </c>
      <c r="P1397" s="8">
        <f t="shared" si="152"/>
        <v>20880</v>
      </c>
      <c r="Q1397" s="12">
        <f t="shared" si="153"/>
        <v>43848</v>
      </c>
      <c r="R1397" s="31">
        <f t="shared" si="154"/>
        <v>43800</v>
      </c>
      <c r="S1397" s="5"/>
      <c r="T1397" s="12"/>
      <c r="U1397" s="12">
        <v>5085</v>
      </c>
      <c r="V1397" s="12"/>
      <c r="W1397" s="12"/>
    </row>
    <row r="1398" spans="1:23" s="6" customFormat="1" ht="21.95" customHeight="1" x14ac:dyDescent="0.2">
      <c r="A1398" s="5" t="s">
        <v>17</v>
      </c>
      <c r="B1398" t="s">
        <v>1582</v>
      </c>
      <c r="C1398" t="s">
        <v>657</v>
      </c>
      <c r="D1398" t="s">
        <v>593</v>
      </c>
      <c r="E1398"/>
      <c r="F1398"/>
      <c r="G1398"/>
      <c r="H1398"/>
      <c r="I1398" s="10"/>
      <c r="J1398" s="10"/>
      <c r="K1398" s="7">
        <v>44005594</v>
      </c>
      <c r="L1398" s="5" t="str">
        <f t="shared" si="151"/>
        <v>AR ETRO KARYOLA İÇ KAYITLI 160CM</v>
      </c>
      <c r="M1398" s="8">
        <v>0.15</v>
      </c>
      <c r="N1398" s="8">
        <v>0.1</v>
      </c>
      <c r="O1398" s="8">
        <v>26990</v>
      </c>
      <c r="P1398" s="8">
        <f t="shared" si="152"/>
        <v>24291</v>
      </c>
      <c r="Q1398" s="12">
        <f t="shared" si="153"/>
        <v>51011.1</v>
      </c>
      <c r="R1398" s="31">
        <f t="shared" si="154"/>
        <v>51000</v>
      </c>
      <c r="S1398" s="5"/>
      <c r="T1398" s="12"/>
      <c r="U1398" s="12">
        <v>33560</v>
      </c>
      <c r="V1398" s="12"/>
      <c r="W1398" s="12"/>
    </row>
    <row r="1399" spans="1:23" s="6" customFormat="1" ht="21.95" customHeight="1" x14ac:dyDescent="0.2">
      <c r="A1399" s="5" t="s">
        <v>17</v>
      </c>
      <c r="B1399" t="s">
        <v>1582</v>
      </c>
      <c r="C1399" t="s">
        <v>657</v>
      </c>
      <c r="D1399" t="s">
        <v>75</v>
      </c>
      <c r="E1399"/>
      <c r="F1399"/>
      <c r="G1399"/>
      <c r="H1399"/>
      <c r="I1399" s="10"/>
      <c r="J1399" s="10"/>
      <c r="K1399" s="7">
        <v>44005595</v>
      </c>
      <c r="L1399" s="5" t="str">
        <f t="shared" si="151"/>
        <v>AR ETRO KARYOLA BAZALI 160CM</v>
      </c>
      <c r="M1399" s="8">
        <v>0.15</v>
      </c>
      <c r="N1399" s="8">
        <v>0.1</v>
      </c>
      <c r="O1399" s="8">
        <v>31590</v>
      </c>
      <c r="P1399" s="8">
        <f t="shared" si="152"/>
        <v>28431</v>
      </c>
      <c r="Q1399" s="12">
        <f t="shared" si="153"/>
        <v>59705.100000000006</v>
      </c>
      <c r="R1399" s="31">
        <f t="shared" si="154"/>
        <v>59700</v>
      </c>
      <c r="S1399" s="5"/>
      <c r="T1399" s="12"/>
      <c r="U1399" s="12">
        <v>6241</v>
      </c>
      <c r="V1399" s="12"/>
      <c r="W1399" s="12"/>
    </row>
    <row r="1400" spans="1:23" s="6" customFormat="1" ht="21.95" customHeight="1" x14ac:dyDescent="0.2">
      <c r="A1400" s="5" t="s">
        <v>17</v>
      </c>
      <c r="B1400" t="s">
        <v>1582</v>
      </c>
      <c r="C1400" t="s">
        <v>657</v>
      </c>
      <c r="D1400" t="s">
        <v>76</v>
      </c>
      <c r="E1400"/>
      <c r="F1400"/>
      <c r="G1400"/>
      <c r="H1400"/>
      <c r="I1400" s="10"/>
      <c r="J1400" s="10"/>
      <c r="K1400" s="7">
        <v>44005596</v>
      </c>
      <c r="L1400" s="5" t="str">
        <f t="shared" si="151"/>
        <v>AR ETRO KARYOLA BAZALI 180CM</v>
      </c>
      <c r="M1400" s="8">
        <v>0.15</v>
      </c>
      <c r="N1400" s="8">
        <v>0.1</v>
      </c>
      <c r="O1400" s="8">
        <v>34090</v>
      </c>
      <c r="P1400" s="8">
        <f t="shared" si="152"/>
        <v>30681</v>
      </c>
      <c r="Q1400" s="12">
        <f t="shared" si="153"/>
        <v>64430.100000000006</v>
      </c>
      <c r="R1400" s="31">
        <f t="shared" si="154"/>
        <v>64400</v>
      </c>
      <c r="S1400" s="5"/>
      <c r="T1400" s="12"/>
      <c r="U1400" s="12">
        <v>28715</v>
      </c>
      <c r="V1400" s="12"/>
      <c r="W1400" s="12"/>
    </row>
    <row r="1401" spans="1:23" s="6" customFormat="1" ht="21.95" customHeight="1" x14ac:dyDescent="0.2">
      <c r="A1401" s="5" t="s">
        <v>17</v>
      </c>
      <c r="B1401" t="s">
        <v>1582</v>
      </c>
      <c r="C1401" t="s">
        <v>657</v>
      </c>
      <c r="D1401" t="s">
        <v>594</v>
      </c>
      <c r="E1401"/>
      <c r="F1401"/>
      <c r="G1401"/>
      <c r="H1401"/>
      <c r="I1401" s="10"/>
      <c r="J1401" s="10"/>
      <c r="K1401" s="7">
        <v>44005597</v>
      </c>
      <c r="L1401" s="5" t="str">
        <f t="shared" si="151"/>
        <v>AR ETRO KARYOLA İÇ KAYITLI 180CM</v>
      </c>
      <c r="M1401" s="8">
        <v>0.15</v>
      </c>
      <c r="N1401" s="8">
        <v>0.1</v>
      </c>
      <c r="O1401" s="8">
        <v>29490</v>
      </c>
      <c r="P1401" s="8">
        <f t="shared" si="152"/>
        <v>26541</v>
      </c>
      <c r="Q1401" s="12">
        <f t="shared" si="153"/>
        <v>55736.100000000006</v>
      </c>
      <c r="R1401" s="31">
        <f t="shared" si="154"/>
        <v>55700</v>
      </c>
      <c r="S1401" s="5"/>
      <c r="T1401" s="12"/>
      <c r="U1401" s="12">
        <v>27100</v>
      </c>
      <c r="V1401" s="12"/>
      <c r="W1401" s="12"/>
    </row>
    <row r="1402" spans="1:23" s="6" customFormat="1" ht="21.95" customHeight="1" x14ac:dyDescent="0.2">
      <c r="A1402" s="5" t="s">
        <v>17</v>
      </c>
      <c r="B1402" t="s">
        <v>1582</v>
      </c>
      <c r="C1402" t="s">
        <v>657</v>
      </c>
      <c r="D1402" t="s">
        <v>362</v>
      </c>
      <c r="E1402"/>
      <c r="F1402"/>
      <c r="G1402"/>
      <c r="H1402"/>
      <c r="I1402" s="10"/>
      <c r="J1402" s="10"/>
      <c r="K1402" s="7">
        <v>44005598</v>
      </c>
      <c r="L1402" s="5" t="str">
        <f t="shared" si="151"/>
        <v>AR ETRO KOMODİN</v>
      </c>
      <c r="M1402" s="8">
        <v>0.15</v>
      </c>
      <c r="N1402" s="8">
        <v>0.1</v>
      </c>
      <c r="O1402" s="8">
        <v>5125</v>
      </c>
      <c r="P1402" s="8">
        <f t="shared" si="152"/>
        <v>4612.5</v>
      </c>
      <c r="Q1402" s="12">
        <f t="shared" si="153"/>
        <v>9686.25</v>
      </c>
      <c r="R1402" s="31">
        <f t="shared" si="154"/>
        <v>9600</v>
      </c>
      <c r="S1402" s="5"/>
      <c r="T1402" s="12"/>
      <c r="U1402" s="12">
        <v>36625</v>
      </c>
      <c r="V1402" s="12"/>
      <c r="W1402" s="12"/>
    </row>
    <row r="1403" spans="1:23" s="6" customFormat="1" ht="21.95" customHeight="1" x14ac:dyDescent="0.2">
      <c r="A1403" s="5" t="s">
        <v>17</v>
      </c>
      <c r="B1403" t="s">
        <v>1582</v>
      </c>
      <c r="C1403" t="s">
        <v>657</v>
      </c>
      <c r="D1403" t="s">
        <v>361</v>
      </c>
      <c r="E1403"/>
      <c r="F1403"/>
      <c r="G1403"/>
      <c r="H1403"/>
      <c r="I1403" s="10"/>
      <c r="J1403" s="10"/>
      <c r="K1403" s="7">
        <v>44005599</v>
      </c>
      <c r="L1403" s="5" t="str">
        <f t="shared" si="151"/>
        <v>AR ETRO DOLAP</v>
      </c>
      <c r="M1403" s="8">
        <v>0.15</v>
      </c>
      <c r="N1403" s="8">
        <v>0.1</v>
      </c>
      <c r="O1403" s="8">
        <v>40745</v>
      </c>
      <c r="P1403" s="8">
        <f t="shared" si="152"/>
        <v>36670.5</v>
      </c>
      <c r="Q1403" s="12">
        <f t="shared" si="153"/>
        <v>77008.05</v>
      </c>
      <c r="R1403" s="31">
        <f t="shared" si="154"/>
        <v>77000</v>
      </c>
      <c r="S1403" s="5"/>
      <c r="T1403" s="12"/>
      <c r="U1403" s="12">
        <v>20565</v>
      </c>
      <c r="V1403" s="12"/>
      <c r="W1403" s="12"/>
    </row>
    <row r="1404" spans="1:23" s="6" customFormat="1" ht="21.95" customHeight="1" x14ac:dyDescent="0.2">
      <c r="A1404" s="5" t="s">
        <v>17</v>
      </c>
      <c r="B1404" t="s">
        <v>1582</v>
      </c>
      <c r="C1404" t="s">
        <v>657</v>
      </c>
      <c r="D1404" t="s">
        <v>595</v>
      </c>
      <c r="E1404"/>
      <c r="F1404"/>
      <c r="G1404"/>
      <c r="H1404"/>
      <c r="I1404" s="10"/>
      <c r="J1404" s="10"/>
      <c r="K1404" s="7">
        <v>44005600</v>
      </c>
      <c r="L1404" s="5" t="str">
        <f t="shared" si="151"/>
        <v>AR ETRO ŞİFONYER &amp; AYNASI</v>
      </c>
      <c r="M1404" s="8">
        <v>0.15</v>
      </c>
      <c r="N1404" s="8">
        <v>0.1</v>
      </c>
      <c r="O1404" s="8">
        <v>15030</v>
      </c>
      <c r="P1404" s="8">
        <f t="shared" si="152"/>
        <v>13527</v>
      </c>
      <c r="Q1404" s="12">
        <f t="shared" si="153"/>
        <v>28406.7</v>
      </c>
      <c r="R1404" s="31">
        <f t="shared" si="154"/>
        <v>28400</v>
      </c>
      <c r="S1404" s="5"/>
      <c r="T1404" s="12"/>
      <c r="U1404" s="12">
        <v>18600</v>
      </c>
      <c r="V1404" s="12"/>
      <c r="W1404" s="12"/>
    </row>
    <row r="1405" spans="1:23" s="6" customFormat="1" ht="21.95" customHeight="1" x14ac:dyDescent="0.2">
      <c r="A1405" s="5" t="s">
        <v>17</v>
      </c>
      <c r="B1405" t="s">
        <v>1582</v>
      </c>
      <c r="C1405" t="s">
        <v>657</v>
      </c>
      <c r="D1405" t="s">
        <v>126</v>
      </c>
      <c r="E1405"/>
      <c r="F1405"/>
      <c r="G1405"/>
      <c r="H1405"/>
      <c r="I1405" s="10"/>
      <c r="J1405" s="10"/>
      <c r="K1405" s="7">
        <v>44005601</v>
      </c>
      <c r="L1405" s="5" t="str">
        <f t="shared" si="151"/>
        <v>AR ETRO ÇAMAŞIRLIK</v>
      </c>
      <c r="M1405" s="8">
        <v>0.15</v>
      </c>
      <c r="N1405" s="8">
        <v>0.1</v>
      </c>
      <c r="O1405" s="8">
        <v>9725</v>
      </c>
      <c r="P1405" s="8">
        <f t="shared" si="152"/>
        <v>8752.5</v>
      </c>
      <c r="Q1405" s="12">
        <f t="shared" si="153"/>
        <v>18380.25</v>
      </c>
      <c r="R1405" s="31">
        <f t="shared" si="154"/>
        <v>18300</v>
      </c>
      <c r="S1405" s="5"/>
      <c r="T1405" s="12"/>
      <c r="U1405" s="12">
        <v>8200</v>
      </c>
      <c r="V1405" s="12"/>
      <c r="W1405" s="12"/>
    </row>
    <row r="1406" spans="1:23" s="6" customFormat="1" ht="21.95" customHeight="1" x14ac:dyDescent="0.2">
      <c r="A1406" s="5" t="s">
        <v>17</v>
      </c>
      <c r="B1406" t="s">
        <v>1582</v>
      </c>
      <c r="C1406" t="s">
        <v>657</v>
      </c>
      <c r="D1406" t="s">
        <v>82</v>
      </c>
      <c r="E1406"/>
      <c r="F1406"/>
      <c r="G1406"/>
      <c r="H1406"/>
      <c r="I1406" s="10"/>
      <c r="J1406" s="10"/>
      <c r="K1406" s="7">
        <v>44005602</v>
      </c>
      <c r="L1406" s="5" t="str">
        <f t="shared" si="151"/>
        <v>AR ETRO BOY AYNASI</v>
      </c>
      <c r="M1406" s="8">
        <v>0.15</v>
      </c>
      <c r="N1406" s="8">
        <v>0.1</v>
      </c>
      <c r="O1406" s="8">
        <v>4305</v>
      </c>
      <c r="P1406" s="8">
        <f t="shared" si="152"/>
        <v>3874.5</v>
      </c>
      <c r="Q1406" s="12">
        <f t="shared" si="153"/>
        <v>8136.4500000000007</v>
      </c>
      <c r="R1406" s="31">
        <f t="shared" si="154"/>
        <v>8100</v>
      </c>
      <c r="S1406" s="5"/>
      <c r="T1406" s="12"/>
      <c r="U1406" s="12">
        <v>20215</v>
      </c>
      <c r="V1406" s="12"/>
      <c r="W1406" s="12"/>
    </row>
    <row r="1407" spans="1:23" s="6" customFormat="1" ht="21.95" customHeight="1" x14ac:dyDescent="0.2">
      <c r="A1407" s="5" t="s">
        <v>17</v>
      </c>
      <c r="B1407" t="s">
        <v>1582</v>
      </c>
      <c r="C1407" t="s">
        <v>657</v>
      </c>
      <c r="D1407" t="s">
        <v>596</v>
      </c>
      <c r="E1407"/>
      <c r="F1407"/>
      <c r="G1407"/>
      <c r="H1407"/>
      <c r="I1407" s="10"/>
      <c r="J1407" s="10"/>
      <c r="K1407" s="7">
        <v>44005603</v>
      </c>
      <c r="L1407" s="5" t="str">
        <f t="shared" si="151"/>
        <v>AR ETRO MAKYAJ PUFU</v>
      </c>
      <c r="M1407" s="8">
        <v>0.15</v>
      </c>
      <c r="N1407" s="8">
        <v>0.1</v>
      </c>
      <c r="O1407" s="8">
        <v>3255</v>
      </c>
      <c r="P1407" s="8">
        <f t="shared" si="152"/>
        <v>2929.5</v>
      </c>
      <c r="Q1407" s="12">
        <f t="shared" si="153"/>
        <v>6151.95</v>
      </c>
      <c r="R1407" s="31">
        <f t="shared" si="154"/>
        <v>6100</v>
      </c>
      <c r="S1407" s="5"/>
      <c r="T1407" s="12"/>
      <c r="U1407" s="12">
        <v>18980</v>
      </c>
      <c r="V1407" s="12"/>
      <c r="W1407" s="12"/>
    </row>
    <row r="1408" spans="1:23" s="6" customFormat="1" ht="21.95" customHeight="1" x14ac:dyDescent="0.2">
      <c r="A1408" s="5" t="s">
        <v>17</v>
      </c>
      <c r="B1408" t="s">
        <v>1582</v>
      </c>
      <c r="C1408" t="s">
        <v>657</v>
      </c>
      <c r="D1408" t="s">
        <v>59</v>
      </c>
      <c r="E1408"/>
      <c r="F1408"/>
      <c r="G1408"/>
      <c r="H1408"/>
      <c r="I1408" s="10"/>
      <c r="J1408" s="10"/>
      <c r="K1408" s="7">
        <v>44005604</v>
      </c>
      <c r="L1408" s="5" t="str">
        <f t="shared" si="151"/>
        <v>AR ETRO KÖŞE MODÜL</v>
      </c>
      <c r="M1408" s="8">
        <v>0.15</v>
      </c>
      <c r="N1408" s="8">
        <v>0.1</v>
      </c>
      <c r="O1408" s="8">
        <v>17220</v>
      </c>
      <c r="P1408" s="8">
        <f t="shared" si="152"/>
        <v>15498</v>
      </c>
      <c r="Q1408" s="12">
        <f t="shared" si="153"/>
        <v>32545.800000000003</v>
      </c>
      <c r="R1408" s="31">
        <f t="shared" si="154"/>
        <v>32500</v>
      </c>
      <c r="S1408" s="5"/>
      <c r="T1408" s="12"/>
      <c r="U1408" s="12">
        <v>14275</v>
      </c>
      <c r="V1408" s="12"/>
      <c r="W1408" s="12"/>
    </row>
    <row r="1409" spans="1:23" s="6" customFormat="1" ht="21.95" customHeight="1" x14ac:dyDescent="0.2">
      <c r="A1409" s="5" t="s">
        <v>17</v>
      </c>
      <c r="B1409" t="s">
        <v>1582</v>
      </c>
      <c r="C1409" t="s">
        <v>657</v>
      </c>
      <c r="D1409" t="s">
        <v>670</v>
      </c>
      <c r="E1409"/>
      <c r="F1409"/>
      <c r="G1409"/>
      <c r="H1409"/>
      <c r="I1409" s="10"/>
      <c r="J1409" s="10"/>
      <c r="K1409" s="7">
        <v>44005605</v>
      </c>
      <c r="L1409" s="5" t="str">
        <f t="shared" si="151"/>
        <v>AR ETRO TEKLİ MODÜL AHŞAP SAĞ-SOL</v>
      </c>
      <c r="M1409" s="8">
        <v>0.15</v>
      </c>
      <c r="N1409" s="8">
        <v>0.1</v>
      </c>
      <c r="O1409" s="8">
        <v>8065</v>
      </c>
      <c r="P1409" s="8">
        <f t="shared" si="152"/>
        <v>7258.5</v>
      </c>
      <c r="Q1409" s="12">
        <f t="shared" si="153"/>
        <v>15242.85</v>
      </c>
      <c r="R1409" s="31">
        <f t="shared" si="154"/>
        <v>15200</v>
      </c>
      <c r="S1409" s="5"/>
      <c r="T1409" s="12"/>
      <c r="U1409" s="12">
        <v>13355</v>
      </c>
      <c r="V1409" s="12"/>
      <c r="W1409" s="12"/>
    </row>
    <row r="1410" spans="1:23" s="6" customFormat="1" ht="21.95" customHeight="1" x14ac:dyDescent="0.2">
      <c r="A1410" s="5" t="s">
        <v>17</v>
      </c>
      <c r="B1410" t="s">
        <v>1582</v>
      </c>
      <c r="C1410" t="s">
        <v>657</v>
      </c>
      <c r="D1410" t="s">
        <v>671</v>
      </c>
      <c r="E1410"/>
      <c r="F1410"/>
      <c r="G1410"/>
      <c r="H1410"/>
      <c r="I1410" s="10"/>
      <c r="J1410" s="10"/>
      <c r="K1410" s="7">
        <v>44005606</v>
      </c>
      <c r="L1410" s="5" t="str">
        <f t="shared" si="151"/>
        <v>AR ETRO ÇİFTLİ BOY ASKILIKLI CAMLI MODÜL</v>
      </c>
      <c r="M1410" s="8">
        <v>0.15</v>
      </c>
      <c r="N1410" s="8">
        <v>0.1</v>
      </c>
      <c r="O1410" s="8">
        <v>15705</v>
      </c>
      <c r="P1410" s="8">
        <f t="shared" si="152"/>
        <v>14134.5</v>
      </c>
      <c r="Q1410" s="12">
        <f t="shared" si="153"/>
        <v>29682.45</v>
      </c>
      <c r="R1410" s="31">
        <f t="shared" si="154"/>
        <v>29600</v>
      </c>
      <c r="S1410" s="5"/>
      <c r="T1410" s="12"/>
      <c r="U1410" s="12">
        <v>20869</v>
      </c>
      <c r="V1410" s="12"/>
      <c r="W1410" s="12"/>
    </row>
    <row r="1411" spans="1:23" s="6" customFormat="1" ht="21.95" customHeight="1" x14ac:dyDescent="0.2">
      <c r="A1411" s="5" t="s">
        <v>17</v>
      </c>
      <c r="B1411" t="s">
        <v>1582</v>
      </c>
      <c r="C1411" t="s">
        <v>657</v>
      </c>
      <c r="D1411" t="s">
        <v>672</v>
      </c>
      <c r="E1411"/>
      <c r="F1411"/>
      <c r="G1411"/>
      <c r="H1411"/>
      <c r="I1411" s="10"/>
      <c r="J1411" s="10"/>
      <c r="K1411" s="7">
        <v>44005607</v>
      </c>
      <c r="L1411" s="5" t="str">
        <f t="shared" si="151"/>
        <v>AR ETRO ÇİFT ÇEKMECELİ CAMLI MODÜL</v>
      </c>
      <c r="M1411" s="8">
        <v>0.15</v>
      </c>
      <c r="N1411" s="8">
        <v>0.1</v>
      </c>
      <c r="O1411" s="8">
        <v>17605</v>
      </c>
      <c r="P1411" s="8">
        <f t="shared" si="152"/>
        <v>15844.5</v>
      </c>
      <c r="Q1411" s="12">
        <f t="shared" si="153"/>
        <v>33273.450000000004</v>
      </c>
      <c r="R1411" s="31">
        <f t="shared" si="154"/>
        <v>33200</v>
      </c>
      <c r="S1411" s="5"/>
      <c r="T1411" s="12"/>
      <c r="U1411" s="12">
        <v>15030</v>
      </c>
      <c r="V1411" s="12"/>
      <c r="W1411" s="12"/>
    </row>
    <row r="1412" spans="1:23" s="6" customFormat="1" ht="21.95" customHeight="1" x14ac:dyDescent="0.2">
      <c r="A1412" s="5" t="s">
        <v>17</v>
      </c>
      <c r="B1412" t="s">
        <v>1582</v>
      </c>
      <c r="C1412" t="s">
        <v>673</v>
      </c>
      <c r="D1412" t="s">
        <v>49</v>
      </c>
      <c r="E1412"/>
      <c r="F1412"/>
      <c r="G1412"/>
      <c r="H1412"/>
      <c r="I1412" s="10"/>
      <c r="J1412" s="10"/>
      <c r="K1412" s="7">
        <v>44005608</v>
      </c>
      <c r="L1412" s="5" t="str">
        <f t="shared" si="151"/>
        <v>AR PORTO KONSOL</v>
      </c>
      <c r="M1412" s="8">
        <v>0.15</v>
      </c>
      <c r="N1412" s="8">
        <v>0.1</v>
      </c>
      <c r="O1412" s="8">
        <v>40190</v>
      </c>
      <c r="P1412" s="8">
        <f t="shared" si="152"/>
        <v>36171</v>
      </c>
      <c r="Q1412" s="12">
        <f t="shared" si="153"/>
        <v>75959.100000000006</v>
      </c>
      <c r="R1412" s="31">
        <f t="shared" si="154"/>
        <v>75900</v>
      </c>
      <c r="S1412" s="5"/>
      <c r="T1412" s="12"/>
      <c r="U1412" s="12">
        <v>4026</v>
      </c>
      <c r="V1412" s="12"/>
      <c r="W1412" s="12"/>
    </row>
    <row r="1413" spans="1:23" s="6" customFormat="1" ht="21.95" customHeight="1" x14ac:dyDescent="0.2">
      <c r="A1413" s="5" t="s">
        <v>17</v>
      </c>
      <c r="B1413" t="s">
        <v>1582</v>
      </c>
      <c r="C1413" t="s">
        <v>673</v>
      </c>
      <c r="D1413" t="s">
        <v>21</v>
      </c>
      <c r="E1413"/>
      <c r="F1413"/>
      <c r="G1413"/>
      <c r="H1413"/>
      <c r="I1413" s="10"/>
      <c r="J1413" s="10"/>
      <c r="K1413" s="7">
        <v>44005609</v>
      </c>
      <c r="L1413" s="5" t="str">
        <f t="shared" si="151"/>
        <v>AR PORTO KONSOL AYNASI</v>
      </c>
      <c r="M1413" s="8">
        <v>0.15</v>
      </c>
      <c r="N1413" s="8">
        <v>0.1</v>
      </c>
      <c r="O1413" s="8">
        <v>3707</v>
      </c>
      <c r="P1413" s="8">
        <f t="shared" si="152"/>
        <v>3336.3</v>
      </c>
      <c r="Q1413" s="12">
        <f t="shared" si="153"/>
        <v>7006.2300000000005</v>
      </c>
      <c r="R1413" s="31">
        <f t="shared" si="154"/>
        <v>7000</v>
      </c>
      <c r="S1413" s="5"/>
      <c r="T1413" s="12"/>
      <c r="U1413" s="12">
        <v>32370</v>
      </c>
      <c r="V1413" s="12"/>
      <c r="W1413" s="12"/>
    </row>
    <row r="1414" spans="1:23" s="6" customFormat="1" ht="21.95" customHeight="1" x14ac:dyDescent="0.2">
      <c r="A1414" s="5" t="s">
        <v>17</v>
      </c>
      <c r="B1414" t="s">
        <v>1582</v>
      </c>
      <c r="C1414" t="s">
        <v>673</v>
      </c>
      <c r="D1414" t="s">
        <v>599</v>
      </c>
      <c r="E1414"/>
      <c r="F1414"/>
      <c r="G1414"/>
      <c r="H1414"/>
      <c r="I1414" s="10"/>
      <c r="J1414" s="10"/>
      <c r="K1414" s="7">
        <v>44005610</v>
      </c>
      <c r="L1414" s="5" t="str">
        <f t="shared" si="151"/>
        <v>AR PORTO MASA 210CM</v>
      </c>
      <c r="M1414" s="8">
        <v>0.15</v>
      </c>
      <c r="N1414" s="8">
        <v>0.1</v>
      </c>
      <c r="O1414" s="8">
        <v>23545</v>
      </c>
      <c r="P1414" s="8">
        <f t="shared" si="152"/>
        <v>21190.5</v>
      </c>
      <c r="Q1414" s="12">
        <f t="shared" si="153"/>
        <v>44500.05</v>
      </c>
      <c r="R1414" s="31">
        <f t="shared" si="154"/>
        <v>44500</v>
      </c>
      <c r="S1414" s="5"/>
      <c r="T1414" s="12"/>
      <c r="U1414" s="12">
        <v>7555</v>
      </c>
      <c r="V1414" s="12"/>
      <c r="W1414" s="12"/>
    </row>
    <row r="1415" spans="1:23" s="6" customFormat="1" ht="21.95" customHeight="1" x14ac:dyDescent="0.2">
      <c r="A1415" s="5" t="s">
        <v>17</v>
      </c>
      <c r="B1415" t="s">
        <v>1582</v>
      </c>
      <c r="C1415" t="s">
        <v>673</v>
      </c>
      <c r="D1415" t="s">
        <v>587</v>
      </c>
      <c r="E1415"/>
      <c r="F1415"/>
      <c r="G1415"/>
      <c r="H1415"/>
      <c r="I1415" s="10"/>
      <c r="J1415" s="10"/>
      <c r="K1415" s="7">
        <v>44005611</v>
      </c>
      <c r="L1415" s="5" t="str">
        <f t="shared" si="151"/>
        <v>AR PORTO MASA 180CM</v>
      </c>
      <c r="M1415" s="8">
        <v>0.15</v>
      </c>
      <c r="N1415" s="8">
        <v>0.1</v>
      </c>
      <c r="O1415" s="8">
        <v>30609</v>
      </c>
      <c r="P1415" s="8">
        <f t="shared" si="152"/>
        <v>27548.100000000002</v>
      </c>
      <c r="Q1415" s="12">
        <f t="shared" si="153"/>
        <v>57851.010000000009</v>
      </c>
      <c r="R1415" s="31">
        <f t="shared" si="154"/>
        <v>57800</v>
      </c>
      <c r="S1415" s="5"/>
      <c r="T1415" s="12"/>
      <c r="U1415" s="12">
        <v>26295</v>
      </c>
      <c r="V1415" s="12"/>
      <c r="W1415" s="12"/>
    </row>
    <row r="1416" spans="1:23" s="6" customFormat="1" ht="21.95" customHeight="1" x14ac:dyDescent="0.2">
      <c r="A1416" s="5" t="s">
        <v>17</v>
      </c>
      <c r="B1416" t="s">
        <v>1582</v>
      </c>
      <c r="C1416" t="s">
        <v>673</v>
      </c>
      <c r="D1416" t="s">
        <v>24</v>
      </c>
      <c r="E1416"/>
      <c r="F1416"/>
      <c r="G1416"/>
      <c r="H1416"/>
      <c r="I1416" s="10"/>
      <c r="J1416" s="10"/>
      <c r="K1416" s="7">
        <v>44005612</v>
      </c>
      <c r="L1416" s="5" t="str">
        <f t="shared" si="151"/>
        <v>AR PORTO MASA 240CM</v>
      </c>
      <c r="M1416" s="8">
        <v>0.15</v>
      </c>
      <c r="N1416" s="8">
        <v>0.1</v>
      </c>
      <c r="O1416" s="8">
        <v>34981</v>
      </c>
      <c r="P1416" s="8">
        <f t="shared" si="152"/>
        <v>31482.9</v>
      </c>
      <c r="Q1416" s="12">
        <f t="shared" si="153"/>
        <v>66114.090000000011</v>
      </c>
      <c r="R1416" s="31">
        <f t="shared" si="154"/>
        <v>66100</v>
      </c>
      <c r="S1416" s="5"/>
      <c r="T1416" s="12"/>
      <c r="U1416" s="12">
        <v>5175</v>
      </c>
      <c r="V1416" s="12"/>
      <c r="W1416" s="12"/>
    </row>
    <row r="1417" spans="1:23" s="6" customFormat="1" ht="21.95" customHeight="1" x14ac:dyDescent="0.2">
      <c r="A1417" s="5" t="s">
        <v>17</v>
      </c>
      <c r="B1417" t="s">
        <v>1582</v>
      </c>
      <c r="C1417" t="s">
        <v>673</v>
      </c>
      <c r="D1417" t="s">
        <v>358</v>
      </c>
      <c r="E1417"/>
      <c r="F1417"/>
      <c r="G1417"/>
      <c r="H1417"/>
      <c r="I1417" s="10"/>
      <c r="J1417" s="10"/>
      <c r="K1417" s="7">
        <v>44005613</v>
      </c>
      <c r="L1417" s="5" t="str">
        <f t="shared" si="151"/>
        <v xml:space="preserve">AR PORTO SANDALYE </v>
      </c>
      <c r="M1417" s="8">
        <v>0.15</v>
      </c>
      <c r="N1417" s="8">
        <v>0.1</v>
      </c>
      <c r="O1417" s="8">
        <v>5113</v>
      </c>
      <c r="P1417" s="8">
        <f t="shared" si="152"/>
        <v>4601.7</v>
      </c>
      <c r="Q1417" s="12">
        <f t="shared" si="153"/>
        <v>9663.57</v>
      </c>
      <c r="R1417" s="31">
        <f t="shared" si="154"/>
        <v>9600</v>
      </c>
      <c r="S1417" s="5"/>
      <c r="T1417" s="12"/>
      <c r="U1417" s="12">
        <v>18897</v>
      </c>
      <c r="V1417" s="12"/>
      <c r="W1417" s="12"/>
    </row>
    <row r="1418" spans="1:23" s="6" customFormat="1" ht="21.95" customHeight="1" x14ac:dyDescent="0.2">
      <c r="A1418" s="5" t="s">
        <v>17</v>
      </c>
      <c r="B1418" t="s">
        <v>1582</v>
      </c>
      <c r="C1418" t="s">
        <v>673</v>
      </c>
      <c r="D1418" t="s">
        <v>405</v>
      </c>
      <c r="E1418"/>
      <c r="F1418"/>
      <c r="G1418"/>
      <c r="H1418"/>
      <c r="I1418" s="10"/>
      <c r="J1418" s="10"/>
      <c r="K1418" s="7">
        <v>44005614</v>
      </c>
      <c r="L1418" s="5" t="str">
        <f t="shared" si="151"/>
        <v>AR PORTO VİTRİN</v>
      </c>
      <c r="M1418" s="8">
        <v>0.15</v>
      </c>
      <c r="N1418" s="8">
        <v>0.1</v>
      </c>
      <c r="O1418" s="8">
        <v>35225</v>
      </c>
      <c r="P1418" s="8">
        <f t="shared" si="152"/>
        <v>31702.5</v>
      </c>
      <c r="Q1418" s="12">
        <f t="shared" si="153"/>
        <v>66575.25</v>
      </c>
      <c r="R1418" s="31">
        <f t="shared" si="154"/>
        <v>66500</v>
      </c>
      <c r="S1418" s="5"/>
      <c r="T1418" s="12"/>
      <c r="U1418" s="12">
        <v>36797</v>
      </c>
      <c r="V1418" s="12"/>
      <c r="W1418" s="12"/>
    </row>
    <row r="1419" spans="1:23" s="6" customFormat="1" ht="21.95" customHeight="1" x14ac:dyDescent="0.2">
      <c r="A1419" s="5" t="s">
        <v>17</v>
      </c>
      <c r="B1419" t="s">
        <v>1582</v>
      </c>
      <c r="C1419" t="s">
        <v>673</v>
      </c>
      <c r="D1419" t="s">
        <v>588</v>
      </c>
      <c r="E1419"/>
      <c r="F1419"/>
      <c r="G1419"/>
      <c r="H1419"/>
      <c r="I1419" s="10"/>
      <c r="J1419" s="10"/>
      <c r="K1419" s="7">
        <v>44005615</v>
      </c>
      <c r="L1419" s="5" t="str">
        <f t="shared" si="151"/>
        <v xml:space="preserve">AR PORTO DRESUAR </v>
      </c>
      <c r="M1419" s="8">
        <v>0.15</v>
      </c>
      <c r="N1419" s="8">
        <v>0.1</v>
      </c>
      <c r="O1419" s="8">
        <v>23680</v>
      </c>
      <c r="P1419" s="8">
        <f t="shared" si="152"/>
        <v>21312</v>
      </c>
      <c r="Q1419" s="12">
        <f t="shared" si="153"/>
        <v>44755.200000000004</v>
      </c>
      <c r="R1419" s="31">
        <f t="shared" si="154"/>
        <v>44700</v>
      </c>
      <c r="S1419" s="5"/>
      <c r="T1419" s="12"/>
      <c r="U1419" s="12">
        <v>30975</v>
      </c>
      <c r="V1419" s="12"/>
      <c r="W1419" s="12"/>
    </row>
    <row r="1420" spans="1:23" s="6" customFormat="1" ht="21.95" customHeight="1" x14ac:dyDescent="0.2">
      <c r="A1420" s="5" t="s">
        <v>17</v>
      </c>
      <c r="B1420" t="s">
        <v>1582</v>
      </c>
      <c r="C1420" t="s">
        <v>673</v>
      </c>
      <c r="D1420" t="s">
        <v>674</v>
      </c>
      <c r="E1420"/>
      <c r="F1420"/>
      <c r="G1420"/>
      <c r="H1420"/>
      <c r="I1420" s="10"/>
      <c r="J1420" s="10"/>
      <c r="K1420" s="7">
        <v>44005616</v>
      </c>
      <c r="L1420" s="5" t="str">
        <f t="shared" si="151"/>
        <v>AR PORTO TV ÜNİTESİ SOL RAFLI MODÜL</v>
      </c>
      <c r="M1420" s="8">
        <v>0.15</v>
      </c>
      <c r="N1420" s="8">
        <v>0.1</v>
      </c>
      <c r="O1420" s="8">
        <v>32725</v>
      </c>
      <c r="P1420" s="8">
        <f t="shared" si="152"/>
        <v>29452.5</v>
      </c>
      <c r="Q1420" s="12">
        <f t="shared" si="153"/>
        <v>61850.25</v>
      </c>
      <c r="R1420" s="31">
        <f t="shared" si="154"/>
        <v>61800</v>
      </c>
      <c r="S1420" s="5"/>
      <c r="T1420" s="12"/>
      <c r="U1420" s="12">
        <v>14970</v>
      </c>
      <c r="V1420" s="12"/>
      <c r="W1420" s="12"/>
    </row>
    <row r="1421" spans="1:23" s="6" customFormat="1" ht="21.95" customHeight="1" x14ac:dyDescent="0.2">
      <c r="A1421" s="5" t="s">
        <v>17</v>
      </c>
      <c r="B1421" t="s">
        <v>1582</v>
      </c>
      <c r="C1421" t="s">
        <v>673</v>
      </c>
      <c r="D1421" t="s">
        <v>675</v>
      </c>
      <c r="E1421"/>
      <c r="F1421"/>
      <c r="G1421"/>
      <c r="H1421"/>
      <c r="I1421" s="10"/>
      <c r="J1421" s="10"/>
      <c r="K1421" s="7">
        <v>44005617</v>
      </c>
      <c r="L1421" s="5" t="str">
        <f t="shared" si="151"/>
        <v>AR PORTO TV ÜNİTESİ ORTA MODÜL</v>
      </c>
      <c r="M1421" s="8">
        <v>0.15</v>
      </c>
      <c r="N1421" s="8">
        <v>0.1</v>
      </c>
      <c r="O1421" s="8">
        <v>21090</v>
      </c>
      <c r="P1421" s="8">
        <f t="shared" si="152"/>
        <v>18981</v>
      </c>
      <c r="Q1421" s="12">
        <f t="shared" si="153"/>
        <v>39860.1</v>
      </c>
      <c r="R1421" s="31">
        <f t="shared" si="154"/>
        <v>39800</v>
      </c>
      <c r="S1421" s="5"/>
      <c r="T1421" s="12"/>
      <c r="U1421" s="12">
        <v>22060</v>
      </c>
      <c r="V1421" s="12"/>
      <c r="W1421" s="12"/>
    </row>
    <row r="1422" spans="1:23" s="6" customFormat="1" ht="21.95" customHeight="1" x14ac:dyDescent="0.2">
      <c r="A1422" s="5" t="s">
        <v>17</v>
      </c>
      <c r="B1422" t="s">
        <v>1582</v>
      </c>
      <c r="C1422" t="s">
        <v>673</v>
      </c>
      <c r="D1422" t="s">
        <v>651</v>
      </c>
      <c r="E1422"/>
      <c r="F1422"/>
      <c r="G1422"/>
      <c r="H1422"/>
      <c r="I1422" s="10"/>
      <c r="J1422" s="10"/>
      <c r="K1422" s="7">
        <v>44005618</v>
      </c>
      <c r="L1422" s="5" t="str">
        <f t="shared" si="151"/>
        <v>AR PORTO TV ÜNİTESİ SAĞ RAFLI MODÜL</v>
      </c>
      <c r="M1422" s="8">
        <v>0.15</v>
      </c>
      <c r="N1422" s="8">
        <v>0.1</v>
      </c>
      <c r="O1422" s="8">
        <v>32725</v>
      </c>
      <c r="P1422" s="8">
        <f t="shared" si="152"/>
        <v>29452.5</v>
      </c>
      <c r="Q1422" s="12">
        <f t="shared" si="153"/>
        <v>61850.25</v>
      </c>
      <c r="R1422" s="31">
        <f t="shared" si="154"/>
        <v>61800</v>
      </c>
      <c r="S1422" s="5"/>
      <c r="T1422" s="12"/>
      <c r="U1422" s="12">
        <v>11542</v>
      </c>
      <c r="V1422" s="12"/>
      <c r="W1422" s="12"/>
    </row>
    <row r="1423" spans="1:23" s="6" customFormat="1" ht="21.95" customHeight="1" x14ac:dyDescent="0.2">
      <c r="A1423" s="5" t="s">
        <v>17</v>
      </c>
      <c r="B1423" t="s">
        <v>1582</v>
      </c>
      <c r="C1423" t="s">
        <v>673</v>
      </c>
      <c r="D1423" t="s">
        <v>496</v>
      </c>
      <c r="E1423"/>
      <c r="F1423"/>
      <c r="G1423"/>
      <c r="H1423"/>
      <c r="I1423" s="10"/>
      <c r="J1423" s="10"/>
      <c r="K1423" s="7">
        <v>44005619</v>
      </c>
      <c r="L1423" s="5" t="str">
        <f t="shared" si="151"/>
        <v>AR PORTO TV ÜNİTESİ ALT MODÜL</v>
      </c>
      <c r="M1423" s="8">
        <v>0.15</v>
      </c>
      <c r="N1423" s="8">
        <v>0.1</v>
      </c>
      <c r="O1423" s="8">
        <v>35310</v>
      </c>
      <c r="P1423" s="8">
        <f t="shared" si="152"/>
        <v>31779</v>
      </c>
      <c r="Q1423" s="12">
        <f t="shared" si="153"/>
        <v>66735.900000000009</v>
      </c>
      <c r="R1423" s="31">
        <f t="shared" si="154"/>
        <v>66700</v>
      </c>
      <c r="S1423" s="5"/>
      <c r="T1423" s="12"/>
      <c r="U1423" s="12">
        <v>5945</v>
      </c>
      <c r="V1423" s="12"/>
      <c r="W1423" s="12"/>
    </row>
    <row r="1424" spans="1:23" s="6" customFormat="1" ht="21.95" customHeight="1" x14ac:dyDescent="0.2">
      <c r="A1424" s="5" t="s">
        <v>17</v>
      </c>
      <c r="B1424" t="s">
        <v>1582</v>
      </c>
      <c r="C1424" t="s">
        <v>673</v>
      </c>
      <c r="D1424" t="s">
        <v>676</v>
      </c>
      <c r="E1424"/>
      <c r="F1424"/>
      <c r="G1424"/>
      <c r="H1424"/>
      <c r="I1424" s="10"/>
      <c r="J1424" s="10"/>
      <c r="K1424" s="7">
        <v>44005620</v>
      </c>
      <c r="L1424" s="5" t="str">
        <f t="shared" si="151"/>
        <v>AR PORTO TAMAMLAYICI SOL RAFLI MODÜL</v>
      </c>
      <c r="M1424" s="8">
        <v>0.15</v>
      </c>
      <c r="N1424" s="8">
        <v>0.1</v>
      </c>
      <c r="O1424" s="8">
        <v>24415</v>
      </c>
      <c r="P1424" s="8">
        <f t="shared" si="152"/>
        <v>21973.5</v>
      </c>
      <c r="Q1424" s="12">
        <f t="shared" si="153"/>
        <v>46144.35</v>
      </c>
      <c r="R1424" s="31">
        <f t="shared" si="154"/>
        <v>46100</v>
      </c>
      <c r="S1424" s="5"/>
      <c r="T1424" s="12"/>
      <c r="U1424" s="12">
        <v>5650</v>
      </c>
      <c r="V1424" s="12"/>
      <c r="W1424" s="12"/>
    </row>
    <row r="1425" spans="1:23" s="6" customFormat="1" ht="21.95" customHeight="1" x14ac:dyDescent="0.2">
      <c r="A1425" s="5" t="s">
        <v>17</v>
      </c>
      <c r="B1425" t="s">
        <v>1582</v>
      </c>
      <c r="C1425" t="s">
        <v>673</v>
      </c>
      <c r="D1425" t="s">
        <v>677</v>
      </c>
      <c r="E1425"/>
      <c r="F1425"/>
      <c r="G1425"/>
      <c r="H1425"/>
      <c r="I1425" s="10"/>
      <c r="J1425" s="10"/>
      <c r="K1425" s="7">
        <v>44005621</v>
      </c>
      <c r="L1425" s="5" t="str">
        <f t="shared" si="151"/>
        <v>AR PORTO TAMAMLAYICI SAĞ RAFLI MODÜL</v>
      </c>
      <c r="M1425" s="8">
        <v>0.15</v>
      </c>
      <c r="N1425" s="8">
        <v>0.1</v>
      </c>
      <c r="O1425" s="8">
        <v>24415</v>
      </c>
      <c r="P1425" s="8">
        <f t="shared" si="152"/>
        <v>21973.5</v>
      </c>
      <c r="Q1425" s="12">
        <f t="shared" si="153"/>
        <v>46144.35</v>
      </c>
      <c r="R1425" s="31">
        <f t="shared" si="154"/>
        <v>46100</v>
      </c>
      <c r="S1425" s="5"/>
      <c r="T1425" s="12"/>
      <c r="U1425" s="12">
        <v>36830</v>
      </c>
      <c r="V1425" s="12"/>
      <c r="W1425" s="12"/>
    </row>
    <row r="1426" spans="1:23" s="6" customFormat="1" ht="21.95" customHeight="1" x14ac:dyDescent="0.2">
      <c r="A1426" s="5" t="s">
        <v>17</v>
      </c>
      <c r="B1426" t="s">
        <v>1582</v>
      </c>
      <c r="C1426" t="s">
        <v>673</v>
      </c>
      <c r="D1426" t="s">
        <v>678</v>
      </c>
      <c r="E1426"/>
      <c r="F1426"/>
      <c r="G1426"/>
      <c r="H1426"/>
      <c r="I1426" s="10"/>
      <c r="J1426" s="10"/>
      <c r="K1426" s="7">
        <v>44005622</v>
      </c>
      <c r="L1426" s="5" t="str">
        <f t="shared" si="151"/>
        <v>AR PORTO ORTA SEHPA AHŞAP AYAKLI</v>
      </c>
      <c r="M1426" s="8">
        <v>0.15</v>
      </c>
      <c r="N1426" s="8">
        <v>0.1</v>
      </c>
      <c r="O1426" s="8">
        <v>21585</v>
      </c>
      <c r="P1426" s="8">
        <f t="shared" si="152"/>
        <v>19426.5</v>
      </c>
      <c r="Q1426" s="12">
        <f t="shared" si="153"/>
        <v>40795.65</v>
      </c>
      <c r="R1426" s="31">
        <f t="shared" si="154"/>
        <v>40700</v>
      </c>
      <c r="S1426" s="5"/>
      <c r="T1426" s="12"/>
      <c r="U1426" s="12">
        <v>31855</v>
      </c>
      <c r="V1426" s="12"/>
      <c r="W1426" s="12"/>
    </row>
    <row r="1427" spans="1:23" s="6" customFormat="1" ht="21.95" customHeight="1" x14ac:dyDescent="0.2">
      <c r="A1427" s="5" t="s">
        <v>17</v>
      </c>
      <c r="B1427" t="s">
        <v>1582</v>
      </c>
      <c r="C1427" t="s">
        <v>673</v>
      </c>
      <c r="D1427" t="s">
        <v>679</v>
      </c>
      <c r="E1427"/>
      <c r="F1427"/>
      <c r="G1427"/>
      <c r="H1427"/>
      <c r="I1427" s="10"/>
      <c r="J1427" s="10"/>
      <c r="K1427" s="7">
        <v>44005623</v>
      </c>
      <c r="L1427" s="5" t="str">
        <f t="shared" ref="L1427:L1490" si="155">B1427&amp;" "&amp;C1427&amp;" "&amp;D1427</f>
        <v>AR PORTO ORTA SEHPA METAL AYAKLI</v>
      </c>
      <c r="M1427" s="8">
        <v>0.15</v>
      </c>
      <c r="N1427" s="8">
        <v>0.1</v>
      </c>
      <c r="O1427" s="8">
        <v>14355</v>
      </c>
      <c r="P1427" s="8">
        <f t="shared" si="152"/>
        <v>12919.5</v>
      </c>
      <c r="Q1427" s="12">
        <f t="shared" si="153"/>
        <v>27130.95</v>
      </c>
      <c r="R1427" s="31">
        <f t="shared" si="154"/>
        <v>27100</v>
      </c>
      <c r="S1427" s="5"/>
      <c r="T1427" s="12"/>
      <c r="U1427" s="12">
        <v>15245</v>
      </c>
      <c r="V1427" s="12"/>
      <c r="W1427" s="12"/>
    </row>
    <row r="1428" spans="1:23" s="6" customFormat="1" ht="21.95" customHeight="1" x14ac:dyDescent="0.2">
      <c r="A1428" s="5" t="s">
        <v>17</v>
      </c>
      <c r="B1428" t="s">
        <v>1582</v>
      </c>
      <c r="C1428" t="s">
        <v>673</v>
      </c>
      <c r="D1428" t="s">
        <v>30</v>
      </c>
      <c r="E1428"/>
      <c r="F1428"/>
      <c r="G1428"/>
      <c r="H1428"/>
      <c r="I1428" s="10"/>
      <c r="J1428" s="10"/>
      <c r="K1428" s="7">
        <v>44005624</v>
      </c>
      <c r="L1428" s="5" t="str">
        <f t="shared" si="155"/>
        <v>AR PORTO YAN SEHPA</v>
      </c>
      <c r="M1428" s="8">
        <v>0.15</v>
      </c>
      <c r="N1428" s="8">
        <v>0.1</v>
      </c>
      <c r="O1428" s="8">
        <v>12430</v>
      </c>
      <c r="P1428" s="8">
        <f t="shared" si="152"/>
        <v>11187</v>
      </c>
      <c r="Q1428" s="12">
        <f t="shared" si="153"/>
        <v>23492.7</v>
      </c>
      <c r="R1428" s="31">
        <f t="shared" si="154"/>
        <v>23400</v>
      </c>
      <c r="S1428" s="5"/>
      <c r="T1428" s="12"/>
      <c r="U1428" s="12">
        <v>5625</v>
      </c>
      <c r="V1428" s="12"/>
      <c r="W1428" s="12"/>
    </row>
    <row r="1429" spans="1:23" s="6" customFormat="1" ht="21.95" customHeight="1" x14ac:dyDescent="0.2">
      <c r="A1429" s="5" t="s">
        <v>17</v>
      </c>
      <c r="B1429" t="s">
        <v>1582</v>
      </c>
      <c r="C1429" t="s">
        <v>673</v>
      </c>
      <c r="D1429" t="s">
        <v>591</v>
      </c>
      <c r="E1429"/>
      <c r="F1429"/>
      <c r="G1429"/>
      <c r="H1429"/>
      <c r="I1429" s="10"/>
      <c r="J1429" s="10"/>
      <c r="K1429" s="7">
        <v>44005625</v>
      </c>
      <c r="L1429" s="5" t="str">
        <f t="shared" si="155"/>
        <v>AR PORTO SERVİS SEHPASI</v>
      </c>
      <c r="M1429" s="8">
        <v>0.15</v>
      </c>
      <c r="N1429" s="8">
        <v>0.1</v>
      </c>
      <c r="O1429" s="8">
        <v>11960</v>
      </c>
      <c r="P1429" s="8">
        <f t="shared" si="152"/>
        <v>10764</v>
      </c>
      <c r="Q1429" s="12">
        <f t="shared" si="153"/>
        <v>22604.400000000001</v>
      </c>
      <c r="R1429" s="31">
        <f t="shared" si="154"/>
        <v>22600</v>
      </c>
      <c r="S1429" s="5"/>
      <c r="T1429" s="12"/>
      <c r="U1429" s="12">
        <v>17850</v>
      </c>
      <c r="V1429" s="12"/>
      <c r="W1429" s="12"/>
    </row>
    <row r="1430" spans="1:23" s="6" customFormat="1" ht="21.95" customHeight="1" x14ac:dyDescent="0.2">
      <c r="A1430" s="5" t="s">
        <v>17</v>
      </c>
      <c r="B1430" t="s">
        <v>1582</v>
      </c>
      <c r="C1430" t="s">
        <v>673</v>
      </c>
      <c r="D1430" t="s">
        <v>31</v>
      </c>
      <c r="E1430"/>
      <c r="F1430"/>
      <c r="G1430"/>
      <c r="H1430"/>
      <c r="I1430" s="10"/>
      <c r="J1430" s="10"/>
      <c r="K1430" s="7">
        <v>44005626</v>
      </c>
      <c r="L1430" s="5" t="str">
        <f t="shared" si="155"/>
        <v>AR PORTO KOLTUK 4 LÜ</v>
      </c>
      <c r="M1430" s="8">
        <v>0.15</v>
      </c>
      <c r="N1430" s="8">
        <v>0.1</v>
      </c>
      <c r="O1430" s="8">
        <v>34105</v>
      </c>
      <c r="P1430" s="8">
        <f t="shared" si="152"/>
        <v>30694.5</v>
      </c>
      <c r="Q1430" s="12">
        <f t="shared" si="153"/>
        <v>64458.450000000004</v>
      </c>
      <c r="R1430" s="31">
        <f t="shared" si="154"/>
        <v>64400</v>
      </c>
      <c r="S1430" s="5"/>
      <c r="T1430" s="12"/>
      <c r="U1430" s="12">
        <v>14346</v>
      </c>
      <c r="V1430" s="12"/>
      <c r="W1430" s="12"/>
    </row>
    <row r="1431" spans="1:23" s="6" customFormat="1" ht="21.95" customHeight="1" x14ac:dyDescent="0.2">
      <c r="A1431" s="5" t="s">
        <v>17</v>
      </c>
      <c r="B1431" t="s">
        <v>1582</v>
      </c>
      <c r="C1431" t="s">
        <v>673</v>
      </c>
      <c r="D1431" t="s">
        <v>32</v>
      </c>
      <c r="E1431"/>
      <c r="F1431"/>
      <c r="G1431"/>
      <c r="H1431"/>
      <c r="I1431" s="10"/>
      <c r="J1431" s="10"/>
      <c r="K1431" s="7">
        <v>44005627</v>
      </c>
      <c r="L1431" s="5" t="str">
        <f t="shared" si="155"/>
        <v>AR PORTO KOLTUK 3 LÜ</v>
      </c>
      <c r="M1431" s="8">
        <v>0.15</v>
      </c>
      <c r="N1431" s="8">
        <v>0.1</v>
      </c>
      <c r="O1431" s="8">
        <v>31080</v>
      </c>
      <c r="P1431" s="8">
        <f t="shared" si="152"/>
        <v>27972</v>
      </c>
      <c r="Q1431" s="12">
        <f t="shared" si="153"/>
        <v>58741.200000000004</v>
      </c>
      <c r="R1431" s="31">
        <f t="shared" si="154"/>
        <v>58700</v>
      </c>
      <c r="S1431" s="5"/>
      <c r="T1431" s="12"/>
      <c r="U1431" s="12">
        <v>18778</v>
      </c>
      <c r="V1431" s="12"/>
      <c r="W1431" s="12"/>
    </row>
    <row r="1432" spans="1:23" s="6" customFormat="1" ht="21.95" customHeight="1" x14ac:dyDescent="0.2">
      <c r="A1432" s="5" t="s">
        <v>17</v>
      </c>
      <c r="B1432" t="s">
        <v>1582</v>
      </c>
      <c r="C1432" t="s">
        <v>673</v>
      </c>
      <c r="D1432" t="s">
        <v>592</v>
      </c>
      <c r="E1432"/>
      <c r="F1432"/>
      <c r="G1432"/>
      <c r="H1432"/>
      <c r="I1432" s="10"/>
      <c r="J1432" s="10"/>
      <c r="K1432" s="7">
        <v>44005628</v>
      </c>
      <c r="L1432" s="5" t="str">
        <f t="shared" si="155"/>
        <v>AR PORTO KOLTUK TEKLİ</v>
      </c>
      <c r="M1432" s="8">
        <v>0.15</v>
      </c>
      <c r="N1432" s="8">
        <v>0.1</v>
      </c>
      <c r="O1432" s="8">
        <v>15925</v>
      </c>
      <c r="P1432" s="8">
        <f t="shared" si="152"/>
        <v>14332.5</v>
      </c>
      <c r="Q1432" s="12">
        <f t="shared" si="153"/>
        <v>30098.25</v>
      </c>
      <c r="R1432" s="31">
        <f t="shared" si="154"/>
        <v>30000</v>
      </c>
      <c r="S1432" s="5"/>
      <c r="T1432" s="12"/>
      <c r="U1432" s="12">
        <v>17182</v>
      </c>
      <c r="V1432" s="12"/>
      <c r="W1432" s="12"/>
    </row>
    <row r="1433" spans="1:23" s="6" customFormat="1" ht="21.95" customHeight="1" x14ac:dyDescent="0.2">
      <c r="A1433" s="5" t="s">
        <v>17</v>
      </c>
      <c r="B1433" t="s">
        <v>1582</v>
      </c>
      <c r="C1433" t="s">
        <v>673</v>
      </c>
      <c r="D1433" t="s">
        <v>593</v>
      </c>
      <c r="E1433"/>
      <c r="F1433"/>
      <c r="G1433"/>
      <c r="H1433"/>
      <c r="I1433" s="10"/>
      <c r="J1433" s="10"/>
      <c r="K1433" s="7">
        <v>44005629</v>
      </c>
      <c r="L1433" s="5" t="str">
        <f t="shared" si="155"/>
        <v>AR PORTO KARYOLA İÇ KAYITLI 160CM</v>
      </c>
      <c r="M1433" s="8">
        <v>0.15</v>
      </c>
      <c r="N1433" s="8">
        <v>0.1</v>
      </c>
      <c r="O1433" s="8">
        <v>29550</v>
      </c>
      <c r="P1433" s="8">
        <f t="shared" si="152"/>
        <v>26595</v>
      </c>
      <c r="Q1433" s="12">
        <f t="shared" si="153"/>
        <v>55849.5</v>
      </c>
      <c r="R1433" s="31">
        <f t="shared" si="154"/>
        <v>55800</v>
      </c>
      <c r="S1433" s="5"/>
      <c r="T1433" s="12"/>
      <c r="U1433" s="12">
        <v>21150</v>
      </c>
      <c r="V1433" s="12"/>
      <c r="W1433" s="12"/>
    </row>
    <row r="1434" spans="1:23" s="6" customFormat="1" ht="21.95" customHeight="1" x14ac:dyDescent="0.2">
      <c r="A1434" s="5" t="s">
        <v>17</v>
      </c>
      <c r="B1434" t="s">
        <v>1582</v>
      </c>
      <c r="C1434" t="s">
        <v>673</v>
      </c>
      <c r="D1434" t="s">
        <v>75</v>
      </c>
      <c r="E1434"/>
      <c r="F1434"/>
      <c r="G1434"/>
      <c r="H1434"/>
      <c r="I1434" s="10"/>
      <c r="J1434" s="10"/>
      <c r="K1434" s="7">
        <v>44005630</v>
      </c>
      <c r="L1434" s="5" t="str">
        <f t="shared" si="155"/>
        <v>AR PORTO KARYOLA BAZALI 160CM</v>
      </c>
      <c r="M1434" s="8">
        <v>0.15</v>
      </c>
      <c r="N1434" s="8">
        <v>0.1</v>
      </c>
      <c r="O1434" s="8">
        <v>34150</v>
      </c>
      <c r="P1434" s="8">
        <f t="shared" si="152"/>
        <v>30735</v>
      </c>
      <c r="Q1434" s="12">
        <f t="shared" si="153"/>
        <v>64543.5</v>
      </c>
      <c r="R1434" s="31">
        <f t="shared" si="154"/>
        <v>64500</v>
      </c>
      <c r="S1434" s="5"/>
      <c r="T1434" s="12"/>
      <c r="U1434" s="12">
        <v>14170</v>
      </c>
      <c r="V1434" s="12"/>
      <c r="W1434" s="12"/>
    </row>
    <row r="1435" spans="1:23" s="6" customFormat="1" ht="21.95" customHeight="1" x14ac:dyDescent="0.2">
      <c r="A1435" s="5" t="s">
        <v>17</v>
      </c>
      <c r="B1435" t="s">
        <v>1582</v>
      </c>
      <c r="C1435" t="s">
        <v>673</v>
      </c>
      <c r="D1435" t="s">
        <v>76</v>
      </c>
      <c r="E1435"/>
      <c r="F1435"/>
      <c r="G1435"/>
      <c r="H1435"/>
      <c r="I1435" s="10"/>
      <c r="J1435" s="10"/>
      <c r="K1435" s="7">
        <v>44005631</v>
      </c>
      <c r="L1435" s="5" t="str">
        <f t="shared" si="155"/>
        <v>AR PORTO KARYOLA BAZALI 180CM</v>
      </c>
      <c r="M1435" s="8">
        <v>0.15</v>
      </c>
      <c r="N1435" s="8">
        <v>0.1</v>
      </c>
      <c r="O1435" s="8">
        <v>36650</v>
      </c>
      <c r="P1435" s="8">
        <f t="shared" si="152"/>
        <v>32985</v>
      </c>
      <c r="Q1435" s="12">
        <f t="shared" si="153"/>
        <v>69268.5</v>
      </c>
      <c r="R1435" s="31">
        <f t="shared" si="154"/>
        <v>69200</v>
      </c>
      <c r="S1435" s="5"/>
      <c r="T1435" s="12"/>
      <c r="U1435" s="12">
        <v>12780</v>
      </c>
      <c r="V1435" s="12"/>
      <c r="W1435" s="12"/>
    </row>
    <row r="1436" spans="1:23" s="6" customFormat="1" ht="21.95" customHeight="1" x14ac:dyDescent="0.2">
      <c r="A1436" s="5" t="s">
        <v>17</v>
      </c>
      <c r="B1436" t="s">
        <v>1582</v>
      </c>
      <c r="C1436" t="s">
        <v>673</v>
      </c>
      <c r="D1436" t="s">
        <v>594</v>
      </c>
      <c r="E1436"/>
      <c r="F1436"/>
      <c r="G1436"/>
      <c r="H1436"/>
      <c r="I1436" s="10"/>
      <c r="J1436" s="10"/>
      <c r="K1436" s="7">
        <v>44005632</v>
      </c>
      <c r="L1436" s="5" t="str">
        <f t="shared" si="155"/>
        <v>AR PORTO KARYOLA İÇ KAYITLI 180CM</v>
      </c>
      <c r="M1436" s="8">
        <v>0.15</v>
      </c>
      <c r="N1436" s="8">
        <v>0.1</v>
      </c>
      <c r="O1436" s="8">
        <v>32050</v>
      </c>
      <c r="P1436" s="8">
        <f t="shared" si="152"/>
        <v>28845</v>
      </c>
      <c r="Q1436" s="12">
        <f t="shared" si="153"/>
        <v>60574.5</v>
      </c>
      <c r="R1436" s="31">
        <f t="shared" si="154"/>
        <v>60500</v>
      </c>
      <c r="S1436" s="5"/>
      <c r="T1436" s="12"/>
      <c r="U1436" s="12">
        <v>20370</v>
      </c>
      <c r="V1436" s="12"/>
      <c r="W1436" s="12"/>
    </row>
    <row r="1437" spans="1:23" s="6" customFormat="1" ht="21.95" customHeight="1" x14ac:dyDescent="0.2">
      <c r="A1437" s="5" t="s">
        <v>17</v>
      </c>
      <c r="B1437" t="s">
        <v>1582</v>
      </c>
      <c r="C1437" t="s">
        <v>673</v>
      </c>
      <c r="D1437" t="s">
        <v>362</v>
      </c>
      <c r="E1437"/>
      <c r="F1437"/>
      <c r="G1437"/>
      <c r="H1437"/>
      <c r="I1437" s="10"/>
      <c r="J1437" s="10"/>
      <c r="K1437" s="7">
        <v>44005633</v>
      </c>
      <c r="L1437" s="5" t="str">
        <f t="shared" si="155"/>
        <v>AR PORTO KOMODİN</v>
      </c>
      <c r="M1437" s="8">
        <v>0.15</v>
      </c>
      <c r="N1437" s="8">
        <v>0.1</v>
      </c>
      <c r="O1437" s="8">
        <v>7660</v>
      </c>
      <c r="P1437" s="8">
        <f t="shared" si="152"/>
        <v>6894</v>
      </c>
      <c r="Q1437" s="12">
        <f t="shared" si="153"/>
        <v>14477.400000000001</v>
      </c>
      <c r="R1437" s="31">
        <f t="shared" si="154"/>
        <v>14400</v>
      </c>
      <c r="S1437" s="5"/>
      <c r="T1437" s="12"/>
      <c r="U1437" s="12">
        <v>25760</v>
      </c>
      <c r="V1437" s="12"/>
      <c r="W1437" s="12"/>
    </row>
    <row r="1438" spans="1:23" s="6" customFormat="1" ht="21.95" customHeight="1" x14ac:dyDescent="0.2">
      <c r="A1438" s="5" t="s">
        <v>17</v>
      </c>
      <c r="B1438" t="s">
        <v>1582</v>
      </c>
      <c r="C1438" t="s">
        <v>673</v>
      </c>
      <c r="D1438" t="s">
        <v>361</v>
      </c>
      <c r="E1438"/>
      <c r="F1438"/>
      <c r="G1438"/>
      <c r="H1438"/>
      <c r="I1438" s="10"/>
      <c r="J1438" s="10"/>
      <c r="K1438" s="7">
        <v>44005634</v>
      </c>
      <c r="L1438" s="5" t="str">
        <f t="shared" si="155"/>
        <v>AR PORTO DOLAP</v>
      </c>
      <c r="M1438" s="8">
        <v>0.15</v>
      </c>
      <c r="N1438" s="8">
        <v>0.1</v>
      </c>
      <c r="O1438" s="8">
        <v>45815</v>
      </c>
      <c r="P1438" s="8">
        <f t="shared" si="152"/>
        <v>41233.5</v>
      </c>
      <c r="Q1438" s="12">
        <f t="shared" si="153"/>
        <v>86590.35</v>
      </c>
      <c r="R1438" s="31">
        <f t="shared" si="154"/>
        <v>86500</v>
      </c>
      <c r="S1438" s="5"/>
      <c r="T1438" s="12"/>
      <c r="U1438" s="12">
        <v>7875</v>
      </c>
      <c r="V1438" s="12"/>
      <c r="W1438" s="12"/>
    </row>
    <row r="1439" spans="1:23" s="6" customFormat="1" ht="21.95" customHeight="1" x14ac:dyDescent="0.2">
      <c r="A1439" s="5" t="s">
        <v>17</v>
      </c>
      <c r="B1439" t="s">
        <v>1582</v>
      </c>
      <c r="C1439" t="s">
        <v>673</v>
      </c>
      <c r="D1439" t="s">
        <v>595</v>
      </c>
      <c r="E1439"/>
      <c r="F1439"/>
      <c r="G1439"/>
      <c r="H1439"/>
      <c r="I1439" s="10"/>
      <c r="J1439" s="10"/>
      <c r="K1439" s="7">
        <v>44005635</v>
      </c>
      <c r="L1439" s="5" t="str">
        <f t="shared" si="155"/>
        <v>AR PORTO ŞİFONYER &amp; AYNASI</v>
      </c>
      <c r="M1439" s="8">
        <v>0.15</v>
      </c>
      <c r="N1439" s="8">
        <v>0.1</v>
      </c>
      <c r="O1439" s="8">
        <v>23020</v>
      </c>
      <c r="P1439" s="8">
        <f t="shared" si="152"/>
        <v>20718</v>
      </c>
      <c r="Q1439" s="12">
        <f t="shared" si="153"/>
        <v>43507.8</v>
      </c>
      <c r="R1439" s="31">
        <f t="shared" si="154"/>
        <v>43500</v>
      </c>
      <c r="S1439" s="5"/>
      <c r="T1439" s="12"/>
      <c r="U1439" s="12">
        <v>3395</v>
      </c>
      <c r="V1439" s="12"/>
      <c r="W1439" s="12"/>
    </row>
    <row r="1440" spans="1:23" s="6" customFormat="1" ht="21.95" customHeight="1" x14ac:dyDescent="0.2">
      <c r="A1440" s="5" t="s">
        <v>17</v>
      </c>
      <c r="B1440" t="s">
        <v>1582</v>
      </c>
      <c r="C1440" t="s">
        <v>673</v>
      </c>
      <c r="D1440" t="s">
        <v>126</v>
      </c>
      <c r="E1440"/>
      <c r="F1440"/>
      <c r="G1440"/>
      <c r="H1440"/>
      <c r="I1440" s="10"/>
      <c r="J1440" s="10"/>
      <c r="K1440" s="7">
        <v>44005636</v>
      </c>
      <c r="L1440" s="5" t="str">
        <f t="shared" si="155"/>
        <v>AR PORTO ÇAMAŞIRLIK</v>
      </c>
      <c r="M1440" s="8">
        <v>0.15</v>
      </c>
      <c r="N1440" s="8">
        <v>0.1</v>
      </c>
      <c r="O1440" s="8">
        <v>12880</v>
      </c>
      <c r="P1440" s="8">
        <f t="shared" si="152"/>
        <v>11592</v>
      </c>
      <c r="Q1440" s="12">
        <f t="shared" si="153"/>
        <v>24343.200000000001</v>
      </c>
      <c r="R1440" s="31">
        <f t="shared" si="154"/>
        <v>24300</v>
      </c>
      <c r="S1440" s="5"/>
      <c r="T1440" s="12"/>
      <c r="U1440" s="12">
        <v>6960</v>
      </c>
      <c r="V1440" s="12"/>
      <c r="W1440" s="12"/>
    </row>
    <row r="1441" spans="1:23" s="6" customFormat="1" ht="21.95" customHeight="1" x14ac:dyDescent="0.2">
      <c r="A1441" s="5" t="s">
        <v>17</v>
      </c>
      <c r="B1441" t="s">
        <v>1582</v>
      </c>
      <c r="C1441" t="s">
        <v>673</v>
      </c>
      <c r="D1441" t="s">
        <v>82</v>
      </c>
      <c r="E1441"/>
      <c r="F1441"/>
      <c r="G1441"/>
      <c r="H1441"/>
      <c r="I1441" s="10"/>
      <c r="J1441" s="10"/>
      <c r="K1441" s="7">
        <v>44005637</v>
      </c>
      <c r="L1441" s="5" t="str">
        <f t="shared" si="155"/>
        <v>AR PORTO BOY AYNASI</v>
      </c>
      <c r="M1441" s="8">
        <v>0.15</v>
      </c>
      <c r="N1441" s="8">
        <v>0.1</v>
      </c>
      <c r="O1441" s="8">
        <v>4305</v>
      </c>
      <c r="P1441" s="8">
        <f t="shared" si="152"/>
        <v>3874.5</v>
      </c>
      <c r="Q1441" s="12">
        <f t="shared" si="153"/>
        <v>8136.4500000000007</v>
      </c>
      <c r="R1441" s="31">
        <f t="shared" si="154"/>
        <v>8100</v>
      </c>
      <c r="S1441" s="5"/>
      <c r="T1441" s="12"/>
      <c r="U1441" s="12">
        <v>25613</v>
      </c>
      <c r="V1441" s="12"/>
      <c r="W1441" s="12"/>
    </row>
    <row r="1442" spans="1:23" s="6" customFormat="1" ht="21.95" customHeight="1" x14ac:dyDescent="0.2">
      <c r="A1442" s="5" t="s">
        <v>17</v>
      </c>
      <c r="B1442" t="s">
        <v>1582</v>
      </c>
      <c r="C1442" t="s">
        <v>673</v>
      </c>
      <c r="D1442" t="s">
        <v>119</v>
      </c>
      <c r="E1442"/>
      <c r="F1442"/>
      <c r="G1442"/>
      <c r="H1442"/>
      <c r="I1442" s="10"/>
      <c r="J1442" s="10"/>
      <c r="K1442" s="7">
        <v>44005638</v>
      </c>
      <c r="L1442" s="5" t="str">
        <f t="shared" si="155"/>
        <v>AR PORTO PUF</v>
      </c>
      <c r="M1442" s="8">
        <v>0.15</v>
      </c>
      <c r="N1442" s="8">
        <v>0.1</v>
      </c>
      <c r="O1442" s="8">
        <v>2990</v>
      </c>
      <c r="P1442" s="8">
        <f t="shared" si="152"/>
        <v>2691</v>
      </c>
      <c r="Q1442" s="12">
        <f t="shared" si="153"/>
        <v>5651.1</v>
      </c>
      <c r="R1442" s="31">
        <f t="shared" si="154"/>
        <v>5600</v>
      </c>
      <c r="S1442" s="5"/>
      <c r="T1442" s="12"/>
      <c r="U1442" s="12">
        <v>32809</v>
      </c>
      <c r="V1442" s="12"/>
      <c r="W1442" s="12"/>
    </row>
    <row r="1443" spans="1:23" s="6" customFormat="1" ht="21.95" customHeight="1" x14ac:dyDescent="0.2">
      <c r="A1443" s="5" t="s">
        <v>17</v>
      </c>
      <c r="B1443" t="s">
        <v>1582</v>
      </c>
      <c r="C1443" t="s">
        <v>673</v>
      </c>
      <c r="D1443" t="s">
        <v>596</v>
      </c>
      <c r="E1443"/>
      <c r="F1443"/>
      <c r="G1443"/>
      <c r="H1443"/>
      <c r="I1443" s="10"/>
      <c r="J1443" s="10"/>
      <c r="K1443" s="7">
        <v>44005639</v>
      </c>
      <c r="L1443" s="5" t="str">
        <f t="shared" si="155"/>
        <v>AR PORTO MAKYAJ PUFU</v>
      </c>
      <c r="M1443" s="8">
        <v>0.15</v>
      </c>
      <c r="N1443" s="8">
        <v>0.1</v>
      </c>
      <c r="O1443" s="8">
        <v>6930</v>
      </c>
      <c r="P1443" s="8">
        <f t="shared" si="152"/>
        <v>6237</v>
      </c>
      <c r="Q1443" s="12">
        <f t="shared" si="153"/>
        <v>13097.7</v>
      </c>
      <c r="R1443" s="31">
        <f t="shared" si="154"/>
        <v>13000</v>
      </c>
      <c r="S1443" s="5"/>
      <c r="T1443" s="12"/>
      <c r="U1443" s="12">
        <v>5322</v>
      </c>
      <c r="V1443" s="12"/>
      <c r="W1443" s="12"/>
    </row>
    <row r="1444" spans="1:23" s="6" customFormat="1" ht="21.95" customHeight="1" x14ac:dyDescent="0.2">
      <c r="A1444" s="5" t="s">
        <v>17</v>
      </c>
      <c r="B1444" t="s">
        <v>1582</v>
      </c>
      <c r="C1444" t="s">
        <v>680</v>
      </c>
      <c r="D1444" t="s">
        <v>49</v>
      </c>
      <c r="E1444"/>
      <c r="F1444"/>
      <c r="G1444"/>
      <c r="H1444"/>
      <c r="I1444" s="10"/>
      <c r="J1444" s="10"/>
      <c r="K1444" s="7">
        <v>44005640</v>
      </c>
      <c r="L1444" s="5" t="str">
        <f t="shared" si="155"/>
        <v>AR LİMA KONSOL</v>
      </c>
      <c r="M1444" s="8">
        <v>0.15</v>
      </c>
      <c r="N1444" s="8">
        <v>0.1</v>
      </c>
      <c r="O1444" s="8">
        <v>40190</v>
      </c>
      <c r="P1444" s="8">
        <f t="shared" si="152"/>
        <v>36171</v>
      </c>
      <c r="Q1444" s="12">
        <f t="shared" si="153"/>
        <v>75959.100000000006</v>
      </c>
      <c r="R1444" s="31">
        <f t="shared" si="154"/>
        <v>75900</v>
      </c>
      <c r="S1444" s="5"/>
      <c r="T1444" s="12"/>
      <c r="U1444" s="12">
        <v>44252</v>
      </c>
      <c r="V1444" s="12"/>
      <c r="W1444" s="12"/>
    </row>
    <row r="1445" spans="1:23" s="6" customFormat="1" ht="21.95" customHeight="1" x14ac:dyDescent="0.2">
      <c r="A1445" s="5" t="s">
        <v>17</v>
      </c>
      <c r="B1445" t="s">
        <v>1582</v>
      </c>
      <c r="C1445" t="s">
        <v>680</v>
      </c>
      <c r="D1445" t="s">
        <v>21</v>
      </c>
      <c r="E1445"/>
      <c r="F1445"/>
      <c r="G1445"/>
      <c r="H1445"/>
      <c r="I1445" s="10"/>
      <c r="J1445" s="10"/>
      <c r="K1445" s="7">
        <v>44005641</v>
      </c>
      <c r="L1445" s="5" t="str">
        <f t="shared" si="155"/>
        <v>AR LİMA KONSOL AYNASI</v>
      </c>
      <c r="M1445" s="8">
        <v>0.15</v>
      </c>
      <c r="N1445" s="8">
        <v>0.1</v>
      </c>
      <c r="O1445" s="8">
        <v>3707</v>
      </c>
      <c r="P1445" s="8">
        <f t="shared" si="152"/>
        <v>3336.3</v>
      </c>
      <c r="Q1445" s="12">
        <f t="shared" si="153"/>
        <v>7006.2300000000005</v>
      </c>
      <c r="R1445" s="31">
        <f t="shared" si="154"/>
        <v>7000</v>
      </c>
      <c r="S1445" s="5"/>
      <c r="T1445" s="12"/>
      <c r="U1445" s="12">
        <v>5668</v>
      </c>
      <c r="V1445" s="12"/>
      <c r="W1445" s="12"/>
    </row>
    <row r="1446" spans="1:23" s="6" customFormat="1" ht="21.95" customHeight="1" x14ac:dyDescent="0.2">
      <c r="A1446" s="5" t="s">
        <v>17</v>
      </c>
      <c r="B1446" t="s">
        <v>1582</v>
      </c>
      <c r="C1446" t="s">
        <v>680</v>
      </c>
      <c r="D1446" t="s">
        <v>599</v>
      </c>
      <c r="E1446"/>
      <c r="F1446"/>
      <c r="G1446"/>
      <c r="H1446"/>
      <c r="I1446" s="10"/>
      <c r="J1446" s="10"/>
      <c r="K1446" s="7">
        <v>44005642</v>
      </c>
      <c r="L1446" s="5" t="str">
        <f t="shared" si="155"/>
        <v>AR LİMA MASA 210CM</v>
      </c>
      <c r="M1446" s="8">
        <v>0.15</v>
      </c>
      <c r="N1446" s="8">
        <v>0.1</v>
      </c>
      <c r="O1446" s="8">
        <v>23545</v>
      </c>
      <c r="P1446" s="8">
        <f t="shared" si="152"/>
        <v>21190.5</v>
      </c>
      <c r="Q1446" s="12">
        <f t="shared" si="153"/>
        <v>44500.05</v>
      </c>
      <c r="R1446" s="31">
        <f t="shared" si="154"/>
        <v>44500</v>
      </c>
      <c r="S1446" s="5"/>
      <c r="T1446" s="12"/>
      <c r="U1446" s="12">
        <v>10371</v>
      </c>
      <c r="V1446" s="12"/>
      <c r="W1446" s="12"/>
    </row>
    <row r="1447" spans="1:23" s="6" customFormat="1" ht="21.95" customHeight="1" x14ac:dyDescent="0.2">
      <c r="A1447" s="5" t="s">
        <v>17</v>
      </c>
      <c r="B1447" t="s">
        <v>1582</v>
      </c>
      <c r="C1447" t="s">
        <v>680</v>
      </c>
      <c r="D1447" t="s">
        <v>587</v>
      </c>
      <c r="E1447"/>
      <c r="F1447"/>
      <c r="G1447"/>
      <c r="H1447"/>
      <c r="I1447" s="10"/>
      <c r="J1447" s="10"/>
      <c r="K1447" s="7">
        <v>44005643</v>
      </c>
      <c r="L1447" s="5" t="str">
        <f t="shared" si="155"/>
        <v>AR LİMA MASA 180CM</v>
      </c>
      <c r="M1447" s="8">
        <v>0.15</v>
      </c>
      <c r="N1447" s="8">
        <v>0.1</v>
      </c>
      <c r="O1447" s="8">
        <v>30609</v>
      </c>
      <c r="P1447" s="8">
        <f t="shared" si="152"/>
        <v>27548.100000000002</v>
      </c>
      <c r="Q1447" s="12">
        <f t="shared" si="153"/>
        <v>57851.010000000009</v>
      </c>
      <c r="R1447" s="31">
        <f t="shared" si="154"/>
        <v>57800</v>
      </c>
      <c r="S1447" s="5"/>
      <c r="T1447" s="12"/>
      <c r="U1447" s="12">
        <v>1740</v>
      </c>
      <c r="V1447" s="12"/>
      <c r="W1447" s="12"/>
    </row>
    <row r="1448" spans="1:23" s="6" customFormat="1" ht="21.95" customHeight="1" x14ac:dyDescent="0.2">
      <c r="A1448" s="5" t="s">
        <v>17</v>
      </c>
      <c r="B1448" t="s">
        <v>1582</v>
      </c>
      <c r="C1448" t="s">
        <v>680</v>
      </c>
      <c r="D1448" s="5" t="s">
        <v>24</v>
      </c>
      <c r="E1448" s="5"/>
      <c r="F1448"/>
      <c r="G1448" s="5"/>
      <c r="H1448" s="5"/>
      <c r="I1448" s="7"/>
      <c r="J1448" s="7"/>
      <c r="K1448" s="7">
        <v>44005644</v>
      </c>
      <c r="L1448" s="5" t="str">
        <f t="shared" si="155"/>
        <v>AR LİMA MASA 240CM</v>
      </c>
      <c r="M1448" s="8">
        <v>0.15</v>
      </c>
      <c r="N1448" s="8">
        <v>0.1</v>
      </c>
      <c r="O1448" s="8">
        <v>34981</v>
      </c>
      <c r="P1448" s="8">
        <f t="shared" si="152"/>
        <v>31482.9</v>
      </c>
      <c r="Q1448" s="12">
        <f t="shared" si="153"/>
        <v>66114.090000000011</v>
      </c>
      <c r="R1448" s="31">
        <f t="shared" si="154"/>
        <v>66100</v>
      </c>
      <c r="S1448" s="5"/>
      <c r="T1448" s="12"/>
      <c r="U1448" s="12">
        <v>24346</v>
      </c>
      <c r="V1448" s="12"/>
      <c r="W1448" s="12"/>
    </row>
    <row r="1449" spans="1:23" s="6" customFormat="1" ht="21.95" customHeight="1" x14ac:dyDescent="0.2">
      <c r="A1449" s="5" t="s">
        <v>17</v>
      </c>
      <c r="B1449" t="s">
        <v>1582</v>
      </c>
      <c r="C1449" t="s">
        <v>680</v>
      </c>
      <c r="D1449" s="6" t="s">
        <v>358</v>
      </c>
      <c r="F1449"/>
      <c r="G1449" s="5"/>
      <c r="H1449" s="5"/>
      <c r="I1449" s="7"/>
      <c r="J1449" s="7"/>
      <c r="K1449" s="7">
        <v>44005645</v>
      </c>
      <c r="L1449" s="5" t="str">
        <f t="shared" si="155"/>
        <v xml:space="preserve">AR LİMA SANDALYE </v>
      </c>
      <c r="M1449" s="8">
        <v>0.15</v>
      </c>
      <c r="N1449" s="8">
        <v>0.1</v>
      </c>
      <c r="O1449" s="8">
        <v>5113</v>
      </c>
      <c r="P1449" s="8">
        <f t="shared" si="152"/>
        <v>4601.7</v>
      </c>
      <c r="Q1449" s="12">
        <f t="shared" si="153"/>
        <v>9663.57</v>
      </c>
      <c r="R1449" s="31">
        <f t="shared" si="154"/>
        <v>9600</v>
      </c>
      <c r="S1449" s="5"/>
      <c r="T1449" s="12"/>
      <c r="U1449" s="12">
        <v>14207</v>
      </c>
      <c r="V1449" s="12"/>
      <c r="W1449" s="12"/>
    </row>
    <row r="1450" spans="1:23" s="6" customFormat="1" ht="21.95" customHeight="1" x14ac:dyDescent="0.2">
      <c r="A1450" s="5" t="s">
        <v>17</v>
      </c>
      <c r="B1450" t="s">
        <v>1582</v>
      </c>
      <c r="C1450" t="s">
        <v>680</v>
      </c>
      <c r="D1450" s="6" t="s">
        <v>31</v>
      </c>
      <c r="F1450"/>
      <c r="G1450" s="5"/>
      <c r="H1450" s="5"/>
      <c r="I1450" s="7"/>
      <c r="J1450" s="7"/>
      <c r="K1450" s="7">
        <v>44005646</v>
      </c>
      <c r="L1450" s="5" t="str">
        <f t="shared" si="155"/>
        <v>AR LİMA KOLTUK 4 LÜ</v>
      </c>
      <c r="M1450" s="8">
        <v>0.15</v>
      </c>
      <c r="N1450" s="8">
        <v>0.1</v>
      </c>
      <c r="O1450" s="8">
        <v>33710</v>
      </c>
      <c r="P1450" s="8">
        <f t="shared" si="152"/>
        <v>30339</v>
      </c>
      <c r="Q1450" s="12">
        <f t="shared" si="153"/>
        <v>63711.9</v>
      </c>
      <c r="R1450" s="31">
        <f t="shared" si="154"/>
        <v>63700</v>
      </c>
      <c r="S1450" s="5"/>
      <c r="T1450" s="12"/>
      <c r="U1450" s="12">
        <v>16074</v>
      </c>
      <c r="V1450" s="12"/>
      <c r="W1450" s="12"/>
    </row>
    <row r="1451" spans="1:23" s="6" customFormat="1" ht="21.95" customHeight="1" x14ac:dyDescent="0.2">
      <c r="A1451" s="5" t="s">
        <v>17</v>
      </c>
      <c r="B1451" t="s">
        <v>1582</v>
      </c>
      <c r="C1451" t="s">
        <v>680</v>
      </c>
      <c r="D1451" s="6" t="s">
        <v>32</v>
      </c>
      <c r="F1451"/>
      <c r="G1451" s="5"/>
      <c r="H1451" s="5"/>
      <c r="I1451" s="7"/>
      <c r="J1451" s="7"/>
      <c r="K1451" s="7">
        <v>44005647</v>
      </c>
      <c r="L1451" s="5" t="str">
        <f t="shared" si="155"/>
        <v>AR LİMA KOLTUK 3 LÜ</v>
      </c>
      <c r="M1451" s="8">
        <v>0.15</v>
      </c>
      <c r="N1451" s="8">
        <v>0.1</v>
      </c>
      <c r="O1451" s="8">
        <v>30795</v>
      </c>
      <c r="P1451" s="8">
        <f t="shared" si="152"/>
        <v>27715.5</v>
      </c>
      <c r="Q1451" s="12">
        <f t="shared" si="153"/>
        <v>58202.55</v>
      </c>
      <c r="R1451" s="31">
        <f t="shared" si="154"/>
        <v>58200</v>
      </c>
      <c r="S1451" s="5"/>
      <c r="T1451" s="12"/>
      <c r="U1451" s="12">
        <v>8642</v>
      </c>
      <c r="V1451" s="12"/>
      <c r="W1451" s="12"/>
    </row>
    <row r="1452" spans="1:23" s="6" customFormat="1" ht="21.95" customHeight="1" x14ac:dyDescent="0.2">
      <c r="A1452" s="5" t="s">
        <v>17</v>
      </c>
      <c r="B1452" t="s">
        <v>1582</v>
      </c>
      <c r="C1452" t="s">
        <v>680</v>
      </c>
      <c r="D1452" s="6" t="s">
        <v>681</v>
      </c>
      <c r="F1452" s="5"/>
      <c r="H1452" s="5"/>
      <c r="I1452" s="7"/>
      <c r="J1452" s="7"/>
      <c r="K1452" s="7">
        <v>44005648</v>
      </c>
      <c r="L1452" s="5" t="str">
        <f t="shared" si="155"/>
        <v>AR LİMA KOLTUK TEKLİ  C MODEL</v>
      </c>
      <c r="M1452" s="8">
        <v>0.15</v>
      </c>
      <c r="N1452" s="8">
        <v>0.1</v>
      </c>
      <c r="O1452" s="8">
        <v>17630</v>
      </c>
      <c r="P1452" s="8">
        <f t="shared" si="152"/>
        <v>15867</v>
      </c>
      <c r="Q1452" s="12">
        <f t="shared" si="153"/>
        <v>33320.700000000004</v>
      </c>
      <c r="R1452" s="31">
        <f t="shared" si="154"/>
        <v>33300</v>
      </c>
      <c r="S1452" s="5"/>
      <c r="T1452" s="12"/>
      <c r="U1452" s="12">
        <v>18362</v>
      </c>
      <c r="V1452" s="12"/>
      <c r="W1452" s="12"/>
    </row>
    <row r="1453" spans="1:23" s="6" customFormat="1" ht="21.95" customHeight="1" x14ac:dyDescent="0.2">
      <c r="A1453" s="5" t="s">
        <v>17</v>
      </c>
      <c r="B1453" t="s">
        <v>1582</v>
      </c>
      <c r="C1453" t="s">
        <v>680</v>
      </c>
      <c r="D1453" s="6" t="s">
        <v>682</v>
      </c>
      <c r="F1453" s="5"/>
      <c r="G1453" s="5"/>
      <c r="H1453" s="5"/>
      <c r="I1453" s="7"/>
      <c r="J1453" s="7"/>
      <c r="K1453" s="7">
        <v>44005649</v>
      </c>
      <c r="L1453" s="5" t="str">
        <f t="shared" si="155"/>
        <v>AR LİMA KOLTUK TEKLİ PAPELLİ</v>
      </c>
      <c r="M1453" s="8">
        <v>0.15</v>
      </c>
      <c r="N1453" s="8">
        <v>0.1</v>
      </c>
      <c r="O1453" s="8">
        <v>16590</v>
      </c>
      <c r="P1453" s="8">
        <f t="shared" si="152"/>
        <v>14931</v>
      </c>
      <c r="Q1453" s="12">
        <f t="shared" si="153"/>
        <v>31355.100000000002</v>
      </c>
      <c r="R1453" s="31">
        <f t="shared" si="154"/>
        <v>31300</v>
      </c>
      <c r="S1453" s="5"/>
      <c r="T1453" s="12"/>
      <c r="U1453" s="12">
        <v>6175</v>
      </c>
      <c r="V1453" s="12"/>
      <c r="W1453" s="12"/>
    </row>
    <row r="1454" spans="1:23" s="6" customFormat="1" ht="21.95" customHeight="1" x14ac:dyDescent="0.2">
      <c r="A1454" s="5" t="s">
        <v>17</v>
      </c>
      <c r="B1454" t="s">
        <v>1582</v>
      </c>
      <c r="C1454" t="s">
        <v>680</v>
      </c>
      <c r="D1454" s="6" t="s">
        <v>62</v>
      </c>
      <c r="F1454" s="5"/>
      <c r="G1454" s="5"/>
      <c r="H1454" s="5"/>
      <c r="I1454" s="7"/>
      <c r="J1454" s="7"/>
      <c r="K1454" s="7">
        <v>44005650</v>
      </c>
      <c r="L1454" s="5" t="str">
        <f t="shared" si="155"/>
        <v>AR LİMA DİNLENMELİ MODÜL SAĞ-SOL</v>
      </c>
      <c r="M1454" s="8">
        <v>0.15</v>
      </c>
      <c r="N1454" s="8">
        <v>0.1</v>
      </c>
      <c r="O1454" s="8">
        <v>23160</v>
      </c>
      <c r="P1454" s="8">
        <f t="shared" si="152"/>
        <v>20844</v>
      </c>
      <c r="Q1454" s="12">
        <f t="shared" si="153"/>
        <v>43772.4</v>
      </c>
      <c r="R1454" s="31">
        <f t="shared" si="154"/>
        <v>43700</v>
      </c>
      <c r="S1454" s="5"/>
      <c r="T1454" s="12"/>
      <c r="U1454" s="12">
        <v>32255</v>
      </c>
      <c r="V1454" s="12"/>
      <c r="W1454" s="12"/>
    </row>
    <row r="1455" spans="1:23" s="6" customFormat="1" ht="21.95" customHeight="1" x14ac:dyDescent="0.2">
      <c r="A1455" s="5" t="s">
        <v>17</v>
      </c>
      <c r="B1455" t="s">
        <v>1582</v>
      </c>
      <c r="C1455" t="s">
        <v>680</v>
      </c>
      <c r="D1455" s="6" t="s">
        <v>683</v>
      </c>
      <c r="F1455" s="5"/>
      <c r="G1455" s="5"/>
      <c r="H1455" s="5"/>
      <c r="I1455" s="7"/>
      <c r="J1455" s="7"/>
      <c r="K1455" s="7">
        <v>44005651</v>
      </c>
      <c r="L1455" s="5" t="str">
        <f t="shared" si="155"/>
        <v>AR LİMA KOLLU MODÜL SAĞ-SOL</v>
      </c>
      <c r="M1455" s="8">
        <v>0.15</v>
      </c>
      <c r="N1455" s="8">
        <v>0.1</v>
      </c>
      <c r="O1455" s="8">
        <v>15485</v>
      </c>
      <c r="P1455" s="8">
        <f t="shared" si="152"/>
        <v>13936.5</v>
      </c>
      <c r="Q1455" s="12">
        <f t="shared" si="153"/>
        <v>29266.65</v>
      </c>
      <c r="R1455" s="31">
        <f t="shared" si="154"/>
        <v>29200</v>
      </c>
      <c r="S1455" s="5"/>
      <c r="T1455" s="12"/>
      <c r="U1455" s="12">
        <v>26859</v>
      </c>
      <c r="V1455" s="12"/>
      <c r="W1455" s="12"/>
    </row>
    <row r="1456" spans="1:23" s="6" customFormat="1" ht="21.95" customHeight="1" x14ac:dyDescent="0.2">
      <c r="A1456" s="5" t="s">
        <v>17</v>
      </c>
      <c r="B1456" t="s">
        <v>1582</v>
      </c>
      <c r="C1456" t="s">
        <v>680</v>
      </c>
      <c r="D1456" s="6" t="s">
        <v>684</v>
      </c>
      <c r="F1456" s="5"/>
      <c r="G1456" s="5"/>
      <c r="H1456" s="5"/>
      <c r="I1456" s="7"/>
      <c r="J1456" s="7"/>
      <c r="K1456" s="7">
        <v>44005652</v>
      </c>
      <c r="L1456" s="5" t="str">
        <f t="shared" si="155"/>
        <v>AR LİMA TEKLİ MODÜL STANDART 90CM</v>
      </c>
      <c r="M1456" s="8">
        <v>0.15</v>
      </c>
      <c r="N1456" s="8">
        <v>0.1</v>
      </c>
      <c r="O1456" s="8">
        <v>10730</v>
      </c>
      <c r="P1456" s="8">
        <f t="shared" ref="P1456:P1519" si="156">O1456*(1-N1456)</f>
        <v>9657</v>
      </c>
      <c r="Q1456" s="12">
        <f t="shared" ref="Q1456:Q1519" si="157">O1456*(1-N1456)*2.1</f>
        <v>20279.7</v>
      </c>
      <c r="R1456" s="31">
        <f t="shared" ref="R1456:R1519" si="158">ROUNDDOWN(Q1456,-2)</f>
        <v>20200</v>
      </c>
      <c r="S1456" s="5"/>
      <c r="T1456" s="12"/>
      <c r="U1456" s="12">
        <v>11727</v>
      </c>
      <c r="V1456" s="12"/>
      <c r="W1456" s="12"/>
    </row>
    <row r="1457" spans="1:23" s="6" customFormat="1" ht="21.95" customHeight="1" x14ac:dyDescent="0.2">
      <c r="A1457" s="5" t="s">
        <v>17</v>
      </c>
      <c r="B1457" t="s">
        <v>1582</v>
      </c>
      <c r="C1457" t="s">
        <v>680</v>
      </c>
      <c r="D1457" s="6" t="s">
        <v>685</v>
      </c>
      <c r="F1457" s="5"/>
      <c r="G1457" s="5"/>
      <c r="H1457" s="5"/>
      <c r="I1457" s="7"/>
      <c r="J1457" s="7"/>
      <c r="K1457" s="7">
        <v>44005653</v>
      </c>
      <c r="L1457" s="5" t="str">
        <f t="shared" si="155"/>
        <v>AR LİMA TEKLİ MODÜL 75CM</v>
      </c>
      <c r="M1457" s="8">
        <v>0.15</v>
      </c>
      <c r="N1457" s="8">
        <v>0.1</v>
      </c>
      <c r="O1457" s="8">
        <v>10265</v>
      </c>
      <c r="P1457" s="8">
        <f t="shared" si="156"/>
        <v>9238.5</v>
      </c>
      <c r="Q1457" s="12">
        <f t="shared" si="157"/>
        <v>19400.850000000002</v>
      </c>
      <c r="R1457" s="31">
        <f t="shared" si="158"/>
        <v>19400</v>
      </c>
      <c r="S1457" s="5"/>
      <c r="T1457" s="12"/>
      <c r="U1457" s="12">
        <v>18840</v>
      </c>
      <c r="V1457" s="12"/>
      <c r="W1457" s="12"/>
    </row>
    <row r="1458" spans="1:23" s="6" customFormat="1" ht="21.95" customHeight="1" x14ac:dyDescent="0.2">
      <c r="A1458" s="5" t="s">
        <v>17</v>
      </c>
      <c r="B1458" t="s">
        <v>1582</v>
      </c>
      <c r="C1458" t="s">
        <v>680</v>
      </c>
      <c r="D1458" s="6" t="s">
        <v>59</v>
      </c>
      <c r="F1458" s="5"/>
      <c r="G1458" s="5"/>
      <c r="H1458" s="5"/>
      <c r="I1458" s="7"/>
      <c r="J1458" s="7"/>
      <c r="K1458" s="7">
        <v>44005654</v>
      </c>
      <c r="L1458" s="5" t="str">
        <f t="shared" si="155"/>
        <v>AR LİMA KÖŞE MODÜL</v>
      </c>
      <c r="M1458" s="8">
        <v>0.15</v>
      </c>
      <c r="N1458" s="8">
        <v>0.1</v>
      </c>
      <c r="O1458" s="8">
        <v>13700</v>
      </c>
      <c r="P1458" s="8">
        <f t="shared" si="156"/>
        <v>12330</v>
      </c>
      <c r="Q1458" s="12">
        <f t="shared" si="157"/>
        <v>25893</v>
      </c>
      <c r="R1458" s="31">
        <f t="shared" si="158"/>
        <v>25800</v>
      </c>
      <c r="S1458" s="5"/>
      <c r="T1458" s="12"/>
      <c r="U1458" s="12">
        <v>17754</v>
      </c>
      <c r="V1458" s="12"/>
      <c r="W1458" s="12"/>
    </row>
    <row r="1459" spans="1:23" s="6" customFormat="1" ht="21.95" customHeight="1" x14ac:dyDescent="0.2">
      <c r="A1459" s="5" t="s">
        <v>17</v>
      </c>
      <c r="B1459" t="s">
        <v>1582</v>
      </c>
      <c r="C1459" t="s">
        <v>566</v>
      </c>
      <c r="D1459" s="6" t="s">
        <v>49</v>
      </c>
      <c r="F1459" s="5"/>
      <c r="G1459" s="5"/>
      <c r="H1459" s="5"/>
      <c r="I1459" s="7"/>
      <c r="J1459" s="7"/>
      <c r="K1459" s="7">
        <v>44005655</v>
      </c>
      <c r="L1459" s="5" t="str">
        <f t="shared" si="155"/>
        <v>AR NATURA KONSOL</v>
      </c>
      <c r="M1459" s="8">
        <v>0.15</v>
      </c>
      <c r="N1459" s="8">
        <v>0.1</v>
      </c>
      <c r="O1459" s="8">
        <v>23850</v>
      </c>
      <c r="P1459" s="8">
        <f t="shared" si="156"/>
        <v>21465</v>
      </c>
      <c r="Q1459" s="12">
        <f t="shared" si="157"/>
        <v>45076.5</v>
      </c>
      <c r="R1459" s="31">
        <f t="shared" si="158"/>
        <v>45000</v>
      </c>
      <c r="S1459" s="5"/>
      <c r="T1459" s="12"/>
      <c r="U1459" s="12">
        <v>12682</v>
      </c>
      <c r="V1459" s="12"/>
      <c r="W1459" s="12"/>
    </row>
    <row r="1460" spans="1:23" s="6" customFormat="1" ht="21.95" customHeight="1" x14ac:dyDescent="0.2">
      <c r="A1460" s="5" t="s">
        <v>17</v>
      </c>
      <c r="B1460" t="s">
        <v>1582</v>
      </c>
      <c r="C1460" t="s">
        <v>566</v>
      </c>
      <c r="D1460" s="6" t="s">
        <v>686</v>
      </c>
      <c r="F1460" s="5"/>
      <c r="G1460" s="5"/>
      <c r="H1460" s="5"/>
      <c r="I1460" s="7"/>
      <c r="J1460" s="7"/>
      <c r="K1460" s="7">
        <v>44005656</v>
      </c>
      <c r="L1460" s="5" t="str">
        <f t="shared" si="155"/>
        <v>AR NATURA KONSOL AYNASI 3 ADET</v>
      </c>
      <c r="M1460" s="8">
        <v>0.15</v>
      </c>
      <c r="N1460" s="8">
        <v>0.1</v>
      </c>
      <c r="O1460" s="8">
        <v>3897</v>
      </c>
      <c r="P1460" s="8">
        <f t="shared" si="156"/>
        <v>3507.3</v>
      </c>
      <c r="Q1460" s="12">
        <f t="shared" si="157"/>
        <v>7365.3300000000008</v>
      </c>
      <c r="R1460" s="31">
        <f t="shared" si="158"/>
        <v>7300</v>
      </c>
      <c r="S1460" s="5"/>
      <c r="T1460" s="12"/>
      <c r="U1460" s="12">
        <v>11776</v>
      </c>
      <c r="V1460" s="12"/>
      <c r="W1460" s="12"/>
    </row>
    <row r="1461" spans="1:23" s="6" customFormat="1" ht="21.95" customHeight="1" x14ac:dyDescent="0.2">
      <c r="A1461" s="5" t="s">
        <v>17</v>
      </c>
      <c r="B1461" t="s">
        <v>1582</v>
      </c>
      <c r="C1461" t="s">
        <v>566</v>
      </c>
      <c r="D1461" s="6" t="s">
        <v>599</v>
      </c>
      <c r="F1461" s="5"/>
      <c r="G1461" s="5"/>
      <c r="H1461" s="5"/>
      <c r="I1461" s="7"/>
      <c r="J1461" s="7"/>
      <c r="K1461" s="7">
        <v>44005657</v>
      </c>
      <c r="L1461" s="5" t="str">
        <f t="shared" si="155"/>
        <v>AR NATURA MASA 210CM</v>
      </c>
      <c r="M1461" s="8">
        <v>0.15</v>
      </c>
      <c r="N1461" s="8">
        <v>0.1</v>
      </c>
      <c r="O1461" s="8">
        <v>15195</v>
      </c>
      <c r="P1461" s="8">
        <f t="shared" si="156"/>
        <v>13675.5</v>
      </c>
      <c r="Q1461" s="12">
        <f t="shared" si="157"/>
        <v>28718.550000000003</v>
      </c>
      <c r="R1461" s="31">
        <f t="shared" si="158"/>
        <v>28700</v>
      </c>
      <c r="S1461" s="5"/>
      <c r="T1461" s="12"/>
      <c r="U1461" s="12">
        <v>18242</v>
      </c>
      <c r="V1461" s="12"/>
      <c r="W1461" s="12"/>
    </row>
    <row r="1462" spans="1:23" s="6" customFormat="1" ht="21.95" customHeight="1" x14ac:dyDescent="0.2">
      <c r="A1462" s="5" t="s">
        <v>17</v>
      </c>
      <c r="B1462" t="s">
        <v>1582</v>
      </c>
      <c r="C1462" t="s">
        <v>566</v>
      </c>
      <c r="D1462" s="6" t="s">
        <v>587</v>
      </c>
      <c r="F1462" s="5"/>
      <c r="G1462" s="5"/>
      <c r="H1462" s="5"/>
      <c r="I1462" s="7"/>
      <c r="J1462" s="7"/>
      <c r="K1462" s="7">
        <v>44005658</v>
      </c>
      <c r="L1462" s="5" t="str">
        <f t="shared" si="155"/>
        <v>AR NATURA MASA 180CM</v>
      </c>
      <c r="M1462" s="8">
        <v>0.15</v>
      </c>
      <c r="N1462" s="8">
        <v>0.1</v>
      </c>
      <c r="O1462" s="8">
        <v>19754</v>
      </c>
      <c r="P1462" s="8">
        <f t="shared" si="156"/>
        <v>17778.600000000002</v>
      </c>
      <c r="Q1462" s="12">
        <f t="shared" si="157"/>
        <v>37335.060000000005</v>
      </c>
      <c r="R1462" s="31">
        <f t="shared" si="158"/>
        <v>37300</v>
      </c>
      <c r="S1462" s="5"/>
      <c r="T1462" s="12"/>
      <c r="U1462" s="12">
        <v>6264</v>
      </c>
      <c r="V1462" s="12"/>
      <c r="W1462" s="12"/>
    </row>
    <row r="1463" spans="1:23" s="6" customFormat="1" ht="21.95" customHeight="1" x14ac:dyDescent="0.2">
      <c r="A1463" s="5" t="s">
        <v>17</v>
      </c>
      <c r="B1463" t="s">
        <v>1582</v>
      </c>
      <c r="C1463" t="s">
        <v>566</v>
      </c>
      <c r="D1463" s="6" t="s">
        <v>24</v>
      </c>
      <c r="F1463" s="5"/>
      <c r="G1463" s="5"/>
      <c r="H1463" s="5"/>
      <c r="I1463" s="7"/>
      <c r="J1463" s="7"/>
      <c r="K1463" s="7">
        <v>44005659</v>
      </c>
      <c r="L1463" s="5" t="str">
        <f t="shared" si="155"/>
        <v>AR NATURA MASA 240CM</v>
      </c>
      <c r="M1463" s="8">
        <v>0.15</v>
      </c>
      <c r="N1463" s="8">
        <v>0.1</v>
      </c>
      <c r="O1463" s="8">
        <v>22575</v>
      </c>
      <c r="P1463" s="8">
        <f t="shared" si="156"/>
        <v>20317.5</v>
      </c>
      <c r="Q1463" s="12">
        <f t="shared" si="157"/>
        <v>42666.75</v>
      </c>
      <c r="R1463" s="31">
        <f t="shared" si="158"/>
        <v>42600</v>
      </c>
      <c r="S1463" s="5"/>
      <c r="T1463" s="12"/>
      <c r="U1463" s="12"/>
      <c r="V1463" s="12"/>
      <c r="W1463" s="12"/>
    </row>
    <row r="1464" spans="1:23" s="6" customFormat="1" ht="21.95" customHeight="1" x14ac:dyDescent="0.2">
      <c r="A1464" s="5" t="s">
        <v>17</v>
      </c>
      <c r="B1464" t="s">
        <v>1582</v>
      </c>
      <c r="C1464" t="s">
        <v>566</v>
      </c>
      <c r="D1464" s="6" t="s">
        <v>358</v>
      </c>
      <c r="F1464" s="5"/>
      <c r="G1464" s="5"/>
      <c r="H1464" s="5"/>
      <c r="I1464" s="7"/>
      <c r="J1464" s="7"/>
      <c r="K1464" s="7">
        <v>44005660</v>
      </c>
      <c r="L1464" s="5" t="str">
        <f t="shared" si="155"/>
        <v xml:space="preserve">AR NATURA SANDALYE </v>
      </c>
      <c r="M1464" s="8">
        <v>0.15</v>
      </c>
      <c r="N1464" s="8">
        <v>0.1</v>
      </c>
      <c r="O1464" s="8">
        <v>4313</v>
      </c>
      <c r="P1464" s="8">
        <f t="shared" si="156"/>
        <v>3881.7000000000003</v>
      </c>
      <c r="Q1464" s="12">
        <f t="shared" si="157"/>
        <v>8151.5700000000006</v>
      </c>
      <c r="R1464" s="31">
        <f t="shared" si="158"/>
        <v>8100</v>
      </c>
      <c r="S1464" s="5"/>
      <c r="T1464" s="12"/>
      <c r="U1464" s="12"/>
      <c r="V1464" s="12"/>
      <c r="W1464" s="12"/>
    </row>
    <row r="1465" spans="1:23" s="6" customFormat="1" ht="21.95" customHeight="1" x14ac:dyDescent="0.2">
      <c r="A1465" s="5" t="s">
        <v>17</v>
      </c>
      <c r="B1465" t="s">
        <v>1582</v>
      </c>
      <c r="C1465" t="s">
        <v>566</v>
      </c>
      <c r="D1465" s="6" t="s">
        <v>405</v>
      </c>
      <c r="F1465" s="5"/>
      <c r="G1465" s="5"/>
      <c r="H1465" s="5"/>
      <c r="I1465" s="7"/>
      <c r="J1465" s="7"/>
      <c r="K1465" s="7">
        <v>44005661</v>
      </c>
      <c r="L1465" s="5" t="str">
        <f t="shared" si="155"/>
        <v>AR NATURA VİTRİN</v>
      </c>
      <c r="M1465" s="8">
        <v>0.15</v>
      </c>
      <c r="N1465" s="8">
        <v>0.1</v>
      </c>
      <c r="O1465" s="8">
        <v>16535</v>
      </c>
      <c r="P1465" s="8">
        <f t="shared" si="156"/>
        <v>14881.5</v>
      </c>
      <c r="Q1465" s="12">
        <f t="shared" si="157"/>
        <v>31251.15</v>
      </c>
      <c r="R1465" s="31">
        <f t="shared" si="158"/>
        <v>31200</v>
      </c>
      <c r="S1465" s="5"/>
      <c r="T1465" s="12"/>
      <c r="U1465" s="12"/>
      <c r="V1465" s="12"/>
      <c r="W1465" s="12"/>
    </row>
    <row r="1466" spans="1:23" s="6" customFormat="1" ht="21.95" customHeight="1" x14ac:dyDescent="0.2">
      <c r="A1466" s="5" t="s">
        <v>17</v>
      </c>
      <c r="B1466" t="s">
        <v>1582</v>
      </c>
      <c r="C1466" t="s">
        <v>566</v>
      </c>
      <c r="D1466" s="6" t="s">
        <v>675</v>
      </c>
      <c r="F1466" s="5"/>
      <c r="G1466" s="5"/>
      <c r="H1466" s="5"/>
      <c r="I1466" s="7"/>
      <c r="J1466" s="7"/>
      <c r="K1466" s="7">
        <v>44005662</v>
      </c>
      <c r="L1466" s="5" t="str">
        <f t="shared" si="155"/>
        <v>AR NATURA TV ÜNİTESİ ORTA MODÜL</v>
      </c>
      <c r="M1466" s="8">
        <v>0.15</v>
      </c>
      <c r="N1466" s="8">
        <v>0.1</v>
      </c>
      <c r="O1466" s="8">
        <v>13760</v>
      </c>
      <c r="P1466" s="8">
        <f t="shared" si="156"/>
        <v>12384</v>
      </c>
      <c r="Q1466" s="12">
        <f t="shared" si="157"/>
        <v>26006.400000000001</v>
      </c>
      <c r="R1466" s="31">
        <f t="shared" si="158"/>
        <v>26000</v>
      </c>
      <c r="S1466" s="5"/>
      <c r="T1466" s="12"/>
      <c r="U1466" s="12"/>
      <c r="V1466" s="12"/>
      <c r="W1466" s="12"/>
    </row>
    <row r="1467" spans="1:23" s="6" customFormat="1" ht="21.95" customHeight="1" x14ac:dyDescent="0.2">
      <c r="A1467" s="5" t="s">
        <v>17</v>
      </c>
      <c r="B1467" t="s">
        <v>1582</v>
      </c>
      <c r="C1467" t="s">
        <v>566</v>
      </c>
      <c r="D1467" s="6" t="s">
        <v>687</v>
      </c>
      <c r="F1467" s="5"/>
      <c r="G1467" s="5"/>
      <c r="H1467" s="5"/>
      <c r="I1467" s="7"/>
      <c r="J1467" s="7"/>
      <c r="K1467" s="7">
        <v>44005663</v>
      </c>
      <c r="L1467" s="5" t="str">
        <f t="shared" si="155"/>
        <v>AR NATURA TV ÜNİTESİ GENİŞ RAFLI MODÜL</v>
      </c>
      <c r="M1467" s="8">
        <v>0.15</v>
      </c>
      <c r="N1467" s="8">
        <v>0.1</v>
      </c>
      <c r="O1467" s="8">
        <v>14170</v>
      </c>
      <c r="P1467" s="8">
        <f t="shared" si="156"/>
        <v>12753</v>
      </c>
      <c r="Q1467" s="12">
        <f t="shared" si="157"/>
        <v>26781.300000000003</v>
      </c>
      <c r="R1467" s="31">
        <f t="shared" si="158"/>
        <v>26700</v>
      </c>
      <c r="S1467" s="5"/>
      <c r="T1467" s="12"/>
      <c r="U1467" s="12"/>
      <c r="V1467" s="12"/>
      <c r="W1467" s="12"/>
    </row>
    <row r="1468" spans="1:23" s="6" customFormat="1" ht="21.95" customHeight="1" x14ac:dyDescent="0.2">
      <c r="A1468" s="5" t="s">
        <v>17</v>
      </c>
      <c r="B1468" t="s">
        <v>1582</v>
      </c>
      <c r="C1468" t="s">
        <v>566</v>
      </c>
      <c r="D1468" s="6" t="s">
        <v>688</v>
      </c>
      <c r="F1468" s="5"/>
      <c r="G1468" s="5"/>
      <c r="H1468" s="5"/>
      <c r="I1468" s="7"/>
      <c r="J1468" s="7"/>
      <c r="K1468" s="7">
        <v>44005664</v>
      </c>
      <c r="L1468" s="5" t="str">
        <f t="shared" si="155"/>
        <v>AR NATURA TV ÜNİTESİ CAMLI MODÜL</v>
      </c>
      <c r="M1468" s="8">
        <v>0.15</v>
      </c>
      <c r="N1468" s="8">
        <v>0.1</v>
      </c>
      <c r="O1468" s="8">
        <v>14990</v>
      </c>
      <c r="P1468" s="8">
        <f t="shared" si="156"/>
        <v>13491</v>
      </c>
      <c r="Q1468" s="12">
        <f t="shared" si="157"/>
        <v>28331.100000000002</v>
      </c>
      <c r="R1468" s="31">
        <f t="shared" si="158"/>
        <v>28300</v>
      </c>
      <c r="S1468" s="5"/>
      <c r="T1468" s="12"/>
      <c r="U1468" s="12"/>
      <c r="V1468" s="12"/>
      <c r="W1468" s="12"/>
    </row>
    <row r="1469" spans="1:23" s="6" customFormat="1" ht="21.95" customHeight="1" x14ac:dyDescent="0.2">
      <c r="A1469" s="5" t="s">
        <v>17</v>
      </c>
      <c r="B1469" t="s">
        <v>1582</v>
      </c>
      <c r="C1469" t="s">
        <v>566</v>
      </c>
      <c r="D1469" s="6" t="s">
        <v>689</v>
      </c>
      <c r="F1469" s="5"/>
      <c r="G1469" s="5"/>
      <c r="H1469" s="5"/>
      <c r="I1469" s="7"/>
      <c r="J1469" s="7"/>
      <c r="K1469" s="7">
        <v>44005665</v>
      </c>
      <c r="L1469" s="5" t="str">
        <f t="shared" si="155"/>
        <v>AR NATURA TV ÜNİTESİ TEKLİ MODÜL</v>
      </c>
      <c r="M1469" s="8">
        <v>0.15</v>
      </c>
      <c r="N1469" s="8">
        <v>0.1</v>
      </c>
      <c r="O1469" s="8">
        <v>7665</v>
      </c>
      <c r="P1469" s="8">
        <f t="shared" si="156"/>
        <v>6898.5</v>
      </c>
      <c r="Q1469" s="12">
        <f t="shared" si="157"/>
        <v>14486.85</v>
      </c>
      <c r="R1469" s="31">
        <f t="shared" si="158"/>
        <v>14400</v>
      </c>
      <c r="S1469" s="5"/>
      <c r="T1469" s="12"/>
      <c r="U1469" s="12"/>
      <c r="V1469" s="12"/>
      <c r="W1469" s="12"/>
    </row>
    <row r="1470" spans="1:23" s="6" customFormat="1" ht="21.95" customHeight="1" x14ac:dyDescent="0.2">
      <c r="A1470" s="5" t="s">
        <v>17</v>
      </c>
      <c r="B1470" t="s">
        <v>1582</v>
      </c>
      <c r="C1470" t="s">
        <v>566</v>
      </c>
      <c r="D1470" s="6" t="s">
        <v>660</v>
      </c>
      <c r="F1470" s="5"/>
      <c r="G1470" s="5"/>
      <c r="H1470" s="5"/>
      <c r="I1470" s="7"/>
      <c r="J1470" s="7"/>
      <c r="K1470" s="7">
        <v>44005666</v>
      </c>
      <c r="L1470" s="5" t="str">
        <f t="shared" si="155"/>
        <v xml:space="preserve">AR NATURA ORTA SEHPA </v>
      </c>
      <c r="M1470" s="8">
        <v>0.15</v>
      </c>
      <c r="N1470" s="8">
        <v>0.1</v>
      </c>
      <c r="O1470" s="8">
        <v>14360</v>
      </c>
      <c r="P1470" s="8">
        <f t="shared" si="156"/>
        <v>12924</v>
      </c>
      <c r="Q1470" s="12">
        <f t="shared" si="157"/>
        <v>27140.400000000001</v>
      </c>
      <c r="R1470" s="31">
        <f t="shared" si="158"/>
        <v>27100</v>
      </c>
      <c r="S1470" s="5"/>
      <c r="T1470" s="12"/>
      <c r="U1470" s="12"/>
      <c r="V1470" s="12"/>
      <c r="W1470" s="12"/>
    </row>
    <row r="1471" spans="1:23" s="6" customFormat="1" ht="21.95" customHeight="1" x14ac:dyDescent="0.2">
      <c r="A1471" s="5" t="s">
        <v>17</v>
      </c>
      <c r="B1471" t="s">
        <v>1582</v>
      </c>
      <c r="C1471" t="s">
        <v>566</v>
      </c>
      <c r="D1471" s="6" t="s">
        <v>30</v>
      </c>
      <c r="F1471" s="5"/>
      <c r="G1471" s="5"/>
      <c r="H1471" s="5"/>
      <c r="I1471" s="7"/>
      <c r="J1471" s="7"/>
      <c r="K1471" s="7">
        <v>44005667</v>
      </c>
      <c r="L1471" s="5" t="str">
        <f t="shared" si="155"/>
        <v>AR NATURA YAN SEHPA</v>
      </c>
      <c r="M1471" s="8">
        <v>0.15</v>
      </c>
      <c r="N1471" s="8">
        <v>0.1</v>
      </c>
      <c r="O1471" s="8">
        <v>8680</v>
      </c>
      <c r="P1471" s="8">
        <f t="shared" si="156"/>
        <v>7812</v>
      </c>
      <c r="Q1471" s="12">
        <f t="shared" si="157"/>
        <v>16405.2</v>
      </c>
      <c r="R1471" s="31">
        <f t="shared" si="158"/>
        <v>16400</v>
      </c>
      <c r="S1471" s="5"/>
      <c r="T1471" s="12"/>
      <c r="U1471" s="12"/>
      <c r="V1471" s="12"/>
      <c r="W1471" s="12"/>
    </row>
    <row r="1472" spans="1:23" s="6" customFormat="1" ht="21.95" customHeight="1" x14ac:dyDescent="0.2">
      <c r="A1472" s="5" t="s">
        <v>17</v>
      </c>
      <c r="B1472" t="s">
        <v>1582</v>
      </c>
      <c r="C1472" t="s">
        <v>566</v>
      </c>
      <c r="D1472" s="6" t="s">
        <v>31</v>
      </c>
      <c r="F1472" s="5"/>
      <c r="G1472" s="5"/>
      <c r="H1472" s="5"/>
      <c r="I1472" s="7"/>
      <c r="J1472" s="7"/>
      <c r="K1472" s="7">
        <v>44005668</v>
      </c>
      <c r="L1472" s="5" t="str">
        <f t="shared" si="155"/>
        <v>AR NATURA KOLTUK 4 LÜ</v>
      </c>
      <c r="M1472" s="8">
        <v>0.15</v>
      </c>
      <c r="N1472" s="8">
        <v>0.1</v>
      </c>
      <c r="O1472" s="8">
        <v>32615</v>
      </c>
      <c r="P1472" s="8">
        <f t="shared" si="156"/>
        <v>29353.5</v>
      </c>
      <c r="Q1472" s="12">
        <f t="shared" si="157"/>
        <v>61642.350000000006</v>
      </c>
      <c r="R1472" s="31">
        <f t="shared" si="158"/>
        <v>61600</v>
      </c>
      <c r="S1472" s="5"/>
      <c r="T1472" s="12"/>
      <c r="U1472" s="12"/>
      <c r="V1472" s="12"/>
      <c r="W1472" s="12"/>
    </row>
    <row r="1473" spans="1:23" ht="21.95" customHeight="1" x14ac:dyDescent="0.2">
      <c r="A1473" s="5" t="s">
        <v>17</v>
      </c>
      <c r="B1473" t="s">
        <v>1582</v>
      </c>
      <c r="C1473" t="s">
        <v>566</v>
      </c>
      <c r="D1473" s="6" t="s">
        <v>32</v>
      </c>
      <c r="E1473" s="6"/>
      <c r="K1473" s="7">
        <v>44005669</v>
      </c>
      <c r="L1473" s="5" t="str">
        <f t="shared" si="155"/>
        <v>AR NATURA KOLTUK 3 LÜ</v>
      </c>
      <c r="M1473" s="8">
        <v>0.15</v>
      </c>
      <c r="N1473" s="8">
        <v>0.1</v>
      </c>
      <c r="O1473" s="8">
        <v>29885</v>
      </c>
      <c r="P1473" s="8">
        <f t="shared" si="156"/>
        <v>26896.5</v>
      </c>
      <c r="Q1473" s="12">
        <f t="shared" si="157"/>
        <v>56482.65</v>
      </c>
      <c r="R1473" s="31">
        <f t="shared" si="158"/>
        <v>56400</v>
      </c>
      <c r="T1473" s="8">
        <v>36900</v>
      </c>
      <c r="V1473" s="8">
        <f>T1473*0.9</f>
        <v>33210</v>
      </c>
      <c r="W1473" s="8">
        <f>V1473*2.5</f>
        <v>83025</v>
      </c>
    </row>
    <row r="1474" spans="1:23" ht="21.95" customHeight="1" x14ac:dyDescent="0.2">
      <c r="A1474" s="5" t="s">
        <v>17</v>
      </c>
      <c r="B1474" t="s">
        <v>1582</v>
      </c>
      <c r="C1474" t="s">
        <v>566</v>
      </c>
      <c r="D1474" s="6" t="s">
        <v>592</v>
      </c>
      <c r="E1474" s="6"/>
      <c r="K1474" s="7">
        <v>44005670</v>
      </c>
      <c r="L1474" s="5" t="str">
        <f t="shared" si="155"/>
        <v>AR NATURA KOLTUK TEKLİ</v>
      </c>
      <c r="M1474" s="8">
        <v>0.15</v>
      </c>
      <c r="N1474" s="8">
        <v>0.1</v>
      </c>
      <c r="O1474" s="8">
        <v>13510</v>
      </c>
      <c r="P1474" s="8">
        <f t="shared" si="156"/>
        <v>12159</v>
      </c>
      <c r="Q1474" s="12">
        <f t="shared" si="157"/>
        <v>25533.9</v>
      </c>
      <c r="R1474" s="31">
        <f t="shared" si="158"/>
        <v>25500</v>
      </c>
      <c r="T1474" s="8">
        <v>32195</v>
      </c>
      <c r="V1474" s="8">
        <f t="shared" ref="V1474:V1537" si="159">T1474*0.9</f>
        <v>28975.5</v>
      </c>
      <c r="W1474" s="8">
        <f t="shared" ref="W1474:W1537" si="160">V1474*2.5</f>
        <v>72438.75</v>
      </c>
    </row>
    <row r="1475" spans="1:23" ht="21.95" customHeight="1" x14ac:dyDescent="0.2">
      <c r="A1475" s="5" t="s">
        <v>17</v>
      </c>
      <c r="B1475" t="s">
        <v>1582</v>
      </c>
      <c r="C1475" t="s">
        <v>566</v>
      </c>
      <c r="D1475" s="6" t="s">
        <v>655</v>
      </c>
      <c r="E1475" s="6"/>
      <c r="K1475" s="7">
        <v>44005671</v>
      </c>
      <c r="L1475" s="5" t="str">
        <f t="shared" si="155"/>
        <v>AR NATURA PUF OPSİYONEL</v>
      </c>
      <c r="M1475" s="8">
        <v>0.15</v>
      </c>
      <c r="N1475" s="8">
        <v>0.1</v>
      </c>
      <c r="O1475" s="8">
        <v>5695</v>
      </c>
      <c r="P1475" s="8">
        <f t="shared" si="156"/>
        <v>5125.5</v>
      </c>
      <c r="Q1475" s="12">
        <f t="shared" si="157"/>
        <v>10763.550000000001</v>
      </c>
      <c r="R1475" s="31">
        <f t="shared" si="158"/>
        <v>10700</v>
      </c>
      <c r="T1475" s="8">
        <v>47833</v>
      </c>
      <c r="V1475" s="8">
        <f t="shared" si="159"/>
        <v>43049.700000000004</v>
      </c>
      <c r="W1475" s="8">
        <f t="shared" si="160"/>
        <v>107624.25000000001</v>
      </c>
    </row>
    <row r="1476" spans="1:23" ht="21.95" customHeight="1" x14ac:dyDescent="0.2">
      <c r="A1476" s="5" t="s">
        <v>17</v>
      </c>
      <c r="B1476" t="s">
        <v>1582</v>
      </c>
      <c r="C1476" t="s">
        <v>566</v>
      </c>
      <c r="D1476" s="6" t="s">
        <v>690</v>
      </c>
      <c r="E1476" s="6"/>
      <c r="K1476" s="7">
        <v>44005672</v>
      </c>
      <c r="L1476" s="5" t="str">
        <f t="shared" si="155"/>
        <v>AR NATURA KOLLU MODÜL 2 Lİ SAĞ-SOL</v>
      </c>
      <c r="M1476" s="8">
        <v>0.15</v>
      </c>
      <c r="N1476" s="8">
        <v>0.1</v>
      </c>
      <c r="O1476" s="8">
        <v>21665</v>
      </c>
      <c r="P1476" s="8">
        <f t="shared" si="156"/>
        <v>19498.5</v>
      </c>
      <c r="Q1476" s="12">
        <f t="shared" si="157"/>
        <v>40946.85</v>
      </c>
      <c r="R1476" s="31">
        <f t="shared" si="158"/>
        <v>40900</v>
      </c>
      <c r="T1476" s="8">
        <v>41854</v>
      </c>
      <c r="V1476" s="8">
        <f t="shared" si="159"/>
        <v>37668.6</v>
      </c>
      <c r="W1476" s="8">
        <f t="shared" si="160"/>
        <v>94171.5</v>
      </c>
    </row>
    <row r="1477" spans="1:23" ht="21.95" customHeight="1" x14ac:dyDescent="0.2">
      <c r="A1477" s="5" t="s">
        <v>17</v>
      </c>
      <c r="B1477" t="s">
        <v>1582</v>
      </c>
      <c r="C1477" t="s">
        <v>566</v>
      </c>
      <c r="D1477" s="6" t="s">
        <v>691</v>
      </c>
      <c r="E1477" s="6"/>
      <c r="K1477" s="7">
        <v>44005673</v>
      </c>
      <c r="L1477" s="5" t="str">
        <f t="shared" si="155"/>
        <v>AR NATURA KOLSUZ MODÜL 2 Lİ</v>
      </c>
      <c r="M1477" s="8">
        <v>0.15</v>
      </c>
      <c r="N1477" s="8">
        <v>0.1</v>
      </c>
      <c r="O1477" s="8">
        <v>17565</v>
      </c>
      <c r="P1477" s="8">
        <f t="shared" si="156"/>
        <v>15808.5</v>
      </c>
      <c r="Q1477" s="12">
        <f t="shared" si="157"/>
        <v>33197.85</v>
      </c>
      <c r="R1477" s="31">
        <f t="shared" si="158"/>
        <v>33100</v>
      </c>
      <c r="T1477" s="8">
        <v>5162</v>
      </c>
      <c r="V1477" s="8">
        <f t="shared" si="159"/>
        <v>4645.8</v>
      </c>
      <c r="W1477" s="8">
        <f t="shared" si="160"/>
        <v>11614.5</v>
      </c>
    </row>
    <row r="1478" spans="1:23" ht="21.95" customHeight="1" x14ac:dyDescent="0.2">
      <c r="A1478" s="5" t="s">
        <v>17</v>
      </c>
      <c r="B1478" t="s">
        <v>1582</v>
      </c>
      <c r="C1478" t="s">
        <v>566</v>
      </c>
      <c r="D1478" s="6" t="s">
        <v>692</v>
      </c>
      <c r="E1478" s="6"/>
      <c r="K1478" s="7">
        <v>44005674</v>
      </c>
      <c r="L1478" s="5" t="str">
        <f t="shared" si="155"/>
        <v>AR NATURA KOLLU KÖŞE MODÜL 2 Lİ SAĞ-SOL</v>
      </c>
      <c r="M1478" s="8">
        <v>0.15</v>
      </c>
      <c r="N1478" s="8">
        <v>0.1</v>
      </c>
      <c r="O1478" s="8">
        <v>21540</v>
      </c>
      <c r="P1478" s="8">
        <f t="shared" si="156"/>
        <v>19386</v>
      </c>
      <c r="Q1478" s="12">
        <f t="shared" si="157"/>
        <v>40710.6</v>
      </c>
      <c r="R1478" s="31">
        <f t="shared" si="158"/>
        <v>40700</v>
      </c>
      <c r="T1478" s="8">
        <v>21205</v>
      </c>
      <c r="V1478" s="8">
        <f t="shared" si="159"/>
        <v>19084.5</v>
      </c>
      <c r="W1478" s="8">
        <f t="shared" si="160"/>
        <v>47711.25</v>
      </c>
    </row>
    <row r="1479" spans="1:23" ht="21.95" customHeight="1" x14ac:dyDescent="0.2">
      <c r="A1479" s="5" t="s">
        <v>17</v>
      </c>
      <c r="B1479" t="s">
        <v>1582</v>
      </c>
      <c r="C1479" t="s">
        <v>566</v>
      </c>
      <c r="D1479" s="6" t="s">
        <v>693</v>
      </c>
      <c r="E1479" s="6"/>
      <c r="K1479" s="7">
        <v>44005675</v>
      </c>
      <c r="L1479" s="5" t="str">
        <f t="shared" si="155"/>
        <v>AR NATURA TEKLİ MODÜL</v>
      </c>
      <c r="M1479" s="8">
        <v>0.15</v>
      </c>
      <c r="N1479" s="8">
        <v>0.1</v>
      </c>
      <c r="O1479" s="8">
        <v>10390</v>
      </c>
      <c r="P1479" s="8">
        <f t="shared" si="156"/>
        <v>9351</v>
      </c>
      <c r="Q1479" s="12">
        <f t="shared" si="157"/>
        <v>19637.100000000002</v>
      </c>
      <c r="R1479" s="31">
        <f t="shared" si="158"/>
        <v>19600</v>
      </c>
      <c r="T1479" s="8">
        <v>8760</v>
      </c>
      <c r="V1479" s="8">
        <f t="shared" si="159"/>
        <v>7884</v>
      </c>
      <c r="W1479" s="8">
        <f t="shared" si="160"/>
        <v>19710</v>
      </c>
    </row>
    <row r="1480" spans="1:23" ht="21.95" customHeight="1" x14ac:dyDescent="0.2">
      <c r="A1480" s="5" t="s">
        <v>17</v>
      </c>
      <c r="B1480" t="s">
        <v>1582</v>
      </c>
      <c r="C1480" t="s">
        <v>566</v>
      </c>
      <c r="D1480" s="6" t="s">
        <v>694</v>
      </c>
      <c r="E1480" s="6"/>
      <c r="K1480" s="7">
        <v>44005676</v>
      </c>
      <c r="L1480" s="5" t="str">
        <f t="shared" si="155"/>
        <v>AR NATURA PUF ORTA KARE</v>
      </c>
      <c r="M1480" s="8">
        <v>0.15</v>
      </c>
      <c r="N1480" s="8">
        <v>0.1</v>
      </c>
      <c r="O1480" s="8">
        <v>6935</v>
      </c>
      <c r="P1480" s="8">
        <f t="shared" si="156"/>
        <v>6241.5</v>
      </c>
      <c r="Q1480" s="12">
        <f t="shared" si="157"/>
        <v>13107.150000000001</v>
      </c>
      <c r="R1480" s="31">
        <f t="shared" si="158"/>
        <v>13100</v>
      </c>
      <c r="T1480" s="8">
        <v>33120</v>
      </c>
      <c r="V1480" s="8">
        <f t="shared" si="159"/>
        <v>29808</v>
      </c>
      <c r="W1480" s="8">
        <f t="shared" si="160"/>
        <v>74520</v>
      </c>
    </row>
    <row r="1481" spans="1:23" ht="21.95" customHeight="1" x14ac:dyDescent="0.2">
      <c r="A1481" s="5" t="s">
        <v>17</v>
      </c>
      <c r="B1481" t="s">
        <v>1582</v>
      </c>
      <c r="C1481" t="s">
        <v>566</v>
      </c>
      <c r="D1481" s="6" t="s">
        <v>546</v>
      </c>
      <c r="E1481" s="6"/>
      <c r="K1481" s="7">
        <v>44005677</v>
      </c>
      <c r="L1481" s="5" t="str">
        <f t="shared" si="155"/>
        <v>AR NATURA ARA SEHPA</v>
      </c>
      <c r="M1481" s="8">
        <v>0.15</v>
      </c>
      <c r="N1481" s="8">
        <v>0.1</v>
      </c>
      <c r="O1481" s="8">
        <v>5560</v>
      </c>
      <c r="P1481" s="8">
        <f t="shared" si="156"/>
        <v>5004</v>
      </c>
      <c r="Q1481" s="12">
        <f t="shared" si="157"/>
        <v>10508.4</v>
      </c>
      <c r="R1481" s="31">
        <f t="shared" si="158"/>
        <v>10500</v>
      </c>
      <c r="T1481" s="8">
        <v>11675</v>
      </c>
      <c r="V1481" s="8">
        <f t="shared" si="159"/>
        <v>10507.5</v>
      </c>
      <c r="W1481" s="8">
        <f t="shared" si="160"/>
        <v>26268.75</v>
      </c>
    </row>
    <row r="1482" spans="1:23" ht="21.95" customHeight="1" x14ac:dyDescent="0.2">
      <c r="A1482" s="5" t="s">
        <v>17</v>
      </c>
      <c r="B1482" t="s">
        <v>1582</v>
      </c>
      <c r="C1482" t="s">
        <v>566</v>
      </c>
      <c r="D1482" s="6" t="s">
        <v>593</v>
      </c>
      <c r="E1482" s="6"/>
      <c r="K1482" s="7">
        <v>44005678</v>
      </c>
      <c r="L1482" s="5" t="str">
        <f t="shared" si="155"/>
        <v>AR NATURA KARYOLA İÇ KAYITLI 160CM</v>
      </c>
      <c r="M1482" s="8">
        <v>0.15</v>
      </c>
      <c r="N1482" s="8">
        <v>0.1</v>
      </c>
      <c r="O1482" s="8">
        <v>21660</v>
      </c>
      <c r="P1482" s="8">
        <f t="shared" si="156"/>
        <v>19494</v>
      </c>
      <c r="Q1482" s="12">
        <f t="shared" si="157"/>
        <v>40937.4</v>
      </c>
      <c r="R1482" s="31">
        <f t="shared" si="158"/>
        <v>40900</v>
      </c>
      <c r="T1482" s="8">
        <v>20475</v>
      </c>
      <c r="V1482" s="8">
        <f t="shared" si="159"/>
        <v>18427.5</v>
      </c>
      <c r="W1482" s="8">
        <f t="shared" si="160"/>
        <v>46068.75</v>
      </c>
    </row>
    <row r="1483" spans="1:23" ht="21.95" customHeight="1" x14ac:dyDescent="0.2">
      <c r="A1483" s="5" t="s">
        <v>17</v>
      </c>
      <c r="B1483" t="s">
        <v>1582</v>
      </c>
      <c r="C1483" t="s">
        <v>566</v>
      </c>
      <c r="D1483" s="6" t="s">
        <v>75</v>
      </c>
      <c r="E1483" s="6"/>
      <c r="K1483" s="7">
        <v>44005679</v>
      </c>
      <c r="L1483" s="5" t="str">
        <f t="shared" si="155"/>
        <v>AR NATURA KARYOLA BAZALI 160CM</v>
      </c>
      <c r="M1483" s="8">
        <v>0.15</v>
      </c>
      <c r="N1483" s="8">
        <v>0.1</v>
      </c>
      <c r="O1483" s="8">
        <v>26260</v>
      </c>
      <c r="P1483" s="8">
        <f t="shared" si="156"/>
        <v>23634</v>
      </c>
      <c r="Q1483" s="12">
        <f t="shared" si="157"/>
        <v>49631.4</v>
      </c>
      <c r="R1483" s="31">
        <f t="shared" si="158"/>
        <v>49600</v>
      </c>
      <c r="T1483" s="8">
        <v>11255</v>
      </c>
      <c r="V1483" s="8">
        <f t="shared" si="159"/>
        <v>10129.5</v>
      </c>
      <c r="W1483" s="8">
        <f t="shared" si="160"/>
        <v>25323.75</v>
      </c>
    </row>
    <row r="1484" spans="1:23" ht="21.95" customHeight="1" x14ac:dyDescent="0.2">
      <c r="A1484" s="5" t="s">
        <v>17</v>
      </c>
      <c r="B1484" t="s">
        <v>1582</v>
      </c>
      <c r="C1484" t="s">
        <v>566</v>
      </c>
      <c r="D1484" s="6" t="s">
        <v>76</v>
      </c>
      <c r="E1484" s="6"/>
      <c r="K1484" s="7">
        <v>44005680</v>
      </c>
      <c r="L1484" s="5" t="str">
        <f t="shared" si="155"/>
        <v>AR NATURA KARYOLA BAZALI 180CM</v>
      </c>
      <c r="M1484" s="8">
        <v>0.15</v>
      </c>
      <c r="N1484" s="8">
        <v>0.1</v>
      </c>
      <c r="O1484" s="8">
        <v>28760</v>
      </c>
      <c r="P1484" s="8">
        <f t="shared" si="156"/>
        <v>25884</v>
      </c>
      <c r="Q1484" s="12">
        <f t="shared" si="157"/>
        <v>54356.4</v>
      </c>
      <c r="R1484" s="31">
        <f t="shared" si="158"/>
        <v>54300</v>
      </c>
      <c r="T1484" s="8">
        <v>9445</v>
      </c>
      <c r="V1484" s="8">
        <f t="shared" si="159"/>
        <v>8500.5</v>
      </c>
      <c r="W1484" s="8">
        <f t="shared" si="160"/>
        <v>21251.25</v>
      </c>
    </row>
    <row r="1485" spans="1:23" ht="21.95" customHeight="1" x14ac:dyDescent="0.2">
      <c r="A1485" s="5" t="s">
        <v>17</v>
      </c>
      <c r="B1485" t="s">
        <v>1582</v>
      </c>
      <c r="C1485" t="s">
        <v>566</v>
      </c>
      <c r="D1485" s="6" t="s">
        <v>594</v>
      </c>
      <c r="E1485" s="6"/>
      <c r="K1485" s="7">
        <v>44005681</v>
      </c>
      <c r="L1485" s="5" t="str">
        <f t="shared" si="155"/>
        <v>AR NATURA KARYOLA İÇ KAYITLI 180CM</v>
      </c>
      <c r="M1485" s="8">
        <v>0.15</v>
      </c>
      <c r="N1485" s="8">
        <v>0.1</v>
      </c>
      <c r="O1485" s="8">
        <v>24160</v>
      </c>
      <c r="P1485" s="8">
        <f t="shared" si="156"/>
        <v>21744</v>
      </c>
      <c r="Q1485" s="12">
        <f t="shared" si="157"/>
        <v>45662.400000000001</v>
      </c>
      <c r="R1485" s="31">
        <f t="shared" si="158"/>
        <v>45600</v>
      </c>
      <c r="T1485" s="8">
        <v>37615</v>
      </c>
      <c r="V1485" s="8">
        <f t="shared" si="159"/>
        <v>33853.5</v>
      </c>
      <c r="W1485" s="8">
        <f t="shared" si="160"/>
        <v>84633.75</v>
      </c>
    </row>
    <row r="1486" spans="1:23" ht="21.95" customHeight="1" x14ac:dyDescent="0.2">
      <c r="A1486" s="5" t="s">
        <v>17</v>
      </c>
      <c r="B1486" t="s">
        <v>1582</v>
      </c>
      <c r="C1486" t="s">
        <v>566</v>
      </c>
      <c r="D1486" s="6" t="s">
        <v>362</v>
      </c>
      <c r="E1486" s="6"/>
      <c r="K1486" s="7">
        <v>44005682</v>
      </c>
      <c r="L1486" s="5" t="str">
        <f t="shared" si="155"/>
        <v>AR NATURA KOMODİN</v>
      </c>
      <c r="M1486" s="8">
        <v>0.15</v>
      </c>
      <c r="N1486" s="8">
        <v>0.1</v>
      </c>
      <c r="O1486" s="8">
        <v>4580</v>
      </c>
      <c r="P1486" s="8">
        <f t="shared" si="156"/>
        <v>4122</v>
      </c>
      <c r="Q1486" s="12">
        <f t="shared" si="157"/>
        <v>8656.2000000000007</v>
      </c>
      <c r="R1486" s="31">
        <f t="shared" si="158"/>
        <v>8600</v>
      </c>
      <c r="T1486" s="8">
        <v>34475</v>
      </c>
      <c r="V1486" s="8">
        <f t="shared" si="159"/>
        <v>31027.5</v>
      </c>
      <c r="W1486" s="8">
        <f t="shared" si="160"/>
        <v>77568.75</v>
      </c>
    </row>
    <row r="1487" spans="1:23" ht="21.95" customHeight="1" x14ac:dyDescent="0.2">
      <c r="A1487" s="5" t="s">
        <v>17</v>
      </c>
      <c r="B1487" t="s">
        <v>1582</v>
      </c>
      <c r="C1487" t="s">
        <v>566</v>
      </c>
      <c r="D1487" s="6" t="s">
        <v>379</v>
      </c>
      <c r="E1487" s="6"/>
      <c r="K1487" s="7">
        <v>44005683</v>
      </c>
      <c r="L1487" s="5" t="str">
        <f t="shared" si="155"/>
        <v>AR NATURA DOLAP 6 KAPAKLI</v>
      </c>
      <c r="M1487" s="8">
        <v>0.15</v>
      </c>
      <c r="N1487" s="8">
        <v>0.1</v>
      </c>
      <c r="O1487" s="8">
        <v>30915</v>
      </c>
      <c r="P1487" s="8">
        <f t="shared" si="156"/>
        <v>27823.5</v>
      </c>
      <c r="Q1487" s="12">
        <f t="shared" si="157"/>
        <v>58429.350000000006</v>
      </c>
      <c r="R1487" s="31">
        <f t="shared" si="158"/>
        <v>58400</v>
      </c>
      <c r="T1487" s="8">
        <v>16140</v>
      </c>
      <c r="V1487" s="8">
        <f t="shared" si="159"/>
        <v>14526</v>
      </c>
      <c r="W1487" s="8">
        <f t="shared" si="160"/>
        <v>36315</v>
      </c>
    </row>
    <row r="1488" spans="1:23" ht="21.95" customHeight="1" x14ac:dyDescent="0.2">
      <c r="A1488" s="5" t="s">
        <v>17</v>
      </c>
      <c r="B1488" t="s">
        <v>1582</v>
      </c>
      <c r="C1488" t="s">
        <v>566</v>
      </c>
      <c r="D1488" s="6" t="s">
        <v>695</v>
      </c>
      <c r="E1488" s="6"/>
      <c r="K1488" s="7">
        <v>44005684</v>
      </c>
      <c r="L1488" s="5" t="str">
        <f t="shared" si="155"/>
        <v>AR NATURA DOLAP 5 KAPAKLI</v>
      </c>
      <c r="M1488" s="8">
        <v>0.15</v>
      </c>
      <c r="N1488" s="8">
        <v>0.1</v>
      </c>
      <c r="O1488" s="8">
        <v>27870</v>
      </c>
      <c r="P1488" s="8">
        <f t="shared" si="156"/>
        <v>25083</v>
      </c>
      <c r="Q1488" s="12">
        <f t="shared" si="157"/>
        <v>52674.3</v>
      </c>
      <c r="R1488" s="31">
        <f t="shared" si="158"/>
        <v>52600</v>
      </c>
      <c r="T1488" s="8">
        <v>23270</v>
      </c>
      <c r="V1488" s="8">
        <f t="shared" si="159"/>
        <v>20943</v>
      </c>
      <c r="W1488" s="8">
        <f t="shared" si="160"/>
        <v>52357.5</v>
      </c>
    </row>
    <row r="1489" spans="1:23" ht="21.95" customHeight="1" x14ac:dyDescent="0.2">
      <c r="A1489" s="5" t="s">
        <v>17</v>
      </c>
      <c r="B1489" t="s">
        <v>1582</v>
      </c>
      <c r="C1489" t="s">
        <v>566</v>
      </c>
      <c r="D1489" s="6" t="s">
        <v>595</v>
      </c>
      <c r="E1489" s="6"/>
      <c r="K1489" s="7">
        <v>44005685</v>
      </c>
      <c r="L1489" s="5" t="str">
        <f t="shared" si="155"/>
        <v>AR NATURA ŞİFONYER &amp; AYNASI</v>
      </c>
      <c r="M1489" s="8">
        <v>0.15</v>
      </c>
      <c r="N1489" s="8">
        <v>0.1</v>
      </c>
      <c r="O1489" s="8">
        <v>15830</v>
      </c>
      <c r="P1489" s="8">
        <f t="shared" si="156"/>
        <v>14247</v>
      </c>
      <c r="Q1489" s="12">
        <f t="shared" si="157"/>
        <v>29918.7</v>
      </c>
      <c r="R1489" s="31">
        <f t="shared" si="158"/>
        <v>29900</v>
      </c>
      <c r="T1489" s="8">
        <v>27870</v>
      </c>
      <c r="V1489" s="8">
        <f t="shared" si="159"/>
        <v>25083</v>
      </c>
      <c r="W1489" s="8">
        <f t="shared" si="160"/>
        <v>62707.5</v>
      </c>
    </row>
    <row r="1490" spans="1:23" ht="21.95" customHeight="1" x14ac:dyDescent="0.2">
      <c r="A1490" s="5" t="s">
        <v>17</v>
      </c>
      <c r="B1490" t="s">
        <v>1582</v>
      </c>
      <c r="C1490" t="s">
        <v>566</v>
      </c>
      <c r="D1490" s="6" t="s">
        <v>126</v>
      </c>
      <c r="E1490" s="6"/>
      <c r="K1490" s="7">
        <v>44005686</v>
      </c>
      <c r="L1490" s="5" t="str">
        <f t="shared" si="155"/>
        <v>AR NATURA ÇAMAŞIRLIK</v>
      </c>
      <c r="M1490" s="8">
        <v>0.15</v>
      </c>
      <c r="N1490" s="8">
        <v>0.1</v>
      </c>
      <c r="O1490" s="8">
        <v>9965</v>
      </c>
      <c r="P1490" s="8">
        <f t="shared" si="156"/>
        <v>8968.5</v>
      </c>
      <c r="Q1490" s="12">
        <f t="shared" si="157"/>
        <v>18833.850000000002</v>
      </c>
      <c r="R1490" s="31">
        <f t="shared" si="158"/>
        <v>18800</v>
      </c>
      <c r="T1490" s="8">
        <v>30370</v>
      </c>
      <c r="V1490" s="8">
        <f t="shared" si="159"/>
        <v>27333</v>
      </c>
      <c r="W1490" s="8">
        <f t="shared" si="160"/>
        <v>68332.5</v>
      </c>
    </row>
    <row r="1491" spans="1:23" ht="21.95" customHeight="1" x14ac:dyDescent="0.2">
      <c r="A1491" s="5" t="s">
        <v>17</v>
      </c>
      <c r="B1491" t="s">
        <v>1582</v>
      </c>
      <c r="C1491" t="s">
        <v>566</v>
      </c>
      <c r="D1491" s="6" t="s">
        <v>82</v>
      </c>
      <c r="E1491" s="6"/>
      <c r="K1491" s="7">
        <v>44005687</v>
      </c>
      <c r="L1491" s="5" t="str">
        <f t="shared" ref="L1491:L1554" si="161">B1491&amp;" "&amp;C1491&amp;" "&amp;D1491</f>
        <v>AR NATURA BOY AYNASI</v>
      </c>
      <c r="M1491" s="8">
        <v>0.15</v>
      </c>
      <c r="N1491" s="8">
        <v>0.1</v>
      </c>
      <c r="O1491" s="8">
        <v>4305</v>
      </c>
      <c r="P1491" s="8">
        <f t="shared" si="156"/>
        <v>3874.5</v>
      </c>
      <c r="Q1491" s="12">
        <f t="shared" si="157"/>
        <v>8136.4500000000007</v>
      </c>
      <c r="R1491" s="31">
        <f t="shared" si="158"/>
        <v>8100</v>
      </c>
      <c r="T1491" s="8">
        <v>25770</v>
      </c>
      <c r="V1491" s="8">
        <f t="shared" si="159"/>
        <v>23193</v>
      </c>
      <c r="W1491" s="8">
        <f t="shared" si="160"/>
        <v>57982.5</v>
      </c>
    </row>
    <row r="1492" spans="1:23" ht="21.95" customHeight="1" x14ac:dyDescent="0.2">
      <c r="A1492" s="5" t="s">
        <v>17</v>
      </c>
      <c r="B1492" t="s">
        <v>1582</v>
      </c>
      <c r="C1492" t="s">
        <v>566</v>
      </c>
      <c r="D1492" s="6" t="s">
        <v>119</v>
      </c>
      <c r="E1492" s="6"/>
      <c r="K1492" s="7">
        <v>44005688</v>
      </c>
      <c r="L1492" s="5" t="str">
        <f t="shared" si="161"/>
        <v>AR NATURA PUF</v>
      </c>
      <c r="M1492" s="8">
        <v>0.15</v>
      </c>
      <c r="N1492" s="8">
        <v>0.1</v>
      </c>
      <c r="O1492" s="8">
        <v>2990</v>
      </c>
      <c r="P1492" s="8">
        <f t="shared" si="156"/>
        <v>2691</v>
      </c>
      <c r="Q1492" s="12">
        <f t="shared" si="157"/>
        <v>5651.1</v>
      </c>
      <c r="R1492" s="31">
        <f t="shared" si="158"/>
        <v>5600</v>
      </c>
      <c r="T1492" s="8">
        <v>8265</v>
      </c>
      <c r="V1492" s="8">
        <f t="shared" si="159"/>
        <v>7438.5</v>
      </c>
      <c r="W1492" s="8">
        <f t="shared" si="160"/>
        <v>18596.25</v>
      </c>
    </row>
    <row r="1493" spans="1:23" ht="21.95" customHeight="1" x14ac:dyDescent="0.2">
      <c r="A1493" s="5" t="s">
        <v>17</v>
      </c>
      <c r="B1493" t="s">
        <v>1582</v>
      </c>
      <c r="C1493" t="s">
        <v>696</v>
      </c>
      <c r="D1493" s="6" t="s">
        <v>194</v>
      </c>
      <c r="E1493" s="6"/>
      <c r="K1493" s="7">
        <v>44005689</v>
      </c>
      <c r="L1493" s="5" t="str">
        <f t="shared" si="161"/>
        <v xml:space="preserve">AR PRAG KONSOL </v>
      </c>
      <c r="M1493" s="8">
        <v>0.15</v>
      </c>
      <c r="N1493" s="8">
        <v>0.1</v>
      </c>
      <c r="O1493" s="8">
        <v>23850</v>
      </c>
      <c r="P1493" s="8">
        <f t="shared" si="156"/>
        <v>21465</v>
      </c>
      <c r="Q1493" s="12">
        <f t="shared" si="157"/>
        <v>45076.5</v>
      </c>
      <c r="R1493" s="31">
        <f t="shared" si="158"/>
        <v>45000</v>
      </c>
      <c r="T1493" s="8">
        <v>42915</v>
      </c>
      <c r="V1493" s="8">
        <f t="shared" si="159"/>
        <v>38623.5</v>
      </c>
      <c r="W1493" s="8">
        <f t="shared" si="160"/>
        <v>96558.75</v>
      </c>
    </row>
    <row r="1494" spans="1:23" ht="21.95" customHeight="1" x14ac:dyDescent="0.2">
      <c r="A1494" s="5" t="s">
        <v>17</v>
      </c>
      <c r="B1494" t="s">
        <v>1582</v>
      </c>
      <c r="C1494" t="s">
        <v>696</v>
      </c>
      <c r="D1494" s="6" t="s">
        <v>21</v>
      </c>
      <c r="E1494" s="6"/>
      <c r="K1494" s="7">
        <v>44005690</v>
      </c>
      <c r="L1494" s="5" t="str">
        <f t="shared" si="161"/>
        <v>AR PRAG KONSOL AYNASI</v>
      </c>
      <c r="M1494" s="8">
        <v>0.15</v>
      </c>
      <c r="N1494" s="8">
        <v>0.1</v>
      </c>
      <c r="O1494" s="8">
        <v>3897</v>
      </c>
      <c r="P1494" s="8">
        <f t="shared" si="156"/>
        <v>3507.3</v>
      </c>
      <c r="Q1494" s="12">
        <f t="shared" si="157"/>
        <v>7365.3300000000008</v>
      </c>
      <c r="R1494" s="31">
        <f t="shared" si="158"/>
        <v>7300</v>
      </c>
      <c r="T1494" s="8">
        <v>23175</v>
      </c>
      <c r="V1494" s="8">
        <f t="shared" si="159"/>
        <v>20857.5</v>
      </c>
      <c r="W1494" s="8">
        <f t="shared" si="160"/>
        <v>52143.75</v>
      </c>
    </row>
    <row r="1495" spans="1:23" ht="21.95" customHeight="1" x14ac:dyDescent="0.2">
      <c r="A1495" s="5" t="s">
        <v>17</v>
      </c>
      <c r="B1495" t="s">
        <v>1582</v>
      </c>
      <c r="C1495" t="s">
        <v>696</v>
      </c>
      <c r="D1495" s="6" t="s">
        <v>599</v>
      </c>
      <c r="E1495" s="6"/>
      <c r="K1495" s="7">
        <v>44005691</v>
      </c>
      <c r="L1495" s="5" t="str">
        <f t="shared" si="161"/>
        <v>AR PRAG MASA 210CM</v>
      </c>
      <c r="M1495" s="8">
        <v>0.15</v>
      </c>
      <c r="N1495" s="8">
        <v>0.1</v>
      </c>
      <c r="O1495" s="8">
        <v>15195</v>
      </c>
      <c r="P1495" s="8">
        <f t="shared" si="156"/>
        <v>13675.5</v>
      </c>
      <c r="Q1495" s="12">
        <f t="shared" si="157"/>
        <v>28718.550000000003</v>
      </c>
      <c r="R1495" s="31">
        <f t="shared" si="158"/>
        <v>28700</v>
      </c>
      <c r="T1495" s="8">
        <v>11335</v>
      </c>
      <c r="V1495" s="8">
        <f t="shared" si="159"/>
        <v>10201.5</v>
      </c>
      <c r="W1495" s="8">
        <f t="shared" si="160"/>
        <v>25503.75</v>
      </c>
    </row>
    <row r="1496" spans="1:23" ht="21.95" customHeight="1" x14ac:dyDescent="0.2">
      <c r="A1496" s="5" t="s">
        <v>17</v>
      </c>
      <c r="B1496" t="s">
        <v>1582</v>
      </c>
      <c r="C1496" t="s">
        <v>696</v>
      </c>
      <c r="D1496" s="6" t="s">
        <v>358</v>
      </c>
      <c r="E1496" s="6"/>
      <c r="K1496" s="7">
        <v>44005692</v>
      </c>
      <c r="L1496" s="5" t="str">
        <f t="shared" si="161"/>
        <v xml:space="preserve">AR PRAG SANDALYE </v>
      </c>
      <c r="M1496" s="8">
        <v>0.15</v>
      </c>
      <c r="N1496" s="8">
        <v>0.1</v>
      </c>
      <c r="O1496" s="8">
        <v>3655</v>
      </c>
      <c r="P1496" s="8">
        <f t="shared" si="156"/>
        <v>3289.5</v>
      </c>
      <c r="Q1496" s="12">
        <f t="shared" si="157"/>
        <v>6907.9500000000007</v>
      </c>
      <c r="R1496" s="31">
        <f t="shared" si="158"/>
        <v>6900</v>
      </c>
      <c r="T1496" s="8">
        <v>4775</v>
      </c>
      <c r="V1496" s="8">
        <f t="shared" si="159"/>
        <v>4297.5</v>
      </c>
      <c r="W1496" s="8">
        <f t="shared" si="160"/>
        <v>10743.75</v>
      </c>
    </row>
    <row r="1497" spans="1:23" ht="21.95" customHeight="1" x14ac:dyDescent="0.2">
      <c r="A1497" s="5" t="s">
        <v>17</v>
      </c>
      <c r="B1497" t="s">
        <v>1582</v>
      </c>
      <c r="C1497" t="s">
        <v>696</v>
      </c>
      <c r="D1497" s="6" t="s">
        <v>31</v>
      </c>
      <c r="E1497" s="6"/>
      <c r="K1497" s="7">
        <v>44005693</v>
      </c>
      <c r="L1497" s="5" t="str">
        <f t="shared" si="161"/>
        <v>AR PRAG KOLTUK 4 LÜ</v>
      </c>
      <c r="M1497" s="8">
        <v>0.15</v>
      </c>
      <c r="N1497" s="8">
        <v>0.1</v>
      </c>
      <c r="O1497" s="8">
        <v>30040</v>
      </c>
      <c r="P1497" s="8">
        <f t="shared" si="156"/>
        <v>27036</v>
      </c>
      <c r="Q1497" s="12">
        <f t="shared" si="157"/>
        <v>56775.600000000006</v>
      </c>
      <c r="R1497" s="31">
        <f t="shared" si="158"/>
        <v>56700</v>
      </c>
      <c r="T1497" s="8">
        <v>4820</v>
      </c>
      <c r="V1497" s="8">
        <f t="shared" si="159"/>
        <v>4338</v>
      </c>
      <c r="W1497" s="8">
        <f t="shared" si="160"/>
        <v>10845</v>
      </c>
    </row>
    <row r="1498" spans="1:23" ht="21.95" customHeight="1" x14ac:dyDescent="0.2">
      <c r="A1498" s="5" t="s">
        <v>17</v>
      </c>
      <c r="B1498" t="s">
        <v>1582</v>
      </c>
      <c r="C1498" t="s">
        <v>696</v>
      </c>
      <c r="D1498" s="6" t="s">
        <v>32</v>
      </c>
      <c r="E1498" s="6"/>
      <c r="K1498" s="7">
        <v>44005694</v>
      </c>
      <c r="L1498" s="5" t="str">
        <f t="shared" si="161"/>
        <v>AR PRAG KOLTUK 3 LÜ</v>
      </c>
      <c r="M1498" s="8">
        <v>0.15</v>
      </c>
      <c r="N1498" s="8">
        <v>0.1</v>
      </c>
      <c r="O1498" s="8">
        <v>26975</v>
      </c>
      <c r="P1498" s="8">
        <f t="shared" si="156"/>
        <v>24277.5</v>
      </c>
      <c r="Q1498" s="12">
        <f t="shared" si="157"/>
        <v>50982.75</v>
      </c>
      <c r="R1498" s="31">
        <f t="shared" si="158"/>
        <v>50900</v>
      </c>
      <c r="T1498" s="8">
        <v>34665</v>
      </c>
      <c r="V1498" s="8">
        <f t="shared" si="159"/>
        <v>31198.5</v>
      </c>
      <c r="W1498" s="8">
        <f t="shared" si="160"/>
        <v>77996.25</v>
      </c>
    </row>
    <row r="1499" spans="1:23" ht="21.95" customHeight="1" x14ac:dyDescent="0.2">
      <c r="A1499" s="5" t="s">
        <v>17</v>
      </c>
      <c r="B1499" t="s">
        <v>1582</v>
      </c>
      <c r="C1499" t="s">
        <v>696</v>
      </c>
      <c r="D1499" s="6" t="s">
        <v>592</v>
      </c>
      <c r="E1499" s="6"/>
      <c r="K1499" s="7">
        <v>44005695</v>
      </c>
      <c r="L1499" s="5" t="str">
        <f t="shared" si="161"/>
        <v>AR PRAG KOLTUK TEKLİ</v>
      </c>
      <c r="M1499" s="8">
        <v>0.15</v>
      </c>
      <c r="N1499" s="8">
        <v>0.1</v>
      </c>
      <c r="O1499" s="8">
        <v>12205</v>
      </c>
      <c r="P1499" s="8">
        <f t="shared" si="156"/>
        <v>10984.5</v>
      </c>
      <c r="Q1499" s="12">
        <f t="shared" si="157"/>
        <v>23067.45</v>
      </c>
      <c r="R1499" s="31">
        <f t="shared" si="158"/>
        <v>23000</v>
      </c>
      <c r="T1499" s="8">
        <v>5415</v>
      </c>
      <c r="V1499" s="8">
        <f t="shared" si="159"/>
        <v>4873.5</v>
      </c>
      <c r="W1499" s="8">
        <f t="shared" si="160"/>
        <v>12183.75</v>
      </c>
    </row>
    <row r="1500" spans="1:23" ht="21.95" customHeight="1" x14ac:dyDescent="0.2">
      <c r="A1500" s="5" t="s">
        <v>17</v>
      </c>
      <c r="B1500" t="s">
        <v>1582</v>
      </c>
      <c r="C1500" t="s">
        <v>696</v>
      </c>
      <c r="D1500" s="6" t="s">
        <v>119</v>
      </c>
      <c r="E1500" s="6"/>
      <c r="K1500" s="7">
        <v>44005696</v>
      </c>
      <c r="L1500" s="5" t="str">
        <f t="shared" si="161"/>
        <v>AR PRAG PUF</v>
      </c>
      <c r="M1500" s="8">
        <v>0.15</v>
      </c>
      <c r="N1500" s="8">
        <v>0.1</v>
      </c>
      <c r="O1500" s="8">
        <v>6720</v>
      </c>
      <c r="P1500" s="8">
        <f t="shared" si="156"/>
        <v>6048</v>
      </c>
      <c r="Q1500" s="12">
        <f t="shared" si="157"/>
        <v>12700.800000000001</v>
      </c>
      <c r="R1500" s="31">
        <f t="shared" si="158"/>
        <v>12700</v>
      </c>
      <c r="T1500" s="8">
        <v>31805</v>
      </c>
      <c r="V1500" s="8">
        <f t="shared" si="159"/>
        <v>28624.5</v>
      </c>
      <c r="W1500" s="8">
        <f t="shared" si="160"/>
        <v>71561.25</v>
      </c>
    </row>
    <row r="1501" spans="1:23" ht="21.95" customHeight="1" x14ac:dyDescent="0.2">
      <c r="A1501" s="5" t="s">
        <v>17</v>
      </c>
      <c r="B1501" t="s">
        <v>1582</v>
      </c>
      <c r="C1501" t="s">
        <v>696</v>
      </c>
      <c r="D1501" s="6" t="s">
        <v>697</v>
      </c>
      <c r="E1501" s="6"/>
      <c r="K1501" s="7">
        <v>44005697</v>
      </c>
      <c r="L1501" s="5" t="str">
        <f t="shared" si="161"/>
        <v>AR PRAG MODÜL SOL 3 LÜ</v>
      </c>
      <c r="M1501" s="8">
        <v>0.15</v>
      </c>
      <c r="N1501" s="8">
        <v>0.1</v>
      </c>
      <c r="O1501" s="8">
        <v>13515</v>
      </c>
      <c r="P1501" s="8">
        <f t="shared" si="156"/>
        <v>12163.5</v>
      </c>
      <c r="Q1501" s="12">
        <f t="shared" si="157"/>
        <v>25543.350000000002</v>
      </c>
      <c r="R1501" s="31">
        <f t="shared" si="158"/>
        <v>25500</v>
      </c>
      <c r="T1501" s="8">
        <v>41347</v>
      </c>
      <c r="V1501" s="8">
        <f t="shared" si="159"/>
        <v>37212.300000000003</v>
      </c>
      <c r="W1501" s="8">
        <f t="shared" si="160"/>
        <v>93030.75</v>
      </c>
    </row>
    <row r="1502" spans="1:23" ht="21.95" customHeight="1" x14ac:dyDescent="0.2">
      <c r="A1502" s="5" t="s">
        <v>17</v>
      </c>
      <c r="B1502" t="s">
        <v>1582</v>
      </c>
      <c r="C1502" t="s">
        <v>696</v>
      </c>
      <c r="D1502" s="6" t="s">
        <v>698</v>
      </c>
      <c r="E1502" s="6"/>
      <c r="K1502" s="7">
        <v>44005698</v>
      </c>
      <c r="L1502" s="5" t="str">
        <f t="shared" si="161"/>
        <v>AR PRAG MODÜL SAĞ 3 LÜ</v>
      </c>
      <c r="M1502" s="8">
        <v>0.15</v>
      </c>
      <c r="N1502" s="8">
        <v>0.1</v>
      </c>
      <c r="O1502" s="8">
        <v>13460</v>
      </c>
      <c r="P1502" s="8">
        <f t="shared" si="156"/>
        <v>12114</v>
      </c>
      <c r="Q1502" s="12">
        <f t="shared" si="157"/>
        <v>25439.4</v>
      </c>
      <c r="R1502" s="31">
        <f t="shared" si="158"/>
        <v>25400</v>
      </c>
      <c r="T1502" s="8">
        <v>47253</v>
      </c>
      <c r="V1502" s="8">
        <f t="shared" si="159"/>
        <v>42527.700000000004</v>
      </c>
      <c r="W1502" s="8">
        <f t="shared" si="160"/>
        <v>106319.25000000001</v>
      </c>
    </row>
    <row r="1503" spans="1:23" ht="21.95" customHeight="1" x14ac:dyDescent="0.2">
      <c r="A1503" s="5" t="s">
        <v>17</v>
      </c>
      <c r="B1503" t="s">
        <v>1582</v>
      </c>
      <c r="C1503" t="s">
        <v>696</v>
      </c>
      <c r="D1503" s="6" t="s">
        <v>699</v>
      </c>
      <c r="E1503" s="6"/>
      <c r="K1503" s="7">
        <v>44005699</v>
      </c>
      <c r="L1503" s="5" t="str">
        <f t="shared" si="161"/>
        <v>AR PRAG ARA MODÜL SAĞ-SOL</v>
      </c>
      <c r="M1503" s="8">
        <v>0.15</v>
      </c>
      <c r="N1503" s="8">
        <v>0.1</v>
      </c>
      <c r="O1503" s="8">
        <v>12980</v>
      </c>
      <c r="P1503" s="8">
        <f t="shared" si="156"/>
        <v>11682</v>
      </c>
      <c r="Q1503" s="12">
        <f t="shared" si="157"/>
        <v>24532.2</v>
      </c>
      <c r="R1503" s="31">
        <f t="shared" si="158"/>
        <v>24500</v>
      </c>
      <c r="T1503" s="8">
        <v>5829</v>
      </c>
      <c r="V1503" s="8">
        <f t="shared" si="159"/>
        <v>5246.1</v>
      </c>
      <c r="W1503" s="8">
        <f t="shared" si="160"/>
        <v>13115.25</v>
      </c>
    </row>
    <row r="1504" spans="1:23" ht="21.95" customHeight="1" x14ac:dyDescent="0.2">
      <c r="A1504" s="5" t="s">
        <v>17</v>
      </c>
      <c r="B1504" t="s">
        <v>1582</v>
      </c>
      <c r="C1504" t="s">
        <v>696</v>
      </c>
      <c r="D1504" s="6" t="s">
        <v>700</v>
      </c>
      <c r="E1504" s="6"/>
      <c r="K1504" s="7">
        <v>44005700</v>
      </c>
      <c r="L1504" s="5" t="str">
        <f t="shared" si="161"/>
        <v>AR PRAG KÜÇÜK KÖŞE</v>
      </c>
      <c r="M1504" s="8">
        <v>0.15</v>
      </c>
      <c r="N1504" s="8">
        <v>0.1</v>
      </c>
      <c r="O1504" s="8">
        <v>13000</v>
      </c>
      <c r="P1504" s="8">
        <f t="shared" si="156"/>
        <v>11700</v>
      </c>
      <c r="Q1504" s="12">
        <f t="shared" si="157"/>
        <v>24570</v>
      </c>
      <c r="R1504" s="31">
        <f t="shared" si="158"/>
        <v>24500</v>
      </c>
      <c r="T1504" s="8">
        <v>24505</v>
      </c>
      <c r="V1504" s="8">
        <f t="shared" si="159"/>
        <v>22054.5</v>
      </c>
      <c r="W1504" s="8">
        <f t="shared" si="160"/>
        <v>55136.25</v>
      </c>
    </row>
    <row r="1505" spans="1:23" ht="21.95" customHeight="1" x14ac:dyDescent="0.2">
      <c r="A1505" s="5" t="s">
        <v>17</v>
      </c>
      <c r="B1505" t="s">
        <v>1582</v>
      </c>
      <c r="C1505" t="s">
        <v>696</v>
      </c>
      <c r="D1505" s="6" t="s">
        <v>701</v>
      </c>
      <c r="E1505" s="6"/>
      <c r="K1505" s="7">
        <v>44005701</v>
      </c>
      <c r="L1505" s="5" t="str">
        <f t="shared" si="161"/>
        <v>AR PRAG TEKLİ KOLSUZ  MODÜL DÜZ</v>
      </c>
      <c r="M1505" s="8">
        <v>0.15</v>
      </c>
      <c r="N1505" s="8">
        <v>0.1</v>
      </c>
      <c r="O1505" s="8">
        <v>6925</v>
      </c>
      <c r="P1505" s="8">
        <f t="shared" si="156"/>
        <v>6232.5</v>
      </c>
      <c r="Q1505" s="12">
        <f t="shared" si="157"/>
        <v>13088.25</v>
      </c>
      <c r="R1505" s="31">
        <f t="shared" si="158"/>
        <v>13000</v>
      </c>
      <c r="T1505" s="8">
        <v>10265</v>
      </c>
      <c r="V1505" s="8">
        <f t="shared" si="159"/>
        <v>9238.5</v>
      </c>
      <c r="W1505" s="8">
        <f t="shared" si="160"/>
        <v>23096.25</v>
      </c>
    </row>
    <row r="1506" spans="1:23" ht="21.95" customHeight="1" x14ac:dyDescent="0.2">
      <c r="A1506" s="5" t="s">
        <v>17</v>
      </c>
      <c r="B1506" t="s">
        <v>1582</v>
      </c>
      <c r="C1506" t="s">
        <v>696</v>
      </c>
      <c r="D1506" s="6" t="s">
        <v>702</v>
      </c>
      <c r="E1506" s="6"/>
      <c r="K1506" s="7">
        <v>44005702</v>
      </c>
      <c r="L1506" s="5" t="str">
        <f t="shared" si="161"/>
        <v>AR PRAG TEKLİ KOLSUZ MODÜL DESENLİ</v>
      </c>
      <c r="M1506" s="8">
        <v>0.15</v>
      </c>
      <c r="N1506" s="8">
        <v>0.1</v>
      </c>
      <c r="O1506" s="8">
        <v>7920</v>
      </c>
      <c r="P1506" s="8">
        <f t="shared" si="156"/>
        <v>7128</v>
      </c>
      <c r="Q1506" s="12">
        <f t="shared" si="157"/>
        <v>14968.800000000001</v>
      </c>
      <c r="R1506" s="31">
        <f t="shared" si="158"/>
        <v>14900</v>
      </c>
      <c r="T1506" s="8">
        <v>31045</v>
      </c>
      <c r="V1506" s="8">
        <f t="shared" si="159"/>
        <v>27940.5</v>
      </c>
      <c r="W1506" s="8">
        <f t="shared" si="160"/>
        <v>69851.25</v>
      </c>
    </row>
    <row r="1507" spans="1:23" ht="21.95" customHeight="1" x14ac:dyDescent="0.2">
      <c r="A1507" s="5" t="s">
        <v>17</v>
      </c>
      <c r="B1507" t="s">
        <v>1582</v>
      </c>
      <c r="C1507" t="s">
        <v>696</v>
      </c>
      <c r="D1507" s="6" t="s">
        <v>703</v>
      </c>
      <c r="E1507" s="6"/>
      <c r="K1507" s="7">
        <v>44005703</v>
      </c>
      <c r="L1507" s="5" t="str">
        <f t="shared" si="161"/>
        <v>AR PRAG MODÜL 4 LÜ SAĞ-SOL</v>
      </c>
      <c r="M1507" s="8">
        <v>0.15</v>
      </c>
      <c r="N1507" s="8">
        <v>0.1</v>
      </c>
      <c r="O1507" s="8">
        <v>15020</v>
      </c>
      <c r="P1507" s="8">
        <f t="shared" si="156"/>
        <v>13518</v>
      </c>
      <c r="Q1507" s="12">
        <f t="shared" si="157"/>
        <v>28387.800000000003</v>
      </c>
      <c r="R1507" s="31">
        <f t="shared" si="158"/>
        <v>28300</v>
      </c>
      <c r="T1507" s="8">
        <v>19635</v>
      </c>
      <c r="V1507" s="8">
        <f t="shared" si="159"/>
        <v>17671.5</v>
      </c>
      <c r="W1507" s="8">
        <f t="shared" si="160"/>
        <v>44178.75</v>
      </c>
    </row>
    <row r="1508" spans="1:23" ht="21.95" customHeight="1" x14ac:dyDescent="0.2">
      <c r="A1508" s="5" t="s">
        <v>17</v>
      </c>
      <c r="B1508" t="s">
        <v>1582</v>
      </c>
      <c r="C1508" t="s">
        <v>696</v>
      </c>
      <c r="D1508" s="6" t="s">
        <v>704</v>
      </c>
      <c r="E1508" s="6"/>
      <c r="K1508" s="7">
        <v>44005704</v>
      </c>
      <c r="L1508" s="5" t="str">
        <f t="shared" si="161"/>
        <v>AR PRAG PUF ORTA</v>
      </c>
      <c r="M1508" s="8">
        <v>0.15</v>
      </c>
      <c r="N1508" s="8">
        <v>0.1</v>
      </c>
      <c r="O1508" s="8">
        <v>6720</v>
      </c>
      <c r="P1508" s="8">
        <f t="shared" si="156"/>
        <v>6048</v>
      </c>
      <c r="Q1508" s="12">
        <f t="shared" si="157"/>
        <v>12700.800000000001</v>
      </c>
      <c r="R1508" s="31">
        <f t="shared" si="158"/>
        <v>12700</v>
      </c>
      <c r="T1508" s="8">
        <v>14320</v>
      </c>
      <c r="V1508" s="8">
        <f t="shared" si="159"/>
        <v>12888</v>
      </c>
      <c r="W1508" s="8">
        <f t="shared" si="160"/>
        <v>32220</v>
      </c>
    </row>
    <row r="1509" spans="1:23" ht="21.95" customHeight="1" x14ac:dyDescent="0.2">
      <c r="A1509" s="5" t="s">
        <v>17</v>
      </c>
      <c r="B1509" t="s">
        <v>1582</v>
      </c>
      <c r="C1509" t="s">
        <v>705</v>
      </c>
      <c r="D1509" s="6" t="s">
        <v>49</v>
      </c>
      <c r="E1509" s="6"/>
      <c r="K1509" s="7">
        <v>44005705</v>
      </c>
      <c r="L1509" s="5" t="str">
        <f t="shared" si="161"/>
        <v>AR RİYAD KONSOL</v>
      </c>
      <c r="M1509" s="8">
        <v>0.15</v>
      </c>
      <c r="N1509" s="8">
        <v>0.1</v>
      </c>
      <c r="O1509" s="8">
        <v>31795</v>
      </c>
      <c r="P1509" s="8">
        <f t="shared" si="156"/>
        <v>28615.5</v>
      </c>
      <c r="Q1509" s="12">
        <f t="shared" si="157"/>
        <v>60092.55</v>
      </c>
      <c r="R1509" s="31">
        <f t="shared" si="158"/>
        <v>60000</v>
      </c>
      <c r="T1509" s="8">
        <v>11060</v>
      </c>
      <c r="V1509" s="8">
        <f t="shared" si="159"/>
        <v>9954</v>
      </c>
      <c r="W1509" s="8">
        <f t="shared" si="160"/>
        <v>24885</v>
      </c>
    </row>
    <row r="1510" spans="1:23" ht="21.95" customHeight="1" x14ac:dyDescent="0.2">
      <c r="A1510" s="5" t="s">
        <v>17</v>
      </c>
      <c r="B1510" t="s">
        <v>1582</v>
      </c>
      <c r="C1510" t="s">
        <v>705</v>
      </c>
      <c r="D1510" s="6" t="s">
        <v>706</v>
      </c>
      <c r="E1510" s="6"/>
      <c r="K1510" s="7">
        <v>44005706</v>
      </c>
      <c r="L1510" s="5" t="str">
        <f t="shared" si="161"/>
        <v xml:space="preserve">AR RİYAD KONSOL AYNASI </v>
      </c>
      <c r="M1510" s="8">
        <v>0.15</v>
      </c>
      <c r="N1510" s="8">
        <v>0.1</v>
      </c>
      <c r="O1510" s="8">
        <v>4596</v>
      </c>
      <c r="P1510" s="8">
        <f t="shared" si="156"/>
        <v>4136.4000000000005</v>
      </c>
      <c r="Q1510" s="12">
        <f t="shared" si="157"/>
        <v>8686.4400000000023</v>
      </c>
      <c r="R1510" s="31">
        <f t="shared" si="158"/>
        <v>8600</v>
      </c>
      <c r="T1510" s="8">
        <v>9445</v>
      </c>
      <c r="V1510" s="8">
        <f t="shared" si="159"/>
        <v>8500.5</v>
      </c>
      <c r="W1510" s="8">
        <f t="shared" si="160"/>
        <v>21251.25</v>
      </c>
    </row>
    <row r="1511" spans="1:23" ht="21.95" customHeight="1" x14ac:dyDescent="0.2">
      <c r="A1511" s="5" t="s">
        <v>17</v>
      </c>
      <c r="B1511" t="s">
        <v>1582</v>
      </c>
      <c r="C1511" t="s">
        <v>705</v>
      </c>
      <c r="D1511" s="6" t="s">
        <v>599</v>
      </c>
      <c r="E1511" s="6"/>
      <c r="K1511" s="7">
        <v>44005707</v>
      </c>
      <c r="L1511" s="5" t="str">
        <f t="shared" si="161"/>
        <v>AR RİYAD MASA 210CM</v>
      </c>
      <c r="M1511" s="8">
        <v>0.15</v>
      </c>
      <c r="N1511" s="8">
        <v>0.1</v>
      </c>
      <c r="O1511" s="8">
        <v>30890</v>
      </c>
      <c r="P1511" s="8">
        <f t="shared" si="156"/>
        <v>27801</v>
      </c>
      <c r="Q1511" s="12">
        <f t="shared" si="157"/>
        <v>58382.100000000006</v>
      </c>
      <c r="R1511" s="31">
        <f t="shared" si="158"/>
        <v>58300</v>
      </c>
      <c r="T1511" s="8">
        <v>36230</v>
      </c>
      <c r="V1511" s="8">
        <f t="shared" si="159"/>
        <v>32607</v>
      </c>
      <c r="W1511" s="8">
        <f t="shared" si="160"/>
        <v>81517.5</v>
      </c>
    </row>
    <row r="1512" spans="1:23" ht="21.95" customHeight="1" x14ac:dyDescent="0.2">
      <c r="A1512" s="5" t="s">
        <v>17</v>
      </c>
      <c r="B1512" t="s">
        <v>1582</v>
      </c>
      <c r="C1512" t="s">
        <v>705</v>
      </c>
      <c r="D1512" s="6" t="s">
        <v>587</v>
      </c>
      <c r="E1512" s="6"/>
      <c r="K1512" s="7">
        <v>44005708</v>
      </c>
      <c r="L1512" s="5" t="str">
        <f t="shared" si="161"/>
        <v>AR RİYAD MASA 180CM</v>
      </c>
      <c r="M1512" s="8">
        <v>0.15</v>
      </c>
      <c r="N1512" s="8">
        <v>0.1</v>
      </c>
      <c r="O1512" s="8">
        <v>40157</v>
      </c>
      <c r="P1512" s="8">
        <f t="shared" si="156"/>
        <v>36141.300000000003</v>
      </c>
      <c r="Q1512" s="12">
        <f t="shared" si="157"/>
        <v>75896.73000000001</v>
      </c>
      <c r="R1512" s="31">
        <f t="shared" si="158"/>
        <v>75800</v>
      </c>
      <c r="T1512" s="8">
        <v>32805</v>
      </c>
      <c r="V1512" s="8">
        <f t="shared" si="159"/>
        <v>29524.5</v>
      </c>
      <c r="W1512" s="8">
        <f t="shared" si="160"/>
        <v>73811.25</v>
      </c>
    </row>
    <row r="1513" spans="1:23" ht="21.95" customHeight="1" x14ac:dyDescent="0.2">
      <c r="A1513" s="5" t="s">
        <v>17</v>
      </c>
      <c r="B1513" t="s">
        <v>1582</v>
      </c>
      <c r="C1513" t="s">
        <v>705</v>
      </c>
      <c r="D1513" s="6" t="s">
        <v>24</v>
      </c>
      <c r="E1513" s="6"/>
      <c r="K1513" s="7">
        <v>44005709</v>
      </c>
      <c r="L1513" s="5" t="str">
        <f t="shared" si="161"/>
        <v>AR RİYAD MASA 240CM</v>
      </c>
      <c r="M1513" s="8">
        <v>0.15</v>
      </c>
      <c r="N1513" s="8">
        <v>0.1</v>
      </c>
      <c r="O1513" s="8">
        <v>45894</v>
      </c>
      <c r="P1513" s="8">
        <f t="shared" si="156"/>
        <v>41304.6</v>
      </c>
      <c r="Q1513" s="12">
        <f t="shared" si="157"/>
        <v>86739.66</v>
      </c>
      <c r="R1513" s="31">
        <f t="shared" si="158"/>
        <v>86700</v>
      </c>
      <c r="T1513" s="8">
        <v>14800</v>
      </c>
      <c r="V1513" s="8">
        <f t="shared" si="159"/>
        <v>13320</v>
      </c>
      <c r="W1513" s="8">
        <f t="shared" si="160"/>
        <v>33300</v>
      </c>
    </row>
    <row r="1514" spans="1:23" ht="21.95" customHeight="1" x14ac:dyDescent="0.2">
      <c r="A1514" s="5" t="s">
        <v>17</v>
      </c>
      <c r="B1514" t="s">
        <v>1582</v>
      </c>
      <c r="C1514" t="s">
        <v>705</v>
      </c>
      <c r="D1514" s="6" t="s">
        <v>707</v>
      </c>
      <c r="E1514" s="6"/>
      <c r="K1514" s="7">
        <v>44005710</v>
      </c>
      <c r="L1514" s="5" t="str">
        <f t="shared" si="161"/>
        <v>AR RİYAD MASA DAİRE</v>
      </c>
      <c r="M1514" s="8">
        <v>0.15</v>
      </c>
      <c r="N1514" s="8">
        <v>0.1</v>
      </c>
      <c r="O1514" s="8">
        <v>30890</v>
      </c>
      <c r="P1514" s="8">
        <f t="shared" si="156"/>
        <v>27801</v>
      </c>
      <c r="Q1514" s="12">
        <f t="shared" si="157"/>
        <v>58382.100000000006</v>
      </c>
      <c r="R1514" s="31">
        <f t="shared" si="158"/>
        <v>58300</v>
      </c>
      <c r="T1514" s="8">
        <v>17085</v>
      </c>
      <c r="V1514" s="8">
        <f t="shared" si="159"/>
        <v>15376.5</v>
      </c>
      <c r="W1514" s="8">
        <f t="shared" si="160"/>
        <v>38441.25</v>
      </c>
    </row>
    <row r="1515" spans="1:23" ht="21.95" customHeight="1" x14ac:dyDescent="0.2">
      <c r="A1515" s="5" t="s">
        <v>17</v>
      </c>
      <c r="B1515" t="s">
        <v>1582</v>
      </c>
      <c r="C1515" t="s">
        <v>705</v>
      </c>
      <c r="D1515" s="6" t="s">
        <v>708</v>
      </c>
      <c r="E1515" s="6"/>
      <c r="K1515" s="7">
        <v>44005711</v>
      </c>
      <c r="L1515" s="5" t="str">
        <f t="shared" si="161"/>
        <v>AR RİYAD SANDALYE DÜZ</v>
      </c>
      <c r="M1515" s="8">
        <v>0.15</v>
      </c>
      <c r="N1515" s="8">
        <v>0.1</v>
      </c>
      <c r="O1515" s="8">
        <v>5159</v>
      </c>
      <c r="P1515" s="8">
        <f t="shared" si="156"/>
        <v>4643.1000000000004</v>
      </c>
      <c r="Q1515" s="12">
        <f t="shared" si="157"/>
        <v>9750.510000000002</v>
      </c>
      <c r="R1515" s="31">
        <f t="shared" si="158"/>
        <v>9700</v>
      </c>
      <c r="T1515" s="8">
        <v>23405</v>
      </c>
      <c r="V1515" s="8">
        <f t="shared" si="159"/>
        <v>21064.5</v>
      </c>
      <c r="W1515" s="8">
        <f t="shared" si="160"/>
        <v>52661.25</v>
      </c>
    </row>
    <row r="1516" spans="1:23" ht="21.95" customHeight="1" x14ac:dyDescent="0.2">
      <c r="A1516" s="5" t="s">
        <v>17</v>
      </c>
      <c r="B1516" t="s">
        <v>1582</v>
      </c>
      <c r="C1516" t="s">
        <v>705</v>
      </c>
      <c r="D1516" s="6" t="s">
        <v>709</v>
      </c>
      <c r="E1516" s="6"/>
      <c r="K1516" s="7">
        <v>44005712</v>
      </c>
      <c r="L1516" s="5" t="str">
        <f t="shared" si="161"/>
        <v>AR RİYAD SANDALYE DESENLİ</v>
      </c>
      <c r="M1516" s="8">
        <v>0.15</v>
      </c>
      <c r="N1516" s="8">
        <v>0.1</v>
      </c>
      <c r="O1516" s="8">
        <v>5159</v>
      </c>
      <c r="P1516" s="8">
        <f t="shared" si="156"/>
        <v>4643.1000000000004</v>
      </c>
      <c r="Q1516" s="12">
        <f t="shared" si="157"/>
        <v>9750.510000000002</v>
      </c>
      <c r="R1516" s="31">
        <f t="shared" si="158"/>
        <v>9700</v>
      </c>
      <c r="T1516" s="8">
        <v>6515</v>
      </c>
      <c r="V1516" s="8">
        <f t="shared" si="159"/>
        <v>5863.5</v>
      </c>
      <c r="W1516" s="8">
        <f t="shared" si="160"/>
        <v>14658.75</v>
      </c>
    </row>
    <row r="1517" spans="1:23" ht="21.95" customHeight="1" x14ac:dyDescent="0.2">
      <c r="A1517" s="5" t="s">
        <v>17</v>
      </c>
      <c r="B1517" t="s">
        <v>1582</v>
      </c>
      <c r="C1517" t="s">
        <v>705</v>
      </c>
      <c r="D1517" s="6" t="s">
        <v>31</v>
      </c>
      <c r="E1517" s="6"/>
      <c r="K1517" s="7">
        <v>44005713</v>
      </c>
      <c r="L1517" s="5" t="str">
        <f t="shared" si="161"/>
        <v>AR RİYAD KOLTUK 4 LÜ</v>
      </c>
      <c r="M1517" s="8">
        <v>0.15</v>
      </c>
      <c r="N1517" s="8">
        <v>0.1</v>
      </c>
      <c r="O1517" s="8">
        <v>33515</v>
      </c>
      <c r="P1517" s="8">
        <f t="shared" si="156"/>
        <v>30163.5</v>
      </c>
      <c r="Q1517" s="12">
        <f t="shared" si="157"/>
        <v>63343.350000000006</v>
      </c>
      <c r="R1517" s="31">
        <f t="shared" si="158"/>
        <v>63300</v>
      </c>
      <c r="T1517" s="8">
        <v>12800</v>
      </c>
      <c r="V1517" s="8">
        <f t="shared" si="159"/>
        <v>11520</v>
      </c>
      <c r="W1517" s="8">
        <f t="shared" si="160"/>
        <v>28800</v>
      </c>
    </row>
    <row r="1518" spans="1:23" ht="21.95" customHeight="1" x14ac:dyDescent="0.2">
      <c r="A1518" s="5" t="s">
        <v>17</v>
      </c>
      <c r="B1518" t="s">
        <v>1582</v>
      </c>
      <c r="C1518" t="s">
        <v>705</v>
      </c>
      <c r="D1518" s="6" t="s">
        <v>32</v>
      </c>
      <c r="E1518" s="6"/>
      <c r="K1518" s="7">
        <v>44005714</v>
      </c>
      <c r="L1518" s="5" t="str">
        <f t="shared" si="161"/>
        <v>AR RİYAD KOLTUK 3 LÜ</v>
      </c>
      <c r="M1518" s="8">
        <v>0.15</v>
      </c>
      <c r="N1518" s="8">
        <v>0.1</v>
      </c>
      <c r="O1518" s="8">
        <v>29055</v>
      </c>
      <c r="P1518" s="8">
        <f t="shared" si="156"/>
        <v>26149.5</v>
      </c>
      <c r="Q1518" s="12">
        <f t="shared" si="157"/>
        <v>54913.950000000004</v>
      </c>
      <c r="R1518" s="31">
        <f t="shared" si="158"/>
        <v>54900</v>
      </c>
      <c r="T1518" s="8">
        <v>15500</v>
      </c>
      <c r="V1518" s="8">
        <f t="shared" si="159"/>
        <v>13950</v>
      </c>
      <c r="W1518" s="8">
        <f t="shared" si="160"/>
        <v>34875</v>
      </c>
    </row>
    <row r="1519" spans="1:23" ht="21.95" customHeight="1" x14ac:dyDescent="0.2">
      <c r="A1519" s="5" t="s">
        <v>17</v>
      </c>
      <c r="B1519" t="s">
        <v>1582</v>
      </c>
      <c r="C1519" t="s">
        <v>705</v>
      </c>
      <c r="D1519" s="6" t="s">
        <v>710</v>
      </c>
      <c r="E1519" s="6"/>
      <c r="K1519" s="7">
        <v>44005715</v>
      </c>
      <c r="L1519" s="5" t="str">
        <f t="shared" si="161"/>
        <v xml:space="preserve">AR RİYAD KOLTUK TEKLİ </v>
      </c>
      <c r="M1519" s="8">
        <v>0.15</v>
      </c>
      <c r="N1519" s="8">
        <v>0.1</v>
      </c>
      <c r="O1519" s="8">
        <v>15755</v>
      </c>
      <c r="P1519" s="8">
        <f t="shared" si="156"/>
        <v>14179.5</v>
      </c>
      <c r="Q1519" s="12">
        <f t="shared" si="157"/>
        <v>29776.95</v>
      </c>
      <c r="R1519" s="31">
        <f t="shared" si="158"/>
        <v>29700</v>
      </c>
      <c r="T1519" s="8">
        <v>15500</v>
      </c>
      <c r="V1519" s="8">
        <f t="shared" si="159"/>
        <v>13950</v>
      </c>
      <c r="W1519" s="8">
        <f t="shared" si="160"/>
        <v>34875</v>
      </c>
    </row>
    <row r="1520" spans="1:23" ht="21.95" customHeight="1" x14ac:dyDescent="0.2">
      <c r="A1520" s="5" t="s">
        <v>17</v>
      </c>
      <c r="B1520" t="s">
        <v>1582</v>
      </c>
      <c r="C1520" t="s">
        <v>101</v>
      </c>
      <c r="D1520" s="6" t="s">
        <v>496</v>
      </c>
      <c r="E1520" s="6"/>
      <c r="K1520" s="7">
        <v>44005716</v>
      </c>
      <c r="L1520" s="5" t="str">
        <f t="shared" si="161"/>
        <v>AR BENTLEY TV ÜNİTESİ ALT MODÜL</v>
      </c>
      <c r="M1520" s="8">
        <v>0.15</v>
      </c>
      <c r="N1520" s="8">
        <v>0.1</v>
      </c>
      <c r="O1520" s="8">
        <v>29620</v>
      </c>
      <c r="P1520" s="8">
        <f t="shared" ref="P1520:P1583" si="162">O1520*(1-N1520)</f>
        <v>26658</v>
      </c>
      <c r="Q1520" s="12">
        <f t="shared" ref="Q1520:Q1583" si="163">O1520*(1-N1520)*2.1</f>
        <v>55981.8</v>
      </c>
      <c r="R1520" s="31">
        <f t="shared" ref="R1520:R1583" si="164">ROUNDDOWN(Q1520,-2)</f>
        <v>55900</v>
      </c>
      <c r="T1520" s="8">
        <v>15135</v>
      </c>
      <c r="V1520" s="8">
        <f t="shared" si="159"/>
        <v>13621.5</v>
      </c>
      <c r="W1520" s="8">
        <f t="shared" si="160"/>
        <v>34053.75</v>
      </c>
    </row>
    <row r="1521" spans="1:23" ht="21.95" customHeight="1" x14ac:dyDescent="0.2">
      <c r="A1521" s="5" t="s">
        <v>17</v>
      </c>
      <c r="B1521" t="s">
        <v>1582</v>
      </c>
      <c r="C1521" t="s">
        <v>101</v>
      </c>
      <c r="D1521" s="6" t="s">
        <v>660</v>
      </c>
      <c r="E1521" s="6"/>
      <c r="K1521" s="7">
        <v>44005717</v>
      </c>
      <c r="L1521" s="5" t="str">
        <f t="shared" si="161"/>
        <v xml:space="preserve">AR BENTLEY ORTA SEHPA </v>
      </c>
      <c r="M1521" s="8">
        <v>0.15</v>
      </c>
      <c r="N1521" s="8">
        <v>0.1</v>
      </c>
      <c r="O1521" s="8">
        <v>16275</v>
      </c>
      <c r="P1521" s="8">
        <f t="shared" si="162"/>
        <v>14647.5</v>
      </c>
      <c r="Q1521" s="12">
        <f t="shared" si="163"/>
        <v>30759.75</v>
      </c>
      <c r="R1521" s="31">
        <f t="shared" si="164"/>
        <v>30700</v>
      </c>
      <c r="T1521" s="8">
        <v>22925</v>
      </c>
      <c r="V1521" s="8">
        <f t="shared" si="159"/>
        <v>20632.5</v>
      </c>
      <c r="W1521" s="8">
        <f t="shared" si="160"/>
        <v>51581.25</v>
      </c>
    </row>
    <row r="1522" spans="1:23" ht="21.95" customHeight="1" x14ac:dyDescent="0.2">
      <c r="A1522" s="5" t="s">
        <v>17</v>
      </c>
      <c r="B1522" t="s">
        <v>1582</v>
      </c>
      <c r="C1522" t="s">
        <v>101</v>
      </c>
      <c r="D1522" s="6" t="s">
        <v>30</v>
      </c>
      <c r="E1522" s="6"/>
      <c r="K1522" s="7">
        <v>44005718</v>
      </c>
      <c r="L1522" s="5" t="str">
        <f t="shared" si="161"/>
        <v>AR BENTLEY YAN SEHPA</v>
      </c>
      <c r="M1522" s="8">
        <v>0.15</v>
      </c>
      <c r="N1522" s="8">
        <v>0.1</v>
      </c>
      <c r="O1522" s="8">
        <v>9625</v>
      </c>
      <c r="P1522" s="8">
        <f t="shared" si="162"/>
        <v>8662.5</v>
      </c>
      <c r="Q1522" s="12">
        <f t="shared" si="163"/>
        <v>18191.25</v>
      </c>
      <c r="R1522" s="31">
        <f t="shared" si="164"/>
        <v>18100</v>
      </c>
      <c r="T1522" s="8">
        <v>27135</v>
      </c>
      <c r="V1522" s="8">
        <f t="shared" si="159"/>
        <v>24421.5</v>
      </c>
      <c r="W1522" s="8">
        <f t="shared" si="160"/>
        <v>61053.75</v>
      </c>
    </row>
    <row r="1523" spans="1:23" ht="21.95" customHeight="1" x14ac:dyDescent="0.2">
      <c r="A1523" s="5" t="s">
        <v>17</v>
      </c>
      <c r="B1523" t="s">
        <v>1582</v>
      </c>
      <c r="C1523" t="s">
        <v>101</v>
      </c>
      <c r="D1523" s="6" t="s">
        <v>593</v>
      </c>
      <c r="E1523" s="6"/>
      <c r="K1523" s="7">
        <v>44005719</v>
      </c>
      <c r="L1523" s="5" t="str">
        <f t="shared" si="161"/>
        <v>AR BENTLEY KARYOLA İÇ KAYITLI 160CM</v>
      </c>
      <c r="M1523" s="8">
        <v>0.15</v>
      </c>
      <c r="N1523" s="8">
        <v>0.1</v>
      </c>
      <c r="O1523" s="8">
        <v>29095</v>
      </c>
      <c r="P1523" s="8">
        <f t="shared" si="162"/>
        <v>26185.5</v>
      </c>
      <c r="Q1523" s="12">
        <f t="shared" si="163"/>
        <v>54989.55</v>
      </c>
      <c r="R1523" s="31">
        <f t="shared" si="164"/>
        <v>54900</v>
      </c>
      <c r="T1523" s="8">
        <v>31735</v>
      </c>
      <c r="V1523" s="8">
        <f t="shared" si="159"/>
        <v>28561.5</v>
      </c>
      <c r="W1523" s="8">
        <f t="shared" si="160"/>
        <v>71403.75</v>
      </c>
    </row>
    <row r="1524" spans="1:23" ht="21.95" customHeight="1" x14ac:dyDescent="0.2">
      <c r="A1524" s="5" t="s">
        <v>17</v>
      </c>
      <c r="B1524" t="s">
        <v>1582</v>
      </c>
      <c r="C1524" t="s">
        <v>101</v>
      </c>
      <c r="D1524" s="6" t="s">
        <v>75</v>
      </c>
      <c r="E1524" s="6"/>
      <c r="K1524" s="7">
        <v>44005720</v>
      </c>
      <c r="L1524" s="5" t="str">
        <f t="shared" si="161"/>
        <v>AR BENTLEY KARYOLA BAZALI 160CM</v>
      </c>
      <c r="M1524" s="8">
        <v>0.15</v>
      </c>
      <c r="N1524" s="8">
        <v>0.1</v>
      </c>
      <c r="O1524" s="8">
        <v>33695</v>
      </c>
      <c r="P1524" s="8">
        <f t="shared" si="162"/>
        <v>30325.5</v>
      </c>
      <c r="Q1524" s="12">
        <f t="shared" si="163"/>
        <v>63683.55</v>
      </c>
      <c r="R1524" s="31">
        <f t="shared" si="164"/>
        <v>63600</v>
      </c>
      <c r="T1524" s="8">
        <v>34235</v>
      </c>
      <c r="V1524" s="8">
        <f t="shared" si="159"/>
        <v>30811.5</v>
      </c>
      <c r="W1524" s="8">
        <f t="shared" si="160"/>
        <v>77028.75</v>
      </c>
    </row>
    <row r="1525" spans="1:23" ht="21.95" customHeight="1" x14ac:dyDescent="0.2">
      <c r="A1525" s="5" t="s">
        <v>17</v>
      </c>
      <c r="B1525" t="s">
        <v>1582</v>
      </c>
      <c r="C1525" t="s">
        <v>101</v>
      </c>
      <c r="D1525" s="6" t="s">
        <v>76</v>
      </c>
      <c r="E1525" s="6"/>
      <c r="K1525" s="7">
        <v>44005721</v>
      </c>
      <c r="L1525" s="5" t="str">
        <f t="shared" si="161"/>
        <v>AR BENTLEY KARYOLA BAZALI 180CM</v>
      </c>
      <c r="M1525" s="8">
        <v>0.15</v>
      </c>
      <c r="N1525" s="8">
        <v>0.1</v>
      </c>
      <c r="O1525" s="8">
        <v>36195</v>
      </c>
      <c r="P1525" s="8">
        <f t="shared" si="162"/>
        <v>32575.5</v>
      </c>
      <c r="Q1525" s="12">
        <f t="shared" si="163"/>
        <v>68408.55</v>
      </c>
      <c r="R1525" s="31">
        <f t="shared" si="164"/>
        <v>68400</v>
      </c>
      <c r="T1525" s="8">
        <v>29635</v>
      </c>
      <c r="V1525" s="8">
        <f t="shared" si="159"/>
        <v>26671.5</v>
      </c>
      <c r="W1525" s="8">
        <f t="shared" si="160"/>
        <v>66678.75</v>
      </c>
    </row>
    <row r="1526" spans="1:23" ht="21.95" customHeight="1" x14ac:dyDescent="0.2">
      <c r="A1526" s="5" t="s">
        <v>17</v>
      </c>
      <c r="B1526" t="s">
        <v>1582</v>
      </c>
      <c r="C1526" t="s">
        <v>101</v>
      </c>
      <c r="D1526" s="6" t="s">
        <v>594</v>
      </c>
      <c r="E1526" s="6"/>
      <c r="K1526" s="7">
        <v>44005722</v>
      </c>
      <c r="L1526" s="5" t="str">
        <f t="shared" si="161"/>
        <v>AR BENTLEY KARYOLA İÇ KAYITLI 180CM</v>
      </c>
      <c r="M1526" s="8">
        <v>0.15</v>
      </c>
      <c r="N1526" s="8">
        <v>0.1</v>
      </c>
      <c r="O1526" s="8">
        <v>31595</v>
      </c>
      <c r="P1526" s="8">
        <f t="shared" si="162"/>
        <v>28435.5</v>
      </c>
      <c r="Q1526" s="12">
        <f t="shared" si="163"/>
        <v>59714.55</v>
      </c>
      <c r="R1526" s="31">
        <f t="shared" si="164"/>
        <v>59700</v>
      </c>
      <c r="T1526" s="8">
        <v>13110</v>
      </c>
      <c r="V1526" s="8">
        <f t="shared" si="159"/>
        <v>11799</v>
      </c>
      <c r="W1526" s="8">
        <f t="shared" si="160"/>
        <v>29497.5</v>
      </c>
    </row>
    <row r="1527" spans="1:23" ht="21.95" customHeight="1" x14ac:dyDescent="0.2">
      <c r="A1527" s="5" t="s">
        <v>17</v>
      </c>
      <c r="B1527" t="s">
        <v>1582</v>
      </c>
      <c r="C1527" t="s">
        <v>101</v>
      </c>
      <c r="D1527" s="6" t="s">
        <v>362</v>
      </c>
      <c r="E1527" s="6"/>
      <c r="K1527" s="7">
        <v>44005723</v>
      </c>
      <c r="L1527" s="5" t="str">
        <f t="shared" si="161"/>
        <v>AR BENTLEY KOMODİN</v>
      </c>
      <c r="M1527" s="8">
        <v>0.15</v>
      </c>
      <c r="N1527" s="8">
        <v>0.1</v>
      </c>
      <c r="O1527" s="8">
        <v>6840</v>
      </c>
      <c r="P1527" s="8">
        <f t="shared" si="162"/>
        <v>6156</v>
      </c>
      <c r="Q1527" s="12">
        <f t="shared" si="163"/>
        <v>12927.6</v>
      </c>
      <c r="R1527" s="31">
        <f t="shared" si="164"/>
        <v>12900</v>
      </c>
      <c r="T1527" s="8">
        <v>4775</v>
      </c>
      <c r="V1527" s="8">
        <f t="shared" si="159"/>
        <v>4297.5</v>
      </c>
      <c r="W1527" s="8">
        <f t="shared" si="160"/>
        <v>10743.75</v>
      </c>
    </row>
    <row r="1528" spans="1:23" ht="21.95" customHeight="1" x14ac:dyDescent="0.2">
      <c r="A1528" s="5" t="s">
        <v>17</v>
      </c>
      <c r="B1528" t="s">
        <v>1582</v>
      </c>
      <c r="C1528" t="s">
        <v>101</v>
      </c>
      <c r="D1528" s="6" t="s">
        <v>361</v>
      </c>
      <c r="E1528" s="6"/>
      <c r="K1528" s="7">
        <v>44005724</v>
      </c>
      <c r="L1528" s="5" t="str">
        <f t="shared" si="161"/>
        <v>AR BENTLEY DOLAP</v>
      </c>
      <c r="M1528" s="8">
        <v>0.15</v>
      </c>
      <c r="N1528" s="8">
        <v>0.1</v>
      </c>
      <c r="O1528" s="8">
        <v>48040</v>
      </c>
      <c r="P1528" s="8">
        <f t="shared" si="162"/>
        <v>43236</v>
      </c>
      <c r="Q1528" s="12">
        <f t="shared" si="163"/>
        <v>90795.6</v>
      </c>
      <c r="R1528" s="31">
        <f t="shared" si="164"/>
        <v>90700</v>
      </c>
      <c r="T1528" s="8">
        <v>3965</v>
      </c>
      <c r="V1528" s="8">
        <f t="shared" si="159"/>
        <v>3568.5</v>
      </c>
      <c r="W1528" s="8">
        <f t="shared" si="160"/>
        <v>8921.25</v>
      </c>
    </row>
    <row r="1529" spans="1:23" ht="21.95" customHeight="1" x14ac:dyDescent="0.2">
      <c r="A1529" s="5" t="s">
        <v>17</v>
      </c>
      <c r="B1529" t="s">
        <v>1582</v>
      </c>
      <c r="C1529" t="s">
        <v>101</v>
      </c>
      <c r="D1529" s="6" t="s">
        <v>595</v>
      </c>
      <c r="E1529" s="6"/>
      <c r="K1529" s="7">
        <v>44005725</v>
      </c>
      <c r="L1529" s="5" t="str">
        <f t="shared" si="161"/>
        <v>AR BENTLEY ŞİFONYER &amp; AYNASI</v>
      </c>
      <c r="M1529" s="8">
        <v>0.15</v>
      </c>
      <c r="N1529" s="8">
        <v>0.1</v>
      </c>
      <c r="O1529" s="8">
        <v>21560</v>
      </c>
      <c r="P1529" s="8">
        <f t="shared" si="162"/>
        <v>19404</v>
      </c>
      <c r="Q1529" s="12">
        <f t="shared" si="163"/>
        <v>40748.400000000001</v>
      </c>
      <c r="R1529" s="31">
        <f t="shared" si="164"/>
        <v>40700</v>
      </c>
      <c r="T1529" s="8">
        <v>51490</v>
      </c>
      <c r="V1529" s="8">
        <f t="shared" si="159"/>
        <v>46341</v>
      </c>
      <c r="W1529" s="8">
        <f t="shared" si="160"/>
        <v>115852.5</v>
      </c>
    </row>
    <row r="1530" spans="1:23" ht="21.95" customHeight="1" x14ac:dyDescent="0.2">
      <c r="A1530" s="5" t="s">
        <v>17</v>
      </c>
      <c r="B1530" t="s">
        <v>1582</v>
      </c>
      <c r="C1530" t="s">
        <v>101</v>
      </c>
      <c r="D1530" s="6" t="s">
        <v>126</v>
      </c>
      <c r="E1530" s="6"/>
      <c r="K1530" s="7">
        <v>44005726</v>
      </c>
      <c r="L1530" s="5" t="str">
        <f t="shared" si="161"/>
        <v>AR BENTLEY ÇAMAŞIRLIK</v>
      </c>
      <c r="M1530" s="8">
        <v>0.15</v>
      </c>
      <c r="N1530" s="8">
        <v>0.1</v>
      </c>
      <c r="O1530" s="8">
        <v>12695</v>
      </c>
      <c r="P1530" s="8">
        <f t="shared" si="162"/>
        <v>11425.5</v>
      </c>
      <c r="Q1530" s="12">
        <f t="shared" si="163"/>
        <v>23993.55</v>
      </c>
      <c r="R1530" s="31">
        <f t="shared" si="164"/>
        <v>23900</v>
      </c>
      <c r="T1530" s="8">
        <v>24205</v>
      </c>
      <c r="V1530" s="8">
        <f t="shared" si="159"/>
        <v>21784.5</v>
      </c>
      <c r="W1530" s="8">
        <f t="shared" si="160"/>
        <v>54461.25</v>
      </c>
    </row>
    <row r="1531" spans="1:23" ht="21.95" customHeight="1" x14ac:dyDescent="0.2">
      <c r="A1531" s="5" t="s">
        <v>17</v>
      </c>
      <c r="B1531" t="s">
        <v>1582</v>
      </c>
      <c r="C1531" t="s">
        <v>101</v>
      </c>
      <c r="D1531" s="6" t="s">
        <v>82</v>
      </c>
      <c r="E1531" s="6"/>
      <c r="K1531" s="7">
        <v>44005727</v>
      </c>
      <c r="L1531" s="5" t="str">
        <f t="shared" si="161"/>
        <v>AR BENTLEY BOY AYNASI</v>
      </c>
      <c r="M1531" s="8">
        <v>0.15</v>
      </c>
      <c r="N1531" s="8">
        <v>0.1</v>
      </c>
      <c r="O1531" s="8">
        <v>4305</v>
      </c>
      <c r="P1531" s="8">
        <f t="shared" si="162"/>
        <v>3874.5</v>
      </c>
      <c r="Q1531" s="12">
        <f t="shared" si="163"/>
        <v>8136.4500000000007</v>
      </c>
      <c r="R1531" s="31">
        <f t="shared" si="164"/>
        <v>8100</v>
      </c>
      <c r="T1531" s="8">
        <v>8000</v>
      </c>
      <c r="V1531" s="8">
        <f t="shared" si="159"/>
        <v>7200</v>
      </c>
      <c r="W1531" s="8">
        <f t="shared" si="160"/>
        <v>18000</v>
      </c>
    </row>
    <row r="1532" spans="1:23" ht="21.95" customHeight="1" x14ac:dyDescent="0.2">
      <c r="A1532" s="5" t="s">
        <v>17</v>
      </c>
      <c r="B1532" t="s">
        <v>1582</v>
      </c>
      <c r="C1532" t="s">
        <v>101</v>
      </c>
      <c r="D1532" s="6" t="s">
        <v>119</v>
      </c>
      <c r="E1532" s="6"/>
      <c r="K1532" s="7">
        <v>44005728</v>
      </c>
      <c r="L1532" s="5" t="str">
        <f t="shared" si="161"/>
        <v>AR BENTLEY PUF</v>
      </c>
      <c r="M1532" s="8">
        <v>0.15</v>
      </c>
      <c r="N1532" s="8">
        <v>0.1</v>
      </c>
      <c r="O1532" s="8">
        <v>2990</v>
      </c>
      <c r="P1532" s="8">
        <f t="shared" si="162"/>
        <v>2691</v>
      </c>
      <c r="Q1532" s="12">
        <f t="shared" si="163"/>
        <v>5651.1</v>
      </c>
      <c r="R1532" s="31">
        <f t="shared" si="164"/>
        <v>5600</v>
      </c>
      <c r="T1532" s="8">
        <v>24425</v>
      </c>
      <c r="V1532" s="8">
        <f t="shared" si="159"/>
        <v>21982.5</v>
      </c>
      <c r="W1532" s="8">
        <f t="shared" si="160"/>
        <v>54956.25</v>
      </c>
    </row>
    <row r="1533" spans="1:23" ht="21.95" customHeight="1" x14ac:dyDescent="0.2">
      <c r="A1533" s="5" t="s">
        <v>17</v>
      </c>
      <c r="B1533" t="s">
        <v>1582</v>
      </c>
      <c r="C1533" t="s">
        <v>711</v>
      </c>
      <c r="D1533" s="6" t="s">
        <v>49</v>
      </c>
      <c r="E1533" s="6"/>
      <c r="K1533" s="7">
        <v>44005729</v>
      </c>
      <c r="L1533" s="5" t="str">
        <f t="shared" si="161"/>
        <v>AR LİZBON KONSOL</v>
      </c>
      <c r="M1533" s="8">
        <v>0.15</v>
      </c>
      <c r="N1533" s="8">
        <v>0.1</v>
      </c>
      <c r="O1533" s="8">
        <v>21455</v>
      </c>
      <c r="P1533" s="8">
        <f t="shared" si="162"/>
        <v>19309.5</v>
      </c>
      <c r="Q1533" s="12">
        <f t="shared" si="163"/>
        <v>40549.950000000004</v>
      </c>
      <c r="R1533" s="31">
        <f t="shared" si="164"/>
        <v>40500</v>
      </c>
      <c r="T1533" s="8">
        <v>21505</v>
      </c>
      <c r="V1533" s="8">
        <f t="shared" si="159"/>
        <v>19354.5</v>
      </c>
      <c r="W1533" s="8">
        <f t="shared" si="160"/>
        <v>48386.25</v>
      </c>
    </row>
    <row r="1534" spans="1:23" ht="21.95" customHeight="1" x14ac:dyDescent="0.2">
      <c r="A1534" s="5" t="s">
        <v>17</v>
      </c>
      <c r="B1534" t="s">
        <v>1582</v>
      </c>
      <c r="C1534" t="s">
        <v>711</v>
      </c>
      <c r="D1534" s="6" t="s">
        <v>21</v>
      </c>
      <c r="E1534" s="6"/>
      <c r="K1534" s="7">
        <v>44005730</v>
      </c>
      <c r="L1534" s="5" t="str">
        <f t="shared" si="161"/>
        <v>AR LİZBON KONSOL AYNASI</v>
      </c>
      <c r="M1534" s="8">
        <v>0.15</v>
      </c>
      <c r="N1534" s="8">
        <v>0.1</v>
      </c>
      <c r="O1534" s="8">
        <v>3604</v>
      </c>
      <c r="P1534" s="8">
        <f t="shared" si="162"/>
        <v>3243.6</v>
      </c>
      <c r="Q1534" s="12">
        <f t="shared" si="163"/>
        <v>6811.56</v>
      </c>
      <c r="R1534" s="31">
        <f t="shared" si="164"/>
        <v>6800</v>
      </c>
      <c r="T1534" s="8">
        <v>27957</v>
      </c>
      <c r="V1534" s="8">
        <f t="shared" si="159"/>
        <v>25161.3</v>
      </c>
      <c r="W1534" s="8">
        <f t="shared" si="160"/>
        <v>62903.25</v>
      </c>
    </row>
    <row r="1535" spans="1:23" ht="21.95" customHeight="1" x14ac:dyDescent="0.2">
      <c r="A1535" s="5" t="s">
        <v>17</v>
      </c>
      <c r="B1535" t="s">
        <v>1582</v>
      </c>
      <c r="C1535" t="s">
        <v>711</v>
      </c>
      <c r="D1535" s="6" t="s">
        <v>599</v>
      </c>
      <c r="E1535" s="6"/>
      <c r="K1535" s="7">
        <v>44005731</v>
      </c>
      <c r="L1535" s="5" t="str">
        <f t="shared" si="161"/>
        <v>AR LİZBON MASA 210CM</v>
      </c>
      <c r="M1535" s="8">
        <v>0.15</v>
      </c>
      <c r="N1535" s="8">
        <v>0.1</v>
      </c>
      <c r="O1535" s="8">
        <v>11985</v>
      </c>
      <c r="P1535" s="8">
        <f t="shared" si="162"/>
        <v>10786.5</v>
      </c>
      <c r="Q1535" s="12">
        <f t="shared" si="163"/>
        <v>22651.65</v>
      </c>
      <c r="R1535" s="31">
        <f t="shared" si="164"/>
        <v>22600</v>
      </c>
      <c r="T1535" s="8">
        <v>31950</v>
      </c>
      <c r="V1535" s="8">
        <f t="shared" si="159"/>
        <v>28755</v>
      </c>
      <c r="W1535" s="8">
        <f t="shared" si="160"/>
        <v>71887.5</v>
      </c>
    </row>
    <row r="1536" spans="1:23" ht="21.95" customHeight="1" x14ac:dyDescent="0.2">
      <c r="A1536" s="5" t="s">
        <v>17</v>
      </c>
      <c r="B1536" t="s">
        <v>1582</v>
      </c>
      <c r="C1536" t="s">
        <v>711</v>
      </c>
      <c r="D1536" s="6" t="s">
        <v>587</v>
      </c>
      <c r="E1536" s="6"/>
      <c r="K1536" s="7">
        <v>44005732</v>
      </c>
      <c r="L1536" s="5" t="str">
        <f t="shared" si="161"/>
        <v>AR LİZBON MASA 180CM</v>
      </c>
      <c r="M1536" s="8">
        <v>0.15</v>
      </c>
      <c r="N1536" s="8">
        <v>0.1</v>
      </c>
      <c r="O1536" s="8">
        <v>15581</v>
      </c>
      <c r="P1536" s="8">
        <f t="shared" si="162"/>
        <v>14022.9</v>
      </c>
      <c r="Q1536" s="12">
        <f t="shared" si="163"/>
        <v>29448.09</v>
      </c>
      <c r="R1536" s="31">
        <f t="shared" si="164"/>
        <v>29400</v>
      </c>
      <c r="T1536" s="8">
        <v>5900</v>
      </c>
      <c r="V1536" s="8">
        <f t="shared" si="159"/>
        <v>5310</v>
      </c>
      <c r="W1536" s="8">
        <f t="shared" si="160"/>
        <v>13275</v>
      </c>
    </row>
    <row r="1537" spans="1:23" ht="21.95" customHeight="1" x14ac:dyDescent="0.2">
      <c r="A1537" s="5" t="s">
        <v>17</v>
      </c>
      <c r="B1537" t="s">
        <v>1582</v>
      </c>
      <c r="C1537" t="s">
        <v>711</v>
      </c>
      <c r="D1537" s="6" t="s">
        <v>24</v>
      </c>
      <c r="E1537" s="6"/>
      <c r="K1537" s="7">
        <v>44005733</v>
      </c>
      <c r="L1537" s="5" t="str">
        <f t="shared" si="161"/>
        <v>AR LİZBON MASA 240CM</v>
      </c>
      <c r="M1537" s="8">
        <v>0.15</v>
      </c>
      <c r="N1537" s="8">
        <v>0.1</v>
      </c>
      <c r="O1537" s="8">
        <v>17806</v>
      </c>
      <c r="P1537" s="8">
        <f t="shared" si="162"/>
        <v>16025.4</v>
      </c>
      <c r="Q1537" s="12">
        <f t="shared" si="163"/>
        <v>33653.340000000004</v>
      </c>
      <c r="R1537" s="31">
        <f t="shared" si="164"/>
        <v>33600</v>
      </c>
      <c r="T1537" s="8">
        <v>21795</v>
      </c>
      <c r="V1537" s="8">
        <f t="shared" si="159"/>
        <v>19615.5</v>
      </c>
      <c r="W1537" s="8">
        <f t="shared" si="160"/>
        <v>49038.75</v>
      </c>
    </row>
    <row r="1538" spans="1:23" ht="21.95" customHeight="1" x14ac:dyDescent="0.2">
      <c r="A1538" s="5" t="s">
        <v>17</v>
      </c>
      <c r="B1538" t="s">
        <v>1582</v>
      </c>
      <c r="C1538" t="s">
        <v>711</v>
      </c>
      <c r="D1538" s="6" t="s">
        <v>25</v>
      </c>
      <c r="E1538" s="6"/>
      <c r="K1538" s="7">
        <v>44005734</v>
      </c>
      <c r="L1538" s="5" t="str">
        <f t="shared" si="161"/>
        <v>AR LİZBON SANDALYE</v>
      </c>
      <c r="M1538" s="8">
        <v>0.15</v>
      </c>
      <c r="N1538" s="8">
        <v>0.1</v>
      </c>
      <c r="O1538" s="8">
        <v>4541</v>
      </c>
      <c r="P1538" s="8">
        <f t="shared" si="162"/>
        <v>4086.9</v>
      </c>
      <c r="Q1538" s="12">
        <f t="shared" si="163"/>
        <v>8582.49</v>
      </c>
      <c r="R1538" s="31">
        <f t="shared" si="164"/>
        <v>8500</v>
      </c>
      <c r="T1538" s="8">
        <v>4470</v>
      </c>
      <c r="V1538" s="8">
        <f t="shared" ref="V1538:V1601" si="165">T1538*0.9</f>
        <v>4023</v>
      </c>
      <c r="W1538" s="8">
        <f t="shared" ref="W1538:W1601" si="166">V1538*2.5</f>
        <v>10057.5</v>
      </c>
    </row>
    <row r="1539" spans="1:23" ht="21.95" customHeight="1" x14ac:dyDescent="0.2">
      <c r="A1539" s="5" t="s">
        <v>17</v>
      </c>
      <c r="B1539" t="s">
        <v>1582</v>
      </c>
      <c r="C1539" t="s">
        <v>711</v>
      </c>
      <c r="D1539" s="6" t="s">
        <v>712</v>
      </c>
      <c r="E1539" s="6"/>
      <c r="K1539" s="7">
        <v>44005735</v>
      </c>
      <c r="L1539" s="5" t="str">
        <f t="shared" si="161"/>
        <v>AR LİZBON SOL DIŞ MODÜL</v>
      </c>
      <c r="M1539" s="8">
        <v>0.15</v>
      </c>
      <c r="N1539" s="8">
        <v>0.1</v>
      </c>
      <c r="O1539" s="8">
        <v>7210</v>
      </c>
      <c r="P1539" s="8">
        <f t="shared" si="162"/>
        <v>6489</v>
      </c>
      <c r="Q1539" s="12">
        <f t="shared" si="163"/>
        <v>13626.900000000001</v>
      </c>
      <c r="R1539" s="31">
        <f t="shared" si="164"/>
        <v>13600</v>
      </c>
      <c r="T1539" s="8">
        <v>8970</v>
      </c>
      <c r="V1539" s="8">
        <f t="shared" si="165"/>
        <v>8073</v>
      </c>
      <c r="W1539" s="8">
        <f t="shared" si="166"/>
        <v>20182.5</v>
      </c>
    </row>
    <row r="1540" spans="1:23" ht="21.95" customHeight="1" x14ac:dyDescent="0.2">
      <c r="A1540" s="5" t="s">
        <v>17</v>
      </c>
      <c r="B1540" t="s">
        <v>1582</v>
      </c>
      <c r="C1540" t="s">
        <v>711</v>
      </c>
      <c r="D1540" s="6" t="s">
        <v>713</v>
      </c>
      <c r="E1540" s="6"/>
      <c r="K1540" s="7">
        <v>44005736</v>
      </c>
      <c r="L1540" s="5" t="str">
        <f t="shared" si="161"/>
        <v>AR LİZBON SOL İÇ MODÜL</v>
      </c>
      <c r="M1540" s="8">
        <v>0.15</v>
      </c>
      <c r="N1540" s="8">
        <v>0.1</v>
      </c>
      <c r="O1540" s="8">
        <v>7210</v>
      </c>
      <c r="P1540" s="8">
        <f t="shared" si="162"/>
        <v>6489</v>
      </c>
      <c r="Q1540" s="12">
        <f t="shared" si="163"/>
        <v>13626.900000000001</v>
      </c>
      <c r="R1540" s="31">
        <f t="shared" si="164"/>
        <v>13600</v>
      </c>
      <c r="T1540" s="8">
        <v>11545</v>
      </c>
      <c r="V1540" s="8">
        <f t="shared" si="165"/>
        <v>10390.5</v>
      </c>
      <c r="W1540" s="8">
        <f t="shared" si="166"/>
        <v>25976.25</v>
      </c>
    </row>
    <row r="1541" spans="1:23" ht="21.95" customHeight="1" x14ac:dyDescent="0.2">
      <c r="A1541" s="5" t="s">
        <v>17</v>
      </c>
      <c r="B1541" t="s">
        <v>1582</v>
      </c>
      <c r="C1541" t="s">
        <v>711</v>
      </c>
      <c r="D1541" s="6" t="s">
        <v>714</v>
      </c>
      <c r="E1541" s="6"/>
      <c r="K1541" s="7">
        <v>44005737</v>
      </c>
      <c r="L1541" s="5" t="str">
        <f t="shared" si="161"/>
        <v>AR LİZBON TV MODÜL (TEK MODÜL SATIŞI YOKTUR)</v>
      </c>
      <c r="M1541" s="8">
        <v>0.15</v>
      </c>
      <c r="N1541" s="8">
        <v>0.1</v>
      </c>
      <c r="O1541" s="8">
        <v>15335</v>
      </c>
      <c r="P1541" s="8">
        <f t="shared" si="162"/>
        <v>13801.5</v>
      </c>
      <c r="Q1541" s="12">
        <f t="shared" si="163"/>
        <v>28983.15</v>
      </c>
      <c r="R1541" s="31">
        <f t="shared" si="164"/>
        <v>28900</v>
      </c>
      <c r="T1541" s="8">
        <v>6290</v>
      </c>
      <c r="V1541" s="8">
        <f t="shared" si="165"/>
        <v>5661</v>
      </c>
      <c r="W1541" s="8">
        <f t="shared" si="166"/>
        <v>14152.5</v>
      </c>
    </row>
    <row r="1542" spans="1:23" ht="21.95" customHeight="1" x14ac:dyDescent="0.2">
      <c r="A1542" s="5" t="s">
        <v>17</v>
      </c>
      <c r="B1542" t="s">
        <v>1582</v>
      </c>
      <c r="C1542" t="s">
        <v>711</v>
      </c>
      <c r="D1542" s="6" t="s">
        <v>715</v>
      </c>
      <c r="E1542" s="6"/>
      <c r="K1542" s="7">
        <v>44005738</v>
      </c>
      <c r="L1542" s="5" t="str">
        <f t="shared" si="161"/>
        <v>AR LİZBON SAĞ İÇ MODÜL</v>
      </c>
      <c r="M1542" s="8">
        <v>0.15</v>
      </c>
      <c r="N1542" s="8">
        <v>0.1</v>
      </c>
      <c r="O1542" s="8">
        <v>7075</v>
      </c>
      <c r="P1542" s="8">
        <f t="shared" si="162"/>
        <v>6367.5</v>
      </c>
      <c r="Q1542" s="12">
        <f t="shared" si="163"/>
        <v>13371.75</v>
      </c>
      <c r="R1542" s="31">
        <f t="shared" si="164"/>
        <v>13300</v>
      </c>
      <c r="T1542" s="8">
        <v>12175</v>
      </c>
      <c r="V1542" s="8">
        <f t="shared" si="165"/>
        <v>10957.5</v>
      </c>
      <c r="W1542" s="8">
        <f t="shared" si="166"/>
        <v>27393.75</v>
      </c>
    </row>
    <row r="1543" spans="1:23" ht="21.95" customHeight="1" x14ac:dyDescent="0.2">
      <c r="A1543" s="5" t="s">
        <v>17</v>
      </c>
      <c r="B1543" t="s">
        <v>1582</v>
      </c>
      <c r="C1543" t="s">
        <v>711</v>
      </c>
      <c r="D1543" s="6" t="s">
        <v>716</v>
      </c>
      <c r="E1543" s="6"/>
      <c r="K1543" s="7">
        <v>44005739</v>
      </c>
      <c r="L1543" s="5" t="str">
        <f t="shared" si="161"/>
        <v>AR LİZBON SAĞ DIŞ MODEL</v>
      </c>
      <c r="M1543" s="8">
        <v>0.15</v>
      </c>
      <c r="N1543" s="8">
        <v>0.1</v>
      </c>
      <c r="O1543" s="8">
        <v>7075</v>
      </c>
      <c r="P1543" s="8">
        <f t="shared" si="162"/>
        <v>6367.5</v>
      </c>
      <c r="Q1543" s="12">
        <f t="shared" si="163"/>
        <v>13371.75</v>
      </c>
      <c r="R1543" s="31">
        <f t="shared" si="164"/>
        <v>13300</v>
      </c>
      <c r="T1543" s="8">
        <v>13980</v>
      </c>
      <c r="V1543" s="8">
        <f t="shared" si="165"/>
        <v>12582</v>
      </c>
      <c r="W1543" s="8">
        <f t="shared" si="166"/>
        <v>31455</v>
      </c>
    </row>
    <row r="1544" spans="1:23" ht="21.95" customHeight="1" x14ac:dyDescent="0.2">
      <c r="A1544" s="5" t="s">
        <v>17</v>
      </c>
      <c r="B1544" t="s">
        <v>1582</v>
      </c>
      <c r="C1544" t="s">
        <v>711</v>
      </c>
      <c r="D1544" s="6" t="s">
        <v>29</v>
      </c>
      <c r="E1544" s="6"/>
      <c r="K1544" s="7">
        <v>44005740</v>
      </c>
      <c r="L1544" s="5" t="str">
        <f t="shared" si="161"/>
        <v>AR LİZBON ORTA SEHPA</v>
      </c>
      <c r="M1544" s="8">
        <v>0.15</v>
      </c>
      <c r="N1544" s="8">
        <v>0.1</v>
      </c>
      <c r="O1544" s="8">
        <v>16445</v>
      </c>
      <c r="P1544" s="8">
        <f t="shared" si="162"/>
        <v>14800.5</v>
      </c>
      <c r="Q1544" s="12">
        <f t="shared" si="163"/>
        <v>31081.050000000003</v>
      </c>
      <c r="R1544" s="31">
        <f t="shared" si="164"/>
        <v>31000</v>
      </c>
      <c r="T1544" s="8">
        <v>22170</v>
      </c>
      <c r="V1544" s="8">
        <f t="shared" si="165"/>
        <v>19953</v>
      </c>
      <c r="W1544" s="8">
        <f t="shared" si="166"/>
        <v>49882.5</v>
      </c>
    </row>
    <row r="1545" spans="1:23" ht="21.95" customHeight="1" x14ac:dyDescent="0.2">
      <c r="A1545" s="5" t="s">
        <v>17</v>
      </c>
      <c r="B1545" t="s">
        <v>1582</v>
      </c>
      <c r="C1545" t="s">
        <v>711</v>
      </c>
      <c r="D1545" s="6" t="s">
        <v>30</v>
      </c>
      <c r="E1545" s="6"/>
      <c r="K1545" s="7">
        <v>44005741</v>
      </c>
      <c r="L1545" s="5" t="str">
        <f t="shared" si="161"/>
        <v>AR LİZBON YAN SEHPA</v>
      </c>
      <c r="M1545" s="8">
        <v>0.15</v>
      </c>
      <c r="N1545" s="8">
        <v>0.1</v>
      </c>
      <c r="O1545" s="8">
        <v>8785</v>
      </c>
      <c r="P1545" s="8">
        <f t="shared" si="162"/>
        <v>7906.5</v>
      </c>
      <c r="Q1545" s="12">
        <f t="shared" si="163"/>
        <v>16603.650000000001</v>
      </c>
      <c r="R1545" s="31">
        <f t="shared" si="164"/>
        <v>16600</v>
      </c>
      <c r="T1545" s="8">
        <v>10665</v>
      </c>
      <c r="V1545" s="8">
        <f t="shared" si="165"/>
        <v>9598.5</v>
      </c>
      <c r="W1545" s="8">
        <f t="shared" si="166"/>
        <v>23996.25</v>
      </c>
    </row>
    <row r="1546" spans="1:23" ht="21.95" customHeight="1" x14ac:dyDescent="0.2">
      <c r="A1546" s="5" t="s">
        <v>17</v>
      </c>
      <c r="B1546" t="s">
        <v>1582</v>
      </c>
      <c r="C1546" t="s">
        <v>711</v>
      </c>
      <c r="D1546" s="6" t="s">
        <v>717</v>
      </c>
      <c r="E1546" s="6"/>
      <c r="K1546" s="7">
        <v>44005742</v>
      </c>
      <c r="L1546" s="5" t="str">
        <f t="shared" si="161"/>
        <v>AR LİZBON KOLTUK 4 LÜ YARIM KOLLU</v>
      </c>
      <c r="M1546" s="8">
        <v>0.15</v>
      </c>
      <c r="N1546" s="8">
        <v>0.1</v>
      </c>
      <c r="O1546" s="8">
        <v>29760</v>
      </c>
      <c r="P1546" s="8">
        <f t="shared" si="162"/>
        <v>26784</v>
      </c>
      <c r="Q1546" s="12">
        <f t="shared" si="163"/>
        <v>56246.400000000001</v>
      </c>
      <c r="R1546" s="31">
        <f t="shared" si="164"/>
        <v>56200</v>
      </c>
      <c r="T1546" s="8">
        <v>12820</v>
      </c>
      <c r="V1546" s="8">
        <f t="shared" si="165"/>
        <v>11538</v>
      </c>
      <c r="W1546" s="8">
        <f t="shared" si="166"/>
        <v>28845</v>
      </c>
    </row>
    <row r="1547" spans="1:23" ht="21.95" customHeight="1" x14ac:dyDescent="0.2">
      <c r="A1547" s="5" t="s">
        <v>17</v>
      </c>
      <c r="B1547" t="s">
        <v>1582</v>
      </c>
      <c r="C1547" t="s">
        <v>711</v>
      </c>
      <c r="D1547" s="6" t="s">
        <v>718</v>
      </c>
      <c r="E1547" s="6"/>
      <c r="K1547" s="7">
        <v>44005743</v>
      </c>
      <c r="L1547" s="5" t="str">
        <f t="shared" si="161"/>
        <v>AR LİZBON KOLTUK 4 LÜ TAM KOLLU</v>
      </c>
      <c r="M1547" s="8">
        <v>0.15</v>
      </c>
      <c r="N1547" s="8">
        <v>0.1</v>
      </c>
      <c r="O1547" s="8">
        <v>30065</v>
      </c>
      <c r="P1547" s="8">
        <f t="shared" si="162"/>
        <v>27058.5</v>
      </c>
      <c r="Q1547" s="12">
        <f t="shared" si="163"/>
        <v>56822.850000000006</v>
      </c>
      <c r="R1547" s="31">
        <f t="shared" si="164"/>
        <v>56800</v>
      </c>
      <c r="T1547" s="8">
        <v>12665</v>
      </c>
      <c r="V1547" s="8">
        <f t="shared" si="165"/>
        <v>11398.5</v>
      </c>
      <c r="W1547" s="8">
        <f t="shared" si="166"/>
        <v>28496.25</v>
      </c>
    </row>
    <row r="1548" spans="1:23" ht="21.95" customHeight="1" x14ac:dyDescent="0.2">
      <c r="A1548" s="5" t="s">
        <v>17</v>
      </c>
      <c r="B1548" t="s">
        <v>1582</v>
      </c>
      <c r="C1548" t="s">
        <v>711</v>
      </c>
      <c r="D1548" s="6" t="s">
        <v>719</v>
      </c>
      <c r="E1548" s="6"/>
      <c r="K1548" s="7">
        <v>44005744</v>
      </c>
      <c r="L1548" s="5" t="str">
        <f t="shared" si="161"/>
        <v>AR LİZBON KOLTUK 3 LÜ TAM KOLLU</v>
      </c>
      <c r="M1548" s="8">
        <v>0.15</v>
      </c>
      <c r="N1548" s="8">
        <v>0.1</v>
      </c>
      <c r="O1548" s="8">
        <v>26550</v>
      </c>
      <c r="P1548" s="8">
        <f t="shared" si="162"/>
        <v>23895</v>
      </c>
      <c r="Q1548" s="12">
        <f t="shared" si="163"/>
        <v>50179.5</v>
      </c>
      <c r="R1548" s="31">
        <f t="shared" si="164"/>
        <v>50100</v>
      </c>
      <c r="T1548" s="8">
        <v>36600</v>
      </c>
      <c r="V1548" s="8">
        <f t="shared" si="165"/>
        <v>32940</v>
      </c>
      <c r="W1548" s="8">
        <f t="shared" si="166"/>
        <v>82350</v>
      </c>
    </row>
    <row r="1549" spans="1:23" ht="21.95" customHeight="1" x14ac:dyDescent="0.2">
      <c r="A1549" s="5" t="s">
        <v>17</v>
      </c>
      <c r="B1549" t="s">
        <v>1582</v>
      </c>
      <c r="C1549" t="s">
        <v>711</v>
      </c>
      <c r="D1549" s="6" t="s">
        <v>720</v>
      </c>
      <c r="E1549" s="6"/>
      <c r="K1549" s="7">
        <v>44005745</v>
      </c>
      <c r="L1549" s="5" t="str">
        <f t="shared" si="161"/>
        <v>AR LİZBON KOLTUK 3 LÜ YARIM KOLLU</v>
      </c>
      <c r="M1549" s="8">
        <v>0.15</v>
      </c>
      <c r="N1549" s="8">
        <v>0.1</v>
      </c>
      <c r="O1549" s="8">
        <v>26325</v>
      </c>
      <c r="P1549" s="8">
        <f t="shared" si="162"/>
        <v>23692.5</v>
      </c>
      <c r="Q1549" s="12">
        <f t="shared" si="163"/>
        <v>49754.25</v>
      </c>
      <c r="R1549" s="31">
        <f t="shared" si="164"/>
        <v>49700</v>
      </c>
      <c r="T1549" s="8">
        <v>33735</v>
      </c>
      <c r="V1549" s="8">
        <f t="shared" si="165"/>
        <v>30361.5</v>
      </c>
      <c r="W1549" s="8">
        <f t="shared" si="166"/>
        <v>75903.75</v>
      </c>
    </row>
    <row r="1550" spans="1:23" ht="21.95" customHeight="1" x14ac:dyDescent="0.2">
      <c r="A1550" s="5" t="s">
        <v>17</v>
      </c>
      <c r="B1550" t="s">
        <v>1582</v>
      </c>
      <c r="C1550" t="s">
        <v>711</v>
      </c>
      <c r="D1550" s="6" t="s">
        <v>592</v>
      </c>
      <c r="E1550" s="6"/>
      <c r="K1550" s="7">
        <v>44005746</v>
      </c>
      <c r="L1550" s="5" t="str">
        <f t="shared" si="161"/>
        <v>AR LİZBON KOLTUK TEKLİ</v>
      </c>
      <c r="M1550" s="8">
        <v>0.15</v>
      </c>
      <c r="N1550" s="8">
        <v>0.1</v>
      </c>
      <c r="O1550" s="8">
        <v>11500</v>
      </c>
      <c r="P1550" s="8">
        <f t="shared" si="162"/>
        <v>10350</v>
      </c>
      <c r="Q1550" s="12">
        <f t="shared" si="163"/>
        <v>21735</v>
      </c>
      <c r="R1550" s="31">
        <f t="shared" si="164"/>
        <v>21700</v>
      </c>
      <c r="T1550" s="8">
        <v>18300</v>
      </c>
      <c r="V1550" s="8">
        <f t="shared" si="165"/>
        <v>16470</v>
      </c>
      <c r="W1550" s="8">
        <f t="shared" si="166"/>
        <v>41175</v>
      </c>
    </row>
    <row r="1551" spans="1:23" ht="21.95" customHeight="1" x14ac:dyDescent="0.2">
      <c r="A1551" s="5" t="s">
        <v>17</v>
      </c>
      <c r="B1551" t="s">
        <v>1582</v>
      </c>
      <c r="C1551" t="s">
        <v>711</v>
      </c>
      <c r="D1551" s="6" t="s">
        <v>593</v>
      </c>
      <c r="E1551" s="6"/>
      <c r="K1551" s="7">
        <v>44005747</v>
      </c>
      <c r="L1551" s="5" t="str">
        <f t="shared" si="161"/>
        <v>AR LİZBON KARYOLA İÇ KAYITLI 160CM</v>
      </c>
      <c r="M1551" s="8">
        <v>0.15</v>
      </c>
      <c r="N1551" s="8">
        <v>0.1</v>
      </c>
      <c r="O1551" s="8">
        <v>19395</v>
      </c>
      <c r="P1551" s="8">
        <f t="shared" si="162"/>
        <v>17455.5</v>
      </c>
      <c r="Q1551" s="12">
        <f t="shared" si="163"/>
        <v>36656.550000000003</v>
      </c>
      <c r="R1551" s="31">
        <f t="shared" si="164"/>
        <v>36600</v>
      </c>
      <c r="T1551" s="8">
        <v>24615</v>
      </c>
      <c r="V1551" s="8">
        <f t="shared" si="165"/>
        <v>22153.5</v>
      </c>
      <c r="W1551" s="8">
        <f t="shared" si="166"/>
        <v>55383.75</v>
      </c>
    </row>
    <row r="1552" spans="1:23" ht="21.95" customHeight="1" x14ac:dyDescent="0.2">
      <c r="A1552" s="5" t="s">
        <v>17</v>
      </c>
      <c r="B1552" t="s">
        <v>1582</v>
      </c>
      <c r="C1552" t="s">
        <v>711</v>
      </c>
      <c r="D1552" s="6" t="s">
        <v>75</v>
      </c>
      <c r="E1552" s="6"/>
      <c r="K1552" s="7">
        <v>44005748</v>
      </c>
      <c r="L1552" s="5" t="str">
        <f t="shared" si="161"/>
        <v>AR LİZBON KARYOLA BAZALI 160CM</v>
      </c>
      <c r="M1552" s="8">
        <v>0.15</v>
      </c>
      <c r="N1552" s="8">
        <v>0.1</v>
      </c>
      <c r="O1552" s="8">
        <v>23995</v>
      </c>
      <c r="P1552" s="8">
        <f t="shared" si="162"/>
        <v>21595.5</v>
      </c>
      <c r="Q1552" s="12">
        <f t="shared" si="163"/>
        <v>45350.55</v>
      </c>
      <c r="R1552" s="31">
        <f t="shared" si="164"/>
        <v>45300</v>
      </c>
      <c r="T1552" s="8">
        <v>29215</v>
      </c>
      <c r="V1552" s="8">
        <f t="shared" si="165"/>
        <v>26293.5</v>
      </c>
      <c r="W1552" s="8">
        <f t="shared" si="166"/>
        <v>65733.75</v>
      </c>
    </row>
    <row r="1553" spans="1:23" ht="21.95" customHeight="1" x14ac:dyDescent="0.2">
      <c r="A1553" s="5" t="s">
        <v>17</v>
      </c>
      <c r="B1553" t="s">
        <v>1582</v>
      </c>
      <c r="C1553" t="s">
        <v>711</v>
      </c>
      <c r="D1553" s="6" t="s">
        <v>76</v>
      </c>
      <c r="E1553" s="6"/>
      <c r="K1553" s="7">
        <v>44005749</v>
      </c>
      <c r="L1553" s="5" t="str">
        <f t="shared" si="161"/>
        <v>AR LİZBON KARYOLA BAZALI 180CM</v>
      </c>
      <c r="M1553" s="8">
        <v>0.15</v>
      </c>
      <c r="N1553" s="8">
        <v>0.1</v>
      </c>
      <c r="O1553" s="8">
        <v>26495</v>
      </c>
      <c r="P1553" s="8">
        <f t="shared" si="162"/>
        <v>23845.5</v>
      </c>
      <c r="Q1553" s="12">
        <f t="shared" si="163"/>
        <v>50075.55</v>
      </c>
      <c r="R1553" s="31">
        <f t="shared" si="164"/>
        <v>50000</v>
      </c>
      <c r="T1553" s="8">
        <v>31715</v>
      </c>
      <c r="V1553" s="8">
        <f t="shared" si="165"/>
        <v>28543.5</v>
      </c>
      <c r="W1553" s="8">
        <f t="shared" si="166"/>
        <v>71358.75</v>
      </c>
    </row>
    <row r="1554" spans="1:23" ht="21.95" customHeight="1" x14ac:dyDescent="0.2">
      <c r="A1554" s="5" t="s">
        <v>17</v>
      </c>
      <c r="B1554" t="s">
        <v>1582</v>
      </c>
      <c r="C1554" t="s">
        <v>711</v>
      </c>
      <c r="D1554" s="6" t="s">
        <v>594</v>
      </c>
      <c r="E1554" s="6"/>
      <c r="K1554" s="7">
        <v>44005750</v>
      </c>
      <c r="L1554" s="5" t="str">
        <f t="shared" si="161"/>
        <v>AR LİZBON KARYOLA İÇ KAYITLI 180CM</v>
      </c>
      <c r="M1554" s="8">
        <v>0.15</v>
      </c>
      <c r="N1554" s="8">
        <v>0.1</v>
      </c>
      <c r="O1554" s="8">
        <v>21895</v>
      </c>
      <c r="P1554" s="8">
        <f t="shared" si="162"/>
        <v>19705.5</v>
      </c>
      <c r="Q1554" s="12">
        <f t="shared" si="163"/>
        <v>41381.550000000003</v>
      </c>
      <c r="R1554" s="31">
        <f t="shared" si="164"/>
        <v>41300</v>
      </c>
      <c r="T1554" s="8">
        <v>27115</v>
      </c>
      <c r="V1554" s="8">
        <f t="shared" si="165"/>
        <v>24403.5</v>
      </c>
      <c r="W1554" s="8">
        <f t="shared" si="166"/>
        <v>61008.75</v>
      </c>
    </row>
    <row r="1555" spans="1:23" ht="21.95" customHeight="1" x14ac:dyDescent="0.2">
      <c r="A1555" s="5" t="s">
        <v>17</v>
      </c>
      <c r="B1555" t="s">
        <v>1582</v>
      </c>
      <c r="C1555" t="s">
        <v>711</v>
      </c>
      <c r="D1555" s="6" t="s">
        <v>362</v>
      </c>
      <c r="E1555" s="6"/>
      <c r="K1555" s="7">
        <v>44005751</v>
      </c>
      <c r="L1555" s="5" t="str">
        <f t="shared" ref="L1555:L1618" si="167">B1555&amp;" "&amp;C1555&amp;" "&amp;D1555</f>
        <v>AR LİZBON KOMODİN</v>
      </c>
      <c r="M1555" s="8">
        <v>0.15</v>
      </c>
      <c r="N1555" s="8">
        <v>0.1</v>
      </c>
      <c r="O1555" s="8">
        <v>4850</v>
      </c>
      <c r="P1555" s="8">
        <f t="shared" si="162"/>
        <v>4365</v>
      </c>
      <c r="Q1555" s="12">
        <f t="shared" si="163"/>
        <v>9166.5</v>
      </c>
      <c r="R1555" s="31">
        <f t="shared" si="164"/>
        <v>9100</v>
      </c>
      <c r="T1555" s="8">
        <v>5770</v>
      </c>
      <c r="V1555" s="8">
        <f t="shared" si="165"/>
        <v>5193</v>
      </c>
      <c r="W1555" s="8">
        <f t="shared" si="166"/>
        <v>12982.5</v>
      </c>
    </row>
    <row r="1556" spans="1:23" ht="21.95" customHeight="1" x14ac:dyDescent="0.2">
      <c r="A1556" s="5" t="s">
        <v>17</v>
      </c>
      <c r="B1556" t="s">
        <v>1582</v>
      </c>
      <c r="C1556" t="s">
        <v>711</v>
      </c>
      <c r="D1556" s="6" t="s">
        <v>379</v>
      </c>
      <c r="E1556" s="6"/>
      <c r="K1556" s="7">
        <v>44005752</v>
      </c>
      <c r="L1556" s="5" t="str">
        <f t="shared" si="167"/>
        <v>AR LİZBON DOLAP 6 KAPAKLI</v>
      </c>
      <c r="M1556" s="8">
        <v>0.15</v>
      </c>
      <c r="N1556" s="8">
        <v>0.1</v>
      </c>
      <c r="O1556" s="8">
        <v>32455</v>
      </c>
      <c r="P1556" s="8">
        <f t="shared" si="162"/>
        <v>29209.5</v>
      </c>
      <c r="Q1556" s="12">
        <f t="shared" si="163"/>
        <v>61339.950000000004</v>
      </c>
      <c r="R1556" s="31">
        <f t="shared" si="164"/>
        <v>61300</v>
      </c>
      <c r="T1556" s="8">
        <v>36135</v>
      </c>
      <c r="V1556" s="8">
        <f t="shared" si="165"/>
        <v>32521.5</v>
      </c>
      <c r="W1556" s="8">
        <f t="shared" si="166"/>
        <v>81303.75</v>
      </c>
    </row>
    <row r="1557" spans="1:23" ht="21.95" customHeight="1" x14ac:dyDescent="0.2">
      <c r="A1557" s="5" t="s">
        <v>17</v>
      </c>
      <c r="B1557" t="s">
        <v>1582</v>
      </c>
      <c r="C1557" t="s">
        <v>711</v>
      </c>
      <c r="D1557" s="6" t="s">
        <v>695</v>
      </c>
      <c r="E1557" s="6"/>
      <c r="K1557" s="7">
        <v>44005753</v>
      </c>
      <c r="L1557" s="5" t="str">
        <f t="shared" si="167"/>
        <v>AR LİZBON DOLAP 5 KAPAKLI</v>
      </c>
      <c r="M1557" s="8">
        <v>0.15</v>
      </c>
      <c r="N1557" s="8">
        <v>0.1</v>
      </c>
      <c r="O1557" s="8">
        <v>29060</v>
      </c>
      <c r="P1557" s="8">
        <f t="shared" si="162"/>
        <v>26154</v>
      </c>
      <c r="Q1557" s="12">
        <f t="shared" si="163"/>
        <v>54923.4</v>
      </c>
      <c r="R1557" s="31">
        <f t="shared" si="164"/>
        <v>54900</v>
      </c>
      <c r="T1557" s="8">
        <v>20775</v>
      </c>
      <c r="V1557" s="8">
        <f t="shared" si="165"/>
        <v>18697.5</v>
      </c>
      <c r="W1557" s="8">
        <f t="shared" si="166"/>
        <v>46743.75</v>
      </c>
    </row>
    <row r="1558" spans="1:23" ht="21.95" customHeight="1" x14ac:dyDescent="0.2">
      <c r="A1558" s="5" t="s">
        <v>17</v>
      </c>
      <c r="B1558" t="s">
        <v>1582</v>
      </c>
      <c r="C1558" t="s">
        <v>711</v>
      </c>
      <c r="D1558" s="6" t="s">
        <v>595</v>
      </c>
      <c r="E1558" s="6"/>
      <c r="K1558" s="7">
        <v>44005754</v>
      </c>
      <c r="L1558" s="5" t="str">
        <f t="shared" si="167"/>
        <v>AR LİZBON ŞİFONYER &amp; AYNASI</v>
      </c>
      <c r="M1558" s="8">
        <v>0.15</v>
      </c>
      <c r="N1558" s="8">
        <v>0.1</v>
      </c>
      <c r="O1558" s="8">
        <v>16060</v>
      </c>
      <c r="P1558" s="8">
        <f t="shared" si="162"/>
        <v>14454</v>
      </c>
      <c r="Q1558" s="12">
        <f t="shared" si="163"/>
        <v>30353.4</v>
      </c>
      <c r="R1558" s="31">
        <f t="shared" si="164"/>
        <v>30300</v>
      </c>
      <c r="T1558" s="8">
        <v>10450</v>
      </c>
      <c r="V1558" s="8">
        <f t="shared" si="165"/>
        <v>9405</v>
      </c>
      <c r="W1558" s="8">
        <f t="shared" si="166"/>
        <v>23512.5</v>
      </c>
    </row>
    <row r="1559" spans="1:23" ht="21.95" customHeight="1" x14ac:dyDescent="0.2">
      <c r="A1559" s="5" t="s">
        <v>17</v>
      </c>
      <c r="B1559" t="s">
        <v>1582</v>
      </c>
      <c r="C1559" t="s">
        <v>711</v>
      </c>
      <c r="D1559" s="6" t="s">
        <v>126</v>
      </c>
      <c r="E1559" s="6"/>
      <c r="K1559" s="7">
        <v>44005755</v>
      </c>
      <c r="L1559" s="5" t="str">
        <f t="shared" si="167"/>
        <v>AR LİZBON ÇAMAŞIRLIK</v>
      </c>
      <c r="M1559" s="8">
        <v>0.15</v>
      </c>
      <c r="N1559" s="8">
        <v>0.1</v>
      </c>
      <c r="O1559" s="8">
        <v>8710</v>
      </c>
      <c r="P1559" s="8">
        <f t="shared" si="162"/>
        <v>7839</v>
      </c>
      <c r="Q1559" s="12">
        <f t="shared" si="163"/>
        <v>16461.900000000001</v>
      </c>
      <c r="R1559" s="31">
        <f t="shared" si="164"/>
        <v>16400</v>
      </c>
      <c r="T1559" s="8">
        <v>4775</v>
      </c>
      <c r="V1559" s="8">
        <f t="shared" si="165"/>
        <v>4297.5</v>
      </c>
      <c r="W1559" s="8">
        <f t="shared" si="166"/>
        <v>10743.75</v>
      </c>
    </row>
    <row r="1560" spans="1:23" ht="21.95" customHeight="1" x14ac:dyDescent="0.2">
      <c r="A1560" s="5" t="s">
        <v>17</v>
      </c>
      <c r="B1560" t="s">
        <v>1582</v>
      </c>
      <c r="C1560" t="s">
        <v>711</v>
      </c>
      <c r="D1560" s="6" t="s">
        <v>82</v>
      </c>
      <c r="E1560" s="6"/>
      <c r="K1560" s="7">
        <v>44005756</v>
      </c>
      <c r="L1560" s="5" t="str">
        <f t="shared" si="167"/>
        <v>AR LİZBON BOY AYNASI</v>
      </c>
      <c r="M1560" s="8">
        <v>0.15</v>
      </c>
      <c r="N1560" s="8">
        <v>0.1</v>
      </c>
      <c r="O1560" s="8">
        <v>4305</v>
      </c>
      <c r="P1560" s="8">
        <f t="shared" si="162"/>
        <v>3874.5</v>
      </c>
      <c r="Q1560" s="12">
        <f t="shared" si="163"/>
        <v>8136.4500000000007</v>
      </c>
      <c r="R1560" s="31">
        <f t="shared" si="164"/>
        <v>8100</v>
      </c>
      <c r="T1560" s="8">
        <v>4520</v>
      </c>
      <c r="V1560" s="8">
        <f t="shared" si="165"/>
        <v>4068</v>
      </c>
      <c r="W1560" s="8">
        <f t="shared" si="166"/>
        <v>10170</v>
      </c>
    </row>
    <row r="1561" spans="1:23" ht="21.95" customHeight="1" x14ac:dyDescent="0.2">
      <c r="A1561" s="5" t="s">
        <v>17</v>
      </c>
      <c r="B1561" t="s">
        <v>1582</v>
      </c>
      <c r="C1561" t="s">
        <v>711</v>
      </c>
      <c r="D1561" s="6" t="s">
        <v>119</v>
      </c>
      <c r="E1561" s="6"/>
      <c r="K1561" s="7">
        <v>44005757</v>
      </c>
      <c r="L1561" s="5" t="str">
        <f t="shared" si="167"/>
        <v>AR LİZBON PUF</v>
      </c>
      <c r="M1561" s="8">
        <v>0.15</v>
      </c>
      <c r="N1561" s="8">
        <v>0.1</v>
      </c>
      <c r="O1561" s="8">
        <v>2990</v>
      </c>
      <c r="P1561" s="8">
        <f t="shared" si="162"/>
        <v>2691</v>
      </c>
      <c r="Q1561" s="12">
        <f t="shared" si="163"/>
        <v>5651.1</v>
      </c>
      <c r="R1561" s="31">
        <f t="shared" si="164"/>
        <v>5600</v>
      </c>
      <c r="T1561" s="8">
        <v>34335</v>
      </c>
      <c r="V1561" s="8">
        <f t="shared" si="165"/>
        <v>30901.5</v>
      </c>
      <c r="W1561" s="8">
        <f t="shared" si="166"/>
        <v>77253.75</v>
      </c>
    </row>
    <row r="1562" spans="1:23" ht="21.95" customHeight="1" x14ac:dyDescent="0.2">
      <c r="A1562" s="5" t="s">
        <v>17</v>
      </c>
      <c r="B1562" t="s">
        <v>1582</v>
      </c>
      <c r="C1562" t="s">
        <v>721</v>
      </c>
      <c r="D1562" s="6" t="s">
        <v>49</v>
      </c>
      <c r="E1562" s="6"/>
      <c r="K1562" s="7">
        <v>44005758</v>
      </c>
      <c r="L1562" s="5" t="str">
        <f t="shared" si="167"/>
        <v>AR MONACO KONSOL</v>
      </c>
      <c r="M1562" s="8">
        <v>0.15</v>
      </c>
      <c r="N1562" s="8">
        <v>0.1</v>
      </c>
      <c r="O1562" s="8">
        <v>23190</v>
      </c>
      <c r="P1562" s="8">
        <f t="shared" si="162"/>
        <v>20871</v>
      </c>
      <c r="Q1562" s="12">
        <f t="shared" si="163"/>
        <v>43829.1</v>
      </c>
      <c r="R1562" s="31">
        <f t="shared" si="164"/>
        <v>43800</v>
      </c>
      <c r="T1562" s="8">
        <v>6187</v>
      </c>
      <c r="V1562" s="8">
        <f t="shared" si="165"/>
        <v>5568.3</v>
      </c>
      <c r="W1562" s="8">
        <f t="shared" si="166"/>
        <v>13920.75</v>
      </c>
    </row>
    <row r="1563" spans="1:23" ht="21.95" customHeight="1" x14ac:dyDescent="0.2">
      <c r="A1563" s="5" t="s">
        <v>17</v>
      </c>
      <c r="B1563" t="s">
        <v>1582</v>
      </c>
      <c r="C1563" t="s">
        <v>721</v>
      </c>
      <c r="D1563" s="6" t="s">
        <v>21</v>
      </c>
      <c r="E1563" s="6"/>
      <c r="K1563" s="7">
        <v>44005759</v>
      </c>
      <c r="L1563" s="5" t="str">
        <f t="shared" si="167"/>
        <v>AR MONACO KONSOL AYNASI</v>
      </c>
      <c r="M1563" s="8">
        <v>0.15</v>
      </c>
      <c r="N1563" s="8">
        <v>0.1</v>
      </c>
      <c r="O1563" s="8">
        <v>3626</v>
      </c>
      <c r="P1563" s="8">
        <f t="shared" si="162"/>
        <v>3263.4</v>
      </c>
      <c r="Q1563" s="12">
        <f t="shared" si="163"/>
        <v>6853.14</v>
      </c>
      <c r="R1563" s="31">
        <f t="shared" si="164"/>
        <v>6800</v>
      </c>
      <c r="T1563" s="8">
        <v>20455</v>
      </c>
      <c r="V1563" s="8">
        <f t="shared" si="165"/>
        <v>18409.5</v>
      </c>
      <c r="W1563" s="8">
        <f t="shared" si="166"/>
        <v>46023.75</v>
      </c>
    </row>
    <row r="1564" spans="1:23" ht="21.95" customHeight="1" x14ac:dyDescent="0.2">
      <c r="A1564" s="5" t="s">
        <v>17</v>
      </c>
      <c r="B1564" t="s">
        <v>1582</v>
      </c>
      <c r="C1564" t="s">
        <v>721</v>
      </c>
      <c r="D1564" s="6" t="s">
        <v>599</v>
      </c>
      <c r="E1564" s="6"/>
      <c r="K1564" s="7">
        <v>44005760</v>
      </c>
      <c r="L1564" s="5" t="str">
        <f t="shared" si="167"/>
        <v>AR MONACO MASA 210CM</v>
      </c>
      <c r="M1564" s="8">
        <v>0.15</v>
      </c>
      <c r="N1564" s="8">
        <v>0.1</v>
      </c>
      <c r="O1564" s="8">
        <v>11890</v>
      </c>
      <c r="P1564" s="8">
        <f t="shared" si="162"/>
        <v>10701</v>
      </c>
      <c r="Q1564" s="12">
        <f t="shared" si="163"/>
        <v>22472.100000000002</v>
      </c>
      <c r="R1564" s="31">
        <f t="shared" si="164"/>
        <v>22400</v>
      </c>
      <c r="T1564" s="8">
        <v>26592</v>
      </c>
      <c r="V1564" s="8">
        <f t="shared" si="165"/>
        <v>23932.799999999999</v>
      </c>
      <c r="W1564" s="8">
        <f t="shared" si="166"/>
        <v>59832</v>
      </c>
    </row>
    <row r="1565" spans="1:23" ht="21.95" customHeight="1" x14ac:dyDescent="0.2">
      <c r="A1565" s="5" t="s">
        <v>17</v>
      </c>
      <c r="B1565" t="s">
        <v>1582</v>
      </c>
      <c r="C1565" t="s">
        <v>721</v>
      </c>
      <c r="D1565" s="6" t="s">
        <v>587</v>
      </c>
      <c r="E1565" s="6"/>
      <c r="K1565" s="7">
        <v>44005761</v>
      </c>
      <c r="L1565" s="5" t="str">
        <f t="shared" si="167"/>
        <v>AR MONACO MASA 180CM</v>
      </c>
      <c r="M1565" s="8">
        <v>0.15</v>
      </c>
      <c r="N1565" s="8">
        <v>0.1</v>
      </c>
      <c r="O1565" s="8">
        <v>15457</v>
      </c>
      <c r="P1565" s="8">
        <f t="shared" si="162"/>
        <v>13911.300000000001</v>
      </c>
      <c r="Q1565" s="12">
        <f t="shared" si="163"/>
        <v>29213.730000000003</v>
      </c>
      <c r="R1565" s="31">
        <f t="shared" si="164"/>
        <v>29200</v>
      </c>
      <c r="T1565" s="8">
        <v>30390</v>
      </c>
      <c r="V1565" s="8">
        <f t="shared" si="165"/>
        <v>27351</v>
      </c>
      <c r="W1565" s="8">
        <f t="shared" si="166"/>
        <v>68377.5</v>
      </c>
    </row>
    <row r="1566" spans="1:23" ht="21.95" customHeight="1" x14ac:dyDescent="0.2">
      <c r="A1566" s="5" t="s">
        <v>17</v>
      </c>
      <c r="B1566" t="s">
        <v>1582</v>
      </c>
      <c r="C1566" t="s">
        <v>721</v>
      </c>
      <c r="D1566" s="6" t="s">
        <v>24</v>
      </c>
      <c r="E1566" s="6"/>
      <c r="K1566" s="7">
        <v>44005762</v>
      </c>
      <c r="L1566" s="5" t="str">
        <f t="shared" si="167"/>
        <v>AR MONACO MASA 240CM</v>
      </c>
      <c r="M1566" s="8">
        <v>0.15</v>
      </c>
      <c r="N1566" s="8">
        <v>0.1</v>
      </c>
      <c r="O1566" s="8">
        <v>17665</v>
      </c>
      <c r="P1566" s="8">
        <f t="shared" si="162"/>
        <v>15898.5</v>
      </c>
      <c r="Q1566" s="12">
        <f t="shared" si="163"/>
        <v>33386.85</v>
      </c>
      <c r="R1566" s="31">
        <f t="shared" si="164"/>
        <v>33300</v>
      </c>
      <c r="T1566" s="8">
        <v>5883</v>
      </c>
      <c r="V1566" s="8">
        <f t="shared" si="165"/>
        <v>5294.7</v>
      </c>
      <c r="W1566" s="8">
        <f t="shared" si="166"/>
        <v>13236.75</v>
      </c>
    </row>
    <row r="1567" spans="1:23" ht="21.95" customHeight="1" x14ac:dyDescent="0.2">
      <c r="A1567" s="5" t="s">
        <v>17</v>
      </c>
      <c r="B1567" t="s">
        <v>1582</v>
      </c>
      <c r="C1567" t="s">
        <v>721</v>
      </c>
      <c r="D1567" s="6" t="s">
        <v>25</v>
      </c>
      <c r="E1567" s="6"/>
      <c r="K1567" s="7">
        <v>44005763</v>
      </c>
      <c r="L1567" s="5" t="str">
        <f t="shared" si="167"/>
        <v>AR MONACO SANDALYE</v>
      </c>
      <c r="M1567" s="8">
        <v>0.15</v>
      </c>
      <c r="N1567" s="8">
        <v>0.1</v>
      </c>
      <c r="O1567" s="8">
        <v>4114</v>
      </c>
      <c r="P1567" s="8">
        <f t="shared" si="162"/>
        <v>3702.6</v>
      </c>
      <c r="Q1567" s="12">
        <f t="shared" si="163"/>
        <v>7775.46</v>
      </c>
      <c r="R1567" s="31">
        <f t="shared" si="164"/>
        <v>7700</v>
      </c>
      <c r="T1567" s="8">
        <v>18885</v>
      </c>
      <c r="V1567" s="8">
        <f t="shared" si="165"/>
        <v>16996.5</v>
      </c>
      <c r="W1567" s="8">
        <f t="shared" si="166"/>
        <v>42491.25</v>
      </c>
    </row>
    <row r="1568" spans="1:23" ht="21.95" customHeight="1" x14ac:dyDescent="0.2">
      <c r="A1568" s="5" t="s">
        <v>17</v>
      </c>
      <c r="B1568" t="s">
        <v>1582</v>
      </c>
      <c r="C1568" t="s">
        <v>721</v>
      </c>
      <c r="D1568" s="6" t="s">
        <v>103</v>
      </c>
      <c r="E1568" s="6"/>
      <c r="K1568" s="7">
        <v>44005764</v>
      </c>
      <c r="L1568" s="5" t="str">
        <f t="shared" si="167"/>
        <v>AR MONACO TV ÜNİTESİ ÜST MODÜL</v>
      </c>
      <c r="M1568" s="8">
        <v>0.15</v>
      </c>
      <c r="N1568" s="8">
        <v>0.1</v>
      </c>
      <c r="O1568" s="8">
        <v>2585</v>
      </c>
      <c r="P1568" s="8">
        <f t="shared" si="162"/>
        <v>2326.5</v>
      </c>
      <c r="Q1568" s="12">
        <f t="shared" si="163"/>
        <v>4885.6500000000005</v>
      </c>
      <c r="R1568" s="31">
        <f t="shared" si="164"/>
        <v>4800</v>
      </c>
      <c r="T1568" s="8">
        <v>7665</v>
      </c>
      <c r="V1568" s="8">
        <f t="shared" si="165"/>
        <v>6898.5</v>
      </c>
      <c r="W1568" s="8">
        <f t="shared" si="166"/>
        <v>17246.25</v>
      </c>
    </row>
    <row r="1569" spans="1:23" ht="21.95" customHeight="1" x14ac:dyDescent="0.2">
      <c r="A1569" s="5" t="s">
        <v>17</v>
      </c>
      <c r="B1569" t="s">
        <v>1582</v>
      </c>
      <c r="C1569" t="s">
        <v>721</v>
      </c>
      <c r="D1569" s="6" t="s">
        <v>496</v>
      </c>
      <c r="E1569" s="6"/>
      <c r="K1569" s="7">
        <v>44005765</v>
      </c>
      <c r="L1569" s="5" t="str">
        <f t="shared" si="167"/>
        <v>AR MONACO TV ÜNİTESİ ALT MODÜL</v>
      </c>
      <c r="M1569" s="8">
        <v>0.15</v>
      </c>
      <c r="N1569" s="8">
        <v>0.1</v>
      </c>
      <c r="O1569" s="8">
        <v>23965</v>
      </c>
      <c r="P1569" s="8">
        <f t="shared" si="162"/>
        <v>21568.5</v>
      </c>
      <c r="Q1569" s="12">
        <f t="shared" si="163"/>
        <v>45293.85</v>
      </c>
      <c r="R1569" s="31">
        <f t="shared" si="164"/>
        <v>45200</v>
      </c>
      <c r="T1569" s="8">
        <v>29490</v>
      </c>
      <c r="V1569" s="8">
        <f t="shared" si="165"/>
        <v>26541</v>
      </c>
      <c r="W1569" s="8">
        <f t="shared" si="166"/>
        <v>66352.5</v>
      </c>
    </row>
    <row r="1570" spans="1:23" ht="21.95" customHeight="1" x14ac:dyDescent="0.2">
      <c r="A1570" s="5" t="s">
        <v>17</v>
      </c>
      <c r="B1570" t="s">
        <v>1582</v>
      </c>
      <c r="C1570" t="s">
        <v>721</v>
      </c>
      <c r="D1570" s="6" t="s">
        <v>29</v>
      </c>
      <c r="E1570" s="6"/>
      <c r="K1570" s="7">
        <v>44005766</v>
      </c>
      <c r="L1570" s="5" t="str">
        <f t="shared" si="167"/>
        <v>AR MONACO ORTA SEHPA</v>
      </c>
      <c r="M1570" s="8">
        <v>0.15</v>
      </c>
      <c r="N1570" s="8">
        <v>0.1</v>
      </c>
      <c r="O1570" s="8">
        <v>13795</v>
      </c>
      <c r="P1570" s="8">
        <f t="shared" si="162"/>
        <v>12415.5</v>
      </c>
      <c r="Q1570" s="12">
        <f t="shared" si="163"/>
        <v>26072.550000000003</v>
      </c>
      <c r="R1570" s="31">
        <f t="shared" si="164"/>
        <v>26000</v>
      </c>
      <c r="T1570" s="8">
        <v>23290</v>
      </c>
      <c r="V1570" s="8">
        <f t="shared" si="165"/>
        <v>20961</v>
      </c>
      <c r="W1570" s="8">
        <f t="shared" si="166"/>
        <v>52402.5</v>
      </c>
    </row>
    <row r="1571" spans="1:23" ht="21.95" customHeight="1" x14ac:dyDescent="0.2">
      <c r="A1571" s="5" t="s">
        <v>17</v>
      </c>
      <c r="B1571" t="s">
        <v>1582</v>
      </c>
      <c r="C1571" t="s">
        <v>721</v>
      </c>
      <c r="D1571" s="6" t="s">
        <v>722</v>
      </c>
      <c r="E1571" s="6"/>
      <c r="K1571" s="7">
        <v>44005767</v>
      </c>
      <c r="L1571" s="5" t="str">
        <f t="shared" si="167"/>
        <v>AR MONACO UZUN SEHPA</v>
      </c>
      <c r="M1571" s="8">
        <v>0.15</v>
      </c>
      <c r="N1571" s="8">
        <v>0.1</v>
      </c>
      <c r="O1571" s="8">
        <v>9645</v>
      </c>
      <c r="P1571" s="8">
        <f t="shared" si="162"/>
        <v>8680.5</v>
      </c>
      <c r="Q1571" s="12">
        <f t="shared" si="163"/>
        <v>18229.05</v>
      </c>
      <c r="R1571" s="31">
        <f t="shared" si="164"/>
        <v>18200</v>
      </c>
      <c r="T1571" s="8">
        <v>12780</v>
      </c>
      <c r="V1571" s="8">
        <f t="shared" si="165"/>
        <v>11502</v>
      </c>
      <c r="W1571" s="8">
        <f t="shared" si="166"/>
        <v>28755</v>
      </c>
    </row>
    <row r="1572" spans="1:23" ht="21.95" customHeight="1" x14ac:dyDescent="0.2">
      <c r="A1572" s="5" t="s">
        <v>17</v>
      </c>
      <c r="B1572" t="s">
        <v>1582</v>
      </c>
      <c r="C1572" t="s">
        <v>721</v>
      </c>
      <c r="D1572" s="6" t="s">
        <v>723</v>
      </c>
      <c r="E1572" s="6"/>
      <c r="K1572" s="7">
        <v>44005768</v>
      </c>
      <c r="L1572" s="5" t="str">
        <f t="shared" si="167"/>
        <v>AR MONACO KISA SEHPA</v>
      </c>
      <c r="M1572" s="8">
        <v>0.15</v>
      </c>
      <c r="N1572" s="8">
        <v>0.1</v>
      </c>
      <c r="O1572" s="8">
        <v>9685</v>
      </c>
      <c r="P1572" s="8">
        <f t="shared" si="162"/>
        <v>8716.5</v>
      </c>
      <c r="Q1572" s="12">
        <f t="shared" si="163"/>
        <v>18304.650000000001</v>
      </c>
      <c r="R1572" s="31">
        <f t="shared" si="164"/>
        <v>18300</v>
      </c>
      <c r="T1572" s="8">
        <v>12480</v>
      </c>
      <c r="V1572" s="8">
        <f t="shared" si="165"/>
        <v>11232</v>
      </c>
      <c r="W1572" s="8">
        <f t="shared" si="166"/>
        <v>28080</v>
      </c>
    </row>
    <row r="1573" spans="1:23" ht="21.95" customHeight="1" x14ac:dyDescent="0.2">
      <c r="A1573" s="5" t="s">
        <v>17</v>
      </c>
      <c r="B1573" t="s">
        <v>1582</v>
      </c>
      <c r="C1573" t="s">
        <v>721</v>
      </c>
      <c r="D1573" s="6" t="s">
        <v>31</v>
      </c>
      <c r="E1573" s="6"/>
      <c r="K1573" s="7">
        <v>44005769</v>
      </c>
      <c r="L1573" s="5" t="str">
        <f t="shared" si="167"/>
        <v>AR MONACO KOLTUK 4 LÜ</v>
      </c>
      <c r="M1573" s="8">
        <v>0.15</v>
      </c>
      <c r="N1573" s="8">
        <v>0.1</v>
      </c>
      <c r="O1573" s="8">
        <v>34300</v>
      </c>
      <c r="P1573" s="8">
        <f t="shared" si="162"/>
        <v>30870</v>
      </c>
      <c r="Q1573" s="12">
        <f t="shared" si="163"/>
        <v>64827</v>
      </c>
      <c r="R1573" s="31">
        <f t="shared" si="164"/>
        <v>64800</v>
      </c>
      <c r="T1573" s="8">
        <v>9445</v>
      </c>
      <c r="V1573" s="8">
        <f t="shared" si="165"/>
        <v>8500.5</v>
      </c>
      <c r="W1573" s="8">
        <f t="shared" si="166"/>
        <v>21251.25</v>
      </c>
    </row>
    <row r="1574" spans="1:23" ht="21.95" customHeight="1" x14ac:dyDescent="0.2">
      <c r="A1574" s="5" t="s">
        <v>17</v>
      </c>
      <c r="B1574" t="s">
        <v>1582</v>
      </c>
      <c r="C1574" t="s">
        <v>721</v>
      </c>
      <c r="D1574" s="6" t="s">
        <v>32</v>
      </c>
      <c r="E1574" s="6"/>
      <c r="K1574" s="7">
        <v>44005770</v>
      </c>
      <c r="L1574" s="5" t="str">
        <f t="shared" si="167"/>
        <v>AR MONACO KOLTUK 3 LÜ</v>
      </c>
      <c r="M1574" s="8">
        <v>0.15</v>
      </c>
      <c r="N1574" s="8">
        <v>0.1</v>
      </c>
      <c r="O1574" s="8">
        <v>30895</v>
      </c>
      <c r="P1574" s="8">
        <f t="shared" si="162"/>
        <v>27805.5</v>
      </c>
      <c r="Q1574" s="12">
        <f t="shared" si="163"/>
        <v>58391.55</v>
      </c>
      <c r="R1574" s="31">
        <f t="shared" si="164"/>
        <v>58300</v>
      </c>
      <c r="T1574" s="8">
        <v>38290</v>
      </c>
      <c r="V1574" s="8">
        <f t="shared" si="165"/>
        <v>34461</v>
      </c>
      <c r="W1574" s="8">
        <f t="shared" si="166"/>
        <v>86152.5</v>
      </c>
    </row>
    <row r="1575" spans="1:23" ht="21.95" customHeight="1" x14ac:dyDescent="0.2">
      <c r="A1575" s="5" t="s">
        <v>17</v>
      </c>
      <c r="B1575" t="s">
        <v>1582</v>
      </c>
      <c r="C1575" t="s">
        <v>721</v>
      </c>
      <c r="D1575" s="6" t="s">
        <v>592</v>
      </c>
      <c r="E1575" s="6"/>
      <c r="K1575" s="7">
        <v>44005771</v>
      </c>
      <c r="L1575" s="5" t="str">
        <f t="shared" si="167"/>
        <v>AR MONACO KOLTUK TEKLİ</v>
      </c>
      <c r="M1575" s="8">
        <v>0.15</v>
      </c>
      <c r="N1575" s="8">
        <v>0.1</v>
      </c>
      <c r="O1575" s="8">
        <v>16275</v>
      </c>
      <c r="P1575" s="8">
        <f t="shared" si="162"/>
        <v>14647.5</v>
      </c>
      <c r="Q1575" s="12">
        <f t="shared" si="163"/>
        <v>30759.75</v>
      </c>
      <c r="R1575" s="31">
        <f t="shared" si="164"/>
        <v>30700</v>
      </c>
      <c r="T1575" s="8">
        <v>34105</v>
      </c>
      <c r="V1575" s="8">
        <f t="shared" si="165"/>
        <v>30694.5</v>
      </c>
      <c r="W1575" s="8">
        <f t="shared" si="166"/>
        <v>76736.25</v>
      </c>
    </row>
    <row r="1576" spans="1:23" ht="21.95" customHeight="1" x14ac:dyDescent="0.2">
      <c r="A1576" s="5" t="s">
        <v>17</v>
      </c>
      <c r="B1576" t="s">
        <v>1582</v>
      </c>
      <c r="C1576" t="s">
        <v>721</v>
      </c>
      <c r="D1576" s="6" t="s">
        <v>724</v>
      </c>
      <c r="E1576" s="6"/>
      <c r="K1576" s="7">
        <v>44005772</v>
      </c>
      <c r="L1576" s="5" t="str">
        <f t="shared" si="167"/>
        <v>AR MONACO MODÜL DİNLENMELİ</v>
      </c>
      <c r="M1576" s="8">
        <v>0.15</v>
      </c>
      <c r="N1576" s="8">
        <v>0.1</v>
      </c>
      <c r="O1576" s="8">
        <v>22280</v>
      </c>
      <c r="P1576" s="8">
        <f t="shared" si="162"/>
        <v>20052</v>
      </c>
      <c r="Q1576" s="12">
        <f t="shared" si="163"/>
        <v>42109.200000000004</v>
      </c>
      <c r="R1576" s="31">
        <f t="shared" si="164"/>
        <v>42100</v>
      </c>
      <c r="T1576" s="8">
        <v>29720</v>
      </c>
      <c r="V1576" s="8">
        <f t="shared" si="165"/>
        <v>26748</v>
      </c>
      <c r="W1576" s="8">
        <f t="shared" si="166"/>
        <v>66870</v>
      </c>
    </row>
    <row r="1577" spans="1:23" ht="21.95" customHeight="1" x14ac:dyDescent="0.2">
      <c r="A1577" s="5" t="s">
        <v>17</v>
      </c>
      <c r="B1577" t="s">
        <v>1582</v>
      </c>
      <c r="C1577" t="s">
        <v>721</v>
      </c>
      <c r="D1577" s="6" t="s">
        <v>725</v>
      </c>
      <c r="E1577" s="6"/>
      <c r="K1577" s="7">
        <v>44005773</v>
      </c>
      <c r="L1577" s="5" t="str">
        <f t="shared" si="167"/>
        <v>AR MONACO MODÜL KOLLU ÜÇLÜ</v>
      </c>
      <c r="M1577" s="8">
        <v>0.15</v>
      </c>
      <c r="N1577" s="8">
        <v>0.1</v>
      </c>
      <c r="O1577" s="8">
        <v>28445</v>
      </c>
      <c r="P1577" s="8">
        <f t="shared" si="162"/>
        <v>25600.5</v>
      </c>
      <c r="Q1577" s="12">
        <f t="shared" si="163"/>
        <v>53761.05</v>
      </c>
      <c r="R1577" s="31">
        <f t="shared" si="164"/>
        <v>53700</v>
      </c>
      <c r="T1577" s="8">
        <v>15330</v>
      </c>
      <c r="V1577" s="8">
        <f t="shared" si="165"/>
        <v>13797</v>
      </c>
      <c r="W1577" s="8">
        <f t="shared" si="166"/>
        <v>34492.5</v>
      </c>
    </row>
    <row r="1578" spans="1:23" ht="21.95" customHeight="1" x14ac:dyDescent="0.2">
      <c r="A1578" s="5" t="s">
        <v>17</v>
      </c>
      <c r="B1578" t="s">
        <v>1582</v>
      </c>
      <c r="C1578" t="s">
        <v>721</v>
      </c>
      <c r="D1578" s="6" t="s">
        <v>726</v>
      </c>
      <c r="E1578" s="6"/>
      <c r="K1578" s="7">
        <v>44005774</v>
      </c>
      <c r="L1578" s="5" t="str">
        <f t="shared" si="167"/>
        <v>AR MONACO KARYOLA İÇ KAYITLI 160CM PANOSUZ</v>
      </c>
      <c r="M1578" s="8">
        <v>0.15</v>
      </c>
      <c r="N1578" s="8">
        <v>0.1</v>
      </c>
      <c r="O1578" s="8">
        <v>19965</v>
      </c>
      <c r="P1578" s="8">
        <f t="shared" si="162"/>
        <v>17968.5</v>
      </c>
      <c r="Q1578" s="12">
        <f t="shared" si="163"/>
        <v>37733.85</v>
      </c>
      <c r="R1578" s="31">
        <f t="shared" si="164"/>
        <v>37700</v>
      </c>
      <c r="T1578" s="8">
        <v>23450</v>
      </c>
      <c r="V1578" s="8">
        <f t="shared" si="165"/>
        <v>21105</v>
      </c>
      <c r="W1578" s="8">
        <f t="shared" si="166"/>
        <v>52762.5</v>
      </c>
    </row>
    <row r="1579" spans="1:23" ht="21.95" customHeight="1" x14ac:dyDescent="0.2">
      <c r="A1579" s="5" t="s">
        <v>17</v>
      </c>
      <c r="B1579" t="s">
        <v>1582</v>
      </c>
      <c r="C1579" t="s">
        <v>721</v>
      </c>
      <c r="D1579" s="6" t="s">
        <v>727</v>
      </c>
      <c r="E1579" s="6"/>
      <c r="K1579" s="7">
        <v>44005775</v>
      </c>
      <c r="L1579" s="5" t="str">
        <f t="shared" si="167"/>
        <v>AR MONACO KARYOLA İÇ KAYITLI 160CM PANOLU</v>
      </c>
      <c r="M1579" s="8">
        <v>0.15</v>
      </c>
      <c r="N1579" s="8">
        <v>0.1</v>
      </c>
      <c r="O1579" s="8">
        <v>23515</v>
      </c>
      <c r="P1579" s="8">
        <f t="shared" si="162"/>
        <v>21163.5</v>
      </c>
      <c r="Q1579" s="12">
        <f t="shared" si="163"/>
        <v>44443.35</v>
      </c>
      <c r="R1579" s="31">
        <f t="shared" si="164"/>
        <v>44400</v>
      </c>
      <c r="T1579" s="8">
        <v>11400</v>
      </c>
      <c r="V1579" s="8">
        <f t="shared" si="165"/>
        <v>10260</v>
      </c>
      <c r="W1579" s="8">
        <f t="shared" si="166"/>
        <v>25650</v>
      </c>
    </row>
    <row r="1580" spans="1:23" ht="21.95" customHeight="1" x14ac:dyDescent="0.2">
      <c r="A1580" s="5" t="s">
        <v>17</v>
      </c>
      <c r="B1580" t="s">
        <v>1582</v>
      </c>
      <c r="C1580" t="s">
        <v>721</v>
      </c>
      <c r="D1580" s="6" t="s">
        <v>728</v>
      </c>
      <c r="E1580" s="6"/>
      <c r="K1580" s="7">
        <v>44005776</v>
      </c>
      <c r="L1580" s="5" t="str">
        <f t="shared" si="167"/>
        <v>AR MONACO KARYOLA BAZALI 160CM PANOLU</v>
      </c>
      <c r="M1580" s="8">
        <v>0.15</v>
      </c>
      <c r="N1580" s="8">
        <v>0.1</v>
      </c>
      <c r="O1580" s="8">
        <v>28115</v>
      </c>
      <c r="P1580" s="8">
        <f t="shared" si="162"/>
        <v>25303.5</v>
      </c>
      <c r="Q1580" s="12">
        <f t="shared" si="163"/>
        <v>53137.350000000006</v>
      </c>
      <c r="R1580" s="31">
        <f t="shared" si="164"/>
        <v>53100</v>
      </c>
      <c r="T1580" s="8">
        <v>12185</v>
      </c>
      <c r="V1580" s="8">
        <f t="shared" si="165"/>
        <v>10966.5</v>
      </c>
      <c r="W1580" s="8">
        <f t="shared" si="166"/>
        <v>27416.25</v>
      </c>
    </row>
    <row r="1581" spans="1:23" ht="21.95" customHeight="1" x14ac:dyDescent="0.2">
      <c r="A1581" s="5" t="s">
        <v>17</v>
      </c>
      <c r="B1581" t="s">
        <v>1582</v>
      </c>
      <c r="C1581" t="s">
        <v>721</v>
      </c>
      <c r="D1581" s="6" t="s">
        <v>729</v>
      </c>
      <c r="E1581" s="6"/>
      <c r="K1581" s="7">
        <v>44005777</v>
      </c>
      <c r="L1581" s="5" t="str">
        <f t="shared" si="167"/>
        <v>AR MONACO KARYOLA BAZALI 160CM PANOSUZ</v>
      </c>
      <c r="M1581" s="8">
        <v>0.15</v>
      </c>
      <c r="N1581" s="8">
        <v>0.1</v>
      </c>
      <c r="O1581" s="8">
        <v>24565</v>
      </c>
      <c r="P1581" s="8">
        <f t="shared" si="162"/>
        <v>22108.5</v>
      </c>
      <c r="Q1581" s="12">
        <f t="shared" si="163"/>
        <v>46427.85</v>
      </c>
      <c r="R1581" s="31">
        <f t="shared" si="164"/>
        <v>46400</v>
      </c>
      <c r="T1581" s="8">
        <v>12400</v>
      </c>
      <c r="V1581" s="8">
        <f t="shared" si="165"/>
        <v>11160</v>
      </c>
      <c r="W1581" s="8">
        <f t="shared" si="166"/>
        <v>27900</v>
      </c>
    </row>
    <row r="1582" spans="1:23" ht="21.95" customHeight="1" x14ac:dyDescent="0.2">
      <c r="A1582" s="5" t="s">
        <v>17</v>
      </c>
      <c r="B1582" t="s">
        <v>1582</v>
      </c>
      <c r="C1582" t="s">
        <v>721</v>
      </c>
      <c r="D1582" s="6" t="s">
        <v>730</v>
      </c>
      <c r="E1582" s="6"/>
      <c r="K1582" s="7">
        <v>44005778</v>
      </c>
      <c r="L1582" s="5" t="str">
        <f t="shared" si="167"/>
        <v>AR MONACO KARYOLA BAZALI 180CM PANOLU</v>
      </c>
      <c r="M1582" s="8">
        <v>0.15</v>
      </c>
      <c r="N1582" s="8">
        <v>0.1</v>
      </c>
      <c r="O1582" s="8">
        <v>30615</v>
      </c>
      <c r="P1582" s="8">
        <f t="shared" si="162"/>
        <v>27553.5</v>
      </c>
      <c r="Q1582" s="12">
        <f t="shared" si="163"/>
        <v>57862.350000000006</v>
      </c>
      <c r="R1582" s="31">
        <f t="shared" si="164"/>
        <v>57800</v>
      </c>
      <c r="T1582" s="8">
        <v>20210</v>
      </c>
      <c r="V1582" s="8">
        <f t="shared" si="165"/>
        <v>18189</v>
      </c>
      <c r="W1582" s="8">
        <f t="shared" si="166"/>
        <v>45472.5</v>
      </c>
    </row>
    <row r="1583" spans="1:23" ht="21.95" customHeight="1" x14ac:dyDescent="0.2">
      <c r="A1583" s="5" t="s">
        <v>17</v>
      </c>
      <c r="B1583" t="s">
        <v>1582</v>
      </c>
      <c r="C1583" t="s">
        <v>721</v>
      </c>
      <c r="D1583" s="6" t="s">
        <v>731</v>
      </c>
      <c r="E1583" s="6"/>
      <c r="K1583" s="7">
        <v>44005779</v>
      </c>
      <c r="L1583" s="5" t="str">
        <f t="shared" si="167"/>
        <v>AR MONACO KARYOLA BAZALI 180CM PANOSUZ</v>
      </c>
      <c r="M1583" s="8">
        <v>0.15</v>
      </c>
      <c r="N1583" s="8">
        <v>0.1</v>
      </c>
      <c r="O1583" s="8">
        <v>27065</v>
      </c>
      <c r="P1583" s="8">
        <f t="shared" si="162"/>
        <v>24358.5</v>
      </c>
      <c r="Q1583" s="12">
        <f t="shared" si="163"/>
        <v>51152.85</v>
      </c>
      <c r="R1583" s="31">
        <f t="shared" si="164"/>
        <v>51100</v>
      </c>
      <c r="T1583" s="8">
        <v>18930</v>
      </c>
      <c r="V1583" s="8">
        <f t="shared" si="165"/>
        <v>17037</v>
      </c>
      <c r="W1583" s="8">
        <f t="shared" si="166"/>
        <v>42592.5</v>
      </c>
    </row>
    <row r="1584" spans="1:23" ht="21.95" customHeight="1" x14ac:dyDescent="0.2">
      <c r="A1584" s="5" t="s">
        <v>17</v>
      </c>
      <c r="B1584" t="s">
        <v>1582</v>
      </c>
      <c r="C1584" t="s">
        <v>721</v>
      </c>
      <c r="D1584" s="6" t="s">
        <v>732</v>
      </c>
      <c r="E1584" s="6"/>
      <c r="K1584" s="7">
        <v>44005780</v>
      </c>
      <c r="L1584" s="5" t="str">
        <f t="shared" si="167"/>
        <v>AR MONACO KARYOLA İÇ KAYITLI 180CM PANOLU</v>
      </c>
      <c r="M1584" s="8">
        <v>0.15</v>
      </c>
      <c r="N1584" s="8">
        <v>0.1</v>
      </c>
      <c r="O1584" s="8">
        <v>26015</v>
      </c>
      <c r="P1584" s="8">
        <f t="shared" ref="P1584:P1647" si="168">O1584*(1-N1584)</f>
        <v>23413.5</v>
      </c>
      <c r="Q1584" s="12">
        <f t="shared" ref="Q1584:Q1647" si="169">O1584*(1-N1584)*2.1</f>
        <v>49168.35</v>
      </c>
      <c r="R1584" s="31">
        <f t="shared" ref="R1584:R1647" si="170">ROUNDDOWN(Q1584,-2)</f>
        <v>49100</v>
      </c>
      <c r="T1584" s="8">
        <v>17845</v>
      </c>
      <c r="V1584" s="8">
        <f t="shared" si="165"/>
        <v>16060.5</v>
      </c>
      <c r="W1584" s="8">
        <f t="shared" si="166"/>
        <v>40151.25</v>
      </c>
    </row>
    <row r="1585" spans="1:23" ht="21.95" customHeight="1" x14ac:dyDescent="0.2">
      <c r="A1585" s="5" t="s">
        <v>17</v>
      </c>
      <c r="B1585" t="s">
        <v>1582</v>
      </c>
      <c r="C1585" t="s">
        <v>721</v>
      </c>
      <c r="D1585" s="6" t="s">
        <v>733</v>
      </c>
      <c r="E1585" s="6"/>
      <c r="K1585" s="7">
        <v>44005781</v>
      </c>
      <c r="L1585" s="5" t="str">
        <f t="shared" si="167"/>
        <v>AR MONACO KARYOLA İÇ KAYITLI 180CM PANOSUZ</v>
      </c>
      <c r="M1585" s="8">
        <v>0.15</v>
      </c>
      <c r="N1585" s="8">
        <v>0.1</v>
      </c>
      <c r="O1585" s="8">
        <v>22465</v>
      </c>
      <c r="P1585" s="8">
        <f t="shared" si="168"/>
        <v>20218.5</v>
      </c>
      <c r="Q1585" s="12">
        <f t="shared" si="169"/>
        <v>42458.85</v>
      </c>
      <c r="R1585" s="31">
        <f t="shared" si="170"/>
        <v>42400</v>
      </c>
      <c r="T1585" s="8">
        <v>16905</v>
      </c>
      <c r="V1585" s="8">
        <f t="shared" si="165"/>
        <v>15214.5</v>
      </c>
      <c r="W1585" s="8">
        <f t="shared" si="166"/>
        <v>38036.25</v>
      </c>
    </row>
    <row r="1586" spans="1:23" ht="21.95" customHeight="1" x14ac:dyDescent="0.2">
      <c r="A1586" s="5" t="s">
        <v>17</v>
      </c>
      <c r="B1586" t="s">
        <v>1582</v>
      </c>
      <c r="C1586" t="s">
        <v>721</v>
      </c>
      <c r="D1586" s="6" t="s">
        <v>734</v>
      </c>
      <c r="E1586" s="6"/>
      <c r="K1586" s="7">
        <v>44005782</v>
      </c>
      <c r="L1586" s="5" t="str">
        <f t="shared" si="167"/>
        <v>AR MONACO KARYOLA PANOSU 2 ADET SAĞ-SOL</v>
      </c>
      <c r="M1586" s="8">
        <v>0.15</v>
      </c>
      <c r="N1586" s="8">
        <v>0.1</v>
      </c>
      <c r="O1586" s="8">
        <v>3550</v>
      </c>
      <c r="P1586" s="8">
        <f t="shared" si="168"/>
        <v>3195</v>
      </c>
      <c r="Q1586" s="12">
        <f t="shared" si="169"/>
        <v>6709.5</v>
      </c>
      <c r="R1586" s="31">
        <f t="shared" si="170"/>
        <v>6700</v>
      </c>
      <c r="T1586" s="8">
        <v>15765</v>
      </c>
      <c r="V1586" s="8">
        <f t="shared" si="165"/>
        <v>14188.5</v>
      </c>
      <c r="W1586" s="8">
        <f t="shared" si="166"/>
        <v>35471.25</v>
      </c>
    </row>
    <row r="1587" spans="1:23" ht="21.95" customHeight="1" x14ac:dyDescent="0.2">
      <c r="A1587" s="5" t="s">
        <v>17</v>
      </c>
      <c r="B1587" t="s">
        <v>1582</v>
      </c>
      <c r="C1587" t="s">
        <v>721</v>
      </c>
      <c r="D1587" s="6" t="s">
        <v>362</v>
      </c>
      <c r="E1587" s="6"/>
      <c r="K1587" s="7">
        <v>44005783</v>
      </c>
      <c r="L1587" s="5" t="str">
        <f t="shared" si="167"/>
        <v>AR MONACO KOMODİN</v>
      </c>
      <c r="M1587" s="8">
        <v>0.15</v>
      </c>
      <c r="N1587" s="8">
        <v>0.1</v>
      </c>
      <c r="O1587" s="8">
        <v>4265</v>
      </c>
      <c r="P1587" s="8">
        <f t="shared" si="168"/>
        <v>3838.5</v>
      </c>
      <c r="Q1587" s="12">
        <f t="shared" si="169"/>
        <v>8060.85</v>
      </c>
      <c r="R1587" s="31">
        <f t="shared" si="170"/>
        <v>8000</v>
      </c>
      <c r="T1587" s="8">
        <v>14820</v>
      </c>
      <c r="V1587" s="8">
        <f t="shared" si="165"/>
        <v>13338</v>
      </c>
      <c r="W1587" s="8">
        <f t="shared" si="166"/>
        <v>33345</v>
      </c>
    </row>
    <row r="1588" spans="1:23" ht="21.95" customHeight="1" x14ac:dyDescent="0.2">
      <c r="A1588" s="5" t="s">
        <v>17</v>
      </c>
      <c r="B1588" t="s">
        <v>1582</v>
      </c>
      <c r="C1588" t="s">
        <v>721</v>
      </c>
      <c r="D1588" s="6" t="s">
        <v>361</v>
      </c>
      <c r="E1588" s="6"/>
      <c r="K1588" s="7">
        <v>44005784</v>
      </c>
      <c r="L1588" s="5" t="str">
        <f t="shared" si="167"/>
        <v>AR MONACO DOLAP</v>
      </c>
      <c r="M1588" s="8">
        <v>0.15</v>
      </c>
      <c r="N1588" s="8">
        <v>0.1</v>
      </c>
      <c r="O1588" s="8">
        <v>32925</v>
      </c>
      <c r="P1588" s="8">
        <f t="shared" si="168"/>
        <v>29632.5</v>
      </c>
      <c r="Q1588" s="12">
        <f t="shared" si="169"/>
        <v>62228.25</v>
      </c>
      <c r="R1588" s="31">
        <f t="shared" si="170"/>
        <v>62200</v>
      </c>
      <c r="T1588" s="8">
        <v>27115</v>
      </c>
      <c r="V1588" s="8">
        <f t="shared" si="165"/>
        <v>24403.5</v>
      </c>
      <c r="W1588" s="8">
        <f t="shared" si="166"/>
        <v>61008.75</v>
      </c>
    </row>
    <row r="1589" spans="1:23" ht="21.95" customHeight="1" x14ac:dyDescent="0.2">
      <c r="A1589" s="5" t="s">
        <v>17</v>
      </c>
      <c r="B1589" t="s">
        <v>1582</v>
      </c>
      <c r="C1589" t="s">
        <v>721</v>
      </c>
      <c r="D1589" s="6" t="s">
        <v>595</v>
      </c>
      <c r="E1589" s="6"/>
      <c r="K1589" s="7">
        <v>44005785</v>
      </c>
      <c r="L1589" s="5" t="str">
        <f t="shared" si="167"/>
        <v>AR MONACO ŞİFONYER &amp; AYNASI</v>
      </c>
      <c r="M1589" s="8">
        <v>0.15</v>
      </c>
      <c r="N1589" s="8">
        <v>0.1</v>
      </c>
      <c r="O1589" s="8">
        <v>13475</v>
      </c>
      <c r="P1589" s="8">
        <f t="shared" si="168"/>
        <v>12127.5</v>
      </c>
      <c r="Q1589" s="12">
        <f t="shared" si="169"/>
        <v>25467.75</v>
      </c>
      <c r="R1589" s="31">
        <f t="shared" si="170"/>
        <v>25400</v>
      </c>
      <c r="T1589" s="8">
        <v>31715</v>
      </c>
      <c r="V1589" s="8">
        <f t="shared" si="165"/>
        <v>28543.5</v>
      </c>
      <c r="W1589" s="8">
        <f t="shared" si="166"/>
        <v>71358.75</v>
      </c>
    </row>
    <row r="1590" spans="1:23" ht="21.95" customHeight="1" x14ac:dyDescent="0.2">
      <c r="A1590" s="5" t="s">
        <v>17</v>
      </c>
      <c r="B1590" t="s">
        <v>1582</v>
      </c>
      <c r="C1590" t="s">
        <v>721</v>
      </c>
      <c r="D1590" s="6" t="s">
        <v>126</v>
      </c>
      <c r="E1590" s="6"/>
      <c r="K1590" s="7">
        <v>44005786</v>
      </c>
      <c r="L1590" s="5" t="str">
        <f t="shared" si="167"/>
        <v>AR MONACO ÇAMAŞIRLIK</v>
      </c>
      <c r="M1590" s="8">
        <v>0.15</v>
      </c>
      <c r="N1590" s="8">
        <v>0.1</v>
      </c>
      <c r="O1590" s="8">
        <v>8890</v>
      </c>
      <c r="P1590" s="8">
        <f t="shared" si="168"/>
        <v>8001</v>
      </c>
      <c r="Q1590" s="12">
        <f t="shared" si="169"/>
        <v>16802.100000000002</v>
      </c>
      <c r="R1590" s="31">
        <f t="shared" si="170"/>
        <v>16800</v>
      </c>
      <c r="T1590" s="8">
        <v>34215</v>
      </c>
      <c r="V1590" s="8">
        <f t="shared" si="165"/>
        <v>30793.5</v>
      </c>
      <c r="W1590" s="8">
        <f t="shared" si="166"/>
        <v>76983.75</v>
      </c>
    </row>
    <row r="1591" spans="1:23" ht="21.95" customHeight="1" x14ac:dyDescent="0.2">
      <c r="A1591" s="5" t="s">
        <v>17</v>
      </c>
      <c r="B1591" t="s">
        <v>1582</v>
      </c>
      <c r="C1591" t="s">
        <v>721</v>
      </c>
      <c r="D1591" s="6" t="s">
        <v>82</v>
      </c>
      <c r="E1591" s="6"/>
      <c r="K1591" s="7">
        <v>44005787</v>
      </c>
      <c r="L1591" s="5" t="str">
        <f t="shared" si="167"/>
        <v>AR MONACO BOY AYNASI</v>
      </c>
      <c r="M1591" s="8">
        <v>0.15</v>
      </c>
      <c r="N1591" s="8">
        <v>0.1</v>
      </c>
      <c r="O1591" s="8">
        <v>4305</v>
      </c>
      <c r="P1591" s="8">
        <f t="shared" si="168"/>
        <v>3874.5</v>
      </c>
      <c r="Q1591" s="12">
        <f t="shared" si="169"/>
        <v>8136.4500000000007</v>
      </c>
      <c r="R1591" s="31">
        <f t="shared" si="170"/>
        <v>8100</v>
      </c>
      <c r="T1591" s="8">
        <v>29615</v>
      </c>
      <c r="V1591" s="8">
        <f t="shared" si="165"/>
        <v>26653.5</v>
      </c>
      <c r="W1591" s="8">
        <f t="shared" si="166"/>
        <v>66633.75</v>
      </c>
    </row>
    <row r="1592" spans="1:23" ht="21.95" customHeight="1" x14ac:dyDescent="0.2">
      <c r="A1592" s="5" t="s">
        <v>17</v>
      </c>
      <c r="B1592" t="s">
        <v>1582</v>
      </c>
      <c r="C1592" t="s">
        <v>721</v>
      </c>
      <c r="D1592" s="6" t="s">
        <v>119</v>
      </c>
      <c r="E1592" s="6"/>
      <c r="K1592" s="7">
        <v>44005788</v>
      </c>
      <c r="L1592" s="5" t="str">
        <f t="shared" si="167"/>
        <v>AR MONACO PUF</v>
      </c>
      <c r="M1592" s="8">
        <v>0.15</v>
      </c>
      <c r="N1592" s="8">
        <v>0.1</v>
      </c>
      <c r="O1592" s="8">
        <v>2990</v>
      </c>
      <c r="P1592" s="8">
        <f t="shared" si="168"/>
        <v>2691</v>
      </c>
      <c r="Q1592" s="12">
        <f t="shared" si="169"/>
        <v>5651.1</v>
      </c>
      <c r="R1592" s="31">
        <f t="shared" si="170"/>
        <v>5600</v>
      </c>
      <c r="T1592" s="8">
        <v>8495</v>
      </c>
      <c r="V1592" s="8">
        <f t="shared" si="165"/>
        <v>7645.5</v>
      </c>
      <c r="W1592" s="8">
        <f t="shared" si="166"/>
        <v>19113.75</v>
      </c>
    </row>
    <row r="1593" spans="1:23" ht="21.95" customHeight="1" x14ac:dyDescent="0.2">
      <c r="A1593" s="5" t="s">
        <v>17</v>
      </c>
      <c r="B1593" t="s">
        <v>1582</v>
      </c>
      <c r="C1593" t="s">
        <v>735</v>
      </c>
      <c r="D1593" s="6" t="s">
        <v>194</v>
      </c>
      <c r="E1593" s="6"/>
      <c r="K1593" s="7">
        <v>44005789</v>
      </c>
      <c r="L1593" s="5" t="str">
        <f t="shared" si="167"/>
        <v xml:space="preserve">AR PARMA KONSOL </v>
      </c>
      <c r="M1593" s="8">
        <v>0.15</v>
      </c>
      <c r="N1593" s="8">
        <v>0.1</v>
      </c>
      <c r="O1593" s="8">
        <v>36615</v>
      </c>
      <c r="P1593" s="8">
        <f t="shared" si="168"/>
        <v>32953.5</v>
      </c>
      <c r="Q1593" s="12">
        <f t="shared" si="169"/>
        <v>69202.350000000006</v>
      </c>
      <c r="R1593" s="31">
        <f t="shared" si="170"/>
        <v>69200</v>
      </c>
      <c r="T1593" s="8">
        <v>40245</v>
      </c>
      <c r="V1593" s="8">
        <f t="shared" si="165"/>
        <v>36220.5</v>
      </c>
      <c r="W1593" s="8">
        <f t="shared" si="166"/>
        <v>90551.25</v>
      </c>
    </row>
    <row r="1594" spans="1:23" ht="21.95" customHeight="1" x14ac:dyDescent="0.2">
      <c r="A1594" s="5" t="s">
        <v>17</v>
      </c>
      <c r="B1594" t="s">
        <v>1582</v>
      </c>
      <c r="C1594" t="s">
        <v>735</v>
      </c>
      <c r="D1594" s="6" t="s">
        <v>21</v>
      </c>
      <c r="E1594" s="6"/>
      <c r="K1594" s="7">
        <v>44005790</v>
      </c>
      <c r="L1594" s="5" t="str">
        <f t="shared" si="167"/>
        <v>AR PARMA KONSOL AYNASI</v>
      </c>
      <c r="M1594" s="8">
        <v>0.15</v>
      </c>
      <c r="N1594" s="8">
        <v>0.1</v>
      </c>
      <c r="O1594" s="8">
        <v>5523</v>
      </c>
      <c r="P1594" s="8">
        <f t="shared" si="168"/>
        <v>4970.7</v>
      </c>
      <c r="Q1594" s="12">
        <f t="shared" si="169"/>
        <v>10438.469999999999</v>
      </c>
      <c r="R1594" s="31">
        <f t="shared" si="170"/>
        <v>10400</v>
      </c>
      <c r="T1594" s="8">
        <v>25215</v>
      </c>
      <c r="V1594" s="8">
        <f t="shared" si="165"/>
        <v>22693.5</v>
      </c>
      <c r="W1594" s="8">
        <f t="shared" si="166"/>
        <v>56733.75</v>
      </c>
    </row>
    <row r="1595" spans="1:23" ht="21.95" customHeight="1" x14ac:dyDescent="0.2">
      <c r="A1595" s="5" t="s">
        <v>17</v>
      </c>
      <c r="B1595" t="s">
        <v>1582</v>
      </c>
      <c r="C1595" t="s">
        <v>735</v>
      </c>
      <c r="D1595" s="6" t="s">
        <v>599</v>
      </c>
      <c r="E1595" s="6"/>
      <c r="K1595" s="7">
        <v>44005791</v>
      </c>
      <c r="L1595" s="5" t="str">
        <f t="shared" si="167"/>
        <v>AR PARMA MASA 210CM</v>
      </c>
      <c r="M1595" s="8">
        <v>0.15</v>
      </c>
      <c r="N1595" s="8">
        <v>0.1</v>
      </c>
      <c r="O1595" s="8">
        <v>25950</v>
      </c>
      <c r="P1595" s="8">
        <f t="shared" si="168"/>
        <v>23355</v>
      </c>
      <c r="Q1595" s="12">
        <f t="shared" si="169"/>
        <v>49045.5</v>
      </c>
      <c r="R1595" s="31">
        <f t="shared" si="170"/>
        <v>49000</v>
      </c>
      <c r="T1595" s="8">
        <v>10695</v>
      </c>
      <c r="V1595" s="8">
        <f t="shared" si="165"/>
        <v>9625.5</v>
      </c>
      <c r="W1595" s="8">
        <f t="shared" si="166"/>
        <v>24063.75</v>
      </c>
    </row>
    <row r="1596" spans="1:23" ht="21.95" customHeight="1" x14ac:dyDescent="0.2">
      <c r="A1596" s="5" t="s">
        <v>17</v>
      </c>
      <c r="B1596" t="s">
        <v>1582</v>
      </c>
      <c r="C1596" t="s">
        <v>735</v>
      </c>
      <c r="D1596" s="6" t="s">
        <v>587</v>
      </c>
      <c r="E1596" s="6"/>
      <c r="K1596" s="7">
        <v>44005792</v>
      </c>
      <c r="L1596" s="5" t="str">
        <f t="shared" si="167"/>
        <v>AR PARMA MASA 180CM</v>
      </c>
      <c r="M1596" s="8">
        <v>0.15</v>
      </c>
      <c r="N1596" s="8">
        <v>0.1</v>
      </c>
      <c r="O1596" s="8">
        <v>33735</v>
      </c>
      <c r="P1596" s="8">
        <f t="shared" si="168"/>
        <v>30361.5</v>
      </c>
      <c r="Q1596" s="12">
        <f t="shared" si="169"/>
        <v>63759.15</v>
      </c>
      <c r="R1596" s="31">
        <f t="shared" si="170"/>
        <v>63700</v>
      </c>
      <c r="T1596" s="8">
        <v>4775</v>
      </c>
      <c r="V1596" s="8">
        <f t="shared" si="165"/>
        <v>4297.5</v>
      </c>
      <c r="W1596" s="8">
        <f t="shared" si="166"/>
        <v>10743.75</v>
      </c>
    </row>
    <row r="1597" spans="1:23" ht="21.95" customHeight="1" x14ac:dyDescent="0.2">
      <c r="A1597" s="5" t="s">
        <v>17</v>
      </c>
      <c r="B1597" t="s">
        <v>1582</v>
      </c>
      <c r="C1597" t="s">
        <v>735</v>
      </c>
      <c r="D1597" s="6" t="s">
        <v>24</v>
      </c>
      <c r="E1597" s="6"/>
      <c r="K1597" s="7">
        <v>44005793</v>
      </c>
      <c r="L1597" s="5" t="str">
        <f t="shared" si="167"/>
        <v>AR PARMA MASA 240CM</v>
      </c>
      <c r="M1597" s="8">
        <v>0.15</v>
      </c>
      <c r="N1597" s="8">
        <v>0.1</v>
      </c>
      <c r="O1597" s="8">
        <v>38554</v>
      </c>
      <c r="P1597" s="8">
        <f t="shared" si="168"/>
        <v>34698.6</v>
      </c>
      <c r="Q1597" s="12">
        <f t="shared" si="169"/>
        <v>72867.06</v>
      </c>
      <c r="R1597" s="31">
        <f t="shared" si="170"/>
        <v>72800</v>
      </c>
      <c r="T1597" s="8">
        <v>6870</v>
      </c>
      <c r="V1597" s="8">
        <f t="shared" si="165"/>
        <v>6183</v>
      </c>
      <c r="W1597" s="8">
        <f t="shared" si="166"/>
        <v>15457.5</v>
      </c>
    </row>
    <row r="1598" spans="1:23" ht="21.95" customHeight="1" x14ac:dyDescent="0.2">
      <c r="A1598" s="5" t="s">
        <v>17</v>
      </c>
      <c r="B1598" t="s">
        <v>1582</v>
      </c>
      <c r="C1598" t="s">
        <v>735</v>
      </c>
      <c r="D1598" s="6" t="s">
        <v>25</v>
      </c>
      <c r="E1598" s="6"/>
      <c r="K1598" s="7">
        <v>44005794</v>
      </c>
      <c r="L1598" s="5" t="str">
        <f t="shared" si="167"/>
        <v>AR PARMA SANDALYE</v>
      </c>
      <c r="M1598" s="8">
        <v>0.15</v>
      </c>
      <c r="N1598" s="8">
        <v>0.1</v>
      </c>
      <c r="O1598" s="8">
        <v>3837</v>
      </c>
      <c r="P1598" s="8">
        <f t="shared" si="168"/>
        <v>3453.3</v>
      </c>
      <c r="Q1598" s="12">
        <f t="shared" si="169"/>
        <v>7251.93</v>
      </c>
      <c r="R1598" s="31">
        <f t="shared" si="170"/>
        <v>7200</v>
      </c>
      <c r="T1598" s="8">
        <v>38875</v>
      </c>
      <c r="V1598" s="8">
        <f t="shared" si="165"/>
        <v>34987.5</v>
      </c>
      <c r="W1598" s="8">
        <f t="shared" si="166"/>
        <v>87468.75</v>
      </c>
    </row>
    <row r="1599" spans="1:23" ht="21.95" customHeight="1" x14ac:dyDescent="0.2">
      <c r="A1599" s="5" t="s">
        <v>17</v>
      </c>
      <c r="B1599" t="s">
        <v>1582</v>
      </c>
      <c r="C1599" t="s">
        <v>735</v>
      </c>
      <c r="D1599" s="6" t="s">
        <v>103</v>
      </c>
      <c r="E1599" s="6"/>
      <c r="K1599" s="7">
        <v>44005795</v>
      </c>
      <c r="L1599" s="5" t="str">
        <f t="shared" si="167"/>
        <v>AR PARMA TV ÜNİTESİ ÜST MODÜL</v>
      </c>
      <c r="M1599" s="8">
        <v>0.15</v>
      </c>
      <c r="N1599" s="8">
        <v>0.1</v>
      </c>
      <c r="O1599" s="8">
        <v>4370</v>
      </c>
      <c r="P1599" s="8">
        <f t="shared" si="168"/>
        <v>3933</v>
      </c>
      <c r="Q1599" s="12">
        <f t="shared" si="169"/>
        <v>8259.3000000000011</v>
      </c>
      <c r="R1599" s="31">
        <f t="shared" si="170"/>
        <v>8200</v>
      </c>
      <c r="T1599" s="8">
        <v>34555</v>
      </c>
      <c r="V1599" s="8">
        <f t="shared" si="165"/>
        <v>31099.5</v>
      </c>
      <c r="W1599" s="8">
        <f t="shared" si="166"/>
        <v>77748.75</v>
      </c>
    </row>
    <row r="1600" spans="1:23" ht="21.95" customHeight="1" x14ac:dyDescent="0.2">
      <c r="A1600" s="5" t="s">
        <v>17</v>
      </c>
      <c r="B1600" t="s">
        <v>1582</v>
      </c>
      <c r="C1600" t="s">
        <v>735</v>
      </c>
      <c r="D1600" s="6" t="s">
        <v>496</v>
      </c>
      <c r="E1600" s="6"/>
      <c r="K1600" s="7">
        <v>44005796</v>
      </c>
      <c r="L1600" s="5" t="str">
        <f t="shared" si="167"/>
        <v>AR PARMA TV ÜNİTESİ ALT MODÜL</v>
      </c>
      <c r="M1600" s="8">
        <v>0.15</v>
      </c>
      <c r="N1600" s="8">
        <v>0.1</v>
      </c>
      <c r="O1600" s="8">
        <v>30645</v>
      </c>
      <c r="P1600" s="8">
        <f t="shared" si="168"/>
        <v>27580.5</v>
      </c>
      <c r="Q1600" s="12">
        <f t="shared" si="169"/>
        <v>57919.05</v>
      </c>
      <c r="R1600" s="31">
        <f t="shared" si="170"/>
        <v>57900</v>
      </c>
      <c r="T1600" s="8">
        <v>14050</v>
      </c>
      <c r="V1600" s="8">
        <f t="shared" si="165"/>
        <v>12645</v>
      </c>
      <c r="W1600" s="8">
        <f t="shared" si="166"/>
        <v>31612.5</v>
      </c>
    </row>
    <row r="1601" spans="1:23" ht="21.95" customHeight="1" x14ac:dyDescent="0.2">
      <c r="A1601" s="5" t="s">
        <v>17</v>
      </c>
      <c r="B1601" t="s">
        <v>1582</v>
      </c>
      <c r="C1601" t="s">
        <v>735</v>
      </c>
      <c r="D1601" s="6" t="s">
        <v>29</v>
      </c>
      <c r="E1601" s="6"/>
      <c r="K1601" s="7">
        <v>44005797</v>
      </c>
      <c r="L1601" s="5" t="str">
        <f t="shared" si="167"/>
        <v>AR PARMA ORTA SEHPA</v>
      </c>
      <c r="M1601" s="8">
        <v>0.15</v>
      </c>
      <c r="N1601" s="8">
        <v>0.1</v>
      </c>
      <c r="O1601" s="8">
        <v>18715</v>
      </c>
      <c r="P1601" s="8">
        <f t="shared" si="168"/>
        <v>16843.5</v>
      </c>
      <c r="Q1601" s="12">
        <f t="shared" si="169"/>
        <v>35371.35</v>
      </c>
      <c r="R1601" s="31">
        <f t="shared" si="170"/>
        <v>35300</v>
      </c>
      <c r="T1601" s="8">
        <v>14945</v>
      </c>
      <c r="V1601" s="8">
        <f t="shared" si="165"/>
        <v>13450.5</v>
      </c>
      <c r="W1601" s="8">
        <f t="shared" si="166"/>
        <v>33626.25</v>
      </c>
    </row>
    <row r="1602" spans="1:23" ht="21.95" customHeight="1" x14ac:dyDescent="0.2">
      <c r="A1602" s="5" t="s">
        <v>17</v>
      </c>
      <c r="B1602" t="s">
        <v>1582</v>
      </c>
      <c r="C1602" t="s">
        <v>735</v>
      </c>
      <c r="D1602" s="6" t="s">
        <v>30</v>
      </c>
      <c r="E1602" s="6"/>
      <c r="K1602" s="7">
        <v>44005798</v>
      </c>
      <c r="L1602" s="5" t="str">
        <f t="shared" si="167"/>
        <v>AR PARMA YAN SEHPA</v>
      </c>
      <c r="M1602" s="8">
        <v>0.15</v>
      </c>
      <c r="N1602" s="8">
        <v>0.1</v>
      </c>
      <c r="O1602" s="8">
        <v>9065</v>
      </c>
      <c r="P1602" s="8">
        <f t="shared" si="168"/>
        <v>8158.5</v>
      </c>
      <c r="Q1602" s="12">
        <f t="shared" si="169"/>
        <v>17132.850000000002</v>
      </c>
      <c r="R1602" s="31">
        <f t="shared" si="170"/>
        <v>17100</v>
      </c>
      <c r="T1602" s="8">
        <v>15060</v>
      </c>
      <c r="V1602" s="8">
        <f t="shared" ref="V1602:V1665" si="171">T1602*0.9</f>
        <v>13554</v>
      </c>
      <c r="W1602" s="8">
        <f t="shared" ref="W1602:W1665" si="172">V1602*2.5</f>
        <v>33885</v>
      </c>
    </row>
    <row r="1603" spans="1:23" ht="21.95" customHeight="1" x14ac:dyDescent="0.2">
      <c r="A1603" s="5" t="s">
        <v>17</v>
      </c>
      <c r="B1603" t="s">
        <v>1582</v>
      </c>
      <c r="C1603" t="s">
        <v>735</v>
      </c>
      <c r="D1603" s="6" t="s">
        <v>31</v>
      </c>
      <c r="E1603" s="6"/>
      <c r="K1603" s="7">
        <v>44005799</v>
      </c>
      <c r="L1603" s="5" t="str">
        <f t="shared" si="167"/>
        <v>AR PARMA KOLTUK 4 LÜ</v>
      </c>
      <c r="M1603" s="8">
        <v>0.15</v>
      </c>
      <c r="N1603" s="8">
        <v>0.1</v>
      </c>
      <c r="O1603" s="8">
        <v>33690</v>
      </c>
      <c r="P1603" s="8">
        <f t="shared" si="168"/>
        <v>30321</v>
      </c>
      <c r="Q1603" s="12">
        <f t="shared" si="169"/>
        <v>63674.100000000006</v>
      </c>
      <c r="R1603" s="31">
        <f t="shared" si="170"/>
        <v>63600</v>
      </c>
      <c r="T1603" s="8">
        <v>15680</v>
      </c>
      <c r="V1603" s="8">
        <f t="shared" si="171"/>
        <v>14112</v>
      </c>
      <c r="W1603" s="8">
        <f t="shared" si="172"/>
        <v>35280</v>
      </c>
    </row>
    <row r="1604" spans="1:23" ht="21.95" customHeight="1" x14ac:dyDescent="0.2">
      <c r="A1604" s="5" t="s">
        <v>17</v>
      </c>
      <c r="B1604" t="s">
        <v>1582</v>
      </c>
      <c r="C1604" t="s">
        <v>735</v>
      </c>
      <c r="D1604" s="6" t="s">
        <v>32</v>
      </c>
      <c r="E1604" s="6"/>
      <c r="K1604" s="7">
        <v>44005800</v>
      </c>
      <c r="L1604" s="5" t="str">
        <f t="shared" si="167"/>
        <v>AR PARMA KOLTUK 3 LÜ</v>
      </c>
      <c r="M1604" s="8">
        <v>0.15</v>
      </c>
      <c r="N1604" s="8">
        <v>0.1</v>
      </c>
      <c r="O1604" s="8">
        <v>30255</v>
      </c>
      <c r="P1604" s="8">
        <f t="shared" si="168"/>
        <v>27229.5</v>
      </c>
      <c r="Q1604" s="12">
        <f t="shared" si="169"/>
        <v>57181.950000000004</v>
      </c>
      <c r="R1604" s="31">
        <f t="shared" si="170"/>
        <v>57100</v>
      </c>
      <c r="T1604" s="8">
        <v>10900</v>
      </c>
      <c r="V1604" s="8">
        <f t="shared" si="171"/>
        <v>9810</v>
      </c>
      <c r="W1604" s="8">
        <f t="shared" si="172"/>
        <v>24525</v>
      </c>
    </row>
    <row r="1605" spans="1:23" ht="21.95" customHeight="1" x14ac:dyDescent="0.2">
      <c r="A1605" s="5" t="s">
        <v>17</v>
      </c>
      <c r="B1605" t="s">
        <v>1582</v>
      </c>
      <c r="C1605" t="s">
        <v>735</v>
      </c>
      <c r="D1605" s="6" t="s">
        <v>592</v>
      </c>
      <c r="E1605" s="6"/>
      <c r="K1605" s="7">
        <v>44005801</v>
      </c>
      <c r="L1605" s="5" t="str">
        <f t="shared" si="167"/>
        <v>AR PARMA KOLTUK TEKLİ</v>
      </c>
      <c r="M1605" s="8">
        <v>0.15</v>
      </c>
      <c r="N1605" s="8">
        <v>0.1</v>
      </c>
      <c r="O1605" s="8">
        <v>13070</v>
      </c>
      <c r="P1605" s="8">
        <f t="shared" si="168"/>
        <v>11763</v>
      </c>
      <c r="Q1605" s="12">
        <f t="shared" si="169"/>
        <v>24702.3</v>
      </c>
      <c r="R1605" s="31">
        <f t="shared" si="170"/>
        <v>24700</v>
      </c>
      <c r="T1605" s="8">
        <v>25790</v>
      </c>
      <c r="V1605" s="8">
        <f t="shared" si="171"/>
        <v>23211</v>
      </c>
      <c r="W1605" s="8">
        <f t="shared" si="172"/>
        <v>58027.5</v>
      </c>
    </row>
    <row r="1606" spans="1:23" ht="21.95" customHeight="1" x14ac:dyDescent="0.2">
      <c r="A1606" s="5" t="s">
        <v>17</v>
      </c>
      <c r="B1606" t="s">
        <v>1582</v>
      </c>
      <c r="C1606" t="s">
        <v>735</v>
      </c>
      <c r="D1606" s="6" t="s">
        <v>593</v>
      </c>
      <c r="E1606" s="6"/>
      <c r="K1606" s="7">
        <v>44005802</v>
      </c>
      <c r="L1606" s="5" t="str">
        <f t="shared" si="167"/>
        <v>AR PARMA KARYOLA İÇ KAYITLI 160CM</v>
      </c>
      <c r="M1606" s="8">
        <v>0.15</v>
      </c>
      <c r="N1606" s="8">
        <v>0.1</v>
      </c>
      <c r="O1606" s="8">
        <v>20215</v>
      </c>
      <c r="P1606" s="8">
        <f t="shared" si="168"/>
        <v>18193.5</v>
      </c>
      <c r="Q1606" s="12">
        <f t="shared" si="169"/>
        <v>38206.35</v>
      </c>
      <c r="R1606" s="31">
        <f t="shared" si="170"/>
        <v>38200</v>
      </c>
      <c r="T1606" s="8">
        <v>25140</v>
      </c>
      <c r="V1606" s="8">
        <f t="shared" si="171"/>
        <v>22626</v>
      </c>
      <c r="W1606" s="8">
        <f t="shared" si="172"/>
        <v>56565</v>
      </c>
    </row>
    <row r="1607" spans="1:23" ht="21.95" customHeight="1" x14ac:dyDescent="0.2">
      <c r="A1607" s="5" t="s">
        <v>17</v>
      </c>
      <c r="B1607" t="s">
        <v>1582</v>
      </c>
      <c r="C1607" t="s">
        <v>735</v>
      </c>
      <c r="D1607" s="6" t="s">
        <v>75</v>
      </c>
      <c r="E1607" s="6"/>
      <c r="K1607" s="7">
        <v>44005803</v>
      </c>
      <c r="L1607" s="5" t="str">
        <f t="shared" si="167"/>
        <v>AR PARMA KARYOLA BAZALI 160CM</v>
      </c>
      <c r="M1607" s="8">
        <v>0.15</v>
      </c>
      <c r="N1607" s="8">
        <v>0.1</v>
      </c>
      <c r="O1607" s="8">
        <v>24815</v>
      </c>
      <c r="P1607" s="8">
        <f t="shared" si="168"/>
        <v>22333.5</v>
      </c>
      <c r="Q1607" s="12">
        <f t="shared" si="169"/>
        <v>46900.35</v>
      </c>
      <c r="R1607" s="31">
        <f t="shared" si="170"/>
        <v>46900</v>
      </c>
      <c r="T1607" s="8">
        <v>5306</v>
      </c>
      <c r="V1607" s="8">
        <f t="shared" si="171"/>
        <v>4775.4000000000005</v>
      </c>
      <c r="W1607" s="8">
        <f t="shared" si="172"/>
        <v>11938.500000000002</v>
      </c>
    </row>
    <row r="1608" spans="1:23" ht="21.95" customHeight="1" x14ac:dyDescent="0.2">
      <c r="A1608" s="5" t="s">
        <v>17</v>
      </c>
      <c r="B1608" t="s">
        <v>1582</v>
      </c>
      <c r="C1608" t="s">
        <v>735</v>
      </c>
      <c r="D1608" s="6" t="s">
        <v>76</v>
      </c>
      <c r="E1608" s="6"/>
      <c r="K1608" s="7">
        <v>44005804</v>
      </c>
      <c r="L1608" s="5" t="str">
        <f t="shared" si="167"/>
        <v>AR PARMA KARYOLA BAZALI 180CM</v>
      </c>
      <c r="M1608" s="8">
        <v>0.15</v>
      </c>
      <c r="N1608" s="8">
        <v>0.1</v>
      </c>
      <c r="O1608" s="8">
        <v>27315</v>
      </c>
      <c r="P1608" s="8">
        <f t="shared" si="168"/>
        <v>24583.5</v>
      </c>
      <c r="Q1608" s="12">
        <f t="shared" si="169"/>
        <v>51625.350000000006</v>
      </c>
      <c r="R1608" s="31">
        <f t="shared" si="170"/>
        <v>51600</v>
      </c>
      <c r="T1608" s="8">
        <v>21710</v>
      </c>
      <c r="V1608" s="8">
        <f t="shared" si="171"/>
        <v>19539</v>
      </c>
      <c r="W1608" s="8">
        <f t="shared" si="172"/>
        <v>48847.5</v>
      </c>
    </row>
    <row r="1609" spans="1:23" ht="21.95" customHeight="1" x14ac:dyDescent="0.2">
      <c r="A1609" s="5" t="s">
        <v>17</v>
      </c>
      <c r="B1609" t="s">
        <v>1582</v>
      </c>
      <c r="C1609" t="s">
        <v>735</v>
      </c>
      <c r="D1609" s="6" t="s">
        <v>594</v>
      </c>
      <c r="E1609" s="6"/>
      <c r="K1609" s="7">
        <v>44005805</v>
      </c>
      <c r="L1609" s="5" t="str">
        <f t="shared" si="167"/>
        <v>AR PARMA KARYOLA İÇ KAYITLI 180CM</v>
      </c>
      <c r="M1609" s="8">
        <v>0.15</v>
      </c>
      <c r="N1609" s="8">
        <v>0.1</v>
      </c>
      <c r="O1609" s="8">
        <v>22715</v>
      </c>
      <c r="P1609" s="8">
        <f t="shared" si="168"/>
        <v>20443.5</v>
      </c>
      <c r="Q1609" s="12">
        <f t="shared" si="169"/>
        <v>42931.35</v>
      </c>
      <c r="R1609" s="31">
        <f t="shared" si="170"/>
        <v>42900</v>
      </c>
      <c r="T1609" s="8">
        <v>28223</v>
      </c>
      <c r="V1609" s="8">
        <f t="shared" si="171"/>
        <v>25400.7</v>
      </c>
      <c r="W1609" s="8">
        <f t="shared" si="172"/>
        <v>63501.75</v>
      </c>
    </row>
    <row r="1610" spans="1:23" ht="21.95" customHeight="1" x14ac:dyDescent="0.2">
      <c r="A1610" s="5" t="s">
        <v>17</v>
      </c>
      <c r="B1610" t="s">
        <v>1582</v>
      </c>
      <c r="C1610" t="s">
        <v>735</v>
      </c>
      <c r="D1610" s="6" t="s">
        <v>362</v>
      </c>
      <c r="E1610" s="6"/>
      <c r="K1610" s="7">
        <v>44005806</v>
      </c>
      <c r="L1610" s="5" t="str">
        <f t="shared" si="167"/>
        <v>AR PARMA KOMODİN</v>
      </c>
      <c r="M1610" s="8">
        <v>0.15</v>
      </c>
      <c r="N1610" s="8">
        <v>0.1</v>
      </c>
      <c r="O1610" s="8">
        <v>9135</v>
      </c>
      <c r="P1610" s="8">
        <f t="shared" si="168"/>
        <v>8221.5</v>
      </c>
      <c r="Q1610" s="12">
        <f t="shared" si="169"/>
        <v>17265.150000000001</v>
      </c>
      <c r="R1610" s="31">
        <f t="shared" si="170"/>
        <v>17200</v>
      </c>
      <c r="T1610" s="8">
        <v>32255</v>
      </c>
      <c r="V1610" s="8">
        <f t="shared" si="171"/>
        <v>29029.5</v>
      </c>
      <c r="W1610" s="8">
        <f t="shared" si="172"/>
        <v>72573.75</v>
      </c>
    </row>
    <row r="1611" spans="1:23" ht="21.95" customHeight="1" x14ac:dyDescent="0.2">
      <c r="A1611" s="5" t="s">
        <v>17</v>
      </c>
      <c r="B1611" t="s">
        <v>1582</v>
      </c>
      <c r="C1611" t="s">
        <v>735</v>
      </c>
      <c r="D1611" s="6" t="s">
        <v>379</v>
      </c>
      <c r="E1611" s="6"/>
      <c r="K1611" s="7">
        <v>44005807</v>
      </c>
      <c r="L1611" s="5" t="str">
        <f t="shared" si="167"/>
        <v>AR PARMA DOLAP 6 KAPAKLI</v>
      </c>
      <c r="M1611" s="8">
        <v>0.15</v>
      </c>
      <c r="N1611" s="8">
        <v>0.1</v>
      </c>
      <c r="O1611" s="8">
        <v>41140</v>
      </c>
      <c r="P1611" s="8">
        <f t="shared" si="168"/>
        <v>37026</v>
      </c>
      <c r="Q1611" s="12">
        <f t="shared" si="169"/>
        <v>77754.600000000006</v>
      </c>
      <c r="R1611" s="31">
        <f t="shared" si="170"/>
        <v>77700</v>
      </c>
      <c r="T1611" s="8">
        <v>7244</v>
      </c>
      <c r="V1611" s="8">
        <f t="shared" si="171"/>
        <v>6519.6</v>
      </c>
      <c r="W1611" s="8">
        <f t="shared" si="172"/>
        <v>16299</v>
      </c>
    </row>
    <row r="1612" spans="1:23" ht="21.95" customHeight="1" x14ac:dyDescent="0.2">
      <c r="A1612" s="5" t="s">
        <v>17</v>
      </c>
      <c r="B1612" t="s">
        <v>1582</v>
      </c>
      <c r="C1612" t="s">
        <v>735</v>
      </c>
      <c r="D1612" s="6" t="s">
        <v>595</v>
      </c>
      <c r="E1612" s="6"/>
      <c r="K1612" s="7">
        <v>44005808</v>
      </c>
      <c r="L1612" s="5" t="str">
        <f t="shared" si="167"/>
        <v>AR PARMA ŞİFONYER &amp; AYNASI</v>
      </c>
      <c r="M1612" s="8">
        <v>0.15</v>
      </c>
      <c r="N1612" s="8">
        <v>0.1</v>
      </c>
      <c r="O1612" s="8">
        <v>24180</v>
      </c>
      <c r="P1612" s="8">
        <f t="shared" si="168"/>
        <v>21762</v>
      </c>
      <c r="Q1612" s="12">
        <f t="shared" si="169"/>
        <v>45700.200000000004</v>
      </c>
      <c r="R1612" s="31">
        <f t="shared" si="170"/>
        <v>45700</v>
      </c>
      <c r="T1612" s="8">
        <v>21680</v>
      </c>
      <c r="V1612" s="8">
        <f t="shared" si="171"/>
        <v>19512</v>
      </c>
      <c r="W1612" s="8">
        <f t="shared" si="172"/>
        <v>48780</v>
      </c>
    </row>
    <row r="1613" spans="1:23" ht="21.95" customHeight="1" x14ac:dyDescent="0.2">
      <c r="A1613" s="5" t="s">
        <v>17</v>
      </c>
      <c r="B1613" t="s">
        <v>1582</v>
      </c>
      <c r="C1613" t="s">
        <v>735</v>
      </c>
      <c r="D1613" s="6" t="s">
        <v>126</v>
      </c>
      <c r="E1613" s="6"/>
      <c r="K1613" s="7">
        <v>44005809</v>
      </c>
      <c r="L1613" s="5" t="str">
        <f t="shared" si="167"/>
        <v>AR PARMA ÇAMAŞIRLIK</v>
      </c>
      <c r="M1613" s="8">
        <v>0.15</v>
      </c>
      <c r="N1613" s="8">
        <v>0.1</v>
      </c>
      <c r="O1613" s="8">
        <v>13480</v>
      </c>
      <c r="P1613" s="8">
        <f t="shared" si="168"/>
        <v>12132</v>
      </c>
      <c r="Q1613" s="12">
        <f t="shared" si="169"/>
        <v>25477.200000000001</v>
      </c>
      <c r="R1613" s="31">
        <f t="shared" si="170"/>
        <v>25400</v>
      </c>
      <c r="T1613" s="8">
        <v>11800</v>
      </c>
      <c r="V1613" s="8">
        <f t="shared" si="171"/>
        <v>10620</v>
      </c>
      <c r="W1613" s="8">
        <f t="shared" si="172"/>
        <v>26550</v>
      </c>
    </row>
    <row r="1614" spans="1:23" ht="21.95" customHeight="1" x14ac:dyDescent="0.2">
      <c r="A1614" s="5" t="s">
        <v>17</v>
      </c>
      <c r="B1614" t="s">
        <v>1582</v>
      </c>
      <c r="C1614" t="s">
        <v>735</v>
      </c>
      <c r="D1614" s="6" t="s">
        <v>82</v>
      </c>
      <c r="E1614" s="6"/>
      <c r="K1614" s="7">
        <v>44005810</v>
      </c>
      <c r="L1614" s="5" t="str">
        <f t="shared" si="167"/>
        <v>AR PARMA BOY AYNASI</v>
      </c>
      <c r="M1614" s="8">
        <v>0.15</v>
      </c>
      <c r="N1614" s="8">
        <v>0.1</v>
      </c>
      <c r="O1614" s="8">
        <v>4305</v>
      </c>
      <c r="P1614" s="8">
        <f t="shared" si="168"/>
        <v>3874.5</v>
      </c>
      <c r="Q1614" s="12">
        <f t="shared" si="169"/>
        <v>8136.4500000000007</v>
      </c>
      <c r="R1614" s="31">
        <f t="shared" si="170"/>
        <v>8100</v>
      </c>
      <c r="T1614" s="8">
        <v>6365</v>
      </c>
      <c r="V1614" s="8">
        <f t="shared" si="171"/>
        <v>5728.5</v>
      </c>
      <c r="W1614" s="8">
        <f t="shared" si="172"/>
        <v>14321.25</v>
      </c>
    </row>
    <row r="1615" spans="1:23" ht="21.95" customHeight="1" x14ac:dyDescent="0.2">
      <c r="A1615" s="5" t="s">
        <v>17</v>
      </c>
      <c r="B1615" t="s">
        <v>1582</v>
      </c>
      <c r="C1615" t="s">
        <v>735</v>
      </c>
      <c r="D1615" s="6" t="s">
        <v>119</v>
      </c>
      <c r="E1615" s="6"/>
      <c r="K1615" s="7">
        <v>44005811</v>
      </c>
      <c r="L1615" s="5" t="str">
        <f t="shared" si="167"/>
        <v>AR PARMA PUF</v>
      </c>
      <c r="M1615" s="8">
        <v>0.15</v>
      </c>
      <c r="N1615" s="8">
        <v>0.1</v>
      </c>
      <c r="O1615" s="8">
        <v>2990</v>
      </c>
      <c r="P1615" s="8">
        <f t="shared" si="168"/>
        <v>2691</v>
      </c>
      <c r="Q1615" s="12">
        <f t="shared" si="169"/>
        <v>5651.1</v>
      </c>
      <c r="R1615" s="31">
        <f t="shared" si="170"/>
        <v>5600</v>
      </c>
      <c r="T1615" s="8">
        <v>12320</v>
      </c>
      <c r="V1615" s="8">
        <f t="shared" si="171"/>
        <v>11088</v>
      </c>
      <c r="W1615" s="8">
        <f t="shared" si="172"/>
        <v>27720</v>
      </c>
    </row>
    <row r="1616" spans="1:23" ht="21.95" customHeight="1" x14ac:dyDescent="0.2">
      <c r="A1616" s="5" t="s">
        <v>17</v>
      </c>
      <c r="B1616" t="s">
        <v>1582</v>
      </c>
      <c r="C1616" t="s">
        <v>736</v>
      </c>
      <c r="D1616" s="6" t="s">
        <v>49</v>
      </c>
      <c r="E1616" s="6"/>
      <c r="K1616" s="7">
        <v>44005812</v>
      </c>
      <c r="L1616" s="5" t="str">
        <f t="shared" si="167"/>
        <v>AR LUCCA KONSOL</v>
      </c>
      <c r="M1616" s="8">
        <v>0.15</v>
      </c>
      <c r="N1616" s="8">
        <v>0.1</v>
      </c>
      <c r="O1616" s="8">
        <v>42985</v>
      </c>
      <c r="P1616" s="8">
        <f t="shared" si="168"/>
        <v>38686.5</v>
      </c>
      <c r="Q1616" s="12">
        <f t="shared" si="169"/>
        <v>81241.650000000009</v>
      </c>
      <c r="R1616" s="31">
        <f t="shared" si="170"/>
        <v>81200</v>
      </c>
      <c r="T1616" s="8">
        <v>13965</v>
      </c>
      <c r="V1616" s="8">
        <f t="shared" si="171"/>
        <v>12568.5</v>
      </c>
      <c r="W1616" s="8">
        <f t="shared" si="172"/>
        <v>31421.25</v>
      </c>
    </row>
    <row r="1617" spans="1:23" ht="21.95" customHeight="1" x14ac:dyDescent="0.2">
      <c r="A1617" s="5" t="s">
        <v>17</v>
      </c>
      <c r="B1617" t="s">
        <v>1582</v>
      </c>
      <c r="C1617" t="s">
        <v>736</v>
      </c>
      <c r="D1617" s="6" t="s">
        <v>686</v>
      </c>
      <c r="E1617" s="6"/>
      <c r="K1617" s="7">
        <v>44005813</v>
      </c>
      <c r="L1617" s="5" t="str">
        <f t="shared" si="167"/>
        <v>AR LUCCA KONSOL AYNASI 3 ADET</v>
      </c>
      <c r="M1617" s="8">
        <v>0.15</v>
      </c>
      <c r="N1617" s="8">
        <v>0.1</v>
      </c>
      <c r="O1617" s="8">
        <v>7194</v>
      </c>
      <c r="P1617" s="8">
        <f t="shared" si="168"/>
        <v>6474.6</v>
      </c>
      <c r="Q1617" s="12">
        <f t="shared" si="169"/>
        <v>13596.660000000002</v>
      </c>
      <c r="R1617" s="31">
        <f t="shared" si="170"/>
        <v>13500</v>
      </c>
      <c r="T1617" s="8">
        <v>22135</v>
      </c>
      <c r="V1617" s="8">
        <f t="shared" si="171"/>
        <v>19921.5</v>
      </c>
      <c r="W1617" s="8">
        <f t="shared" si="172"/>
        <v>49803.75</v>
      </c>
    </row>
    <row r="1618" spans="1:23" ht="21.95" customHeight="1" x14ac:dyDescent="0.2">
      <c r="A1618" s="5" t="s">
        <v>17</v>
      </c>
      <c r="B1618" t="s">
        <v>1582</v>
      </c>
      <c r="C1618" t="s">
        <v>736</v>
      </c>
      <c r="D1618" s="6" t="s">
        <v>599</v>
      </c>
      <c r="E1618" s="6"/>
      <c r="K1618" s="7">
        <v>44005814</v>
      </c>
      <c r="L1618" s="5" t="str">
        <f t="shared" si="167"/>
        <v>AR LUCCA MASA 210CM</v>
      </c>
      <c r="M1618" s="8">
        <v>0.15</v>
      </c>
      <c r="N1618" s="8">
        <v>0.1</v>
      </c>
      <c r="O1618" s="8">
        <v>17490</v>
      </c>
      <c r="P1618" s="8">
        <f t="shared" si="168"/>
        <v>15741</v>
      </c>
      <c r="Q1618" s="12">
        <f t="shared" si="169"/>
        <v>33056.1</v>
      </c>
      <c r="R1618" s="31">
        <f t="shared" si="170"/>
        <v>33000</v>
      </c>
      <c r="T1618" s="8">
        <v>10680</v>
      </c>
      <c r="V1618" s="8">
        <f t="shared" si="171"/>
        <v>9612</v>
      </c>
      <c r="W1618" s="8">
        <f t="shared" si="172"/>
        <v>24030</v>
      </c>
    </row>
    <row r="1619" spans="1:23" ht="21.95" customHeight="1" x14ac:dyDescent="0.2">
      <c r="A1619" s="5" t="s">
        <v>17</v>
      </c>
      <c r="B1619" t="s">
        <v>1582</v>
      </c>
      <c r="C1619" t="s">
        <v>736</v>
      </c>
      <c r="D1619" s="6" t="s">
        <v>587</v>
      </c>
      <c r="E1619" s="6"/>
      <c r="K1619" s="7">
        <v>44005815</v>
      </c>
      <c r="L1619" s="5" t="str">
        <f t="shared" ref="L1619:L1682" si="173">B1619&amp;" "&amp;C1619&amp;" "&amp;D1619</f>
        <v>AR LUCCA MASA 180CM</v>
      </c>
      <c r="M1619" s="8">
        <v>0.15</v>
      </c>
      <c r="N1619" s="8">
        <v>0.1</v>
      </c>
      <c r="O1619" s="8">
        <v>22737</v>
      </c>
      <c r="P1619" s="8">
        <f t="shared" si="168"/>
        <v>20463.3</v>
      </c>
      <c r="Q1619" s="12">
        <f t="shared" si="169"/>
        <v>42972.93</v>
      </c>
      <c r="R1619" s="31">
        <f t="shared" si="170"/>
        <v>42900</v>
      </c>
      <c r="T1619" s="8">
        <v>12820</v>
      </c>
      <c r="V1619" s="8">
        <f t="shared" si="171"/>
        <v>11538</v>
      </c>
      <c r="W1619" s="8">
        <f t="shared" si="172"/>
        <v>28845</v>
      </c>
    </row>
    <row r="1620" spans="1:23" ht="21.95" customHeight="1" x14ac:dyDescent="0.2">
      <c r="A1620" s="5" t="s">
        <v>17</v>
      </c>
      <c r="B1620" t="s">
        <v>1582</v>
      </c>
      <c r="C1620" t="s">
        <v>736</v>
      </c>
      <c r="D1620" s="6" t="s">
        <v>24</v>
      </c>
      <c r="E1620" s="6"/>
      <c r="K1620" s="7">
        <v>44005816</v>
      </c>
      <c r="L1620" s="5" t="str">
        <f t="shared" si="173"/>
        <v>AR LUCCA MASA 240CM</v>
      </c>
      <c r="M1620" s="8">
        <v>0.15</v>
      </c>
      <c r="N1620" s="8">
        <v>0.1</v>
      </c>
      <c r="O1620" s="8">
        <v>25985</v>
      </c>
      <c r="P1620" s="8">
        <f t="shared" si="168"/>
        <v>23386.5</v>
      </c>
      <c r="Q1620" s="12">
        <f t="shared" si="169"/>
        <v>49111.65</v>
      </c>
      <c r="R1620" s="31">
        <f t="shared" si="170"/>
        <v>49100</v>
      </c>
      <c r="T1620" s="8">
        <v>12685</v>
      </c>
      <c r="V1620" s="8">
        <f t="shared" si="171"/>
        <v>11416.5</v>
      </c>
      <c r="W1620" s="8">
        <f t="shared" si="172"/>
        <v>28541.25</v>
      </c>
    </row>
    <row r="1621" spans="1:23" ht="21.95" customHeight="1" x14ac:dyDescent="0.2">
      <c r="A1621" s="5" t="s">
        <v>17</v>
      </c>
      <c r="B1621" t="s">
        <v>1582</v>
      </c>
      <c r="C1621" t="s">
        <v>736</v>
      </c>
      <c r="D1621" s="6" t="s">
        <v>25</v>
      </c>
      <c r="E1621" s="6"/>
      <c r="K1621" s="7">
        <v>44005817</v>
      </c>
      <c r="L1621" s="5" t="str">
        <f t="shared" si="173"/>
        <v>AR LUCCA SANDALYE</v>
      </c>
      <c r="M1621" s="8">
        <v>0.15</v>
      </c>
      <c r="N1621" s="8">
        <v>0.1</v>
      </c>
      <c r="O1621" s="8">
        <v>4006</v>
      </c>
      <c r="P1621" s="8">
        <f t="shared" si="168"/>
        <v>3605.4</v>
      </c>
      <c r="Q1621" s="12">
        <f t="shared" si="169"/>
        <v>7571.34</v>
      </c>
      <c r="R1621" s="31">
        <f t="shared" si="170"/>
        <v>7500</v>
      </c>
      <c r="T1621" s="8">
        <v>36335</v>
      </c>
      <c r="V1621" s="8">
        <f t="shared" si="171"/>
        <v>32701.5</v>
      </c>
      <c r="W1621" s="8">
        <f t="shared" si="172"/>
        <v>81753.75</v>
      </c>
    </row>
    <row r="1622" spans="1:23" ht="21.95" customHeight="1" x14ac:dyDescent="0.2">
      <c r="A1622" s="5" t="s">
        <v>17</v>
      </c>
      <c r="B1622" t="s">
        <v>1582</v>
      </c>
      <c r="C1622" t="s">
        <v>736</v>
      </c>
      <c r="D1622" s="6" t="s">
        <v>405</v>
      </c>
      <c r="E1622" s="6"/>
      <c r="K1622" s="7">
        <v>44005818</v>
      </c>
      <c r="L1622" s="5" t="str">
        <f t="shared" si="173"/>
        <v>AR LUCCA VİTRİN</v>
      </c>
      <c r="M1622" s="8">
        <v>0.15</v>
      </c>
      <c r="N1622" s="8">
        <v>0.1</v>
      </c>
      <c r="O1622" s="8">
        <v>21800</v>
      </c>
      <c r="P1622" s="8">
        <f t="shared" si="168"/>
        <v>19620</v>
      </c>
      <c r="Q1622" s="12">
        <f t="shared" si="169"/>
        <v>41202</v>
      </c>
      <c r="R1622" s="31">
        <f t="shared" si="170"/>
        <v>41200</v>
      </c>
      <c r="T1622" s="8">
        <v>32310</v>
      </c>
      <c r="V1622" s="8">
        <f t="shared" si="171"/>
        <v>29079</v>
      </c>
      <c r="W1622" s="8">
        <f t="shared" si="172"/>
        <v>72697.5</v>
      </c>
    </row>
    <row r="1623" spans="1:23" ht="21.95" customHeight="1" x14ac:dyDescent="0.2">
      <c r="A1623" s="5" t="s">
        <v>17</v>
      </c>
      <c r="B1623" t="s">
        <v>1582</v>
      </c>
      <c r="C1623" t="s">
        <v>736</v>
      </c>
      <c r="D1623" s="6" t="s">
        <v>103</v>
      </c>
      <c r="E1623" s="6"/>
      <c r="K1623" s="7">
        <v>44005819</v>
      </c>
      <c r="L1623" s="5" t="str">
        <f t="shared" si="173"/>
        <v>AR LUCCA TV ÜNİTESİ ÜST MODÜL</v>
      </c>
      <c r="M1623" s="8">
        <v>0.15</v>
      </c>
      <c r="N1623" s="8">
        <v>0.1</v>
      </c>
      <c r="O1623" s="8">
        <v>3460</v>
      </c>
      <c r="P1623" s="8">
        <f t="shared" si="168"/>
        <v>3114</v>
      </c>
      <c r="Q1623" s="12">
        <f t="shared" si="169"/>
        <v>6539.4000000000005</v>
      </c>
      <c r="R1623" s="31">
        <f t="shared" si="170"/>
        <v>6500</v>
      </c>
      <c r="T1623" s="8">
        <v>13790</v>
      </c>
      <c r="V1623" s="8">
        <f t="shared" si="171"/>
        <v>12411</v>
      </c>
      <c r="W1623" s="8">
        <f t="shared" si="172"/>
        <v>31027.5</v>
      </c>
    </row>
    <row r="1624" spans="1:23" ht="21.95" customHeight="1" x14ac:dyDescent="0.2">
      <c r="A1624" s="5" t="s">
        <v>17</v>
      </c>
      <c r="B1624" t="s">
        <v>1582</v>
      </c>
      <c r="C1624" t="s">
        <v>736</v>
      </c>
      <c r="D1624" s="6" t="s">
        <v>496</v>
      </c>
      <c r="E1624" s="6"/>
      <c r="K1624" s="7">
        <v>44005820</v>
      </c>
      <c r="L1624" s="5" t="str">
        <f t="shared" si="173"/>
        <v>AR LUCCA TV ÜNİTESİ ALT MODÜL</v>
      </c>
      <c r="M1624" s="8">
        <v>0.15</v>
      </c>
      <c r="N1624" s="8">
        <v>0.1</v>
      </c>
      <c r="O1624" s="8">
        <v>33960</v>
      </c>
      <c r="P1624" s="8">
        <f t="shared" si="168"/>
        <v>30564</v>
      </c>
      <c r="Q1624" s="12">
        <f t="shared" si="169"/>
        <v>64184.4</v>
      </c>
      <c r="R1624" s="31">
        <f t="shared" si="170"/>
        <v>64100</v>
      </c>
      <c r="T1624" s="8">
        <v>22045</v>
      </c>
      <c r="V1624" s="8">
        <f t="shared" si="171"/>
        <v>19840.5</v>
      </c>
      <c r="W1624" s="8">
        <f t="shared" si="172"/>
        <v>49601.25</v>
      </c>
    </row>
    <row r="1625" spans="1:23" ht="21.95" customHeight="1" x14ac:dyDescent="0.2">
      <c r="A1625" s="5" t="s">
        <v>17</v>
      </c>
      <c r="B1625" t="s">
        <v>1582</v>
      </c>
      <c r="C1625" t="s">
        <v>736</v>
      </c>
      <c r="D1625" s="6" t="s">
        <v>29</v>
      </c>
      <c r="E1625" s="6"/>
      <c r="K1625" s="7">
        <v>44005821</v>
      </c>
      <c r="L1625" s="5" t="str">
        <f t="shared" si="173"/>
        <v>AR LUCCA ORTA SEHPA</v>
      </c>
      <c r="M1625" s="8">
        <v>0.15</v>
      </c>
      <c r="N1625" s="8">
        <v>0.1</v>
      </c>
      <c r="O1625" s="8">
        <v>15085</v>
      </c>
      <c r="P1625" s="8">
        <f t="shared" si="168"/>
        <v>13576.5</v>
      </c>
      <c r="Q1625" s="12">
        <f t="shared" si="169"/>
        <v>28510.65</v>
      </c>
      <c r="R1625" s="31">
        <f t="shared" si="170"/>
        <v>28500</v>
      </c>
      <c r="T1625" s="8">
        <v>26645</v>
      </c>
      <c r="V1625" s="8">
        <f t="shared" si="171"/>
        <v>23980.5</v>
      </c>
      <c r="W1625" s="8">
        <f t="shared" si="172"/>
        <v>59951.25</v>
      </c>
    </row>
    <row r="1626" spans="1:23" ht="21.95" customHeight="1" x14ac:dyDescent="0.2">
      <c r="A1626" s="5" t="s">
        <v>17</v>
      </c>
      <c r="B1626" t="s">
        <v>1582</v>
      </c>
      <c r="C1626" t="s">
        <v>736</v>
      </c>
      <c r="D1626" s="6" t="s">
        <v>30</v>
      </c>
      <c r="E1626" s="6"/>
      <c r="K1626" s="7">
        <v>44005822</v>
      </c>
      <c r="L1626" s="5" t="str">
        <f t="shared" si="173"/>
        <v>AR LUCCA YAN SEHPA</v>
      </c>
      <c r="M1626" s="8">
        <v>0.15</v>
      </c>
      <c r="N1626" s="8">
        <v>0.1</v>
      </c>
      <c r="O1626" s="8">
        <v>11110</v>
      </c>
      <c r="P1626" s="8">
        <f t="shared" si="168"/>
        <v>9999</v>
      </c>
      <c r="Q1626" s="12">
        <f t="shared" si="169"/>
        <v>20997.9</v>
      </c>
      <c r="R1626" s="31">
        <f t="shared" si="170"/>
        <v>20900</v>
      </c>
      <c r="T1626" s="8">
        <v>29145</v>
      </c>
      <c r="V1626" s="8">
        <f t="shared" si="171"/>
        <v>26230.5</v>
      </c>
      <c r="W1626" s="8">
        <f t="shared" si="172"/>
        <v>65576.25</v>
      </c>
    </row>
    <row r="1627" spans="1:23" ht="21.95" customHeight="1" x14ac:dyDescent="0.2">
      <c r="A1627" s="5" t="s">
        <v>17</v>
      </c>
      <c r="B1627" t="s">
        <v>1582</v>
      </c>
      <c r="C1627" t="s">
        <v>736</v>
      </c>
      <c r="D1627" s="6" t="s">
        <v>31</v>
      </c>
      <c r="E1627" s="6"/>
      <c r="K1627" s="7">
        <v>44005823</v>
      </c>
      <c r="L1627" s="5" t="str">
        <f t="shared" si="173"/>
        <v>AR LUCCA KOLTUK 4 LÜ</v>
      </c>
      <c r="M1627" s="8">
        <v>0.15</v>
      </c>
      <c r="N1627" s="8">
        <v>0.1</v>
      </c>
      <c r="O1627" s="8">
        <v>39060</v>
      </c>
      <c r="P1627" s="8">
        <f t="shared" si="168"/>
        <v>35154</v>
      </c>
      <c r="Q1627" s="12">
        <f t="shared" si="169"/>
        <v>73823.400000000009</v>
      </c>
      <c r="R1627" s="31">
        <f t="shared" si="170"/>
        <v>73800</v>
      </c>
      <c r="T1627" s="8">
        <v>24545</v>
      </c>
      <c r="V1627" s="8">
        <f t="shared" si="171"/>
        <v>22090.5</v>
      </c>
      <c r="W1627" s="8">
        <f t="shared" si="172"/>
        <v>55226.25</v>
      </c>
    </row>
    <row r="1628" spans="1:23" ht="21.95" customHeight="1" x14ac:dyDescent="0.2">
      <c r="A1628" s="5" t="s">
        <v>17</v>
      </c>
      <c r="B1628" t="s">
        <v>1582</v>
      </c>
      <c r="C1628" t="s">
        <v>736</v>
      </c>
      <c r="D1628" s="6" t="s">
        <v>32</v>
      </c>
      <c r="E1628" s="6"/>
      <c r="K1628" s="7">
        <v>44005824</v>
      </c>
      <c r="L1628" s="5" t="str">
        <f t="shared" si="173"/>
        <v>AR LUCCA KOLTUK 3 LÜ</v>
      </c>
      <c r="M1628" s="8">
        <v>0.15</v>
      </c>
      <c r="N1628" s="8">
        <v>0.1</v>
      </c>
      <c r="O1628" s="8">
        <v>35345</v>
      </c>
      <c r="P1628" s="8">
        <f t="shared" si="168"/>
        <v>31810.5</v>
      </c>
      <c r="Q1628" s="12">
        <f t="shared" si="169"/>
        <v>66802.05</v>
      </c>
      <c r="R1628" s="31">
        <f t="shared" si="170"/>
        <v>66800</v>
      </c>
      <c r="T1628" s="8">
        <v>5770</v>
      </c>
      <c r="V1628" s="8">
        <f t="shared" si="171"/>
        <v>5193</v>
      </c>
      <c r="W1628" s="8">
        <f t="shared" si="172"/>
        <v>12982.5</v>
      </c>
    </row>
    <row r="1629" spans="1:23" ht="21.95" customHeight="1" x14ac:dyDescent="0.2">
      <c r="A1629" s="5" t="s">
        <v>17</v>
      </c>
      <c r="B1629" t="s">
        <v>1582</v>
      </c>
      <c r="C1629" t="s">
        <v>736</v>
      </c>
      <c r="D1629" s="6" t="s">
        <v>592</v>
      </c>
      <c r="E1629" s="6"/>
      <c r="K1629" s="7">
        <v>44005825</v>
      </c>
      <c r="L1629" s="5" t="str">
        <f t="shared" si="173"/>
        <v>AR LUCCA KOLTUK TEKLİ</v>
      </c>
      <c r="M1629" s="8">
        <v>0.15</v>
      </c>
      <c r="N1629" s="8">
        <v>0.1</v>
      </c>
      <c r="O1629" s="8">
        <v>17125</v>
      </c>
      <c r="P1629" s="8">
        <f t="shared" si="168"/>
        <v>15412.5</v>
      </c>
      <c r="Q1629" s="12">
        <f t="shared" si="169"/>
        <v>32366.25</v>
      </c>
      <c r="R1629" s="31">
        <f t="shared" si="170"/>
        <v>32300</v>
      </c>
      <c r="T1629" s="8">
        <v>34200</v>
      </c>
      <c r="V1629" s="8">
        <f t="shared" si="171"/>
        <v>30780</v>
      </c>
      <c r="W1629" s="8">
        <f t="shared" si="172"/>
        <v>76950</v>
      </c>
    </row>
    <row r="1630" spans="1:23" ht="21.95" customHeight="1" x14ac:dyDescent="0.2">
      <c r="A1630" s="5" t="s">
        <v>17</v>
      </c>
      <c r="B1630" t="s">
        <v>1582</v>
      </c>
      <c r="C1630" t="s">
        <v>736</v>
      </c>
      <c r="D1630" s="6" t="s">
        <v>737</v>
      </c>
      <c r="E1630" s="6"/>
      <c r="K1630" s="7">
        <v>44005826</v>
      </c>
      <c r="L1630" s="5" t="str">
        <f t="shared" si="173"/>
        <v>AR LUCCA MODÜL DİNLENMELİ SAĞ-SOL</v>
      </c>
      <c r="M1630" s="8">
        <v>0.15</v>
      </c>
      <c r="N1630" s="8">
        <v>0.1</v>
      </c>
      <c r="O1630" s="8">
        <v>24630</v>
      </c>
      <c r="P1630" s="8">
        <f t="shared" si="168"/>
        <v>22167</v>
      </c>
      <c r="Q1630" s="12">
        <f t="shared" si="169"/>
        <v>46550.700000000004</v>
      </c>
      <c r="R1630" s="31">
        <f t="shared" si="170"/>
        <v>46500</v>
      </c>
      <c r="T1630" s="8">
        <v>34200</v>
      </c>
      <c r="V1630" s="8">
        <f t="shared" si="171"/>
        <v>30780</v>
      </c>
      <c r="W1630" s="8">
        <f t="shared" si="172"/>
        <v>76950</v>
      </c>
    </row>
    <row r="1631" spans="1:23" ht="21.95" customHeight="1" x14ac:dyDescent="0.2">
      <c r="A1631" s="5" t="s">
        <v>17</v>
      </c>
      <c r="B1631" t="s">
        <v>1582</v>
      </c>
      <c r="C1631" t="s">
        <v>736</v>
      </c>
      <c r="D1631" s="6" t="s">
        <v>628</v>
      </c>
      <c r="E1631" s="6"/>
      <c r="K1631" s="7">
        <v>44005827</v>
      </c>
      <c r="L1631" s="5" t="str">
        <f t="shared" si="173"/>
        <v>AR LUCCA MODÜL TEKLİ KOLSUZ</v>
      </c>
      <c r="M1631" s="8">
        <v>0.15</v>
      </c>
      <c r="N1631" s="8">
        <v>0.1</v>
      </c>
      <c r="O1631" s="8">
        <v>12640</v>
      </c>
      <c r="P1631" s="8">
        <f t="shared" si="168"/>
        <v>11376</v>
      </c>
      <c r="Q1631" s="12">
        <f t="shared" si="169"/>
        <v>23889.600000000002</v>
      </c>
      <c r="R1631" s="31">
        <f t="shared" si="170"/>
        <v>23800</v>
      </c>
      <c r="T1631" s="8">
        <v>23965</v>
      </c>
      <c r="V1631" s="8">
        <f t="shared" si="171"/>
        <v>21568.5</v>
      </c>
      <c r="W1631" s="8">
        <f t="shared" si="172"/>
        <v>53921.25</v>
      </c>
    </row>
    <row r="1632" spans="1:23" ht="21.95" customHeight="1" x14ac:dyDescent="0.2">
      <c r="A1632" s="5" t="s">
        <v>17</v>
      </c>
      <c r="B1632" t="s">
        <v>1582</v>
      </c>
      <c r="C1632" t="s">
        <v>736</v>
      </c>
      <c r="D1632" s="6" t="s">
        <v>738</v>
      </c>
      <c r="E1632" s="6"/>
      <c r="K1632" s="7">
        <v>44005828</v>
      </c>
      <c r="L1632" s="5" t="str">
        <f t="shared" si="173"/>
        <v>AR LUCCA MODÜL TEK KOLLU SAĞ-SOL</v>
      </c>
      <c r="M1632" s="8">
        <v>0.15</v>
      </c>
      <c r="N1632" s="8">
        <v>0.1</v>
      </c>
      <c r="O1632" s="8">
        <v>17230</v>
      </c>
      <c r="P1632" s="8">
        <f t="shared" si="168"/>
        <v>15507</v>
      </c>
      <c r="Q1632" s="12">
        <f t="shared" si="169"/>
        <v>32564.7</v>
      </c>
      <c r="R1632" s="31">
        <f t="shared" si="170"/>
        <v>32500</v>
      </c>
      <c r="T1632" s="8">
        <v>10585</v>
      </c>
      <c r="V1632" s="8">
        <f t="shared" si="171"/>
        <v>9526.5</v>
      </c>
      <c r="W1632" s="8">
        <f t="shared" si="172"/>
        <v>23816.25</v>
      </c>
    </row>
    <row r="1633" spans="1:23" ht="21.95" customHeight="1" x14ac:dyDescent="0.2">
      <c r="A1633" s="5" t="s">
        <v>17</v>
      </c>
      <c r="B1633" t="s">
        <v>1582</v>
      </c>
      <c r="C1633" t="s">
        <v>736</v>
      </c>
      <c r="D1633" s="6" t="s">
        <v>739</v>
      </c>
      <c r="E1633" s="6"/>
      <c r="K1633" s="7">
        <v>44005829</v>
      </c>
      <c r="L1633" s="5" t="str">
        <f t="shared" si="173"/>
        <v>AR LUCCA MODÜL KOLLU 2 Lİ SAĞ-SOL</v>
      </c>
      <c r="M1633" s="8">
        <v>0.15</v>
      </c>
      <c r="N1633" s="8">
        <v>0.1</v>
      </c>
      <c r="O1633" s="8">
        <v>24615</v>
      </c>
      <c r="P1633" s="8">
        <f t="shared" si="168"/>
        <v>22153.5</v>
      </c>
      <c r="Q1633" s="12">
        <f t="shared" si="169"/>
        <v>46522.35</v>
      </c>
      <c r="R1633" s="31">
        <f t="shared" si="170"/>
        <v>46500</v>
      </c>
      <c r="T1633" s="8">
        <v>4775</v>
      </c>
      <c r="V1633" s="8">
        <f t="shared" si="171"/>
        <v>4297.5</v>
      </c>
      <c r="W1633" s="8">
        <f t="shared" si="172"/>
        <v>10743.75</v>
      </c>
    </row>
    <row r="1634" spans="1:23" ht="21.95" customHeight="1" x14ac:dyDescent="0.2">
      <c r="A1634" s="5" t="s">
        <v>17</v>
      </c>
      <c r="B1634" t="s">
        <v>1582</v>
      </c>
      <c r="C1634" t="s">
        <v>736</v>
      </c>
      <c r="D1634" s="6" t="s">
        <v>740</v>
      </c>
      <c r="E1634" s="6"/>
      <c r="K1634" s="7">
        <v>44005830</v>
      </c>
      <c r="L1634" s="5" t="str">
        <f t="shared" si="173"/>
        <v>AR LUCCA MODÜL KOLSUZ 2 Lİ</v>
      </c>
      <c r="M1634" s="8">
        <v>0.15</v>
      </c>
      <c r="N1634" s="8">
        <v>0.1</v>
      </c>
      <c r="O1634" s="8">
        <v>20005</v>
      </c>
      <c r="P1634" s="8">
        <f t="shared" si="168"/>
        <v>18004.5</v>
      </c>
      <c r="Q1634" s="12">
        <f t="shared" si="169"/>
        <v>37809.450000000004</v>
      </c>
      <c r="R1634" s="31">
        <f t="shared" si="170"/>
        <v>37800</v>
      </c>
      <c r="T1634" s="8">
        <v>4720</v>
      </c>
      <c r="V1634" s="8">
        <f t="shared" si="171"/>
        <v>4248</v>
      </c>
      <c r="W1634" s="8">
        <f t="shared" si="172"/>
        <v>10620</v>
      </c>
    </row>
    <row r="1635" spans="1:23" ht="21.95" customHeight="1" x14ac:dyDescent="0.2">
      <c r="A1635" s="5" t="s">
        <v>17</v>
      </c>
      <c r="B1635" t="s">
        <v>1582</v>
      </c>
      <c r="C1635" t="s">
        <v>736</v>
      </c>
      <c r="D1635" s="6" t="s">
        <v>741</v>
      </c>
      <c r="E1635" s="6"/>
      <c r="K1635" s="7">
        <v>44005831</v>
      </c>
      <c r="L1635" s="5" t="str">
        <f t="shared" si="173"/>
        <v>AR LUCCA MODÜL KÜÇÜK KÖŞE</v>
      </c>
      <c r="M1635" s="8">
        <v>0.15</v>
      </c>
      <c r="N1635" s="8">
        <v>0.1</v>
      </c>
      <c r="O1635" s="8">
        <v>14995</v>
      </c>
      <c r="P1635" s="8">
        <f t="shared" si="168"/>
        <v>13495.5</v>
      </c>
      <c r="Q1635" s="12">
        <f t="shared" si="169"/>
        <v>28340.550000000003</v>
      </c>
      <c r="R1635" s="31">
        <f t="shared" si="170"/>
        <v>28300</v>
      </c>
      <c r="T1635" s="8">
        <v>25140</v>
      </c>
      <c r="V1635" s="8">
        <f t="shared" si="171"/>
        <v>22626</v>
      </c>
      <c r="W1635" s="8">
        <f t="shared" si="172"/>
        <v>56565</v>
      </c>
    </row>
    <row r="1636" spans="1:23" ht="21.95" customHeight="1" x14ac:dyDescent="0.2">
      <c r="A1636" s="5" t="s">
        <v>17</v>
      </c>
      <c r="B1636" t="s">
        <v>1582</v>
      </c>
      <c r="C1636" t="s">
        <v>736</v>
      </c>
      <c r="D1636" s="6" t="s">
        <v>742</v>
      </c>
      <c r="E1636" s="6"/>
      <c r="K1636" s="7">
        <v>44005832</v>
      </c>
      <c r="L1636" s="5" t="str">
        <f t="shared" si="173"/>
        <v>AR LUCCA ORTA SEHPA PUFU</v>
      </c>
      <c r="M1636" s="8">
        <v>0.15</v>
      </c>
      <c r="N1636" s="8">
        <v>0.1</v>
      </c>
      <c r="O1636" s="8">
        <v>3740</v>
      </c>
      <c r="P1636" s="8">
        <f t="shared" si="168"/>
        <v>3366</v>
      </c>
      <c r="Q1636" s="12">
        <f t="shared" si="169"/>
        <v>7068.6</v>
      </c>
      <c r="R1636" s="31">
        <f t="shared" si="170"/>
        <v>7000</v>
      </c>
      <c r="T1636" s="8">
        <v>5306</v>
      </c>
      <c r="V1636" s="8">
        <f t="shared" si="171"/>
        <v>4775.4000000000005</v>
      </c>
      <c r="W1636" s="8">
        <f t="shared" si="172"/>
        <v>11938.500000000002</v>
      </c>
    </row>
    <row r="1637" spans="1:23" ht="21.95" customHeight="1" x14ac:dyDescent="0.2">
      <c r="A1637" s="5" t="s">
        <v>17</v>
      </c>
      <c r="B1637" t="s">
        <v>1582</v>
      </c>
      <c r="C1637" t="s">
        <v>736</v>
      </c>
      <c r="D1637" s="6" t="s">
        <v>538</v>
      </c>
      <c r="E1637" s="6"/>
      <c r="K1637" s="7">
        <v>44005833</v>
      </c>
      <c r="L1637" s="5" t="str">
        <f t="shared" si="173"/>
        <v>AR LUCCA ORTA SEHPA AHŞAP</v>
      </c>
      <c r="M1637" s="8">
        <v>0.15</v>
      </c>
      <c r="N1637" s="8">
        <v>0.1</v>
      </c>
      <c r="O1637" s="8">
        <v>9400</v>
      </c>
      <c r="P1637" s="8">
        <f t="shared" si="168"/>
        <v>8460</v>
      </c>
      <c r="Q1637" s="12">
        <f t="shared" si="169"/>
        <v>17766</v>
      </c>
      <c r="R1637" s="31">
        <f t="shared" si="170"/>
        <v>17700</v>
      </c>
      <c r="T1637" s="8">
        <v>21710</v>
      </c>
      <c r="V1637" s="8">
        <f t="shared" si="171"/>
        <v>19539</v>
      </c>
      <c r="W1637" s="8">
        <f t="shared" si="172"/>
        <v>48847.5</v>
      </c>
    </row>
    <row r="1638" spans="1:23" ht="21.95" customHeight="1" x14ac:dyDescent="0.2">
      <c r="A1638" s="5" t="s">
        <v>17</v>
      </c>
      <c r="B1638" t="s">
        <v>1582</v>
      </c>
      <c r="C1638" t="s">
        <v>736</v>
      </c>
      <c r="D1638" s="6" t="s">
        <v>743</v>
      </c>
      <c r="E1638" s="6"/>
      <c r="K1638" s="7">
        <v>44005834</v>
      </c>
      <c r="L1638" s="5" t="str">
        <f t="shared" si="173"/>
        <v>AR LUCCA ARA MODÜL SEHPA TELEFON SARJLI</v>
      </c>
      <c r="M1638" s="8">
        <v>0.15</v>
      </c>
      <c r="N1638" s="8">
        <v>0.1</v>
      </c>
      <c r="O1638" s="8">
        <v>10005</v>
      </c>
      <c r="P1638" s="8">
        <f t="shared" si="168"/>
        <v>9004.5</v>
      </c>
      <c r="Q1638" s="12">
        <f t="shared" si="169"/>
        <v>18909.45</v>
      </c>
      <c r="R1638" s="31">
        <f t="shared" si="170"/>
        <v>18900</v>
      </c>
      <c r="T1638" s="8">
        <v>28223</v>
      </c>
      <c r="V1638" s="8">
        <f t="shared" si="171"/>
        <v>25400.7</v>
      </c>
      <c r="W1638" s="8">
        <f t="shared" si="172"/>
        <v>63501.75</v>
      </c>
    </row>
    <row r="1639" spans="1:23" ht="21.95" customHeight="1" x14ac:dyDescent="0.2">
      <c r="A1639" s="5" t="s">
        <v>17</v>
      </c>
      <c r="B1639" t="s">
        <v>1582</v>
      </c>
      <c r="C1639" t="s">
        <v>736</v>
      </c>
      <c r="D1639" s="6" t="s">
        <v>744</v>
      </c>
      <c r="E1639" s="6"/>
      <c r="K1639" s="7">
        <v>44005835</v>
      </c>
      <c r="L1639" s="5" t="str">
        <f t="shared" si="173"/>
        <v>AR LUCCA ARA MODÜL SEHPA</v>
      </c>
      <c r="M1639" s="8">
        <v>0.15</v>
      </c>
      <c r="N1639" s="8">
        <v>0.1</v>
      </c>
      <c r="O1639" s="8">
        <v>9585</v>
      </c>
      <c r="P1639" s="8">
        <f t="shared" si="168"/>
        <v>8626.5</v>
      </c>
      <c r="Q1639" s="12">
        <f t="shared" si="169"/>
        <v>18115.650000000001</v>
      </c>
      <c r="R1639" s="31">
        <f t="shared" si="170"/>
        <v>18100</v>
      </c>
      <c r="T1639" s="8">
        <v>32255</v>
      </c>
      <c r="V1639" s="8">
        <f t="shared" si="171"/>
        <v>29029.5</v>
      </c>
      <c r="W1639" s="8">
        <f t="shared" si="172"/>
        <v>72573.75</v>
      </c>
    </row>
    <row r="1640" spans="1:23" ht="21.95" customHeight="1" x14ac:dyDescent="0.2">
      <c r="A1640" s="5" t="s">
        <v>17</v>
      </c>
      <c r="B1640" t="s">
        <v>1582</v>
      </c>
      <c r="C1640" t="s">
        <v>736</v>
      </c>
      <c r="D1640" s="6" t="s">
        <v>727</v>
      </c>
      <c r="E1640" s="6"/>
      <c r="K1640" s="7">
        <v>44005836</v>
      </c>
      <c r="L1640" s="5" t="str">
        <f t="shared" si="173"/>
        <v>AR LUCCA KARYOLA İÇ KAYITLI 160CM PANOLU</v>
      </c>
      <c r="M1640" s="8">
        <v>0.15</v>
      </c>
      <c r="N1640" s="8">
        <v>0.1</v>
      </c>
      <c r="O1640" s="8">
        <v>24385</v>
      </c>
      <c r="P1640" s="8">
        <f t="shared" si="168"/>
        <v>21946.5</v>
      </c>
      <c r="Q1640" s="12">
        <f t="shared" si="169"/>
        <v>46087.65</v>
      </c>
      <c r="R1640" s="31">
        <f t="shared" si="170"/>
        <v>46000</v>
      </c>
      <c r="T1640" s="8">
        <v>5929</v>
      </c>
      <c r="V1640" s="8">
        <f t="shared" si="171"/>
        <v>5336.1</v>
      </c>
      <c r="W1640" s="8">
        <f t="shared" si="172"/>
        <v>13340.25</v>
      </c>
    </row>
    <row r="1641" spans="1:23" ht="21.95" customHeight="1" x14ac:dyDescent="0.2">
      <c r="A1641" s="5" t="s">
        <v>17</v>
      </c>
      <c r="B1641" t="s">
        <v>1582</v>
      </c>
      <c r="C1641" t="s">
        <v>736</v>
      </c>
      <c r="D1641" s="6" t="s">
        <v>726</v>
      </c>
      <c r="E1641" s="6"/>
      <c r="K1641" s="7">
        <v>44005837</v>
      </c>
      <c r="L1641" s="5" t="str">
        <f t="shared" si="173"/>
        <v>AR LUCCA KARYOLA İÇ KAYITLI 160CM PANOSUZ</v>
      </c>
      <c r="M1641" s="8">
        <v>0.15</v>
      </c>
      <c r="N1641" s="8">
        <v>0.1</v>
      </c>
      <c r="O1641" s="8">
        <v>17515</v>
      </c>
      <c r="P1641" s="8">
        <f t="shared" si="168"/>
        <v>15763.5</v>
      </c>
      <c r="Q1641" s="12">
        <f t="shared" si="169"/>
        <v>33103.35</v>
      </c>
      <c r="R1641" s="31">
        <f t="shared" si="170"/>
        <v>33100</v>
      </c>
      <c r="T1641" s="8">
        <v>38375</v>
      </c>
      <c r="V1641" s="8">
        <f t="shared" si="171"/>
        <v>34537.5</v>
      </c>
      <c r="W1641" s="8">
        <f t="shared" si="172"/>
        <v>86343.75</v>
      </c>
    </row>
    <row r="1642" spans="1:23" ht="21.95" customHeight="1" x14ac:dyDescent="0.2">
      <c r="A1642" s="5" t="s">
        <v>17</v>
      </c>
      <c r="B1642" t="s">
        <v>1582</v>
      </c>
      <c r="C1642" t="s">
        <v>736</v>
      </c>
      <c r="D1642" s="6" t="s">
        <v>728</v>
      </c>
      <c r="E1642" s="6"/>
      <c r="K1642" s="7">
        <v>44005838</v>
      </c>
      <c r="L1642" s="5" t="str">
        <f t="shared" si="173"/>
        <v>AR LUCCA KARYOLA BAZALI 160CM PANOLU</v>
      </c>
      <c r="M1642" s="8">
        <v>0.15</v>
      </c>
      <c r="N1642" s="8">
        <v>0.1</v>
      </c>
      <c r="O1642" s="8">
        <v>28985</v>
      </c>
      <c r="P1642" s="8">
        <f t="shared" si="168"/>
        <v>26086.5</v>
      </c>
      <c r="Q1642" s="12">
        <f t="shared" si="169"/>
        <v>54781.65</v>
      </c>
      <c r="R1642" s="31">
        <f t="shared" si="170"/>
        <v>54700</v>
      </c>
      <c r="T1642" s="8">
        <v>33475</v>
      </c>
      <c r="V1642" s="8">
        <f t="shared" si="171"/>
        <v>30127.5</v>
      </c>
      <c r="W1642" s="8">
        <f t="shared" si="172"/>
        <v>75318.75</v>
      </c>
    </row>
    <row r="1643" spans="1:23" ht="21.95" customHeight="1" x14ac:dyDescent="0.2">
      <c r="A1643" s="5" t="s">
        <v>17</v>
      </c>
      <c r="B1643" t="s">
        <v>1582</v>
      </c>
      <c r="C1643" t="s">
        <v>736</v>
      </c>
      <c r="D1643" s="6" t="s">
        <v>729</v>
      </c>
      <c r="E1643" s="6"/>
      <c r="K1643" s="7">
        <v>44005839</v>
      </c>
      <c r="L1643" s="5" t="str">
        <f t="shared" si="173"/>
        <v>AR LUCCA KARYOLA BAZALI 160CM PANOSUZ</v>
      </c>
      <c r="M1643" s="8">
        <v>0.15</v>
      </c>
      <c r="N1643" s="8">
        <v>0.1</v>
      </c>
      <c r="O1643" s="8">
        <v>22115</v>
      </c>
      <c r="P1643" s="8">
        <f t="shared" si="168"/>
        <v>19903.5</v>
      </c>
      <c r="Q1643" s="12">
        <f t="shared" si="169"/>
        <v>41797.35</v>
      </c>
      <c r="R1643" s="31">
        <f t="shared" si="170"/>
        <v>41700</v>
      </c>
      <c r="T1643" s="8">
        <v>14705</v>
      </c>
      <c r="V1643" s="8">
        <f t="shared" si="171"/>
        <v>13234.5</v>
      </c>
      <c r="W1643" s="8">
        <f t="shared" si="172"/>
        <v>33086.25</v>
      </c>
    </row>
    <row r="1644" spans="1:23" ht="21.95" customHeight="1" x14ac:dyDescent="0.2">
      <c r="A1644" s="5" t="s">
        <v>17</v>
      </c>
      <c r="B1644" t="s">
        <v>1582</v>
      </c>
      <c r="C1644" t="s">
        <v>736</v>
      </c>
      <c r="D1644" s="6" t="s">
        <v>730</v>
      </c>
      <c r="E1644" s="6"/>
      <c r="K1644" s="7">
        <v>44005840</v>
      </c>
      <c r="L1644" s="5" t="str">
        <f t="shared" si="173"/>
        <v>AR LUCCA KARYOLA BAZALI 180CM PANOLU</v>
      </c>
      <c r="M1644" s="8">
        <v>0.15</v>
      </c>
      <c r="N1644" s="8">
        <v>0.1</v>
      </c>
      <c r="O1644" s="8">
        <v>31485</v>
      </c>
      <c r="P1644" s="8">
        <f t="shared" si="168"/>
        <v>28336.5</v>
      </c>
      <c r="Q1644" s="12">
        <f t="shared" si="169"/>
        <v>59506.65</v>
      </c>
      <c r="R1644" s="31">
        <f t="shared" si="170"/>
        <v>59500</v>
      </c>
      <c r="T1644" s="8">
        <v>13335</v>
      </c>
      <c r="V1644" s="8">
        <f t="shared" si="171"/>
        <v>12001.5</v>
      </c>
      <c r="W1644" s="8">
        <f t="shared" si="172"/>
        <v>30003.75</v>
      </c>
    </row>
    <row r="1645" spans="1:23" ht="21.95" customHeight="1" x14ac:dyDescent="0.2">
      <c r="A1645" s="5" t="s">
        <v>17</v>
      </c>
      <c r="B1645" t="s">
        <v>1582</v>
      </c>
      <c r="C1645" t="s">
        <v>736</v>
      </c>
      <c r="D1645" s="6" t="s">
        <v>731</v>
      </c>
      <c r="E1645" s="6"/>
      <c r="K1645" s="7">
        <v>44005841</v>
      </c>
      <c r="L1645" s="5" t="str">
        <f t="shared" si="173"/>
        <v>AR LUCCA KARYOLA BAZALI 180CM PANOSUZ</v>
      </c>
      <c r="M1645" s="8">
        <v>0.15</v>
      </c>
      <c r="N1645" s="8">
        <v>0.1</v>
      </c>
      <c r="O1645" s="8">
        <v>24615</v>
      </c>
      <c r="P1645" s="8">
        <f t="shared" si="168"/>
        <v>22153.5</v>
      </c>
      <c r="Q1645" s="12">
        <f t="shared" si="169"/>
        <v>46522.35</v>
      </c>
      <c r="R1645" s="31">
        <f t="shared" si="170"/>
        <v>46500</v>
      </c>
      <c r="T1645" s="8">
        <v>20535</v>
      </c>
      <c r="V1645" s="8">
        <f t="shared" si="171"/>
        <v>18481.5</v>
      </c>
      <c r="W1645" s="8">
        <f t="shared" si="172"/>
        <v>46203.75</v>
      </c>
    </row>
    <row r="1646" spans="1:23" ht="21.95" customHeight="1" x14ac:dyDescent="0.2">
      <c r="A1646" s="5" t="s">
        <v>17</v>
      </c>
      <c r="B1646" t="s">
        <v>1582</v>
      </c>
      <c r="C1646" t="s">
        <v>736</v>
      </c>
      <c r="D1646" s="6" t="s">
        <v>732</v>
      </c>
      <c r="E1646" s="6"/>
      <c r="K1646" s="7">
        <v>44005842</v>
      </c>
      <c r="L1646" s="5" t="str">
        <f t="shared" si="173"/>
        <v>AR LUCCA KARYOLA İÇ KAYITLI 180CM PANOLU</v>
      </c>
      <c r="M1646" s="8">
        <v>0.15</v>
      </c>
      <c r="N1646" s="8">
        <v>0.1</v>
      </c>
      <c r="O1646" s="8">
        <v>26885</v>
      </c>
      <c r="P1646" s="8">
        <f t="shared" si="168"/>
        <v>24196.5</v>
      </c>
      <c r="Q1646" s="12">
        <f t="shared" si="169"/>
        <v>50812.65</v>
      </c>
      <c r="R1646" s="31">
        <f t="shared" si="170"/>
        <v>50800</v>
      </c>
      <c r="T1646" s="8">
        <v>19750</v>
      </c>
      <c r="V1646" s="8">
        <f t="shared" si="171"/>
        <v>17775</v>
      </c>
      <c r="W1646" s="8">
        <f t="shared" si="172"/>
        <v>44437.5</v>
      </c>
    </row>
    <row r="1647" spans="1:23" ht="21.95" customHeight="1" x14ac:dyDescent="0.2">
      <c r="A1647" s="5" t="s">
        <v>17</v>
      </c>
      <c r="B1647" t="s">
        <v>1582</v>
      </c>
      <c r="C1647" t="s">
        <v>736</v>
      </c>
      <c r="D1647" s="6" t="s">
        <v>733</v>
      </c>
      <c r="E1647" s="6"/>
      <c r="K1647" s="7">
        <v>44005843</v>
      </c>
      <c r="L1647" s="5" t="str">
        <f t="shared" si="173"/>
        <v>AR LUCCA KARYOLA İÇ KAYITLI 180CM PANOSUZ</v>
      </c>
      <c r="M1647" s="8">
        <v>0.15</v>
      </c>
      <c r="N1647" s="8">
        <v>0.1</v>
      </c>
      <c r="O1647" s="8">
        <v>20015</v>
      </c>
      <c r="P1647" s="8">
        <f t="shared" si="168"/>
        <v>18013.5</v>
      </c>
      <c r="Q1647" s="12">
        <f t="shared" si="169"/>
        <v>37828.35</v>
      </c>
      <c r="R1647" s="31">
        <f t="shared" si="170"/>
        <v>37800</v>
      </c>
      <c r="T1647" s="8">
        <v>14705</v>
      </c>
      <c r="V1647" s="8">
        <f t="shared" si="171"/>
        <v>13234.5</v>
      </c>
      <c r="W1647" s="8">
        <f t="shared" si="172"/>
        <v>33086.25</v>
      </c>
    </row>
    <row r="1648" spans="1:23" ht="21.95" customHeight="1" x14ac:dyDescent="0.2">
      <c r="A1648" s="5" t="s">
        <v>17</v>
      </c>
      <c r="B1648" t="s">
        <v>1582</v>
      </c>
      <c r="C1648" t="s">
        <v>736</v>
      </c>
      <c r="D1648" s="6" t="s">
        <v>734</v>
      </c>
      <c r="E1648" s="6"/>
      <c r="K1648" s="7">
        <v>44005844</v>
      </c>
      <c r="L1648" s="5" t="str">
        <f t="shared" si="173"/>
        <v>AR LUCCA KARYOLA PANOSU 2 ADET SAĞ-SOL</v>
      </c>
      <c r="M1648" s="8">
        <v>0.15</v>
      </c>
      <c r="N1648" s="8">
        <v>0.1</v>
      </c>
      <c r="O1648" s="8">
        <v>6870</v>
      </c>
      <c r="P1648" s="8">
        <f t="shared" ref="P1648:P1711" si="174">O1648*(1-N1648)</f>
        <v>6183</v>
      </c>
      <c r="Q1648" s="12">
        <f t="shared" ref="Q1648:Q1711" si="175">O1648*(1-N1648)*2.1</f>
        <v>12984.300000000001</v>
      </c>
      <c r="R1648" s="31">
        <f t="shared" ref="R1648:R1711" si="176">ROUNDDOWN(Q1648,-2)</f>
        <v>12900</v>
      </c>
      <c r="T1648" s="8">
        <v>6470</v>
      </c>
      <c r="V1648" s="8">
        <f t="shared" si="171"/>
        <v>5823</v>
      </c>
      <c r="W1648" s="8">
        <f t="shared" si="172"/>
        <v>14557.5</v>
      </c>
    </row>
    <row r="1649" spans="1:23" ht="21.95" customHeight="1" x14ac:dyDescent="0.2">
      <c r="A1649" s="5" t="s">
        <v>17</v>
      </c>
      <c r="B1649" t="s">
        <v>1582</v>
      </c>
      <c r="C1649" t="s">
        <v>736</v>
      </c>
      <c r="D1649" s="6" t="s">
        <v>362</v>
      </c>
      <c r="E1649" s="6"/>
      <c r="K1649" s="7">
        <v>44005845</v>
      </c>
      <c r="L1649" s="5" t="str">
        <f t="shared" si="173"/>
        <v>AR LUCCA KOMODİN</v>
      </c>
      <c r="M1649" s="8">
        <v>0.15</v>
      </c>
      <c r="N1649" s="8">
        <v>0.1</v>
      </c>
      <c r="O1649" s="8">
        <v>5770</v>
      </c>
      <c r="P1649" s="8">
        <f t="shared" si="174"/>
        <v>5193</v>
      </c>
      <c r="Q1649" s="12">
        <f t="shared" si="175"/>
        <v>10905.300000000001</v>
      </c>
      <c r="R1649" s="31">
        <f t="shared" si="176"/>
        <v>10900</v>
      </c>
      <c r="T1649" s="8">
        <v>5225</v>
      </c>
      <c r="V1649" s="8">
        <f t="shared" si="171"/>
        <v>4702.5</v>
      </c>
      <c r="W1649" s="8">
        <f t="shared" si="172"/>
        <v>11756.25</v>
      </c>
    </row>
    <row r="1650" spans="1:23" ht="21.95" customHeight="1" x14ac:dyDescent="0.2">
      <c r="A1650" s="5" t="s">
        <v>17</v>
      </c>
      <c r="B1650" t="s">
        <v>1582</v>
      </c>
      <c r="C1650" t="s">
        <v>736</v>
      </c>
      <c r="D1650" s="6" t="s">
        <v>361</v>
      </c>
      <c r="E1650" s="6"/>
      <c r="K1650" s="7">
        <v>44005846</v>
      </c>
      <c r="L1650" s="5" t="str">
        <f t="shared" si="173"/>
        <v>AR LUCCA DOLAP</v>
      </c>
      <c r="M1650" s="8">
        <v>0.15</v>
      </c>
      <c r="N1650" s="8">
        <v>0.1</v>
      </c>
      <c r="O1650" s="8">
        <v>42685</v>
      </c>
      <c r="P1650" s="8">
        <f t="shared" si="174"/>
        <v>38416.5</v>
      </c>
      <c r="Q1650" s="12">
        <f t="shared" si="175"/>
        <v>80674.650000000009</v>
      </c>
      <c r="R1650" s="31">
        <f t="shared" si="176"/>
        <v>80600</v>
      </c>
      <c r="T1650" s="8">
        <v>12365</v>
      </c>
      <c r="V1650" s="8">
        <f t="shared" si="171"/>
        <v>11128.5</v>
      </c>
      <c r="W1650" s="8">
        <f t="shared" si="172"/>
        <v>27821.25</v>
      </c>
    </row>
    <row r="1651" spans="1:23" ht="21.95" customHeight="1" x14ac:dyDescent="0.2">
      <c r="A1651" s="5" t="s">
        <v>17</v>
      </c>
      <c r="B1651" t="s">
        <v>1582</v>
      </c>
      <c r="C1651" t="s">
        <v>736</v>
      </c>
      <c r="D1651" s="6" t="s">
        <v>595</v>
      </c>
      <c r="E1651" s="6"/>
      <c r="K1651" s="7">
        <v>44005847</v>
      </c>
      <c r="L1651" s="5" t="str">
        <f t="shared" si="173"/>
        <v>AR LUCCA ŞİFONYER &amp; AYNASI</v>
      </c>
      <c r="M1651" s="8">
        <v>0.15</v>
      </c>
      <c r="N1651" s="8">
        <v>0.1</v>
      </c>
      <c r="O1651" s="8">
        <v>33060</v>
      </c>
      <c r="P1651" s="8">
        <f t="shared" si="174"/>
        <v>29754</v>
      </c>
      <c r="Q1651" s="12">
        <f t="shared" si="175"/>
        <v>62483.4</v>
      </c>
      <c r="R1651" s="31">
        <f t="shared" si="176"/>
        <v>62400</v>
      </c>
      <c r="T1651" s="8">
        <v>12365</v>
      </c>
      <c r="V1651" s="8">
        <f t="shared" si="171"/>
        <v>11128.5</v>
      </c>
      <c r="W1651" s="8">
        <f t="shared" si="172"/>
        <v>27821.25</v>
      </c>
    </row>
    <row r="1652" spans="1:23" ht="21.95" customHeight="1" x14ac:dyDescent="0.2">
      <c r="A1652" s="5" t="s">
        <v>17</v>
      </c>
      <c r="B1652" t="s">
        <v>1582</v>
      </c>
      <c r="C1652" t="s">
        <v>736</v>
      </c>
      <c r="D1652" s="6" t="s">
        <v>126</v>
      </c>
      <c r="E1652" s="6"/>
      <c r="K1652" s="7">
        <v>44005848</v>
      </c>
      <c r="L1652" s="5" t="str">
        <f t="shared" si="173"/>
        <v>AR LUCCA ÇAMAŞIRLIK</v>
      </c>
      <c r="M1652" s="8">
        <v>0.15</v>
      </c>
      <c r="N1652" s="8">
        <v>0.1</v>
      </c>
      <c r="O1652" s="8">
        <v>9400</v>
      </c>
      <c r="P1652" s="8">
        <f t="shared" si="174"/>
        <v>8460</v>
      </c>
      <c r="Q1652" s="12">
        <f t="shared" si="175"/>
        <v>17766</v>
      </c>
      <c r="R1652" s="31">
        <f t="shared" si="176"/>
        <v>17700</v>
      </c>
      <c r="T1652" s="8">
        <v>14390</v>
      </c>
      <c r="V1652" s="8">
        <f t="shared" si="171"/>
        <v>12951</v>
      </c>
      <c r="W1652" s="8">
        <f t="shared" si="172"/>
        <v>32377.5</v>
      </c>
    </row>
    <row r="1653" spans="1:23" ht="21.95" customHeight="1" x14ac:dyDescent="0.2">
      <c r="A1653" s="5" t="s">
        <v>17</v>
      </c>
      <c r="B1653" t="s">
        <v>1582</v>
      </c>
      <c r="C1653" t="s">
        <v>736</v>
      </c>
      <c r="D1653" s="6" t="s">
        <v>82</v>
      </c>
      <c r="E1653" s="6"/>
      <c r="K1653" s="7">
        <v>44005849</v>
      </c>
      <c r="L1653" s="5" t="str">
        <f t="shared" si="173"/>
        <v>AR LUCCA BOY AYNASI</v>
      </c>
      <c r="M1653" s="8">
        <v>0.15</v>
      </c>
      <c r="N1653" s="8">
        <v>0.1</v>
      </c>
      <c r="O1653" s="8">
        <v>4305</v>
      </c>
      <c r="P1653" s="8">
        <f t="shared" si="174"/>
        <v>3874.5</v>
      </c>
      <c r="Q1653" s="12">
        <f t="shared" si="175"/>
        <v>8136.4500000000007</v>
      </c>
      <c r="R1653" s="31">
        <f t="shared" si="176"/>
        <v>8100</v>
      </c>
      <c r="T1653" s="8">
        <v>14630</v>
      </c>
      <c r="V1653" s="8">
        <f t="shared" si="171"/>
        <v>13167</v>
      </c>
      <c r="W1653" s="8">
        <f t="shared" si="172"/>
        <v>32917.5</v>
      </c>
    </row>
    <row r="1654" spans="1:23" ht="21.95" customHeight="1" x14ac:dyDescent="0.2">
      <c r="A1654" s="5" t="s">
        <v>17</v>
      </c>
      <c r="B1654" t="s">
        <v>1582</v>
      </c>
      <c r="C1654" t="s">
        <v>736</v>
      </c>
      <c r="D1654" s="6" t="s">
        <v>119</v>
      </c>
      <c r="E1654" s="6"/>
      <c r="K1654" s="7">
        <v>44005850</v>
      </c>
      <c r="L1654" s="5" t="str">
        <f t="shared" si="173"/>
        <v>AR LUCCA PUF</v>
      </c>
      <c r="M1654" s="8">
        <v>0.15</v>
      </c>
      <c r="N1654" s="8">
        <v>0.1</v>
      </c>
      <c r="O1654" s="8">
        <v>2990</v>
      </c>
      <c r="P1654" s="8">
        <f t="shared" si="174"/>
        <v>2691</v>
      </c>
      <c r="Q1654" s="12">
        <f t="shared" si="175"/>
        <v>5651.1</v>
      </c>
      <c r="R1654" s="31">
        <f t="shared" si="176"/>
        <v>5600</v>
      </c>
      <c r="T1654" s="8">
        <v>9355</v>
      </c>
      <c r="V1654" s="8">
        <f t="shared" si="171"/>
        <v>8419.5</v>
      </c>
      <c r="W1654" s="8">
        <f t="shared" si="172"/>
        <v>21048.75</v>
      </c>
    </row>
    <row r="1655" spans="1:23" ht="21.95" customHeight="1" x14ac:dyDescent="0.2">
      <c r="A1655" s="5" t="s">
        <v>17</v>
      </c>
      <c r="B1655" t="s">
        <v>1582</v>
      </c>
      <c r="C1655" t="s">
        <v>736</v>
      </c>
      <c r="D1655" s="6" t="s">
        <v>745</v>
      </c>
      <c r="E1655" s="6"/>
      <c r="K1655" s="7">
        <v>44005851</v>
      </c>
      <c r="L1655" s="5" t="str">
        <f t="shared" si="173"/>
        <v xml:space="preserve">AR LUCCA GİYİNME ODASI KÖŞE MODÜL </v>
      </c>
      <c r="M1655" s="8">
        <v>0.15</v>
      </c>
      <c r="N1655" s="8">
        <v>0.1</v>
      </c>
      <c r="O1655" s="8">
        <v>17220</v>
      </c>
      <c r="P1655" s="8">
        <f t="shared" si="174"/>
        <v>15498</v>
      </c>
      <c r="Q1655" s="12">
        <f t="shared" si="175"/>
        <v>32545.800000000003</v>
      </c>
      <c r="R1655" s="31">
        <f t="shared" si="176"/>
        <v>32500</v>
      </c>
      <c r="T1655" s="8">
        <v>11090</v>
      </c>
      <c r="V1655" s="8">
        <f t="shared" si="171"/>
        <v>9981</v>
      </c>
      <c r="W1655" s="8">
        <f t="shared" si="172"/>
        <v>24952.5</v>
      </c>
    </row>
    <row r="1656" spans="1:23" ht="23.25" customHeight="1" x14ac:dyDescent="0.2">
      <c r="A1656" s="5" t="s">
        <v>17</v>
      </c>
      <c r="B1656" t="s">
        <v>1582</v>
      </c>
      <c r="C1656" t="s">
        <v>736</v>
      </c>
      <c r="D1656" s="6" t="s">
        <v>746</v>
      </c>
      <c r="E1656" s="6"/>
      <c r="K1656" s="7">
        <v>44005852</v>
      </c>
      <c r="L1656" s="5" t="str">
        <f t="shared" si="173"/>
        <v>AR LUCCA GİYİNME ODASI TEKLİ RAFLI MODÜL SAĞ-SOL</v>
      </c>
      <c r="M1656" s="8">
        <v>0.15</v>
      </c>
      <c r="N1656" s="8">
        <v>0.1</v>
      </c>
      <c r="O1656" s="8">
        <v>8910</v>
      </c>
      <c r="P1656" s="8">
        <f t="shared" si="174"/>
        <v>8019</v>
      </c>
      <c r="Q1656" s="12">
        <f t="shared" si="175"/>
        <v>16839.900000000001</v>
      </c>
      <c r="R1656" s="31">
        <f t="shared" si="176"/>
        <v>16800</v>
      </c>
      <c r="T1656" s="8">
        <v>16625</v>
      </c>
      <c r="V1656" s="8">
        <f t="shared" si="171"/>
        <v>14962.5</v>
      </c>
      <c r="W1656" s="8">
        <f t="shared" si="172"/>
        <v>37406.25</v>
      </c>
    </row>
    <row r="1657" spans="1:23" ht="24.75" customHeight="1" x14ac:dyDescent="0.2">
      <c r="A1657" s="5" t="s">
        <v>17</v>
      </c>
      <c r="B1657" t="s">
        <v>1582</v>
      </c>
      <c r="C1657" t="s">
        <v>736</v>
      </c>
      <c r="D1657" s="6" t="s">
        <v>747</v>
      </c>
      <c r="E1657" s="6"/>
      <c r="K1657" s="7">
        <v>44005853</v>
      </c>
      <c r="L1657" s="5" t="str">
        <f t="shared" si="173"/>
        <v>AR LUCCA GİYİNME ODASI ÇİFTLİ BOY AYNASI CAMLI M.</v>
      </c>
      <c r="M1657" s="8">
        <v>0.15</v>
      </c>
      <c r="N1657" s="8">
        <v>0.1</v>
      </c>
      <c r="O1657" s="8">
        <v>15705</v>
      </c>
      <c r="P1657" s="8">
        <f t="shared" si="174"/>
        <v>14134.5</v>
      </c>
      <c r="Q1657" s="12">
        <f t="shared" si="175"/>
        <v>29682.45</v>
      </c>
      <c r="R1657" s="31">
        <f t="shared" si="176"/>
        <v>29600</v>
      </c>
      <c r="T1657" s="8">
        <v>16850</v>
      </c>
      <c r="V1657" s="8">
        <f t="shared" si="171"/>
        <v>15165</v>
      </c>
      <c r="W1657" s="8">
        <f t="shared" si="172"/>
        <v>37912.5</v>
      </c>
    </row>
    <row r="1658" spans="1:23" ht="21.95" customHeight="1" x14ac:dyDescent="0.2">
      <c r="A1658" s="5" t="s">
        <v>17</v>
      </c>
      <c r="B1658" t="s">
        <v>1582</v>
      </c>
      <c r="C1658" t="s">
        <v>736</v>
      </c>
      <c r="D1658" s="6" t="s">
        <v>748</v>
      </c>
      <c r="E1658" s="6"/>
      <c r="K1658" s="7">
        <v>44005854</v>
      </c>
      <c r="L1658" s="5" t="str">
        <f t="shared" si="173"/>
        <v>AR LUCCA GİYİNME ODASI ÇİFT ÇEKMECELİ CAMLI M.</v>
      </c>
      <c r="M1658" s="8">
        <v>0.15</v>
      </c>
      <c r="N1658" s="8">
        <v>0.1</v>
      </c>
      <c r="O1658" s="8">
        <v>17605</v>
      </c>
      <c r="P1658" s="8">
        <f t="shared" si="174"/>
        <v>15844.5</v>
      </c>
      <c r="Q1658" s="12">
        <f t="shared" si="175"/>
        <v>33273.450000000004</v>
      </c>
      <c r="R1658" s="31">
        <f t="shared" si="176"/>
        <v>33200</v>
      </c>
      <c r="T1658" s="8">
        <v>28830</v>
      </c>
      <c r="V1658" s="8">
        <f t="shared" si="171"/>
        <v>25947</v>
      </c>
      <c r="W1658" s="8">
        <f t="shared" si="172"/>
        <v>64867.5</v>
      </c>
    </row>
    <row r="1659" spans="1:23" ht="21.95" customHeight="1" x14ac:dyDescent="0.2">
      <c r="A1659" s="5" t="s">
        <v>17</v>
      </c>
      <c r="B1659" t="s">
        <v>1582</v>
      </c>
      <c r="C1659" t="s">
        <v>749</v>
      </c>
      <c r="D1659" s="6" t="s">
        <v>49</v>
      </c>
      <c r="E1659" s="6"/>
      <c r="K1659" s="7">
        <v>44005855</v>
      </c>
      <c r="L1659" s="5" t="str">
        <f t="shared" si="173"/>
        <v>AR VEGAS KONSOL</v>
      </c>
      <c r="M1659" s="8">
        <v>0.15</v>
      </c>
      <c r="N1659" s="8">
        <v>0.1</v>
      </c>
      <c r="O1659" s="8">
        <v>36220</v>
      </c>
      <c r="P1659" s="8">
        <f t="shared" si="174"/>
        <v>32598</v>
      </c>
      <c r="Q1659" s="12">
        <f t="shared" si="175"/>
        <v>68455.8</v>
      </c>
      <c r="R1659" s="31">
        <f t="shared" si="176"/>
        <v>68400</v>
      </c>
      <c r="T1659" s="8">
        <v>5578</v>
      </c>
      <c r="V1659" s="8">
        <f t="shared" si="171"/>
        <v>5020.2</v>
      </c>
      <c r="W1659" s="8">
        <f t="shared" si="172"/>
        <v>12550.5</v>
      </c>
    </row>
    <row r="1660" spans="1:23" ht="21.95" customHeight="1" x14ac:dyDescent="0.2">
      <c r="A1660" s="5" t="s">
        <v>17</v>
      </c>
      <c r="B1660" t="s">
        <v>1582</v>
      </c>
      <c r="C1660" t="s">
        <v>749</v>
      </c>
      <c r="D1660" s="6" t="s">
        <v>21</v>
      </c>
      <c r="E1660" s="6"/>
      <c r="K1660" s="7">
        <v>44005856</v>
      </c>
      <c r="L1660" s="5" t="str">
        <f t="shared" si="173"/>
        <v>AR VEGAS KONSOL AYNASI</v>
      </c>
      <c r="M1660" s="8">
        <v>0.15</v>
      </c>
      <c r="N1660" s="8">
        <v>0.1</v>
      </c>
      <c r="O1660" s="8">
        <v>5484</v>
      </c>
      <c r="P1660" s="8">
        <f t="shared" si="174"/>
        <v>4935.6000000000004</v>
      </c>
      <c r="Q1660" s="12">
        <f t="shared" si="175"/>
        <v>10364.760000000002</v>
      </c>
      <c r="R1660" s="31">
        <f t="shared" si="176"/>
        <v>10300</v>
      </c>
      <c r="T1660" s="8">
        <v>15360</v>
      </c>
      <c r="V1660" s="8">
        <f t="shared" si="171"/>
        <v>13824</v>
      </c>
      <c r="W1660" s="8">
        <f t="shared" si="172"/>
        <v>34560</v>
      </c>
    </row>
    <row r="1661" spans="1:23" ht="21.95" customHeight="1" x14ac:dyDescent="0.2">
      <c r="A1661" s="5" t="s">
        <v>17</v>
      </c>
      <c r="B1661" t="s">
        <v>1582</v>
      </c>
      <c r="C1661" t="s">
        <v>749</v>
      </c>
      <c r="D1661" s="6" t="s">
        <v>599</v>
      </c>
      <c r="E1661" s="6"/>
      <c r="K1661" s="7">
        <v>44005857</v>
      </c>
      <c r="L1661" s="5" t="str">
        <f t="shared" si="173"/>
        <v>AR VEGAS MASA 210CM</v>
      </c>
      <c r="M1661" s="8">
        <v>0.15</v>
      </c>
      <c r="N1661" s="8">
        <v>0.1</v>
      </c>
      <c r="O1661" s="8">
        <v>34815</v>
      </c>
      <c r="P1661" s="8">
        <f t="shared" si="174"/>
        <v>31333.5</v>
      </c>
      <c r="Q1661" s="12">
        <f t="shared" si="175"/>
        <v>65800.350000000006</v>
      </c>
      <c r="R1661" s="31">
        <f t="shared" si="176"/>
        <v>65800</v>
      </c>
      <c r="T1661" s="8">
        <v>19968</v>
      </c>
      <c r="V1661" s="8">
        <f t="shared" si="171"/>
        <v>17971.2</v>
      </c>
      <c r="W1661" s="8">
        <f t="shared" si="172"/>
        <v>44928</v>
      </c>
    </row>
    <row r="1662" spans="1:23" ht="21.95" customHeight="1" x14ac:dyDescent="0.2">
      <c r="A1662" s="5" t="s">
        <v>17</v>
      </c>
      <c r="B1662" t="s">
        <v>1582</v>
      </c>
      <c r="C1662" t="s">
        <v>749</v>
      </c>
      <c r="D1662" s="6" t="s">
        <v>587</v>
      </c>
      <c r="E1662" s="6"/>
      <c r="K1662" s="7">
        <v>44005858</v>
      </c>
      <c r="L1662" s="5" t="str">
        <f t="shared" si="173"/>
        <v>AR VEGAS MASA 180CM</v>
      </c>
      <c r="M1662" s="8">
        <v>0.15</v>
      </c>
      <c r="N1662" s="8">
        <v>0.1</v>
      </c>
      <c r="O1662" s="8">
        <v>45260</v>
      </c>
      <c r="P1662" s="8">
        <f t="shared" si="174"/>
        <v>40734</v>
      </c>
      <c r="Q1662" s="12">
        <f t="shared" si="175"/>
        <v>85541.400000000009</v>
      </c>
      <c r="R1662" s="31">
        <f t="shared" si="176"/>
        <v>85500</v>
      </c>
      <c r="T1662" s="8">
        <v>22821</v>
      </c>
      <c r="V1662" s="8">
        <f t="shared" si="171"/>
        <v>20538.900000000001</v>
      </c>
      <c r="W1662" s="8">
        <f t="shared" si="172"/>
        <v>51347.25</v>
      </c>
    </row>
    <row r="1663" spans="1:23" ht="21.95" customHeight="1" x14ac:dyDescent="0.2">
      <c r="A1663" s="5" t="s">
        <v>17</v>
      </c>
      <c r="B1663" t="s">
        <v>1582</v>
      </c>
      <c r="C1663" t="s">
        <v>749</v>
      </c>
      <c r="D1663" s="6" t="s">
        <v>24</v>
      </c>
      <c r="E1663" s="6"/>
      <c r="K1663" s="7">
        <v>44005859</v>
      </c>
      <c r="L1663" s="5" t="str">
        <f t="shared" si="173"/>
        <v>AR VEGAS MASA 240CM</v>
      </c>
      <c r="M1663" s="8">
        <v>0.15</v>
      </c>
      <c r="N1663" s="8">
        <v>0.1</v>
      </c>
      <c r="O1663" s="8">
        <v>51725</v>
      </c>
      <c r="P1663" s="8">
        <f t="shared" si="174"/>
        <v>46552.5</v>
      </c>
      <c r="Q1663" s="12">
        <f t="shared" si="175"/>
        <v>97760.25</v>
      </c>
      <c r="R1663" s="31">
        <f t="shared" si="176"/>
        <v>97700</v>
      </c>
      <c r="T1663" s="8">
        <v>5202</v>
      </c>
      <c r="V1663" s="8">
        <f t="shared" si="171"/>
        <v>4681.8</v>
      </c>
      <c r="W1663" s="8">
        <f t="shared" si="172"/>
        <v>11704.5</v>
      </c>
    </row>
    <row r="1664" spans="1:23" ht="21.95" customHeight="1" x14ac:dyDescent="0.2">
      <c r="A1664" s="5" t="s">
        <v>17</v>
      </c>
      <c r="B1664" t="s">
        <v>1582</v>
      </c>
      <c r="C1664" t="s">
        <v>749</v>
      </c>
      <c r="D1664" s="6" t="s">
        <v>25</v>
      </c>
      <c r="E1664" s="6"/>
      <c r="K1664" s="7">
        <v>44005860</v>
      </c>
      <c r="L1664" s="5" t="str">
        <f t="shared" si="173"/>
        <v>AR VEGAS SANDALYE</v>
      </c>
      <c r="M1664" s="8">
        <v>0.15</v>
      </c>
      <c r="N1664" s="8">
        <v>0.1</v>
      </c>
      <c r="O1664" s="8">
        <v>5531</v>
      </c>
      <c r="P1664" s="8">
        <f t="shared" si="174"/>
        <v>4977.9000000000005</v>
      </c>
      <c r="Q1664" s="12">
        <f t="shared" si="175"/>
        <v>10453.590000000002</v>
      </c>
      <c r="R1664" s="31">
        <f t="shared" si="176"/>
        <v>10400</v>
      </c>
      <c r="T1664" s="8">
        <v>15715</v>
      </c>
      <c r="V1664" s="8">
        <f t="shared" si="171"/>
        <v>14143.5</v>
      </c>
      <c r="W1664" s="8">
        <f t="shared" si="172"/>
        <v>35358.75</v>
      </c>
    </row>
    <row r="1665" spans="1:23" ht="21.95" customHeight="1" x14ac:dyDescent="0.2">
      <c r="A1665" s="5" t="s">
        <v>17</v>
      </c>
      <c r="B1665" t="s">
        <v>1582</v>
      </c>
      <c r="C1665" t="s">
        <v>749</v>
      </c>
      <c r="D1665" s="6" t="s">
        <v>405</v>
      </c>
      <c r="E1665" s="6"/>
      <c r="K1665" s="7">
        <v>44005861</v>
      </c>
      <c r="L1665" s="5" t="str">
        <f t="shared" si="173"/>
        <v>AR VEGAS VİTRİN</v>
      </c>
      <c r="M1665" s="8">
        <v>0.15</v>
      </c>
      <c r="N1665" s="8">
        <v>0.1</v>
      </c>
      <c r="O1665" s="8">
        <v>32600</v>
      </c>
      <c r="P1665" s="8">
        <f t="shared" si="174"/>
        <v>29340</v>
      </c>
      <c r="Q1665" s="12">
        <f t="shared" si="175"/>
        <v>61614</v>
      </c>
      <c r="R1665" s="31">
        <f t="shared" si="176"/>
        <v>61600</v>
      </c>
      <c r="T1665" s="8">
        <v>5320</v>
      </c>
      <c r="V1665" s="8">
        <f t="shared" si="171"/>
        <v>4788</v>
      </c>
      <c r="W1665" s="8">
        <f t="shared" si="172"/>
        <v>11970</v>
      </c>
    </row>
    <row r="1666" spans="1:23" ht="21.95" customHeight="1" x14ac:dyDescent="0.2">
      <c r="A1666" s="5" t="s">
        <v>17</v>
      </c>
      <c r="B1666" t="s">
        <v>1582</v>
      </c>
      <c r="C1666" t="s">
        <v>749</v>
      </c>
      <c r="D1666" s="6" t="s">
        <v>588</v>
      </c>
      <c r="E1666" s="6"/>
      <c r="K1666" s="7">
        <v>44005862</v>
      </c>
      <c r="L1666" s="5" t="str">
        <f t="shared" si="173"/>
        <v xml:space="preserve">AR VEGAS DRESUAR </v>
      </c>
      <c r="M1666" s="8">
        <v>0.15</v>
      </c>
      <c r="N1666" s="8">
        <v>0.1</v>
      </c>
      <c r="O1666" s="8">
        <v>24030</v>
      </c>
      <c r="P1666" s="8">
        <f t="shared" si="174"/>
        <v>21627</v>
      </c>
      <c r="Q1666" s="12">
        <f t="shared" si="175"/>
        <v>45416.700000000004</v>
      </c>
      <c r="R1666" s="31">
        <f t="shared" si="176"/>
        <v>45400</v>
      </c>
      <c r="T1666" s="8">
        <v>5820</v>
      </c>
      <c r="V1666" s="8">
        <f t="shared" ref="V1666:V1729" si="177">T1666*0.9</f>
        <v>5238</v>
      </c>
      <c r="W1666" s="8">
        <f t="shared" ref="W1666:W1729" si="178">V1666*2.5</f>
        <v>13095</v>
      </c>
    </row>
    <row r="1667" spans="1:23" ht="21.95" customHeight="1" x14ac:dyDescent="0.2">
      <c r="A1667" s="5" t="s">
        <v>17</v>
      </c>
      <c r="B1667" t="s">
        <v>1582</v>
      </c>
      <c r="C1667" t="s">
        <v>749</v>
      </c>
      <c r="D1667" s="6" t="s">
        <v>750</v>
      </c>
      <c r="E1667" s="6"/>
      <c r="K1667" s="7">
        <v>44005863</v>
      </c>
      <c r="L1667" s="5" t="str">
        <f t="shared" si="173"/>
        <v>AR VEGAS TV ÜNİTESİ ÜST PANO</v>
      </c>
      <c r="M1667" s="8">
        <v>0.15</v>
      </c>
      <c r="N1667" s="8">
        <v>0.1</v>
      </c>
      <c r="O1667" s="8">
        <v>11010</v>
      </c>
      <c r="P1667" s="8">
        <f t="shared" si="174"/>
        <v>9909</v>
      </c>
      <c r="Q1667" s="12">
        <f t="shared" si="175"/>
        <v>20808.900000000001</v>
      </c>
      <c r="R1667" s="31">
        <f t="shared" si="176"/>
        <v>20800</v>
      </c>
      <c r="T1667" s="8">
        <v>3965</v>
      </c>
      <c r="V1667" s="8">
        <f t="shared" si="177"/>
        <v>3568.5</v>
      </c>
      <c r="W1667" s="8">
        <f t="shared" si="178"/>
        <v>8921.25</v>
      </c>
    </row>
    <row r="1668" spans="1:23" ht="21.95" customHeight="1" x14ac:dyDescent="0.2">
      <c r="A1668" s="5" t="s">
        <v>17</v>
      </c>
      <c r="B1668" t="s">
        <v>1582</v>
      </c>
      <c r="C1668" t="s">
        <v>749</v>
      </c>
      <c r="D1668" s="6" t="s">
        <v>496</v>
      </c>
      <c r="E1668" s="6"/>
      <c r="K1668" s="7">
        <v>44005864</v>
      </c>
      <c r="L1668" s="5" t="str">
        <f t="shared" si="173"/>
        <v>AR VEGAS TV ÜNİTESİ ALT MODÜL</v>
      </c>
      <c r="M1668" s="8">
        <v>0.15</v>
      </c>
      <c r="N1668" s="8">
        <v>0.1</v>
      </c>
      <c r="O1668" s="8">
        <v>36390</v>
      </c>
      <c r="P1668" s="8">
        <f t="shared" si="174"/>
        <v>32751</v>
      </c>
      <c r="Q1668" s="12">
        <f t="shared" si="175"/>
        <v>68777.100000000006</v>
      </c>
      <c r="R1668" s="31">
        <f t="shared" si="176"/>
        <v>68700</v>
      </c>
      <c r="T1668" s="8">
        <v>13425</v>
      </c>
      <c r="V1668" s="8">
        <f t="shared" si="177"/>
        <v>12082.5</v>
      </c>
      <c r="W1668" s="8">
        <f t="shared" si="178"/>
        <v>30206.25</v>
      </c>
    </row>
    <row r="1669" spans="1:23" ht="21.95" customHeight="1" x14ac:dyDescent="0.2">
      <c r="A1669" s="5" t="s">
        <v>17</v>
      </c>
      <c r="B1669" t="s">
        <v>1582</v>
      </c>
      <c r="C1669" t="s">
        <v>749</v>
      </c>
      <c r="D1669" s="6" t="s">
        <v>29</v>
      </c>
      <c r="E1669" s="6"/>
      <c r="K1669" s="7">
        <v>44005865</v>
      </c>
      <c r="L1669" s="5" t="str">
        <f t="shared" si="173"/>
        <v>AR VEGAS ORTA SEHPA</v>
      </c>
      <c r="M1669" s="8">
        <v>0.15</v>
      </c>
      <c r="N1669" s="8">
        <v>0.1</v>
      </c>
      <c r="O1669" s="8">
        <v>23550</v>
      </c>
      <c r="P1669" s="8">
        <f t="shared" si="174"/>
        <v>21195</v>
      </c>
      <c r="Q1669" s="12">
        <f t="shared" si="175"/>
        <v>44509.5</v>
      </c>
      <c r="R1669" s="31">
        <f t="shared" si="176"/>
        <v>44500</v>
      </c>
      <c r="T1669" s="8">
        <v>11090</v>
      </c>
      <c r="V1669" s="8">
        <f t="shared" si="177"/>
        <v>9981</v>
      </c>
      <c r="W1669" s="8">
        <f t="shared" si="178"/>
        <v>24952.5</v>
      </c>
    </row>
    <row r="1670" spans="1:23" ht="21.95" customHeight="1" x14ac:dyDescent="0.2">
      <c r="A1670" s="5" t="s">
        <v>17</v>
      </c>
      <c r="B1670" t="s">
        <v>1582</v>
      </c>
      <c r="C1670" t="s">
        <v>749</v>
      </c>
      <c r="D1670" s="6" t="s">
        <v>30</v>
      </c>
      <c r="E1670" s="6"/>
      <c r="K1670" s="7">
        <v>44005866</v>
      </c>
      <c r="L1670" s="5" t="str">
        <f t="shared" si="173"/>
        <v>AR VEGAS YAN SEHPA</v>
      </c>
      <c r="M1670" s="8">
        <v>0.15</v>
      </c>
      <c r="N1670" s="8">
        <v>0.1</v>
      </c>
      <c r="O1670" s="8">
        <v>15105</v>
      </c>
      <c r="P1670" s="8">
        <f t="shared" si="174"/>
        <v>13594.5</v>
      </c>
      <c r="Q1670" s="12">
        <f t="shared" si="175"/>
        <v>28548.45</v>
      </c>
      <c r="R1670" s="31">
        <f t="shared" si="176"/>
        <v>28500</v>
      </c>
      <c r="T1670" s="8">
        <v>18545</v>
      </c>
      <c r="V1670" s="8">
        <f t="shared" si="177"/>
        <v>16690.5</v>
      </c>
      <c r="W1670" s="8">
        <f t="shared" si="178"/>
        <v>41726.25</v>
      </c>
    </row>
    <row r="1671" spans="1:23" ht="21.95" customHeight="1" x14ac:dyDescent="0.2">
      <c r="A1671" s="5" t="s">
        <v>17</v>
      </c>
      <c r="B1671" t="s">
        <v>1582</v>
      </c>
      <c r="C1671" t="s">
        <v>749</v>
      </c>
      <c r="D1671" s="6" t="s">
        <v>31</v>
      </c>
      <c r="E1671" s="6"/>
      <c r="K1671" s="7">
        <v>44005867</v>
      </c>
      <c r="L1671" s="5" t="str">
        <f t="shared" si="173"/>
        <v>AR VEGAS KOLTUK 4 LÜ</v>
      </c>
      <c r="M1671" s="8">
        <v>0.15</v>
      </c>
      <c r="N1671" s="8">
        <v>0.1</v>
      </c>
      <c r="O1671" s="8">
        <v>35850</v>
      </c>
      <c r="P1671" s="8">
        <f t="shared" si="174"/>
        <v>32265</v>
      </c>
      <c r="Q1671" s="12">
        <f t="shared" si="175"/>
        <v>67756.5</v>
      </c>
      <c r="R1671" s="31">
        <f t="shared" si="176"/>
        <v>67700</v>
      </c>
      <c r="T1671" s="8">
        <v>5810</v>
      </c>
      <c r="V1671" s="8">
        <f t="shared" si="177"/>
        <v>5229</v>
      </c>
      <c r="W1671" s="8">
        <f t="shared" si="178"/>
        <v>13072.5</v>
      </c>
    </row>
    <row r="1672" spans="1:23" ht="21.95" customHeight="1" x14ac:dyDescent="0.2">
      <c r="A1672" s="5" t="s">
        <v>17</v>
      </c>
      <c r="B1672" t="s">
        <v>1582</v>
      </c>
      <c r="C1672" t="s">
        <v>749</v>
      </c>
      <c r="D1672" s="6" t="s">
        <v>32</v>
      </c>
      <c r="E1672" s="6"/>
      <c r="K1672" s="7">
        <v>44005868</v>
      </c>
      <c r="L1672" s="5" t="str">
        <f t="shared" si="173"/>
        <v>AR VEGAS KOLTUK 3 LÜ</v>
      </c>
      <c r="M1672" s="8">
        <v>0.15</v>
      </c>
      <c r="N1672" s="8">
        <v>0.1</v>
      </c>
      <c r="O1672" s="8">
        <v>32645</v>
      </c>
      <c r="P1672" s="8">
        <f t="shared" si="174"/>
        <v>29380.5</v>
      </c>
      <c r="Q1672" s="12">
        <f t="shared" si="175"/>
        <v>61699.05</v>
      </c>
      <c r="R1672" s="31">
        <f t="shared" si="176"/>
        <v>61600</v>
      </c>
      <c r="T1672" s="8">
        <v>9680</v>
      </c>
      <c r="V1672" s="8">
        <f t="shared" si="177"/>
        <v>8712</v>
      </c>
      <c r="W1672" s="8">
        <f t="shared" si="178"/>
        <v>21780</v>
      </c>
    </row>
    <row r="1673" spans="1:23" ht="21.95" customHeight="1" x14ac:dyDescent="0.2">
      <c r="A1673" s="5" t="s">
        <v>17</v>
      </c>
      <c r="B1673" t="s">
        <v>1582</v>
      </c>
      <c r="C1673" t="s">
        <v>749</v>
      </c>
      <c r="D1673" s="6" t="s">
        <v>592</v>
      </c>
      <c r="E1673" s="6"/>
      <c r="K1673" s="7">
        <v>44005869</v>
      </c>
      <c r="L1673" s="5" t="str">
        <f t="shared" si="173"/>
        <v>AR VEGAS KOLTUK TEKLİ</v>
      </c>
      <c r="M1673" s="8">
        <v>0.15</v>
      </c>
      <c r="N1673" s="8">
        <v>0.1</v>
      </c>
      <c r="O1673" s="8">
        <v>14950</v>
      </c>
      <c r="P1673" s="8">
        <f t="shared" si="174"/>
        <v>13455</v>
      </c>
      <c r="Q1673" s="12">
        <f t="shared" si="175"/>
        <v>28255.5</v>
      </c>
      <c r="R1673" s="31">
        <f t="shared" si="176"/>
        <v>28200</v>
      </c>
      <c r="T1673" s="8">
        <v>38140</v>
      </c>
      <c r="V1673" s="8">
        <f t="shared" si="177"/>
        <v>34326</v>
      </c>
      <c r="W1673" s="8">
        <f t="shared" si="178"/>
        <v>85815</v>
      </c>
    </row>
    <row r="1674" spans="1:23" ht="21.95" customHeight="1" x14ac:dyDescent="0.2">
      <c r="A1674" s="5" t="s">
        <v>17</v>
      </c>
      <c r="B1674" t="s">
        <v>1582</v>
      </c>
      <c r="C1674" t="s">
        <v>749</v>
      </c>
      <c r="D1674" s="6" t="s">
        <v>593</v>
      </c>
      <c r="E1674" s="6"/>
      <c r="K1674" s="7">
        <v>44005870</v>
      </c>
      <c r="L1674" s="5" t="str">
        <f t="shared" si="173"/>
        <v>AR VEGAS KARYOLA İÇ KAYITLI 160CM</v>
      </c>
      <c r="M1674" s="8">
        <v>0.15</v>
      </c>
      <c r="N1674" s="8">
        <v>0.1</v>
      </c>
      <c r="O1674" s="8">
        <v>27950</v>
      </c>
      <c r="P1674" s="8">
        <f t="shared" si="174"/>
        <v>25155</v>
      </c>
      <c r="Q1674" s="12">
        <f t="shared" si="175"/>
        <v>52825.5</v>
      </c>
      <c r="R1674" s="31">
        <f t="shared" si="176"/>
        <v>52800</v>
      </c>
      <c r="T1674" s="8">
        <v>34390</v>
      </c>
      <c r="V1674" s="8">
        <f t="shared" si="177"/>
        <v>30951</v>
      </c>
      <c r="W1674" s="8">
        <f t="shared" si="178"/>
        <v>77377.5</v>
      </c>
    </row>
    <row r="1675" spans="1:23" ht="21.95" customHeight="1" x14ac:dyDescent="0.2">
      <c r="A1675" s="5" t="s">
        <v>17</v>
      </c>
      <c r="B1675" t="s">
        <v>1582</v>
      </c>
      <c r="C1675" t="s">
        <v>749</v>
      </c>
      <c r="D1675" s="6" t="s">
        <v>75</v>
      </c>
      <c r="E1675" s="6"/>
      <c r="K1675" s="7">
        <v>44005871</v>
      </c>
      <c r="L1675" s="5" t="str">
        <f t="shared" si="173"/>
        <v>AR VEGAS KARYOLA BAZALI 160CM</v>
      </c>
      <c r="M1675" s="8">
        <v>0.15</v>
      </c>
      <c r="N1675" s="8">
        <v>0.1</v>
      </c>
      <c r="O1675" s="8">
        <v>32550</v>
      </c>
      <c r="P1675" s="8">
        <f t="shared" si="174"/>
        <v>29295</v>
      </c>
      <c r="Q1675" s="12">
        <f t="shared" si="175"/>
        <v>61519.5</v>
      </c>
      <c r="R1675" s="31">
        <f t="shared" si="176"/>
        <v>61500</v>
      </c>
      <c r="T1675" s="8">
        <v>14955</v>
      </c>
      <c r="V1675" s="8">
        <f t="shared" si="177"/>
        <v>13459.5</v>
      </c>
      <c r="W1675" s="8">
        <f t="shared" si="178"/>
        <v>33648.75</v>
      </c>
    </row>
    <row r="1676" spans="1:23" ht="21.95" customHeight="1" x14ac:dyDescent="0.2">
      <c r="A1676" s="5" t="s">
        <v>17</v>
      </c>
      <c r="B1676" t="s">
        <v>1582</v>
      </c>
      <c r="C1676" t="s">
        <v>749</v>
      </c>
      <c r="D1676" s="6" t="s">
        <v>76</v>
      </c>
      <c r="E1676" s="6"/>
      <c r="K1676" s="7">
        <v>44005872</v>
      </c>
      <c r="L1676" s="5" t="str">
        <f t="shared" si="173"/>
        <v>AR VEGAS KARYOLA BAZALI 180CM</v>
      </c>
      <c r="M1676" s="8">
        <v>0.15</v>
      </c>
      <c r="N1676" s="8">
        <v>0.1</v>
      </c>
      <c r="O1676" s="8">
        <v>35050</v>
      </c>
      <c r="P1676" s="8">
        <f t="shared" si="174"/>
        <v>31545</v>
      </c>
      <c r="Q1676" s="12">
        <f t="shared" si="175"/>
        <v>66244.5</v>
      </c>
      <c r="R1676" s="31">
        <f t="shared" si="176"/>
        <v>66200</v>
      </c>
      <c r="T1676" s="8">
        <v>5810</v>
      </c>
      <c r="V1676" s="8">
        <f t="shared" si="177"/>
        <v>5229</v>
      </c>
      <c r="W1676" s="8">
        <f t="shared" si="178"/>
        <v>13072.5</v>
      </c>
    </row>
    <row r="1677" spans="1:23" ht="21.95" customHeight="1" x14ac:dyDescent="0.2">
      <c r="A1677" s="5" t="s">
        <v>17</v>
      </c>
      <c r="B1677" t="s">
        <v>1582</v>
      </c>
      <c r="C1677" t="s">
        <v>749</v>
      </c>
      <c r="D1677" s="6" t="s">
        <v>594</v>
      </c>
      <c r="E1677" s="6"/>
      <c r="K1677" s="7">
        <v>44005873</v>
      </c>
      <c r="L1677" s="5" t="str">
        <f t="shared" si="173"/>
        <v>AR VEGAS KARYOLA İÇ KAYITLI 180CM</v>
      </c>
      <c r="M1677" s="8">
        <v>0.15</v>
      </c>
      <c r="N1677" s="8">
        <v>0.1</v>
      </c>
      <c r="O1677" s="8">
        <v>30450</v>
      </c>
      <c r="P1677" s="8">
        <f t="shared" si="174"/>
        <v>27405</v>
      </c>
      <c r="Q1677" s="12">
        <f t="shared" si="175"/>
        <v>57550.5</v>
      </c>
      <c r="R1677" s="31">
        <f t="shared" si="176"/>
        <v>57500</v>
      </c>
      <c r="T1677" s="8">
        <v>19125</v>
      </c>
      <c r="V1677" s="8">
        <f t="shared" si="177"/>
        <v>17212.5</v>
      </c>
      <c r="W1677" s="8">
        <f t="shared" si="178"/>
        <v>43031.25</v>
      </c>
    </row>
    <row r="1678" spans="1:23" ht="21.95" customHeight="1" x14ac:dyDescent="0.2">
      <c r="A1678" s="5" t="s">
        <v>17</v>
      </c>
      <c r="B1678" t="s">
        <v>1582</v>
      </c>
      <c r="C1678" t="s">
        <v>749</v>
      </c>
      <c r="D1678" s="6" t="s">
        <v>362</v>
      </c>
      <c r="E1678" s="6"/>
      <c r="K1678" s="7">
        <v>44005874</v>
      </c>
      <c r="L1678" s="5" t="str">
        <f t="shared" si="173"/>
        <v>AR VEGAS KOMODİN</v>
      </c>
      <c r="M1678" s="8">
        <v>0.15</v>
      </c>
      <c r="N1678" s="8">
        <v>0.1</v>
      </c>
      <c r="O1678" s="8">
        <v>9890</v>
      </c>
      <c r="P1678" s="8">
        <f t="shared" si="174"/>
        <v>8901</v>
      </c>
      <c r="Q1678" s="12">
        <f t="shared" si="175"/>
        <v>18692.100000000002</v>
      </c>
      <c r="R1678" s="31">
        <f t="shared" si="176"/>
        <v>18600</v>
      </c>
      <c r="T1678" s="8">
        <v>19125</v>
      </c>
      <c r="V1678" s="8">
        <f t="shared" si="177"/>
        <v>17212.5</v>
      </c>
      <c r="W1678" s="8">
        <f t="shared" si="178"/>
        <v>43031.25</v>
      </c>
    </row>
    <row r="1679" spans="1:23" ht="21.95" customHeight="1" x14ac:dyDescent="0.2">
      <c r="A1679" s="5" t="s">
        <v>17</v>
      </c>
      <c r="B1679" t="s">
        <v>1582</v>
      </c>
      <c r="C1679" t="s">
        <v>749</v>
      </c>
      <c r="D1679" s="6" t="s">
        <v>361</v>
      </c>
      <c r="E1679" s="6"/>
      <c r="K1679" s="7">
        <v>44005875</v>
      </c>
      <c r="L1679" s="5" t="str">
        <f t="shared" si="173"/>
        <v>AR VEGAS DOLAP</v>
      </c>
      <c r="M1679" s="8">
        <v>0.15</v>
      </c>
      <c r="N1679" s="8">
        <v>0.1</v>
      </c>
      <c r="O1679" s="8">
        <v>48510</v>
      </c>
      <c r="P1679" s="8">
        <f t="shared" si="174"/>
        <v>43659</v>
      </c>
      <c r="Q1679" s="12">
        <f t="shared" si="175"/>
        <v>91683.900000000009</v>
      </c>
      <c r="R1679" s="31">
        <f t="shared" si="176"/>
        <v>91600</v>
      </c>
      <c r="T1679" s="8">
        <v>17445</v>
      </c>
      <c r="V1679" s="8">
        <f t="shared" si="177"/>
        <v>15700.5</v>
      </c>
      <c r="W1679" s="8">
        <f t="shared" si="178"/>
        <v>39251.25</v>
      </c>
    </row>
    <row r="1680" spans="1:23" ht="21.95" customHeight="1" x14ac:dyDescent="0.2">
      <c r="A1680" s="5" t="s">
        <v>17</v>
      </c>
      <c r="B1680" t="s">
        <v>1582</v>
      </c>
      <c r="C1680" t="s">
        <v>749</v>
      </c>
      <c r="D1680" s="6" t="s">
        <v>595</v>
      </c>
      <c r="E1680" s="6"/>
      <c r="K1680" s="7">
        <v>44005876</v>
      </c>
      <c r="L1680" s="5" t="str">
        <f t="shared" si="173"/>
        <v>AR VEGAS ŞİFONYER &amp; AYNASI</v>
      </c>
      <c r="M1680" s="8">
        <v>0.15</v>
      </c>
      <c r="N1680" s="8">
        <v>0.1</v>
      </c>
      <c r="O1680" s="8">
        <v>24030</v>
      </c>
      <c r="P1680" s="8">
        <f t="shared" si="174"/>
        <v>21627</v>
      </c>
      <c r="Q1680" s="12">
        <f t="shared" si="175"/>
        <v>45416.700000000004</v>
      </c>
      <c r="R1680" s="31">
        <f t="shared" si="176"/>
        <v>45400</v>
      </c>
      <c r="T1680" s="8">
        <v>16945</v>
      </c>
      <c r="V1680" s="8">
        <f t="shared" si="177"/>
        <v>15250.5</v>
      </c>
      <c r="W1680" s="8">
        <f t="shared" si="178"/>
        <v>38126.25</v>
      </c>
    </row>
    <row r="1681" spans="1:23" ht="21.95" customHeight="1" x14ac:dyDescent="0.2">
      <c r="A1681" s="5" t="s">
        <v>17</v>
      </c>
      <c r="B1681" t="s">
        <v>1582</v>
      </c>
      <c r="C1681" t="s">
        <v>749</v>
      </c>
      <c r="D1681" s="6" t="s">
        <v>126</v>
      </c>
      <c r="E1681" s="6"/>
      <c r="K1681" s="7">
        <v>44005877</v>
      </c>
      <c r="L1681" s="5" t="str">
        <f t="shared" si="173"/>
        <v>AR VEGAS ÇAMAŞIRLIK</v>
      </c>
      <c r="M1681" s="8">
        <v>0.15</v>
      </c>
      <c r="N1681" s="8">
        <v>0.1</v>
      </c>
      <c r="O1681" s="8">
        <v>19900</v>
      </c>
      <c r="P1681" s="8">
        <f t="shared" si="174"/>
        <v>17910</v>
      </c>
      <c r="Q1681" s="12">
        <f t="shared" si="175"/>
        <v>37611</v>
      </c>
      <c r="R1681" s="31">
        <f t="shared" si="176"/>
        <v>37600</v>
      </c>
      <c r="T1681" s="8">
        <v>21450</v>
      </c>
      <c r="V1681" s="8">
        <f t="shared" si="177"/>
        <v>19305</v>
      </c>
      <c r="W1681" s="8">
        <f t="shared" si="178"/>
        <v>48262.5</v>
      </c>
    </row>
    <row r="1682" spans="1:23" ht="21.95" customHeight="1" x14ac:dyDescent="0.2">
      <c r="A1682" s="5" t="s">
        <v>17</v>
      </c>
      <c r="B1682" t="s">
        <v>1582</v>
      </c>
      <c r="C1682" t="s">
        <v>749</v>
      </c>
      <c r="D1682" s="6" t="s">
        <v>82</v>
      </c>
      <c r="E1682" s="6"/>
      <c r="K1682" s="7">
        <v>44005878</v>
      </c>
      <c r="L1682" s="5" t="str">
        <f t="shared" si="173"/>
        <v>AR VEGAS BOY AYNASI</v>
      </c>
      <c r="M1682" s="8">
        <v>0.15</v>
      </c>
      <c r="N1682" s="8">
        <v>0.1</v>
      </c>
      <c r="O1682" s="8">
        <v>4305</v>
      </c>
      <c r="P1682" s="8">
        <f t="shared" si="174"/>
        <v>3874.5</v>
      </c>
      <c r="Q1682" s="12">
        <f t="shared" si="175"/>
        <v>8136.4500000000007</v>
      </c>
      <c r="R1682" s="31">
        <f t="shared" si="176"/>
        <v>8100</v>
      </c>
      <c r="T1682" s="8">
        <v>26050</v>
      </c>
      <c r="V1682" s="8">
        <f t="shared" si="177"/>
        <v>23445</v>
      </c>
      <c r="W1682" s="8">
        <f t="shared" si="178"/>
        <v>58612.5</v>
      </c>
    </row>
    <row r="1683" spans="1:23" ht="21.95" customHeight="1" x14ac:dyDescent="0.2">
      <c r="A1683" s="5" t="s">
        <v>17</v>
      </c>
      <c r="B1683" t="s">
        <v>1582</v>
      </c>
      <c r="C1683" t="s">
        <v>749</v>
      </c>
      <c r="D1683" s="6" t="s">
        <v>197</v>
      </c>
      <c r="E1683" s="6"/>
      <c r="K1683" s="7">
        <v>44005879</v>
      </c>
      <c r="L1683" s="5" t="str">
        <f t="shared" ref="L1683:L1746" si="179">B1683&amp;" "&amp;C1683&amp;" "&amp;D1683</f>
        <v>AR VEGAS BENCH</v>
      </c>
      <c r="M1683" s="8">
        <v>0.15</v>
      </c>
      <c r="N1683" s="8">
        <v>0.1</v>
      </c>
      <c r="O1683" s="8">
        <v>6070</v>
      </c>
      <c r="P1683" s="8">
        <f t="shared" si="174"/>
        <v>5463</v>
      </c>
      <c r="Q1683" s="12">
        <f t="shared" si="175"/>
        <v>11472.300000000001</v>
      </c>
      <c r="R1683" s="31">
        <f t="shared" si="176"/>
        <v>11400</v>
      </c>
      <c r="T1683" s="8">
        <v>28550</v>
      </c>
      <c r="V1683" s="8">
        <f t="shared" si="177"/>
        <v>25695</v>
      </c>
      <c r="W1683" s="8">
        <f t="shared" si="178"/>
        <v>64237.5</v>
      </c>
    </row>
    <row r="1684" spans="1:23" ht="21.95" customHeight="1" x14ac:dyDescent="0.2">
      <c r="A1684" s="5" t="s">
        <v>17</v>
      </c>
      <c r="B1684" t="s">
        <v>1582</v>
      </c>
      <c r="C1684" t="s">
        <v>749</v>
      </c>
      <c r="D1684" s="6" t="s">
        <v>119</v>
      </c>
      <c r="E1684" s="6"/>
      <c r="K1684" s="7">
        <v>44005880</v>
      </c>
      <c r="L1684" s="5" t="str">
        <f t="shared" si="179"/>
        <v>AR VEGAS PUF</v>
      </c>
      <c r="M1684" s="8">
        <v>0.15</v>
      </c>
      <c r="N1684" s="8">
        <v>0.1</v>
      </c>
      <c r="O1684" s="8">
        <v>2990</v>
      </c>
      <c r="P1684" s="8">
        <f t="shared" si="174"/>
        <v>2691</v>
      </c>
      <c r="Q1684" s="12">
        <f t="shared" si="175"/>
        <v>5651.1</v>
      </c>
      <c r="R1684" s="31">
        <f t="shared" si="176"/>
        <v>5600</v>
      </c>
      <c r="T1684" s="8">
        <v>23950</v>
      </c>
      <c r="V1684" s="8">
        <f t="shared" si="177"/>
        <v>21555</v>
      </c>
      <c r="W1684" s="8">
        <f t="shared" si="178"/>
        <v>53887.5</v>
      </c>
    </row>
    <row r="1685" spans="1:23" ht="21.95" customHeight="1" x14ac:dyDescent="0.2">
      <c r="A1685" s="5" t="s">
        <v>17</v>
      </c>
      <c r="B1685" t="s">
        <v>1582</v>
      </c>
      <c r="C1685" t="s">
        <v>751</v>
      </c>
      <c r="D1685" s="6" t="s">
        <v>49</v>
      </c>
      <c r="E1685" s="6"/>
      <c r="K1685" s="7">
        <v>44005881</v>
      </c>
      <c r="L1685" s="5" t="str">
        <f t="shared" si="179"/>
        <v>AR LION KONSOL</v>
      </c>
      <c r="M1685" s="8">
        <v>0.15</v>
      </c>
      <c r="N1685" s="8">
        <v>0.1</v>
      </c>
      <c r="O1685" s="8">
        <v>37010</v>
      </c>
      <c r="P1685" s="8">
        <f t="shared" si="174"/>
        <v>33309</v>
      </c>
      <c r="Q1685" s="12">
        <f t="shared" si="175"/>
        <v>69948.900000000009</v>
      </c>
      <c r="R1685" s="31">
        <f t="shared" si="176"/>
        <v>69900</v>
      </c>
      <c r="T1685" s="8">
        <v>5515</v>
      </c>
      <c r="V1685" s="8">
        <f t="shared" si="177"/>
        <v>4963.5</v>
      </c>
      <c r="W1685" s="8">
        <f t="shared" si="178"/>
        <v>12408.75</v>
      </c>
    </row>
    <row r="1686" spans="1:23" ht="21.95" customHeight="1" x14ac:dyDescent="0.2">
      <c r="A1686" s="5" t="s">
        <v>17</v>
      </c>
      <c r="B1686" t="s">
        <v>1582</v>
      </c>
      <c r="C1686" t="s">
        <v>751</v>
      </c>
      <c r="D1686" s="6" t="s">
        <v>21</v>
      </c>
      <c r="E1686" s="6"/>
      <c r="K1686" s="7">
        <v>44005882</v>
      </c>
      <c r="L1686" s="5" t="str">
        <f t="shared" si="179"/>
        <v>AR LION KONSOL AYNASI</v>
      </c>
      <c r="M1686" s="8">
        <v>0.15</v>
      </c>
      <c r="N1686" s="8">
        <v>0.1</v>
      </c>
      <c r="O1686" s="8">
        <v>3793</v>
      </c>
      <c r="P1686" s="8">
        <f t="shared" si="174"/>
        <v>3413.7000000000003</v>
      </c>
      <c r="Q1686" s="12">
        <f t="shared" si="175"/>
        <v>7168.77</v>
      </c>
      <c r="R1686" s="31">
        <f t="shared" si="176"/>
        <v>7100</v>
      </c>
      <c r="T1686" s="8">
        <v>40245</v>
      </c>
      <c r="V1686" s="8">
        <f t="shared" si="177"/>
        <v>36220.5</v>
      </c>
      <c r="W1686" s="8">
        <f t="shared" si="178"/>
        <v>90551.25</v>
      </c>
    </row>
    <row r="1687" spans="1:23" ht="21.95" customHeight="1" x14ac:dyDescent="0.2">
      <c r="A1687" s="5" t="s">
        <v>17</v>
      </c>
      <c r="B1687" t="s">
        <v>1582</v>
      </c>
      <c r="C1687" t="s">
        <v>751</v>
      </c>
      <c r="D1687" s="6" t="s">
        <v>599</v>
      </c>
      <c r="E1687" s="6"/>
      <c r="K1687" s="7">
        <v>44005883</v>
      </c>
      <c r="L1687" s="5" t="str">
        <f t="shared" si="179"/>
        <v>AR LION MASA 210CM</v>
      </c>
      <c r="M1687" s="8">
        <v>0.15</v>
      </c>
      <c r="N1687" s="8">
        <v>0.1</v>
      </c>
      <c r="O1687" s="8">
        <v>22740</v>
      </c>
      <c r="P1687" s="8">
        <f t="shared" si="174"/>
        <v>20466</v>
      </c>
      <c r="Q1687" s="12">
        <f t="shared" si="175"/>
        <v>42978.6</v>
      </c>
      <c r="R1687" s="31">
        <f t="shared" si="176"/>
        <v>42900</v>
      </c>
      <c r="T1687" s="8">
        <v>17425</v>
      </c>
      <c r="V1687" s="8">
        <f t="shared" si="177"/>
        <v>15682.5</v>
      </c>
      <c r="W1687" s="8">
        <f t="shared" si="178"/>
        <v>39206.25</v>
      </c>
    </row>
    <row r="1688" spans="1:23" ht="21.95" customHeight="1" x14ac:dyDescent="0.2">
      <c r="A1688" s="5" t="s">
        <v>17</v>
      </c>
      <c r="B1688" t="s">
        <v>1582</v>
      </c>
      <c r="C1688" t="s">
        <v>751</v>
      </c>
      <c r="D1688" s="6" t="s">
        <v>587</v>
      </c>
      <c r="E1688" s="6"/>
      <c r="K1688" s="7">
        <v>44005884</v>
      </c>
      <c r="L1688" s="5" t="str">
        <f t="shared" si="179"/>
        <v>AR LION MASA 180CM</v>
      </c>
      <c r="M1688" s="8">
        <v>0.15</v>
      </c>
      <c r="N1688" s="8">
        <v>0.1</v>
      </c>
      <c r="O1688" s="8">
        <v>29562</v>
      </c>
      <c r="P1688" s="8">
        <f t="shared" si="174"/>
        <v>26605.8</v>
      </c>
      <c r="Q1688" s="12">
        <f t="shared" si="175"/>
        <v>55872.18</v>
      </c>
      <c r="R1688" s="31">
        <f t="shared" si="176"/>
        <v>55800</v>
      </c>
      <c r="T1688" s="8">
        <v>9825</v>
      </c>
      <c r="V1688" s="8">
        <f t="shared" si="177"/>
        <v>8842.5</v>
      </c>
      <c r="W1688" s="8">
        <f t="shared" si="178"/>
        <v>22106.25</v>
      </c>
    </row>
    <row r="1689" spans="1:23" ht="21.95" customHeight="1" x14ac:dyDescent="0.2">
      <c r="A1689" s="5" t="s">
        <v>17</v>
      </c>
      <c r="B1689" t="s">
        <v>1582</v>
      </c>
      <c r="C1689" t="s">
        <v>751</v>
      </c>
      <c r="D1689" s="6" t="s">
        <v>24</v>
      </c>
      <c r="E1689" s="6"/>
      <c r="K1689" s="7">
        <v>44005885</v>
      </c>
      <c r="L1689" s="5" t="str">
        <f t="shared" si="179"/>
        <v>AR LION MASA 240CM</v>
      </c>
      <c r="M1689" s="8">
        <v>0.15</v>
      </c>
      <c r="N1689" s="8">
        <v>0.1</v>
      </c>
      <c r="O1689" s="8">
        <v>33785</v>
      </c>
      <c r="P1689" s="8">
        <f t="shared" si="174"/>
        <v>30406.5</v>
      </c>
      <c r="Q1689" s="12">
        <f t="shared" si="175"/>
        <v>63853.65</v>
      </c>
      <c r="R1689" s="31">
        <f t="shared" si="176"/>
        <v>63800</v>
      </c>
      <c r="T1689" s="8">
        <v>4775</v>
      </c>
      <c r="V1689" s="8">
        <f t="shared" si="177"/>
        <v>4297.5</v>
      </c>
      <c r="W1689" s="8">
        <f t="shared" si="178"/>
        <v>10743.75</v>
      </c>
    </row>
    <row r="1690" spans="1:23" ht="21.95" customHeight="1" x14ac:dyDescent="0.2">
      <c r="A1690" s="5" t="s">
        <v>17</v>
      </c>
      <c r="B1690" t="s">
        <v>1582</v>
      </c>
      <c r="C1690" t="s">
        <v>751</v>
      </c>
      <c r="D1690" s="6" t="s">
        <v>25</v>
      </c>
      <c r="E1690" s="6"/>
      <c r="K1690" s="7">
        <v>44005886</v>
      </c>
      <c r="L1690" s="5" t="str">
        <f t="shared" si="179"/>
        <v>AR LION SANDALYE</v>
      </c>
      <c r="M1690" s="8">
        <v>0.15</v>
      </c>
      <c r="N1690" s="8">
        <v>0.1</v>
      </c>
      <c r="O1690" s="8">
        <v>4207</v>
      </c>
      <c r="P1690" s="8">
        <f t="shared" si="174"/>
        <v>3786.3</v>
      </c>
      <c r="Q1690" s="12">
        <f t="shared" si="175"/>
        <v>7951.2300000000005</v>
      </c>
      <c r="R1690" s="31">
        <f t="shared" si="176"/>
        <v>7900</v>
      </c>
      <c r="T1690" s="8">
        <v>3170</v>
      </c>
      <c r="V1690" s="8">
        <f t="shared" si="177"/>
        <v>2853</v>
      </c>
      <c r="W1690" s="8">
        <f t="shared" si="178"/>
        <v>7132.5</v>
      </c>
    </row>
    <row r="1691" spans="1:23" ht="21.95" customHeight="1" x14ac:dyDescent="0.2">
      <c r="A1691" s="5" t="s">
        <v>17</v>
      </c>
      <c r="B1691" t="s">
        <v>1582</v>
      </c>
      <c r="C1691" t="s">
        <v>751</v>
      </c>
      <c r="D1691" s="6" t="s">
        <v>750</v>
      </c>
      <c r="E1691" s="6"/>
      <c r="K1691" s="7">
        <v>44005887</v>
      </c>
      <c r="L1691" s="5" t="str">
        <f t="shared" si="179"/>
        <v>AR LION TV ÜNİTESİ ÜST PANO</v>
      </c>
      <c r="M1691" s="8">
        <v>0.15</v>
      </c>
      <c r="N1691" s="8">
        <v>0.1</v>
      </c>
      <c r="O1691" s="8">
        <v>5730</v>
      </c>
      <c r="P1691" s="8">
        <f t="shared" si="174"/>
        <v>5157</v>
      </c>
      <c r="Q1691" s="12">
        <f t="shared" si="175"/>
        <v>10829.7</v>
      </c>
      <c r="R1691" s="31">
        <f t="shared" si="176"/>
        <v>10800</v>
      </c>
      <c r="T1691" s="8">
        <v>28830</v>
      </c>
      <c r="V1691" s="8">
        <f t="shared" si="177"/>
        <v>25947</v>
      </c>
      <c r="W1691" s="8">
        <f t="shared" si="178"/>
        <v>64867.5</v>
      </c>
    </row>
    <row r="1692" spans="1:23" ht="21.95" customHeight="1" x14ac:dyDescent="0.2">
      <c r="A1692" s="5" t="s">
        <v>17</v>
      </c>
      <c r="B1692" t="s">
        <v>1582</v>
      </c>
      <c r="C1692" t="s">
        <v>751</v>
      </c>
      <c r="D1692" s="6" t="s">
        <v>496</v>
      </c>
      <c r="E1692" s="6"/>
      <c r="K1692" s="7">
        <v>44005888</v>
      </c>
      <c r="L1692" s="5" t="str">
        <f t="shared" si="179"/>
        <v>AR LION TV ÜNİTESİ ALT MODÜL</v>
      </c>
      <c r="M1692" s="8">
        <v>0.15</v>
      </c>
      <c r="N1692" s="8">
        <v>0.1</v>
      </c>
      <c r="O1692" s="8">
        <v>31895</v>
      </c>
      <c r="P1692" s="8">
        <f t="shared" si="174"/>
        <v>28705.5</v>
      </c>
      <c r="Q1692" s="12">
        <f t="shared" si="175"/>
        <v>60281.55</v>
      </c>
      <c r="R1692" s="31">
        <f t="shared" si="176"/>
        <v>60200</v>
      </c>
      <c r="T1692" s="8">
        <v>5578</v>
      </c>
      <c r="V1692" s="8">
        <f t="shared" si="177"/>
        <v>5020.2</v>
      </c>
      <c r="W1692" s="8">
        <f t="shared" si="178"/>
        <v>12550.5</v>
      </c>
    </row>
    <row r="1693" spans="1:23" ht="21.95" customHeight="1" x14ac:dyDescent="0.2">
      <c r="A1693" s="5" t="s">
        <v>17</v>
      </c>
      <c r="B1693" t="s">
        <v>1582</v>
      </c>
      <c r="C1693" t="s">
        <v>751</v>
      </c>
      <c r="D1693" s="6" t="s">
        <v>752</v>
      </c>
      <c r="E1693" s="6"/>
      <c r="K1693" s="7">
        <v>44005889</v>
      </c>
      <c r="L1693" s="5" t="str">
        <f t="shared" si="179"/>
        <v>AR LION TV ÜNİTESİ KAPAKLI MODÜL SAĞ-SOL</v>
      </c>
      <c r="M1693" s="8">
        <v>0.15</v>
      </c>
      <c r="N1693" s="8">
        <v>0.1</v>
      </c>
      <c r="O1693" s="8">
        <v>13805</v>
      </c>
      <c r="P1693" s="8">
        <f t="shared" si="174"/>
        <v>12424.5</v>
      </c>
      <c r="Q1693" s="12">
        <f t="shared" si="175"/>
        <v>26091.45</v>
      </c>
      <c r="R1693" s="31">
        <f t="shared" si="176"/>
        <v>26000</v>
      </c>
      <c r="T1693" s="8">
        <v>15360</v>
      </c>
      <c r="V1693" s="8">
        <f t="shared" si="177"/>
        <v>13824</v>
      </c>
      <c r="W1693" s="8">
        <f t="shared" si="178"/>
        <v>34560</v>
      </c>
    </row>
    <row r="1694" spans="1:23" ht="21.95" customHeight="1" x14ac:dyDescent="0.2">
      <c r="A1694" s="5" t="s">
        <v>17</v>
      </c>
      <c r="B1694" t="s">
        <v>1582</v>
      </c>
      <c r="C1694" t="s">
        <v>751</v>
      </c>
      <c r="D1694" s="6" t="s">
        <v>753</v>
      </c>
      <c r="E1694" s="6"/>
      <c r="K1694" s="7">
        <v>44005890</v>
      </c>
      <c r="L1694" s="5" t="str">
        <f t="shared" si="179"/>
        <v>AR LION ORTA SEHPA + 2 KÜÇÜK SEHPA</v>
      </c>
      <c r="M1694" s="8">
        <v>0.15</v>
      </c>
      <c r="N1694" s="8">
        <v>0.1</v>
      </c>
      <c r="O1694" s="8">
        <v>23060</v>
      </c>
      <c r="P1694" s="8">
        <f t="shared" si="174"/>
        <v>20754</v>
      </c>
      <c r="Q1694" s="12">
        <f t="shared" si="175"/>
        <v>43583.4</v>
      </c>
      <c r="R1694" s="31">
        <f t="shared" si="176"/>
        <v>43500</v>
      </c>
      <c r="T1694" s="8">
        <v>19968</v>
      </c>
      <c r="V1694" s="8">
        <f t="shared" si="177"/>
        <v>17971.2</v>
      </c>
      <c r="W1694" s="8">
        <f t="shared" si="178"/>
        <v>44928</v>
      </c>
    </row>
    <row r="1695" spans="1:23" ht="21.95" customHeight="1" x14ac:dyDescent="0.2">
      <c r="A1695" s="5" t="s">
        <v>17</v>
      </c>
      <c r="B1695" t="s">
        <v>1582</v>
      </c>
      <c r="C1695" t="s">
        <v>751</v>
      </c>
      <c r="D1695" s="6" t="s">
        <v>30</v>
      </c>
      <c r="E1695" s="6"/>
      <c r="K1695" s="7">
        <v>44005891</v>
      </c>
      <c r="L1695" s="5" t="str">
        <f t="shared" si="179"/>
        <v>AR LION YAN SEHPA</v>
      </c>
      <c r="M1695" s="8">
        <v>0.15</v>
      </c>
      <c r="N1695" s="8">
        <v>0.1</v>
      </c>
      <c r="O1695" s="8">
        <v>12275</v>
      </c>
      <c r="P1695" s="8">
        <f t="shared" si="174"/>
        <v>11047.5</v>
      </c>
      <c r="Q1695" s="12">
        <f t="shared" si="175"/>
        <v>23199.75</v>
      </c>
      <c r="R1695" s="31">
        <f t="shared" si="176"/>
        <v>23100</v>
      </c>
      <c r="T1695" s="8">
        <v>22821</v>
      </c>
      <c r="V1695" s="8">
        <f t="shared" si="177"/>
        <v>20538.900000000001</v>
      </c>
      <c r="W1695" s="8">
        <f t="shared" si="178"/>
        <v>51347.25</v>
      </c>
    </row>
    <row r="1696" spans="1:23" ht="21.95" customHeight="1" x14ac:dyDescent="0.2">
      <c r="A1696" s="5" t="s">
        <v>17</v>
      </c>
      <c r="B1696" t="s">
        <v>1582</v>
      </c>
      <c r="C1696" t="s">
        <v>751</v>
      </c>
      <c r="D1696" s="6" t="s">
        <v>754</v>
      </c>
      <c r="E1696" s="6"/>
      <c r="K1696" s="7">
        <v>44005892</v>
      </c>
      <c r="L1696" s="5" t="str">
        <f t="shared" si="179"/>
        <v>AR LION KOLTUK 4 LÜ DESENLİ KUMAŞ</v>
      </c>
      <c r="M1696" s="8">
        <v>0.15</v>
      </c>
      <c r="N1696" s="8">
        <v>0.1</v>
      </c>
      <c r="O1696" s="8">
        <v>38655</v>
      </c>
      <c r="P1696" s="8">
        <f t="shared" si="174"/>
        <v>34789.5</v>
      </c>
      <c r="Q1696" s="12">
        <f t="shared" si="175"/>
        <v>73057.95</v>
      </c>
      <c r="R1696" s="31">
        <f t="shared" si="176"/>
        <v>73000</v>
      </c>
      <c r="T1696" s="8">
        <v>3999</v>
      </c>
      <c r="V1696" s="8">
        <f t="shared" si="177"/>
        <v>3599.1</v>
      </c>
      <c r="W1696" s="8">
        <f t="shared" si="178"/>
        <v>8997.75</v>
      </c>
    </row>
    <row r="1697" spans="1:23" ht="21.95" customHeight="1" x14ac:dyDescent="0.2">
      <c r="A1697" s="5" t="s">
        <v>17</v>
      </c>
      <c r="B1697" t="s">
        <v>1582</v>
      </c>
      <c r="C1697" t="s">
        <v>751</v>
      </c>
      <c r="D1697" s="6" t="s">
        <v>755</v>
      </c>
      <c r="E1697" s="6"/>
      <c r="K1697" s="7">
        <v>44005893</v>
      </c>
      <c r="L1697" s="5" t="str">
        <f t="shared" si="179"/>
        <v>AR LION KOLTUK 4 LÜ DİKİŞLİ KUMAŞ</v>
      </c>
      <c r="M1697" s="8">
        <v>0.15</v>
      </c>
      <c r="N1697" s="8">
        <v>0.1</v>
      </c>
      <c r="O1697" s="8">
        <v>38950</v>
      </c>
      <c r="P1697" s="8">
        <f t="shared" si="174"/>
        <v>35055</v>
      </c>
      <c r="Q1697" s="12">
        <f t="shared" si="175"/>
        <v>73615.5</v>
      </c>
      <c r="R1697" s="31">
        <f t="shared" si="176"/>
        <v>73600</v>
      </c>
      <c r="T1697" s="8">
        <v>37670</v>
      </c>
      <c r="V1697" s="8">
        <f t="shared" si="177"/>
        <v>33903</v>
      </c>
      <c r="W1697" s="8">
        <f t="shared" si="178"/>
        <v>84757.5</v>
      </c>
    </row>
    <row r="1698" spans="1:23" ht="21.95" customHeight="1" x14ac:dyDescent="0.2">
      <c r="A1698" s="5" t="s">
        <v>17</v>
      </c>
      <c r="B1698" t="s">
        <v>1582</v>
      </c>
      <c r="C1698" t="s">
        <v>751</v>
      </c>
      <c r="D1698" s="6" t="s">
        <v>756</v>
      </c>
      <c r="E1698" s="6"/>
      <c r="K1698" s="7">
        <v>44005894</v>
      </c>
      <c r="L1698" s="5" t="str">
        <f t="shared" si="179"/>
        <v>AR LION KOLTUK 3 LÜ DESENLİ KUMAŞ</v>
      </c>
      <c r="M1698" s="8">
        <v>0.15</v>
      </c>
      <c r="N1698" s="8">
        <v>0.1</v>
      </c>
      <c r="O1698" s="8">
        <v>34445</v>
      </c>
      <c r="P1698" s="8">
        <f t="shared" si="174"/>
        <v>31000.5</v>
      </c>
      <c r="Q1698" s="12">
        <f t="shared" si="175"/>
        <v>65101.05</v>
      </c>
      <c r="R1698" s="31">
        <f t="shared" si="176"/>
        <v>65100</v>
      </c>
      <c r="T1698" s="8">
        <v>34030</v>
      </c>
      <c r="V1698" s="8">
        <f t="shared" si="177"/>
        <v>30627</v>
      </c>
      <c r="W1698" s="8">
        <f t="shared" si="178"/>
        <v>76567.5</v>
      </c>
    </row>
    <row r="1699" spans="1:23" ht="21.95" customHeight="1" x14ac:dyDescent="0.2">
      <c r="A1699" s="5" t="s">
        <v>17</v>
      </c>
      <c r="B1699" t="s">
        <v>1582</v>
      </c>
      <c r="C1699" t="s">
        <v>751</v>
      </c>
      <c r="D1699" s="6" t="s">
        <v>757</v>
      </c>
      <c r="E1699" s="6"/>
      <c r="K1699" s="7">
        <v>44005895</v>
      </c>
      <c r="L1699" s="5" t="str">
        <f t="shared" si="179"/>
        <v>AR LION KOLTUK 3 LÜ DİKİŞLİ KUMAŞ</v>
      </c>
      <c r="M1699" s="8">
        <v>0.15</v>
      </c>
      <c r="N1699" s="8">
        <v>0.1</v>
      </c>
      <c r="O1699" s="8">
        <v>35100</v>
      </c>
      <c r="P1699" s="8">
        <f t="shared" si="174"/>
        <v>31590</v>
      </c>
      <c r="Q1699" s="12">
        <f t="shared" si="175"/>
        <v>66339</v>
      </c>
      <c r="R1699" s="31">
        <f t="shared" si="176"/>
        <v>66300</v>
      </c>
      <c r="T1699" s="8">
        <v>13120</v>
      </c>
      <c r="V1699" s="8">
        <f t="shared" si="177"/>
        <v>11808</v>
      </c>
      <c r="W1699" s="8">
        <f t="shared" si="178"/>
        <v>29520</v>
      </c>
    </row>
    <row r="1700" spans="1:23" ht="21.95" customHeight="1" x14ac:dyDescent="0.2">
      <c r="A1700" s="5" t="s">
        <v>17</v>
      </c>
      <c r="B1700" t="s">
        <v>1582</v>
      </c>
      <c r="C1700" t="s">
        <v>751</v>
      </c>
      <c r="D1700" s="6" t="s">
        <v>592</v>
      </c>
      <c r="E1700" s="6"/>
      <c r="K1700" s="7">
        <v>44005896</v>
      </c>
      <c r="L1700" s="5" t="str">
        <f t="shared" si="179"/>
        <v>AR LION KOLTUK TEKLİ</v>
      </c>
      <c r="M1700" s="8">
        <v>0.15</v>
      </c>
      <c r="N1700" s="8">
        <v>0.1</v>
      </c>
      <c r="O1700" s="8">
        <v>16335</v>
      </c>
      <c r="P1700" s="8">
        <f t="shared" si="174"/>
        <v>14701.5</v>
      </c>
      <c r="Q1700" s="12">
        <f t="shared" si="175"/>
        <v>30873.15</v>
      </c>
      <c r="R1700" s="31">
        <f t="shared" si="176"/>
        <v>30800</v>
      </c>
      <c r="T1700" s="8">
        <v>6200</v>
      </c>
      <c r="V1700" s="8">
        <f t="shared" si="177"/>
        <v>5580</v>
      </c>
      <c r="W1700" s="8">
        <f t="shared" si="178"/>
        <v>13950</v>
      </c>
    </row>
    <row r="1701" spans="1:23" ht="21.95" customHeight="1" x14ac:dyDescent="0.2">
      <c r="A1701" s="5" t="s">
        <v>17</v>
      </c>
      <c r="B1701" t="s">
        <v>1582</v>
      </c>
      <c r="C1701" t="s">
        <v>751</v>
      </c>
      <c r="D1701" s="6" t="s">
        <v>593</v>
      </c>
      <c r="E1701" s="6"/>
      <c r="K1701" s="7">
        <v>44005897</v>
      </c>
      <c r="L1701" s="5" t="str">
        <f t="shared" si="179"/>
        <v>AR LION KARYOLA İÇ KAYITLI 160CM</v>
      </c>
      <c r="M1701" s="8">
        <v>0.15</v>
      </c>
      <c r="N1701" s="8">
        <v>0.1</v>
      </c>
      <c r="O1701" s="8">
        <v>28770</v>
      </c>
      <c r="P1701" s="8">
        <f t="shared" si="174"/>
        <v>25893</v>
      </c>
      <c r="Q1701" s="12">
        <f t="shared" si="175"/>
        <v>54375.3</v>
      </c>
      <c r="R1701" s="31">
        <f t="shared" si="176"/>
        <v>54300</v>
      </c>
      <c r="T1701" s="8">
        <v>28055</v>
      </c>
      <c r="V1701" s="8">
        <f t="shared" si="177"/>
        <v>25249.5</v>
      </c>
      <c r="W1701" s="8">
        <f t="shared" si="178"/>
        <v>63123.75</v>
      </c>
    </row>
    <row r="1702" spans="1:23" ht="21.95" customHeight="1" x14ac:dyDescent="0.2">
      <c r="A1702" s="5" t="s">
        <v>17</v>
      </c>
      <c r="B1702" t="s">
        <v>1582</v>
      </c>
      <c r="C1702" t="s">
        <v>751</v>
      </c>
      <c r="D1702" s="6" t="s">
        <v>75</v>
      </c>
      <c r="E1702" s="6"/>
      <c r="K1702" s="7">
        <v>44005898</v>
      </c>
      <c r="L1702" s="5" t="str">
        <f t="shared" si="179"/>
        <v>AR LION KARYOLA BAZALI 160CM</v>
      </c>
      <c r="M1702" s="8">
        <v>0.15</v>
      </c>
      <c r="N1702" s="8">
        <v>0.1</v>
      </c>
      <c r="O1702" s="8">
        <v>33370</v>
      </c>
      <c r="P1702" s="8">
        <f t="shared" si="174"/>
        <v>30033</v>
      </c>
      <c r="Q1702" s="12">
        <f t="shared" si="175"/>
        <v>63069.3</v>
      </c>
      <c r="R1702" s="31">
        <f t="shared" si="176"/>
        <v>63000</v>
      </c>
      <c r="T1702" s="8">
        <v>4937</v>
      </c>
      <c r="V1702" s="8">
        <f t="shared" si="177"/>
        <v>4443.3</v>
      </c>
      <c r="W1702" s="8">
        <f t="shared" si="178"/>
        <v>11108.25</v>
      </c>
    </row>
    <row r="1703" spans="1:23" ht="21.95" customHeight="1" x14ac:dyDescent="0.2">
      <c r="A1703" s="5" t="s">
        <v>17</v>
      </c>
      <c r="B1703" t="s">
        <v>1582</v>
      </c>
      <c r="C1703" t="s">
        <v>751</v>
      </c>
      <c r="D1703" s="6" t="s">
        <v>76</v>
      </c>
      <c r="E1703" s="6"/>
      <c r="K1703" s="7">
        <v>44005899</v>
      </c>
      <c r="L1703" s="5" t="str">
        <f t="shared" si="179"/>
        <v>AR LION KARYOLA BAZALI 180CM</v>
      </c>
      <c r="M1703" s="8">
        <v>0.15</v>
      </c>
      <c r="N1703" s="8">
        <v>0.1</v>
      </c>
      <c r="O1703" s="8">
        <v>35870</v>
      </c>
      <c r="P1703" s="8">
        <f t="shared" si="174"/>
        <v>32283</v>
      </c>
      <c r="Q1703" s="12">
        <f t="shared" si="175"/>
        <v>67794.3</v>
      </c>
      <c r="R1703" s="31">
        <f t="shared" si="176"/>
        <v>67700</v>
      </c>
      <c r="T1703" s="8">
        <v>16840</v>
      </c>
      <c r="V1703" s="8">
        <f t="shared" si="177"/>
        <v>15156</v>
      </c>
      <c r="W1703" s="8">
        <f t="shared" si="178"/>
        <v>37890</v>
      </c>
    </row>
    <row r="1704" spans="1:23" ht="21.95" customHeight="1" x14ac:dyDescent="0.2">
      <c r="A1704" s="5" t="s">
        <v>17</v>
      </c>
      <c r="B1704" t="s">
        <v>1582</v>
      </c>
      <c r="C1704" t="s">
        <v>751</v>
      </c>
      <c r="D1704" s="6" t="s">
        <v>758</v>
      </c>
      <c r="E1704" s="6"/>
      <c r="K1704" s="7">
        <v>44005900</v>
      </c>
      <c r="L1704" s="5" t="str">
        <f t="shared" si="179"/>
        <v>AR LION KARYOLA İÇKAYITLI 180CM</v>
      </c>
      <c r="M1704" s="8">
        <v>0.15</v>
      </c>
      <c r="N1704" s="8">
        <v>0.1</v>
      </c>
      <c r="O1704" s="8">
        <v>31270</v>
      </c>
      <c r="P1704" s="8">
        <f t="shared" si="174"/>
        <v>28143</v>
      </c>
      <c r="Q1704" s="12">
        <f t="shared" si="175"/>
        <v>59100.3</v>
      </c>
      <c r="R1704" s="31">
        <f t="shared" si="176"/>
        <v>59100</v>
      </c>
      <c r="T1704" s="8">
        <v>21892</v>
      </c>
      <c r="V1704" s="8">
        <f t="shared" si="177"/>
        <v>19702.8</v>
      </c>
      <c r="W1704" s="8">
        <f t="shared" si="178"/>
        <v>49257</v>
      </c>
    </row>
    <row r="1705" spans="1:23" ht="21.95" customHeight="1" x14ac:dyDescent="0.2">
      <c r="A1705" s="5" t="s">
        <v>17</v>
      </c>
      <c r="B1705" t="s">
        <v>1582</v>
      </c>
      <c r="C1705" t="s">
        <v>751</v>
      </c>
      <c r="D1705" s="6" t="s">
        <v>362</v>
      </c>
      <c r="E1705" s="6"/>
      <c r="K1705" s="7">
        <v>44005901</v>
      </c>
      <c r="L1705" s="5" t="str">
        <f t="shared" si="179"/>
        <v>AR LION KOMODİN</v>
      </c>
      <c r="M1705" s="8">
        <v>0.15</v>
      </c>
      <c r="N1705" s="8">
        <v>0.1</v>
      </c>
      <c r="O1705" s="8">
        <v>5585</v>
      </c>
      <c r="P1705" s="8">
        <f t="shared" si="174"/>
        <v>5026.5</v>
      </c>
      <c r="Q1705" s="12">
        <f t="shared" si="175"/>
        <v>10555.65</v>
      </c>
      <c r="R1705" s="31">
        <f t="shared" si="176"/>
        <v>10500</v>
      </c>
      <c r="T1705" s="8">
        <v>25019</v>
      </c>
      <c r="V1705" s="8">
        <f t="shared" si="177"/>
        <v>22517.100000000002</v>
      </c>
      <c r="W1705" s="8">
        <f t="shared" si="178"/>
        <v>56292.750000000007</v>
      </c>
    </row>
    <row r="1706" spans="1:23" ht="21.95" customHeight="1" x14ac:dyDescent="0.2">
      <c r="A1706" s="5" t="s">
        <v>17</v>
      </c>
      <c r="B1706" t="s">
        <v>1582</v>
      </c>
      <c r="C1706" t="s">
        <v>751</v>
      </c>
      <c r="D1706" s="6" t="s">
        <v>361</v>
      </c>
      <c r="E1706" s="6"/>
      <c r="K1706" s="7">
        <v>44005902</v>
      </c>
      <c r="L1706" s="5" t="str">
        <f t="shared" si="179"/>
        <v>AR LION DOLAP</v>
      </c>
      <c r="M1706" s="8">
        <v>0.15</v>
      </c>
      <c r="N1706" s="8">
        <v>0.1</v>
      </c>
      <c r="O1706" s="8">
        <v>46605</v>
      </c>
      <c r="P1706" s="8">
        <f t="shared" si="174"/>
        <v>41944.5</v>
      </c>
      <c r="Q1706" s="12">
        <f t="shared" si="175"/>
        <v>88083.45</v>
      </c>
      <c r="R1706" s="31">
        <f t="shared" si="176"/>
        <v>88000</v>
      </c>
      <c r="T1706" s="8">
        <v>5793</v>
      </c>
      <c r="V1706" s="8">
        <f t="shared" si="177"/>
        <v>5213.7</v>
      </c>
      <c r="W1706" s="8">
        <f t="shared" si="178"/>
        <v>13034.25</v>
      </c>
    </row>
    <row r="1707" spans="1:23" ht="21.95" customHeight="1" x14ac:dyDescent="0.2">
      <c r="A1707" s="5" t="s">
        <v>17</v>
      </c>
      <c r="B1707" t="s">
        <v>1582</v>
      </c>
      <c r="C1707" t="s">
        <v>751</v>
      </c>
      <c r="D1707" s="6" t="s">
        <v>595</v>
      </c>
      <c r="E1707" s="6"/>
      <c r="K1707" s="7">
        <v>44005903</v>
      </c>
      <c r="L1707" s="5" t="str">
        <f t="shared" si="179"/>
        <v>AR LION ŞİFONYER &amp; AYNASI</v>
      </c>
      <c r="M1707" s="8">
        <v>0.15</v>
      </c>
      <c r="N1707" s="8">
        <v>0.1</v>
      </c>
      <c r="O1707" s="8">
        <v>21190</v>
      </c>
      <c r="P1707" s="8">
        <f t="shared" si="174"/>
        <v>19071</v>
      </c>
      <c r="Q1707" s="12">
        <f t="shared" si="175"/>
        <v>40049.1</v>
      </c>
      <c r="R1707" s="31">
        <f t="shared" si="176"/>
        <v>40000</v>
      </c>
      <c r="T1707" s="8">
        <v>16630</v>
      </c>
      <c r="V1707" s="8">
        <f t="shared" si="177"/>
        <v>14967</v>
      </c>
      <c r="W1707" s="8">
        <f t="shared" si="178"/>
        <v>37417.5</v>
      </c>
    </row>
    <row r="1708" spans="1:23" ht="21.95" customHeight="1" x14ac:dyDescent="0.2">
      <c r="A1708" s="5" t="s">
        <v>17</v>
      </c>
      <c r="B1708" t="s">
        <v>1582</v>
      </c>
      <c r="C1708" t="s">
        <v>751</v>
      </c>
      <c r="D1708" s="6" t="s">
        <v>126</v>
      </c>
      <c r="E1708" s="6"/>
      <c r="K1708" s="7">
        <v>44005904</v>
      </c>
      <c r="L1708" s="5" t="str">
        <f t="shared" si="179"/>
        <v>AR LION ÇAMAŞIRLIK</v>
      </c>
      <c r="M1708" s="8">
        <v>0.15</v>
      </c>
      <c r="N1708" s="8">
        <v>0.1</v>
      </c>
      <c r="O1708" s="8">
        <v>12820</v>
      </c>
      <c r="P1708" s="8">
        <f t="shared" si="174"/>
        <v>11538</v>
      </c>
      <c r="Q1708" s="12">
        <f t="shared" si="175"/>
        <v>24229.8</v>
      </c>
      <c r="R1708" s="31">
        <f t="shared" si="176"/>
        <v>24200</v>
      </c>
      <c r="T1708" s="8">
        <v>11905</v>
      </c>
      <c r="V1708" s="8">
        <f t="shared" si="177"/>
        <v>10714.5</v>
      </c>
      <c r="W1708" s="8">
        <f t="shared" si="178"/>
        <v>26786.25</v>
      </c>
    </row>
    <row r="1709" spans="1:23" ht="21.95" customHeight="1" x14ac:dyDescent="0.2">
      <c r="A1709" s="5" t="s">
        <v>17</v>
      </c>
      <c r="B1709" t="s">
        <v>1582</v>
      </c>
      <c r="C1709" t="s">
        <v>751</v>
      </c>
      <c r="D1709" s="6" t="s">
        <v>82</v>
      </c>
      <c r="E1709" s="6"/>
      <c r="K1709" s="7">
        <v>44005905</v>
      </c>
      <c r="L1709" s="5" t="str">
        <f t="shared" si="179"/>
        <v>AR LION BOY AYNASI</v>
      </c>
      <c r="M1709" s="8">
        <v>0.15</v>
      </c>
      <c r="N1709" s="8">
        <v>0.1</v>
      </c>
      <c r="O1709" s="8">
        <v>4305</v>
      </c>
      <c r="P1709" s="8">
        <f t="shared" si="174"/>
        <v>3874.5</v>
      </c>
      <c r="Q1709" s="12">
        <f t="shared" si="175"/>
        <v>8136.4500000000007</v>
      </c>
      <c r="R1709" s="31">
        <f t="shared" si="176"/>
        <v>8100</v>
      </c>
      <c r="T1709" s="8">
        <v>14030</v>
      </c>
      <c r="V1709" s="8">
        <f t="shared" si="177"/>
        <v>12627</v>
      </c>
      <c r="W1709" s="8">
        <f t="shared" si="178"/>
        <v>31567.5</v>
      </c>
    </row>
    <row r="1710" spans="1:23" ht="21.95" customHeight="1" x14ac:dyDescent="0.2">
      <c r="A1710" s="5" t="s">
        <v>17</v>
      </c>
      <c r="B1710" t="s">
        <v>1582</v>
      </c>
      <c r="C1710" t="s">
        <v>751</v>
      </c>
      <c r="D1710" s="6" t="s">
        <v>119</v>
      </c>
      <c r="E1710" s="6"/>
      <c r="K1710" s="7">
        <v>44005906</v>
      </c>
      <c r="L1710" s="5" t="str">
        <f t="shared" si="179"/>
        <v>AR LION PUF</v>
      </c>
      <c r="M1710" s="8">
        <v>0.15</v>
      </c>
      <c r="N1710" s="8">
        <v>0.1</v>
      </c>
      <c r="O1710" s="8">
        <v>2990</v>
      </c>
      <c r="P1710" s="8">
        <f t="shared" si="174"/>
        <v>2691</v>
      </c>
      <c r="Q1710" s="12">
        <f t="shared" si="175"/>
        <v>5651.1</v>
      </c>
      <c r="R1710" s="31">
        <f t="shared" si="176"/>
        <v>5600</v>
      </c>
      <c r="T1710" s="8">
        <v>15600</v>
      </c>
      <c r="V1710" s="8">
        <f t="shared" si="177"/>
        <v>14040</v>
      </c>
      <c r="W1710" s="8">
        <f t="shared" si="178"/>
        <v>35100</v>
      </c>
    </row>
    <row r="1711" spans="1:23" ht="21.95" customHeight="1" x14ac:dyDescent="0.2">
      <c r="A1711" s="5" t="s">
        <v>17</v>
      </c>
      <c r="B1711" t="s">
        <v>1582</v>
      </c>
      <c r="C1711" t="s">
        <v>751</v>
      </c>
      <c r="D1711" s="6" t="s">
        <v>759</v>
      </c>
      <c r="E1711" s="6"/>
      <c r="K1711" s="7">
        <v>44005907</v>
      </c>
      <c r="L1711" s="5" t="str">
        <f t="shared" si="179"/>
        <v>AR LION GİYİNME ODASI KÖŞE MODÜL</v>
      </c>
      <c r="M1711" s="8">
        <v>0.15</v>
      </c>
      <c r="N1711" s="8">
        <v>0.1</v>
      </c>
      <c r="O1711" s="8">
        <v>17220</v>
      </c>
      <c r="P1711" s="8">
        <f t="shared" si="174"/>
        <v>15498</v>
      </c>
      <c r="Q1711" s="12">
        <f t="shared" si="175"/>
        <v>32545.800000000003</v>
      </c>
      <c r="R1711" s="31">
        <f t="shared" si="176"/>
        <v>32500</v>
      </c>
      <c r="T1711" s="8">
        <v>13480</v>
      </c>
      <c r="V1711" s="8">
        <f t="shared" si="177"/>
        <v>12132</v>
      </c>
      <c r="W1711" s="8">
        <f t="shared" si="178"/>
        <v>30330</v>
      </c>
    </row>
    <row r="1712" spans="1:23" ht="21.95" customHeight="1" x14ac:dyDescent="0.2">
      <c r="A1712" s="5" t="s">
        <v>17</v>
      </c>
      <c r="B1712" t="s">
        <v>1582</v>
      </c>
      <c r="C1712" t="s">
        <v>751</v>
      </c>
      <c r="D1712" s="6" t="s">
        <v>760</v>
      </c>
      <c r="E1712" s="6"/>
      <c r="K1712" s="7">
        <v>44005908</v>
      </c>
      <c r="L1712" s="5" t="str">
        <f t="shared" si="179"/>
        <v>AR LION GİYİNME O.TEKLİ RAFLI AHŞAP MODÜL</v>
      </c>
      <c r="M1712" s="8">
        <v>0.15</v>
      </c>
      <c r="N1712" s="8">
        <v>0.1</v>
      </c>
      <c r="O1712" s="8">
        <v>11200</v>
      </c>
      <c r="P1712" s="8">
        <f t="shared" ref="P1712:P1775" si="180">O1712*(1-N1712)</f>
        <v>10080</v>
      </c>
      <c r="Q1712" s="12">
        <f t="shared" ref="Q1712:Q1775" si="181">O1712*(1-N1712)*2.1</f>
        <v>21168</v>
      </c>
      <c r="R1712" s="31">
        <f t="shared" ref="R1712:R1775" si="182">ROUNDDOWN(Q1712,-2)</f>
        <v>21100</v>
      </c>
      <c r="T1712" s="8">
        <v>7915</v>
      </c>
      <c r="V1712" s="8">
        <f t="shared" si="177"/>
        <v>7123.5</v>
      </c>
      <c r="W1712" s="8">
        <f t="shared" si="178"/>
        <v>17808.75</v>
      </c>
    </row>
    <row r="1713" spans="1:23" ht="21.95" customHeight="1" x14ac:dyDescent="0.2">
      <c r="A1713" s="5" t="s">
        <v>17</v>
      </c>
      <c r="B1713" t="s">
        <v>1582</v>
      </c>
      <c r="C1713" t="s">
        <v>751</v>
      </c>
      <c r="D1713" s="6" t="s">
        <v>761</v>
      </c>
      <c r="E1713" s="6"/>
      <c r="K1713" s="7">
        <v>44005909</v>
      </c>
      <c r="L1713" s="5" t="str">
        <f t="shared" si="179"/>
        <v>AR LION GİYİNME O. TEKLİ RAFLI CAM MODÜL</v>
      </c>
      <c r="M1713" s="8">
        <v>0.15</v>
      </c>
      <c r="N1713" s="8">
        <v>0.1</v>
      </c>
      <c r="O1713" s="8">
        <v>10635</v>
      </c>
      <c r="P1713" s="8">
        <f t="shared" si="180"/>
        <v>9571.5</v>
      </c>
      <c r="Q1713" s="12">
        <f t="shared" si="181"/>
        <v>20100.150000000001</v>
      </c>
      <c r="R1713" s="31">
        <f t="shared" si="182"/>
        <v>20100</v>
      </c>
      <c r="T1713" s="8">
        <v>9845</v>
      </c>
      <c r="V1713" s="8">
        <f t="shared" si="177"/>
        <v>8860.5</v>
      </c>
      <c r="W1713" s="8">
        <f t="shared" si="178"/>
        <v>22151.25</v>
      </c>
    </row>
    <row r="1714" spans="1:23" ht="21.95" customHeight="1" x14ac:dyDescent="0.2">
      <c r="A1714" s="5" t="s">
        <v>17</v>
      </c>
      <c r="B1714" t="s">
        <v>1582</v>
      </c>
      <c r="C1714" t="s">
        <v>751</v>
      </c>
      <c r="D1714" s="6" t="s">
        <v>762</v>
      </c>
      <c r="E1714" s="6"/>
      <c r="K1714" s="7">
        <v>44005910</v>
      </c>
      <c r="L1714" s="5" t="str">
        <f t="shared" si="179"/>
        <v>AR LION GİYİNME O. ÇİFTLİ BOY ASKILI CAM MODÜL</v>
      </c>
      <c r="M1714" s="8">
        <v>0.15</v>
      </c>
      <c r="N1714" s="8">
        <v>0.1</v>
      </c>
      <c r="O1714" s="8">
        <v>15705</v>
      </c>
      <c r="P1714" s="8">
        <f t="shared" si="180"/>
        <v>14134.5</v>
      </c>
      <c r="Q1714" s="12">
        <f t="shared" si="181"/>
        <v>29682.45</v>
      </c>
      <c r="R1714" s="31">
        <f t="shared" si="182"/>
        <v>29600</v>
      </c>
      <c r="T1714" s="8">
        <v>37810</v>
      </c>
      <c r="V1714" s="8">
        <f t="shared" si="177"/>
        <v>34029</v>
      </c>
      <c r="W1714" s="8">
        <f t="shared" si="178"/>
        <v>85072.5</v>
      </c>
    </row>
    <row r="1715" spans="1:23" ht="21.95" customHeight="1" x14ac:dyDescent="0.2">
      <c r="A1715" s="5" t="s">
        <v>17</v>
      </c>
      <c r="B1715" t="s">
        <v>1582</v>
      </c>
      <c r="C1715" t="s">
        <v>751</v>
      </c>
      <c r="D1715" s="6" t="s">
        <v>763</v>
      </c>
      <c r="E1715" s="6"/>
      <c r="K1715" s="7">
        <v>44005911</v>
      </c>
      <c r="L1715" s="5" t="str">
        <f t="shared" si="179"/>
        <v>AR LION GİYİNME O. ÇİFTLİ ÇEKMECELİ CAM MODÜL</v>
      </c>
      <c r="M1715" s="8">
        <v>0.15</v>
      </c>
      <c r="N1715" s="8">
        <v>0.1</v>
      </c>
      <c r="O1715" s="8">
        <v>17605</v>
      </c>
      <c r="P1715" s="8">
        <f t="shared" si="180"/>
        <v>15844.5</v>
      </c>
      <c r="Q1715" s="12">
        <f t="shared" si="181"/>
        <v>33273.450000000004</v>
      </c>
      <c r="R1715" s="31">
        <f t="shared" si="182"/>
        <v>33200</v>
      </c>
      <c r="T1715" s="8">
        <v>33030</v>
      </c>
      <c r="V1715" s="8">
        <f t="shared" si="177"/>
        <v>29727</v>
      </c>
      <c r="W1715" s="8">
        <f t="shared" si="178"/>
        <v>74317.5</v>
      </c>
    </row>
    <row r="1716" spans="1:23" ht="21.95" customHeight="1" x14ac:dyDescent="0.2">
      <c r="A1716" s="5" t="s">
        <v>17</v>
      </c>
      <c r="B1716" t="s">
        <v>1582</v>
      </c>
      <c r="C1716" t="s">
        <v>764</v>
      </c>
      <c r="D1716" s="6" t="s">
        <v>49</v>
      </c>
      <c r="E1716" s="6"/>
      <c r="K1716" s="7">
        <v>44005912</v>
      </c>
      <c r="L1716" s="5" t="str">
        <f t="shared" si="179"/>
        <v>AR RİVA KONSOL</v>
      </c>
      <c r="M1716" s="8">
        <v>0.15</v>
      </c>
      <c r="N1716" s="8">
        <v>0.1</v>
      </c>
      <c r="O1716" s="8">
        <v>37010</v>
      </c>
      <c r="P1716" s="8">
        <f t="shared" si="180"/>
        <v>33309</v>
      </c>
      <c r="Q1716" s="12">
        <f t="shared" si="181"/>
        <v>69948.900000000009</v>
      </c>
      <c r="R1716" s="31">
        <f t="shared" si="182"/>
        <v>69900</v>
      </c>
      <c r="T1716" s="8">
        <v>15795</v>
      </c>
      <c r="V1716" s="8">
        <f t="shared" si="177"/>
        <v>14215.5</v>
      </c>
      <c r="W1716" s="8">
        <f t="shared" si="178"/>
        <v>35538.75</v>
      </c>
    </row>
    <row r="1717" spans="1:23" ht="21.95" customHeight="1" x14ac:dyDescent="0.2">
      <c r="A1717" s="5" t="s">
        <v>17</v>
      </c>
      <c r="B1717" t="s">
        <v>1582</v>
      </c>
      <c r="C1717" t="s">
        <v>764</v>
      </c>
      <c r="D1717" s="6" t="s">
        <v>21</v>
      </c>
      <c r="E1717" s="6"/>
      <c r="K1717" s="7">
        <v>44005913</v>
      </c>
      <c r="L1717" s="5" t="str">
        <f t="shared" si="179"/>
        <v>AR RİVA KONSOL AYNASI</v>
      </c>
      <c r="M1717" s="8">
        <v>0.15</v>
      </c>
      <c r="N1717" s="8">
        <v>0.1</v>
      </c>
      <c r="O1717" s="8">
        <v>3793</v>
      </c>
      <c r="P1717" s="8">
        <f t="shared" si="180"/>
        <v>3413.7000000000003</v>
      </c>
      <c r="Q1717" s="12">
        <f t="shared" si="181"/>
        <v>7168.77</v>
      </c>
      <c r="R1717" s="31">
        <f t="shared" si="182"/>
        <v>7100</v>
      </c>
      <c r="T1717" s="8">
        <v>5260</v>
      </c>
      <c r="V1717" s="8">
        <f t="shared" si="177"/>
        <v>4734</v>
      </c>
      <c r="W1717" s="8">
        <f t="shared" si="178"/>
        <v>11835</v>
      </c>
    </row>
    <row r="1718" spans="1:23" ht="21.95" customHeight="1" x14ac:dyDescent="0.2">
      <c r="A1718" s="5" t="s">
        <v>17</v>
      </c>
      <c r="B1718" t="s">
        <v>1582</v>
      </c>
      <c r="C1718" t="s">
        <v>764</v>
      </c>
      <c r="D1718" s="6" t="s">
        <v>599</v>
      </c>
      <c r="E1718" s="6"/>
      <c r="K1718" s="7">
        <v>44005914</v>
      </c>
      <c r="L1718" s="5" t="str">
        <f t="shared" si="179"/>
        <v>AR RİVA MASA 210CM</v>
      </c>
      <c r="M1718" s="8">
        <v>0.15</v>
      </c>
      <c r="N1718" s="8">
        <v>0.1</v>
      </c>
      <c r="O1718" s="8">
        <v>22740</v>
      </c>
      <c r="P1718" s="8">
        <f t="shared" si="180"/>
        <v>20466</v>
      </c>
      <c r="Q1718" s="12">
        <f t="shared" si="181"/>
        <v>42978.6</v>
      </c>
      <c r="R1718" s="31">
        <f t="shared" si="182"/>
        <v>42900</v>
      </c>
      <c r="T1718" s="8">
        <v>21260</v>
      </c>
      <c r="V1718" s="8">
        <f t="shared" si="177"/>
        <v>19134</v>
      </c>
      <c r="W1718" s="8">
        <f t="shared" si="178"/>
        <v>47835</v>
      </c>
    </row>
    <row r="1719" spans="1:23" ht="21.95" customHeight="1" x14ac:dyDescent="0.2">
      <c r="A1719" s="5" t="s">
        <v>17</v>
      </c>
      <c r="B1719" t="s">
        <v>1582</v>
      </c>
      <c r="C1719" t="s">
        <v>764</v>
      </c>
      <c r="D1719" s="6" t="s">
        <v>25</v>
      </c>
      <c r="E1719" s="6"/>
      <c r="K1719" s="7">
        <v>44005915</v>
      </c>
      <c r="L1719" s="5" t="str">
        <f t="shared" si="179"/>
        <v>AR RİVA SANDALYE</v>
      </c>
      <c r="M1719" s="8">
        <v>0.15</v>
      </c>
      <c r="N1719" s="8">
        <v>0.1</v>
      </c>
      <c r="O1719" s="8">
        <v>4290</v>
      </c>
      <c r="P1719" s="8">
        <f t="shared" si="180"/>
        <v>3861</v>
      </c>
      <c r="Q1719" s="12">
        <f t="shared" si="181"/>
        <v>8108.1</v>
      </c>
      <c r="R1719" s="31">
        <f t="shared" si="182"/>
        <v>8100</v>
      </c>
      <c r="T1719" s="8">
        <v>11225</v>
      </c>
      <c r="V1719" s="8">
        <f t="shared" si="177"/>
        <v>10102.5</v>
      </c>
      <c r="W1719" s="8">
        <f t="shared" si="178"/>
        <v>25256.25</v>
      </c>
    </row>
    <row r="1720" spans="1:23" ht="21.95" customHeight="1" x14ac:dyDescent="0.2">
      <c r="A1720" s="5" t="s">
        <v>17</v>
      </c>
      <c r="B1720" t="s">
        <v>1582</v>
      </c>
      <c r="C1720" t="s">
        <v>764</v>
      </c>
      <c r="D1720" s="6" t="s">
        <v>31</v>
      </c>
      <c r="E1720" s="6"/>
      <c r="K1720" s="7">
        <v>44005916</v>
      </c>
      <c r="L1720" s="5" t="str">
        <f t="shared" si="179"/>
        <v>AR RİVA KOLTUK 4 LÜ</v>
      </c>
      <c r="M1720" s="8">
        <v>0.15</v>
      </c>
      <c r="N1720" s="8">
        <v>0.1</v>
      </c>
      <c r="O1720" s="8">
        <v>36315</v>
      </c>
      <c r="P1720" s="8">
        <f t="shared" si="180"/>
        <v>32683.5</v>
      </c>
      <c r="Q1720" s="12">
        <f t="shared" si="181"/>
        <v>68635.350000000006</v>
      </c>
      <c r="R1720" s="31">
        <f t="shared" si="182"/>
        <v>68600</v>
      </c>
      <c r="T1720" s="8">
        <v>15395</v>
      </c>
      <c r="V1720" s="8">
        <f t="shared" si="177"/>
        <v>13855.5</v>
      </c>
      <c r="W1720" s="8">
        <f t="shared" si="178"/>
        <v>34638.75</v>
      </c>
    </row>
    <row r="1721" spans="1:23" ht="21.95" customHeight="1" x14ac:dyDescent="0.2">
      <c r="A1721" s="5" t="s">
        <v>17</v>
      </c>
      <c r="B1721" t="s">
        <v>1582</v>
      </c>
      <c r="C1721" t="s">
        <v>764</v>
      </c>
      <c r="D1721" s="6" t="s">
        <v>32</v>
      </c>
      <c r="E1721" s="6"/>
      <c r="K1721" s="7">
        <v>44005917</v>
      </c>
      <c r="L1721" s="5" t="str">
        <f t="shared" si="179"/>
        <v>AR RİVA KOLTUK 3 LÜ</v>
      </c>
      <c r="M1721" s="8">
        <v>0.15</v>
      </c>
      <c r="N1721" s="8">
        <v>0.1</v>
      </c>
      <c r="O1721" s="8">
        <v>32455</v>
      </c>
      <c r="P1721" s="8">
        <f t="shared" si="180"/>
        <v>29209.5</v>
      </c>
      <c r="Q1721" s="12">
        <f t="shared" si="181"/>
        <v>61339.950000000004</v>
      </c>
      <c r="R1721" s="31">
        <f t="shared" si="182"/>
        <v>61300</v>
      </c>
      <c r="T1721" s="8">
        <v>18210</v>
      </c>
      <c r="V1721" s="8">
        <f t="shared" si="177"/>
        <v>16389</v>
      </c>
      <c r="W1721" s="8">
        <f t="shared" si="178"/>
        <v>40972.5</v>
      </c>
    </row>
    <row r="1722" spans="1:23" ht="21.95" customHeight="1" x14ac:dyDescent="0.2">
      <c r="A1722" s="5" t="s">
        <v>17</v>
      </c>
      <c r="B1722" t="s">
        <v>1582</v>
      </c>
      <c r="C1722" t="s">
        <v>764</v>
      </c>
      <c r="D1722" s="6" t="s">
        <v>592</v>
      </c>
      <c r="E1722" s="6"/>
      <c r="K1722" s="7">
        <v>44005918</v>
      </c>
      <c r="L1722" s="5" t="str">
        <f t="shared" si="179"/>
        <v>AR RİVA KOLTUK TEKLİ</v>
      </c>
      <c r="M1722" s="8">
        <v>0.15</v>
      </c>
      <c r="N1722" s="8">
        <v>0.1</v>
      </c>
      <c r="O1722" s="8">
        <v>15325</v>
      </c>
      <c r="P1722" s="8">
        <f t="shared" si="180"/>
        <v>13792.5</v>
      </c>
      <c r="Q1722" s="12">
        <f t="shared" si="181"/>
        <v>28964.25</v>
      </c>
      <c r="R1722" s="31">
        <f t="shared" si="182"/>
        <v>28900</v>
      </c>
      <c r="T1722" s="8">
        <v>21865</v>
      </c>
      <c r="V1722" s="8">
        <f t="shared" si="177"/>
        <v>19678.5</v>
      </c>
      <c r="W1722" s="8">
        <f t="shared" si="178"/>
        <v>49196.25</v>
      </c>
    </row>
    <row r="1723" spans="1:23" ht="21.95" customHeight="1" x14ac:dyDescent="0.2">
      <c r="A1723" s="5" t="s">
        <v>17</v>
      </c>
      <c r="B1723" t="s">
        <v>1582</v>
      </c>
      <c r="C1723" t="s">
        <v>765</v>
      </c>
      <c r="D1723" s="6" t="s">
        <v>49</v>
      </c>
      <c r="E1723" s="6"/>
      <c r="K1723" s="7">
        <v>44005919</v>
      </c>
      <c r="L1723" s="5" t="str">
        <f t="shared" si="179"/>
        <v>AR ASUS KONSOL</v>
      </c>
      <c r="M1723" s="8">
        <v>0.15</v>
      </c>
      <c r="N1723" s="8">
        <v>0.1</v>
      </c>
      <c r="O1723" s="8">
        <v>32060</v>
      </c>
      <c r="P1723" s="8">
        <f t="shared" si="180"/>
        <v>28854</v>
      </c>
      <c r="Q1723" s="12">
        <f t="shared" si="181"/>
        <v>60593.4</v>
      </c>
      <c r="R1723" s="31">
        <f t="shared" si="182"/>
        <v>60500</v>
      </c>
      <c r="T1723" s="8">
        <v>16885</v>
      </c>
      <c r="V1723" s="8">
        <f t="shared" si="177"/>
        <v>15196.5</v>
      </c>
      <c r="W1723" s="8">
        <f t="shared" si="178"/>
        <v>37991.25</v>
      </c>
    </row>
    <row r="1724" spans="1:23" ht="21.95" customHeight="1" x14ac:dyDescent="0.2">
      <c r="A1724" s="5" t="s">
        <v>17</v>
      </c>
      <c r="B1724" t="s">
        <v>1582</v>
      </c>
      <c r="C1724" t="s">
        <v>765</v>
      </c>
      <c r="D1724" s="6" t="s">
        <v>648</v>
      </c>
      <c r="E1724" s="6"/>
      <c r="K1724" s="7">
        <v>44005920</v>
      </c>
      <c r="L1724" s="5" t="str">
        <f t="shared" si="179"/>
        <v>AR ASUS KONSOL AYNASI 2 ADET</v>
      </c>
      <c r="M1724" s="8">
        <v>0.15</v>
      </c>
      <c r="N1724" s="8">
        <v>0.1</v>
      </c>
      <c r="O1724" s="8">
        <v>5445</v>
      </c>
      <c r="P1724" s="8">
        <f t="shared" si="180"/>
        <v>4900.5</v>
      </c>
      <c r="Q1724" s="12">
        <f t="shared" si="181"/>
        <v>10291.050000000001</v>
      </c>
      <c r="R1724" s="31">
        <f t="shared" si="182"/>
        <v>10200</v>
      </c>
      <c r="T1724" s="8">
        <v>13825</v>
      </c>
      <c r="V1724" s="8">
        <f t="shared" si="177"/>
        <v>12442.5</v>
      </c>
      <c r="W1724" s="8">
        <f t="shared" si="178"/>
        <v>31106.25</v>
      </c>
    </row>
    <row r="1725" spans="1:23" ht="21.95" customHeight="1" x14ac:dyDescent="0.2">
      <c r="A1725" s="5" t="s">
        <v>17</v>
      </c>
      <c r="B1725" t="s">
        <v>1582</v>
      </c>
      <c r="C1725" t="s">
        <v>765</v>
      </c>
      <c r="D1725" s="6" t="s">
        <v>599</v>
      </c>
      <c r="E1725" s="6"/>
      <c r="K1725" s="7">
        <v>44005921</v>
      </c>
      <c r="L1725" s="5" t="str">
        <f t="shared" si="179"/>
        <v>AR ASUS MASA 210CM</v>
      </c>
      <c r="M1725" s="8">
        <v>0.15</v>
      </c>
      <c r="N1725" s="8">
        <v>0.1</v>
      </c>
      <c r="O1725" s="8">
        <v>19740</v>
      </c>
      <c r="P1725" s="8">
        <f t="shared" si="180"/>
        <v>17766</v>
      </c>
      <c r="Q1725" s="12">
        <f t="shared" si="181"/>
        <v>37308.6</v>
      </c>
      <c r="R1725" s="31">
        <f t="shared" si="182"/>
        <v>37300</v>
      </c>
      <c r="T1725" s="8">
        <v>10790</v>
      </c>
      <c r="V1725" s="8">
        <f t="shared" si="177"/>
        <v>9711</v>
      </c>
      <c r="W1725" s="8">
        <f t="shared" si="178"/>
        <v>24277.5</v>
      </c>
    </row>
    <row r="1726" spans="1:23" ht="21.95" customHeight="1" x14ac:dyDescent="0.2">
      <c r="A1726" s="5" t="s">
        <v>17</v>
      </c>
      <c r="B1726" t="s">
        <v>1582</v>
      </c>
      <c r="C1726" t="s">
        <v>765</v>
      </c>
      <c r="D1726" s="5" t="s">
        <v>25</v>
      </c>
      <c r="K1726" s="7">
        <v>44005922</v>
      </c>
      <c r="L1726" s="5" t="str">
        <f t="shared" si="179"/>
        <v>AR ASUS SANDALYE</v>
      </c>
      <c r="M1726" s="8">
        <v>0.15</v>
      </c>
      <c r="N1726" s="8">
        <v>0.1</v>
      </c>
      <c r="O1726" s="8">
        <v>3390</v>
      </c>
      <c r="P1726" s="8">
        <f t="shared" si="180"/>
        <v>3051</v>
      </c>
      <c r="Q1726" s="12">
        <f t="shared" si="181"/>
        <v>6407.1</v>
      </c>
      <c r="R1726" s="31">
        <f t="shared" si="182"/>
        <v>6400</v>
      </c>
      <c r="T1726" s="8">
        <v>6080</v>
      </c>
      <c r="V1726" s="8">
        <f t="shared" si="177"/>
        <v>5472</v>
      </c>
      <c r="W1726" s="8">
        <f t="shared" si="178"/>
        <v>13680</v>
      </c>
    </row>
    <row r="1727" spans="1:23" ht="21.95" customHeight="1" x14ac:dyDescent="0.2">
      <c r="A1727" s="5" t="s">
        <v>17</v>
      </c>
      <c r="B1727" t="s">
        <v>1582</v>
      </c>
      <c r="C1727" t="s">
        <v>765</v>
      </c>
      <c r="D1727" s="6" t="s">
        <v>766</v>
      </c>
      <c r="E1727" s="6"/>
      <c r="K1727" s="7">
        <v>44005923</v>
      </c>
      <c r="L1727" s="5" t="str">
        <f t="shared" si="179"/>
        <v>AR ASUS KAŞIKLIK</v>
      </c>
      <c r="M1727" s="8">
        <v>0.15</v>
      </c>
      <c r="N1727" s="8">
        <v>0.1</v>
      </c>
      <c r="O1727" s="8">
        <v>21705</v>
      </c>
      <c r="P1727" s="8">
        <f t="shared" si="180"/>
        <v>19534.5</v>
      </c>
      <c r="Q1727" s="12">
        <f t="shared" si="181"/>
        <v>41022.450000000004</v>
      </c>
      <c r="R1727" s="31">
        <f t="shared" si="182"/>
        <v>41000</v>
      </c>
      <c r="T1727" s="8">
        <v>5125</v>
      </c>
      <c r="V1727" s="8">
        <f t="shared" si="177"/>
        <v>4612.5</v>
      </c>
      <c r="W1727" s="8">
        <f t="shared" si="178"/>
        <v>11531.25</v>
      </c>
    </row>
    <row r="1728" spans="1:23" ht="21.95" customHeight="1" x14ac:dyDescent="0.2">
      <c r="A1728" s="5" t="s">
        <v>17</v>
      </c>
      <c r="B1728" t="s">
        <v>1582</v>
      </c>
      <c r="C1728" t="s">
        <v>765</v>
      </c>
      <c r="D1728" s="6" t="s">
        <v>767</v>
      </c>
      <c r="E1728" s="6"/>
      <c r="K1728" s="7">
        <v>44005924</v>
      </c>
      <c r="L1728" s="5" t="str">
        <f t="shared" si="179"/>
        <v>AR ASUS ÜNİTE</v>
      </c>
      <c r="M1728" s="8">
        <v>0.15</v>
      </c>
      <c r="N1728" s="8">
        <v>0.1</v>
      </c>
      <c r="O1728" s="8">
        <v>17000</v>
      </c>
      <c r="P1728" s="8">
        <f t="shared" si="180"/>
        <v>15300</v>
      </c>
      <c r="Q1728" s="12">
        <f t="shared" si="181"/>
        <v>32130</v>
      </c>
      <c r="R1728" s="31">
        <f t="shared" si="182"/>
        <v>32100</v>
      </c>
      <c r="T1728" s="8">
        <v>4680</v>
      </c>
      <c r="V1728" s="8">
        <f t="shared" si="177"/>
        <v>4212</v>
      </c>
      <c r="W1728" s="8">
        <f t="shared" si="178"/>
        <v>10530</v>
      </c>
    </row>
    <row r="1729" spans="1:23" ht="21.95" customHeight="1" x14ac:dyDescent="0.2">
      <c r="A1729" s="5" t="s">
        <v>17</v>
      </c>
      <c r="B1729" t="s">
        <v>1582</v>
      </c>
      <c r="C1729" t="s">
        <v>765</v>
      </c>
      <c r="D1729" s="6" t="s">
        <v>750</v>
      </c>
      <c r="E1729" s="6"/>
      <c r="K1729" s="7">
        <v>44005925</v>
      </c>
      <c r="L1729" s="5" t="str">
        <f t="shared" si="179"/>
        <v>AR ASUS TV ÜNİTESİ ÜST PANO</v>
      </c>
      <c r="M1729" s="8">
        <v>0.15</v>
      </c>
      <c r="N1729" s="8">
        <v>0.1</v>
      </c>
      <c r="O1729" s="8">
        <v>8340</v>
      </c>
      <c r="P1729" s="8">
        <f t="shared" si="180"/>
        <v>7506</v>
      </c>
      <c r="Q1729" s="12">
        <f t="shared" si="181"/>
        <v>15762.6</v>
      </c>
      <c r="R1729" s="31">
        <f t="shared" si="182"/>
        <v>15700</v>
      </c>
      <c r="T1729" s="8">
        <v>23850</v>
      </c>
      <c r="V1729" s="8">
        <f t="shared" si="177"/>
        <v>21465</v>
      </c>
      <c r="W1729" s="8">
        <f t="shared" si="178"/>
        <v>53662.5</v>
      </c>
    </row>
    <row r="1730" spans="1:23" ht="21.95" customHeight="1" x14ac:dyDescent="0.2">
      <c r="A1730" s="5" t="s">
        <v>17</v>
      </c>
      <c r="B1730" t="s">
        <v>1582</v>
      </c>
      <c r="C1730" t="s">
        <v>765</v>
      </c>
      <c r="D1730" s="6" t="s">
        <v>496</v>
      </c>
      <c r="E1730" s="6"/>
      <c r="K1730" s="7">
        <v>44005926</v>
      </c>
      <c r="L1730" s="5" t="str">
        <f t="shared" si="179"/>
        <v>AR ASUS TV ÜNİTESİ ALT MODÜL</v>
      </c>
      <c r="M1730" s="8">
        <v>0.15</v>
      </c>
      <c r="N1730" s="8">
        <v>0.1</v>
      </c>
      <c r="O1730" s="8">
        <v>28395</v>
      </c>
      <c r="P1730" s="8">
        <f t="shared" si="180"/>
        <v>25555.5</v>
      </c>
      <c r="Q1730" s="12">
        <f t="shared" si="181"/>
        <v>53666.55</v>
      </c>
      <c r="R1730" s="31">
        <f t="shared" si="182"/>
        <v>53600</v>
      </c>
      <c r="T1730" s="8">
        <v>28115</v>
      </c>
      <c r="V1730" s="8">
        <f t="shared" ref="V1730:V1793" si="183">T1730*0.9</f>
        <v>25303.5</v>
      </c>
      <c r="W1730" s="8">
        <f t="shared" ref="W1730:W1793" si="184">V1730*2.5</f>
        <v>63258.75</v>
      </c>
    </row>
    <row r="1731" spans="1:23" ht="21.95" customHeight="1" x14ac:dyDescent="0.2">
      <c r="A1731" s="5" t="s">
        <v>17</v>
      </c>
      <c r="B1731" t="s">
        <v>1582</v>
      </c>
      <c r="C1731" t="s">
        <v>765</v>
      </c>
      <c r="D1731" s="6" t="s">
        <v>29</v>
      </c>
      <c r="E1731" s="6"/>
      <c r="K1731" s="7">
        <v>44005927</v>
      </c>
      <c r="L1731" s="5" t="str">
        <f t="shared" si="179"/>
        <v>AR ASUS ORTA SEHPA</v>
      </c>
      <c r="M1731" s="8">
        <v>0.15</v>
      </c>
      <c r="N1731" s="8">
        <v>0.1</v>
      </c>
      <c r="O1731" s="8">
        <v>17895</v>
      </c>
      <c r="P1731" s="8">
        <f t="shared" si="180"/>
        <v>16105.5</v>
      </c>
      <c r="Q1731" s="12">
        <f t="shared" si="181"/>
        <v>33821.550000000003</v>
      </c>
      <c r="R1731" s="31">
        <f t="shared" si="182"/>
        <v>33800</v>
      </c>
      <c r="T1731" s="8">
        <v>32715</v>
      </c>
      <c r="V1731" s="8">
        <f t="shared" si="183"/>
        <v>29443.5</v>
      </c>
      <c r="W1731" s="8">
        <f t="shared" si="184"/>
        <v>73608.75</v>
      </c>
    </row>
    <row r="1732" spans="1:23" ht="21.95" customHeight="1" x14ac:dyDescent="0.2">
      <c r="A1732" s="5" t="s">
        <v>17</v>
      </c>
      <c r="B1732" t="s">
        <v>1582</v>
      </c>
      <c r="C1732" t="s">
        <v>765</v>
      </c>
      <c r="D1732" s="6" t="s">
        <v>30</v>
      </c>
      <c r="E1732" s="6"/>
      <c r="K1732" s="7">
        <v>44005928</v>
      </c>
      <c r="L1732" s="5" t="str">
        <f t="shared" si="179"/>
        <v>AR ASUS YAN SEHPA</v>
      </c>
      <c r="M1732" s="8">
        <v>0.15</v>
      </c>
      <c r="N1732" s="8">
        <v>0.1</v>
      </c>
      <c r="O1732" s="8">
        <v>13125</v>
      </c>
      <c r="P1732" s="8">
        <f t="shared" si="180"/>
        <v>11812.5</v>
      </c>
      <c r="Q1732" s="12">
        <f t="shared" si="181"/>
        <v>24806.25</v>
      </c>
      <c r="R1732" s="31">
        <f t="shared" si="182"/>
        <v>24800</v>
      </c>
      <c r="T1732" s="8">
        <v>35215</v>
      </c>
      <c r="V1732" s="8">
        <f t="shared" si="183"/>
        <v>31693.5</v>
      </c>
      <c r="W1732" s="8">
        <f t="shared" si="184"/>
        <v>79233.75</v>
      </c>
    </row>
    <row r="1733" spans="1:23" ht="21.95" customHeight="1" x14ac:dyDescent="0.2">
      <c r="A1733" s="5" t="s">
        <v>17</v>
      </c>
      <c r="B1733" t="s">
        <v>1582</v>
      </c>
      <c r="C1733" t="s">
        <v>765</v>
      </c>
      <c r="D1733" s="6" t="s">
        <v>768</v>
      </c>
      <c r="E1733" s="6"/>
      <c r="K1733" s="7">
        <v>44005929</v>
      </c>
      <c r="L1733" s="5" t="str">
        <f t="shared" si="179"/>
        <v>AR ASUS KOLTUK 4 LÜ DESENLİ MODERN</v>
      </c>
      <c r="M1733" s="8">
        <v>0.15</v>
      </c>
      <c r="N1733" s="8">
        <v>0.1</v>
      </c>
      <c r="O1733" s="8">
        <v>36915</v>
      </c>
      <c r="P1733" s="8">
        <f t="shared" si="180"/>
        <v>33223.5</v>
      </c>
      <c r="Q1733" s="12">
        <f t="shared" si="181"/>
        <v>69769.350000000006</v>
      </c>
      <c r="R1733" s="31">
        <f t="shared" si="182"/>
        <v>69700</v>
      </c>
      <c r="T1733" s="8">
        <v>30615</v>
      </c>
      <c r="V1733" s="8">
        <f t="shared" si="183"/>
        <v>27553.5</v>
      </c>
      <c r="W1733" s="8">
        <f t="shared" si="184"/>
        <v>68883.75</v>
      </c>
    </row>
    <row r="1734" spans="1:23" ht="21.95" customHeight="1" x14ac:dyDescent="0.2">
      <c r="A1734" s="5" t="s">
        <v>17</v>
      </c>
      <c r="B1734" t="s">
        <v>1582</v>
      </c>
      <c r="C1734" t="s">
        <v>765</v>
      </c>
      <c r="D1734" s="6" t="s">
        <v>769</v>
      </c>
      <c r="E1734" s="6"/>
      <c r="K1734" s="7">
        <v>44005930</v>
      </c>
      <c r="L1734" s="5" t="str">
        <f t="shared" si="179"/>
        <v>AR ASUS KOLTUK 4 LÜ DÜZ CHESTER</v>
      </c>
      <c r="M1734" s="8">
        <v>0.15</v>
      </c>
      <c r="N1734" s="8">
        <v>0.1</v>
      </c>
      <c r="O1734" s="8">
        <v>38275</v>
      </c>
      <c r="P1734" s="8">
        <f t="shared" si="180"/>
        <v>34447.5</v>
      </c>
      <c r="Q1734" s="12">
        <f t="shared" si="181"/>
        <v>72339.75</v>
      </c>
      <c r="R1734" s="31">
        <f t="shared" si="182"/>
        <v>72300</v>
      </c>
      <c r="T1734" s="8">
        <v>6230</v>
      </c>
      <c r="V1734" s="8">
        <f t="shared" si="183"/>
        <v>5607</v>
      </c>
      <c r="W1734" s="8">
        <f t="shared" si="184"/>
        <v>14017.5</v>
      </c>
    </row>
    <row r="1735" spans="1:23" ht="21.95" customHeight="1" x14ac:dyDescent="0.2">
      <c r="A1735" s="5" t="s">
        <v>17</v>
      </c>
      <c r="B1735" t="s">
        <v>1582</v>
      </c>
      <c r="C1735" t="s">
        <v>765</v>
      </c>
      <c r="D1735" s="6" t="s">
        <v>770</v>
      </c>
      <c r="E1735" s="6"/>
      <c r="K1735" s="7">
        <v>44005931</v>
      </c>
      <c r="L1735" s="5" t="str">
        <f t="shared" si="179"/>
        <v>AR ASUS KOLTUK 3 LÜ DÜZ CHESTER</v>
      </c>
      <c r="M1735" s="8">
        <v>0.15</v>
      </c>
      <c r="N1735" s="8">
        <v>0.1</v>
      </c>
      <c r="O1735" s="8">
        <v>34560</v>
      </c>
      <c r="P1735" s="8">
        <f t="shared" si="180"/>
        <v>31104</v>
      </c>
      <c r="Q1735" s="12">
        <f t="shared" si="181"/>
        <v>65318.400000000001</v>
      </c>
      <c r="R1735" s="31">
        <f t="shared" si="182"/>
        <v>65300</v>
      </c>
      <c r="T1735" s="8">
        <v>44960</v>
      </c>
      <c r="V1735" s="8">
        <f t="shared" si="183"/>
        <v>40464</v>
      </c>
      <c r="W1735" s="8">
        <f t="shared" si="184"/>
        <v>101160</v>
      </c>
    </row>
    <row r="1736" spans="1:23" ht="21.95" customHeight="1" x14ac:dyDescent="0.2">
      <c r="A1736" s="5" t="s">
        <v>17</v>
      </c>
      <c r="B1736" t="s">
        <v>1582</v>
      </c>
      <c r="C1736" t="s">
        <v>765</v>
      </c>
      <c r="D1736" s="6" t="s">
        <v>771</v>
      </c>
      <c r="E1736" s="6"/>
      <c r="K1736" s="7">
        <v>44005932</v>
      </c>
      <c r="L1736" s="5" t="str">
        <f t="shared" si="179"/>
        <v>AR ASUS KOLTUK 3 LÜ DESENLİ MODERN</v>
      </c>
      <c r="M1736" s="8">
        <v>0.15</v>
      </c>
      <c r="N1736" s="8">
        <v>0.1</v>
      </c>
      <c r="O1736" s="8">
        <v>33270</v>
      </c>
      <c r="P1736" s="8">
        <f t="shared" si="180"/>
        <v>29943</v>
      </c>
      <c r="Q1736" s="12">
        <f t="shared" si="181"/>
        <v>62880.3</v>
      </c>
      <c r="R1736" s="31">
        <f t="shared" si="182"/>
        <v>62800</v>
      </c>
      <c r="T1736" s="8">
        <v>16690</v>
      </c>
      <c r="V1736" s="8">
        <f t="shared" si="183"/>
        <v>15021</v>
      </c>
      <c r="W1736" s="8">
        <f t="shared" si="184"/>
        <v>37552.5</v>
      </c>
    </row>
    <row r="1737" spans="1:23" ht="21.95" customHeight="1" x14ac:dyDescent="0.2">
      <c r="A1737" s="5" t="s">
        <v>17</v>
      </c>
      <c r="B1737" t="s">
        <v>1582</v>
      </c>
      <c r="C1737" t="s">
        <v>765</v>
      </c>
      <c r="D1737" s="6" t="s">
        <v>772</v>
      </c>
      <c r="E1737" s="6"/>
      <c r="K1737" s="7">
        <v>44005933</v>
      </c>
      <c r="L1737" s="5" t="str">
        <f t="shared" si="179"/>
        <v>AR ASUS KOLTUK 2 Lİ CHESTER</v>
      </c>
      <c r="M1737" s="8">
        <v>0.15</v>
      </c>
      <c r="N1737" s="8">
        <v>0.1</v>
      </c>
      <c r="O1737" s="8">
        <v>31050</v>
      </c>
      <c r="P1737" s="8">
        <f t="shared" si="180"/>
        <v>27945</v>
      </c>
      <c r="Q1737" s="12">
        <f t="shared" si="181"/>
        <v>58684.5</v>
      </c>
      <c r="R1737" s="31">
        <f t="shared" si="182"/>
        <v>58600</v>
      </c>
      <c r="T1737" s="8">
        <v>10555</v>
      </c>
      <c r="V1737" s="8">
        <f t="shared" si="183"/>
        <v>9499.5</v>
      </c>
      <c r="W1737" s="8">
        <f t="shared" si="184"/>
        <v>23748.75</v>
      </c>
    </row>
    <row r="1738" spans="1:23" ht="21.95" customHeight="1" x14ac:dyDescent="0.2">
      <c r="A1738" s="5" t="s">
        <v>17</v>
      </c>
      <c r="B1738" t="s">
        <v>1582</v>
      </c>
      <c r="C1738" t="s">
        <v>765</v>
      </c>
      <c r="D1738" s="6" t="s">
        <v>773</v>
      </c>
      <c r="E1738" s="6"/>
      <c r="K1738" s="7">
        <v>44005934</v>
      </c>
      <c r="L1738" s="5" t="str">
        <f t="shared" si="179"/>
        <v>AR ASUS KOLTUK TEKLİ LÜKS MİMOZA</v>
      </c>
      <c r="M1738" s="8">
        <v>0.15</v>
      </c>
      <c r="N1738" s="8">
        <v>0.1</v>
      </c>
      <c r="O1738" s="8">
        <v>16165</v>
      </c>
      <c r="P1738" s="8">
        <f t="shared" si="180"/>
        <v>14548.5</v>
      </c>
      <c r="Q1738" s="12">
        <f t="shared" si="181"/>
        <v>30551.850000000002</v>
      </c>
      <c r="R1738" s="31">
        <f t="shared" si="182"/>
        <v>30500</v>
      </c>
      <c r="T1738" s="8">
        <v>4775</v>
      </c>
      <c r="V1738" s="8">
        <f t="shared" si="183"/>
        <v>4297.5</v>
      </c>
      <c r="W1738" s="8">
        <f t="shared" si="184"/>
        <v>10743.75</v>
      </c>
    </row>
    <row r="1739" spans="1:23" ht="21.95" customHeight="1" x14ac:dyDescent="0.2">
      <c r="A1739" s="5" t="s">
        <v>17</v>
      </c>
      <c r="B1739" t="s">
        <v>1582</v>
      </c>
      <c r="C1739" t="s">
        <v>765</v>
      </c>
      <c r="D1739" s="6" t="s">
        <v>727</v>
      </c>
      <c r="E1739" s="6"/>
      <c r="K1739" s="7">
        <v>44005935</v>
      </c>
      <c r="L1739" s="5" t="str">
        <f t="shared" si="179"/>
        <v>AR ASUS KARYOLA İÇ KAYITLI 160CM PANOLU</v>
      </c>
      <c r="M1739" s="8">
        <v>0.15</v>
      </c>
      <c r="N1739" s="8">
        <v>0.1</v>
      </c>
      <c r="O1739" s="8">
        <v>27195</v>
      </c>
      <c r="P1739" s="8">
        <f t="shared" si="180"/>
        <v>24475.5</v>
      </c>
      <c r="Q1739" s="12">
        <f t="shared" si="181"/>
        <v>51398.55</v>
      </c>
      <c r="R1739" s="31">
        <f t="shared" si="182"/>
        <v>51300</v>
      </c>
      <c r="T1739" s="8">
        <v>3430</v>
      </c>
      <c r="V1739" s="8">
        <f t="shared" si="183"/>
        <v>3087</v>
      </c>
      <c r="W1739" s="8">
        <f t="shared" si="184"/>
        <v>7717.5</v>
      </c>
    </row>
    <row r="1740" spans="1:23" ht="21.95" customHeight="1" x14ac:dyDescent="0.2">
      <c r="A1740" s="5" t="s">
        <v>17</v>
      </c>
      <c r="B1740" t="s">
        <v>1582</v>
      </c>
      <c r="C1740" t="s">
        <v>765</v>
      </c>
      <c r="D1740" s="6" t="s">
        <v>726</v>
      </c>
      <c r="E1740" s="6"/>
      <c r="K1740" s="7">
        <v>44005936</v>
      </c>
      <c r="L1740" s="5" t="str">
        <f t="shared" si="179"/>
        <v>AR ASUS KARYOLA İÇ KAYITLI 160CM PANOSUZ</v>
      </c>
      <c r="M1740" s="8">
        <v>0.15</v>
      </c>
      <c r="N1740" s="8">
        <v>0.1</v>
      </c>
      <c r="O1740" s="8">
        <v>21750</v>
      </c>
      <c r="P1740" s="8">
        <f t="shared" si="180"/>
        <v>19575</v>
      </c>
      <c r="Q1740" s="12">
        <f t="shared" si="181"/>
        <v>41107.5</v>
      </c>
      <c r="R1740" s="31">
        <f t="shared" si="182"/>
        <v>41100</v>
      </c>
      <c r="T1740" s="8">
        <v>18755</v>
      </c>
      <c r="V1740" s="8">
        <f t="shared" si="183"/>
        <v>16879.5</v>
      </c>
      <c r="W1740" s="8">
        <f t="shared" si="184"/>
        <v>42198.75</v>
      </c>
    </row>
    <row r="1741" spans="1:23" ht="21.95" customHeight="1" x14ac:dyDescent="0.2">
      <c r="A1741" s="5" t="s">
        <v>17</v>
      </c>
      <c r="B1741" t="s">
        <v>1582</v>
      </c>
      <c r="C1741" t="s">
        <v>765</v>
      </c>
      <c r="D1741" s="6" t="s">
        <v>728</v>
      </c>
      <c r="E1741" s="6"/>
      <c r="K1741" s="7">
        <v>44005937</v>
      </c>
      <c r="L1741" s="5" t="str">
        <f t="shared" si="179"/>
        <v>AR ASUS KARYOLA BAZALI 160CM PANOLU</v>
      </c>
      <c r="M1741" s="8">
        <v>0.15</v>
      </c>
      <c r="N1741" s="8">
        <v>0.1</v>
      </c>
      <c r="O1741" s="8">
        <v>31795</v>
      </c>
      <c r="P1741" s="8">
        <f t="shared" si="180"/>
        <v>28615.5</v>
      </c>
      <c r="Q1741" s="12">
        <f t="shared" si="181"/>
        <v>60092.55</v>
      </c>
      <c r="R1741" s="31">
        <f t="shared" si="182"/>
        <v>60000</v>
      </c>
      <c r="T1741" s="8">
        <v>7795</v>
      </c>
      <c r="V1741" s="8">
        <f t="shared" si="183"/>
        <v>7015.5</v>
      </c>
      <c r="W1741" s="8">
        <f t="shared" si="184"/>
        <v>17538.75</v>
      </c>
    </row>
    <row r="1742" spans="1:23" ht="21.95" customHeight="1" x14ac:dyDescent="0.2">
      <c r="A1742" s="5" t="s">
        <v>17</v>
      </c>
      <c r="B1742" t="s">
        <v>1582</v>
      </c>
      <c r="C1742" t="s">
        <v>765</v>
      </c>
      <c r="D1742" s="6" t="s">
        <v>729</v>
      </c>
      <c r="E1742" s="6"/>
      <c r="K1742" s="7">
        <v>44005938</v>
      </c>
      <c r="L1742" s="5" t="str">
        <f t="shared" si="179"/>
        <v>AR ASUS KARYOLA BAZALI 160CM PANOSUZ</v>
      </c>
      <c r="M1742" s="8">
        <v>0.15</v>
      </c>
      <c r="N1742" s="8">
        <v>0.1</v>
      </c>
      <c r="O1742" s="8">
        <v>26350</v>
      </c>
      <c r="P1742" s="8">
        <f t="shared" si="180"/>
        <v>23715</v>
      </c>
      <c r="Q1742" s="12">
        <f t="shared" si="181"/>
        <v>49801.5</v>
      </c>
      <c r="R1742" s="31">
        <f t="shared" si="182"/>
        <v>49800</v>
      </c>
      <c r="T1742" s="8">
        <v>16295</v>
      </c>
      <c r="V1742" s="8">
        <f t="shared" si="183"/>
        <v>14665.5</v>
      </c>
      <c r="W1742" s="8">
        <f t="shared" si="184"/>
        <v>36663.75</v>
      </c>
    </row>
    <row r="1743" spans="1:23" ht="21.95" customHeight="1" x14ac:dyDescent="0.2">
      <c r="A1743" s="5" t="s">
        <v>17</v>
      </c>
      <c r="B1743" t="s">
        <v>1582</v>
      </c>
      <c r="C1743" t="s">
        <v>765</v>
      </c>
      <c r="D1743" s="6" t="s">
        <v>730</v>
      </c>
      <c r="E1743" s="6"/>
      <c r="K1743" s="7">
        <v>44005939</v>
      </c>
      <c r="L1743" s="5" t="str">
        <f t="shared" si="179"/>
        <v>AR ASUS KARYOLA BAZALI 180CM PANOLU</v>
      </c>
      <c r="M1743" s="8">
        <v>0.15</v>
      </c>
      <c r="N1743" s="8">
        <v>0.1</v>
      </c>
      <c r="O1743" s="8">
        <v>34295</v>
      </c>
      <c r="P1743" s="8">
        <f t="shared" si="180"/>
        <v>30865.5</v>
      </c>
      <c r="Q1743" s="12">
        <f t="shared" si="181"/>
        <v>64817.55</v>
      </c>
      <c r="R1743" s="31">
        <f t="shared" si="182"/>
        <v>64800</v>
      </c>
      <c r="T1743" s="8">
        <v>19160</v>
      </c>
      <c r="V1743" s="8">
        <f t="shared" si="183"/>
        <v>17244</v>
      </c>
      <c r="W1743" s="8">
        <f t="shared" si="184"/>
        <v>43110</v>
      </c>
    </row>
    <row r="1744" spans="1:23" ht="21.95" customHeight="1" x14ac:dyDescent="0.2">
      <c r="A1744" s="5" t="s">
        <v>17</v>
      </c>
      <c r="B1744" t="s">
        <v>1582</v>
      </c>
      <c r="C1744" t="s">
        <v>765</v>
      </c>
      <c r="D1744" s="6" t="s">
        <v>731</v>
      </c>
      <c r="E1744" s="6"/>
      <c r="K1744" s="7">
        <v>44005940</v>
      </c>
      <c r="L1744" s="5" t="str">
        <f t="shared" si="179"/>
        <v>AR ASUS KARYOLA BAZALI 180CM PANOSUZ</v>
      </c>
      <c r="M1744" s="8">
        <v>0.15</v>
      </c>
      <c r="N1744" s="8">
        <v>0.1</v>
      </c>
      <c r="O1744" s="8">
        <v>28850</v>
      </c>
      <c r="P1744" s="8">
        <f t="shared" si="180"/>
        <v>25965</v>
      </c>
      <c r="Q1744" s="12">
        <f t="shared" si="181"/>
        <v>54526.5</v>
      </c>
      <c r="R1744" s="31">
        <f t="shared" si="182"/>
        <v>54500</v>
      </c>
      <c r="T1744" s="8">
        <v>44485</v>
      </c>
      <c r="V1744" s="8">
        <f t="shared" si="183"/>
        <v>40036.5</v>
      </c>
      <c r="W1744" s="8">
        <f t="shared" si="184"/>
        <v>100091.25</v>
      </c>
    </row>
    <row r="1745" spans="1:23" ht="21.95" customHeight="1" x14ac:dyDescent="0.2">
      <c r="A1745" s="5" t="s">
        <v>17</v>
      </c>
      <c r="B1745" t="s">
        <v>1582</v>
      </c>
      <c r="C1745" t="s">
        <v>765</v>
      </c>
      <c r="D1745" s="6" t="s">
        <v>732</v>
      </c>
      <c r="E1745" s="6"/>
      <c r="K1745" s="7">
        <v>44005941</v>
      </c>
      <c r="L1745" s="5" t="str">
        <f t="shared" si="179"/>
        <v>AR ASUS KARYOLA İÇ KAYITLI 180CM PANOLU</v>
      </c>
      <c r="M1745" s="8">
        <v>0.15</v>
      </c>
      <c r="N1745" s="8">
        <v>0.1</v>
      </c>
      <c r="O1745" s="8">
        <v>29695</v>
      </c>
      <c r="P1745" s="8">
        <f t="shared" si="180"/>
        <v>26725.5</v>
      </c>
      <c r="Q1745" s="12">
        <f t="shared" si="181"/>
        <v>56123.55</v>
      </c>
      <c r="R1745" s="31">
        <f t="shared" si="182"/>
        <v>56100</v>
      </c>
      <c r="T1745" s="8">
        <v>4252</v>
      </c>
      <c r="V1745" s="8">
        <f t="shared" si="183"/>
        <v>3826.8</v>
      </c>
      <c r="W1745" s="8">
        <f t="shared" si="184"/>
        <v>9567</v>
      </c>
    </row>
    <row r="1746" spans="1:23" ht="21.95" customHeight="1" x14ac:dyDescent="0.2">
      <c r="A1746" s="5" t="s">
        <v>17</v>
      </c>
      <c r="B1746" t="s">
        <v>1582</v>
      </c>
      <c r="C1746" t="s">
        <v>765</v>
      </c>
      <c r="D1746" s="6" t="s">
        <v>733</v>
      </c>
      <c r="E1746" s="6"/>
      <c r="K1746" s="7">
        <v>44005942</v>
      </c>
      <c r="L1746" s="5" t="str">
        <f t="shared" si="179"/>
        <v>AR ASUS KARYOLA İÇ KAYITLI 180CM PANOSUZ</v>
      </c>
      <c r="M1746" s="8">
        <v>0.15</v>
      </c>
      <c r="N1746" s="8">
        <v>0.1</v>
      </c>
      <c r="O1746" s="8">
        <v>24250</v>
      </c>
      <c r="P1746" s="8">
        <f t="shared" si="180"/>
        <v>21825</v>
      </c>
      <c r="Q1746" s="12">
        <f t="shared" si="181"/>
        <v>45832.5</v>
      </c>
      <c r="R1746" s="31">
        <f t="shared" si="182"/>
        <v>45800</v>
      </c>
      <c r="T1746" s="8">
        <v>25855</v>
      </c>
      <c r="V1746" s="8">
        <f t="shared" si="183"/>
        <v>23269.5</v>
      </c>
      <c r="W1746" s="8">
        <f t="shared" si="184"/>
        <v>58173.75</v>
      </c>
    </row>
    <row r="1747" spans="1:23" ht="21.95" customHeight="1" x14ac:dyDescent="0.2">
      <c r="A1747" s="5" t="s">
        <v>17</v>
      </c>
      <c r="B1747" t="s">
        <v>1582</v>
      </c>
      <c r="C1747" t="s">
        <v>765</v>
      </c>
      <c r="D1747" s="6" t="s">
        <v>774</v>
      </c>
      <c r="E1747" s="6"/>
      <c r="K1747" s="7">
        <v>44005943</v>
      </c>
      <c r="L1747" s="5" t="str">
        <f t="shared" ref="L1747:L1797" si="185">B1747&amp;" "&amp;C1747&amp;" "&amp;D1747</f>
        <v>AR ASUS KOMODİN ÜST PANO 2 ADET SAĞ-SOL</v>
      </c>
      <c r="M1747" s="8">
        <v>0.15</v>
      </c>
      <c r="N1747" s="8">
        <v>0.1</v>
      </c>
      <c r="O1747" s="8">
        <v>5445</v>
      </c>
      <c r="P1747" s="8">
        <f t="shared" si="180"/>
        <v>4900.5</v>
      </c>
      <c r="Q1747" s="12">
        <f t="shared" si="181"/>
        <v>10291.050000000001</v>
      </c>
      <c r="R1747" s="31">
        <f t="shared" si="182"/>
        <v>10200</v>
      </c>
      <c r="T1747" s="8">
        <v>33612</v>
      </c>
      <c r="V1747" s="8">
        <f t="shared" si="183"/>
        <v>30250.799999999999</v>
      </c>
      <c r="W1747" s="8">
        <f t="shared" si="184"/>
        <v>75627</v>
      </c>
    </row>
    <row r="1748" spans="1:23" ht="21.95" customHeight="1" x14ac:dyDescent="0.2">
      <c r="A1748" s="5" t="s">
        <v>17</v>
      </c>
      <c r="B1748" t="s">
        <v>1582</v>
      </c>
      <c r="C1748" t="s">
        <v>765</v>
      </c>
      <c r="D1748" s="6" t="s">
        <v>362</v>
      </c>
      <c r="E1748" s="6"/>
      <c r="K1748" s="7">
        <v>44005944</v>
      </c>
      <c r="L1748" s="5" t="str">
        <f t="shared" si="185"/>
        <v>AR ASUS KOMODİN</v>
      </c>
      <c r="M1748" s="8">
        <v>0.15</v>
      </c>
      <c r="N1748" s="8">
        <v>0.1</v>
      </c>
      <c r="O1748" s="8">
        <v>8295</v>
      </c>
      <c r="P1748" s="8">
        <f t="shared" si="180"/>
        <v>7465.5</v>
      </c>
      <c r="Q1748" s="12">
        <f t="shared" si="181"/>
        <v>15677.550000000001</v>
      </c>
      <c r="R1748" s="31">
        <f t="shared" si="182"/>
        <v>15600</v>
      </c>
      <c r="T1748" s="8">
        <v>38413</v>
      </c>
      <c r="V1748" s="8">
        <f t="shared" si="183"/>
        <v>34571.700000000004</v>
      </c>
      <c r="W1748" s="8">
        <f t="shared" si="184"/>
        <v>86429.250000000015</v>
      </c>
    </row>
    <row r="1749" spans="1:23" ht="21.95" customHeight="1" x14ac:dyDescent="0.2">
      <c r="A1749" s="5" t="s">
        <v>17</v>
      </c>
      <c r="B1749" t="s">
        <v>1582</v>
      </c>
      <c r="C1749" t="s">
        <v>765</v>
      </c>
      <c r="D1749" s="6" t="s">
        <v>361</v>
      </c>
      <c r="E1749" s="6"/>
      <c r="K1749" s="7">
        <v>44005945</v>
      </c>
      <c r="L1749" s="5" t="str">
        <f t="shared" si="185"/>
        <v>AR ASUS DOLAP</v>
      </c>
      <c r="M1749" s="8">
        <v>0.15</v>
      </c>
      <c r="N1749" s="8">
        <v>0.1</v>
      </c>
      <c r="O1749" s="8">
        <v>50835</v>
      </c>
      <c r="P1749" s="8">
        <f t="shared" si="180"/>
        <v>45751.5</v>
      </c>
      <c r="Q1749" s="12">
        <f t="shared" si="181"/>
        <v>96078.150000000009</v>
      </c>
      <c r="R1749" s="31">
        <f t="shared" si="182"/>
        <v>96000</v>
      </c>
      <c r="T1749" s="8">
        <v>5533</v>
      </c>
      <c r="V1749" s="8">
        <f t="shared" si="183"/>
        <v>4979.7</v>
      </c>
      <c r="W1749" s="8">
        <f t="shared" si="184"/>
        <v>12449.25</v>
      </c>
    </row>
    <row r="1750" spans="1:23" ht="21.95" customHeight="1" x14ac:dyDescent="0.2">
      <c r="A1750" s="5" t="s">
        <v>17</v>
      </c>
      <c r="B1750" t="s">
        <v>1582</v>
      </c>
      <c r="C1750" t="s">
        <v>765</v>
      </c>
      <c r="D1750" s="6" t="s">
        <v>595</v>
      </c>
      <c r="E1750" s="6"/>
      <c r="K1750" s="7">
        <v>44005946</v>
      </c>
      <c r="L1750" s="5" t="str">
        <f t="shared" si="185"/>
        <v>AR ASUS ŞİFONYER &amp; AYNASI</v>
      </c>
      <c r="M1750" s="8">
        <v>0.15</v>
      </c>
      <c r="N1750" s="8">
        <v>0.1</v>
      </c>
      <c r="O1750" s="8">
        <v>24165</v>
      </c>
      <c r="P1750" s="8">
        <f t="shared" si="180"/>
        <v>21748.5</v>
      </c>
      <c r="Q1750" s="12">
        <f t="shared" si="181"/>
        <v>45671.85</v>
      </c>
      <c r="R1750" s="31">
        <f t="shared" si="182"/>
        <v>45600</v>
      </c>
      <c r="T1750" s="8">
        <v>37355</v>
      </c>
      <c r="V1750" s="8">
        <f t="shared" si="183"/>
        <v>33619.5</v>
      </c>
      <c r="W1750" s="8">
        <f t="shared" si="184"/>
        <v>84048.75</v>
      </c>
    </row>
    <row r="1751" spans="1:23" ht="21.95" customHeight="1" x14ac:dyDescent="0.2">
      <c r="A1751" s="5" t="s">
        <v>17</v>
      </c>
      <c r="B1751" t="s">
        <v>1582</v>
      </c>
      <c r="C1751" t="s">
        <v>765</v>
      </c>
      <c r="D1751" s="6" t="s">
        <v>126</v>
      </c>
      <c r="E1751" s="6"/>
      <c r="K1751" s="7">
        <v>44005947</v>
      </c>
      <c r="L1751" s="5" t="str">
        <f t="shared" si="185"/>
        <v>AR ASUS ÇAMAŞIRLIK</v>
      </c>
      <c r="M1751" s="8">
        <v>0.15</v>
      </c>
      <c r="N1751" s="8">
        <v>0.1</v>
      </c>
      <c r="O1751" s="8">
        <v>14085</v>
      </c>
      <c r="P1751" s="8">
        <f t="shared" si="180"/>
        <v>12676.5</v>
      </c>
      <c r="Q1751" s="12">
        <f t="shared" si="181"/>
        <v>26620.65</v>
      </c>
      <c r="R1751" s="31">
        <f t="shared" si="182"/>
        <v>26600</v>
      </c>
      <c r="T1751" s="8">
        <v>25980</v>
      </c>
      <c r="V1751" s="8">
        <f t="shared" si="183"/>
        <v>23382</v>
      </c>
      <c r="W1751" s="8">
        <f t="shared" si="184"/>
        <v>58455</v>
      </c>
    </row>
    <row r="1752" spans="1:23" ht="21.95" customHeight="1" x14ac:dyDescent="0.2">
      <c r="A1752" s="5" t="s">
        <v>17</v>
      </c>
      <c r="B1752" t="s">
        <v>1582</v>
      </c>
      <c r="C1752" t="s">
        <v>765</v>
      </c>
      <c r="D1752" s="6" t="s">
        <v>82</v>
      </c>
      <c r="E1752" s="6"/>
      <c r="K1752" s="7">
        <v>44005948</v>
      </c>
      <c r="L1752" s="5" t="str">
        <f t="shared" si="185"/>
        <v>AR ASUS BOY AYNASI</v>
      </c>
      <c r="M1752" s="8">
        <v>0.15</v>
      </c>
      <c r="N1752" s="8">
        <v>0.1</v>
      </c>
      <c r="O1752" s="8">
        <v>4305</v>
      </c>
      <c r="P1752" s="8">
        <f t="shared" si="180"/>
        <v>3874.5</v>
      </c>
      <c r="Q1752" s="12">
        <f t="shared" si="181"/>
        <v>8136.4500000000007</v>
      </c>
      <c r="R1752" s="31">
        <f t="shared" si="182"/>
        <v>8100</v>
      </c>
      <c r="T1752" s="8">
        <v>36220</v>
      </c>
      <c r="V1752" s="8">
        <f t="shared" si="183"/>
        <v>32598</v>
      </c>
      <c r="W1752" s="8">
        <f t="shared" si="184"/>
        <v>81495</v>
      </c>
    </row>
    <row r="1753" spans="1:23" ht="21.95" customHeight="1" x14ac:dyDescent="0.2">
      <c r="A1753" s="5" t="s">
        <v>17</v>
      </c>
      <c r="B1753" t="s">
        <v>1582</v>
      </c>
      <c r="C1753" t="s">
        <v>765</v>
      </c>
      <c r="D1753" s="6" t="s">
        <v>119</v>
      </c>
      <c r="E1753" s="6"/>
      <c r="K1753" s="7">
        <v>44005949</v>
      </c>
      <c r="L1753" s="5" t="str">
        <f t="shared" si="185"/>
        <v>AR ASUS PUF</v>
      </c>
      <c r="M1753" s="8">
        <v>0.15</v>
      </c>
      <c r="N1753" s="8">
        <v>0.1</v>
      </c>
      <c r="O1753" s="8">
        <v>2990</v>
      </c>
      <c r="P1753" s="8">
        <f t="shared" si="180"/>
        <v>2691</v>
      </c>
      <c r="Q1753" s="12">
        <f t="shared" si="181"/>
        <v>5651.1</v>
      </c>
      <c r="R1753" s="31">
        <f t="shared" si="182"/>
        <v>5600</v>
      </c>
      <c r="T1753" s="8">
        <v>23120</v>
      </c>
      <c r="V1753" s="8">
        <f t="shared" si="183"/>
        <v>20808</v>
      </c>
      <c r="W1753" s="8">
        <f t="shared" si="184"/>
        <v>52020</v>
      </c>
    </row>
    <row r="1754" spans="1:23" ht="21.95" customHeight="1" x14ac:dyDescent="0.2">
      <c r="A1754" s="5" t="s">
        <v>17</v>
      </c>
      <c r="B1754" t="s">
        <v>1582</v>
      </c>
      <c r="C1754" t="s">
        <v>486</v>
      </c>
      <c r="D1754" s="6" t="s">
        <v>49</v>
      </c>
      <c r="E1754" s="6"/>
      <c r="K1754" s="7">
        <v>44005950</v>
      </c>
      <c r="L1754" s="5" t="str">
        <f t="shared" si="185"/>
        <v>AR NOVA KONSOL</v>
      </c>
      <c r="M1754" s="8">
        <v>0.15</v>
      </c>
      <c r="N1754" s="8">
        <v>0.1</v>
      </c>
      <c r="O1754" s="8">
        <v>32600</v>
      </c>
      <c r="P1754" s="8">
        <f t="shared" si="180"/>
        <v>29340</v>
      </c>
      <c r="Q1754" s="12">
        <f t="shared" si="181"/>
        <v>61614</v>
      </c>
      <c r="R1754" s="31">
        <f t="shared" si="182"/>
        <v>61600</v>
      </c>
      <c r="T1754" s="8">
        <v>36220</v>
      </c>
      <c r="V1754" s="8">
        <f t="shared" si="183"/>
        <v>32598</v>
      </c>
      <c r="W1754" s="8">
        <f t="shared" si="184"/>
        <v>81495</v>
      </c>
    </row>
    <row r="1755" spans="1:23" ht="21.95" customHeight="1" x14ac:dyDescent="0.2">
      <c r="A1755" s="5" t="s">
        <v>17</v>
      </c>
      <c r="B1755" t="s">
        <v>1582</v>
      </c>
      <c r="C1755" t="s">
        <v>486</v>
      </c>
      <c r="D1755" s="6" t="s">
        <v>21</v>
      </c>
      <c r="E1755" s="6"/>
      <c r="K1755" s="7">
        <v>44005951</v>
      </c>
      <c r="L1755" s="5" t="str">
        <f t="shared" si="185"/>
        <v>AR NOVA KONSOL AYNASI</v>
      </c>
      <c r="M1755" s="8">
        <v>0.15</v>
      </c>
      <c r="N1755" s="8">
        <v>0.1</v>
      </c>
      <c r="O1755" s="8">
        <v>5722</v>
      </c>
      <c r="P1755" s="8">
        <f t="shared" si="180"/>
        <v>5149.8</v>
      </c>
      <c r="Q1755" s="12">
        <f t="shared" si="181"/>
        <v>10814.580000000002</v>
      </c>
      <c r="R1755" s="31">
        <f t="shared" si="182"/>
        <v>10800</v>
      </c>
      <c r="T1755" s="8">
        <v>39055</v>
      </c>
      <c r="V1755" s="8">
        <f t="shared" si="183"/>
        <v>35149.5</v>
      </c>
      <c r="W1755" s="8">
        <f t="shared" si="184"/>
        <v>87873.75</v>
      </c>
    </row>
    <row r="1756" spans="1:23" ht="21.95" customHeight="1" x14ac:dyDescent="0.2">
      <c r="A1756" s="5" t="s">
        <v>17</v>
      </c>
      <c r="B1756" t="s">
        <v>1582</v>
      </c>
      <c r="C1756" t="s">
        <v>486</v>
      </c>
      <c r="D1756" s="6" t="s">
        <v>599</v>
      </c>
      <c r="E1756" s="6"/>
      <c r="K1756" s="7">
        <v>44005952</v>
      </c>
      <c r="L1756" s="5" t="str">
        <f t="shared" si="185"/>
        <v>AR NOVA MASA 210CM</v>
      </c>
      <c r="M1756" s="8">
        <v>0.15</v>
      </c>
      <c r="N1756" s="8">
        <v>0.1</v>
      </c>
      <c r="O1756" s="8">
        <v>25905</v>
      </c>
      <c r="P1756" s="8">
        <f t="shared" si="180"/>
        <v>23314.5</v>
      </c>
      <c r="Q1756" s="12">
        <f t="shared" si="181"/>
        <v>48960.450000000004</v>
      </c>
      <c r="R1756" s="31">
        <f t="shared" si="182"/>
        <v>48900</v>
      </c>
      <c r="T1756" s="8">
        <v>26285</v>
      </c>
      <c r="V1756" s="8">
        <f t="shared" si="183"/>
        <v>23656.5</v>
      </c>
      <c r="W1756" s="8">
        <f t="shared" si="184"/>
        <v>59141.25</v>
      </c>
    </row>
    <row r="1757" spans="1:23" ht="21.95" customHeight="1" x14ac:dyDescent="0.2">
      <c r="A1757" s="5" t="s">
        <v>17</v>
      </c>
      <c r="B1757" t="s">
        <v>1582</v>
      </c>
      <c r="C1757" t="s">
        <v>486</v>
      </c>
      <c r="D1757" s="6" t="s">
        <v>587</v>
      </c>
      <c r="E1757" s="6"/>
      <c r="K1757" s="7">
        <v>44005953</v>
      </c>
      <c r="L1757" s="5" t="str">
        <f t="shared" si="185"/>
        <v>AR NOVA MASA 180CM</v>
      </c>
      <c r="M1757" s="8">
        <v>0.15</v>
      </c>
      <c r="N1757" s="8">
        <v>0.1</v>
      </c>
      <c r="O1757" s="8">
        <v>33677</v>
      </c>
      <c r="P1757" s="8">
        <f t="shared" si="180"/>
        <v>30309.3</v>
      </c>
      <c r="Q1757" s="12">
        <f t="shared" si="181"/>
        <v>63649.53</v>
      </c>
      <c r="R1757" s="31">
        <f t="shared" si="182"/>
        <v>63600</v>
      </c>
      <c r="T1757" s="8">
        <v>26285</v>
      </c>
      <c r="V1757" s="8">
        <f t="shared" si="183"/>
        <v>23656.5</v>
      </c>
      <c r="W1757" s="8">
        <f t="shared" si="184"/>
        <v>59141.25</v>
      </c>
    </row>
    <row r="1758" spans="1:23" ht="21.95" customHeight="1" x14ac:dyDescent="0.2">
      <c r="A1758" s="5" t="s">
        <v>17</v>
      </c>
      <c r="B1758" t="s">
        <v>1582</v>
      </c>
      <c r="C1758" t="s">
        <v>486</v>
      </c>
      <c r="D1758" s="6" t="s">
        <v>24</v>
      </c>
      <c r="E1758" s="6"/>
      <c r="K1758" s="7">
        <v>44005954</v>
      </c>
      <c r="L1758" s="5" t="str">
        <f t="shared" si="185"/>
        <v>AR NOVA MASA 240CM</v>
      </c>
      <c r="M1758" s="8">
        <v>0.15</v>
      </c>
      <c r="N1758" s="8">
        <v>0.1</v>
      </c>
      <c r="O1758" s="8">
        <v>38487</v>
      </c>
      <c r="P1758" s="8">
        <f t="shared" si="180"/>
        <v>34638.300000000003</v>
      </c>
      <c r="Q1758" s="12">
        <f t="shared" si="181"/>
        <v>72740.430000000008</v>
      </c>
      <c r="R1758" s="31">
        <f t="shared" si="182"/>
        <v>72700</v>
      </c>
      <c r="T1758" s="8">
        <v>24025</v>
      </c>
      <c r="V1758" s="8">
        <f t="shared" si="183"/>
        <v>21622.5</v>
      </c>
      <c r="W1758" s="8">
        <f t="shared" si="184"/>
        <v>54056.25</v>
      </c>
    </row>
    <row r="1759" spans="1:23" ht="21.95" customHeight="1" x14ac:dyDescent="0.2">
      <c r="A1759" s="5" t="s">
        <v>17</v>
      </c>
      <c r="B1759" t="s">
        <v>1582</v>
      </c>
      <c r="C1759" t="s">
        <v>486</v>
      </c>
      <c r="D1759" s="6" t="s">
        <v>25</v>
      </c>
      <c r="E1759" s="6"/>
      <c r="K1759" s="7">
        <v>44005955</v>
      </c>
      <c r="L1759" s="5" t="str">
        <f t="shared" si="185"/>
        <v>AR NOVA SANDALYE</v>
      </c>
      <c r="M1759" s="8">
        <v>0.15</v>
      </c>
      <c r="N1759" s="8">
        <v>0.1</v>
      </c>
      <c r="O1759" s="8">
        <v>4313</v>
      </c>
      <c r="P1759" s="8">
        <f t="shared" si="180"/>
        <v>3881.7000000000003</v>
      </c>
      <c r="Q1759" s="12">
        <f t="shared" si="181"/>
        <v>8151.5700000000006</v>
      </c>
      <c r="R1759" s="31">
        <f t="shared" si="182"/>
        <v>8100</v>
      </c>
      <c r="T1759" s="8">
        <v>15735</v>
      </c>
      <c r="V1759" s="8">
        <f t="shared" si="183"/>
        <v>14161.5</v>
      </c>
      <c r="W1759" s="8">
        <f t="shared" si="184"/>
        <v>35403.75</v>
      </c>
    </row>
    <row r="1760" spans="1:23" ht="21.95" customHeight="1" x14ac:dyDescent="0.2">
      <c r="A1760" s="5" t="s">
        <v>17</v>
      </c>
      <c r="B1760" t="s">
        <v>1582</v>
      </c>
      <c r="C1760" t="s">
        <v>486</v>
      </c>
      <c r="D1760" s="6" t="s">
        <v>405</v>
      </c>
      <c r="E1760" s="6"/>
      <c r="K1760" s="7">
        <v>44005956</v>
      </c>
      <c r="L1760" s="5" t="str">
        <f t="shared" si="185"/>
        <v>AR NOVA VİTRİN</v>
      </c>
      <c r="M1760" s="8">
        <v>0.15</v>
      </c>
      <c r="N1760" s="8">
        <v>0.1</v>
      </c>
      <c r="O1760" s="8">
        <v>28720</v>
      </c>
      <c r="P1760" s="8">
        <f t="shared" si="180"/>
        <v>25848</v>
      </c>
      <c r="Q1760" s="12">
        <f t="shared" si="181"/>
        <v>54280.800000000003</v>
      </c>
      <c r="R1760" s="31">
        <f t="shared" si="182"/>
        <v>54200</v>
      </c>
      <c r="T1760" s="8">
        <v>13740</v>
      </c>
      <c r="V1760" s="8">
        <f t="shared" si="183"/>
        <v>12366</v>
      </c>
      <c r="W1760" s="8">
        <f t="shared" si="184"/>
        <v>30915</v>
      </c>
    </row>
    <row r="1761" spans="1:23" ht="21.95" customHeight="1" x14ac:dyDescent="0.2">
      <c r="A1761" s="5" t="s">
        <v>17</v>
      </c>
      <c r="B1761" t="s">
        <v>1582</v>
      </c>
      <c r="C1761" t="s">
        <v>486</v>
      </c>
      <c r="D1761" s="6" t="s">
        <v>588</v>
      </c>
      <c r="E1761" s="6"/>
      <c r="K1761" s="7">
        <v>44005957</v>
      </c>
      <c r="L1761" s="5" t="str">
        <f t="shared" si="185"/>
        <v xml:space="preserve">AR NOVA DRESUAR </v>
      </c>
      <c r="M1761" s="8">
        <v>0.15</v>
      </c>
      <c r="N1761" s="8">
        <v>0.1</v>
      </c>
      <c r="O1761" s="8">
        <v>19725</v>
      </c>
      <c r="P1761" s="8">
        <f t="shared" si="180"/>
        <v>17752.5</v>
      </c>
      <c r="Q1761" s="12">
        <f t="shared" si="181"/>
        <v>37280.25</v>
      </c>
      <c r="R1761" s="31">
        <f t="shared" si="182"/>
        <v>37200</v>
      </c>
      <c r="T1761" s="8">
        <v>13190</v>
      </c>
      <c r="V1761" s="8">
        <f t="shared" si="183"/>
        <v>11871</v>
      </c>
      <c r="W1761" s="8">
        <f t="shared" si="184"/>
        <v>29677.5</v>
      </c>
    </row>
    <row r="1762" spans="1:23" ht="21.95" customHeight="1" x14ac:dyDescent="0.2">
      <c r="A1762" s="5" t="s">
        <v>17</v>
      </c>
      <c r="B1762" t="s">
        <v>1582</v>
      </c>
      <c r="C1762" t="s">
        <v>486</v>
      </c>
      <c r="D1762" s="6" t="s">
        <v>750</v>
      </c>
      <c r="E1762" s="6"/>
      <c r="K1762" s="7">
        <v>44005958</v>
      </c>
      <c r="L1762" s="5" t="str">
        <f t="shared" si="185"/>
        <v>AR NOVA TV ÜNİTESİ ÜST PANO</v>
      </c>
      <c r="M1762" s="8">
        <v>0.15</v>
      </c>
      <c r="N1762" s="8">
        <v>0.1</v>
      </c>
      <c r="O1762" s="8">
        <v>9265</v>
      </c>
      <c r="P1762" s="8">
        <f t="shared" si="180"/>
        <v>8338.5</v>
      </c>
      <c r="Q1762" s="12">
        <f t="shared" si="181"/>
        <v>17510.850000000002</v>
      </c>
      <c r="R1762" s="31">
        <f t="shared" si="182"/>
        <v>17500</v>
      </c>
      <c r="T1762" s="8">
        <v>38380</v>
      </c>
      <c r="V1762" s="8">
        <f t="shared" si="183"/>
        <v>34542</v>
      </c>
      <c r="W1762" s="8">
        <f t="shared" si="184"/>
        <v>86355</v>
      </c>
    </row>
    <row r="1763" spans="1:23" ht="21.95" customHeight="1" x14ac:dyDescent="0.2">
      <c r="A1763" s="5" t="s">
        <v>17</v>
      </c>
      <c r="B1763" t="s">
        <v>1582</v>
      </c>
      <c r="C1763" t="s">
        <v>486</v>
      </c>
      <c r="D1763" s="6" t="s">
        <v>496</v>
      </c>
      <c r="E1763" s="6"/>
      <c r="K1763" s="7">
        <v>44005959</v>
      </c>
      <c r="L1763" s="5" t="str">
        <f t="shared" si="185"/>
        <v>AR NOVA TV ÜNİTESİ ALT MODÜL</v>
      </c>
      <c r="M1763" s="8">
        <v>0.15</v>
      </c>
      <c r="N1763" s="8">
        <v>0.1</v>
      </c>
      <c r="O1763" s="8">
        <v>37565</v>
      </c>
      <c r="P1763" s="8">
        <f t="shared" si="180"/>
        <v>33808.5</v>
      </c>
      <c r="Q1763" s="12">
        <f t="shared" si="181"/>
        <v>70997.850000000006</v>
      </c>
      <c r="R1763" s="31">
        <f t="shared" si="182"/>
        <v>70900</v>
      </c>
      <c r="T1763" s="8">
        <v>35030</v>
      </c>
      <c r="V1763" s="8">
        <f t="shared" si="183"/>
        <v>31527</v>
      </c>
      <c r="W1763" s="8">
        <f t="shared" si="184"/>
        <v>78817.5</v>
      </c>
    </row>
    <row r="1764" spans="1:23" ht="21.95" customHeight="1" x14ac:dyDescent="0.2">
      <c r="A1764" s="5" t="s">
        <v>17</v>
      </c>
      <c r="B1764" t="s">
        <v>1582</v>
      </c>
      <c r="C1764" t="s">
        <v>486</v>
      </c>
      <c r="D1764" s="6" t="s">
        <v>775</v>
      </c>
      <c r="E1764" s="6"/>
      <c r="K1764" s="7">
        <v>44005960</v>
      </c>
      <c r="L1764" s="5" t="str">
        <f t="shared" si="185"/>
        <v>AR NOVA ORTA SEHPA (METAL SEHPA + PUF)</v>
      </c>
      <c r="M1764" s="8">
        <v>0.15</v>
      </c>
      <c r="N1764" s="8">
        <v>0.1</v>
      </c>
      <c r="O1764" s="8">
        <v>17665</v>
      </c>
      <c r="P1764" s="8">
        <f t="shared" si="180"/>
        <v>15898.5</v>
      </c>
      <c r="Q1764" s="12">
        <f t="shared" si="181"/>
        <v>33386.85</v>
      </c>
      <c r="R1764" s="31">
        <f t="shared" si="182"/>
        <v>33300</v>
      </c>
      <c r="T1764" s="8">
        <v>17745</v>
      </c>
      <c r="V1764" s="8">
        <f t="shared" si="183"/>
        <v>15970.5</v>
      </c>
      <c r="W1764" s="8">
        <f t="shared" si="184"/>
        <v>39926.25</v>
      </c>
    </row>
    <row r="1765" spans="1:23" ht="21.95" customHeight="1" x14ac:dyDescent="0.2">
      <c r="A1765" s="5" t="s">
        <v>17</v>
      </c>
      <c r="B1765" t="s">
        <v>1582</v>
      </c>
      <c r="C1765" t="s">
        <v>486</v>
      </c>
      <c r="D1765" s="6" t="s">
        <v>30</v>
      </c>
      <c r="E1765" s="6"/>
      <c r="K1765" s="7">
        <v>44005961</v>
      </c>
      <c r="L1765" s="5" t="str">
        <f t="shared" si="185"/>
        <v>AR NOVA YAN SEHPA</v>
      </c>
      <c r="M1765" s="8">
        <v>0.15</v>
      </c>
      <c r="N1765" s="8">
        <v>0.1</v>
      </c>
      <c r="O1765" s="8">
        <v>8445</v>
      </c>
      <c r="P1765" s="8">
        <f t="shared" si="180"/>
        <v>7600.5</v>
      </c>
      <c r="Q1765" s="12">
        <f t="shared" si="181"/>
        <v>15961.050000000001</v>
      </c>
      <c r="R1765" s="31">
        <f t="shared" si="182"/>
        <v>15900</v>
      </c>
      <c r="T1765" s="8">
        <v>33025</v>
      </c>
      <c r="V1765" s="8">
        <f t="shared" si="183"/>
        <v>29722.5</v>
      </c>
      <c r="W1765" s="8">
        <f t="shared" si="184"/>
        <v>74306.25</v>
      </c>
    </row>
    <row r="1766" spans="1:23" ht="21.95" customHeight="1" x14ac:dyDescent="0.2">
      <c r="A1766" s="5" t="s">
        <v>17</v>
      </c>
      <c r="B1766" t="s">
        <v>1582</v>
      </c>
      <c r="C1766" t="s">
        <v>486</v>
      </c>
      <c r="D1766" s="6" t="s">
        <v>31</v>
      </c>
      <c r="E1766" s="6"/>
      <c r="K1766" s="7">
        <v>44005962</v>
      </c>
      <c r="L1766" s="5" t="str">
        <f t="shared" si="185"/>
        <v>AR NOVA KOLTUK 4 LÜ</v>
      </c>
      <c r="M1766" s="8">
        <v>0.15</v>
      </c>
      <c r="N1766" s="8">
        <v>0.1</v>
      </c>
      <c r="O1766" s="8">
        <v>32600</v>
      </c>
      <c r="P1766" s="8">
        <f t="shared" si="180"/>
        <v>29340</v>
      </c>
      <c r="Q1766" s="12">
        <f t="shared" si="181"/>
        <v>61614</v>
      </c>
      <c r="R1766" s="31">
        <f t="shared" si="182"/>
        <v>61600</v>
      </c>
      <c r="T1766" s="8">
        <v>37625</v>
      </c>
      <c r="V1766" s="8">
        <f t="shared" si="183"/>
        <v>33862.5</v>
      </c>
      <c r="W1766" s="8">
        <f t="shared" si="184"/>
        <v>84656.25</v>
      </c>
    </row>
    <row r="1767" spans="1:23" ht="21.95" customHeight="1" x14ac:dyDescent="0.2">
      <c r="A1767" s="5" t="s">
        <v>17</v>
      </c>
      <c r="B1767" t="s">
        <v>1582</v>
      </c>
      <c r="C1767" t="s">
        <v>486</v>
      </c>
      <c r="D1767" s="6" t="s">
        <v>32</v>
      </c>
      <c r="E1767" s="6"/>
      <c r="K1767" s="7">
        <v>44005963</v>
      </c>
      <c r="L1767" s="5" t="str">
        <f t="shared" si="185"/>
        <v>AR NOVA KOLTUK 3 LÜ</v>
      </c>
      <c r="M1767" s="8">
        <v>0.15</v>
      </c>
      <c r="N1767" s="8">
        <v>0.1</v>
      </c>
      <c r="O1767" s="8">
        <v>29445</v>
      </c>
      <c r="P1767" s="8">
        <f t="shared" si="180"/>
        <v>26500.5</v>
      </c>
      <c r="Q1767" s="12">
        <f t="shared" si="181"/>
        <v>55651.05</v>
      </c>
      <c r="R1767" s="31">
        <f t="shared" si="182"/>
        <v>55600</v>
      </c>
      <c r="T1767" s="8">
        <v>40125</v>
      </c>
      <c r="V1767" s="8">
        <f t="shared" si="183"/>
        <v>36112.5</v>
      </c>
      <c r="W1767" s="8">
        <f t="shared" si="184"/>
        <v>90281.25</v>
      </c>
    </row>
    <row r="1768" spans="1:23" ht="21.95" customHeight="1" x14ac:dyDescent="0.2">
      <c r="A1768" s="5" t="s">
        <v>17</v>
      </c>
      <c r="B1768" t="s">
        <v>1582</v>
      </c>
      <c r="C1768" t="s">
        <v>486</v>
      </c>
      <c r="D1768" s="6" t="s">
        <v>592</v>
      </c>
      <c r="E1768" s="6"/>
      <c r="K1768" s="7">
        <v>44005964</v>
      </c>
      <c r="L1768" s="5" t="str">
        <f t="shared" si="185"/>
        <v>AR NOVA KOLTUK TEKLİ</v>
      </c>
      <c r="M1768" s="8">
        <v>0.15</v>
      </c>
      <c r="N1768" s="8">
        <v>0.1</v>
      </c>
      <c r="O1768" s="8">
        <v>14920</v>
      </c>
      <c r="P1768" s="8">
        <f t="shared" si="180"/>
        <v>13428</v>
      </c>
      <c r="Q1768" s="12">
        <f t="shared" si="181"/>
        <v>28198.800000000003</v>
      </c>
      <c r="R1768" s="31">
        <f t="shared" si="182"/>
        <v>28100</v>
      </c>
      <c r="T1768" s="8">
        <v>35525</v>
      </c>
      <c r="V1768" s="8">
        <f t="shared" si="183"/>
        <v>31972.5</v>
      </c>
      <c r="W1768" s="8">
        <f t="shared" si="184"/>
        <v>79931.25</v>
      </c>
    </row>
    <row r="1769" spans="1:23" ht="21.95" customHeight="1" x14ac:dyDescent="0.2">
      <c r="A1769" s="5" t="s">
        <v>17</v>
      </c>
      <c r="B1769" t="s">
        <v>1582</v>
      </c>
      <c r="C1769" t="s">
        <v>486</v>
      </c>
      <c r="D1769" s="6" t="s">
        <v>727</v>
      </c>
      <c r="E1769" s="6"/>
      <c r="K1769" s="7">
        <v>44005965</v>
      </c>
      <c r="L1769" s="5" t="str">
        <f t="shared" si="185"/>
        <v>AR NOVA KARYOLA İÇ KAYITLI 160CM PANOLU</v>
      </c>
      <c r="M1769" s="8">
        <v>0.15</v>
      </c>
      <c r="N1769" s="8">
        <v>0.1</v>
      </c>
      <c r="O1769" s="8">
        <v>25405</v>
      </c>
      <c r="P1769" s="8">
        <f t="shared" si="180"/>
        <v>22864.5</v>
      </c>
      <c r="Q1769" s="12">
        <f t="shared" si="181"/>
        <v>48015.450000000004</v>
      </c>
      <c r="R1769" s="31">
        <f t="shared" si="182"/>
        <v>48000</v>
      </c>
      <c r="T1769" s="8">
        <v>8940</v>
      </c>
      <c r="V1769" s="8">
        <f t="shared" si="183"/>
        <v>8046</v>
      </c>
      <c r="W1769" s="8">
        <f t="shared" si="184"/>
        <v>20115</v>
      </c>
    </row>
    <row r="1770" spans="1:23" ht="21.95" customHeight="1" x14ac:dyDescent="0.2">
      <c r="A1770" s="5" t="s">
        <v>17</v>
      </c>
      <c r="B1770" t="s">
        <v>1582</v>
      </c>
      <c r="C1770" t="s">
        <v>486</v>
      </c>
      <c r="D1770" s="6" t="s">
        <v>726</v>
      </c>
      <c r="E1770" s="6"/>
      <c r="K1770" s="7">
        <v>44005966</v>
      </c>
      <c r="L1770" s="5" t="str">
        <f t="shared" si="185"/>
        <v>AR NOVA KARYOLA İÇ KAYITLI 160CM PANOSUZ</v>
      </c>
      <c r="M1770" s="8">
        <v>0.15</v>
      </c>
      <c r="N1770" s="8">
        <v>0.1</v>
      </c>
      <c r="O1770" s="8">
        <v>19180</v>
      </c>
      <c r="P1770" s="8">
        <f t="shared" si="180"/>
        <v>17262</v>
      </c>
      <c r="Q1770" s="12">
        <f t="shared" si="181"/>
        <v>36250.200000000004</v>
      </c>
      <c r="R1770" s="31">
        <f t="shared" si="182"/>
        <v>36200</v>
      </c>
      <c r="T1770" s="8">
        <v>50655</v>
      </c>
      <c r="V1770" s="8">
        <f t="shared" si="183"/>
        <v>45589.5</v>
      </c>
      <c r="W1770" s="8">
        <f t="shared" si="184"/>
        <v>113973.75</v>
      </c>
    </row>
    <row r="1771" spans="1:23" ht="21.95" customHeight="1" x14ac:dyDescent="0.2">
      <c r="A1771" s="5" t="s">
        <v>17</v>
      </c>
      <c r="B1771" t="s">
        <v>1582</v>
      </c>
      <c r="C1771" t="s">
        <v>486</v>
      </c>
      <c r="D1771" s="6" t="s">
        <v>728</v>
      </c>
      <c r="E1771" s="6"/>
      <c r="K1771" s="7">
        <v>44005967</v>
      </c>
      <c r="L1771" s="5" t="str">
        <f t="shared" si="185"/>
        <v>AR NOVA KARYOLA BAZALI 160CM PANOLU</v>
      </c>
      <c r="M1771" s="8">
        <v>0.15</v>
      </c>
      <c r="N1771" s="8">
        <v>0.1</v>
      </c>
      <c r="O1771" s="8">
        <v>29805</v>
      </c>
      <c r="P1771" s="8">
        <f t="shared" si="180"/>
        <v>26824.5</v>
      </c>
      <c r="Q1771" s="12">
        <f t="shared" si="181"/>
        <v>56331.450000000004</v>
      </c>
      <c r="R1771" s="31">
        <f t="shared" si="182"/>
        <v>56300</v>
      </c>
      <c r="T1771" s="8">
        <v>25465</v>
      </c>
      <c r="V1771" s="8">
        <f t="shared" si="183"/>
        <v>22918.5</v>
      </c>
      <c r="W1771" s="8">
        <f t="shared" si="184"/>
        <v>57296.25</v>
      </c>
    </row>
    <row r="1772" spans="1:23" ht="21.95" customHeight="1" x14ac:dyDescent="0.2">
      <c r="A1772" s="5" t="s">
        <v>17</v>
      </c>
      <c r="B1772" t="s">
        <v>1582</v>
      </c>
      <c r="C1772" t="s">
        <v>486</v>
      </c>
      <c r="D1772" s="6" t="s">
        <v>729</v>
      </c>
      <c r="E1772" s="6"/>
      <c r="K1772" s="7">
        <v>44005968</v>
      </c>
      <c r="L1772" s="5" t="str">
        <f t="shared" si="185"/>
        <v>AR NOVA KARYOLA BAZALI 160CM PANOSUZ</v>
      </c>
      <c r="M1772" s="8">
        <v>0.15</v>
      </c>
      <c r="N1772" s="8">
        <v>0.1</v>
      </c>
      <c r="O1772" s="8">
        <v>23780</v>
      </c>
      <c r="P1772" s="8">
        <f t="shared" si="180"/>
        <v>21402</v>
      </c>
      <c r="Q1772" s="12">
        <f t="shared" si="181"/>
        <v>44944.200000000004</v>
      </c>
      <c r="R1772" s="31">
        <f t="shared" si="182"/>
        <v>44900</v>
      </c>
      <c r="T1772" s="8">
        <v>13860</v>
      </c>
      <c r="V1772" s="8">
        <f t="shared" si="183"/>
        <v>12474</v>
      </c>
      <c r="W1772" s="8">
        <f t="shared" si="184"/>
        <v>31185</v>
      </c>
    </row>
    <row r="1773" spans="1:23" ht="21.95" customHeight="1" x14ac:dyDescent="0.2">
      <c r="A1773" s="5" t="s">
        <v>17</v>
      </c>
      <c r="B1773" t="s">
        <v>1582</v>
      </c>
      <c r="C1773" t="s">
        <v>486</v>
      </c>
      <c r="D1773" s="6" t="s">
        <v>730</v>
      </c>
      <c r="E1773" s="6"/>
      <c r="K1773" s="7">
        <v>44005969</v>
      </c>
      <c r="L1773" s="5" t="str">
        <f t="shared" si="185"/>
        <v>AR NOVA KARYOLA BAZALI 180CM PANOLU</v>
      </c>
      <c r="M1773" s="8">
        <v>0.15</v>
      </c>
      <c r="N1773" s="8">
        <v>0.1</v>
      </c>
      <c r="O1773" s="8">
        <v>32305</v>
      </c>
      <c r="P1773" s="8">
        <f t="shared" si="180"/>
        <v>29074.5</v>
      </c>
      <c r="Q1773" s="12">
        <f t="shared" si="181"/>
        <v>61056.450000000004</v>
      </c>
      <c r="R1773" s="31">
        <f t="shared" si="182"/>
        <v>61000</v>
      </c>
      <c r="T1773" s="8">
        <v>4775</v>
      </c>
      <c r="V1773" s="8">
        <f t="shared" si="183"/>
        <v>4297.5</v>
      </c>
      <c r="W1773" s="8">
        <f t="shared" si="184"/>
        <v>10743.75</v>
      </c>
    </row>
    <row r="1774" spans="1:23" ht="21.95" customHeight="1" x14ac:dyDescent="0.2">
      <c r="A1774" s="5" t="s">
        <v>17</v>
      </c>
      <c r="B1774" t="s">
        <v>1582</v>
      </c>
      <c r="C1774" t="s">
        <v>486</v>
      </c>
      <c r="D1774" s="6" t="s">
        <v>731</v>
      </c>
      <c r="E1774" s="6"/>
      <c r="K1774" s="7">
        <v>44005970</v>
      </c>
      <c r="L1774" s="5" t="str">
        <f t="shared" si="185"/>
        <v>AR NOVA KARYOLA BAZALI 180CM PANOSUZ</v>
      </c>
      <c r="M1774" s="8">
        <v>0.15</v>
      </c>
      <c r="N1774" s="8">
        <v>0.1</v>
      </c>
      <c r="O1774" s="8">
        <v>26280</v>
      </c>
      <c r="P1774" s="8">
        <f t="shared" si="180"/>
        <v>23652</v>
      </c>
      <c r="Q1774" s="12">
        <f t="shared" si="181"/>
        <v>49669.200000000004</v>
      </c>
      <c r="R1774" s="31">
        <f t="shared" si="182"/>
        <v>49600</v>
      </c>
      <c r="T1774" s="8">
        <v>3170</v>
      </c>
      <c r="V1774" s="8">
        <f t="shared" si="183"/>
        <v>2853</v>
      </c>
      <c r="W1774" s="8">
        <f t="shared" si="184"/>
        <v>7132.5</v>
      </c>
    </row>
    <row r="1775" spans="1:23" ht="21.95" customHeight="1" x14ac:dyDescent="0.2">
      <c r="A1775" s="5" t="s">
        <v>17</v>
      </c>
      <c r="B1775" t="s">
        <v>1582</v>
      </c>
      <c r="C1775" t="s">
        <v>486</v>
      </c>
      <c r="D1775" s="6" t="s">
        <v>732</v>
      </c>
      <c r="E1775" s="6"/>
      <c r="K1775" s="7">
        <v>44005971</v>
      </c>
      <c r="L1775" s="5" t="str">
        <f t="shared" si="185"/>
        <v>AR NOVA KARYOLA İÇ KAYITLI 180CM PANOLU</v>
      </c>
      <c r="M1775" s="8">
        <v>0.15</v>
      </c>
      <c r="N1775" s="8">
        <v>0.1</v>
      </c>
      <c r="O1775" s="8">
        <v>27705</v>
      </c>
      <c r="P1775" s="8">
        <f t="shared" si="180"/>
        <v>24934.5</v>
      </c>
      <c r="Q1775" s="12">
        <f t="shared" si="181"/>
        <v>52362.450000000004</v>
      </c>
      <c r="R1775" s="31">
        <f t="shared" si="182"/>
        <v>52300</v>
      </c>
      <c r="T1775" s="8">
        <v>7960</v>
      </c>
      <c r="V1775" s="8">
        <f t="shared" si="183"/>
        <v>7164</v>
      </c>
      <c r="W1775" s="8">
        <f t="shared" si="184"/>
        <v>17910</v>
      </c>
    </row>
    <row r="1776" spans="1:23" ht="21.95" customHeight="1" x14ac:dyDescent="0.2">
      <c r="A1776" s="5" t="s">
        <v>17</v>
      </c>
      <c r="B1776" t="s">
        <v>1582</v>
      </c>
      <c r="C1776" t="s">
        <v>486</v>
      </c>
      <c r="D1776" s="6" t="s">
        <v>733</v>
      </c>
      <c r="E1776" s="6"/>
      <c r="K1776" s="7">
        <v>44005972</v>
      </c>
      <c r="L1776" s="5" t="str">
        <f t="shared" si="185"/>
        <v>AR NOVA KARYOLA İÇ KAYITLI 180CM PANOSUZ</v>
      </c>
      <c r="M1776" s="8">
        <v>0.15</v>
      </c>
      <c r="N1776" s="8">
        <v>0.1</v>
      </c>
      <c r="O1776" s="8">
        <v>21680</v>
      </c>
      <c r="P1776" s="8">
        <f t="shared" ref="P1776:P1839" si="186">O1776*(1-N1776)</f>
        <v>19512</v>
      </c>
      <c r="Q1776" s="12">
        <f t="shared" ref="Q1776:Q1839" si="187">O1776*(1-N1776)*2.1</f>
        <v>40975.200000000004</v>
      </c>
      <c r="R1776" s="31">
        <f t="shared" ref="R1776:R1839" si="188">ROUNDDOWN(Q1776,-2)</f>
        <v>40900</v>
      </c>
      <c r="T1776" s="8">
        <v>44485</v>
      </c>
      <c r="V1776" s="8">
        <f t="shared" si="183"/>
        <v>40036.5</v>
      </c>
      <c r="W1776" s="8">
        <f t="shared" si="184"/>
        <v>100091.25</v>
      </c>
    </row>
    <row r="1777" spans="1:23" ht="21.95" customHeight="1" x14ac:dyDescent="0.2">
      <c r="A1777" s="5" t="s">
        <v>17</v>
      </c>
      <c r="B1777" t="s">
        <v>1582</v>
      </c>
      <c r="C1777" t="s">
        <v>486</v>
      </c>
      <c r="D1777" s="6" t="s">
        <v>734</v>
      </c>
      <c r="E1777" s="6"/>
      <c r="K1777" s="7">
        <v>44005973</v>
      </c>
      <c r="L1777" s="5" t="str">
        <f t="shared" si="185"/>
        <v>AR NOVA KARYOLA PANOSU 2 ADET SAĞ-SOL</v>
      </c>
      <c r="M1777" s="8">
        <v>0.15</v>
      </c>
      <c r="N1777" s="8">
        <v>0.1</v>
      </c>
      <c r="O1777" s="8">
        <v>6025</v>
      </c>
      <c r="P1777" s="8">
        <f t="shared" si="186"/>
        <v>5422.5</v>
      </c>
      <c r="Q1777" s="12">
        <f t="shared" si="187"/>
        <v>11387.25</v>
      </c>
      <c r="R1777" s="31">
        <f t="shared" si="188"/>
        <v>11300</v>
      </c>
      <c r="T1777" s="8">
        <v>4252</v>
      </c>
      <c r="V1777" s="8">
        <f t="shared" si="183"/>
        <v>3826.8</v>
      </c>
      <c r="W1777" s="8">
        <f t="shared" si="184"/>
        <v>9567</v>
      </c>
    </row>
    <row r="1778" spans="1:23" ht="21.95" customHeight="1" x14ac:dyDescent="0.2">
      <c r="A1778" s="5" t="s">
        <v>17</v>
      </c>
      <c r="B1778" t="s">
        <v>1582</v>
      </c>
      <c r="C1778" t="s">
        <v>486</v>
      </c>
      <c r="D1778" s="6" t="s">
        <v>362</v>
      </c>
      <c r="E1778" s="6"/>
      <c r="K1778" s="7">
        <v>44005974</v>
      </c>
      <c r="L1778" s="5" t="str">
        <f t="shared" si="185"/>
        <v>AR NOVA KOMODİN</v>
      </c>
      <c r="M1778" s="8">
        <v>0.15</v>
      </c>
      <c r="N1778" s="8">
        <v>0.1</v>
      </c>
      <c r="O1778" s="8">
        <v>8215</v>
      </c>
      <c r="P1778" s="8">
        <f t="shared" si="186"/>
        <v>7393.5</v>
      </c>
      <c r="Q1778" s="12">
        <f t="shared" si="187"/>
        <v>15526.35</v>
      </c>
      <c r="R1778" s="31">
        <f t="shared" si="188"/>
        <v>15500</v>
      </c>
      <c r="T1778" s="8">
        <v>25855</v>
      </c>
      <c r="V1778" s="8">
        <f t="shared" si="183"/>
        <v>23269.5</v>
      </c>
      <c r="W1778" s="8">
        <f t="shared" si="184"/>
        <v>58173.75</v>
      </c>
    </row>
    <row r="1779" spans="1:23" ht="21.95" customHeight="1" x14ac:dyDescent="0.2">
      <c r="A1779" s="5" t="s">
        <v>17</v>
      </c>
      <c r="B1779" t="s">
        <v>1582</v>
      </c>
      <c r="C1779" t="s">
        <v>486</v>
      </c>
      <c r="D1779" s="6" t="s">
        <v>361</v>
      </c>
      <c r="E1779" s="6"/>
      <c r="K1779" s="7">
        <v>44005975</v>
      </c>
      <c r="L1779" s="5" t="str">
        <f t="shared" si="185"/>
        <v>AR NOVA DOLAP</v>
      </c>
      <c r="M1779" s="8">
        <v>0.15</v>
      </c>
      <c r="N1779" s="8">
        <v>0.1</v>
      </c>
      <c r="O1779" s="8">
        <v>48505</v>
      </c>
      <c r="P1779" s="8">
        <f t="shared" si="186"/>
        <v>43654.5</v>
      </c>
      <c r="Q1779" s="12">
        <f t="shared" si="187"/>
        <v>91674.45</v>
      </c>
      <c r="R1779" s="31">
        <f t="shared" si="188"/>
        <v>91600</v>
      </c>
      <c r="T1779" s="8">
        <v>33612</v>
      </c>
      <c r="V1779" s="8">
        <f t="shared" si="183"/>
        <v>30250.799999999999</v>
      </c>
      <c r="W1779" s="8">
        <f t="shared" si="184"/>
        <v>75627</v>
      </c>
    </row>
    <row r="1780" spans="1:23" ht="21.95" customHeight="1" x14ac:dyDescent="0.2">
      <c r="A1780" s="5" t="s">
        <v>17</v>
      </c>
      <c r="B1780" t="s">
        <v>1582</v>
      </c>
      <c r="C1780" t="s">
        <v>486</v>
      </c>
      <c r="D1780" s="6" t="s">
        <v>595</v>
      </c>
      <c r="E1780" s="6"/>
      <c r="K1780" s="7">
        <v>44005976</v>
      </c>
      <c r="L1780" s="5" t="str">
        <f t="shared" si="185"/>
        <v>AR NOVA ŞİFONYER &amp; AYNASI</v>
      </c>
      <c r="M1780" s="8">
        <v>0.15</v>
      </c>
      <c r="N1780" s="8">
        <v>0.1</v>
      </c>
      <c r="O1780" s="8">
        <v>19725</v>
      </c>
      <c r="P1780" s="8">
        <f t="shared" si="186"/>
        <v>17752.5</v>
      </c>
      <c r="Q1780" s="12">
        <f t="shared" si="187"/>
        <v>37280.25</v>
      </c>
      <c r="R1780" s="31">
        <f t="shared" si="188"/>
        <v>37200</v>
      </c>
      <c r="T1780" s="8">
        <v>38413</v>
      </c>
      <c r="V1780" s="8">
        <f t="shared" si="183"/>
        <v>34571.700000000004</v>
      </c>
      <c r="W1780" s="8">
        <f t="shared" si="184"/>
        <v>86429.250000000015</v>
      </c>
    </row>
    <row r="1781" spans="1:23" ht="21.95" customHeight="1" x14ac:dyDescent="0.2">
      <c r="A1781" s="5" t="s">
        <v>17</v>
      </c>
      <c r="B1781" t="s">
        <v>1582</v>
      </c>
      <c r="C1781" t="s">
        <v>486</v>
      </c>
      <c r="D1781" s="6" t="s">
        <v>126</v>
      </c>
      <c r="E1781" s="6"/>
      <c r="K1781" s="7">
        <v>44005977</v>
      </c>
      <c r="L1781" s="5" t="str">
        <f t="shared" si="185"/>
        <v>AR NOVA ÇAMAŞIRLIK</v>
      </c>
      <c r="M1781" s="8">
        <v>0.15</v>
      </c>
      <c r="N1781" s="8">
        <v>0.1</v>
      </c>
      <c r="O1781" s="8">
        <v>15660</v>
      </c>
      <c r="P1781" s="8">
        <f t="shared" si="186"/>
        <v>14094</v>
      </c>
      <c r="Q1781" s="12">
        <f t="shared" si="187"/>
        <v>29597.4</v>
      </c>
      <c r="R1781" s="31">
        <f t="shared" si="188"/>
        <v>29500</v>
      </c>
      <c r="T1781" s="8">
        <v>5533</v>
      </c>
      <c r="V1781" s="8">
        <f t="shared" si="183"/>
        <v>4979.7</v>
      </c>
      <c r="W1781" s="8">
        <f t="shared" si="184"/>
        <v>12449.25</v>
      </c>
    </row>
    <row r="1782" spans="1:23" ht="21.95" customHeight="1" x14ac:dyDescent="0.2">
      <c r="A1782" s="5" t="s">
        <v>17</v>
      </c>
      <c r="B1782" t="s">
        <v>1582</v>
      </c>
      <c r="C1782" t="s">
        <v>486</v>
      </c>
      <c r="D1782" s="6" t="s">
        <v>82</v>
      </c>
      <c r="E1782" s="6"/>
      <c r="K1782" s="7">
        <v>44005978</v>
      </c>
      <c r="L1782" s="5" t="str">
        <f t="shared" si="185"/>
        <v>AR NOVA BOY AYNASI</v>
      </c>
      <c r="M1782" s="8">
        <v>0.15</v>
      </c>
      <c r="N1782" s="8">
        <v>0.1</v>
      </c>
      <c r="O1782" s="8">
        <v>4305</v>
      </c>
      <c r="P1782" s="8">
        <f t="shared" si="186"/>
        <v>3874.5</v>
      </c>
      <c r="Q1782" s="12">
        <f t="shared" si="187"/>
        <v>8136.4500000000007</v>
      </c>
      <c r="R1782" s="31">
        <f t="shared" si="188"/>
        <v>8100</v>
      </c>
      <c r="T1782" s="8">
        <v>37935</v>
      </c>
      <c r="V1782" s="8">
        <f t="shared" si="183"/>
        <v>34141.5</v>
      </c>
      <c r="W1782" s="8">
        <f t="shared" si="184"/>
        <v>85353.75</v>
      </c>
    </row>
    <row r="1783" spans="1:23" ht="21.95" customHeight="1" x14ac:dyDescent="0.2">
      <c r="A1783" s="5" t="s">
        <v>17</v>
      </c>
      <c r="B1783" t="s">
        <v>1582</v>
      </c>
      <c r="C1783" t="s">
        <v>486</v>
      </c>
      <c r="D1783" s="6" t="s">
        <v>119</v>
      </c>
      <c r="E1783" s="6"/>
      <c r="K1783" s="7">
        <v>44005979</v>
      </c>
      <c r="L1783" s="5" t="str">
        <f t="shared" si="185"/>
        <v>AR NOVA PUF</v>
      </c>
      <c r="M1783" s="8">
        <v>0.15</v>
      </c>
      <c r="N1783" s="8">
        <v>0.1</v>
      </c>
      <c r="O1783" s="8">
        <v>2990</v>
      </c>
      <c r="P1783" s="8">
        <f t="shared" si="186"/>
        <v>2691</v>
      </c>
      <c r="Q1783" s="12">
        <f t="shared" si="187"/>
        <v>5651.1</v>
      </c>
      <c r="R1783" s="31">
        <f t="shared" si="188"/>
        <v>5600</v>
      </c>
      <c r="T1783" s="8">
        <v>34680</v>
      </c>
      <c r="V1783" s="8">
        <f t="shared" si="183"/>
        <v>31212</v>
      </c>
      <c r="W1783" s="8">
        <f t="shared" si="184"/>
        <v>78030</v>
      </c>
    </row>
    <row r="1784" spans="1:23" ht="21.95" customHeight="1" x14ac:dyDescent="0.2">
      <c r="A1784" s="5" t="s">
        <v>17</v>
      </c>
      <c r="B1784" t="s">
        <v>1582</v>
      </c>
      <c r="C1784" t="s">
        <v>776</v>
      </c>
      <c r="D1784" s="6" t="s">
        <v>194</v>
      </c>
      <c r="E1784" s="6"/>
      <c r="K1784" s="7">
        <v>44005980</v>
      </c>
      <c r="L1784" s="5" t="str">
        <f t="shared" si="185"/>
        <v xml:space="preserve">AR AQUA KONSOL </v>
      </c>
      <c r="M1784" s="8">
        <v>0.15</v>
      </c>
      <c r="N1784" s="8">
        <v>0.1</v>
      </c>
      <c r="O1784" s="8">
        <v>30925</v>
      </c>
      <c r="P1784" s="8">
        <f t="shared" si="186"/>
        <v>27832.5</v>
      </c>
      <c r="Q1784" s="12">
        <f t="shared" si="187"/>
        <v>58448.25</v>
      </c>
      <c r="R1784" s="31">
        <f t="shared" si="188"/>
        <v>58400</v>
      </c>
      <c r="T1784" s="8">
        <v>19245</v>
      </c>
      <c r="V1784" s="8">
        <f t="shared" si="183"/>
        <v>17320.5</v>
      </c>
      <c r="W1784" s="8">
        <f t="shared" si="184"/>
        <v>43301.25</v>
      </c>
    </row>
    <row r="1785" spans="1:23" ht="21.95" customHeight="1" x14ac:dyDescent="0.2">
      <c r="A1785" s="5" t="s">
        <v>17</v>
      </c>
      <c r="B1785" t="s">
        <v>1582</v>
      </c>
      <c r="C1785" t="s">
        <v>776</v>
      </c>
      <c r="D1785" s="6" t="s">
        <v>686</v>
      </c>
      <c r="E1785" s="6"/>
      <c r="K1785" s="7">
        <v>44005981</v>
      </c>
      <c r="L1785" s="5" t="str">
        <f t="shared" si="185"/>
        <v>AR AQUA KONSOL AYNASI 3 ADET</v>
      </c>
      <c r="M1785" s="8">
        <v>0.15</v>
      </c>
      <c r="N1785" s="8">
        <v>0.1</v>
      </c>
      <c r="O1785" s="8">
        <v>7486</v>
      </c>
      <c r="P1785" s="8">
        <f t="shared" si="186"/>
        <v>6737.4000000000005</v>
      </c>
      <c r="Q1785" s="12">
        <f t="shared" si="187"/>
        <v>14148.54</v>
      </c>
      <c r="R1785" s="31">
        <f t="shared" si="188"/>
        <v>14100</v>
      </c>
      <c r="T1785" s="8">
        <v>17900</v>
      </c>
      <c r="V1785" s="8">
        <f t="shared" si="183"/>
        <v>16110</v>
      </c>
      <c r="W1785" s="8">
        <f t="shared" si="184"/>
        <v>40275</v>
      </c>
    </row>
    <row r="1786" spans="1:23" ht="21.95" customHeight="1" x14ac:dyDescent="0.2">
      <c r="A1786" s="5" t="s">
        <v>17</v>
      </c>
      <c r="B1786" t="s">
        <v>1582</v>
      </c>
      <c r="C1786" t="s">
        <v>776</v>
      </c>
      <c r="D1786" s="6" t="s">
        <v>599</v>
      </c>
      <c r="E1786" s="6"/>
      <c r="K1786" s="7">
        <v>44005982</v>
      </c>
      <c r="L1786" s="5" t="str">
        <f t="shared" si="185"/>
        <v>AR AQUA MASA 210CM</v>
      </c>
      <c r="M1786" s="8">
        <v>0.15</v>
      </c>
      <c r="N1786" s="8">
        <v>0.1</v>
      </c>
      <c r="O1786" s="8">
        <v>21925</v>
      </c>
      <c r="P1786" s="8">
        <f t="shared" si="186"/>
        <v>19732.5</v>
      </c>
      <c r="Q1786" s="12">
        <f t="shared" si="187"/>
        <v>41438.25</v>
      </c>
      <c r="R1786" s="31">
        <f t="shared" si="188"/>
        <v>41400</v>
      </c>
      <c r="T1786" s="8">
        <v>25920</v>
      </c>
      <c r="V1786" s="8">
        <f t="shared" si="183"/>
        <v>23328</v>
      </c>
      <c r="W1786" s="8">
        <f t="shared" si="184"/>
        <v>58320</v>
      </c>
    </row>
    <row r="1787" spans="1:23" ht="21.95" customHeight="1" x14ac:dyDescent="0.2">
      <c r="A1787" s="5" t="s">
        <v>17</v>
      </c>
      <c r="B1787" t="s">
        <v>1582</v>
      </c>
      <c r="C1787" t="s">
        <v>776</v>
      </c>
      <c r="D1787" s="6" t="s">
        <v>587</v>
      </c>
      <c r="E1787" s="6"/>
      <c r="K1787" s="7">
        <v>44005983</v>
      </c>
      <c r="L1787" s="5" t="str">
        <f t="shared" si="185"/>
        <v>AR AQUA MASA 180CM</v>
      </c>
      <c r="M1787" s="8">
        <v>0.15</v>
      </c>
      <c r="N1787" s="8">
        <v>0.1</v>
      </c>
      <c r="O1787" s="8">
        <v>28503</v>
      </c>
      <c r="P1787" s="8">
        <f t="shared" si="186"/>
        <v>25652.7</v>
      </c>
      <c r="Q1787" s="12">
        <f t="shared" si="187"/>
        <v>53870.670000000006</v>
      </c>
      <c r="R1787" s="31">
        <f t="shared" si="188"/>
        <v>53800</v>
      </c>
      <c r="T1787" s="8">
        <v>17450</v>
      </c>
      <c r="V1787" s="8">
        <f t="shared" si="183"/>
        <v>15705</v>
      </c>
      <c r="W1787" s="8">
        <f t="shared" si="184"/>
        <v>39262.5</v>
      </c>
    </row>
    <row r="1788" spans="1:23" ht="21.95" customHeight="1" x14ac:dyDescent="0.2">
      <c r="A1788" s="5" t="s">
        <v>17</v>
      </c>
      <c r="B1788" t="s">
        <v>1582</v>
      </c>
      <c r="C1788" t="s">
        <v>776</v>
      </c>
      <c r="D1788" s="6" t="s">
        <v>24</v>
      </c>
      <c r="E1788" s="6"/>
      <c r="K1788" s="7">
        <v>44005984</v>
      </c>
      <c r="L1788" s="5" t="str">
        <f t="shared" si="185"/>
        <v>AR AQUA MASA 240CM</v>
      </c>
      <c r="M1788" s="8">
        <v>0.15</v>
      </c>
      <c r="N1788" s="8">
        <v>0.1</v>
      </c>
      <c r="O1788" s="8">
        <v>32574</v>
      </c>
      <c r="P1788" s="8">
        <f t="shared" si="186"/>
        <v>29316.600000000002</v>
      </c>
      <c r="Q1788" s="12">
        <f t="shared" si="187"/>
        <v>61564.860000000008</v>
      </c>
      <c r="R1788" s="31">
        <f t="shared" si="188"/>
        <v>61500</v>
      </c>
      <c r="T1788" s="8">
        <v>12010</v>
      </c>
      <c r="V1788" s="8">
        <f t="shared" si="183"/>
        <v>10809</v>
      </c>
      <c r="W1788" s="8">
        <f t="shared" si="184"/>
        <v>27022.5</v>
      </c>
    </row>
    <row r="1789" spans="1:23" ht="21.95" customHeight="1" x14ac:dyDescent="0.2">
      <c r="A1789" s="5" t="s">
        <v>17</v>
      </c>
      <c r="B1789" t="s">
        <v>1582</v>
      </c>
      <c r="C1789" t="s">
        <v>776</v>
      </c>
      <c r="D1789" s="6" t="s">
        <v>25</v>
      </c>
      <c r="E1789" s="6"/>
      <c r="K1789" s="7">
        <v>44005985</v>
      </c>
      <c r="L1789" s="5" t="str">
        <f t="shared" si="185"/>
        <v>AR AQUA SANDALYE</v>
      </c>
      <c r="M1789" s="8">
        <v>0.15</v>
      </c>
      <c r="N1789" s="8">
        <v>0.1</v>
      </c>
      <c r="O1789" s="8">
        <v>4194</v>
      </c>
      <c r="P1789" s="8">
        <f t="shared" si="186"/>
        <v>3774.6</v>
      </c>
      <c r="Q1789" s="12">
        <f t="shared" si="187"/>
        <v>7926.66</v>
      </c>
      <c r="R1789" s="31">
        <f t="shared" si="188"/>
        <v>7900</v>
      </c>
      <c r="T1789" s="8">
        <v>11455</v>
      </c>
      <c r="V1789" s="8">
        <f t="shared" si="183"/>
        <v>10309.5</v>
      </c>
      <c r="W1789" s="8">
        <f t="shared" si="184"/>
        <v>25773.75</v>
      </c>
    </row>
    <row r="1790" spans="1:23" ht="21.95" customHeight="1" x14ac:dyDescent="0.2">
      <c r="A1790" s="5" t="s">
        <v>17</v>
      </c>
      <c r="B1790" t="s">
        <v>1582</v>
      </c>
      <c r="C1790" t="s">
        <v>776</v>
      </c>
      <c r="D1790" s="6" t="s">
        <v>588</v>
      </c>
      <c r="E1790" s="6"/>
      <c r="K1790" s="7">
        <v>44005986</v>
      </c>
      <c r="L1790" s="5" t="str">
        <f t="shared" si="185"/>
        <v xml:space="preserve">AR AQUA DRESUAR </v>
      </c>
      <c r="M1790" s="8">
        <v>0.15</v>
      </c>
      <c r="N1790" s="8">
        <v>0.1</v>
      </c>
      <c r="O1790" s="8">
        <v>20840</v>
      </c>
      <c r="P1790" s="8">
        <f t="shared" si="186"/>
        <v>18756</v>
      </c>
      <c r="Q1790" s="12">
        <f t="shared" si="187"/>
        <v>39387.599999999999</v>
      </c>
      <c r="R1790" s="31">
        <f t="shared" si="188"/>
        <v>39300</v>
      </c>
      <c r="T1790" s="8">
        <v>15375</v>
      </c>
      <c r="V1790" s="8">
        <f t="shared" si="183"/>
        <v>13837.5</v>
      </c>
      <c r="W1790" s="8">
        <f t="shared" si="184"/>
        <v>34593.75</v>
      </c>
    </row>
    <row r="1791" spans="1:23" ht="21.95" customHeight="1" x14ac:dyDescent="0.2">
      <c r="A1791" s="5" t="s">
        <v>17</v>
      </c>
      <c r="B1791" t="s">
        <v>1582</v>
      </c>
      <c r="C1791" t="s">
        <v>776</v>
      </c>
      <c r="D1791" s="6" t="s">
        <v>750</v>
      </c>
      <c r="E1791" s="6"/>
      <c r="K1791" s="7">
        <v>44005987</v>
      </c>
      <c r="L1791" s="5" t="str">
        <f t="shared" si="185"/>
        <v>AR AQUA TV ÜNİTESİ ÜST PANO</v>
      </c>
      <c r="M1791" s="8">
        <v>0.15</v>
      </c>
      <c r="N1791" s="8">
        <v>0.1</v>
      </c>
      <c r="O1791" s="8">
        <v>11160</v>
      </c>
      <c r="P1791" s="8">
        <f t="shared" si="186"/>
        <v>10044</v>
      </c>
      <c r="Q1791" s="12">
        <f t="shared" si="187"/>
        <v>21092.400000000001</v>
      </c>
      <c r="R1791" s="31">
        <f t="shared" si="188"/>
        <v>21000</v>
      </c>
      <c r="T1791" s="8">
        <v>26125</v>
      </c>
      <c r="V1791" s="8">
        <f t="shared" si="183"/>
        <v>23512.5</v>
      </c>
      <c r="W1791" s="8">
        <f t="shared" si="184"/>
        <v>58781.25</v>
      </c>
    </row>
    <row r="1792" spans="1:23" ht="21.95" customHeight="1" x14ac:dyDescent="0.2">
      <c r="A1792" s="5" t="s">
        <v>17</v>
      </c>
      <c r="B1792" t="s">
        <v>1582</v>
      </c>
      <c r="C1792" t="s">
        <v>776</v>
      </c>
      <c r="D1792" s="6" t="s">
        <v>496</v>
      </c>
      <c r="E1792" s="6"/>
      <c r="K1792" s="7">
        <v>44005988</v>
      </c>
      <c r="L1792" s="5" t="str">
        <f t="shared" si="185"/>
        <v>AR AQUA TV ÜNİTESİ ALT MODÜL</v>
      </c>
      <c r="M1792" s="8">
        <v>0.15</v>
      </c>
      <c r="N1792" s="8">
        <v>0.1</v>
      </c>
      <c r="O1792" s="8">
        <v>27770</v>
      </c>
      <c r="P1792" s="8">
        <f t="shared" si="186"/>
        <v>24993</v>
      </c>
      <c r="Q1792" s="12">
        <f t="shared" si="187"/>
        <v>52485.3</v>
      </c>
      <c r="R1792" s="31">
        <f t="shared" si="188"/>
        <v>52400</v>
      </c>
      <c r="T1792" s="8">
        <v>4432</v>
      </c>
      <c r="V1792" s="8">
        <f t="shared" si="183"/>
        <v>3988.8</v>
      </c>
      <c r="W1792" s="8">
        <f t="shared" si="184"/>
        <v>9972</v>
      </c>
    </row>
    <row r="1793" spans="1:23" ht="21.95" customHeight="1" x14ac:dyDescent="0.2">
      <c r="A1793" s="5" t="s">
        <v>17</v>
      </c>
      <c r="B1793" t="s">
        <v>1582</v>
      </c>
      <c r="C1793" t="s">
        <v>776</v>
      </c>
      <c r="D1793" s="6" t="s">
        <v>29</v>
      </c>
      <c r="E1793" s="6"/>
      <c r="K1793" s="7">
        <v>44005989</v>
      </c>
      <c r="L1793" s="5" t="str">
        <f t="shared" si="185"/>
        <v>AR AQUA ORTA SEHPA</v>
      </c>
      <c r="M1793" s="8">
        <v>0.15</v>
      </c>
      <c r="N1793" s="8">
        <v>0.1</v>
      </c>
      <c r="O1793" s="8">
        <v>16590</v>
      </c>
      <c r="P1793" s="8">
        <f t="shared" si="186"/>
        <v>14931</v>
      </c>
      <c r="Q1793" s="12">
        <f t="shared" si="187"/>
        <v>31355.100000000002</v>
      </c>
      <c r="R1793" s="31">
        <f t="shared" si="188"/>
        <v>31300</v>
      </c>
      <c r="T1793" s="8">
        <v>16535</v>
      </c>
      <c r="V1793" s="8">
        <f t="shared" si="183"/>
        <v>14881.5</v>
      </c>
      <c r="W1793" s="8">
        <f t="shared" si="184"/>
        <v>37203.75</v>
      </c>
    </row>
    <row r="1794" spans="1:23" ht="21.95" customHeight="1" x14ac:dyDescent="0.2">
      <c r="A1794" s="5" t="s">
        <v>17</v>
      </c>
      <c r="B1794" t="s">
        <v>1582</v>
      </c>
      <c r="C1794" t="s">
        <v>776</v>
      </c>
      <c r="D1794" s="6" t="s">
        <v>30</v>
      </c>
      <c r="E1794" s="6"/>
      <c r="K1794" s="7">
        <v>44005990</v>
      </c>
      <c r="L1794" s="5" t="str">
        <f t="shared" si="185"/>
        <v>AR AQUA YAN SEHPA</v>
      </c>
      <c r="M1794" s="8">
        <v>0.15</v>
      </c>
      <c r="N1794" s="8">
        <v>0.1</v>
      </c>
      <c r="O1794" s="8">
        <v>9525</v>
      </c>
      <c r="P1794" s="8">
        <f t="shared" si="186"/>
        <v>8572.5</v>
      </c>
      <c r="Q1794" s="12">
        <f t="shared" si="187"/>
        <v>18002.25</v>
      </c>
      <c r="R1794" s="31">
        <f t="shared" si="188"/>
        <v>18000</v>
      </c>
      <c r="T1794" s="8">
        <v>21496</v>
      </c>
      <c r="V1794" s="8">
        <f t="shared" ref="V1794:V1857" si="189">T1794*0.9</f>
        <v>19346.400000000001</v>
      </c>
      <c r="W1794" s="8">
        <f t="shared" ref="W1794:W1857" si="190">V1794*2.5</f>
        <v>48366</v>
      </c>
    </row>
    <row r="1795" spans="1:23" ht="21.95" customHeight="1" x14ac:dyDescent="0.2">
      <c r="A1795" s="5" t="s">
        <v>17</v>
      </c>
      <c r="B1795" t="s">
        <v>1582</v>
      </c>
      <c r="C1795" t="s">
        <v>776</v>
      </c>
      <c r="D1795" s="6" t="s">
        <v>31</v>
      </c>
      <c r="E1795" s="6"/>
      <c r="K1795" s="7">
        <v>44005991</v>
      </c>
      <c r="L1795" s="5" t="str">
        <f t="shared" si="185"/>
        <v>AR AQUA KOLTUK 4 LÜ</v>
      </c>
      <c r="M1795" s="8">
        <v>0.15</v>
      </c>
      <c r="N1795" s="8">
        <v>0.1</v>
      </c>
      <c r="O1795" s="8">
        <v>28710</v>
      </c>
      <c r="P1795" s="8">
        <f t="shared" si="186"/>
        <v>25839</v>
      </c>
      <c r="Q1795" s="12">
        <f t="shared" si="187"/>
        <v>54261.9</v>
      </c>
      <c r="R1795" s="31">
        <f t="shared" si="188"/>
        <v>54200</v>
      </c>
      <c r="T1795" s="8">
        <v>24566</v>
      </c>
      <c r="V1795" s="8">
        <f t="shared" si="189"/>
        <v>22109.4</v>
      </c>
      <c r="W1795" s="8">
        <f t="shared" si="190"/>
        <v>55273.5</v>
      </c>
    </row>
    <row r="1796" spans="1:23" ht="21.95" customHeight="1" x14ac:dyDescent="0.2">
      <c r="A1796" s="5" t="s">
        <v>17</v>
      </c>
      <c r="B1796" t="s">
        <v>1582</v>
      </c>
      <c r="C1796" t="s">
        <v>776</v>
      </c>
      <c r="D1796" s="6" t="s">
        <v>32</v>
      </c>
      <c r="E1796" s="6"/>
      <c r="K1796" s="7">
        <v>44005992</v>
      </c>
      <c r="L1796" s="5" t="str">
        <f t="shared" si="185"/>
        <v>AR AQUA KOLTUK 3 LÜ</v>
      </c>
      <c r="M1796" s="8">
        <v>0.15</v>
      </c>
      <c r="N1796" s="8">
        <v>0.1</v>
      </c>
      <c r="O1796" s="8">
        <v>25620</v>
      </c>
      <c r="P1796" s="8">
        <f t="shared" si="186"/>
        <v>23058</v>
      </c>
      <c r="Q1796" s="12">
        <f t="shared" si="187"/>
        <v>48421.8</v>
      </c>
      <c r="R1796" s="31">
        <f t="shared" si="188"/>
        <v>48400</v>
      </c>
      <c r="T1796" s="8">
        <v>4653</v>
      </c>
      <c r="V1796" s="8">
        <f t="shared" si="189"/>
        <v>4187.7</v>
      </c>
      <c r="W1796" s="8">
        <f t="shared" si="190"/>
        <v>10469.25</v>
      </c>
    </row>
    <row r="1797" spans="1:23" ht="21.95" customHeight="1" x14ac:dyDescent="0.2">
      <c r="A1797" s="5" t="s">
        <v>17</v>
      </c>
      <c r="B1797" t="s">
        <v>1582</v>
      </c>
      <c r="C1797" t="s">
        <v>776</v>
      </c>
      <c r="D1797" s="6" t="s">
        <v>592</v>
      </c>
      <c r="E1797" s="6"/>
      <c r="K1797" s="7">
        <v>44005993</v>
      </c>
      <c r="L1797" s="5" t="str">
        <f t="shared" si="185"/>
        <v>AR AQUA KOLTUK TEKLİ</v>
      </c>
      <c r="M1797" s="8">
        <v>0.15</v>
      </c>
      <c r="N1797" s="8">
        <v>0.1</v>
      </c>
      <c r="O1797" s="8">
        <v>14460</v>
      </c>
      <c r="P1797" s="8">
        <f t="shared" si="186"/>
        <v>13014</v>
      </c>
      <c r="Q1797" s="12">
        <f t="shared" si="187"/>
        <v>27329.4</v>
      </c>
      <c r="R1797" s="31">
        <f t="shared" si="188"/>
        <v>27300</v>
      </c>
      <c r="T1797" s="8">
        <v>18080</v>
      </c>
      <c r="V1797" s="8">
        <f t="shared" si="189"/>
        <v>16272</v>
      </c>
      <c r="W1797" s="8">
        <f t="shared" si="190"/>
        <v>40680</v>
      </c>
    </row>
    <row r="1798" spans="1:23" ht="21.95" customHeight="1" x14ac:dyDescent="0.2">
      <c r="A1798" s="5" t="s">
        <v>17</v>
      </c>
      <c r="B1798" t="s">
        <v>2023</v>
      </c>
      <c r="C1798" t="s">
        <v>776</v>
      </c>
      <c r="D1798" s="6" t="s">
        <v>2022</v>
      </c>
      <c r="E1798" s="6"/>
      <c r="K1798" s="7">
        <v>44005994</v>
      </c>
      <c r="L1798" s="5" t="s">
        <v>2024</v>
      </c>
      <c r="M1798" s="8">
        <v>0.15</v>
      </c>
      <c r="N1798" s="8">
        <v>0.1</v>
      </c>
      <c r="O1798" s="8">
        <v>8355</v>
      </c>
      <c r="P1798" s="8">
        <f t="shared" si="186"/>
        <v>7519.5</v>
      </c>
      <c r="Q1798" s="12">
        <f t="shared" si="187"/>
        <v>15790.95</v>
      </c>
      <c r="R1798" s="31">
        <f t="shared" si="188"/>
        <v>15700</v>
      </c>
      <c r="T1798" s="8">
        <v>14960</v>
      </c>
      <c r="V1798" s="8">
        <f t="shared" si="189"/>
        <v>13464</v>
      </c>
      <c r="W1798" s="8">
        <f t="shared" si="190"/>
        <v>33660</v>
      </c>
    </row>
    <row r="1799" spans="1:23" ht="21.95" customHeight="1" x14ac:dyDescent="0.2">
      <c r="A1799" s="5" t="s">
        <v>17</v>
      </c>
      <c r="B1799" t="s">
        <v>1582</v>
      </c>
      <c r="C1799" t="s">
        <v>776</v>
      </c>
      <c r="D1799" s="6" t="s">
        <v>593</v>
      </c>
      <c r="E1799" s="6"/>
      <c r="K1799" s="7">
        <v>44005995</v>
      </c>
      <c r="L1799" s="5" t="str">
        <f t="shared" ref="L1799:L1862" si="191">B1799&amp;" "&amp;C1799&amp;" "&amp;D1799</f>
        <v>AR AQUA KARYOLA İÇ KAYITLI 160CM</v>
      </c>
      <c r="M1799" s="8">
        <v>0.15</v>
      </c>
      <c r="N1799" s="8">
        <v>0.1</v>
      </c>
      <c r="O1799" s="8">
        <v>24485</v>
      </c>
      <c r="P1799" s="8">
        <f t="shared" si="186"/>
        <v>22036.5</v>
      </c>
      <c r="Q1799" s="12">
        <f t="shared" si="187"/>
        <v>46276.65</v>
      </c>
      <c r="R1799" s="31">
        <f t="shared" si="188"/>
        <v>46200</v>
      </c>
      <c r="T1799" s="8">
        <v>15415</v>
      </c>
      <c r="V1799" s="8">
        <f t="shared" si="189"/>
        <v>13873.5</v>
      </c>
      <c r="W1799" s="8">
        <f t="shared" si="190"/>
        <v>34683.75</v>
      </c>
    </row>
    <row r="1800" spans="1:23" ht="21.95" customHeight="1" x14ac:dyDescent="0.2">
      <c r="A1800" s="5" t="s">
        <v>17</v>
      </c>
      <c r="B1800" t="s">
        <v>1582</v>
      </c>
      <c r="C1800" t="s">
        <v>776</v>
      </c>
      <c r="D1800" s="6" t="s">
        <v>75</v>
      </c>
      <c r="E1800" s="6"/>
      <c r="K1800" s="7">
        <v>44005996</v>
      </c>
      <c r="L1800" s="5" t="str">
        <f t="shared" si="191"/>
        <v>AR AQUA KARYOLA BAZALI 160CM</v>
      </c>
      <c r="M1800" s="8">
        <v>0.15</v>
      </c>
      <c r="N1800" s="8">
        <v>0.1</v>
      </c>
      <c r="O1800" s="8">
        <v>29085</v>
      </c>
      <c r="P1800" s="8">
        <f t="shared" si="186"/>
        <v>26176.5</v>
      </c>
      <c r="Q1800" s="12">
        <f t="shared" si="187"/>
        <v>54970.65</v>
      </c>
      <c r="R1800" s="31">
        <f t="shared" si="188"/>
        <v>54900</v>
      </c>
      <c r="T1800" s="8">
        <v>16345</v>
      </c>
      <c r="V1800" s="8">
        <f t="shared" si="189"/>
        <v>14710.5</v>
      </c>
      <c r="W1800" s="8">
        <f t="shared" si="190"/>
        <v>36776.25</v>
      </c>
    </row>
    <row r="1801" spans="1:23" ht="21.95" customHeight="1" x14ac:dyDescent="0.2">
      <c r="A1801" s="5" t="s">
        <v>17</v>
      </c>
      <c r="B1801" t="s">
        <v>1582</v>
      </c>
      <c r="C1801" t="s">
        <v>776</v>
      </c>
      <c r="D1801" s="6" t="s">
        <v>76</v>
      </c>
      <c r="E1801" s="6"/>
      <c r="K1801" s="7">
        <v>44005997</v>
      </c>
      <c r="L1801" s="5" t="str">
        <f t="shared" si="191"/>
        <v>AR AQUA KARYOLA BAZALI 180CM</v>
      </c>
      <c r="M1801" s="8">
        <v>0.15</v>
      </c>
      <c r="N1801" s="8">
        <v>0.1</v>
      </c>
      <c r="O1801" s="8">
        <v>31585</v>
      </c>
      <c r="P1801" s="8">
        <f t="shared" si="186"/>
        <v>28426.5</v>
      </c>
      <c r="Q1801" s="12">
        <f t="shared" si="187"/>
        <v>59695.65</v>
      </c>
      <c r="R1801" s="31">
        <f t="shared" si="188"/>
        <v>59600</v>
      </c>
      <c r="T1801" s="8">
        <v>8405</v>
      </c>
      <c r="V1801" s="8">
        <f t="shared" si="189"/>
        <v>7564.5</v>
      </c>
      <c r="W1801" s="8">
        <f t="shared" si="190"/>
        <v>18911.25</v>
      </c>
    </row>
    <row r="1802" spans="1:23" ht="21.95" customHeight="1" x14ac:dyDescent="0.2">
      <c r="A1802" s="5" t="s">
        <v>17</v>
      </c>
      <c r="B1802" t="s">
        <v>1582</v>
      </c>
      <c r="C1802" t="s">
        <v>776</v>
      </c>
      <c r="D1802" s="6" t="s">
        <v>594</v>
      </c>
      <c r="E1802" s="6"/>
      <c r="K1802" s="7">
        <v>44005998</v>
      </c>
      <c r="L1802" s="5" t="str">
        <f t="shared" si="191"/>
        <v>AR AQUA KARYOLA İÇ KAYITLI 180CM</v>
      </c>
      <c r="M1802" s="8">
        <v>0.15</v>
      </c>
      <c r="N1802" s="8">
        <v>0.1</v>
      </c>
      <c r="O1802" s="8">
        <v>26985</v>
      </c>
      <c r="P1802" s="8">
        <f t="shared" si="186"/>
        <v>24286.5</v>
      </c>
      <c r="Q1802" s="12">
        <f t="shared" si="187"/>
        <v>51001.65</v>
      </c>
      <c r="R1802" s="31">
        <f t="shared" si="188"/>
        <v>51000</v>
      </c>
      <c r="T1802" s="8">
        <v>15605</v>
      </c>
      <c r="V1802" s="8">
        <f t="shared" si="189"/>
        <v>14044.5</v>
      </c>
      <c r="W1802" s="8">
        <f t="shared" si="190"/>
        <v>35111.25</v>
      </c>
    </row>
    <row r="1803" spans="1:23" ht="21.95" customHeight="1" x14ac:dyDescent="0.2">
      <c r="A1803" s="5" t="s">
        <v>17</v>
      </c>
      <c r="B1803" t="s">
        <v>1582</v>
      </c>
      <c r="C1803" t="s">
        <v>776</v>
      </c>
      <c r="D1803" s="6" t="s">
        <v>362</v>
      </c>
      <c r="E1803" s="6"/>
      <c r="K1803" s="7">
        <v>44005999</v>
      </c>
      <c r="L1803" s="5" t="str">
        <f t="shared" si="191"/>
        <v>AR AQUA KOMODİN</v>
      </c>
      <c r="M1803" s="8">
        <v>0.15</v>
      </c>
      <c r="N1803" s="8">
        <v>0.1</v>
      </c>
      <c r="O1803" s="8">
        <v>6980</v>
      </c>
      <c r="P1803" s="8">
        <f t="shared" si="186"/>
        <v>6282</v>
      </c>
      <c r="Q1803" s="12">
        <f t="shared" si="187"/>
        <v>13192.2</v>
      </c>
      <c r="R1803" s="31">
        <f t="shared" si="188"/>
        <v>13100</v>
      </c>
      <c r="T1803" s="8">
        <v>9235</v>
      </c>
      <c r="V1803" s="8">
        <f t="shared" si="189"/>
        <v>8311.5</v>
      </c>
      <c r="W1803" s="8">
        <f t="shared" si="190"/>
        <v>20778.75</v>
      </c>
    </row>
    <row r="1804" spans="1:23" ht="21.95" customHeight="1" x14ac:dyDescent="0.2">
      <c r="A1804" s="5" t="s">
        <v>17</v>
      </c>
      <c r="B1804" t="s">
        <v>1582</v>
      </c>
      <c r="C1804" t="s">
        <v>776</v>
      </c>
      <c r="D1804" s="6" t="s">
        <v>777</v>
      </c>
      <c r="E1804" s="6"/>
      <c r="K1804" s="7">
        <v>44006000</v>
      </c>
      <c r="L1804" s="5" t="str">
        <f t="shared" si="191"/>
        <v>AR AQUA DOLAP SÜRGÜLÜ</v>
      </c>
      <c r="M1804" s="8">
        <v>0.15</v>
      </c>
      <c r="N1804" s="8">
        <v>0.1</v>
      </c>
      <c r="O1804" s="8">
        <v>40960</v>
      </c>
      <c r="P1804" s="8">
        <f t="shared" si="186"/>
        <v>36864</v>
      </c>
      <c r="Q1804" s="12">
        <f t="shared" si="187"/>
        <v>77414.400000000009</v>
      </c>
      <c r="R1804" s="31">
        <f t="shared" si="188"/>
        <v>77400</v>
      </c>
      <c r="T1804" s="8">
        <v>36505</v>
      </c>
      <c r="V1804" s="8">
        <f t="shared" si="189"/>
        <v>32854.5</v>
      </c>
      <c r="W1804" s="8">
        <f t="shared" si="190"/>
        <v>82136.25</v>
      </c>
    </row>
    <row r="1805" spans="1:23" ht="21.95" customHeight="1" x14ac:dyDescent="0.2">
      <c r="A1805" s="5" t="s">
        <v>17</v>
      </c>
      <c r="B1805" t="s">
        <v>1582</v>
      </c>
      <c r="C1805" t="s">
        <v>776</v>
      </c>
      <c r="D1805" s="6" t="s">
        <v>595</v>
      </c>
      <c r="E1805" s="6"/>
      <c r="K1805" s="7">
        <v>44006001</v>
      </c>
      <c r="L1805" s="5" t="str">
        <f t="shared" si="191"/>
        <v>AR AQUA ŞİFONYER &amp; AYNASI</v>
      </c>
      <c r="M1805" s="8">
        <v>0.15</v>
      </c>
      <c r="N1805" s="8">
        <v>0.1</v>
      </c>
      <c r="O1805" s="8">
        <v>22040</v>
      </c>
      <c r="P1805" s="8">
        <f t="shared" si="186"/>
        <v>19836</v>
      </c>
      <c r="Q1805" s="12">
        <f t="shared" si="187"/>
        <v>41655.599999999999</v>
      </c>
      <c r="R1805" s="31">
        <f t="shared" si="188"/>
        <v>41600</v>
      </c>
      <c r="T1805" s="8">
        <v>33500</v>
      </c>
      <c r="V1805" s="8">
        <f t="shared" si="189"/>
        <v>30150</v>
      </c>
      <c r="W1805" s="8">
        <f t="shared" si="190"/>
        <v>75375</v>
      </c>
    </row>
    <row r="1806" spans="1:23" ht="21.95" customHeight="1" x14ac:dyDescent="0.2">
      <c r="A1806" s="5" t="s">
        <v>17</v>
      </c>
      <c r="B1806" t="s">
        <v>1582</v>
      </c>
      <c r="C1806" t="s">
        <v>776</v>
      </c>
      <c r="D1806" s="6" t="s">
        <v>126</v>
      </c>
      <c r="E1806" s="6"/>
      <c r="K1806" s="7">
        <v>44006002</v>
      </c>
      <c r="L1806" s="5" t="str">
        <f t="shared" si="191"/>
        <v>AR AQUA ÇAMAŞIRLIK</v>
      </c>
      <c r="M1806" s="8">
        <v>0.15</v>
      </c>
      <c r="N1806" s="8">
        <v>0.1</v>
      </c>
      <c r="O1806" s="8">
        <v>11875</v>
      </c>
      <c r="P1806" s="8">
        <f t="shared" si="186"/>
        <v>10687.5</v>
      </c>
      <c r="Q1806" s="12">
        <f t="shared" si="187"/>
        <v>22443.75</v>
      </c>
      <c r="R1806" s="31">
        <f t="shared" si="188"/>
        <v>22400</v>
      </c>
      <c r="T1806" s="8">
        <v>14725</v>
      </c>
      <c r="V1806" s="8">
        <f t="shared" si="189"/>
        <v>13252.5</v>
      </c>
      <c r="W1806" s="8">
        <f t="shared" si="190"/>
        <v>33131.25</v>
      </c>
    </row>
    <row r="1807" spans="1:23" ht="21.95" customHeight="1" x14ac:dyDescent="0.2">
      <c r="A1807" s="5" t="s">
        <v>17</v>
      </c>
      <c r="B1807" t="s">
        <v>1582</v>
      </c>
      <c r="C1807" t="s">
        <v>776</v>
      </c>
      <c r="D1807" s="6" t="s">
        <v>82</v>
      </c>
      <c r="E1807" s="6"/>
      <c r="K1807" s="7">
        <v>44006003</v>
      </c>
      <c r="L1807" s="5" t="str">
        <f t="shared" si="191"/>
        <v>AR AQUA BOY AYNASI</v>
      </c>
      <c r="M1807" s="8">
        <v>0.15</v>
      </c>
      <c r="N1807" s="8">
        <v>0.1</v>
      </c>
      <c r="O1807" s="8">
        <v>4305</v>
      </c>
      <c r="P1807" s="8">
        <f t="shared" si="186"/>
        <v>3874.5</v>
      </c>
      <c r="Q1807" s="12">
        <f t="shared" si="187"/>
        <v>8136.4500000000007</v>
      </c>
      <c r="R1807" s="31">
        <f t="shared" si="188"/>
        <v>8100</v>
      </c>
      <c r="T1807" s="8">
        <v>6965</v>
      </c>
      <c r="V1807" s="8">
        <f t="shared" si="189"/>
        <v>6268.5</v>
      </c>
      <c r="W1807" s="8">
        <f t="shared" si="190"/>
        <v>15671.25</v>
      </c>
    </row>
    <row r="1808" spans="1:23" ht="21.95" customHeight="1" x14ac:dyDescent="0.2">
      <c r="A1808" s="5" t="s">
        <v>17</v>
      </c>
      <c r="B1808" t="s">
        <v>1582</v>
      </c>
      <c r="C1808" t="s">
        <v>776</v>
      </c>
      <c r="D1808" s="6" t="s">
        <v>119</v>
      </c>
      <c r="E1808" s="6"/>
      <c r="K1808" s="7">
        <v>44006004</v>
      </c>
      <c r="L1808" s="5" t="str">
        <f t="shared" si="191"/>
        <v>AR AQUA PUF</v>
      </c>
      <c r="M1808" s="8">
        <v>0.15</v>
      </c>
      <c r="N1808" s="8">
        <v>0.1</v>
      </c>
      <c r="O1808" s="8">
        <v>2990</v>
      </c>
      <c r="P1808" s="8">
        <f t="shared" si="186"/>
        <v>2691</v>
      </c>
      <c r="Q1808" s="12">
        <f t="shared" si="187"/>
        <v>5651.1</v>
      </c>
      <c r="R1808" s="31">
        <f t="shared" si="188"/>
        <v>5600</v>
      </c>
      <c r="T1808" s="8">
        <v>23860</v>
      </c>
      <c r="V1808" s="8">
        <f t="shared" si="189"/>
        <v>21474</v>
      </c>
      <c r="W1808" s="8">
        <f t="shared" si="190"/>
        <v>53685</v>
      </c>
    </row>
    <row r="1809" spans="1:23" ht="21.95" customHeight="1" x14ac:dyDescent="0.2">
      <c r="A1809" s="5" t="s">
        <v>17</v>
      </c>
      <c r="B1809" t="s">
        <v>1582</v>
      </c>
      <c r="C1809" t="s">
        <v>778</v>
      </c>
      <c r="D1809" s="6" t="s">
        <v>49</v>
      </c>
      <c r="E1809" s="6"/>
      <c r="K1809" s="7">
        <v>44006005</v>
      </c>
      <c r="L1809" s="5" t="str">
        <f t="shared" si="191"/>
        <v>AR VIONA KONSOL</v>
      </c>
      <c r="M1809" s="8">
        <v>0.15</v>
      </c>
      <c r="N1809" s="8">
        <v>0.1</v>
      </c>
      <c r="O1809" s="8">
        <v>31740</v>
      </c>
      <c r="P1809" s="8">
        <f t="shared" si="186"/>
        <v>28566</v>
      </c>
      <c r="Q1809" s="12">
        <f t="shared" si="187"/>
        <v>59988.600000000006</v>
      </c>
      <c r="R1809" s="31">
        <f t="shared" si="188"/>
        <v>59900</v>
      </c>
      <c r="T1809" s="8">
        <v>19400</v>
      </c>
      <c r="V1809" s="8">
        <f t="shared" si="189"/>
        <v>17460</v>
      </c>
      <c r="W1809" s="8">
        <f t="shared" si="190"/>
        <v>43650</v>
      </c>
    </row>
    <row r="1810" spans="1:23" ht="21.95" customHeight="1" x14ac:dyDescent="0.2">
      <c r="A1810" s="5" t="s">
        <v>17</v>
      </c>
      <c r="B1810" t="s">
        <v>1582</v>
      </c>
      <c r="C1810" t="s">
        <v>778</v>
      </c>
      <c r="D1810" s="6" t="s">
        <v>648</v>
      </c>
      <c r="E1810" s="6"/>
      <c r="K1810" s="7">
        <v>44006006</v>
      </c>
      <c r="L1810" s="5" t="str">
        <f t="shared" si="191"/>
        <v>AR VIONA KONSOL AYNASI 2 ADET</v>
      </c>
      <c r="M1810" s="8">
        <v>0.15</v>
      </c>
      <c r="N1810" s="8">
        <v>0.1</v>
      </c>
      <c r="O1810" s="8">
        <v>6851</v>
      </c>
      <c r="P1810" s="8">
        <f t="shared" si="186"/>
        <v>6165.9000000000005</v>
      </c>
      <c r="Q1810" s="12">
        <f t="shared" si="187"/>
        <v>12948.390000000001</v>
      </c>
      <c r="R1810" s="31">
        <f t="shared" si="188"/>
        <v>12900</v>
      </c>
      <c r="T1810" s="8">
        <v>23725</v>
      </c>
      <c r="V1810" s="8">
        <f t="shared" si="189"/>
        <v>21352.5</v>
      </c>
      <c r="W1810" s="8">
        <f t="shared" si="190"/>
        <v>53381.25</v>
      </c>
    </row>
    <row r="1811" spans="1:23" ht="21.95" customHeight="1" x14ac:dyDescent="0.2">
      <c r="A1811" s="5" t="s">
        <v>17</v>
      </c>
      <c r="B1811" t="s">
        <v>1582</v>
      </c>
      <c r="C1811" t="s">
        <v>778</v>
      </c>
      <c r="D1811" s="6" t="s">
        <v>599</v>
      </c>
      <c r="E1811" s="6"/>
      <c r="K1811" s="7">
        <v>44006007</v>
      </c>
      <c r="L1811" s="5" t="str">
        <f t="shared" si="191"/>
        <v>AR VIONA MASA 210CM</v>
      </c>
      <c r="M1811" s="8">
        <v>0.15</v>
      </c>
      <c r="N1811" s="8">
        <v>0.1</v>
      </c>
      <c r="O1811" s="8">
        <v>19830</v>
      </c>
      <c r="P1811" s="8">
        <f t="shared" si="186"/>
        <v>17847</v>
      </c>
      <c r="Q1811" s="12">
        <f t="shared" si="187"/>
        <v>37478.700000000004</v>
      </c>
      <c r="R1811" s="31">
        <f t="shared" si="188"/>
        <v>37400</v>
      </c>
      <c r="T1811" s="8">
        <v>11380</v>
      </c>
      <c r="V1811" s="8">
        <f t="shared" si="189"/>
        <v>10242</v>
      </c>
      <c r="W1811" s="8">
        <f t="shared" si="190"/>
        <v>25605</v>
      </c>
    </row>
    <row r="1812" spans="1:23" ht="21.95" customHeight="1" x14ac:dyDescent="0.2">
      <c r="A1812" s="5" t="s">
        <v>17</v>
      </c>
      <c r="B1812" t="s">
        <v>1582</v>
      </c>
      <c r="C1812" t="s">
        <v>778</v>
      </c>
      <c r="D1812" s="6" t="s">
        <v>587</v>
      </c>
      <c r="E1812" s="6"/>
      <c r="K1812" s="7">
        <v>44006008</v>
      </c>
      <c r="L1812" s="5" t="str">
        <f t="shared" si="191"/>
        <v>AR VIONA MASA 180CM</v>
      </c>
      <c r="M1812" s="8">
        <v>0.15</v>
      </c>
      <c r="N1812" s="8">
        <v>0.1</v>
      </c>
      <c r="O1812" s="8">
        <v>25779</v>
      </c>
      <c r="P1812" s="8">
        <f t="shared" si="186"/>
        <v>23201.100000000002</v>
      </c>
      <c r="Q1812" s="12">
        <f t="shared" si="187"/>
        <v>48722.310000000005</v>
      </c>
      <c r="R1812" s="31">
        <f t="shared" si="188"/>
        <v>48700</v>
      </c>
      <c r="T1812" s="8">
        <v>7700</v>
      </c>
      <c r="V1812" s="8">
        <f t="shared" si="189"/>
        <v>6930</v>
      </c>
      <c r="W1812" s="8">
        <f t="shared" si="190"/>
        <v>17325</v>
      </c>
    </row>
    <row r="1813" spans="1:23" ht="21.95" customHeight="1" x14ac:dyDescent="0.2">
      <c r="A1813" s="5" t="s">
        <v>17</v>
      </c>
      <c r="B1813" t="s">
        <v>1582</v>
      </c>
      <c r="C1813" t="s">
        <v>778</v>
      </c>
      <c r="D1813" s="6" t="s">
        <v>24</v>
      </c>
      <c r="E1813" s="6"/>
      <c r="K1813" s="7">
        <v>44006009</v>
      </c>
      <c r="L1813" s="5" t="str">
        <f t="shared" si="191"/>
        <v>AR VIONA MASA 240CM</v>
      </c>
      <c r="M1813" s="8">
        <v>0.15</v>
      </c>
      <c r="N1813" s="8">
        <v>0.1</v>
      </c>
      <c r="O1813" s="8">
        <v>29462</v>
      </c>
      <c r="P1813" s="8">
        <f t="shared" si="186"/>
        <v>26515.8</v>
      </c>
      <c r="Q1813" s="12">
        <f t="shared" si="187"/>
        <v>55683.18</v>
      </c>
      <c r="R1813" s="31">
        <f t="shared" si="188"/>
        <v>55600</v>
      </c>
      <c r="T1813" s="8">
        <v>5790</v>
      </c>
      <c r="V1813" s="8">
        <f t="shared" si="189"/>
        <v>5211</v>
      </c>
      <c r="W1813" s="8">
        <f t="shared" si="190"/>
        <v>13027.5</v>
      </c>
    </row>
    <row r="1814" spans="1:23" ht="21.95" customHeight="1" x14ac:dyDescent="0.2">
      <c r="A1814" s="5" t="s">
        <v>17</v>
      </c>
      <c r="B1814" t="s">
        <v>1582</v>
      </c>
      <c r="C1814" t="s">
        <v>778</v>
      </c>
      <c r="D1814" s="6" t="s">
        <v>25</v>
      </c>
      <c r="E1814" s="6"/>
      <c r="K1814" s="7">
        <v>44006010</v>
      </c>
      <c r="L1814" s="5" t="str">
        <f t="shared" si="191"/>
        <v>AR VIONA SANDALYE</v>
      </c>
      <c r="M1814" s="8">
        <v>0.15</v>
      </c>
      <c r="N1814" s="8">
        <v>0.1</v>
      </c>
      <c r="O1814" s="8">
        <v>4209</v>
      </c>
      <c r="P1814" s="8">
        <f t="shared" si="186"/>
        <v>3788.1</v>
      </c>
      <c r="Q1814" s="12">
        <f t="shared" si="187"/>
        <v>7955.01</v>
      </c>
      <c r="R1814" s="31">
        <f t="shared" si="188"/>
        <v>7900</v>
      </c>
      <c r="T1814" s="8">
        <v>22925</v>
      </c>
      <c r="V1814" s="8">
        <f t="shared" si="189"/>
        <v>20632.5</v>
      </c>
      <c r="W1814" s="8">
        <f t="shared" si="190"/>
        <v>51581.25</v>
      </c>
    </row>
    <row r="1815" spans="1:23" ht="21.95" customHeight="1" x14ac:dyDescent="0.2">
      <c r="A1815" s="5" t="s">
        <v>17</v>
      </c>
      <c r="B1815" t="s">
        <v>1582</v>
      </c>
      <c r="C1815" t="s">
        <v>778</v>
      </c>
      <c r="D1815" s="6" t="s">
        <v>750</v>
      </c>
      <c r="E1815" s="6"/>
      <c r="K1815" s="7">
        <v>44006011</v>
      </c>
      <c r="L1815" s="5" t="str">
        <f t="shared" si="191"/>
        <v>AR VIONA TV ÜNİTESİ ÜST PANO</v>
      </c>
      <c r="M1815" s="8">
        <v>0.15</v>
      </c>
      <c r="N1815" s="8">
        <v>0.1</v>
      </c>
      <c r="O1815" s="8">
        <v>10270</v>
      </c>
      <c r="P1815" s="8">
        <f t="shared" si="186"/>
        <v>9243</v>
      </c>
      <c r="Q1815" s="12">
        <f t="shared" si="187"/>
        <v>19410.3</v>
      </c>
      <c r="R1815" s="31">
        <f t="shared" si="188"/>
        <v>19400</v>
      </c>
      <c r="T1815" s="8">
        <v>27525</v>
      </c>
      <c r="V1815" s="8">
        <f t="shared" si="189"/>
        <v>24772.5</v>
      </c>
      <c r="W1815" s="8">
        <f t="shared" si="190"/>
        <v>61931.25</v>
      </c>
    </row>
    <row r="1816" spans="1:23" ht="21.95" customHeight="1" x14ac:dyDescent="0.2">
      <c r="A1816" s="5" t="s">
        <v>17</v>
      </c>
      <c r="B1816" t="s">
        <v>1582</v>
      </c>
      <c r="C1816" t="s">
        <v>778</v>
      </c>
      <c r="D1816" s="6" t="s">
        <v>496</v>
      </c>
      <c r="E1816" s="6"/>
      <c r="K1816" s="7">
        <v>44006012</v>
      </c>
      <c r="L1816" s="5" t="str">
        <f t="shared" si="191"/>
        <v>AR VIONA TV ÜNİTESİ ALT MODÜL</v>
      </c>
      <c r="M1816" s="8">
        <v>0.15</v>
      </c>
      <c r="N1816" s="8">
        <v>0.1</v>
      </c>
      <c r="O1816" s="8">
        <v>27480</v>
      </c>
      <c r="P1816" s="8">
        <f t="shared" si="186"/>
        <v>24732</v>
      </c>
      <c r="Q1816" s="12">
        <f t="shared" si="187"/>
        <v>51937.200000000004</v>
      </c>
      <c r="R1816" s="31">
        <f t="shared" si="188"/>
        <v>51900</v>
      </c>
      <c r="T1816" s="8">
        <v>30025</v>
      </c>
      <c r="V1816" s="8">
        <f t="shared" si="189"/>
        <v>27022.5</v>
      </c>
      <c r="W1816" s="8">
        <f t="shared" si="190"/>
        <v>67556.25</v>
      </c>
    </row>
    <row r="1817" spans="1:23" ht="21.95" customHeight="1" x14ac:dyDescent="0.2">
      <c r="A1817" s="5" t="s">
        <v>17</v>
      </c>
      <c r="B1817" t="s">
        <v>1582</v>
      </c>
      <c r="C1817" t="s">
        <v>778</v>
      </c>
      <c r="D1817" s="6" t="s">
        <v>29</v>
      </c>
      <c r="E1817" s="6"/>
      <c r="K1817" s="7">
        <v>44006013</v>
      </c>
      <c r="L1817" s="5" t="str">
        <f t="shared" si="191"/>
        <v>AR VIONA ORTA SEHPA</v>
      </c>
      <c r="M1817" s="8">
        <v>0.15</v>
      </c>
      <c r="N1817" s="8">
        <v>0.1</v>
      </c>
      <c r="O1817" s="8">
        <v>17695</v>
      </c>
      <c r="P1817" s="8">
        <f t="shared" si="186"/>
        <v>15925.5</v>
      </c>
      <c r="Q1817" s="12">
        <f t="shared" si="187"/>
        <v>33443.550000000003</v>
      </c>
      <c r="R1817" s="31">
        <f t="shared" si="188"/>
        <v>33400</v>
      </c>
      <c r="T1817" s="8">
        <v>25425</v>
      </c>
      <c r="V1817" s="8">
        <f t="shared" si="189"/>
        <v>22882.5</v>
      </c>
      <c r="W1817" s="8">
        <f t="shared" si="190"/>
        <v>57206.25</v>
      </c>
    </row>
    <row r="1818" spans="1:23" ht="21.95" customHeight="1" x14ac:dyDescent="0.2">
      <c r="A1818" s="5" t="s">
        <v>17</v>
      </c>
      <c r="B1818" t="s">
        <v>1582</v>
      </c>
      <c r="C1818" t="s">
        <v>778</v>
      </c>
      <c r="D1818" s="6" t="s">
        <v>30</v>
      </c>
      <c r="E1818" s="6"/>
      <c r="K1818" s="7">
        <v>44006014</v>
      </c>
      <c r="L1818" s="5" t="str">
        <f t="shared" si="191"/>
        <v>AR VIONA YAN SEHPA</v>
      </c>
      <c r="M1818" s="8">
        <v>0.15</v>
      </c>
      <c r="N1818" s="8">
        <v>0.1</v>
      </c>
      <c r="O1818" s="8">
        <v>12945</v>
      </c>
      <c r="P1818" s="8">
        <f t="shared" si="186"/>
        <v>11650.5</v>
      </c>
      <c r="Q1818" s="12">
        <f t="shared" si="187"/>
        <v>24466.05</v>
      </c>
      <c r="R1818" s="31">
        <f t="shared" si="188"/>
        <v>24400</v>
      </c>
      <c r="T1818" s="8">
        <v>5570</v>
      </c>
      <c r="V1818" s="8">
        <f t="shared" si="189"/>
        <v>5013</v>
      </c>
      <c r="W1818" s="8">
        <f t="shared" si="190"/>
        <v>12532.5</v>
      </c>
    </row>
    <row r="1819" spans="1:23" ht="21.95" customHeight="1" x14ac:dyDescent="0.2">
      <c r="A1819" s="5" t="s">
        <v>17</v>
      </c>
      <c r="B1819" t="s">
        <v>1582</v>
      </c>
      <c r="C1819" t="s">
        <v>778</v>
      </c>
      <c r="D1819" s="6" t="s">
        <v>31</v>
      </c>
      <c r="E1819" s="6"/>
      <c r="K1819" s="7">
        <v>44006015</v>
      </c>
      <c r="L1819" s="5" t="str">
        <f t="shared" si="191"/>
        <v>AR VIONA KOLTUK 4 LÜ</v>
      </c>
      <c r="M1819" s="8">
        <v>0.15</v>
      </c>
      <c r="N1819" s="8">
        <v>0.1</v>
      </c>
      <c r="O1819" s="8">
        <v>33715</v>
      </c>
      <c r="P1819" s="8">
        <f t="shared" si="186"/>
        <v>30343.5</v>
      </c>
      <c r="Q1819" s="12">
        <f t="shared" si="187"/>
        <v>63721.350000000006</v>
      </c>
      <c r="R1819" s="31">
        <f t="shared" si="188"/>
        <v>63700</v>
      </c>
      <c r="T1819" s="8">
        <v>33840</v>
      </c>
      <c r="V1819" s="8">
        <f t="shared" si="189"/>
        <v>30456</v>
      </c>
      <c r="W1819" s="8">
        <f t="shared" si="190"/>
        <v>76140</v>
      </c>
    </row>
    <row r="1820" spans="1:23" ht="21.95" customHeight="1" x14ac:dyDescent="0.2">
      <c r="A1820" s="5" t="s">
        <v>17</v>
      </c>
      <c r="B1820" t="s">
        <v>1582</v>
      </c>
      <c r="C1820" t="s">
        <v>778</v>
      </c>
      <c r="D1820" s="6" t="s">
        <v>32</v>
      </c>
      <c r="E1820" s="6"/>
      <c r="K1820" s="7">
        <v>44006016</v>
      </c>
      <c r="L1820" s="5" t="str">
        <f t="shared" si="191"/>
        <v>AR VIONA KOLTUK 3 LÜ</v>
      </c>
      <c r="M1820" s="8">
        <v>0.15</v>
      </c>
      <c r="N1820" s="8">
        <v>0.1</v>
      </c>
      <c r="O1820" s="8">
        <v>29315</v>
      </c>
      <c r="P1820" s="8">
        <f t="shared" si="186"/>
        <v>26383.5</v>
      </c>
      <c r="Q1820" s="12">
        <f t="shared" si="187"/>
        <v>55405.350000000006</v>
      </c>
      <c r="R1820" s="31">
        <f t="shared" si="188"/>
        <v>55400</v>
      </c>
      <c r="T1820" s="8">
        <v>30290</v>
      </c>
      <c r="V1820" s="8">
        <f t="shared" si="189"/>
        <v>27261</v>
      </c>
      <c r="W1820" s="8">
        <f t="shared" si="190"/>
        <v>68152.5</v>
      </c>
    </row>
    <row r="1821" spans="1:23" ht="21.95" customHeight="1" x14ac:dyDescent="0.2">
      <c r="A1821" s="5" t="s">
        <v>17</v>
      </c>
      <c r="B1821" t="s">
        <v>1582</v>
      </c>
      <c r="C1821" t="s">
        <v>778</v>
      </c>
      <c r="D1821" s="6" t="s">
        <v>592</v>
      </c>
      <c r="E1821" s="6"/>
      <c r="K1821" s="7">
        <v>44006017</v>
      </c>
      <c r="L1821" s="5" t="str">
        <f t="shared" si="191"/>
        <v>AR VIONA KOLTUK TEKLİ</v>
      </c>
      <c r="M1821" s="8">
        <v>0.15</v>
      </c>
      <c r="N1821" s="8">
        <v>0.1</v>
      </c>
      <c r="O1821" s="8">
        <v>16655</v>
      </c>
      <c r="P1821" s="8">
        <f t="shared" si="186"/>
        <v>14989.5</v>
      </c>
      <c r="Q1821" s="12">
        <f t="shared" si="187"/>
        <v>31477.95</v>
      </c>
      <c r="R1821" s="31">
        <f t="shared" si="188"/>
        <v>31400</v>
      </c>
      <c r="T1821" s="8">
        <v>17530</v>
      </c>
      <c r="V1821" s="8">
        <f t="shared" si="189"/>
        <v>15777</v>
      </c>
      <c r="W1821" s="8">
        <f t="shared" si="190"/>
        <v>39442.5</v>
      </c>
    </row>
    <row r="1822" spans="1:23" ht="21.95" customHeight="1" x14ac:dyDescent="0.2">
      <c r="A1822" s="5" t="s">
        <v>17</v>
      </c>
      <c r="B1822" t="s">
        <v>1582</v>
      </c>
      <c r="C1822" t="s">
        <v>778</v>
      </c>
      <c r="D1822" s="6" t="s">
        <v>593</v>
      </c>
      <c r="E1822" s="6"/>
      <c r="K1822" s="7">
        <v>44006018</v>
      </c>
      <c r="L1822" s="5" t="str">
        <f t="shared" si="191"/>
        <v>AR VIONA KARYOLA İÇ KAYITLI 160CM</v>
      </c>
      <c r="M1822" s="8">
        <v>0.15</v>
      </c>
      <c r="N1822" s="8">
        <v>0.1</v>
      </c>
      <c r="O1822" s="8">
        <v>24840</v>
      </c>
      <c r="P1822" s="8">
        <f t="shared" si="186"/>
        <v>22356</v>
      </c>
      <c r="Q1822" s="12">
        <f t="shared" si="187"/>
        <v>46947.6</v>
      </c>
      <c r="R1822" s="31">
        <f t="shared" si="188"/>
        <v>46900</v>
      </c>
      <c r="T1822" s="8">
        <v>10735</v>
      </c>
      <c r="V1822" s="8">
        <f t="shared" si="189"/>
        <v>9661.5</v>
      </c>
      <c r="W1822" s="8">
        <f t="shared" si="190"/>
        <v>24153.75</v>
      </c>
    </row>
    <row r="1823" spans="1:23" ht="21.95" customHeight="1" x14ac:dyDescent="0.2">
      <c r="A1823" s="5" t="s">
        <v>17</v>
      </c>
      <c r="B1823" t="s">
        <v>1582</v>
      </c>
      <c r="C1823" t="s">
        <v>778</v>
      </c>
      <c r="D1823" s="6" t="s">
        <v>75</v>
      </c>
      <c r="E1823" s="6"/>
      <c r="K1823" s="7">
        <v>44006019</v>
      </c>
      <c r="L1823" s="5" t="str">
        <f t="shared" si="191"/>
        <v>AR VIONA KARYOLA BAZALI 160CM</v>
      </c>
      <c r="M1823" s="8">
        <v>0.15</v>
      </c>
      <c r="N1823" s="8">
        <v>0.1</v>
      </c>
      <c r="O1823" s="8">
        <v>29440</v>
      </c>
      <c r="P1823" s="8">
        <f t="shared" si="186"/>
        <v>26496</v>
      </c>
      <c r="Q1823" s="12">
        <f t="shared" si="187"/>
        <v>55641.600000000006</v>
      </c>
      <c r="R1823" s="31">
        <f t="shared" si="188"/>
        <v>55600</v>
      </c>
      <c r="T1823" s="8">
        <v>4775</v>
      </c>
      <c r="V1823" s="8">
        <f t="shared" si="189"/>
        <v>4297.5</v>
      </c>
      <c r="W1823" s="8">
        <f t="shared" si="190"/>
        <v>10743.75</v>
      </c>
    </row>
    <row r="1824" spans="1:23" ht="21.95" customHeight="1" x14ac:dyDescent="0.2">
      <c r="A1824" s="5" t="s">
        <v>17</v>
      </c>
      <c r="B1824" t="s">
        <v>1582</v>
      </c>
      <c r="C1824" t="s">
        <v>778</v>
      </c>
      <c r="D1824" s="6" t="s">
        <v>76</v>
      </c>
      <c r="E1824" s="6"/>
      <c r="K1824" s="7">
        <v>44006020</v>
      </c>
      <c r="L1824" s="5" t="str">
        <f t="shared" si="191"/>
        <v>AR VIONA KARYOLA BAZALI 180CM</v>
      </c>
      <c r="M1824" s="8">
        <v>0.15</v>
      </c>
      <c r="N1824" s="8">
        <v>0.1</v>
      </c>
      <c r="O1824" s="8">
        <v>31940</v>
      </c>
      <c r="P1824" s="8">
        <f t="shared" si="186"/>
        <v>28746</v>
      </c>
      <c r="Q1824" s="12">
        <f t="shared" si="187"/>
        <v>60366.600000000006</v>
      </c>
      <c r="R1824" s="31">
        <f t="shared" si="188"/>
        <v>60300</v>
      </c>
      <c r="T1824" s="8">
        <v>3170</v>
      </c>
      <c r="V1824" s="8">
        <f t="shared" si="189"/>
        <v>2853</v>
      </c>
      <c r="W1824" s="8">
        <f t="shared" si="190"/>
        <v>7132.5</v>
      </c>
    </row>
    <row r="1825" spans="1:23" ht="21.95" customHeight="1" x14ac:dyDescent="0.2">
      <c r="A1825" s="5" t="s">
        <v>17</v>
      </c>
      <c r="B1825" t="s">
        <v>1582</v>
      </c>
      <c r="C1825" t="s">
        <v>778</v>
      </c>
      <c r="D1825" s="6" t="s">
        <v>594</v>
      </c>
      <c r="E1825" s="6"/>
      <c r="K1825" s="7">
        <v>44006021</v>
      </c>
      <c r="L1825" s="5" t="str">
        <f t="shared" si="191"/>
        <v>AR VIONA KARYOLA İÇ KAYITLI 180CM</v>
      </c>
      <c r="M1825" s="8">
        <v>0.15</v>
      </c>
      <c r="N1825" s="8">
        <v>0.1</v>
      </c>
      <c r="O1825" s="8">
        <v>27340</v>
      </c>
      <c r="P1825" s="8">
        <f t="shared" si="186"/>
        <v>24606</v>
      </c>
      <c r="Q1825" s="12">
        <f t="shared" si="187"/>
        <v>51672.600000000006</v>
      </c>
      <c r="R1825" s="31">
        <f t="shared" si="188"/>
        <v>51600</v>
      </c>
      <c r="T1825" s="8">
        <v>26125</v>
      </c>
      <c r="V1825" s="8">
        <f t="shared" si="189"/>
        <v>23512.5</v>
      </c>
      <c r="W1825" s="8">
        <f t="shared" si="190"/>
        <v>58781.25</v>
      </c>
    </row>
    <row r="1826" spans="1:23" ht="21.95" customHeight="1" x14ac:dyDescent="0.2">
      <c r="A1826" s="5" t="s">
        <v>17</v>
      </c>
      <c r="B1826" t="s">
        <v>1582</v>
      </c>
      <c r="C1826" t="s">
        <v>778</v>
      </c>
      <c r="D1826" s="6" t="s">
        <v>362</v>
      </c>
      <c r="E1826" s="6"/>
      <c r="K1826" s="7">
        <v>44006022</v>
      </c>
      <c r="L1826" s="5" t="str">
        <f t="shared" si="191"/>
        <v>AR VIONA KOMODİN</v>
      </c>
      <c r="M1826" s="8">
        <v>0.15</v>
      </c>
      <c r="N1826" s="8">
        <v>0.1</v>
      </c>
      <c r="O1826" s="8">
        <v>8040</v>
      </c>
      <c r="P1826" s="8">
        <f t="shared" si="186"/>
        <v>7236</v>
      </c>
      <c r="Q1826" s="12">
        <f t="shared" si="187"/>
        <v>15195.6</v>
      </c>
      <c r="R1826" s="31">
        <f t="shared" si="188"/>
        <v>15100</v>
      </c>
      <c r="T1826" s="8">
        <v>4432</v>
      </c>
      <c r="V1826" s="8">
        <f t="shared" si="189"/>
        <v>3988.8</v>
      </c>
      <c r="W1826" s="8">
        <f t="shared" si="190"/>
        <v>9972</v>
      </c>
    </row>
    <row r="1827" spans="1:23" ht="21.95" customHeight="1" x14ac:dyDescent="0.2">
      <c r="A1827" s="5" t="s">
        <v>17</v>
      </c>
      <c r="B1827" t="s">
        <v>1582</v>
      </c>
      <c r="C1827" t="s">
        <v>778</v>
      </c>
      <c r="D1827" s="6" t="s">
        <v>361</v>
      </c>
      <c r="E1827" s="6"/>
      <c r="K1827" s="7">
        <v>44006023</v>
      </c>
      <c r="L1827" s="5" t="str">
        <f t="shared" si="191"/>
        <v>AR VIONA DOLAP</v>
      </c>
      <c r="M1827" s="8">
        <v>0.15</v>
      </c>
      <c r="N1827" s="8">
        <v>0.1</v>
      </c>
      <c r="O1827" s="8">
        <v>55565</v>
      </c>
      <c r="P1827" s="8">
        <f t="shared" si="186"/>
        <v>50008.5</v>
      </c>
      <c r="Q1827" s="12">
        <f t="shared" si="187"/>
        <v>105017.85</v>
      </c>
      <c r="R1827" s="31">
        <f t="shared" si="188"/>
        <v>105000</v>
      </c>
      <c r="T1827" s="8">
        <v>16535</v>
      </c>
      <c r="V1827" s="8">
        <f t="shared" si="189"/>
        <v>14881.5</v>
      </c>
      <c r="W1827" s="8">
        <f t="shared" si="190"/>
        <v>37203.75</v>
      </c>
    </row>
    <row r="1828" spans="1:23" ht="21.95" customHeight="1" x14ac:dyDescent="0.2">
      <c r="A1828" s="5" t="s">
        <v>17</v>
      </c>
      <c r="B1828" t="s">
        <v>1582</v>
      </c>
      <c r="C1828" t="s">
        <v>778</v>
      </c>
      <c r="D1828" s="6" t="s">
        <v>595</v>
      </c>
      <c r="E1828" s="6"/>
      <c r="K1828" s="7">
        <v>44006024</v>
      </c>
      <c r="L1828" s="5" t="str">
        <f t="shared" si="191"/>
        <v>AR VIONA ŞİFONYER &amp; AYNASI</v>
      </c>
      <c r="M1828" s="8">
        <v>0.15</v>
      </c>
      <c r="N1828" s="8">
        <v>0.1</v>
      </c>
      <c r="O1828" s="8">
        <v>25160</v>
      </c>
      <c r="P1828" s="8">
        <f t="shared" si="186"/>
        <v>22644</v>
      </c>
      <c r="Q1828" s="12">
        <f t="shared" si="187"/>
        <v>47552.4</v>
      </c>
      <c r="R1828" s="31">
        <f t="shared" si="188"/>
        <v>47500</v>
      </c>
      <c r="T1828" s="8">
        <v>3963</v>
      </c>
      <c r="V1828" s="8">
        <f t="shared" si="189"/>
        <v>3566.7000000000003</v>
      </c>
      <c r="W1828" s="8">
        <f t="shared" si="190"/>
        <v>8916.75</v>
      </c>
    </row>
    <row r="1829" spans="1:23" ht="21.95" customHeight="1" x14ac:dyDescent="0.2">
      <c r="A1829" s="5" t="s">
        <v>17</v>
      </c>
      <c r="B1829" t="s">
        <v>1582</v>
      </c>
      <c r="C1829" t="s">
        <v>778</v>
      </c>
      <c r="D1829" s="6" t="s">
        <v>126</v>
      </c>
      <c r="E1829" s="6"/>
      <c r="K1829" s="7">
        <v>44006025</v>
      </c>
      <c r="L1829" s="5" t="str">
        <f t="shared" si="191"/>
        <v>AR VIONA ÇAMAŞIRLIK</v>
      </c>
      <c r="M1829" s="8">
        <v>0.15</v>
      </c>
      <c r="N1829" s="8">
        <v>0.1</v>
      </c>
      <c r="O1829" s="8">
        <v>14795</v>
      </c>
      <c r="P1829" s="8">
        <f t="shared" si="186"/>
        <v>13315.5</v>
      </c>
      <c r="Q1829" s="12">
        <f t="shared" si="187"/>
        <v>27962.550000000003</v>
      </c>
      <c r="R1829" s="31">
        <f t="shared" si="188"/>
        <v>27900</v>
      </c>
      <c r="T1829" s="8">
        <v>34200</v>
      </c>
      <c r="V1829" s="8">
        <f t="shared" si="189"/>
        <v>30780</v>
      </c>
      <c r="W1829" s="8">
        <f t="shared" si="190"/>
        <v>76950</v>
      </c>
    </row>
    <row r="1830" spans="1:23" ht="21.95" customHeight="1" x14ac:dyDescent="0.2">
      <c r="A1830" s="5" t="s">
        <v>17</v>
      </c>
      <c r="B1830" t="s">
        <v>1582</v>
      </c>
      <c r="C1830" t="s">
        <v>778</v>
      </c>
      <c r="D1830" s="6" t="s">
        <v>82</v>
      </c>
      <c r="E1830" s="6"/>
      <c r="K1830" s="7">
        <v>44006026</v>
      </c>
      <c r="L1830" s="5" t="str">
        <f t="shared" si="191"/>
        <v>AR VIONA BOY AYNASI</v>
      </c>
      <c r="M1830" s="8">
        <v>0.15</v>
      </c>
      <c r="N1830" s="8">
        <v>0.1</v>
      </c>
      <c r="O1830" s="8">
        <v>4305</v>
      </c>
      <c r="P1830" s="8">
        <f t="shared" si="186"/>
        <v>3874.5</v>
      </c>
      <c r="Q1830" s="12">
        <f t="shared" si="187"/>
        <v>8136.4500000000007</v>
      </c>
      <c r="R1830" s="31">
        <f t="shared" si="188"/>
        <v>8100</v>
      </c>
      <c r="T1830" s="8">
        <v>30910</v>
      </c>
      <c r="V1830" s="8">
        <f t="shared" si="189"/>
        <v>27819</v>
      </c>
      <c r="W1830" s="8">
        <f t="shared" si="190"/>
        <v>69547.5</v>
      </c>
    </row>
    <row r="1831" spans="1:23" ht="21.95" customHeight="1" x14ac:dyDescent="0.2">
      <c r="A1831" s="5" t="s">
        <v>17</v>
      </c>
      <c r="B1831" t="s">
        <v>1582</v>
      </c>
      <c r="C1831" t="s">
        <v>778</v>
      </c>
      <c r="D1831" s="6" t="s">
        <v>119</v>
      </c>
      <c r="E1831" s="6"/>
      <c r="K1831" s="7">
        <v>44006027</v>
      </c>
      <c r="L1831" s="5" t="str">
        <f t="shared" si="191"/>
        <v>AR VIONA PUF</v>
      </c>
      <c r="M1831" s="8">
        <v>0.15</v>
      </c>
      <c r="N1831" s="8">
        <v>0.1</v>
      </c>
      <c r="O1831" s="8">
        <v>2990</v>
      </c>
      <c r="P1831" s="8">
        <f t="shared" si="186"/>
        <v>2691</v>
      </c>
      <c r="Q1831" s="12">
        <f t="shared" si="187"/>
        <v>5651.1</v>
      </c>
      <c r="R1831" s="31">
        <f t="shared" si="188"/>
        <v>5600</v>
      </c>
      <c r="T1831" s="8">
        <v>13360</v>
      </c>
      <c r="V1831" s="8">
        <f t="shared" si="189"/>
        <v>12024</v>
      </c>
      <c r="W1831" s="8">
        <f t="shared" si="190"/>
        <v>30060</v>
      </c>
    </row>
    <row r="1832" spans="1:23" ht="21.95" customHeight="1" x14ac:dyDescent="0.2">
      <c r="A1832" s="5" t="s">
        <v>17</v>
      </c>
      <c r="B1832" t="s">
        <v>1582</v>
      </c>
      <c r="C1832" t="s">
        <v>778</v>
      </c>
      <c r="D1832" s="6" t="s">
        <v>779</v>
      </c>
      <c r="E1832" s="6"/>
      <c r="K1832" s="7">
        <v>44006028</v>
      </c>
      <c r="L1832" s="5" t="str">
        <f t="shared" si="191"/>
        <v>AR VIONA GİYİNME O. KÖŞE MODÜL</v>
      </c>
      <c r="M1832" s="8">
        <v>0.15</v>
      </c>
      <c r="N1832" s="8">
        <v>0.1</v>
      </c>
      <c r="O1832" s="8">
        <v>17220</v>
      </c>
      <c r="P1832" s="8">
        <f t="shared" si="186"/>
        <v>15498</v>
      </c>
      <c r="Q1832" s="12">
        <f t="shared" si="187"/>
        <v>32545.800000000003</v>
      </c>
      <c r="R1832" s="31">
        <f t="shared" si="188"/>
        <v>32500</v>
      </c>
      <c r="T1832" s="8">
        <v>7405</v>
      </c>
      <c r="V1832" s="8">
        <f t="shared" si="189"/>
        <v>6664.5</v>
      </c>
      <c r="W1832" s="8">
        <f t="shared" si="190"/>
        <v>16661.25</v>
      </c>
    </row>
    <row r="1833" spans="1:23" ht="21.95" customHeight="1" x14ac:dyDescent="0.2">
      <c r="A1833" s="5" t="s">
        <v>17</v>
      </c>
      <c r="B1833" t="s">
        <v>1582</v>
      </c>
      <c r="C1833" t="s">
        <v>778</v>
      </c>
      <c r="D1833" s="6" t="s">
        <v>780</v>
      </c>
      <c r="E1833" s="6"/>
      <c r="K1833" s="7">
        <v>44006029</v>
      </c>
      <c r="L1833" s="5" t="str">
        <f t="shared" si="191"/>
        <v>AR VIONA GİYİNME O. TEKLİ RAFLI AHŞAP KAPAKLI MODÜL</v>
      </c>
      <c r="M1833" s="8">
        <v>0.15</v>
      </c>
      <c r="N1833" s="8">
        <v>0.1</v>
      </c>
      <c r="O1833" s="8">
        <v>15110</v>
      </c>
      <c r="P1833" s="8">
        <f t="shared" si="186"/>
        <v>13599</v>
      </c>
      <c r="Q1833" s="12">
        <f t="shared" si="187"/>
        <v>28557.9</v>
      </c>
      <c r="R1833" s="31">
        <f t="shared" si="188"/>
        <v>28500</v>
      </c>
      <c r="T1833" s="8">
        <v>15495</v>
      </c>
      <c r="V1833" s="8">
        <f t="shared" si="189"/>
        <v>13945.5</v>
      </c>
      <c r="W1833" s="8">
        <f t="shared" si="190"/>
        <v>34863.75</v>
      </c>
    </row>
    <row r="1834" spans="1:23" ht="21.95" customHeight="1" x14ac:dyDescent="0.2">
      <c r="A1834" s="5" t="s">
        <v>17</v>
      </c>
      <c r="B1834" t="s">
        <v>1582</v>
      </c>
      <c r="C1834" t="s">
        <v>778</v>
      </c>
      <c r="D1834" s="6" t="s">
        <v>762</v>
      </c>
      <c r="E1834" s="6"/>
      <c r="K1834" s="7">
        <v>44006030</v>
      </c>
      <c r="L1834" s="5" t="str">
        <f t="shared" si="191"/>
        <v>AR VIONA GİYİNME O. ÇİFTLİ BOY ASKILI CAM MODÜL</v>
      </c>
      <c r="M1834" s="8">
        <v>0.15</v>
      </c>
      <c r="N1834" s="8">
        <v>0.1</v>
      </c>
      <c r="O1834" s="8">
        <v>15705</v>
      </c>
      <c r="P1834" s="8">
        <f t="shared" si="186"/>
        <v>14134.5</v>
      </c>
      <c r="Q1834" s="12">
        <f t="shared" si="187"/>
        <v>29682.45</v>
      </c>
      <c r="R1834" s="31">
        <f t="shared" si="188"/>
        <v>29600</v>
      </c>
      <c r="T1834" s="8">
        <v>15415</v>
      </c>
      <c r="V1834" s="8">
        <f t="shared" si="189"/>
        <v>13873.5</v>
      </c>
      <c r="W1834" s="8">
        <f t="shared" si="190"/>
        <v>34683.75</v>
      </c>
    </row>
    <row r="1835" spans="1:23" ht="21.95" customHeight="1" x14ac:dyDescent="0.2">
      <c r="A1835" s="5" t="s">
        <v>17</v>
      </c>
      <c r="B1835" t="s">
        <v>1582</v>
      </c>
      <c r="C1835" t="s">
        <v>778</v>
      </c>
      <c r="D1835" s="6" t="s">
        <v>763</v>
      </c>
      <c r="E1835" s="6"/>
      <c r="K1835" s="7">
        <v>44006031</v>
      </c>
      <c r="L1835" s="5" t="str">
        <f t="shared" si="191"/>
        <v>AR VIONA GİYİNME O. ÇİFTLİ ÇEKMECELİ CAM MODÜL</v>
      </c>
      <c r="M1835" s="8">
        <v>0.15</v>
      </c>
      <c r="N1835" s="8">
        <v>0.1</v>
      </c>
      <c r="O1835" s="8">
        <v>17605</v>
      </c>
      <c r="P1835" s="8">
        <f t="shared" si="186"/>
        <v>15844.5</v>
      </c>
      <c r="Q1835" s="12">
        <f t="shared" si="187"/>
        <v>33273.450000000004</v>
      </c>
      <c r="R1835" s="31">
        <f t="shared" si="188"/>
        <v>33200</v>
      </c>
      <c r="T1835" s="8">
        <v>14460</v>
      </c>
      <c r="V1835" s="8">
        <f t="shared" si="189"/>
        <v>13014</v>
      </c>
      <c r="W1835" s="8">
        <f t="shared" si="190"/>
        <v>32535</v>
      </c>
    </row>
    <row r="1836" spans="1:23" ht="21.95" customHeight="1" x14ac:dyDescent="0.2">
      <c r="A1836" s="5" t="s">
        <v>17</v>
      </c>
      <c r="B1836" t="s">
        <v>1582</v>
      </c>
      <c r="C1836" t="s">
        <v>781</v>
      </c>
      <c r="D1836" s="6" t="s">
        <v>49</v>
      </c>
      <c r="E1836" s="6"/>
      <c r="K1836" s="7">
        <v>44006032</v>
      </c>
      <c r="L1836" s="5" t="str">
        <f t="shared" si="191"/>
        <v>AR GLORIA KONSOL</v>
      </c>
      <c r="M1836" s="8">
        <v>0.15</v>
      </c>
      <c r="N1836" s="8">
        <v>0.1</v>
      </c>
      <c r="O1836" s="8">
        <v>36190</v>
      </c>
      <c r="P1836" s="8">
        <f t="shared" si="186"/>
        <v>32571</v>
      </c>
      <c r="Q1836" s="12">
        <f t="shared" si="187"/>
        <v>68399.100000000006</v>
      </c>
      <c r="R1836" s="31">
        <f t="shared" si="188"/>
        <v>68300</v>
      </c>
      <c r="T1836" s="8">
        <v>14450</v>
      </c>
      <c r="V1836" s="8">
        <f t="shared" si="189"/>
        <v>13005</v>
      </c>
      <c r="W1836" s="8">
        <f t="shared" si="190"/>
        <v>32512.5</v>
      </c>
    </row>
    <row r="1837" spans="1:23" ht="21.95" customHeight="1" x14ac:dyDescent="0.2">
      <c r="A1837" s="5" t="s">
        <v>17</v>
      </c>
      <c r="B1837" t="s">
        <v>1582</v>
      </c>
      <c r="C1837" t="s">
        <v>781</v>
      </c>
      <c r="D1837" s="6" t="s">
        <v>21</v>
      </c>
      <c r="E1837" s="6"/>
      <c r="K1837" s="7">
        <v>44006033</v>
      </c>
      <c r="L1837" s="5" t="str">
        <f t="shared" si="191"/>
        <v>AR GLORIA KONSOL AYNASI</v>
      </c>
      <c r="M1837" s="8">
        <v>0.15</v>
      </c>
      <c r="N1837" s="8">
        <v>0.1</v>
      </c>
      <c r="O1837" s="8">
        <v>5273</v>
      </c>
      <c r="P1837" s="8">
        <f t="shared" si="186"/>
        <v>4745.7</v>
      </c>
      <c r="Q1837" s="12">
        <f t="shared" si="187"/>
        <v>9965.9699999999993</v>
      </c>
      <c r="R1837" s="31">
        <f t="shared" si="188"/>
        <v>9900</v>
      </c>
      <c r="T1837" s="8">
        <v>8075</v>
      </c>
      <c r="V1837" s="8">
        <f t="shared" si="189"/>
        <v>7267.5</v>
      </c>
      <c r="W1837" s="8">
        <f t="shared" si="190"/>
        <v>18168.75</v>
      </c>
    </row>
    <row r="1838" spans="1:23" ht="21.95" customHeight="1" x14ac:dyDescent="0.2">
      <c r="A1838" s="5" t="s">
        <v>17</v>
      </c>
      <c r="B1838" t="s">
        <v>1582</v>
      </c>
      <c r="C1838" t="s">
        <v>781</v>
      </c>
      <c r="D1838" s="6" t="s">
        <v>599</v>
      </c>
      <c r="E1838" s="6"/>
      <c r="K1838" s="7">
        <v>44006034</v>
      </c>
      <c r="L1838" s="5" t="str">
        <f t="shared" si="191"/>
        <v>AR GLORIA MASA 210CM</v>
      </c>
      <c r="M1838" s="8">
        <v>0.15</v>
      </c>
      <c r="N1838" s="8">
        <v>0.1</v>
      </c>
      <c r="O1838" s="8">
        <v>29415</v>
      </c>
      <c r="P1838" s="8">
        <f t="shared" si="186"/>
        <v>26473.5</v>
      </c>
      <c r="Q1838" s="12">
        <f t="shared" si="187"/>
        <v>55594.350000000006</v>
      </c>
      <c r="R1838" s="31">
        <f t="shared" si="188"/>
        <v>55500</v>
      </c>
      <c r="T1838" s="8">
        <v>9195</v>
      </c>
      <c r="V1838" s="8">
        <f t="shared" si="189"/>
        <v>8275.5</v>
      </c>
      <c r="W1838" s="8">
        <f t="shared" si="190"/>
        <v>20688.75</v>
      </c>
    </row>
    <row r="1839" spans="1:23" ht="21.95" customHeight="1" x14ac:dyDescent="0.2">
      <c r="A1839" s="5" t="s">
        <v>17</v>
      </c>
      <c r="B1839" t="s">
        <v>1582</v>
      </c>
      <c r="C1839" t="s">
        <v>781</v>
      </c>
      <c r="D1839" s="6" t="s">
        <v>587</v>
      </c>
      <c r="E1839" s="6"/>
      <c r="K1839" s="7">
        <v>44006035</v>
      </c>
      <c r="L1839" s="5" t="str">
        <f t="shared" si="191"/>
        <v>AR GLORIA MASA 180CM</v>
      </c>
      <c r="M1839" s="8">
        <v>0.15</v>
      </c>
      <c r="N1839" s="8">
        <v>0.1</v>
      </c>
      <c r="O1839" s="8">
        <v>38240</v>
      </c>
      <c r="P1839" s="8">
        <f t="shared" si="186"/>
        <v>34416</v>
      </c>
      <c r="Q1839" s="12">
        <f t="shared" si="187"/>
        <v>72273.600000000006</v>
      </c>
      <c r="R1839" s="31">
        <f t="shared" si="188"/>
        <v>72200</v>
      </c>
      <c r="T1839" s="8">
        <v>17105</v>
      </c>
      <c r="V1839" s="8">
        <f t="shared" si="189"/>
        <v>15394.5</v>
      </c>
      <c r="W1839" s="8">
        <f t="shared" si="190"/>
        <v>38486.25</v>
      </c>
    </row>
    <row r="1840" spans="1:23" ht="21.95" customHeight="1" x14ac:dyDescent="0.2">
      <c r="A1840" s="5" t="s">
        <v>17</v>
      </c>
      <c r="B1840" t="s">
        <v>1582</v>
      </c>
      <c r="C1840" t="s">
        <v>781</v>
      </c>
      <c r="D1840" s="6" t="s">
        <v>24</v>
      </c>
      <c r="E1840" s="6"/>
      <c r="K1840" s="7">
        <v>44006036</v>
      </c>
      <c r="L1840" s="5" t="str">
        <f t="shared" si="191"/>
        <v>AR GLORIA MASA 240CM</v>
      </c>
      <c r="M1840" s="8">
        <v>0.15</v>
      </c>
      <c r="N1840" s="8">
        <v>0.1</v>
      </c>
      <c r="O1840" s="8">
        <v>43702</v>
      </c>
      <c r="P1840" s="8">
        <f t="shared" ref="P1840:P1903" si="192">O1840*(1-N1840)</f>
        <v>39331.800000000003</v>
      </c>
      <c r="Q1840" s="12">
        <f t="shared" ref="Q1840:Q1903" si="193">O1840*(1-N1840)*2.1</f>
        <v>82596.780000000013</v>
      </c>
      <c r="R1840" s="31">
        <f t="shared" ref="R1840:R1903" si="194">ROUNDDOWN(Q1840,-2)</f>
        <v>82500</v>
      </c>
      <c r="T1840" s="8">
        <v>7405</v>
      </c>
      <c r="V1840" s="8">
        <f t="shared" si="189"/>
        <v>6664.5</v>
      </c>
      <c r="W1840" s="8">
        <f t="shared" si="190"/>
        <v>16661.25</v>
      </c>
    </row>
    <row r="1841" spans="1:23" ht="21.95" customHeight="1" x14ac:dyDescent="0.2">
      <c r="A1841" s="5" t="s">
        <v>17</v>
      </c>
      <c r="B1841" t="s">
        <v>1582</v>
      </c>
      <c r="C1841" t="s">
        <v>781</v>
      </c>
      <c r="D1841" s="6" t="s">
        <v>25</v>
      </c>
      <c r="E1841" s="6"/>
      <c r="K1841" s="7">
        <v>44006037</v>
      </c>
      <c r="L1841" s="5" t="str">
        <f t="shared" si="191"/>
        <v>AR GLORIA SANDALYE</v>
      </c>
      <c r="M1841" s="8">
        <v>0.15</v>
      </c>
      <c r="N1841" s="8">
        <v>0.1</v>
      </c>
      <c r="O1841" s="8">
        <v>4017</v>
      </c>
      <c r="P1841" s="8">
        <f t="shared" si="192"/>
        <v>3615.3</v>
      </c>
      <c r="Q1841" s="12">
        <f t="shared" si="193"/>
        <v>7592.130000000001</v>
      </c>
      <c r="R1841" s="31">
        <f t="shared" si="194"/>
        <v>7500</v>
      </c>
      <c r="T1841" s="8">
        <v>34470</v>
      </c>
      <c r="V1841" s="8">
        <f t="shared" si="189"/>
        <v>31023</v>
      </c>
      <c r="W1841" s="8">
        <f t="shared" si="190"/>
        <v>77557.5</v>
      </c>
    </row>
    <row r="1842" spans="1:23" ht="21.95" customHeight="1" x14ac:dyDescent="0.2">
      <c r="A1842" s="5" t="s">
        <v>17</v>
      </c>
      <c r="B1842" t="s">
        <v>1582</v>
      </c>
      <c r="C1842" t="s">
        <v>781</v>
      </c>
      <c r="D1842" s="6" t="s">
        <v>782</v>
      </c>
      <c r="E1842" s="6"/>
      <c r="K1842" s="7">
        <v>44006038</v>
      </c>
      <c r="L1842" s="5" t="str">
        <f t="shared" si="191"/>
        <v>AR GLORIA KASIKLIK</v>
      </c>
      <c r="M1842" s="8">
        <v>0.15</v>
      </c>
      <c r="N1842" s="8">
        <v>0.1</v>
      </c>
      <c r="O1842" s="8">
        <v>20240</v>
      </c>
      <c r="P1842" s="8">
        <f t="shared" si="192"/>
        <v>18216</v>
      </c>
      <c r="Q1842" s="12">
        <f t="shared" si="193"/>
        <v>38253.599999999999</v>
      </c>
      <c r="R1842" s="31">
        <f t="shared" si="194"/>
        <v>38200</v>
      </c>
      <c r="T1842" s="8">
        <v>5193</v>
      </c>
      <c r="V1842" s="8">
        <f t="shared" si="189"/>
        <v>4673.7</v>
      </c>
      <c r="W1842" s="8">
        <f t="shared" si="190"/>
        <v>11684.25</v>
      </c>
    </row>
    <row r="1843" spans="1:23" ht="21.95" customHeight="1" x14ac:dyDescent="0.2">
      <c r="A1843" s="5" t="s">
        <v>17</v>
      </c>
      <c r="B1843" t="s">
        <v>1582</v>
      </c>
      <c r="C1843" t="s">
        <v>781</v>
      </c>
      <c r="D1843" s="6" t="s">
        <v>588</v>
      </c>
      <c r="E1843" s="6"/>
      <c r="K1843" s="7">
        <v>44006039</v>
      </c>
      <c r="L1843" s="5" t="str">
        <f t="shared" si="191"/>
        <v xml:space="preserve">AR GLORIA DRESUAR </v>
      </c>
      <c r="M1843" s="8">
        <v>0.15</v>
      </c>
      <c r="N1843" s="8">
        <v>0.1</v>
      </c>
      <c r="O1843" s="8">
        <v>24705</v>
      </c>
      <c r="P1843" s="8">
        <f t="shared" si="192"/>
        <v>22234.5</v>
      </c>
      <c r="Q1843" s="12">
        <f t="shared" si="193"/>
        <v>46692.450000000004</v>
      </c>
      <c r="R1843" s="31">
        <f t="shared" si="194"/>
        <v>46600</v>
      </c>
      <c r="T1843" s="8">
        <v>32925</v>
      </c>
      <c r="V1843" s="8">
        <f t="shared" si="189"/>
        <v>29632.5</v>
      </c>
      <c r="W1843" s="8">
        <f t="shared" si="190"/>
        <v>74081.25</v>
      </c>
    </row>
    <row r="1844" spans="1:23" ht="21.95" customHeight="1" x14ac:dyDescent="0.2">
      <c r="A1844" s="5" t="s">
        <v>17</v>
      </c>
      <c r="B1844" t="s">
        <v>1582</v>
      </c>
      <c r="C1844" t="s">
        <v>781</v>
      </c>
      <c r="D1844" s="6" t="s">
        <v>783</v>
      </c>
      <c r="E1844" s="6"/>
      <c r="K1844" s="7">
        <v>44006040</v>
      </c>
      <c r="L1844" s="5" t="str">
        <f t="shared" si="191"/>
        <v>AR GLORIA BÜYÜK BENCH</v>
      </c>
      <c r="M1844" s="8">
        <v>0.15</v>
      </c>
      <c r="N1844" s="8">
        <v>0.1</v>
      </c>
      <c r="O1844" s="8">
        <v>10505</v>
      </c>
      <c r="P1844" s="8">
        <f t="shared" si="192"/>
        <v>9454.5</v>
      </c>
      <c r="Q1844" s="12">
        <f t="shared" si="193"/>
        <v>19854.45</v>
      </c>
      <c r="R1844" s="31">
        <f t="shared" si="194"/>
        <v>19800</v>
      </c>
      <c r="T1844" s="8">
        <v>42803</v>
      </c>
      <c r="V1844" s="8">
        <f t="shared" si="189"/>
        <v>38522.700000000004</v>
      </c>
      <c r="W1844" s="8">
        <f t="shared" si="190"/>
        <v>96306.750000000015</v>
      </c>
    </row>
    <row r="1845" spans="1:23" ht="21.95" customHeight="1" x14ac:dyDescent="0.2">
      <c r="A1845" s="21" t="s">
        <v>17</v>
      </c>
      <c r="B1845" s="24" t="s">
        <v>1582</v>
      </c>
      <c r="C1845" s="24" t="s">
        <v>781</v>
      </c>
      <c r="D1845" s="21" t="s">
        <v>784</v>
      </c>
      <c r="E1845" s="21"/>
      <c r="F1845" s="21"/>
      <c r="G1845" s="21"/>
      <c r="H1845" s="21"/>
      <c r="I1845" s="22"/>
      <c r="J1845" s="22"/>
      <c r="K1845" s="22">
        <v>44006041</v>
      </c>
      <c r="L1845" s="21" t="str">
        <f t="shared" si="191"/>
        <v>AR GLORIA ALT MODÜL</v>
      </c>
      <c r="M1845" s="23">
        <v>0.15</v>
      </c>
      <c r="N1845" s="23">
        <v>0.1</v>
      </c>
      <c r="O1845" s="23">
        <v>22750</v>
      </c>
      <c r="P1845" s="23">
        <f t="shared" si="192"/>
        <v>20475</v>
      </c>
      <c r="Q1845" s="23">
        <f t="shared" si="193"/>
        <v>42997.5</v>
      </c>
      <c r="R1845" s="32">
        <f t="shared" si="194"/>
        <v>42900</v>
      </c>
      <c r="T1845" s="8">
        <v>48917</v>
      </c>
      <c r="V1845" s="8">
        <f t="shared" si="189"/>
        <v>44025.3</v>
      </c>
      <c r="W1845" s="8">
        <f t="shared" si="190"/>
        <v>110063.25</v>
      </c>
    </row>
    <row r="1846" spans="1:23" ht="21.95" customHeight="1" x14ac:dyDescent="0.2">
      <c r="A1846" s="5" t="s">
        <v>17</v>
      </c>
      <c r="B1846" t="s">
        <v>1582</v>
      </c>
      <c r="C1846" t="s">
        <v>781</v>
      </c>
      <c r="D1846" s="6" t="s">
        <v>750</v>
      </c>
      <c r="E1846" s="6"/>
      <c r="K1846" s="7">
        <v>44006042</v>
      </c>
      <c r="L1846" s="5" t="str">
        <f t="shared" si="191"/>
        <v>AR GLORIA TV ÜNİTESİ ÜST PANO</v>
      </c>
      <c r="M1846" s="8">
        <v>0.15</v>
      </c>
      <c r="N1846" s="8">
        <v>0.1</v>
      </c>
      <c r="O1846" s="8">
        <v>4540</v>
      </c>
      <c r="P1846" s="8">
        <f t="shared" si="192"/>
        <v>4086</v>
      </c>
      <c r="Q1846" s="12">
        <f t="shared" si="193"/>
        <v>8580.6</v>
      </c>
      <c r="R1846" s="31">
        <f t="shared" si="194"/>
        <v>8500</v>
      </c>
      <c r="T1846" s="8">
        <v>32925</v>
      </c>
      <c r="V1846" s="8">
        <f t="shared" si="189"/>
        <v>29632.5</v>
      </c>
      <c r="W1846" s="8">
        <f t="shared" si="190"/>
        <v>74081.25</v>
      </c>
    </row>
    <row r="1847" spans="1:23" ht="21.95" customHeight="1" x14ac:dyDescent="0.2">
      <c r="A1847" s="5" t="s">
        <v>17</v>
      </c>
      <c r="B1847" t="s">
        <v>1582</v>
      </c>
      <c r="C1847" t="s">
        <v>781</v>
      </c>
      <c r="D1847" s="6" t="s">
        <v>496</v>
      </c>
      <c r="E1847" s="6"/>
      <c r="K1847" s="7">
        <v>44006043</v>
      </c>
      <c r="L1847" s="5" t="str">
        <f t="shared" si="191"/>
        <v>AR GLORIA TV ÜNİTESİ ALT MODÜL</v>
      </c>
      <c r="M1847" s="8">
        <v>0.15</v>
      </c>
      <c r="N1847" s="8">
        <v>0.1</v>
      </c>
      <c r="O1847" s="8">
        <v>35290</v>
      </c>
      <c r="P1847" s="8">
        <f t="shared" si="192"/>
        <v>31761</v>
      </c>
      <c r="Q1847" s="12">
        <f t="shared" si="193"/>
        <v>66698.100000000006</v>
      </c>
      <c r="R1847" s="31">
        <f t="shared" si="194"/>
        <v>66600</v>
      </c>
      <c r="T1847" s="8">
        <v>5856</v>
      </c>
      <c r="V1847" s="8">
        <f t="shared" si="189"/>
        <v>5270.4000000000005</v>
      </c>
      <c r="W1847" s="8">
        <f t="shared" si="190"/>
        <v>13176.000000000002</v>
      </c>
    </row>
    <row r="1848" spans="1:23" ht="21.95" customHeight="1" x14ac:dyDescent="0.2">
      <c r="A1848" s="5" t="s">
        <v>17</v>
      </c>
      <c r="B1848" t="s">
        <v>1582</v>
      </c>
      <c r="C1848" t="s">
        <v>781</v>
      </c>
      <c r="D1848" s="6" t="s">
        <v>29</v>
      </c>
      <c r="E1848" s="6"/>
      <c r="K1848" s="7">
        <v>44006044</v>
      </c>
      <c r="L1848" s="5" t="str">
        <f t="shared" si="191"/>
        <v>AR GLORIA ORTA SEHPA</v>
      </c>
      <c r="M1848" s="8">
        <v>0.15</v>
      </c>
      <c r="N1848" s="8">
        <v>0.1</v>
      </c>
      <c r="O1848" s="8">
        <v>16370</v>
      </c>
      <c r="P1848" s="8">
        <f t="shared" si="192"/>
        <v>14733</v>
      </c>
      <c r="Q1848" s="12">
        <f t="shared" si="193"/>
        <v>30939.300000000003</v>
      </c>
      <c r="R1848" s="31">
        <f t="shared" si="194"/>
        <v>30900</v>
      </c>
      <c r="T1848" s="8">
        <v>6344</v>
      </c>
      <c r="V1848" s="8">
        <f t="shared" si="189"/>
        <v>5709.6</v>
      </c>
      <c r="W1848" s="8">
        <f t="shared" si="190"/>
        <v>14274</v>
      </c>
    </row>
    <row r="1849" spans="1:23" ht="21.95" customHeight="1" x14ac:dyDescent="0.2">
      <c r="A1849" s="5" t="s">
        <v>17</v>
      </c>
      <c r="B1849" t="s">
        <v>1582</v>
      </c>
      <c r="C1849" t="s">
        <v>781</v>
      </c>
      <c r="D1849" s="6" t="s">
        <v>30</v>
      </c>
      <c r="E1849" s="6"/>
      <c r="K1849" s="7">
        <v>44006045</v>
      </c>
      <c r="L1849" s="5" t="str">
        <f t="shared" si="191"/>
        <v>AR GLORIA YAN SEHPA</v>
      </c>
      <c r="M1849" s="8">
        <v>0.15</v>
      </c>
      <c r="N1849" s="8">
        <v>0.1</v>
      </c>
      <c r="O1849" s="8">
        <v>11085</v>
      </c>
      <c r="P1849" s="8">
        <f t="shared" si="192"/>
        <v>9976.5</v>
      </c>
      <c r="Q1849" s="12">
        <f t="shared" si="193"/>
        <v>20950.650000000001</v>
      </c>
      <c r="R1849" s="31">
        <f t="shared" si="194"/>
        <v>20900</v>
      </c>
      <c r="T1849" s="8">
        <v>36815</v>
      </c>
      <c r="V1849" s="8">
        <f t="shared" si="189"/>
        <v>33133.5</v>
      </c>
      <c r="W1849" s="8">
        <f t="shared" si="190"/>
        <v>82833.75</v>
      </c>
    </row>
    <row r="1850" spans="1:23" ht="21.95" customHeight="1" x14ac:dyDescent="0.2">
      <c r="A1850" s="5" t="s">
        <v>17</v>
      </c>
      <c r="B1850" t="s">
        <v>1582</v>
      </c>
      <c r="C1850" t="s">
        <v>781</v>
      </c>
      <c r="D1850" s="6" t="s">
        <v>785</v>
      </c>
      <c r="E1850" s="6"/>
      <c r="K1850" s="7">
        <v>44006046</v>
      </c>
      <c r="L1850" s="5" t="str">
        <f t="shared" si="191"/>
        <v>AR GLORIA KOLTUK 4 LÜ KAPİTONELİ</v>
      </c>
      <c r="M1850" s="8">
        <v>0.15</v>
      </c>
      <c r="N1850" s="8">
        <v>0.1</v>
      </c>
      <c r="O1850" s="8">
        <v>35440</v>
      </c>
      <c r="P1850" s="8">
        <f t="shared" si="192"/>
        <v>31896</v>
      </c>
      <c r="Q1850" s="12">
        <f t="shared" si="193"/>
        <v>66981.600000000006</v>
      </c>
      <c r="R1850" s="31">
        <f t="shared" si="194"/>
        <v>66900</v>
      </c>
      <c r="T1850" s="8">
        <v>32940</v>
      </c>
      <c r="V1850" s="8">
        <f t="shared" si="189"/>
        <v>29646</v>
      </c>
      <c r="W1850" s="8">
        <f t="shared" si="190"/>
        <v>74115</v>
      </c>
    </row>
    <row r="1851" spans="1:23" ht="21.95" customHeight="1" x14ac:dyDescent="0.2">
      <c r="A1851" s="5" t="s">
        <v>17</v>
      </c>
      <c r="B1851" t="s">
        <v>1582</v>
      </c>
      <c r="C1851" t="s">
        <v>781</v>
      </c>
      <c r="D1851" s="6" t="s">
        <v>786</v>
      </c>
      <c r="E1851" s="6"/>
      <c r="K1851" s="7">
        <v>44006047</v>
      </c>
      <c r="L1851" s="5" t="str">
        <f t="shared" si="191"/>
        <v>AR GLORIA KOLTUK 4 LÜ YARMALI</v>
      </c>
      <c r="M1851" s="8">
        <v>0.15</v>
      </c>
      <c r="N1851" s="8">
        <v>0.1</v>
      </c>
      <c r="O1851" s="8">
        <v>36100</v>
      </c>
      <c r="P1851" s="8">
        <f t="shared" si="192"/>
        <v>32490</v>
      </c>
      <c r="Q1851" s="12">
        <f t="shared" si="193"/>
        <v>68229</v>
      </c>
      <c r="R1851" s="31">
        <f t="shared" si="194"/>
        <v>68200</v>
      </c>
      <c r="T1851" s="8">
        <v>17440</v>
      </c>
      <c r="V1851" s="8">
        <f t="shared" si="189"/>
        <v>15696</v>
      </c>
      <c r="W1851" s="8">
        <f t="shared" si="190"/>
        <v>39240</v>
      </c>
    </row>
    <row r="1852" spans="1:23" ht="21.95" customHeight="1" x14ac:dyDescent="0.2">
      <c r="A1852" s="5" t="s">
        <v>17</v>
      </c>
      <c r="B1852" t="s">
        <v>1582</v>
      </c>
      <c r="C1852" t="s">
        <v>781</v>
      </c>
      <c r="D1852" s="6" t="s">
        <v>787</v>
      </c>
      <c r="E1852" s="6"/>
      <c r="K1852" s="7">
        <v>44006048</v>
      </c>
      <c r="L1852" s="5" t="str">
        <f t="shared" si="191"/>
        <v>AR GLORIA KOLTUK 3 LÜ YARMALI</v>
      </c>
      <c r="M1852" s="8">
        <v>0.15</v>
      </c>
      <c r="N1852" s="8">
        <v>0.1</v>
      </c>
      <c r="O1852" s="8">
        <v>33400</v>
      </c>
      <c r="P1852" s="8">
        <f t="shared" si="192"/>
        <v>30060</v>
      </c>
      <c r="Q1852" s="12">
        <f t="shared" si="193"/>
        <v>63126</v>
      </c>
      <c r="R1852" s="31">
        <f t="shared" si="194"/>
        <v>63100</v>
      </c>
      <c r="T1852" s="8">
        <v>32235</v>
      </c>
      <c r="V1852" s="8">
        <f t="shared" si="189"/>
        <v>29011.5</v>
      </c>
      <c r="W1852" s="8">
        <f t="shared" si="190"/>
        <v>72528.75</v>
      </c>
    </row>
    <row r="1853" spans="1:23" ht="21.95" customHeight="1" x14ac:dyDescent="0.2">
      <c r="A1853" s="5" t="s">
        <v>17</v>
      </c>
      <c r="B1853" t="s">
        <v>1582</v>
      </c>
      <c r="C1853" t="s">
        <v>781</v>
      </c>
      <c r="D1853" s="6" t="s">
        <v>788</v>
      </c>
      <c r="E1853" s="6"/>
      <c r="K1853" s="7">
        <v>44006049</v>
      </c>
      <c r="L1853" s="5" t="str">
        <f t="shared" si="191"/>
        <v>AR GLORIA KOLTUK 3 LÜ KAPİTONELİ</v>
      </c>
      <c r="M1853" s="8">
        <v>0.15</v>
      </c>
      <c r="N1853" s="8">
        <v>0.1</v>
      </c>
      <c r="O1853" s="8">
        <v>32310</v>
      </c>
      <c r="P1853" s="8">
        <f t="shared" si="192"/>
        <v>29079</v>
      </c>
      <c r="Q1853" s="12">
        <f t="shared" si="193"/>
        <v>61065.9</v>
      </c>
      <c r="R1853" s="31">
        <f t="shared" si="194"/>
        <v>61000</v>
      </c>
      <c r="T1853" s="8">
        <v>18200</v>
      </c>
      <c r="V1853" s="8">
        <f t="shared" si="189"/>
        <v>16380</v>
      </c>
      <c r="W1853" s="8">
        <f t="shared" si="190"/>
        <v>40950</v>
      </c>
    </row>
    <row r="1854" spans="1:23" ht="21.95" customHeight="1" x14ac:dyDescent="0.2">
      <c r="A1854" s="5" t="s">
        <v>17</v>
      </c>
      <c r="B1854" t="s">
        <v>1582</v>
      </c>
      <c r="C1854" t="s">
        <v>781</v>
      </c>
      <c r="D1854" s="6" t="s">
        <v>789</v>
      </c>
      <c r="E1854" s="6"/>
      <c r="K1854" s="7">
        <v>44006050</v>
      </c>
      <c r="L1854" s="5" t="str">
        <f t="shared" si="191"/>
        <v>AR GLORIA KOLTUK 2 Lİ KAPİTONELİ</v>
      </c>
      <c r="M1854" s="8">
        <v>0.15</v>
      </c>
      <c r="N1854" s="8">
        <v>0.1</v>
      </c>
      <c r="O1854" s="8">
        <v>29555</v>
      </c>
      <c r="P1854" s="8">
        <f t="shared" si="192"/>
        <v>26599.5</v>
      </c>
      <c r="Q1854" s="12">
        <f t="shared" si="193"/>
        <v>55858.950000000004</v>
      </c>
      <c r="R1854" s="31">
        <f t="shared" si="194"/>
        <v>55800</v>
      </c>
      <c r="T1854" s="8">
        <v>10800</v>
      </c>
      <c r="V1854" s="8">
        <f t="shared" si="189"/>
        <v>9720</v>
      </c>
      <c r="W1854" s="8">
        <f t="shared" si="190"/>
        <v>24300</v>
      </c>
    </row>
    <row r="1855" spans="1:23" ht="21.95" customHeight="1" x14ac:dyDescent="0.2">
      <c r="A1855" s="5" t="s">
        <v>17</v>
      </c>
      <c r="B1855" t="s">
        <v>1582</v>
      </c>
      <c r="C1855" t="s">
        <v>781</v>
      </c>
      <c r="D1855" s="6" t="s">
        <v>592</v>
      </c>
      <c r="E1855" s="6"/>
      <c r="K1855" s="7">
        <v>44006051</v>
      </c>
      <c r="L1855" s="5" t="str">
        <f t="shared" si="191"/>
        <v>AR GLORIA KOLTUK TEKLİ</v>
      </c>
      <c r="M1855" s="8">
        <v>0.15</v>
      </c>
      <c r="N1855" s="8">
        <v>0.1</v>
      </c>
      <c r="O1855" s="8">
        <v>18115</v>
      </c>
      <c r="P1855" s="8">
        <f t="shared" si="192"/>
        <v>16303.5</v>
      </c>
      <c r="Q1855" s="12">
        <f t="shared" si="193"/>
        <v>34237.35</v>
      </c>
      <c r="R1855" s="31">
        <f t="shared" si="194"/>
        <v>34200</v>
      </c>
      <c r="T1855" s="8">
        <v>30785</v>
      </c>
      <c r="V1855" s="8">
        <f t="shared" si="189"/>
        <v>27706.5</v>
      </c>
      <c r="W1855" s="8">
        <f t="shared" si="190"/>
        <v>69266.25</v>
      </c>
    </row>
    <row r="1856" spans="1:23" ht="21.95" customHeight="1" x14ac:dyDescent="0.2">
      <c r="A1856" s="5" t="s">
        <v>17</v>
      </c>
      <c r="B1856" t="s">
        <v>1582</v>
      </c>
      <c r="C1856" t="s">
        <v>781</v>
      </c>
      <c r="D1856" s="6" t="s">
        <v>593</v>
      </c>
      <c r="E1856" s="6"/>
      <c r="K1856" s="7">
        <v>44006052</v>
      </c>
      <c r="L1856" s="5" t="str">
        <f t="shared" si="191"/>
        <v>AR GLORIA KARYOLA İÇ KAYITLI 160CM</v>
      </c>
      <c r="M1856" s="8">
        <v>0.15</v>
      </c>
      <c r="N1856" s="8">
        <v>0.1</v>
      </c>
      <c r="O1856" s="8">
        <v>26055</v>
      </c>
      <c r="P1856" s="8">
        <f t="shared" si="192"/>
        <v>23449.5</v>
      </c>
      <c r="Q1856" s="12">
        <f t="shared" si="193"/>
        <v>49243.950000000004</v>
      </c>
      <c r="R1856" s="31">
        <f t="shared" si="194"/>
        <v>49200</v>
      </c>
      <c r="T1856" s="8">
        <v>35385</v>
      </c>
      <c r="V1856" s="8">
        <f t="shared" si="189"/>
        <v>31846.5</v>
      </c>
      <c r="W1856" s="8">
        <f t="shared" si="190"/>
        <v>79616.25</v>
      </c>
    </row>
    <row r="1857" spans="1:23" ht="21.95" customHeight="1" x14ac:dyDescent="0.2">
      <c r="A1857" s="5" t="s">
        <v>17</v>
      </c>
      <c r="B1857" t="s">
        <v>1582</v>
      </c>
      <c r="C1857" t="s">
        <v>781</v>
      </c>
      <c r="D1857" s="6" t="s">
        <v>75</v>
      </c>
      <c r="E1857" s="6"/>
      <c r="K1857" s="7">
        <v>44006053</v>
      </c>
      <c r="L1857" s="5" t="str">
        <f t="shared" si="191"/>
        <v>AR GLORIA KARYOLA BAZALI 160CM</v>
      </c>
      <c r="M1857" s="8">
        <v>0.15</v>
      </c>
      <c r="N1857" s="8">
        <v>0.1</v>
      </c>
      <c r="O1857" s="8">
        <v>30655</v>
      </c>
      <c r="P1857" s="8">
        <f t="shared" si="192"/>
        <v>27589.5</v>
      </c>
      <c r="Q1857" s="12">
        <f t="shared" si="193"/>
        <v>57937.950000000004</v>
      </c>
      <c r="R1857" s="31">
        <f t="shared" si="194"/>
        <v>57900</v>
      </c>
      <c r="T1857" s="8">
        <v>37885</v>
      </c>
      <c r="V1857" s="8">
        <f t="shared" si="189"/>
        <v>34096.5</v>
      </c>
      <c r="W1857" s="8">
        <f t="shared" si="190"/>
        <v>85241.25</v>
      </c>
    </row>
    <row r="1858" spans="1:23" ht="21.95" customHeight="1" x14ac:dyDescent="0.2">
      <c r="A1858" s="5" t="s">
        <v>17</v>
      </c>
      <c r="B1858" t="s">
        <v>1582</v>
      </c>
      <c r="C1858" t="s">
        <v>781</v>
      </c>
      <c r="D1858" s="6" t="s">
        <v>362</v>
      </c>
      <c r="E1858" s="6"/>
      <c r="K1858" s="7">
        <v>44006054</v>
      </c>
      <c r="L1858" s="5" t="str">
        <f t="shared" si="191"/>
        <v>AR GLORIA KOMODİN</v>
      </c>
      <c r="M1858" s="8">
        <v>0.15</v>
      </c>
      <c r="N1858" s="8">
        <v>0.1</v>
      </c>
      <c r="O1858" s="8">
        <v>9655</v>
      </c>
      <c r="P1858" s="8">
        <f t="shared" si="192"/>
        <v>8689.5</v>
      </c>
      <c r="Q1858" s="12">
        <f t="shared" si="193"/>
        <v>18247.95</v>
      </c>
      <c r="R1858" s="31">
        <f t="shared" si="194"/>
        <v>18200</v>
      </c>
      <c r="T1858" s="8">
        <v>33285</v>
      </c>
      <c r="V1858" s="8">
        <f t="shared" ref="V1858:V1921" si="195">T1858*0.9</f>
        <v>29956.5</v>
      </c>
      <c r="W1858" s="8">
        <f t="shared" ref="W1858:W1921" si="196">V1858*2.5</f>
        <v>74891.25</v>
      </c>
    </row>
    <row r="1859" spans="1:23" ht="21.95" customHeight="1" x14ac:dyDescent="0.2">
      <c r="A1859" s="5" t="s">
        <v>17</v>
      </c>
      <c r="B1859" t="s">
        <v>1582</v>
      </c>
      <c r="C1859" t="s">
        <v>781</v>
      </c>
      <c r="D1859" s="6" t="s">
        <v>777</v>
      </c>
      <c r="E1859" s="6"/>
      <c r="K1859" s="7">
        <v>44006055</v>
      </c>
      <c r="L1859" s="5" t="str">
        <f t="shared" si="191"/>
        <v>AR GLORIA DOLAP SÜRGÜLÜ</v>
      </c>
      <c r="M1859" s="8">
        <v>0.15</v>
      </c>
      <c r="N1859" s="8">
        <v>0.1</v>
      </c>
      <c r="O1859" s="8">
        <v>53025</v>
      </c>
      <c r="P1859" s="8">
        <f t="shared" si="192"/>
        <v>47722.5</v>
      </c>
      <c r="Q1859" s="12">
        <f t="shared" si="193"/>
        <v>100217.25</v>
      </c>
      <c r="R1859" s="31">
        <f t="shared" si="194"/>
        <v>100200</v>
      </c>
      <c r="T1859" s="8">
        <v>7755</v>
      </c>
      <c r="V1859" s="8">
        <f t="shared" si="195"/>
        <v>6979.5</v>
      </c>
      <c r="W1859" s="8">
        <f t="shared" si="196"/>
        <v>17448.75</v>
      </c>
    </row>
    <row r="1860" spans="1:23" ht="21.95" customHeight="1" x14ac:dyDescent="0.2">
      <c r="A1860" s="5" t="s">
        <v>17</v>
      </c>
      <c r="B1860" t="s">
        <v>1582</v>
      </c>
      <c r="C1860" t="s">
        <v>781</v>
      </c>
      <c r="D1860" s="6" t="s">
        <v>379</v>
      </c>
      <c r="E1860" s="6"/>
      <c r="K1860" s="7">
        <v>44006056</v>
      </c>
      <c r="L1860" s="5" t="str">
        <f t="shared" si="191"/>
        <v>AR GLORIA DOLAP 6 KAPAKLI</v>
      </c>
      <c r="M1860" s="8">
        <v>0.15</v>
      </c>
      <c r="N1860" s="8">
        <v>0.1</v>
      </c>
      <c r="O1860" s="8">
        <v>62945</v>
      </c>
      <c r="P1860" s="8">
        <f t="shared" si="192"/>
        <v>56650.5</v>
      </c>
      <c r="Q1860" s="12">
        <f t="shared" si="193"/>
        <v>118966.05</v>
      </c>
      <c r="R1860" s="31">
        <f t="shared" si="194"/>
        <v>118900</v>
      </c>
      <c r="T1860" s="8">
        <v>52865</v>
      </c>
      <c r="V1860" s="8">
        <f t="shared" si="195"/>
        <v>47578.5</v>
      </c>
      <c r="W1860" s="8">
        <f t="shared" si="196"/>
        <v>118946.25</v>
      </c>
    </row>
    <row r="1861" spans="1:23" ht="21.95" customHeight="1" x14ac:dyDescent="0.2">
      <c r="A1861" s="5" t="s">
        <v>17</v>
      </c>
      <c r="B1861" t="s">
        <v>1582</v>
      </c>
      <c r="C1861" t="s">
        <v>781</v>
      </c>
      <c r="D1861" s="6" t="s">
        <v>595</v>
      </c>
      <c r="E1861" s="6"/>
      <c r="K1861" s="7">
        <v>44006057</v>
      </c>
      <c r="L1861" s="5" t="str">
        <f t="shared" si="191"/>
        <v>AR GLORIA ŞİFONYER &amp; AYNASI</v>
      </c>
      <c r="M1861" s="8">
        <v>0.15</v>
      </c>
      <c r="N1861" s="8">
        <v>0.1</v>
      </c>
      <c r="O1861" s="8">
        <v>26545</v>
      </c>
      <c r="P1861" s="8">
        <f t="shared" si="192"/>
        <v>23890.5</v>
      </c>
      <c r="Q1861" s="12">
        <f t="shared" si="193"/>
        <v>50170.05</v>
      </c>
      <c r="R1861" s="31">
        <f t="shared" si="194"/>
        <v>50100</v>
      </c>
      <c r="T1861" s="8">
        <v>23100</v>
      </c>
      <c r="V1861" s="8">
        <f t="shared" si="195"/>
        <v>20790</v>
      </c>
      <c r="W1861" s="8">
        <f t="shared" si="196"/>
        <v>51975</v>
      </c>
    </row>
    <row r="1862" spans="1:23" ht="21.95" customHeight="1" x14ac:dyDescent="0.2">
      <c r="A1862" s="5" t="s">
        <v>17</v>
      </c>
      <c r="B1862" t="s">
        <v>1582</v>
      </c>
      <c r="C1862" t="s">
        <v>781</v>
      </c>
      <c r="D1862" s="6" t="s">
        <v>126</v>
      </c>
      <c r="E1862" s="6"/>
      <c r="K1862" s="7">
        <v>44006058</v>
      </c>
      <c r="L1862" s="5" t="str">
        <f t="shared" si="191"/>
        <v>AR GLORIA ÇAMAŞIRLIK</v>
      </c>
      <c r="M1862" s="8">
        <v>0.15</v>
      </c>
      <c r="N1862" s="8">
        <v>0.1</v>
      </c>
      <c r="O1862" s="8">
        <v>17540</v>
      </c>
      <c r="P1862" s="8">
        <f t="shared" si="192"/>
        <v>15786</v>
      </c>
      <c r="Q1862" s="12">
        <f t="shared" si="193"/>
        <v>33150.6</v>
      </c>
      <c r="R1862" s="31">
        <f t="shared" si="194"/>
        <v>33100</v>
      </c>
      <c r="T1862" s="8">
        <v>13670</v>
      </c>
      <c r="V1862" s="8">
        <f t="shared" si="195"/>
        <v>12303</v>
      </c>
      <c r="W1862" s="8">
        <f t="shared" si="196"/>
        <v>30757.5</v>
      </c>
    </row>
    <row r="1863" spans="1:23" ht="21.95" customHeight="1" x14ac:dyDescent="0.2">
      <c r="A1863" s="5" t="s">
        <v>17</v>
      </c>
      <c r="B1863" t="s">
        <v>1582</v>
      </c>
      <c r="C1863" t="s">
        <v>781</v>
      </c>
      <c r="D1863" s="6" t="s">
        <v>82</v>
      </c>
      <c r="E1863" s="6"/>
      <c r="K1863" s="7">
        <v>44006059</v>
      </c>
      <c r="L1863" s="5" t="str">
        <f t="shared" ref="L1863:L1926" si="197">B1863&amp;" "&amp;C1863&amp;" "&amp;D1863</f>
        <v>AR GLORIA BOY AYNASI</v>
      </c>
      <c r="M1863" s="8">
        <v>0.15</v>
      </c>
      <c r="N1863" s="8">
        <v>0.1</v>
      </c>
      <c r="O1863" s="8">
        <v>4305</v>
      </c>
      <c r="P1863" s="8">
        <f t="shared" si="192"/>
        <v>3874.5</v>
      </c>
      <c r="Q1863" s="12">
        <f t="shared" si="193"/>
        <v>8136.4500000000007</v>
      </c>
      <c r="R1863" s="31">
        <f t="shared" si="194"/>
        <v>8100</v>
      </c>
      <c r="T1863" s="8">
        <v>4775</v>
      </c>
      <c r="V1863" s="8">
        <f t="shared" si="195"/>
        <v>4297.5</v>
      </c>
      <c r="W1863" s="8">
        <f t="shared" si="196"/>
        <v>10743.75</v>
      </c>
    </row>
    <row r="1864" spans="1:23" ht="21.95" customHeight="1" x14ac:dyDescent="0.2">
      <c r="A1864" s="5" t="s">
        <v>17</v>
      </c>
      <c r="B1864" t="s">
        <v>1582</v>
      </c>
      <c r="C1864" t="s">
        <v>781</v>
      </c>
      <c r="D1864" s="6" t="s">
        <v>119</v>
      </c>
      <c r="E1864" s="6"/>
      <c r="K1864" s="7">
        <v>44006060</v>
      </c>
      <c r="L1864" s="5" t="str">
        <f t="shared" si="197"/>
        <v>AR GLORIA PUF</v>
      </c>
      <c r="M1864" s="8">
        <v>0.15</v>
      </c>
      <c r="N1864" s="8">
        <v>0.1</v>
      </c>
      <c r="O1864" s="8">
        <v>2990</v>
      </c>
      <c r="P1864" s="8">
        <f t="shared" si="192"/>
        <v>2691</v>
      </c>
      <c r="Q1864" s="12">
        <f t="shared" si="193"/>
        <v>5651.1</v>
      </c>
      <c r="R1864" s="31">
        <f t="shared" si="194"/>
        <v>5600</v>
      </c>
      <c r="T1864" s="8">
        <v>3170</v>
      </c>
      <c r="V1864" s="8">
        <f t="shared" si="195"/>
        <v>2853</v>
      </c>
      <c r="W1864" s="8">
        <f t="shared" si="196"/>
        <v>7132.5</v>
      </c>
    </row>
    <row r="1865" spans="1:23" ht="21.95" customHeight="1" x14ac:dyDescent="0.2">
      <c r="A1865" s="5" t="s">
        <v>17</v>
      </c>
      <c r="B1865" t="s">
        <v>1582</v>
      </c>
      <c r="C1865" t="s">
        <v>781</v>
      </c>
      <c r="D1865" s="6" t="s">
        <v>783</v>
      </c>
      <c r="E1865" s="6"/>
      <c r="K1865" s="7">
        <v>44006061</v>
      </c>
      <c r="L1865" s="5" t="str">
        <f t="shared" si="197"/>
        <v>AR GLORIA BÜYÜK BENCH</v>
      </c>
      <c r="M1865" s="8">
        <v>0.15</v>
      </c>
      <c r="N1865" s="8">
        <v>0.1</v>
      </c>
      <c r="O1865" s="8">
        <v>10505</v>
      </c>
      <c r="P1865" s="8">
        <f t="shared" si="192"/>
        <v>9454.5</v>
      </c>
      <c r="Q1865" s="12">
        <f t="shared" si="193"/>
        <v>19854.45</v>
      </c>
      <c r="R1865" s="31">
        <f t="shared" si="194"/>
        <v>19800</v>
      </c>
      <c r="T1865" s="8">
        <v>23760</v>
      </c>
      <c r="V1865" s="8">
        <f t="shared" si="195"/>
        <v>21384</v>
      </c>
      <c r="W1865" s="8">
        <f t="shared" si="196"/>
        <v>53460</v>
      </c>
    </row>
    <row r="1866" spans="1:23" ht="21.95" customHeight="1" x14ac:dyDescent="0.2">
      <c r="A1866" s="5" t="s">
        <v>17</v>
      </c>
      <c r="B1866" t="s">
        <v>1582</v>
      </c>
      <c r="C1866" t="s">
        <v>781</v>
      </c>
      <c r="D1866" s="6" t="s">
        <v>779</v>
      </c>
      <c r="E1866" s="6"/>
      <c r="K1866" s="7">
        <v>44006062</v>
      </c>
      <c r="L1866" s="5" t="str">
        <f t="shared" si="197"/>
        <v>AR GLORIA GİYİNME O. KÖŞE MODÜL</v>
      </c>
      <c r="M1866" s="8">
        <v>0.15</v>
      </c>
      <c r="N1866" s="8">
        <v>0.1</v>
      </c>
      <c r="O1866" s="8">
        <v>18560</v>
      </c>
      <c r="P1866" s="8">
        <f t="shared" si="192"/>
        <v>16704</v>
      </c>
      <c r="Q1866" s="12">
        <f t="shared" si="193"/>
        <v>35078.400000000001</v>
      </c>
      <c r="R1866" s="31">
        <f t="shared" si="194"/>
        <v>35000</v>
      </c>
      <c r="T1866" s="8">
        <v>4137</v>
      </c>
      <c r="V1866" s="8">
        <f t="shared" si="195"/>
        <v>3723.3</v>
      </c>
      <c r="W1866" s="8">
        <f t="shared" si="196"/>
        <v>9308.25</v>
      </c>
    </row>
    <row r="1867" spans="1:23" ht="21.95" customHeight="1" x14ac:dyDescent="0.2">
      <c r="A1867" s="5" t="s">
        <v>17</v>
      </c>
      <c r="B1867" t="s">
        <v>1582</v>
      </c>
      <c r="C1867" t="s">
        <v>781</v>
      </c>
      <c r="D1867" s="6" t="s">
        <v>790</v>
      </c>
      <c r="E1867" s="6"/>
      <c r="K1867" s="7">
        <v>44006063</v>
      </c>
      <c r="L1867" s="5" t="str">
        <f t="shared" si="197"/>
        <v>AR GLORIA GİYİNME O. TEKLİ RAFLI PANJUR KAPAK MODÜL</v>
      </c>
      <c r="M1867" s="8">
        <v>0.15</v>
      </c>
      <c r="N1867" s="8">
        <v>0.1</v>
      </c>
      <c r="O1867" s="8">
        <v>13065</v>
      </c>
      <c r="P1867" s="8">
        <f t="shared" si="192"/>
        <v>11758.5</v>
      </c>
      <c r="Q1867" s="12">
        <f t="shared" si="193"/>
        <v>24692.850000000002</v>
      </c>
      <c r="R1867" s="31">
        <f t="shared" si="194"/>
        <v>24600</v>
      </c>
      <c r="T1867" s="8">
        <v>13255</v>
      </c>
      <c r="V1867" s="8">
        <f t="shared" si="195"/>
        <v>11929.5</v>
      </c>
      <c r="W1867" s="8">
        <f t="shared" si="196"/>
        <v>29823.75</v>
      </c>
    </row>
    <row r="1868" spans="1:23" ht="21.95" customHeight="1" x14ac:dyDescent="0.2">
      <c r="A1868" s="5" t="s">
        <v>17</v>
      </c>
      <c r="B1868" t="s">
        <v>1582</v>
      </c>
      <c r="C1868" t="s">
        <v>781</v>
      </c>
      <c r="D1868" s="6" t="s">
        <v>762</v>
      </c>
      <c r="E1868" s="6"/>
      <c r="K1868" s="7">
        <v>44006064</v>
      </c>
      <c r="L1868" s="5" t="str">
        <f t="shared" si="197"/>
        <v>AR GLORIA GİYİNME O. ÇİFTLİ BOY ASKILI CAM MODÜL</v>
      </c>
      <c r="M1868" s="8">
        <v>0.15</v>
      </c>
      <c r="N1868" s="8">
        <v>0.1</v>
      </c>
      <c r="O1868" s="8">
        <v>17505</v>
      </c>
      <c r="P1868" s="8">
        <f t="shared" si="192"/>
        <v>15754.5</v>
      </c>
      <c r="Q1868" s="12">
        <f t="shared" si="193"/>
        <v>33084.450000000004</v>
      </c>
      <c r="R1868" s="31">
        <f t="shared" si="194"/>
        <v>33000</v>
      </c>
      <c r="T1868" s="8">
        <v>17232</v>
      </c>
      <c r="V1868" s="8">
        <f t="shared" si="195"/>
        <v>15508.800000000001</v>
      </c>
      <c r="W1868" s="8">
        <f t="shared" si="196"/>
        <v>38772</v>
      </c>
    </row>
    <row r="1869" spans="1:23" ht="21.95" customHeight="1" x14ac:dyDescent="0.2">
      <c r="A1869" s="5" t="s">
        <v>17</v>
      </c>
      <c r="B1869" t="s">
        <v>1582</v>
      </c>
      <c r="C1869" t="s">
        <v>781</v>
      </c>
      <c r="D1869" s="6" t="s">
        <v>763</v>
      </c>
      <c r="E1869" s="6"/>
      <c r="K1869" s="7">
        <v>44006065</v>
      </c>
      <c r="L1869" s="5" t="str">
        <f t="shared" si="197"/>
        <v>AR GLORIA GİYİNME O. ÇİFTLİ ÇEKMECELİ CAM MODÜL</v>
      </c>
      <c r="M1869" s="8">
        <v>0.15</v>
      </c>
      <c r="N1869" s="8">
        <v>0.1</v>
      </c>
      <c r="O1869" s="8">
        <v>19310</v>
      </c>
      <c r="P1869" s="8">
        <f t="shared" si="192"/>
        <v>17379</v>
      </c>
      <c r="Q1869" s="12">
        <f t="shared" si="193"/>
        <v>36495.9</v>
      </c>
      <c r="R1869" s="31">
        <f t="shared" si="194"/>
        <v>36400</v>
      </c>
      <c r="T1869" s="8">
        <v>19693</v>
      </c>
      <c r="V1869" s="8">
        <f t="shared" si="195"/>
        <v>17723.7</v>
      </c>
      <c r="W1869" s="8">
        <f t="shared" si="196"/>
        <v>44309.25</v>
      </c>
    </row>
    <row r="1870" spans="1:23" ht="21.95" customHeight="1" x14ac:dyDescent="0.2">
      <c r="A1870" s="5" t="s">
        <v>17</v>
      </c>
      <c r="B1870" t="s">
        <v>1582</v>
      </c>
      <c r="C1870" t="s">
        <v>781</v>
      </c>
      <c r="D1870" s="6" t="s">
        <v>791</v>
      </c>
      <c r="E1870" s="6"/>
      <c r="K1870" s="7">
        <v>44006066</v>
      </c>
      <c r="L1870" s="5" t="str">
        <f t="shared" si="197"/>
        <v>AR GLORIA GİYİNME O. ÇİFTLİ ÇEKMECELİ PANJUR KAPAK M.</v>
      </c>
      <c r="M1870" s="8">
        <v>0.15</v>
      </c>
      <c r="N1870" s="8">
        <v>0.1</v>
      </c>
      <c r="O1870" s="8">
        <v>21350</v>
      </c>
      <c r="P1870" s="8">
        <f t="shared" si="192"/>
        <v>19215</v>
      </c>
      <c r="Q1870" s="12">
        <f t="shared" si="193"/>
        <v>40351.5</v>
      </c>
      <c r="R1870" s="31">
        <f t="shared" si="194"/>
        <v>40300</v>
      </c>
      <c r="T1870" s="8">
        <v>4943</v>
      </c>
      <c r="V1870" s="8">
        <f t="shared" si="195"/>
        <v>4448.7</v>
      </c>
      <c r="W1870" s="8">
        <f t="shared" si="196"/>
        <v>11121.75</v>
      </c>
    </row>
    <row r="1871" spans="1:23" ht="21.95" customHeight="1" x14ac:dyDescent="0.2">
      <c r="A1871" s="5" t="s">
        <v>17</v>
      </c>
      <c r="B1871" t="s">
        <v>1582</v>
      </c>
      <c r="C1871" t="s">
        <v>781</v>
      </c>
      <c r="D1871" s="6" t="s">
        <v>792</v>
      </c>
      <c r="E1871" s="6"/>
      <c r="K1871" s="7">
        <v>44006067</v>
      </c>
      <c r="L1871" s="5" t="str">
        <f t="shared" si="197"/>
        <v>AR GLORIA GİYİNME O. ÇİFTLİ BOY ASKILI PANJUR KAPAK M.</v>
      </c>
      <c r="M1871" s="8">
        <v>0.15</v>
      </c>
      <c r="N1871" s="8">
        <v>0.1</v>
      </c>
      <c r="O1871" s="8">
        <v>19550</v>
      </c>
      <c r="P1871" s="8">
        <f t="shared" si="192"/>
        <v>17595</v>
      </c>
      <c r="Q1871" s="12">
        <f t="shared" si="193"/>
        <v>36949.5</v>
      </c>
      <c r="R1871" s="31">
        <f t="shared" si="194"/>
        <v>36900</v>
      </c>
      <c r="T1871" s="8">
        <v>7910</v>
      </c>
      <c r="V1871" s="8">
        <f t="shared" si="195"/>
        <v>7119</v>
      </c>
      <c r="W1871" s="8">
        <f t="shared" si="196"/>
        <v>17797.5</v>
      </c>
    </row>
    <row r="1872" spans="1:23" ht="21.95" customHeight="1" x14ac:dyDescent="0.2">
      <c r="A1872" s="5" t="s">
        <v>17</v>
      </c>
      <c r="B1872" t="s">
        <v>1582</v>
      </c>
      <c r="C1872" t="s">
        <v>793</v>
      </c>
      <c r="D1872" s="6" t="s">
        <v>49</v>
      </c>
      <c r="E1872" s="6"/>
      <c r="K1872" s="7">
        <v>44006068</v>
      </c>
      <c r="L1872" s="5" t="str">
        <f t="shared" si="197"/>
        <v>AR TOKYO KONSOL</v>
      </c>
      <c r="M1872" s="8">
        <v>0.15</v>
      </c>
      <c r="N1872" s="8">
        <v>0.1</v>
      </c>
      <c r="O1872" s="8">
        <v>32245</v>
      </c>
      <c r="P1872" s="8">
        <f t="shared" si="192"/>
        <v>29020.5</v>
      </c>
      <c r="Q1872" s="12">
        <f t="shared" si="193"/>
        <v>60943.05</v>
      </c>
      <c r="R1872" s="31">
        <f t="shared" si="194"/>
        <v>60900</v>
      </c>
      <c r="T1872" s="8">
        <v>7910</v>
      </c>
      <c r="V1872" s="8">
        <f t="shared" si="195"/>
        <v>7119</v>
      </c>
      <c r="W1872" s="8">
        <f t="shared" si="196"/>
        <v>17797.5</v>
      </c>
    </row>
    <row r="1873" spans="1:23" ht="21.95" customHeight="1" x14ac:dyDescent="0.2">
      <c r="A1873" s="5" t="s">
        <v>17</v>
      </c>
      <c r="B1873" t="s">
        <v>1582</v>
      </c>
      <c r="C1873" t="s">
        <v>793</v>
      </c>
      <c r="D1873" s="6" t="s">
        <v>21</v>
      </c>
      <c r="E1873" s="6"/>
      <c r="K1873" s="7">
        <v>44006069</v>
      </c>
      <c r="L1873" s="5" t="str">
        <f t="shared" si="197"/>
        <v>AR TOKYO KONSOL AYNASI</v>
      </c>
      <c r="M1873" s="8">
        <v>0.15</v>
      </c>
      <c r="N1873" s="8">
        <v>0.1</v>
      </c>
      <c r="O1873" s="8">
        <v>5149</v>
      </c>
      <c r="P1873" s="8">
        <f t="shared" si="192"/>
        <v>4634.1000000000004</v>
      </c>
      <c r="Q1873" s="12">
        <f t="shared" si="193"/>
        <v>9731.61</v>
      </c>
      <c r="R1873" s="31">
        <f t="shared" si="194"/>
        <v>9700</v>
      </c>
      <c r="T1873" s="8">
        <v>16950</v>
      </c>
      <c r="V1873" s="8">
        <f t="shared" si="195"/>
        <v>15255</v>
      </c>
      <c r="W1873" s="8">
        <f t="shared" si="196"/>
        <v>38137.5</v>
      </c>
    </row>
    <row r="1874" spans="1:23" ht="21.95" customHeight="1" x14ac:dyDescent="0.2">
      <c r="A1874" s="5" t="s">
        <v>17</v>
      </c>
      <c r="B1874" t="s">
        <v>1582</v>
      </c>
      <c r="C1874" t="s">
        <v>793</v>
      </c>
      <c r="D1874" s="6" t="s">
        <v>599</v>
      </c>
      <c r="E1874" s="6"/>
      <c r="K1874" s="7">
        <v>44006070</v>
      </c>
      <c r="L1874" s="5" t="str">
        <f t="shared" si="197"/>
        <v>AR TOKYO MASA 210CM</v>
      </c>
      <c r="M1874" s="8">
        <v>0.15</v>
      </c>
      <c r="N1874" s="8">
        <v>0.1</v>
      </c>
      <c r="O1874" s="8">
        <v>19320</v>
      </c>
      <c r="P1874" s="8">
        <f t="shared" si="192"/>
        <v>17388</v>
      </c>
      <c r="Q1874" s="12">
        <f t="shared" si="193"/>
        <v>36514.800000000003</v>
      </c>
      <c r="R1874" s="31">
        <f t="shared" si="194"/>
        <v>36500</v>
      </c>
      <c r="T1874" s="8">
        <v>7800</v>
      </c>
      <c r="V1874" s="8">
        <f t="shared" si="195"/>
        <v>7020</v>
      </c>
      <c r="W1874" s="8">
        <f t="shared" si="196"/>
        <v>17550</v>
      </c>
    </row>
    <row r="1875" spans="1:23" ht="21.95" customHeight="1" x14ac:dyDescent="0.2">
      <c r="A1875" s="5" t="s">
        <v>17</v>
      </c>
      <c r="B1875" t="s">
        <v>1582</v>
      </c>
      <c r="C1875" t="s">
        <v>793</v>
      </c>
      <c r="D1875" s="6" t="s">
        <v>587</v>
      </c>
      <c r="E1875" s="6"/>
      <c r="K1875" s="7">
        <v>44006071</v>
      </c>
      <c r="L1875" s="5" t="str">
        <f t="shared" si="197"/>
        <v>AR TOKYO MASA 180CM</v>
      </c>
      <c r="M1875" s="8">
        <v>0.15</v>
      </c>
      <c r="N1875" s="8">
        <v>0.1</v>
      </c>
      <c r="O1875" s="8">
        <v>25116</v>
      </c>
      <c r="P1875" s="8">
        <f t="shared" si="192"/>
        <v>22604.400000000001</v>
      </c>
      <c r="Q1875" s="12">
        <f t="shared" si="193"/>
        <v>47469.240000000005</v>
      </c>
      <c r="R1875" s="31">
        <f t="shared" si="194"/>
        <v>47400</v>
      </c>
      <c r="T1875" s="8">
        <v>7800</v>
      </c>
      <c r="V1875" s="8">
        <f t="shared" si="195"/>
        <v>7020</v>
      </c>
      <c r="W1875" s="8">
        <f t="shared" si="196"/>
        <v>17550</v>
      </c>
    </row>
    <row r="1876" spans="1:23" ht="21.95" customHeight="1" x14ac:dyDescent="0.2">
      <c r="A1876" s="5" t="s">
        <v>17</v>
      </c>
      <c r="B1876" t="s">
        <v>1582</v>
      </c>
      <c r="C1876" t="s">
        <v>793</v>
      </c>
      <c r="D1876" s="6" t="s">
        <v>24</v>
      </c>
      <c r="E1876" s="6"/>
      <c r="K1876" s="7">
        <v>44006072</v>
      </c>
      <c r="L1876" s="5" t="str">
        <f t="shared" si="197"/>
        <v>AR TOKYO MASA 240CM</v>
      </c>
      <c r="M1876" s="8">
        <v>0.15</v>
      </c>
      <c r="N1876" s="8">
        <v>0.1</v>
      </c>
      <c r="O1876" s="8">
        <v>28704</v>
      </c>
      <c r="P1876" s="8">
        <f t="shared" si="192"/>
        <v>25833.600000000002</v>
      </c>
      <c r="Q1876" s="12">
        <f t="shared" si="193"/>
        <v>54250.560000000005</v>
      </c>
      <c r="R1876" s="31">
        <f t="shared" si="194"/>
        <v>54200</v>
      </c>
      <c r="T1876" s="8">
        <v>18045</v>
      </c>
      <c r="V1876" s="8">
        <f t="shared" si="195"/>
        <v>16240.5</v>
      </c>
      <c r="W1876" s="8">
        <f t="shared" si="196"/>
        <v>40601.25</v>
      </c>
    </row>
    <row r="1877" spans="1:23" ht="21.95" customHeight="1" x14ac:dyDescent="0.2">
      <c r="A1877" s="5" t="s">
        <v>17</v>
      </c>
      <c r="B1877" t="s">
        <v>1582</v>
      </c>
      <c r="C1877" t="s">
        <v>793</v>
      </c>
      <c r="D1877" s="6" t="s">
        <v>25</v>
      </c>
      <c r="E1877" s="6"/>
      <c r="K1877" s="7">
        <v>44006073</v>
      </c>
      <c r="L1877" s="5" t="str">
        <f t="shared" si="197"/>
        <v>AR TOKYO SANDALYE</v>
      </c>
      <c r="M1877" s="8">
        <v>0.15</v>
      </c>
      <c r="N1877" s="8">
        <v>0.1</v>
      </c>
      <c r="O1877" s="8">
        <v>4480</v>
      </c>
      <c r="P1877" s="8">
        <f t="shared" si="192"/>
        <v>4032</v>
      </c>
      <c r="Q1877" s="12">
        <f t="shared" si="193"/>
        <v>8467.2000000000007</v>
      </c>
      <c r="R1877" s="31">
        <f t="shared" si="194"/>
        <v>8400</v>
      </c>
      <c r="T1877" s="8">
        <v>9685</v>
      </c>
      <c r="V1877" s="8">
        <f t="shared" si="195"/>
        <v>8716.5</v>
      </c>
      <c r="W1877" s="8">
        <f t="shared" si="196"/>
        <v>21791.25</v>
      </c>
    </row>
    <row r="1878" spans="1:23" ht="21.95" customHeight="1" x14ac:dyDescent="0.2">
      <c r="A1878" s="5" t="s">
        <v>17</v>
      </c>
      <c r="B1878" t="s">
        <v>1582</v>
      </c>
      <c r="C1878" t="s">
        <v>793</v>
      </c>
      <c r="D1878" s="6" t="s">
        <v>709</v>
      </c>
      <c r="E1878" s="6"/>
      <c r="K1878" s="7">
        <v>44006074</v>
      </c>
      <c r="L1878" s="5" t="str">
        <f t="shared" si="197"/>
        <v>AR TOKYO SANDALYE DESENLİ</v>
      </c>
      <c r="M1878" s="8">
        <v>0.15</v>
      </c>
      <c r="N1878" s="8">
        <v>0.1</v>
      </c>
      <c r="O1878" s="8">
        <v>5008</v>
      </c>
      <c r="P1878" s="8">
        <f t="shared" si="192"/>
        <v>4507.2</v>
      </c>
      <c r="Q1878" s="12">
        <f t="shared" si="193"/>
        <v>9465.1200000000008</v>
      </c>
      <c r="R1878" s="31">
        <f t="shared" si="194"/>
        <v>9400</v>
      </c>
      <c r="T1878" s="8">
        <v>32800</v>
      </c>
      <c r="V1878" s="8">
        <f t="shared" si="195"/>
        <v>29520</v>
      </c>
      <c r="W1878" s="8">
        <f t="shared" si="196"/>
        <v>73800</v>
      </c>
    </row>
    <row r="1879" spans="1:23" ht="21.95" customHeight="1" x14ac:dyDescent="0.2">
      <c r="A1879" s="5" t="s">
        <v>17</v>
      </c>
      <c r="B1879" t="s">
        <v>1582</v>
      </c>
      <c r="C1879" t="s">
        <v>793</v>
      </c>
      <c r="D1879" s="6" t="s">
        <v>750</v>
      </c>
      <c r="E1879" s="6"/>
      <c r="K1879" s="7">
        <v>44006075</v>
      </c>
      <c r="L1879" s="5" t="str">
        <f t="shared" si="197"/>
        <v>AR TOKYO TV ÜNİTESİ ÜST PANO</v>
      </c>
      <c r="M1879" s="8">
        <v>0.15</v>
      </c>
      <c r="N1879" s="8">
        <v>0.1</v>
      </c>
      <c r="O1879" s="8">
        <v>3530</v>
      </c>
      <c r="P1879" s="8">
        <f t="shared" si="192"/>
        <v>3177</v>
      </c>
      <c r="Q1879" s="12">
        <f t="shared" si="193"/>
        <v>6671.7000000000007</v>
      </c>
      <c r="R1879" s="31">
        <f t="shared" si="194"/>
        <v>6600</v>
      </c>
      <c r="T1879" s="8">
        <v>33160</v>
      </c>
      <c r="V1879" s="8">
        <f t="shared" si="195"/>
        <v>29844</v>
      </c>
      <c r="W1879" s="8">
        <f t="shared" si="196"/>
        <v>74610</v>
      </c>
    </row>
    <row r="1880" spans="1:23" ht="21.95" customHeight="1" x14ac:dyDescent="0.2">
      <c r="A1880" s="5" t="s">
        <v>17</v>
      </c>
      <c r="B1880" t="s">
        <v>1582</v>
      </c>
      <c r="C1880" t="s">
        <v>793</v>
      </c>
      <c r="D1880" s="6" t="s">
        <v>496</v>
      </c>
      <c r="E1880" s="6"/>
      <c r="K1880" s="7">
        <v>44006076</v>
      </c>
      <c r="L1880" s="5" t="str">
        <f t="shared" si="197"/>
        <v>AR TOKYO TV ÜNİTESİ ALT MODÜL</v>
      </c>
      <c r="M1880" s="8">
        <v>0.15</v>
      </c>
      <c r="N1880" s="8">
        <v>0.1</v>
      </c>
      <c r="O1880" s="8">
        <v>28450</v>
      </c>
      <c r="P1880" s="8">
        <f t="shared" si="192"/>
        <v>25605</v>
      </c>
      <c r="Q1880" s="12">
        <f t="shared" si="193"/>
        <v>53770.5</v>
      </c>
      <c r="R1880" s="31">
        <f t="shared" si="194"/>
        <v>53700</v>
      </c>
      <c r="T1880" s="8">
        <v>29280</v>
      </c>
      <c r="V1880" s="8">
        <f t="shared" si="195"/>
        <v>26352</v>
      </c>
      <c r="W1880" s="8">
        <f t="shared" si="196"/>
        <v>65880</v>
      </c>
    </row>
    <row r="1881" spans="1:23" ht="21.95" customHeight="1" x14ac:dyDescent="0.2">
      <c r="A1881" s="5" t="s">
        <v>17</v>
      </c>
      <c r="B1881" t="s">
        <v>1582</v>
      </c>
      <c r="C1881" t="s">
        <v>793</v>
      </c>
      <c r="D1881" s="6" t="s">
        <v>660</v>
      </c>
      <c r="E1881" s="6"/>
      <c r="K1881" s="7">
        <v>44006077</v>
      </c>
      <c r="L1881" s="5" t="str">
        <f t="shared" si="197"/>
        <v xml:space="preserve">AR TOKYO ORTA SEHPA </v>
      </c>
      <c r="M1881" s="8">
        <v>0.15</v>
      </c>
      <c r="N1881" s="8">
        <v>0.1</v>
      </c>
      <c r="O1881" s="8">
        <v>20800</v>
      </c>
      <c r="P1881" s="8">
        <f t="shared" si="192"/>
        <v>18720</v>
      </c>
      <c r="Q1881" s="12">
        <f t="shared" si="193"/>
        <v>39312</v>
      </c>
      <c r="R1881" s="31">
        <f t="shared" si="194"/>
        <v>39300</v>
      </c>
      <c r="T1881" s="8">
        <v>29010</v>
      </c>
      <c r="V1881" s="8">
        <f t="shared" si="195"/>
        <v>26109</v>
      </c>
      <c r="W1881" s="8">
        <f t="shared" si="196"/>
        <v>65272.5</v>
      </c>
    </row>
    <row r="1882" spans="1:23" ht="21.95" customHeight="1" x14ac:dyDescent="0.2">
      <c r="A1882" s="5" t="s">
        <v>17</v>
      </c>
      <c r="B1882" t="s">
        <v>1582</v>
      </c>
      <c r="C1882" t="s">
        <v>793</v>
      </c>
      <c r="D1882" s="6" t="s">
        <v>30</v>
      </c>
      <c r="E1882" s="6"/>
      <c r="K1882" s="7">
        <v>44006078</v>
      </c>
      <c r="L1882" s="5" t="str">
        <f t="shared" si="197"/>
        <v>AR TOKYO YAN SEHPA</v>
      </c>
      <c r="M1882" s="8">
        <v>0.15</v>
      </c>
      <c r="N1882" s="8">
        <v>0.1</v>
      </c>
      <c r="O1882" s="8">
        <v>10720</v>
      </c>
      <c r="P1882" s="8">
        <f t="shared" si="192"/>
        <v>9648</v>
      </c>
      <c r="Q1882" s="12">
        <f t="shared" si="193"/>
        <v>20260.8</v>
      </c>
      <c r="R1882" s="31">
        <f t="shared" si="194"/>
        <v>20200</v>
      </c>
      <c r="T1882" s="8">
        <v>13165</v>
      </c>
      <c r="V1882" s="8">
        <f t="shared" si="195"/>
        <v>11848.5</v>
      </c>
      <c r="W1882" s="8">
        <f t="shared" si="196"/>
        <v>29621.25</v>
      </c>
    </row>
    <row r="1883" spans="1:23" ht="21.95" customHeight="1" x14ac:dyDescent="0.2">
      <c r="A1883" s="5" t="s">
        <v>17</v>
      </c>
      <c r="B1883" t="s">
        <v>1582</v>
      </c>
      <c r="C1883" t="s">
        <v>793</v>
      </c>
      <c r="D1883" s="6" t="s">
        <v>794</v>
      </c>
      <c r="E1883" s="6"/>
      <c r="K1883" s="7">
        <v>44006079</v>
      </c>
      <c r="L1883" s="5" t="str">
        <f t="shared" si="197"/>
        <v>AR TOKYO KOLTUK 4 LÜ DESENLİ</v>
      </c>
      <c r="M1883" s="8">
        <v>0.15</v>
      </c>
      <c r="N1883" s="8">
        <v>0.1</v>
      </c>
      <c r="O1883" s="8">
        <v>37260</v>
      </c>
      <c r="P1883" s="8">
        <f t="shared" si="192"/>
        <v>33534</v>
      </c>
      <c r="Q1883" s="12">
        <f t="shared" si="193"/>
        <v>70421.400000000009</v>
      </c>
      <c r="R1883" s="31">
        <f t="shared" si="194"/>
        <v>70400</v>
      </c>
      <c r="T1883" s="8">
        <v>20240</v>
      </c>
      <c r="V1883" s="8">
        <f t="shared" si="195"/>
        <v>18216</v>
      </c>
      <c r="W1883" s="8">
        <f t="shared" si="196"/>
        <v>45540</v>
      </c>
    </row>
    <row r="1884" spans="1:23" ht="21.95" customHeight="1" x14ac:dyDescent="0.2">
      <c r="A1884" s="5" t="s">
        <v>17</v>
      </c>
      <c r="B1884" t="s">
        <v>1582</v>
      </c>
      <c r="C1884" t="s">
        <v>793</v>
      </c>
      <c r="D1884" s="6" t="s">
        <v>795</v>
      </c>
      <c r="E1884" s="6"/>
      <c r="K1884" s="7">
        <v>44006080</v>
      </c>
      <c r="L1884" s="5" t="str">
        <f t="shared" si="197"/>
        <v>AR TOKYO KOLTUK 4 LÜ AYNALI</v>
      </c>
      <c r="M1884" s="8">
        <v>0.15</v>
      </c>
      <c r="N1884" s="8">
        <v>0.1</v>
      </c>
      <c r="O1884" s="8">
        <v>35505</v>
      </c>
      <c r="P1884" s="8">
        <f t="shared" si="192"/>
        <v>31954.5</v>
      </c>
      <c r="Q1884" s="12">
        <f t="shared" si="193"/>
        <v>67104.45</v>
      </c>
      <c r="R1884" s="31">
        <f t="shared" si="194"/>
        <v>67100</v>
      </c>
      <c r="T1884" s="8">
        <v>24840</v>
      </c>
      <c r="V1884" s="8">
        <f t="shared" si="195"/>
        <v>22356</v>
      </c>
      <c r="W1884" s="8">
        <f t="shared" si="196"/>
        <v>55890</v>
      </c>
    </row>
    <row r="1885" spans="1:23" ht="21.95" customHeight="1" x14ac:dyDescent="0.2">
      <c r="A1885" s="5" t="s">
        <v>17</v>
      </c>
      <c r="B1885" t="s">
        <v>1582</v>
      </c>
      <c r="C1885" t="s">
        <v>793</v>
      </c>
      <c r="D1885" s="6" t="s">
        <v>796</v>
      </c>
      <c r="E1885" s="6"/>
      <c r="K1885" s="7">
        <v>44006081</v>
      </c>
      <c r="L1885" s="5" t="str">
        <f t="shared" si="197"/>
        <v>AR TOKYO KOLTUK 3 LÜ AYNALI</v>
      </c>
      <c r="M1885" s="8">
        <v>0.15</v>
      </c>
      <c r="N1885" s="8">
        <v>0.1</v>
      </c>
      <c r="O1885" s="8">
        <v>32715</v>
      </c>
      <c r="P1885" s="8">
        <f t="shared" si="192"/>
        <v>29443.5</v>
      </c>
      <c r="Q1885" s="12">
        <f t="shared" si="193"/>
        <v>61831.350000000006</v>
      </c>
      <c r="R1885" s="31">
        <f t="shared" si="194"/>
        <v>61800</v>
      </c>
      <c r="T1885" s="8">
        <v>27340</v>
      </c>
      <c r="V1885" s="8">
        <f t="shared" si="195"/>
        <v>24606</v>
      </c>
      <c r="W1885" s="8">
        <f t="shared" si="196"/>
        <v>61515</v>
      </c>
    </row>
    <row r="1886" spans="1:23" ht="21.95" customHeight="1" x14ac:dyDescent="0.2">
      <c r="A1886" s="5" t="s">
        <v>17</v>
      </c>
      <c r="B1886" t="s">
        <v>1582</v>
      </c>
      <c r="C1886" t="s">
        <v>793</v>
      </c>
      <c r="D1886" s="6" t="s">
        <v>797</v>
      </c>
      <c r="E1886" s="6"/>
      <c r="K1886" s="7">
        <v>44006082</v>
      </c>
      <c r="L1886" s="5" t="str">
        <f t="shared" si="197"/>
        <v>AR TOKYO KOLTUK 3 LÜ DESENLİ</v>
      </c>
      <c r="M1886" s="8">
        <v>0.15</v>
      </c>
      <c r="N1886" s="8">
        <v>0.1</v>
      </c>
      <c r="O1886" s="8">
        <v>33565</v>
      </c>
      <c r="P1886" s="8">
        <f t="shared" si="192"/>
        <v>30208.5</v>
      </c>
      <c r="Q1886" s="12">
        <f t="shared" si="193"/>
        <v>63437.850000000006</v>
      </c>
      <c r="R1886" s="31">
        <f t="shared" si="194"/>
        <v>63400</v>
      </c>
      <c r="T1886" s="8">
        <v>22740</v>
      </c>
      <c r="V1886" s="8">
        <f t="shared" si="195"/>
        <v>20466</v>
      </c>
      <c r="W1886" s="8">
        <f t="shared" si="196"/>
        <v>51165</v>
      </c>
    </row>
    <row r="1887" spans="1:23" ht="21.95" customHeight="1" x14ac:dyDescent="0.2">
      <c r="A1887" s="5" t="s">
        <v>17</v>
      </c>
      <c r="B1887" t="s">
        <v>1582</v>
      </c>
      <c r="C1887" t="s">
        <v>793</v>
      </c>
      <c r="D1887" s="6" t="s">
        <v>592</v>
      </c>
      <c r="E1887" s="6"/>
      <c r="K1887" s="7">
        <v>44006083</v>
      </c>
      <c r="L1887" s="5" t="str">
        <f t="shared" si="197"/>
        <v>AR TOKYO KOLTUK TEKLİ</v>
      </c>
      <c r="M1887" s="8">
        <v>0.15</v>
      </c>
      <c r="N1887" s="8">
        <v>0.1</v>
      </c>
      <c r="O1887" s="8">
        <v>13885</v>
      </c>
      <c r="P1887" s="8">
        <f t="shared" si="192"/>
        <v>12496.5</v>
      </c>
      <c r="Q1887" s="12">
        <f t="shared" si="193"/>
        <v>26242.65</v>
      </c>
      <c r="R1887" s="31">
        <f t="shared" si="194"/>
        <v>26200</v>
      </c>
      <c r="T1887" s="8">
        <v>5905</v>
      </c>
      <c r="V1887" s="8">
        <f t="shared" si="195"/>
        <v>5314.5</v>
      </c>
      <c r="W1887" s="8">
        <f t="shared" si="196"/>
        <v>13286.25</v>
      </c>
    </row>
    <row r="1888" spans="1:23" ht="21.95" customHeight="1" x14ac:dyDescent="0.2">
      <c r="A1888" s="5" t="s">
        <v>17</v>
      </c>
      <c r="B1888" t="s">
        <v>1582</v>
      </c>
      <c r="C1888" t="s">
        <v>793</v>
      </c>
      <c r="D1888" s="6" t="s">
        <v>727</v>
      </c>
      <c r="E1888" s="6"/>
      <c r="K1888" s="7">
        <v>44006084</v>
      </c>
      <c r="L1888" s="5" t="str">
        <f t="shared" si="197"/>
        <v>AR TOKYO KARYOLA İÇ KAYITLI 160CM PANOLU</v>
      </c>
      <c r="M1888" s="8">
        <v>0.15</v>
      </c>
      <c r="N1888" s="8">
        <v>0.1</v>
      </c>
      <c r="O1888" s="8">
        <v>28270</v>
      </c>
      <c r="P1888" s="8">
        <f t="shared" si="192"/>
        <v>25443</v>
      </c>
      <c r="Q1888" s="12">
        <f t="shared" si="193"/>
        <v>53430.3</v>
      </c>
      <c r="R1888" s="31">
        <f t="shared" si="194"/>
        <v>53400</v>
      </c>
      <c r="T1888" s="8">
        <v>36325</v>
      </c>
      <c r="V1888" s="8">
        <f t="shared" si="195"/>
        <v>32692.5</v>
      </c>
      <c r="W1888" s="8">
        <f t="shared" si="196"/>
        <v>81731.25</v>
      </c>
    </row>
    <row r="1889" spans="1:23" ht="21.95" customHeight="1" x14ac:dyDescent="0.2">
      <c r="A1889" s="5" t="s">
        <v>17</v>
      </c>
      <c r="B1889" t="s">
        <v>1582</v>
      </c>
      <c r="C1889" t="s">
        <v>793</v>
      </c>
      <c r="D1889" s="6" t="s">
        <v>726</v>
      </c>
      <c r="E1889" s="6"/>
      <c r="K1889" s="7">
        <v>44006085</v>
      </c>
      <c r="L1889" s="5" t="str">
        <f t="shared" si="197"/>
        <v>AR TOKYO KARYOLA İÇ KAYITLI 160CM PANOSUZ</v>
      </c>
      <c r="M1889" s="8">
        <v>0.15</v>
      </c>
      <c r="N1889" s="8">
        <v>0.1</v>
      </c>
      <c r="O1889" s="8">
        <v>23745</v>
      </c>
      <c r="P1889" s="8">
        <f t="shared" si="192"/>
        <v>21370.5</v>
      </c>
      <c r="Q1889" s="12">
        <f t="shared" si="193"/>
        <v>44878.05</v>
      </c>
      <c r="R1889" s="31">
        <f t="shared" si="194"/>
        <v>44800</v>
      </c>
      <c r="T1889" s="8">
        <v>32365</v>
      </c>
      <c r="V1889" s="8">
        <f t="shared" si="195"/>
        <v>29128.5</v>
      </c>
      <c r="W1889" s="8">
        <f t="shared" si="196"/>
        <v>72821.25</v>
      </c>
    </row>
    <row r="1890" spans="1:23" ht="21.95" customHeight="1" x14ac:dyDescent="0.2">
      <c r="A1890" s="5" t="s">
        <v>17</v>
      </c>
      <c r="B1890" t="s">
        <v>1582</v>
      </c>
      <c r="C1890" t="s">
        <v>793</v>
      </c>
      <c r="D1890" s="6" t="s">
        <v>728</v>
      </c>
      <c r="E1890" s="6"/>
      <c r="K1890" s="7">
        <v>44006086</v>
      </c>
      <c r="L1890" s="5" t="str">
        <f t="shared" si="197"/>
        <v>AR TOKYO KARYOLA BAZALI 160CM PANOLU</v>
      </c>
      <c r="M1890" s="8">
        <v>0.15</v>
      </c>
      <c r="N1890" s="8">
        <v>0.1</v>
      </c>
      <c r="O1890" s="8">
        <v>32870</v>
      </c>
      <c r="P1890" s="8">
        <f t="shared" si="192"/>
        <v>29583</v>
      </c>
      <c r="Q1890" s="12">
        <f t="shared" si="193"/>
        <v>62124.3</v>
      </c>
      <c r="R1890" s="31">
        <f t="shared" si="194"/>
        <v>62100</v>
      </c>
      <c r="T1890" s="8">
        <v>17915</v>
      </c>
      <c r="V1890" s="8">
        <f t="shared" si="195"/>
        <v>16123.5</v>
      </c>
      <c r="W1890" s="8">
        <f t="shared" si="196"/>
        <v>40308.75</v>
      </c>
    </row>
    <row r="1891" spans="1:23" ht="21.95" customHeight="1" x14ac:dyDescent="0.2">
      <c r="A1891" s="5" t="s">
        <v>17</v>
      </c>
      <c r="B1891" t="s">
        <v>1582</v>
      </c>
      <c r="C1891" t="s">
        <v>793</v>
      </c>
      <c r="D1891" s="6" t="s">
        <v>798</v>
      </c>
      <c r="E1891" s="6"/>
      <c r="K1891" s="7">
        <v>44006087</v>
      </c>
      <c r="L1891" s="5" t="str">
        <f t="shared" si="197"/>
        <v>AR TOKYO KARYOLA BAZALI 160 PANOSUZ</v>
      </c>
      <c r="M1891" s="8">
        <v>0.15</v>
      </c>
      <c r="N1891" s="8">
        <v>0.1</v>
      </c>
      <c r="O1891" s="8">
        <v>28345</v>
      </c>
      <c r="P1891" s="8">
        <f t="shared" si="192"/>
        <v>25510.5</v>
      </c>
      <c r="Q1891" s="12">
        <f t="shared" si="193"/>
        <v>53572.05</v>
      </c>
      <c r="R1891" s="31">
        <f t="shared" si="194"/>
        <v>53500</v>
      </c>
      <c r="T1891" s="8">
        <v>9485</v>
      </c>
      <c r="V1891" s="8">
        <f t="shared" si="195"/>
        <v>8536.5</v>
      </c>
      <c r="W1891" s="8">
        <f t="shared" si="196"/>
        <v>21341.25</v>
      </c>
    </row>
    <row r="1892" spans="1:23" ht="21.95" customHeight="1" x14ac:dyDescent="0.2">
      <c r="A1892" s="5" t="s">
        <v>17</v>
      </c>
      <c r="B1892" t="s">
        <v>1582</v>
      </c>
      <c r="C1892" t="s">
        <v>793</v>
      </c>
      <c r="D1892" s="6" t="s">
        <v>730</v>
      </c>
      <c r="E1892" s="6"/>
      <c r="K1892" s="7">
        <v>44006088</v>
      </c>
      <c r="L1892" s="5" t="str">
        <f t="shared" si="197"/>
        <v>AR TOKYO KARYOLA BAZALI 180CM PANOLU</v>
      </c>
      <c r="M1892" s="8">
        <v>0.15</v>
      </c>
      <c r="N1892" s="8">
        <v>0.1</v>
      </c>
      <c r="O1892" s="8">
        <v>35370</v>
      </c>
      <c r="P1892" s="8">
        <f t="shared" si="192"/>
        <v>31833</v>
      </c>
      <c r="Q1892" s="12">
        <f t="shared" si="193"/>
        <v>66849.3</v>
      </c>
      <c r="R1892" s="31">
        <f t="shared" si="194"/>
        <v>66800</v>
      </c>
      <c r="T1892" s="8">
        <v>4775</v>
      </c>
      <c r="V1892" s="8">
        <f t="shared" si="195"/>
        <v>4297.5</v>
      </c>
      <c r="W1892" s="8">
        <f t="shared" si="196"/>
        <v>10743.75</v>
      </c>
    </row>
    <row r="1893" spans="1:23" ht="21.95" customHeight="1" x14ac:dyDescent="0.2">
      <c r="A1893" s="5" t="s">
        <v>17</v>
      </c>
      <c r="B1893" t="s">
        <v>1582</v>
      </c>
      <c r="C1893" t="s">
        <v>793</v>
      </c>
      <c r="D1893" s="6" t="s">
        <v>731</v>
      </c>
      <c r="E1893" s="6"/>
      <c r="K1893" s="7">
        <v>44006089</v>
      </c>
      <c r="L1893" s="5" t="str">
        <f t="shared" si="197"/>
        <v>AR TOKYO KARYOLA BAZALI 180CM PANOSUZ</v>
      </c>
      <c r="M1893" s="8">
        <v>0.15</v>
      </c>
      <c r="N1893" s="8">
        <v>0.1</v>
      </c>
      <c r="O1893" s="8">
        <v>30845</v>
      </c>
      <c r="P1893" s="8">
        <f t="shared" si="192"/>
        <v>27760.5</v>
      </c>
      <c r="Q1893" s="12">
        <f t="shared" si="193"/>
        <v>58297.05</v>
      </c>
      <c r="R1893" s="31">
        <f t="shared" si="194"/>
        <v>58200</v>
      </c>
      <c r="T1893" s="8">
        <v>3170</v>
      </c>
      <c r="V1893" s="8">
        <f t="shared" si="195"/>
        <v>2853</v>
      </c>
      <c r="W1893" s="8">
        <f t="shared" si="196"/>
        <v>7132.5</v>
      </c>
    </row>
    <row r="1894" spans="1:23" ht="21.95" customHeight="1" x14ac:dyDescent="0.2">
      <c r="A1894" s="5" t="s">
        <v>17</v>
      </c>
      <c r="B1894" t="s">
        <v>1582</v>
      </c>
      <c r="C1894" t="s">
        <v>793</v>
      </c>
      <c r="D1894" s="6" t="s">
        <v>732</v>
      </c>
      <c r="E1894" s="6"/>
      <c r="K1894" s="7">
        <v>44006090</v>
      </c>
      <c r="L1894" s="5" t="str">
        <f t="shared" si="197"/>
        <v>AR TOKYO KARYOLA İÇ KAYITLI 180CM PANOLU</v>
      </c>
      <c r="M1894" s="8">
        <v>0.15</v>
      </c>
      <c r="N1894" s="8">
        <v>0.1</v>
      </c>
      <c r="O1894" s="8">
        <v>30770</v>
      </c>
      <c r="P1894" s="8">
        <f t="shared" si="192"/>
        <v>27693</v>
      </c>
      <c r="Q1894" s="12">
        <f t="shared" si="193"/>
        <v>58155.3</v>
      </c>
      <c r="R1894" s="31">
        <f t="shared" si="194"/>
        <v>58100</v>
      </c>
      <c r="T1894" s="8">
        <v>24905</v>
      </c>
      <c r="V1894" s="8">
        <f t="shared" si="195"/>
        <v>22414.5</v>
      </c>
      <c r="W1894" s="8">
        <f t="shared" si="196"/>
        <v>56036.25</v>
      </c>
    </row>
    <row r="1895" spans="1:23" ht="21.95" customHeight="1" x14ac:dyDescent="0.2">
      <c r="A1895" s="5" t="s">
        <v>17</v>
      </c>
      <c r="B1895" t="s">
        <v>1582</v>
      </c>
      <c r="C1895" t="s">
        <v>793</v>
      </c>
      <c r="D1895" s="6" t="s">
        <v>733</v>
      </c>
      <c r="E1895" s="6"/>
      <c r="K1895" s="7">
        <v>44006091</v>
      </c>
      <c r="L1895" s="5" t="str">
        <f t="shared" si="197"/>
        <v>AR TOKYO KARYOLA İÇ KAYITLI 180CM PANOSUZ</v>
      </c>
      <c r="M1895" s="8">
        <v>0.15</v>
      </c>
      <c r="N1895" s="8">
        <v>0.1</v>
      </c>
      <c r="O1895" s="8">
        <v>26245</v>
      </c>
      <c r="P1895" s="8">
        <f t="shared" si="192"/>
        <v>23620.5</v>
      </c>
      <c r="Q1895" s="12">
        <f t="shared" si="193"/>
        <v>49603.05</v>
      </c>
      <c r="R1895" s="31">
        <f t="shared" si="194"/>
        <v>49600</v>
      </c>
      <c r="T1895" s="8">
        <v>4163</v>
      </c>
      <c r="V1895" s="8">
        <f t="shared" si="195"/>
        <v>3746.7000000000003</v>
      </c>
      <c r="W1895" s="8">
        <f t="shared" si="196"/>
        <v>9366.75</v>
      </c>
    </row>
    <row r="1896" spans="1:23" ht="21.95" customHeight="1" x14ac:dyDescent="0.2">
      <c r="A1896" s="5" t="s">
        <v>17</v>
      </c>
      <c r="B1896" t="s">
        <v>1582</v>
      </c>
      <c r="C1896" t="s">
        <v>793</v>
      </c>
      <c r="D1896" s="6" t="s">
        <v>799</v>
      </c>
      <c r="E1896" s="6"/>
      <c r="K1896" s="7">
        <v>44006092</v>
      </c>
      <c r="L1896" s="5" t="str">
        <f t="shared" si="197"/>
        <v>AR TOKYO KARYOLA DÖŞEMELİ PANO 2 ADET SAĞ-SOL</v>
      </c>
      <c r="M1896" s="8">
        <v>0.15</v>
      </c>
      <c r="N1896" s="8">
        <v>0.1</v>
      </c>
      <c r="O1896" s="8">
        <v>4525</v>
      </c>
      <c r="P1896" s="8">
        <f t="shared" si="192"/>
        <v>4072.5</v>
      </c>
      <c r="Q1896" s="12">
        <f t="shared" si="193"/>
        <v>8552.25</v>
      </c>
      <c r="R1896" s="31">
        <f t="shared" si="194"/>
        <v>8500</v>
      </c>
      <c r="T1896" s="8">
        <v>12875</v>
      </c>
      <c r="V1896" s="8">
        <f t="shared" si="195"/>
        <v>11587.5</v>
      </c>
      <c r="W1896" s="8">
        <f t="shared" si="196"/>
        <v>28968.75</v>
      </c>
    </row>
    <row r="1897" spans="1:23" ht="21.95" customHeight="1" x14ac:dyDescent="0.2">
      <c r="A1897" s="5" t="s">
        <v>17</v>
      </c>
      <c r="B1897" t="s">
        <v>1582</v>
      </c>
      <c r="C1897" t="s">
        <v>793</v>
      </c>
      <c r="D1897" s="6" t="s">
        <v>362</v>
      </c>
      <c r="E1897" s="6"/>
      <c r="K1897" s="7">
        <v>44006093</v>
      </c>
      <c r="L1897" s="5" t="str">
        <f t="shared" si="197"/>
        <v>AR TOKYO KOMODİN</v>
      </c>
      <c r="M1897" s="8">
        <v>0.15</v>
      </c>
      <c r="N1897" s="8">
        <v>0.1</v>
      </c>
      <c r="O1897" s="8">
        <v>5840</v>
      </c>
      <c r="P1897" s="8">
        <f t="shared" si="192"/>
        <v>5256</v>
      </c>
      <c r="Q1897" s="12">
        <f t="shared" si="193"/>
        <v>11037.6</v>
      </c>
      <c r="R1897" s="31">
        <f t="shared" si="194"/>
        <v>11000</v>
      </c>
      <c r="T1897" s="8">
        <v>16738</v>
      </c>
      <c r="V1897" s="8">
        <f t="shared" si="195"/>
        <v>15064.2</v>
      </c>
      <c r="W1897" s="8">
        <f t="shared" si="196"/>
        <v>37660.5</v>
      </c>
    </row>
    <row r="1898" spans="1:23" ht="21.95" customHeight="1" x14ac:dyDescent="0.2">
      <c r="A1898" s="5" t="s">
        <v>17</v>
      </c>
      <c r="B1898" t="s">
        <v>1582</v>
      </c>
      <c r="C1898" t="s">
        <v>793</v>
      </c>
      <c r="D1898" s="6" t="s">
        <v>361</v>
      </c>
      <c r="E1898" s="6"/>
      <c r="K1898" s="7">
        <v>44006094</v>
      </c>
      <c r="L1898" s="5" t="str">
        <f t="shared" si="197"/>
        <v>AR TOKYO DOLAP</v>
      </c>
      <c r="M1898" s="8">
        <v>0.15</v>
      </c>
      <c r="N1898" s="8">
        <v>0.1</v>
      </c>
      <c r="O1898" s="8">
        <v>44665</v>
      </c>
      <c r="P1898" s="8">
        <f t="shared" si="192"/>
        <v>40198.5</v>
      </c>
      <c r="Q1898" s="12">
        <f t="shared" si="193"/>
        <v>84416.85</v>
      </c>
      <c r="R1898" s="31">
        <f t="shared" si="194"/>
        <v>84400</v>
      </c>
      <c r="T1898" s="8">
        <v>19129</v>
      </c>
      <c r="V1898" s="8">
        <f t="shared" si="195"/>
        <v>17216.100000000002</v>
      </c>
      <c r="W1898" s="8">
        <f t="shared" si="196"/>
        <v>43040.250000000007</v>
      </c>
    </row>
    <row r="1899" spans="1:23" ht="21.95" customHeight="1" x14ac:dyDescent="0.2">
      <c r="A1899" s="5" t="s">
        <v>17</v>
      </c>
      <c r="B1899" t="s">
        <v>1582</v>
      </c>
      <c r="C1899" t="s">
        <v>793</v>
      </c>
      <c r="D1899" s="6" t="s">
        <v>595</v>
      </c>
      <c r="E1899" s="6"/>
      <c r="K1899" s="7">
        <v>44006095</v>
      </c>
      <c r="L1899" s="5" t="str">
        <f t="shared" si="197"/>
        <v>AR TOKYO ŞİFONYER &amp; AYNASI</v>
      </c>
      <c r="M1899" s="8">
        <v>0.15</v>
      </c>
      <c r="N1899" s="8">
        <v>0.1</v>
      </c>
      <c r="O1899" s="8">
        <v>22660</v>
      </c>
      <c r="P1899" s="8">
        <f t="shared" si="192"/>
        <v>20394</v>
      </c>
      <c r="Q1899" s="12">
        <f t="shared" si="193"/>
        <v>42827.4</v>
      </c>
      <c r="R1899" s="31">
        <f t="shared" si="194"/>
        <v>42800</v>
      </c>
      <c r="T1899" s="8">
        <v>4427</v>
      </c>
      <c r="V1899" s="8">
        <f t="shared" si="195"/>
        <v>3984.3</v>
      </c>
      <c r="W1899" s="8">
        <f t="shared" si="196"/>
        <v>9960.75</v>
      </c>
    </row>
    <row r="1900" spans="1:23" ht="21.95" customHeight="1" x14ac:dyDescent="0.2">
      <c r="A1900" s="5" t="s">
        <v>17</v>
      </c>
      <c r="B1900" t="s">
        <v>1582</v>
      </c>
      <c r="C1900" t="s">
        <v>793</v>
      </c>
      <c r="D1900" s="6" t="s">
        <v>126</v>
      </c>
      <c r="E1900" s="6"/>
      <c r="K1900" s="7">
        <v>44006096</v>
      </c>
      <c r="L1900" s="5" t="str">
        <f t="shared" si="197"/>
        <v>AR TOKYO ÇAMAŞIRLIK</v>
      </c>
      <c r="M1900" s="8">
        <v>0.15</v>
      </c>
      <c r="N1900" s="8">
        <v>0.1</v>
      </c>
      <c r="O1900" s="8">
        <v>12105</v>
      </c>
      <c r="P1900" s="8">
        <f t="shared" si="192"/>
        <v>10894.5</v>
      </c>
      <c r="Q1900" s="12">
        <f t="shared" si="193"/>
        <v>22878.45</v>
      </c>
      <c r="R1900" s="31">
        <f t="shared" si="194"/>
        <v>22800</v>
      </c>
      <c r="T1900" s="8">
        <v>2695</v>
      </c>
      <c r="V1900" s="8">
        <f t="shared" si="195"/>
        <v>2425.5</v>
      </c>
      <c r="W1900" s="8">
        <f t="shared" si="196"/>
        <v>6063.75</v>
      </c>
    </row>
    <row r="1901" spans="1:23" ht="21.95" customHeight="1" x14ac:dyDescent="0.2">
      <c r="A1901" s="5" t="s">
        <v>17</v>
      </c>
      <c r="B1901" t="s">
        <v>1582</v>
      </c>
      <c r="C1901" t="s">
        <v>793</v>
      </c>
      <c r="D1901" s="6" t="s">
        <v>82</v>
      </c>
      <c r="E1901" s="6"/>
      <c r="K1901" s="7">
        <v>44006097</v>
      </c>
      <c r="L1901" s="5" t="str">
        <f t="shared" si="197"/>
        <v>AR TOKYO BOY AYNASI</v>
      </c>
      <c r="M1901" s="8">
        <v>0.15</v>
      </c>
      <c r="N1901" s="8">
        <v>0.1</v>
      </c>
      <c r="O1901" s="8">
        <v>4305</v>
      </c>
      <c r="P1901" s="8">
        <f t="shared" si="192"/>
        <v>3874.5</v>
      </c>
      <c r="Q1901" s="12">
        <f t="shared" si="193"/>
        <v>8136.4500000000007</v>
      </c>
      <c r="R1901" s="31">
        <f t="shared" si="194"/>
        <v>8100</v>
      </c>
      <c r="T1901" s="8">
        <v>25995</v>
      </c>
      <c r="V1901" s="8">
        <f t="shared" si="195"/>
        <v>23395.5</v>
      </c>
      <c r="W1901" s="8">
        <f t="shared" si="196"/>
        <v>58488.75</v>
      </c>
    </row>
    <row r="1902" spans="1:23" ht="21.95" customHeight="1" x14ac:dyDescent="0.2">
      <c r="A1902" s="5" t="s">
        <v>17</v>
      </c>
      <c r="B1902" t="s">
        <v>1582</v>
      </c>
      <c r="C1902" t="s">
        <v>793</v>
      </c>
      <c r="D1902" s="6" t="s">
        <v>119</v>
      </c>
      <c r="E1902" s="6"/>
      <c r="K1902" s="7">
        <v>44006098</v>
      </c>
      <c r="L1902" s="5" t="str">
        <f t="shared" si="197"/>
        <v>AR TOKYO PUF</v>
      </c>
      <c r="M1902" s="8">
        <v>0.15</v>
      </c>
      <c r="N1902" s="8">
        <v>0.1</v>
      </c>
      <c r="O1902" s="8">
        <v>2990</v>
      </c>
      <c r="P1902" s="8">
        <f t="shared" si="192"/>
        <v>2691</v>
      </c>
      <c r="Q1902" s="12">
        <f t="shared" si="193"/>
        <v>5651.1</v>
      </c>
      <c r="R1902" s="31">
        <f t="shared" si="194"/>
        <v>5600</v>
      </c>
      <c r="T1902" s="8">
        <v>14965</v>
      </c>
      <c r="V1902" s="8">
        <f t="shared" si="195"/>
        <v>13468.5</v>
      </c>
      <c r="W1902" s="8">
        <f t="shared" si="196"/>
        <v>33671.25</v>
      </c>
    </row>
    <row r="1903" spans="1:23" ht="21.95" customHeight="1" x14ac:dyDescent="0.2">
      <c r="A1903" s="5" t="s">
        <v>17</v>
      </c>
      <c r="B1903" t="s">
        <v>1582</v>
      </c>
      <c r="C1903" t="s">
        <v>800</v>
      </c>
      <c r="D1903" s="6" t="s">
        <v>49</v>
      </c>
      <c r="E1903" s="6"/>
      <c r="K1903" s="7">
        <v>44006099</v>
      </c>
      <c r="L1903" s="5" t="str">
        <f t="shared" si="197"/>
        <v>AR HÜNKAR KONSOL</v>
      </c>
      <c r="M1903" s="8">
        <v>0.15</v>
      </c>
      <c r="N1903" s="8">
        <v>0.1</v>
      </c>
      <c r="O1903" s="8">
        <v>20405</v>
      </c>
      <c r="P1903" s="8">
        <f t="shared" si="192"/>
        <v>18364.5</v>
      </c>
      <c r="Q1903" s="12">
        <f t="shared" si="193"/>
        <v>38565.450000000004</v>
      </c>
      <c r="R1903" s="31">
        <f t="shared" si="194"/>
        <v>38500</v>
      </c>
      <c r="T1903" s="8">
        <v>10405</v>
      </c>
      <c r="V1903" s="8">
        <f t="shared" si="195"/>
        <v>9364.5</v>
      </c>
      <c r="W1903" s="8">
        <f t="shared" si="196"/>
        <v>23411.25</v>
      </c>
    </row>
    <row r="1904" spans="1:23" ht="21.95" customHeight="1" x14ac:dyDescent="0.2">
      <c r="A1904" s="5" t="s">
        <v>17</v>
      </c>
      <c r="B1904" t="s">
        <v>1582</v>
      </c>
      <c r="C1904" t="s">
        <v>800</v>
      </c>
      <c r="D1904" s="6" t="s">
        <v>648</v>
      </c>
      <c r="E1904" s="6"/>
      <c r="K1904" s="7">
        <v>44006100</v>
      </c>
      <c r="L1904" s="5" t="str">
        <f t="shared" si="197"/>
        <v>AR HÜNKAR KONSOL AYNASI 2 ADET</v>
      </c>
      <c r="M1904" s="8">
        <v>0.15</v>
      </c>
      <c r="N1904" s="8">
        <v>0.1</v>
      </c>
      <c r="O1904" s="8">
        <v>3035</v>
      </c>
      <c r="P1904" s="8">
        <f t="shared" ref="P1904:P1945" si="198">O1904*(1-N1904)</f>
        <v>2731.5</v>
      </c>
      <c r="Q1904" s="12">
        <f t="shared" ref="Q1904:Q1945" si="199">O1904*(1-N1904)*2.1</f>
        <v>5736.1500000000005</v>
      </c>
      <c r="R1904" s="31">
        <f t="shared" ref="R1904:R1945" si="200">ROUNDDOWN(Q1904,-2)</f>
        <v>5700</v>
      </c>
      <c r="T1904" s="8">
        <v>10475</v>
      </c>
      <c r="V1904" s="8">
        <f t="shared" si="195"/>
        <v>9427.5</v>
      </c>
      <c r="W1904" s="8">
        <f t="shared" si="196"/>
        <v>23568.75</v>
      </c>
    </row>
    <row r="1905" spans="1:23" ht="21.95" customHeight="1" x14ac:dyDescent="0.2">
      <c r="A1905" s="5" t="s">
        <v>17</v>
      </c>
      <c r="B1905" t="s">
        <v>1582</v>
      </c>
      <c r="C1905" t="s">
        <v>800</v>
      </c>
      <c r="D1905" s="6" t="s">
        <v>160</v>
      </c>
      <c r="E1905" s="6"/>
      <c r="K1905" s="7">
        <v>44006101</v>
      </c>
      <c r="L1905" s="5" t="str">
        <f t="shared" si="197"/>
        <v>AR HÜNKAR MASA AÇILIR</v>
      </c>
      <c r="M1905" s="8">
        <v>0.15</v>
      </c>
      <c r="N1905" s="8">
        <v>0.1</v>
      </c>
      <c r="O1905" s="8">
        <v>13215</v>
      </c>
      <c r="P1905" s="8">
        <f t="shared" si="198"/>
        <v>11893.5</v>
      </c>
      <c r="Q1905" s="12">
        <f t="shared" si="199"/>
        <v>24976.350000000002</v>
      </c>
      <c r="R1905" s="31">
        <f t="shared" si="200"/>
        <v>24900</v>
      </c>
      <c r="T1905" s="8">
        <v>38200</v>
      </c>
      <c r="V1905" s="8">
        <f t="shared" si="195"/>
        <v>34380</v>
      </c>
      <c r="W1905" s="8">
        <f t="shared" si="196"/>
        <v>85950</v>
      </c>
    </row>
    <row r="1906" spans="1:23" ht="21.95" customHeight="1" x14ac:dyDescent="0.2">
      <c r="A1906" s="5" t="s">
        <v>17</v>
      </c>
      <c r="B1906" t="s">
        <v>1582</v>
      </c>
      <c r="C1906" t="s">
        <v>800</v>
      </c>
      <c r="D1906" s="6" t="s">
        <v>25</v>
      </c>
      <c r="E1906" s="6"/>
      <c r="K1906" s="7">
        <v>44006102</v>
      </c>
      <c r="L1906" s="5" t="str">
        <f t="shared" si="197"/>
        <v>AR HÜNKAR SANDALYE</v>
      </c>
      <c r="M1906" s="8">
        <v>0.15</v>
      </c>
      <c r="N1906" s="8">
        <v>0.1</v>
      </c>
      <c r="O1906" s="8">
        <v>5490</v>
      </c>
      <c r="P1906" s="8">
        <f t="shared" si="198"/>
        <v>4941</v>
      </c>
      <c r="Q1906" s="12">
        <f t="shared" si="199"/>
        <v>10376.1</v>
      </c>
      <c r="R1906" s="31">
        <f t="shared" si="200"/>
        <v>10300</v>
      </c>
      <c r="T1906" s="8">
        <v>34590</v>
      </c>
      <c r="V1906" s="8">
        <f t="shared" si="195"/>
        <v>31131</v>
      </c>
      <c r="W1906" s="8">
        <f t="shared" si="196"/>
        <v>77827.5</v>
      </c>
    </row>
    <row r="1907" spans="1:23" ht="21.95" customHeight="1" x14ac:dyDescent="0.2">
      <c r="A1907" s="5" t="s">
        <v>17</v>
      </c>
      <c r="B1907" t="s">
        <v>1582</v>
      </c>
      <c r="C1907" t="s">
        <v>800</v>
      </c>
      <c r="D1907" s="6" t="s">
        <v>782</v>
      </c>
      <c r="E1907" s="6"/>
      <c r="K1907" s="7">
        <v>44006103</v>
      </c>
      <c r="L1907" s="5" t="str">
        <f t="shared" si="197"/>
        <v>AR HÜNKAR KASIKLIK</v>
      </c>
      <c r="M1907" s="8">
        <v>0.15</v>
      </c>
      <c r="N1907" s="8">
        <v>0.1</v>
      </c>
      <c r="O1907" s="8">
        <v>15270</v>
      </c>
      <c r="P1907" s="8">
        <f t="shared" si="198"/>
        <v>13743</v>
      </c>
      <c r="Q1907" s="12">
        <f t="shared" si="199"/>
        <v>28860.300000000003</v>
      </c>
      <c r="R1907" s="31">
        <f t="shared" si="200"/>
        <v>28800</v>
      </c>
      <c r="T1907" s="8">
        <v>18040</v>
      </c>
      <c r="V1907" s="8">
        <f t="shared" si="195"/>
        <v>16236</v>
      </c>
      <c r="W1907" s="8">
        <f t="shared" si="196"/>
        <v>40590</v>
      </c>
    </row>
    <row r="1908" spans="1:23" ht="21.95" customHeight="1" x14ac:dyDescent="0.2">
      <c r="A1908" s="5" t="s">
        <v>17</v>
      </c>
      <c r="B1908" t="s">
        <v>1582</v>
      </c>
      <c r="C1908" t="s">
        <v>800</v>
      </c>
      <c r="D1908" s="6" t="s">
        <v>784</v>
      </c>
      <c r="E1908" s="6"/>
      <c r="K1908" s="7">
        <v>44006104</v>
      </c>
      <c r="L1908" s="5" t="str">
        <f t="shared" si="197"/>
        <v>AR HÜNKAR ALT MODÜL</v>
      </c>
      <c r="M1908" s="8">
        <v>0.15</v>
      </c>
      <c r="N1908" s="8">
        <v>0.1</v>
      </c>
      <c r="O1908" s="8">
        <v>12750</v>
      </c>
      <c r="P1908" s="8">
        <f t="shared" si="198"/>
        <v>11475</v>
      </c>
      <c r="Q1908" s="12">
        <f t="shared" si="199"/>
        <v>24097.5</v>
      </c>
      <c r="R1908" s="31">
        <f t="shared" si="200"/>
        <v>24000</v>
      </c>
      <c r="T1908" s="8">
        <v>25190</v>
      </c>
      <c r="V1908" s="8">
        <f t="shared" si="195"/>
        <v>22671</v>
      </c>
      <c r="W1908" s="8">
        <f t="shared" si="196"/>
        <v>56677.5</v>
      </c>
    </row>
    <row r="1909" spans="1:23" ht="21.95" customHeight="1" x14ac:dyDescent="0.2">
      <c r="A1909" s="5" t="s">
        <v>17</v>
      </c>
      <c r="B1909" t="s">
        <v>1582</v>
      </c>
      <c r="C1909" t="s">
        <v>800</v>
      </c>
      <c r="D1909" s="6" t="s">
        <v>103</v>
      </c>
      <c r="E1909" s="6"/>
      <c r="K1909" s="7">
        <v>44006105</v>
      </c>
      <c r="L1909" s="5" t="str">
        <f t="shared" si="197"/>
        <v>AR HÜNKAR TV ÜNİTESİ ÜST MODÜL</v>
      </c>
      <c r="M1909" s="8">
        <v>0.15</v>
      </c>
      <c r="N1909" s="8">
        <v>0.1</v>
      </c>
      <c r="O1909" s="8">
        <v>1790</v>
      </c>
      <c r="P1909" s="8">
        <f t="shared" si="198"/>
        <v>1611</v>
      </c>
      <c r="Q1909" s="12">
        <f t="shared" si="199"/>
        <v>3383.1000000000004</v>
      </c>
      <c r="R1909" s="31">
        <f t="shared" si="200"/>
        <v>3300</v>
      </c>
      <c r="T1909" s="8">
        <v>31950</v>
      </c>
      <c r="V1909" s="8">
        <f t="shared" si="195"/>
        <v>28755</v>
      </c>
      <c r="W1909" s="8">
        <f t="shared" si="196"/>
        <v>71887.5</v>
      </c>
    </row>
    <row r="1910" spans="1:23" ht="21.95" customHeight="1" x14ac:dyDescent="0.2">
      <c r="A1910" s="5" t="s">
        <v>17</v>
      </c>
      <c r="B1910" t="s">
        <v>1582</v>
      </c>
      <c r="C1910" t="s">
        <v>800</v>
      </c>
      <c r="D1910" s="6" t="s">
        <v>496</v>
      </c>
      <c r="E1910" s="6"/>
      <c r="K1910" s="7">
        <v>44006106</v>
      </c>
      <c r="L1910" s="5" t="str">
        <f t="shared" si="197"/>
        <v>AR HÜNKAR TV ÜNİTESİ ALT MODÜL</v>
      </c>
      <c r="M1910" s="8">
        <v>0.15</v>
      </c>
      <c r="N1910" s="8">
        <v>0.1</v>
      </c>
      <c r="O1910" s="8">
        <v>22030</v>
      </c>
      <c r="P1910" s="8">
        <f t="shared" si="198"/>
        <v>19827</v>
      </c>
      <c r="Q1910" s="12">
        <f t="shared" si="199"/>
        <v>41636.700000000004</v>
      </c>
      <c r="R1910" s="31">
        <f t="shared" si="200"/>
        <v>41600</v>
      </c>
      <c r="T1910" s="8">
        <v>20940</v>
      </c>
      <c r="V1910" s="8">
        <f t="shared" si="195"/>
        <v>18846</v>
      </c>
      <c r="W1910" s="8">
        <f t="shared" si="196"/>
        <v>47115</v>
      </c>
    </row>
    <row r="1911" spans="1:23" ht="21.95" customHeight="1" x14ac:dyDescent="0.2">
      <c r="A1911" s="5" t="s">
        <v>17</v>
      </c>
      <c r="B1911" t="s">
        <v>1582</v>
      </c>
      <c r="C1911" t="s">
        <v>800</v>
      </c>
      <c r="D1911" s="6" t="s">
        <v>593</v>
      </c>
      <c r="E1911" s="6"/>
      <c r="K1911" s="7">
        <v>44006107</v>
      </c>
      <c r="L1911" s="5" t="str">
        <f t="shared" si="197"/>
        <v>AR HÜNKAR KARYOLA İÇ KAYITLI 160CM</v>
      </c>
      <c r="M1911" s="8">
        <v>0.15</v>
      </c>
      <c r="N1911" s="8">
        <v>0.1</v>
      </c>
      <c r="O1911" s="8">
        <v>18355</v>
      </c>
      <c r="P1911" s="8">
        <f t="shared" si="198"/>
        <v>16519.5</v>
      </c>
      <c r="Q1911" s="12">
        <f t="shared" si="199"/>
        <v>34690.950000000004</v>
      </c>
      <c r="R1911" s="31">
        <f t="shared" si="200"/>
        <v>34600</v>
      </c>
      <c r="T1911" s="8">
        <v>24755</v>
      </c>
      <c r="V1911" s="8">
        <f t="shared" si="195"/>
        <v>22279.5</v>
      </c>
      <c r="W1911" s="8">
        <f t="shared" si="196"/>
        <v>55698.75</v>
      </c>
    </row>
    <row r="1912" spans="1:23" ht="21.95" customHeight="1" x14ac:dyDescent="0.2">
      <c r="A1912" s="5" t="s">
        <v>17</v>
      </c>
      <c r="B1912" t="s">
        <v>1582</v>
      </c>
      <c r="C1912" t="s">
        <v>800</v>
      </c>
      <c r="D1912" s="6" t="s">
        <v>75</v>
      </c>
      <c r="E1912" s="6"/>
      <c r="K1912" s="7">
        <v>44006108</v>
      </c>
      <c r="L1912" s="5" t="str">
        <f t="shared" si="197"/>
        <v>AR HÜNKAR KARYOLA BAZALI 160CM</v>
      </c>
      <c r="M1912" s="8">
        <v>0.15</v>
      </c>
      <c r="N1912" s="8">
        <v>0.1</v>
      </c>
      <c r="O1912" s="8">
        <v>22955</v>
      </c>
      <c r="P1912" s="8">
        <f t="shared" si="198"/>
        <v>20659.5</v>
      </c>
      <c r="Q1912" s="12">
        <f t="shared" si="199"/>
        <v>43384.950000000004</v>
      </c>
      <c r="R1912" s="31">
        <f t="shared" si="200"/>
        <v>43300</v>
      </c>
      <c r="T1912" s="8">
        <v>29355</v>
      </c>
      <c r="V1912" s="8">
        <f t="shared" si="195"/>
        <v>26419.5</v>
      </c>
      <c r="W1912" s="8">
        <f t="shared" si="196"/>
        <v>66048.75</v>
      </c>
    </row>
    <row r="1913" spans="1:23" ht="21.95" customHeight="1" x14ac:dyDescent="0.2">
      <c r="A1913" s="5" t="s">
        <v>17</v>
      </c>
      <c r="B1913" t="s">
        <v>1582</v>
      </c>
      <c r="C1913" t="s">
        <v>800</v>
      </c>
      <c r="D1913" s="6" t="s">
        <v>76</v>
      </c>
      <c r="E1913" s="6"/>
      <c r="K1913" s="7">
        <v>44006109</v>
      </c>
      <c r="L1913" s="5" t="str">
        <f t="shared" si="197"/>
        <v>AR HÜNKAR KARYOLA BAZALI 180CM</v>
      </c>
      <c r="M1913" s="8">
        <v>0.15</v>
      </c>
      <c r="N1913" s="8">
        <v>0.1</v>
      </c>
      <c r="O1913" s="8">
        <v>25455</v>
      </c>
      <c r="P1913" s="8">
        <f t="shared" si="198"/>
        <v>22909.5</v>
      </c>
      <c r="Q1913" s="12">
        <f t="shared" si="199"/>
        <v>48109.950000000004</v>
      </c>
      <c r="R1913" s="31">
        <f t="shared" si="200"/>
        <v>48100</v>
      </c>
      <c r="T1913" s="8">
        <v>25540</v>
      </c>
      <c r="V1913" s="8">
        <f t="shared" si="195"/>
        <v>22986</v>
      </c>
      <c r="W1913" s="8">
        <f t="shared" si="196"/>
        <v>57465</v>
      </c>
    </row>
    <row r="1914" spans="1:23" ht="21.95" customHeight="1" x14ac:dyDescent="0.2">
      <c r="A1914" s="5" t="s">
        <v>17</v>
      </c>
      <c r="B1914" t="s">
        <v>1582</v>
      </c>
      <c r="C1914" t="s">
        <v>800</v>
      </c>
      <c r="D1914" s="6" t="s">
        <v>594</v>
      </c>
      <c r="E1914" s="6"/>
      <c r="K1914" s="7">
        <v>44006110</v>
      </c>
      <c r="L1914" s="5" t="str">
        <f t="shared" si="197"/>
        <v>AR HÜNKAR KARYOLA İÇ KAYITLI 180CM</v>
      </c>
      <c r="M1914" s="8">
        <v>0.15</v>
      </c>
      <c r="N1914" s="8">
        <v>0.1</v>
      </c>
      <c r="O1914" s="8">
        <v>20855</v>
      </c>
      <c r="P1914" s="8">
        <f t="shared" si="198"/>
        <v>18769.5</v>
      </c>
      <c r="Q1914" s="12">
        <f t="shared" si="199"/>
        <v>39415.950000000004</v>
      </c>
      <c r="R1914" s="31">
        <f t="shared" si="200"/>
        <v>39400</v>
      </c>
      <c r="T1914" s="8">
        <v>31855</v>
      </c>
      <c r="V1914" s="8">
        <f t="shared" si="195"/>
        <v>28669.5</v>
      </c>
      <c r="W1914" s="8">
        <f t="shared" si="196"/>
        <v>71673.75</v>
      </c>
    </row>
    <row r="1915" spans="1:23" ht="21.95" customHeight="1" x14ac:dyDescent="0.2">
      <c r="A1915" s="5" t="s">
        <v>17</v>
      </c>
      <c r="B1915" t="s">
        <v>1582</v>
      </c>
      <c r="C1915" t="s">
        <v>800</v>
      </c>
      <c r="D1915" s="6" t="s">
        <v>362</v>
      </c>
      <c r="E1915" s="6"/>
      <c r="K1915" s="7">
        <v>44006111</v>
      </c>
      <c r="L1915" s="5" t="str">
        <f t="shared" si="197"/>
        <v>AR HÜNKAR KOMODİN</v>
      </c>
      <c r="M1915" s="8">
        <v>0.15</v>
      </c>
      <c r="N1915" s="8">
        <v>0.1</v>
      </c>
      <c r="O1915" s="8">
        <v>5430</v>
      </c>
      <c r="P1915" s="8">
        <f t="shared" si="198"/>
        <v>4887</v>
      </c>
      <c r="Q1915" s="12">
        <f t="shared" si="199"/>
        <v>10262.700000000001</v>
      </c>
      <c r="R1915" s="31">
        <f t="shared" si="200"/>
        <v>10200</v>
      </c>
      <c r="T1915" s="8">
        <v>28040</v>
      </c>
      <c r="V1915" s="8">
        <f t="shared" si="195"/>
        <v>25236</v>
      </c>
      <c r="W1915" s="8">
        <f t="shared" si="196"/>
        <v>63090</v>
      </c>
    </row>
    <row r="1916" spans="1:23" ht="21.95" customHeight="1" x14ac:dyDescent="0.2">
      <c r="A1916" s="5" t="s">
        <v>17</v>
      </c>
      <c r="B1916" t="s">
        <v>1582</v>
      </c>
      <c r="C1916" t="s">
        <v>800</v>
      </c>
      <c r="D1916" s="6" t="s">
        <v>361</v>
      </c>
      <c r="E1916" s="6"/>
      <c r="K1916" s="7">
        <v>44006112</v>
      </c>
      <c r="L1916" s="5" t="str">
        <f t="shared" si="197"/>
        <v>AR HÜNKAR DOLAP</v>
      </c>
      <c r="M1916" s="8">
        <v>0.15</v>
      </c>
      <c r="N1916" s="8">
        <v>0.1</v>
      </c>
      <c r="O1916" s="8">
        <v>38275</v>
      </c>
      <c r="P1916" s="8">
        <f t="shared" si="198"/>
        <v>34447.5</v>
      </c>
      <c r="Q1916" s="12">
        <f t="shared" si="199"/>
        <v>72339.75</v>
      </c>
      <c r="R1916" s="31">
        <f t="shared" si="200"/>
        <v>72300</v>
      </c>
      <c r="T1916" s="8">
        <v>27255</v>
      </c>
      <c r="V1916" s="8">
        <f t="shared" si="195"/>
        <v>24529.5</v>
      </c>
      <c r="W1916" s="8">
        <f t="shared" si="196"/>
        <v>61323.75</v>
      </c>
    </row>
    <row r="1917" spans="1:23" ht="21.95" customHeight="1" x14ac:dyDescent="0.2">
      <c r="A1917" s="5" t="s">
        <v>17</v>
      </c>
      <c r="B1917" t="s">
        <v>1582</v>
      </c>
      <c r="C1917" t="s">
        <v>800</v>
      </c>
      <c r="D1917" s="6" t="s">
        <v>595</v>
      </c>
      <c r="E1917" s="6"/>
      <c r="K1917" s="7">
        <v>44006113</v>
      </c>
      <c r="L1917" s="5" t="str">
        <f t="shared" si="197"/>
        <v>AR HÜNKAR ŞİFONYER &amp; AYNASI</v>
      </c>
      <c r="M1917" s="8">
        <v>0.15</v>
      </c>
      <c r="N1917" s="8">
        <v>0.1</v>
      </c>
      <c r="O1917" s="8">
        <v>15765</v>
      </c>
      <c r="P1917" s="8">
        <f t="shared" si="198"/>
        <v>14188.5</v>
      </c>
      <c r="Q1917" s="12">
        <f t="shared" si="199"/>
        <v>29795.850000000002</v>
      </c>
      <c r="R1917" s="31">
        <f t="shared" si="200"/>
        <v>29700</v>
      </c>
      <c r="T1917" s="8">
        <v>23440</v>
      </c>
      <c r="V1917" s="8">
        <f t="shared" si="195"/>
        <v>21096</v>
      </c>
      <c r="W1917" s="8">
        <f t="shared" si="196"/>
        <v>52740</v>
      </c>
    </row>
    <row r="1918" spans="1:23" ht="21.95" customHeight="1" x14ac:dyDescent="0.2">
      <c r="A1918" s="5" t="s">
        <v>17</v>
      </c>
      <c r="B1918" t="s">
        <v>1582</v>
      </c>
      <c r="C1918" t="s">
        <v>800</v>
      </c>
      <c r="D1918" s="6" t="s">
        <v>82</v>
      </c>
      <c r="E1918" s="6"/>
      <c r="K1918" s="7">
        <v>44006114</v>
      </c>
      <c r="L1918" s="5" t="str">
        <f t="shared" si="197"/>
        <v>AR HÜNKAR BOY AYNASI</v>
      </c>
      <c r="M1918" s="8">
        <v>0.15</v>
      </c>
      <c r="N1918" s="8">
        <v>0.1</v>
      </c>
      <c r="O1918" s="8">
        <v>4305</v>
      </c>
      <c r="P1918" s="8">
        <f t="shared" si="198"/>
        <v>3874.5</v>
      </c>
      <c r="Q1918" s="12">
        <f t="shared" si="199"/>
        <v>8136.4500000000007</v>
      </c>
      <c r="R1918" s="31">
        <f t="shared" si="200"/>
        <v>8100</v>
      </c>
      <c r="T1918" s="8">
        <v>3815</v>
      </c>
      <c r="V1918" s="8">
        <f t="shared" si="195"/>
        <v>3433.5</v>
      </c>
      <c r="W1918" s="8">
        <f t="shared" si="196"/>
        <v>8583.75</v>
      </c>
    </row>
    <row r="1919" spans="1:23" ht="21.95" customHeight="1" x14ac:dyDescent="0.2">
      <c r="A1919" s="5" t="s">
        <v>17</v>
      </c>
      <c r="B1919" t="s">
        <v>1582</v>
      </c>
      <c r="C1919" t="s">
        <v>800</v>
      </c>
      <c r="D1919" s="6" t="s">
        <v>119</v>
      </c>
      <c r="E1919" s="6"/>
      <c r="K1919" s="7">
        <v>44006115</v>
      </c>
      <c r="L1919" s="5" t="str">
        <f t="shared" si="197"/>
        <v>AR HÜNKAR PUF</v>
      </c>
      <c r="M1919" s="8">
        <v>0.15</v>
      </c>
      <c r="N1919" s="8">
        <v>0.1</v>
      </c>
      <c r="O1919" s="8">
        <v>2990</v>
      </c>
      <c r="P1919" s="8">
        <f t="shared" si="198"/>
        <v>2691</v>
      </c>
      <c r="Q1919" s="12">
        <f t="shared" si="199"/>
        <v>5651.1</v>
      </c>
      <c r="R1919" s="31">
        <f t="shared" si="200"/>
        <v>5600</v>
      </c>
      <c r="T1919" s="8">
        <v>5220</v>
      </c>
      <c r="V1919" s="8">
        <f t="shared" si="195"/>
        <v>4698</v>
      </c>
      <c r="W1919" s="8">
        <f t="shared" si="196"/>
        <v>11745</v>
      </c>
    </row>
    <row r="1920" spans="1:23" ht="21.95" customHeight="1" x14ac:dyDescent="0.2">
      <c r="A1920" s="5" t="s">
        <v>17</v>
      </c>
      <c r="B1920" t="s">
        <v>1582</v>
      </c>
      <c r="C1920" t="s">
        <v>801</v>
      </c>
      <c r="D1920" s="6" t="s">
        <v>194</v>
      </c>
      <c r="E1920" s="6"/>
      <c r="K1920" s="7">
        <v>44006116</v>
      </c>
      <c r="L1920" s="5" t="str">
        <f t="shared" si="197"/>
        <v xml:space="preserve">AR ROMA KONSOL </v>
      </c>
      <c r="M1920" s="8">
        <v>0.15</v>
      </c>
      <c r="N1920" s="8">
        <v>0.1</v>
      </c>
      <c r="O1920" s="8">
        <v>24210</v>
      </c>
      <c r="P1920" s="8">
        <f t="shared" si="198"/>
        <v>21789</v>
      </c>
      <c r="Q1920" s="12">
        <f t="shared" si="199"/>
        <v>45756.9</v>
      </c>
      <c r="R1920" s="31">
        <f t="shared" si="200"/>
        <v>45700</v>
      </c>
      <c r="T1920" s="8">
        <v>36340</v>
      </c>
      <c r="V1920" s="8">
        <f t="shared" si="195"/>
        <v>32706</v>
      </c>
      <c r="W1920" s="8">
        <f t="shared" si="196"/>
        <v>81765</v>
      </c>
    </row>
    <row r="1921" spans="1:23" ht="21.95" customHeight="1" x14ac:dyDescent="0.2">
      <c r="A1921" s="5" t="s">
        <v>17</v>
      </c>
      <c r="B1921" t="s">
        <v>1582</v>
      </c>
      <c r="C1921" t="s">
        <v>801</v>
      </c>
      <c r="D1921" s="6" t="s">
        <v>121</v>
      </c>
      <c r="E1921" s="6"/>
      <c r="K1921" s="7">
        <v>44006117</v>
      </c>
      <c r="L1921" s="5" t="str">
        <f t="shared" si="197"/>
        <v>AR ROMA KOSNOL AYNASI</v>
      </c>
      <c r="M1921" s="8">
        <v>0.15</v>
      </c>
      <c r="N1921" s="8">
        <v>0.1</v>
      </c>
      <c r="O1921" s="8">
        <v>4145</v>
      </c>
      <c r="P1921" s="8">
        <f t="shared" si="198"/>
        <v>3730.5</v>
      </c>
      <c r="Q1921" s="12">
        <f t="shared" si="199"/>
        <v>7834.05</v>
      </c>
      <c r="R1921" s="31">
        <f t="shared" si="200"/>
        <v>7800</v>
      </c>
      <c r="T1921" s="8">
        <v>14970</v>
      </c>
      <c r="V1921" s="8">
        <f t="shared" si="195"/>
        <v>13473</v>
      </c>
      <c r="W1921" s="8">
        <f t="shared" si="196"/>
        <v>33682.5</v>
      </c>
    </row>
    <row r="1922" spans="1:23" ht="21.95" customHeight="1" x14ac:dyDescent="0.2">
      <c r="A1922" s="5" t="s">
        <v>17</v>
      </c>
      <c r="B1922" t="s">
        <v>1582</v>
      </c>
      <c r="C1922" t="s">
        <v>801</v>
      </c>
      <c r="D1922" s="6" t="s">
        <v>160</v>
      </c>
      <c r="E1922" s="6"/>
      <c r="K1922" s="7">
        <v>44006118</v>
      </c>
      <c r="L1922" s="5" t="str">
        <f t="shared" si="197"/>
        <v>AR ROMA MASA AÇILIR</v>
      </c>
      <c r="M1922" s="8">
        <v>0.15</v>
      </c>
      <c r="N1922" s="8">
        <v>0.1</v>
      </c>
      <c r="O1922" s="8">
        <v>16300</v>
      </c>
      <c r="P1922" s="8">
        <f t="shared" si="198"/>
        <v>14670</v>
      </c>
      <c r="Q1922" s="12">
        <f t="shared" si="199"/>
        <v>30807</v>
      </c>
      <c r="R1922" s="31">
        <f t="shared" si="200"/>
        <v>30800</v>
      </c>
      <c r="T1922" s="8">
        <v>9565</v>
      </c>
      <c r="V1922" s="8">
        <f t="shared" ref="V1922:V1985" si="201">T1922*0.9</f>
        <v>8608.5</v>
      </c>
      <c r="W1922" s="8">
        <f t="shared" ref="W1922:W1985" si="202">V1922*2.5</f>
        <v>21521.25</v>
      </c>
    </row>
    <row r="1923" spans="1:23" ht="21.95" customHeight="1" x14ac:dyDescent="0.2">
      <c r="A1923" s="5" t="s">
        <v>17</v>
      </c>
      <c r="B1923" t="s">
        <v>1582</v>
      </c>
      <c r="C1923" t="s">
        <v>801</v>
      </c>
      <c r="D1923" s="6" t="s">
        <v>25</v>
      </c>
      <c r="E1923" s="6"/>
      <c r="K1923" s="7">
        <v>44006119</v>
      </c>
      <c r="L1923" s="5" t="str">
        <f t="shared" si="197"/>
        <v>AR ROMA SANDALYE</v>
      </c>
      <c r="M1923" s="8">
        <v>0.15</v>
      </c>
      <c r="N1923" s="8">
        <v>0.1</v>
      </c>
      <c r="O1923" s="8">
        <v>5490</v>
      </c>
      <c r="P1923" s="8">
        <f t="shared" si="198"/>
        <v>4941</v>
      </c>
      <c r="Q1923" s="12">
        <f t="shared" si="199"/>
        <v>10376.1</v>
      </c>
      <c r="R1923" s="31">
        <f t="shared" si="200"/>
        <v>10300</v>
      </c>
      <c r="T1923" s="8">
        <v>4775</v>
      </c>
      <c r="V1923" s="8">
        <f t="shared" si="201"/>
        <v>4297.5</v>
      </c>
      <c r="W1923" s="8">
        <f t="shared" si="202"/>
        <v>10743.75</v>
      </c>
    </row>
    <row r="1924" spans="1:23" ht="21.95" customHeight="1" x14ac:dyDescent="0.2">
      <c r="A1924" s="5" t="s">
        <v>17</v>
      </c>
      <c r="B1924" t="s">
        <v>1582</v>
      </c>
      <c r="C1924" t="s">
        <v>802</v>
      </c>
      <c r="D1924" s="6" t="s">
        <v>593</v>
      </c>
      <c r="E1924" s="6"/>
      <c r="K1924" s="7">
        <v>44006120</v>
      </c>
      <c r="L1924" s="5" t="str">
        <f t="shared" si="197"/>
        <v>AR VOGA KARYOLA İÇ KAYITLI 160CM</v>
      </c>
      <c r="M1924" s="8">
        <v>0.15</v>
      </c>
      <c r="N1924" s="8">
        <v>0.1</v>
      </c>
      <c r="O1924" s="8">
        <v>21200</v>
      </c>
      <c r="P1924" s="8">
        <f t="shared" si="198"/>
        <v>19080</v>
      </c>
      <c r="Q1924" s="12">
        <f t="shared" si="199"/>
        <v>40068</v>
      </c>
      <c r="R1924" s="31">
        <f t="shared" si="200"/>
        <v>40000</v>
      </c>
      <c r="T1924" s="8">
        <v>3170</v>
      </c>
      <c r="V1924" s="8">
        <f t="shared" si="201"/>
        <v>2853</v>
      </c>
      <c r="W1924" s="8">
        <f t="shared" si="202"/>
        <v>7132.5</v>
      </c>
    </row>
    <row r="1925" spans="1:23" ht="21.95" customHeight="1" x14ac:dyDescent="0.2">
      <c r="A1925" s="5" t="s">
        <v>17</v>
      </c>
      <c r="B1925" t="s">
        <v>1582</v>
      </c>
      <c r="C1925" t="s">
        <v>802</v>
      </c>
      <c r="D1925" s="6" t="s">
        <v>75</v>
      </c>
      <c r="E1925" s="6"/>
      <c r="K1925" s="7">
        <v>44006121</v>
      </c>
      <c r="L1925" s="5" t="str">
        <f t="shared" si="197"/>
        <v>AR VOGA KARYOLA BAZALI 160CM</v>
      </c>
      <c r="M1925" s="8">
        <v>0.15</v>
      </c>
      <c r="N1925" s="8">
        <v>0.1</v>
      </c>
      <c r="O1925" s="8">
        <v>25800</v>
      </c>
      <c r="P1925" s="8">
        <f t="shared" si="198"/>
        <v>23220</v>
      </c>
      <c r="Q1925" s="12">
        <f t="shared" si="199"/>
        <v>48762</v>
      </c>
      <c r="R1925" s="31">
        <f t="shared" si="200"/>
        <v>48700</v>
      </c>
      <c r="T1925" s="8">
        <v>39380</v>
      </c>
      <c r="V1925" s="8">
        <f t="shared" si="201"/>
        <v>35442</v>
      </c>
      <c r="W1925" s="8">
        <f t="shared" si="202"/>
        <v>88605</v>
      </c>
    </row>
    <row r="1926" spans="1:23" ht="21.95" customHeight="1" x14ac:dyDescent="0.2">
      <c r="A1926" s="5" t="s">
        <v>17</v>
      </c>
      <c r="B1926" t="s">
        <v>1582</v>
      </c>
      <c r="C1926" t="s">
        <v>802</v>
      </c>
      <c r="D1926" s="6" t="s">
        <v>76</v>
      </c>
      <c r="E1926" s="6"/>
      <c r="K1926" s="7">
        <v>44006122</v>
      </c>
      <c r="L1926" s="5" t="str">
        <f t="shared" si="197"/>
        <v>AR VOGA KARYOLA BAZALI 180CM</v>
      </c>
      <c r="M1926" s="8">
        <v>0.15</v>
      </c>
      <c r="N1926" s="8">
        <v>0.1</v>
      </c>
      <c r="O1926" s="8">
        <v>28300</v>
      </c>
      <c r="P1926" s="8">
        <f t="shared" si="198"/>
        <v>25470</v>
      </c>
      <c r="Q1926" s="12">
        <f t="shared" si="199"/>
        <v>53487</v>
      </c>
      <c r="R1926" s="31">
        <f t="shared" si="200"/>
        <v>53400</v>
      </c>
      <c r="T1926" s="8">
        <v>5946</v>
      </c>
      <c r="V1926" s="8">
        <f t="shared" si="201"/>
        <v>5351.4000000000005</v>
      </c>
      <c r="W1926" s="8">
        <f t="shared" si="202"/>
        <v>13378.500000000002</v>
      </c>
    </row>
    <row r="1927" spans="1:23" ht="21.95" customHeight="1" x14ac:dyDescent="0.2">
      <c r="A1927" s="5" t="s">
        <v>17</v>
      </c>
      <c r="B1927" t="s">
        <v>1582</v>
      </c>
      <c r="C1927" t="s">
        <v>802</v>
      </c>
      <c r="D1927" s="6" t="s">
        <v>594</v>
      </c>
      <c r="E1927" s="6"/>
      <c r="K1927" s="7">
        <v>44006123</v>
      </c>
      <c r="L1927" s="5" t="str">
        <f t="shared" ref="L1927:L1990" si="203">B1927&amp;" "&amp;C1927&amp;" "&amp;D1927</f>
        <v>AR VOGA KARYOLA İÇ KAYITLI 180CM</v>
      </c>
      <c r="M1927" s="8">
        <v>0.15</v>
      </c>
      <c r="N1927" s="8">
        <v>0.1</v>
      </c>
      <c r="O1927" s="8">
        <v>23700</v>
      </c>
      <c r="P1927" s="8">
        <f t="shared" si="198"/>
        <v>21330</v>
      </c>
      <c r="Q1927" s="12">
        <f t="shared" si="199"/>
        <v>44793</v>
      </c>
      <c r="R1927" s="31">
        <f t="shared" si="200"/>
        <v>44700</v>
      </c>
      <c r="T1927" s="8">
        <v>28200</v>
      </c>
      <c r="V1927" s="8">
        <f t="shared" si="201"/>
        <v>25380</v>
      </c>
      <c r="W1927" s="8">
        <f t="shared" si="202"/>
        <v>63450</v>
      </c>
    </row>
    <row r="1928" spans="1:23" ht="21.95" customHeight="1" x14ac:dyDescent="0.2">
      <c r="A1928" s="5" t="s">
        <v>17</v>
      </c>
      <c r="B1928" t="s">
        <v>1582</v>
      </c>
      <c r="C1928" t="s">
        <v>802</v>
      </c>
      <c r="D1928" s="6" t="s">
        <v>362</v>
      </c>
      <c r="E1928" s="6"/>
      <c r="K1928" s="7">
        <v>44006124</v>
      </c>
      <c r="L1928" s="5" t="str">
        <f t="shared" si="203"/>
        <v>AR VOGA KOMODİN</v>
      </c>
      <c r="M1928" s="8">
        <v>0.15</v>
      </c>
      <c r="N1928" s="8">
        <v>0.1</v>
      </c>
      <c r="O1928" s="8">
        <v>6970</v>
      </c>
      <c r="P1928" s="8">
        <f t="shared" si="198"/>
        <v>6273</v>
      </c>
      <c r="Q1928" s="12">
        <f t="shared" si="199"/>
        <v>13173.300000000001</v>
      </c>
      <c r="R1928" s="31">
        <f t="shared" si="200"/>
        <v>13100</v>
      </c>
      <c r="T1928" s="8">
        <v>36600</v>
      </c>
      <c r="V1928" s="8">
        <f t="shared" si="201"/>
        <v>32940</v>
      </c>
      <c r="W1928" s="8">
        <f t="shared" si="202"/>
        <v>82350</v>
      </c>
    </row>
    <row r="1929" spans="1:23" ht="21.95" customHeight="1" x14ac:dyDescent="0.2">
      <c r="A1929" s="5" t="s">
        <v>17</v>
      </c>
      <c r="B1929" t="s">
        <v>1582</v>
      </c>
      <c r="C1929" t="s">
        <v>802</v>
      </c>
      <c r="D1929" s="6" t="s">
        <v>361</v>
      </c>
      <c r="E1929" s="6"/>
      <c r="K1929" s="7">
        <v>44006125</v>
      </c>
      <c r="L1929" s="5" t="str">
        <f t="shared" si="203"/>
        <v>AR VOGA DOLAP</v>
      </c>
      <c r="M1929" s="8">
        <v>0.15</v>
      </c>
      <c r="N1929" s="8">
        <v>0.1</v>
      </c>
      <c r="O1929" s="8">
        <v>43600</v>
      </c>
      <c r="P1929" s="8">
        <f t="shared" si="198"/>
        <v>39240</v>
      </c>
      <c r="Q1929" s="12">
        <f t="shared" si="199"/>
        <v>82404</v>
      </c>
      <c r="R1929" s="31">
        <f t="shared" si="200"/>
        <v>82400</v>
      </c>
      <c r="T1929" s="8">
        <v>41897</v>
      </c>
      <c r="V1929" s="8">
        <f t="shared" si="201"/>
        <v>37707.300000000003</v>
      </c>
      <c r="W1929" s="8">
        <f t="shared" si="202"/>
        <v>94268.25</v>
      </c>
    </row>
    <row r="1930" spans="1:23" ht="21.95" customHeight="1" x14ac:dyDescent="0.2">
      <c r="A1930" s="5" t="s">
        <v>17</v>
      </c>
      <c r="B1930" t="s">
        <v>1582</v>
      </c>
      <c r="C1930" t="s">
        <v>802</v>
      </c>
      <c r="D1930" s="6" t="s">
        <v>595</v>
      </c>
      <c r="E1930" s="6"/>
      <c r="K1930" s="7">
        <v>44006126</v>
      </c>
      <c r="L1930" s="5" t="str">
        <f t="shared" si="203"/>
        <v>AR VOGA ŞİFONYER &amp; AYNASI</v>
      </c>
      <c r="M1930" s="8">
        <v>0.15</v>
      </c>
      <c r="N1930" s="8">
        <v>0.1</v>
      </c>
      <c r="O1930" s="8">
        <v>18580</v>
      </c>
      <c r="P1930" s="8">
        <f t="shared" si="198"/>
        <v>16722</v>
      </c>
      <c r="Q1930" s="12">
        <f t="shared" si="199"/>
        <v>35116.200000000004</v>
      </c>
      <c r="R1930" s="31">
        <f t="shared" si="200"/>
        <v>35100</v>
      </c>
      <c r="T1930" s="8">
        <v>4114</v>
      </c>
      <c r="V1930" s="8">
        <f t="shared" si="201"/>
        <v>3702.6</v>
      </c>
      <c r="W1930" s="8">
        <f t="shared" si="202"/>
        <v>9256.5</v>
      </c>
    </row>
    <row r="1931" spans="1:23" ht="21.95" customHeight="1" x14ac:dyDescent="0.2">
      <c r="A1931" s="5" t="s">
        <v>17</v>
      </c>
      <c r="B1931" t="s">
        <v>1582</v>
      </c>
      <c r="C1931" t="s">
        <v>802</v>
      </c>
      <c r="D1931" s="6" t="s">
        <v>126</v>
      </c>
      <c r="E1931" s="6"/>
      <c r="K1931" s="7">
        <v>44006127</v>
      </c>
      <c r="L1931" s="5" t="str">
        <f t="shared" si="203"/>
        <v>AR VOGA ÇAMAŞIRLIK</v>
      </c>
      <c r="M1931" s="8">
        <v>0.15</v>
      </c>
      <c r="N1931" s="8">
        <v>0.1</v>
      </c>
      <c r="O1931" s="8">
        <v>12290</v>
      </c>
      <c r="P1931" s="8">
        <f t="shared" si="198"/>
        <v>11061</v>
      </c>
      <c r="Q1931" s="12">
        <f t="shared" si="199"/>
        <v>23228.100000000002</v>
      </c>
      <c r="R1931" s="31">
        <f t="shared" si="200"/>
        <v>23200</v>
      </c>
      <c r="T1931" s="8">
        <v>4485</v>
      </c>
      <c r="V1931" s="8">
        <f t="shared" si="201"/>
        <v>4036.5</v>
      </c>
      <c r="W1931" s="8">
        <f t="shared" si="202"/>
        <v>10091.25</v>
      </c>
    </row>
    <row r="1932" spans="1:23" ht="21.95" customHeight="1" x14ac:dyDescent="0.2">
      <c r="A1932" s="5" t="s">
        <v>17</v>
      </c>
      <c r="B1932" t="s">
        <v>1582</v>
      </c>
      <c r="C1932" t="s">
        <v>802</v>
      </c>
      <c r="D1932" s="6" t="s">
        <v>82</v>
      </c>
      <c r="E1932" s="6"/>
      <c r="K1932" s="7">
        <v>44006128</v>
      </c>
      <c r="L1932" s="5" t="str">
        <f t="shared" si="203"/>
        <v>AR VOGA BOY AYNASI</v>
      </c>
      <c r="M1932" s="8">
        <v>0.15</v>
      </c>
      <c r="N1932" s="8">
        <v>0.1</v>
      </c>
      <c r="O1932" s="8">
        <v>4305</v>
      </c>
      <c r="P1932" s="8">
        <f t="shared" si="198"/>
        <v>3874.5</v>
      </c>
      <c r="Q1932" s="12">
        <f t="shared" si="199"/>
        <v>8136.4500000000007</v>
      </c>
      <c r="R1932" s="31">
        <f t="shared" si="200"/>
        <v>8100</v>
      </c>
      <c r="T1932" s="8">
        <v>32895</v>
      </c>
      <c r="V1932" s="8">
        <f t="shared" si="201"/>
        <v>29605.5</v>
      </c>
      <c r="W1932" s="8">
        <f t="shared" si="202"/>
        <v>74013.75</v>
      </c>
    </row>
    <row r="1933" spans="1:23" ht="21.95" customHeight="1" x14ac:dyDescent="0.2">
      <c r="A1933" s="5" t="s">
        <v>17</v>
      </c>
      <c r="B1933" t="s">
        <v>1582</v>
      </c>
      <c r="C1933" t="s">
        <v>802</v>
      </c>
      <c r="D1933" s="6" t="s">
        <v>119</v>
      </c>
      <c r="E1933" s="6"/>
      <c r="K1933" s="7">
        <v>44006129</v>
      </c>
      <c r="L1933" s="5" t="str">
        <f t="shared" si="203"/>
        <v>AR VOGA PUF</v>
      </c>
      <c r="M1933" s="8">
        <v>0.15</v>
      </c>
      <c r="N1933" s="8">
        <v>0.1</v>
      </c>
      <c r="O1933" s="8">
        <v>2990</v>
      </c>
      <c r="P1933" s="8">
        <f t="shared" si="198"/>
        <v>2691</v>
      </c>
      <c r="Q1933" s="12">
        <f t="shared" si="199"/>
        <v>5651.1</v>
      </c>
      <c r="R1933" s="31">
        <f t="shared" si="200"/>
        <v>5600</v>
      </c>
      <c r="T1933" s="8">
        <v>21050</v>
      </c>
      <c r="V1933" s="8">
        <f t="shared" si="201"/>
        <v>18945</v>
      </c>
      <c r="W1933" s="8">
        <f t="shared" si="202"/>
        <v>47362.5</v>
      </c>
    </row>
    <row r="1934" spans="1:23" ht="21.95" customHeight="1" x14ac:dyDescent="0.2">
      <c r="A1934" s="5" t="s">
        <v>17</v>
      </c>
      <c r="B1934" t="s">
        <v>1582</v>
      </c>
      <c r="C1934" s="5" t="s">
        <v>803</v>
      </c>
      <c r="D1934" s="6" t="s">
        <v>593</v>
      </c>
      <c r="E1934" s="6"/>
      <c r="K1934" s="7">
        <v>44006130</v>
      </c>
      <c r="L1934" s="5" t="str">
        <f t="shared" si="203"/>
        <v>AR HÜNKAR V2 KARYOLA İÇ KAYITLI 160CM</v>
      </c>
      <c r="M1934" s="8">
        <v>0.15</v>
      </c>
      <c r="N1934" s="8">
        <v>0.1</v>
      </c>
      <c r="O1934" s="8">
        <v>21200</v>
      </c>
      <c r="P1934" s="8">
        <f t="shared" si="198"/>
        <v>19080</v>
      </c>
      <c r="Q1934" s="12">
        <f t="shared" si="199"/>
        <v>40068</v>
      </c>
      <c r="R1934" s="31">
        <f t="shared" si="200"/>
        <v>40000</v>
      </c>
      <c r="T1934" s="8">
        <v>11010</v>
      </c>
      <c r="V1934" s="8">
        <f t="shared" si="201"/>
        <v>9909</v>
      </c>
      <c r="W1934" s="8">
        <f t="shared" si="202"/>
        <v>24772.5</v>
      </c>
    </row>
    <row r="1935" spans="1:23" ht="21.95" customHeight="1" x14ac:dyDescent="0.2">
      <c r="A1935" s="5" t="s">
        <v>17</v>
      </c>
      <c r="B1935" t="s">
        <v>1582</v>
      </c>
      <c r="C1935" s="5" t="s">
        <v>803</v>
      </c>
      <c r="D1935" s="6" t="s">
        <v>804</v>
      </c>
      <c r="E1935" s="6"/>
      <c r="K1935" s="7">
        <v>44006131</v>
      </c>
      <c r="L1935" s="5" t="str">
        <f t="shared" si="203"/>
        <v>AR HÜNKAR V2 KARYOLA BAZALI 160</v>
      </c>
      <c r="M1935" s="8">
        <v>0.15</v>
      </c>
      <c r="N1935" s="8">
        <v>0.1</v>
      </c>
      <c r="O1935" s="8">
        <v>25800</v>
      </c>
      <c r="P1935" s="8">
        <f t="shared" si="198"/>
        <v>23220</v>
      </c>
      <c r="Q1935" s="12">
        <f t="shared" si="199"/>
        <v>48762</v>
      </c>
      <c r="R1935" s="31">
        <f t="shared" si="200"/>
        <v>48700</v>
      </c>
      <c r="T1935" s="8">
        <v>37440</v>
      </c>
      <c r="V1935" s="8">
        <f t="shared" si="201"/>
        <v>33696</v>
      </c>
      <c r="W1935" s="8">
        <f t="shared" si="202"/>
        <v>84240</v>
      </c>
    </row>
    <row r="1936" spans="1:23" ht="21.95" customHeight="1" x14ac:dyDescent="0.2">
      <c r="A1936" s="5" t="s">
        <v>17</v>
      </c>
      <c r="B1936" t="s">
        <v>1582</v>
      </c>
      <c r="C1936" s="5" t="s">
        <v>803</v>
      </c>
      <c r="D1936" s="6" t="s">
        <v>76</v>
      </c>
      <c r="E1936" s="6"/>
      <c r="K1936" s="7">
        <v>44006132</v>
      </c>
      <c r="L1936" s="5" t="str">
        <f t="shared" si="203"/>
        <v>AR HÜNKAR V2 KARYOLA BAZALI 180CM</v>
      </c>
      <c r="M1936" s="8">
        <v>0.15</v>
      </c>
      <c r="N1936" s="8">
        <v>0.1</v>
      </c>
      <c r="O1936" s="8">
        <v>28300</v>
      </c>
      <c r="P1936" s="8">
        <f t="shared" si="198"/>
        <v>25470</v>
      </c>
      <c r="Q1936" s="12">
        <f t="shared" si="199"/>
        <v>53487</v>
      </c>
      <c r="R1936" s="31">
        <f t="shared" si="200"/>
        <v>53400</v>
      </c>
      <c r="T1936" s="8">
        <v>33535</v>
      </c>
      <c r="V1936" s="8">
        <f t="shared" si="201"/>
        <v>30181.5</v>
      </c>
      <c r="W1936" s="8">
        <f t="shared" si="202"/>
        <v>75453.75</v>
      </c>
    </row>
    <row r="1937" spans="1:23" ht="21.95" customHeight="1" x14ac:dyDescent="0.2">
      <c r="A1937" s="5" t="s">
        <v>17</v>
      </c>
      <c r="B1937" t="s">
        <v>1582</v>
      </c>
      <c r="C1937" s="5" t="s">
        <v>803</v>
      </c>
      <c r="D1937" s="6" t="s">
        <v>594</v>
      </c>
      <c r="E1937" s="6"/>
      <c r="K1937" s="7">
        <v>44006133</v>
      </c>
      <c r="L1937" s="5" t="str">
        <f t="shared" si="203"/>
        <v>AR HÜNKAR V2 KARYOLA İÇ KAYITLI 180CM</v>
      </c>
      <c r="M1937" s="8">
        <v>0.15</v>
      </c>
      <c r="N1937" s="8">
        <v>0.1</v>
      </c>
      <c r="O1937" s="8">
        <v>23700</v>
      </c>
      <c r="P1937" s="8">
        <f t="shared" si="198"/>
        <v>21330</v>
      </c>
      <c r="Q1937" s="12">
        <f t="shared" si="199"/>
        <v>44793</v>
      </c>
      <c r="R1937" s="31">
        <f t="shared" si="200"/>
        <v>44700</v>
      </c>
      <c r="T1937" s="8">
        <v>14520</v>
      </c>
      <c r="V1937" s="8">
        <f t="shared" si="201"/>
        <v>13068</v>
      </c>
      <c r="W1937" s="8">
        <f t="shared" si="202"/>
        <v>32670</v>
      </c>
    </row>
    <row r="1938" spans="1:23" ht="21.95" customHeight="1" x14ac:dyDescent="0.2">
      <c r="A1938" s="5" t="s">
        <v>17</v>
      </c>
      <c r="B1938" t="s">
        <v>1582</v>
      </c>
      <c r="C1938" s="5" t="s">
        <v>803</v>
      </c>
      <c r="D1938" s="6" t="s">
        <v>362</v>
      </c>
      <c r="E1938" s="6"/>
      <c r="K1938" s="7">
        <v>44006134</v>
      </c>
      <c r="L1938" s="5" t="str">
        <f t="shared" si="203"/>
        <v>AR HÜNKAR V2 KOMODİN</v>
      </c>
      <c r="M1938" s="8">
        <v>0.15</v>
      </c>
      <c r="N1938" s="8">
        <v>0.1</v>
      </c>
      <c r="O1938" s="8">
        <v>5430</v>
      </c>
      <c r="P1938" s="8">
        <f t="shared" si="198"/>
        <v>4887</v>
      </c>
      <c r="Q1938" s="12">
        <f t="shared" si="199"/>
        <v>10262.700000000001</v>
      </c>
      <c r="R1938" s="31">
        <f t="shared" si="200"/>
        <v>10200</v>
      </c>
      <c r="T1938" s="8">
        <v>21420</v>
      </c>
      <c r="V1938" s="8">
        <f t="shared" si="201"/>
        <v>19278</v>
      </c>
      <c r="W1938" s="8">
        <f t="shared" si="202"/>
        <v>48195</v>
      </c>
    </row>
    <row r="1939" spans="1:23" ht="21.95" customHeight="1" x14ac:dyDescent="0.2">
      <c r="A1939" s="5" t="s">
        <v>17</v>
      </c>
      <c r="B1939" t="s">
        <v>1582</v>
      </c>
      <c r="C1939" s="5" t="s">
        <v>803</v>
      </c>
      <c r="D1939" s="6" t="s">
        <v>361</v>
      </c>
      <c r="E1939" s="6"/>
      <c r="K1939" s="7">
        <v>44006135</v>
      </c>
      <c r="L1939" s="5" t="str">
        <f t="shared" si="203"/>
        <v>AR HÜNKAR V2 DOLAP</v>
      </c>
      <c r="M1939" s="8">
        <v>0.15</v>
      </c>
      <c r="N1939" s="8">
        <v>0.1</v>
      </c>
      <c r="O1939" s="8">
        <v>38275</v>
      </c>
      <c r="P1939" s="8">
        <f t="shared" si="198"/>
        <v>34447.5</v>
      </c>
      <c r="Q1939" s="12">
        <f t="shared" si="199"/>
        <v>72339.75</v>
      </c>
      <c r="R1939" s="31">
        <f t="shared" si="200"/>
        <v>72300</v>
      </c>
      <c r="T1939" s="8">
        <v>26020</v>
      </c>
      <c r="V1939" s="8">
        <f t="shared" si="201"/>
        <v>23418</v>
      </c>
      <c r="W1939" s="8">
        <f t="shared" si="202"/>
        <v>58545</v>
      </c>
    </row>
    <row r="1940" spans="1:23" ht="21.95" customHeight="1" x14ac:dyDescent="0.2">
      <c r="A1940" s="5" t="s">
        <v>17</v>
      </c>
      <c r="B1940" t="s">
        <v>1582</v>
      </c>
      <c r="C1940" s="5" t="s">
        <v>803</v>
      </c>
      <c r="D1940" s="6" t="s">
        <v>595</v>
      </c>
      <c r="E1940" s="6"/>
      <c r="K1940" s="7">
        <v>44006136</v>
      </c>
      <c r="L1940" s="5" t="str">
        <f t="shared" si="203"/>
        <v>AR HÜNKAR V2 ŞİFONYER &amp; AYNASI</v>
      </c>
      <c r="M1940" s="8">
        <v>0.15</v>
      </c>
      <c r="N1940" s="8">
        <v>0.1</v>
      </c>
      <c r="O1940" s="8">
        <v>15765</v>
      </c>
      <c r="P1940" s="8">
        <f t="shared" si="198"/>
        <v>14188.5</v>
      </c>
      <c r="Q1940" s="12">
        <f t="shared" si="199"/>
        <v>29795.850000000002</v>
      </c>
      <c r="R1940" s="31">
        <f t="shared" si="200"/>
        <v>29700</v>
      </c>
      <c r="T1940" s="8">
        <v>28520</v>
      </c>
      <c r="V1940" s="8">
        <f t="shared" si="201"/>
        <v>25668</v>
      </c>
      <c r="W1940" s="8">
        <f t="shared" si="202"/>
        <v>64170</v>
      </c>
    </row>
    <row r="1941" spans="1:23" ht="21.95" customHeight="1" x14ac:dyDescent="0.2">
      <c r="A1941" s="5" t="s">
        <v>17</v>
      </c>
      <c r="B1941" t="s">
        <v>1582</v>
      </c>
      <c r="C1941" s="5" t="s">
        <v>803</v>
      </c>
      <c r="D1941" s="6" t="s">
        <v>126</v>
      </c>
      <c r="E1941" s="6"/>
      <c r="K1941" s="7">
        <v>44006137</v>
      </c>
      <c r="L1941" s="5" t="str">
        <f t="shared" si="203"/>
        <v>AR HÜNKAR V2 ÇAMAŞIRLIK</v>
      </c>
      <c r="M1941" s="8">
        <v>0.15</v>
      </c>
      <c r="N1941" s="8">
        <v>0.1</v>
      </c>
      <c r="O1941" s="8">
        <v>12290</v>
      </c>
      <c r="P1941" s="8">
        <f t="shared" si="198"/>
        <v>11061</v>
      </c>
      <c r="Q1941" s="12">
        <f t="shared" si="199"/>
        <v>23228.100000000002</v>
      </c>
      <c r="R1941" s="31">
        <f t="shared" si="200"/>
        <v>23200</v>
      </c>
      <c r="T1941" s="8">
        <v>23920</v>
      </c>
      <c r="V1941" s="8">
        <f t="shared" si="201"/>
        <v>21528</v>
      </c>
      <c r="W1941" s="8">
        <f t="shared" si="202"/>
        <v>53820</v>
      </c>
    </row>
    <row r="1942" spans="1:23" ht="21.95" customHeight="1" x14ac:dyDescent="0.2">
      <c r="A1942" s="5" t="s">
        <v>17</v>
      </c>
      <c r="B1942" t="s">
        <v>1582</v>
      </c>
      <c r="C1942" s="5" t="s">
        <v>803</v>
      </c>
      <c r="D1942" s="6" t="s">
        <v>82</v>
      </c>
      <c r="E1942" s="6"/>
      <c r="K1942" s="7">
        <v>44006138</v>
      </c>
      <c r="L1942" s="5" t="str">
        <f t="shared" si="203"/>
        <v>AR HÜNKAR V2 BOY AYNASI</v>
      </c>
      <c r="M1942" s="8">
        <v>0.15</v>
      </c>
      <c r="N1942" s="8">
        <v>0.1</v>
      </c>
      <c r="O1942" s="8">
        <v>4305</v>
      </c>
      <c r="P1942" s="8">
        <f t="shared" si="198"/>
        <v>3874.5</v>
      </c>
      <c r="Q1942" s="12">
        <f t="shared" si="199"/>
        <v>8136.4500000000007</v>
      </c>
      <c r="R1942" s="31">
        <f t="shared" si="200"/>
        <v>8100</v>
      </c>
      <c r="T1942" s="8">
        <v>10815</v>
      </c>
      <c r="V1942" s="8">
        <f t="shared" si="201"/>
        <v>9733.5</v>
      </c>
      <c r="W1942" s="8">
        <f t="shared" si="202"/>
        <v>24333.75</v>
      </c>
    </row>
    <row r="1943" spans="1:23" ht="21.95" customHeight="1" x14ac:dyDescent="0.2">
      <c r="A1943" s="5" t="s">
        <v>17</v>
      </c>
      <c r="B1943" t="s">
        <v>1582</v>
      </c>
      <c r="C1943" s="5" t="s">
        <v>803</v>
      </c>
      <c r="D1943" s="6" t="s">
        <v>119</v>
      </c>
      <c r="E1943" s="6"/>
      <c r="K1943" s="7">
        <v>44006139</v>
      </c>
      <c r="L1943" s="5" t="str">
        <f t="shared" si="203"/>
        <v>AR HÜNKAR V2 PUF</v>
      </c>
      <c r="M1943" s="8">
        <v>0.15</v>
      </c>
      <c r="N1943" s="8">
        <v>0.1</v>
      </c>
      <c r="O1943" s="8">
        <v>2990</v>
      </c>
      <c r="P1943" s="8">
        <f t="shared" si="198"/>
        <v>2691</v>
      </c>
      <c r="Q1943" s="12">
        <f t="shared" si="199"/>
        <v>5651.1</v>
      </c>
      <c r="R1943" s="31">
        <f t="shared" si="200"/>
        <v>5600</v>
      </c>
      <c r="T1943" s="8">
        <v>45795</v>
      </c>
      <c r="V1943" s="8">
        <f t="shared" si="201"/>
        <v>41215.5</v>
      </c>
      <c r="W1943" s="8">
        <f t="shared" si="202"/>
        <v>103038.75</v>
      </c>
    </row>
    <row r="1944" spans="1:23" ht="21.95" customHeight="1" x14ac:dyDescent="0.2">
      <c r="A1944" s="5" t="s">
        <v>17</v>
      </c>
      <c r="B1944" t="s">
        <v>1582</v>
      </c>
      <c r="C1944" s="6" t="s">
        <v>802</v>
      </c>
      <c r="D1944" s="6" t="s">
        <v>29</v>
      </c>
      <c r="E1944" s="6"/>
      <c r="K1944" s="7">
        <v>44006140</v>
      </c>
      <c r="L1944" s="5" t="str">
        <f t="shared" si="203"/>
        <v>AR VOGA ORTA SEHPA</v>
      </c>
      <c r="M1944" s="8">
        <v>0.15</v>
      </c>
      <c r="N1944" s="8">
        <v>0.1</v>
      </c>
      <c r="O1944" s="8">
        <v>25165</v>
      </c>
      <c r="P1944" s="8">
        <f t="shared" si="198"/>
        <v>22648.5</v>
      </c>
      <c r="Q1944" s="12">
        <f t="shared" si="199"/>
        <v>47561.85</v>
      </c>
      <c r="R1944" s="31">
        <f t="shared" si="200"/>
        <v>47500</v>
      </c>
      <c r="T1944" s="8">
        <v>25860</v>
      </c>
      <c r="V1944" s="8">
        <f t="shared" si="201"/>
        <v>23274</v>
      </c>
      <c r="W1944" s="8">
        <f t="shared" si="202"/>
        <v>58185</v>
      </c>
    </row>
    <row r="1945" spans="1:23" ht="21.95" customHeight="1" x14ac:dyDescent="0.2">
      <c r="A1945" s="5" t="s">
        <v>17</v>
      </c>
      <c r="B1945" t="s">
        <v>1582</v>
      </c>
      <c r="C1945" s="6" t="s">
        <v>802</v>
      </c>
      <c r="D1945" s="6" t="s">
        <v>496</v>
      </c>
      <c r="E1945" s="6"/>
      <c r="K1945" s="7">
        <v>44006141</v>
      </c>
      <c r="L1945" s="5" t="str">
        <f t="shared" si="203"/>
        <v>AR VOGA TV ÜNİTESİ ALT MODÜL</v>
      </c>
      <c r="M1945" s="8">
        <v>0.15</v>
      </c>
      <c r="N1945" s="8">
        <v>0.1</v>
      </c>
      <c r="O1945" s="8">
        <v>14035</v>
      </c>
      <c r="P1945" s="8">
        <f t="shared" si="198"/>
        <v>12631.5</v>
      </c>
      <c r="Q1945" s="12">
        <f t="shared" si="199"/>
        <v>26526.15</v>
      </c>
      <c r="R1945" s="31">
        <f t="shared" si="200"/>
        <v>26500</v>
      </c>
      <c r="T1945" s="8">
        <v>14655</v>
      </c>
      <c r="V1945" s="8">
        <f t="shared" si="201"/>
        <v>13189.5</v>
      </c>
      <c r="W1945" s="8">
        <f t="shared" si="202"/>
        <v>32973.75</v>
      </c>
    </row>
    <row r="1946" spans="1:23" ht="21.95" customHeight="1" x14ac:dyDescent="0.2">
      <c r="B1946" t="s">
        <v>1582</v>
      </c>
      <c r="C1946" s="6" t="s">
        <v>1875</v>
      </c>
      <c r="D1946" s="6" t="s">
        <v>1884</v>
      </c>
      <c r="K1946" s="7">
        <v>44006142</v>
      </c>
      <c r="L1946" s="6" t="str">
        <f t="shared" si="203"/>
        <v>AR DRESS 25 CM RAFLI MODÜL M-01</v>
      </c>
      <c r="T1946" s="8">
        <v>4775</v>
      </c>
      <c r="V1946" s="8">
        <f t="shared" si="201"/>
        <v>4297.5</v>
      </c>
      <c r="W1946" s="8">
        <f t="shared" si="202"/>
        <v>10743.75</v>
      </c>
    </row>
    <row r="1947" spans="1:23" ht="21.95" customHeight="1" x14ac:dyDescent="0.2">
      <c r="B1947" t="s">
        <v>1582</v>
      </c>
      <c r="C1947" s="6" t="s">
        <v>1875</v>
      </c>
      <c r="D1947" s="6" t="s">
        <v>1885</v>
      </c>
      <c r="K1947" s="7">
        <v>44006143</v>
      </c>
      <c r="L1947" s="6" t="str">
        <f t="shared" si="203"/>
        <v>AR DRESS 35 CM RAFLI MODÜL M-02</v>
      </c>
      <c r="T1947" s="8">
        <v>3170</v>
      </c>
      <c r="V1947" s="8">
        <f t="shared" si="201"/>
        <v>2853</v>
      </c>
      <c r="W1947" s="8">
        <f t="shared" si="202"/>
        <v>7132.5</v>
      </c>
    </row>
    <row r="1948" spans="1:23" ht="21.95" customHeight="1" x14ac:dyDescent="0.2">
      <c r="B1948" t="s">
        <v>1582</v>
      </c>
      <c r="C1948" s="6" t="s">
        <v>1875</v>
      </c>
      <c r="D1948" s="6" t="s">
        <v>1887</v>
      </c>
      <c r="K1948" s="7">
        <v>44006144</v>
      </c>
      <c r="L1948" s="6" t="str">
        <f t="shared" si="203"/>
        <v>AR DRESS 120 CM ADA MODÜL 8 ÇEKMECE (BRONZ M-03)</v>
      </c>
      <c r="T1948" s="8">
        <v>52640</v>
      </c>
      <c r="V1948" s="8">
        <f t="shared" si="201"/>
        <v>47376</v>
      </c>
      <c r="W1948" s="8">
        <f t="shared" si="202"/>
        <v>118440</v>
      </c>
    </row>
    <row r="1949" spans="1:23" ht="21.95" customHeight="1" x14ac:dyDescent="0.2">
      <c r="B1949" t="s">
        <v>1582</v>
      </c>
      <c r="C1949" s="6" t="s">
        <v>1875</v>
      </c>
      <c r="D1949" s="6" t="s">
        <v>1886</v>
      </c>
      <c r="K1949" s="7">
        <v>44006145</v>
      </c>
      <c r="L1949" s="6" t="str">
        <f t="shared" si="203"/>
        <v>AR DRESS 120 CM ADA MODÜL 8 ÇEKMECE (MAT SİYAH M-07)</v>
      </c>
      <c r="T1949" s="8">
        <v>7762</v>
      </c>
      <c r="V1949" s="8">
        <f t="shared" si="201"/>
        <v>6985.8</v>
      </c>
      <c r="W1949" s="8">
        <f t="shared" si="202"/>
        <v>17464.5</v>
      </c>
    </row>
    <row r="1950" spans="1:23" ht="21.95" customHeight="1" x14ac:dyDescent="0.2">
      <c r="B1950" t="s">
        <v>1582</v>
      </c>
      <c r="C1950" s="6" t="s">
        <v>1875</v>
      </c>
      <c r="D1950" s="6" t="s">
        <v>1888</v>
      </c>
      <c r="K1950" s="7">
        <v>44006146</v>
      </c>
      <c r="L1950" s="6" t="str">
        <f t="shared" si="203"/>
        <v>AR DRESS 120 CM ADA MODÜL 8 ÇEKMECE (MAT ALTIN M-09)</v>
      </c>
      <c r="T1950" s="8">
        <v>18450</v>
      </c>
      <c r="V1950" s="8">
        <f t="shared" si="201"/>
        <v>16605</v>
      </c>
      <c r="W1950" s="8">
        <f t="shared" si="202"/>
        <v>41512.5</v>
      </c>
    </row>
    <row r="1951" spans="1:23" ht="21.95" customHeight="1" x14ac:dyDescent="0.2">
      <c r="B1951" t="s">
        <v>1582</v>
      </c>
      <c r="C1951" s="6" t="s">
        <v>1875</v>
      </c>
      <c r="D1951" s="6" t="s">
        <v>1889</v>
      </c>
      <c r="K1951" s="7">
        <v>44006147</v>
      </c>
      <c r="L1951" s="6" t="str">
        <f t="shared" si="203"/>
        <v>AR DRESS ADA MODÜL RAF 4 ÇEKMECE (BRONZ M-04)</v>
      </c>
      <c r="T1951" s="8">
        <v>23985</v>
      </c>
      <c r="V1951" s="8">
        <f t="shared" si="201"/>
        <v>21586.5</v>
      </c>
      <c r="W1951" s="8">
        <f t="shared" si="202"/>
        <v>53966.25</v>
      </c>
    </row>
    <row r="1952" spans="1:23" ht="21.95" customHeight="1" x14ac:dyDescent="0.2">
      <c r="B1952" t="s">
        <v>1582</v>
      </c>
      <c r="C1952" s="6" t="s">
        <v>1875</v>
      </c>
      <c r="D1952" s="6" t="s">
        <v>1890</v>
      </c>
      <c r="K1952" s="7">
        <v>44006148</v>
      </c>
      <c r="L1952" s="6" t="str">
        <f t="shared" si="203"/>
        <v>AR DRESS ADA MODÜL RAF 4 ÇEKMECE (MAT SİYAH M-08)</v>
      </c>
      <c r="T1952" s="8">
        <v>27411</v>
      </c>
      <c r="V1952" s="8">
        <f t="shared" si="201"/>
        <v>24669.9</v>
      </c>
      <c r="W1952" s="8">
        <f t="shared" si="202"/>
        <v>61674.75</v>
      </c>
    </row>
    <row r="1953" spans="2:23" ht="21.95" customHeight="1" x14ac:dyDescent="0.2">
      <c r="B1953" t="s">
        <v>1582</v>
      </c>
      <c r="C1953" s="6" t="s">
        <v>1875</v>
      </c>
      <c r="D1953" s="6" t="s">
        <v>1891</v>
      </c>
      <c r="K1953" s="7">
        <v>44006149</v>
      </c>
      <c r="L1953" s="6" t="str">
        <f t="shared" si="203"/>
        <v>AR DRESS ADA MODÜL RAF 4 ÇEKMECE (MAT ALTIN M-10)</v>
      </c>
      <c r="T1953" s="8">
        <v>4323</v>
      </c>
      <c r="V1953" s="8">
        <f t="shared" si="201"/>
        <v>3890.7000000000003</v>
      </c>
      <c r="W1953" s="8">
        <f t="shared" si="202"/>
        <v>9726.75</v>
      </c>
    </row>
    <row r="1954" spans="2:23" ht="21.95" customHeight="1" x14ac:dyDescent="0.2">
      <c r="B1954" t="s">
        <v>1582</v>
      </c>
      <c r="C1954" s="6" t="s">
        <v>1875</v>
      </c>
      <c r="D1954" s="6" t="s">
        <v>1892</v>
      </c>
      <c r="K1954" s="7">
        <v>44006150</v>
      </c>
      <c r="L1954" s="6" t="str">
        <f t="shared" si="203"/>
        <v>AR DRESS 115 CM MAKYAJ MASASI MODÜL M-05</v>
      </c>
      <c r="T1954" s="8">
        <v>23530</v>
      </c>
      <c r="V1954" s="8">
        <f t="shared" si="201"/>
        <v>21177</v>
      </c>
      <c r="W1954" s="8">
        <f t="shared" si="202"/>
        <v>52942.5</v>
      </c>
    </row>
    <row r="1955" spans="2:23" ht="21.95" customHeight="1" x14ac:dyDescent="0.2">
      <c r="B1955" t="s">
        <v>1582</v>
      </c>
      <c r="C1955" s="6" t="s">
        <v>1875</v>
      </c>
      <c r="D1955" s="6" t="s">
        <v>1893</v>
      </c>
      <c r="K1955" s="7">
        <v>44006151</v>
      </c>
      <c r="L1955" s="6" t="str">
        <f t="shared" si="203"/>
        <v>AR DRESS 59 CM BOY AYNALI MODÜL M-06</v>
      </c>
      <c r="T1955" s="8">
        <v>3795</v>
      </c>
      <c r="V1955" s="8">
        <f t="shared" si="201"/>
        <v>3415.5</v>
      </c>
      <c r="W1955" s="8">
        <f t="shared" si="202"/>
        <v>8538.75</v>
      </c>
    </row>
    <row r="1956" spans="2:23" ht="21.95" customHeight="1" x14ac:dyDescent="0.2">
      <c r="B1956" t="s">
        <v>1582</v>
      </c>
      <c r="C1956" s="6" t="s">
        <v>1875</v>
      </c>
      <c r="D1956" s="6" t="s">
        <v>1876</v>
      </c>
      <c r="K1956" s="7">
        <v>44006152</v>
      </c>
      <c r="L1956" s="6" t="str">
        <f t="shared" si="203"/>
        <v xml:space="preserve">AR DRESS MAKYAJ PUFU </v>
      </c>
      <c r="T1956" s="8">
        <v>40115</v>
      </c>
      <c r="V1956" s="8">
        <f t="shared" si="201"/>
        <v>36103.5</v>
      </c>
      <c r="W1956" s="8">
        <f t="shared" si="202"/>
        <v>90258.75</v>
      </c>
    </row>
    <row r="1957" spans="2:23" ht="21.95" customHeight="1" x14ac:dyDescent="0.2">
      <c r="B1957" t="s">
        <v>1582</v>
      </c>
      <c r="C1957" s="6" t="s">
        <v>1875</v>
      </c>
      <c r="D1957" s="6" t="s">
        <v>1894</v>
      </c>
      <c r="K1957" s="7">
        <v>44006153</v>
      </c>
      <c r="L1957" s="6" t="str">
        <f t="shared" si="203"/>
        <v>AR DRESS 50 CM BOY ASKILI MODÜL M-20</v>
      </c>
      <c r="T1957" s="8">
        <v>15480</v>
      </c>
      <c r="V1957" s="8">
        <f t="shared" si="201"/>
        <v>13932</v>
      </c>
      <c r="W1957" s="8">
        <f t="shared" si="202"/>
        <v>34830</v>
      </c>
    </row>
    <row r="1958" spans="2:23" ht="21.95" customHeight="1" x14ac:dyDescent="0.2">
      <c r="B1958" t="s">
        <v>1582</v>
      </c>
      <c r="C1958" s="6" t="s">
        <v>1875</v>
      </c>
      <c r="D1958" s="6" t="s">
        <v>1895</v>
      </c>
      <c r="K1958" s="7">
        <v>44006154</v>
      </c>
      <c r="L1958" s="6" t="str">
        <f t="shared" si="203"/>
        <v>AR DRESS 50 CM RAFLI MODÜL M-21</v>
      </c>
      <c r="T1958" s="8">
        <v>12860</v>
      </c>
      <c r="V1958" s="8">
        <f t="shared" si="201"/>
        <v>11574</v>
      </c>
      <c r="W1958" s="8">
        <f t="shared" si="202"/>
        <v>28935</v>
      </c>
    </row>
    <row r="1959" spans="2:23" ht="21.95" customHeight="1" x14ac:dyDescent="0.2">
      <c r="B1959" t="s">
        <v>1582</v>
      </c>
      <c r="C1959" s="6" t="s">
        <v>1875</v>
      </c>
      <c r="D1959" s="6" t="s">
        <v>1896</v>
      </c>
      <c r="K1959" s="7">
        <v>44006155</v>
      </c>
      <c r="L1959" s="6" t="str">
        <f t="shared" si="203"/>
        <v>AR DRESS 200 CM AKORDİYONLU MODÜL M-70</v>
      </c>
      <c r="T1959" s="8">
        <v>43240</v>
      </c>
      <c r="V1959" s="8">
        <f t="shared" si="201"/>
        <v>38916</v>
      </c>
      <c r="W1959" s="8">
        <f t="shared" si="202"/>
        <v>97290</v>
      </c>
    </row>
    <row r="1960" spans="2:23" ht="21.95" customHeight="1" x14ac:dyDescent="0.2">
      <c r="B1960" t="s">
        <v>1582</v>
      </c>
      <c r="C1960" s="6" t="s">
        <v>1875</v>
      </c>
      <c r="D1960" s="6" t="s">
        <v>1897</v>
      </c>
      <c r="K1960" s="7">
        <v>44006156</v>
      </c>
      <c r="L1960" s="6" t="str">
        <f t="shared" si="203"/>
        <v>AR DRESS 200 CM ÇEKMECELİ AKORDİYON MODÜL M-71</v>
      </c>
      <c r="T1960" s="8">
        <v>39075</v>
      </c>
      <c r="V1960" s="8">
        <f t="shared" si="201"/>
        <v>35167.5</v>
      </c>
      <c r="W1960" s="8">
        <f t="shared" si="202"/>
        <v>87918.75</v>
      </c>
    </row>
    <row r="1961" spans="2:23" ht="21.95" customHeight="1" x14ac:dyDescent="0.2">
      <c r="B1961" t="s">
        <v>1582</v>
      </c>
      <c r="C1961" s="6" t="s">
        <v>1875</v>
      </c>
      <c r="D1961" s="6" t="s">
        <v>1898</v>
      </c>
      <c r="K1961" s="7">
        <v>44006157</v>
      </c>
      <c r="L1961" s="6" t="str">
        <f t="shared" si="203"/>
        <v>AR DRESS 200 CM BOY ASKILI AKORDİYON MODÜL M-72</v>
      </c>
      <c r="T1961" s="8">
        <v>18790</v>
      </c>
      <c r="V1961" s="8">
        <f t="shared" si="201"/>
        <v>16911</v>
      </c>
      <c r="W1961" s="8">
        <f t="shared" si="202"/>
        <v>42277.5</v>
      </c>
    </row>
    <row r="1962" spans="2:23" ht="21.95" customHeight="1" x14ac:dyDescent="0.2">
      <c r="B1962" t="s">
        <v>1582</v>
      </c>
      <c r="C1962" s="6" t="s">
        <v>1875</v>
      </c>
      <c r="D1962" s="6" t="s">
        <v>1883</v>
      </c>
      <c r="K1962" s="7">
        <v>44006158</v>
      </c>
      <c r="L1962" s="6" t="str">
        <f t="shared" si="203"/>
        <v>AR DRESS 96 CM KÖŞE MODÜL M-80</v>
      </c>
      <c r="T1962" s="8">
        <v>27260</v>
      </c>
      <c r="V1962" s="8">
        <f t="shared" si="201"/>
        <v>24534</v>
      </c>
      <c r="W1962" s="8">
        <f t="shared" si="202"/>
        <v>61335</v>
      </c>
    </row>
    <row r="1963" spans="2:23" ht="21.95" customHeight="1" x14ac:dyDescent="0.2">
      <c r="B1963" t="s">
        <v>1582</v>
      </c>
      <c r="C1963" s="6" t="s">
        <v>1875</v>
      </c>
      <c r="D1963" s="6" t="s">
        <v>1882</v>
      </c>
      <c r="K1963" s="7">
        <v>44006159</v>
      </c>
      <c r="L1963" s="6" t="str">
        <f t="shared" si="203"/>
        <v>AR DRESS 110 CM KÖŞE MODÜL M-81</v>
      </c>
      <c r="T1963" s="8">
        <v>13940</v>
      </c>
      <c r="V1963" s="8">
        <f t="shared" si="201"/>
        <v>12546</v>
      </c>
      <c r="W1963" s="8">
        <f t="shared" si="202"/>
        <v>31365</v>
      </c>
    </row>
    <row r="1964" spans="2:23" ht="21.95" customHeight="1" x14ac:dyDescent="0.2">
      <c r="B1964" t="s">
        <v>1582</v>
      </c>
      <c r="C1964" s="6" t="s">
        <v>1875</v>
      </c>
      <c r="D1964" s="6" t="s">
        <v>1881</v>
      </c>
      <c r="K1964" s="7">
        <v>44006160</v>
      </c>
      <c r="L1964" s="6" t="str">
        <f t="shared" si="203"/>
        <v>AR DRESS 100 CM RAFLI MODÜL M-22</v>
      </c>
      <c r="T1964" s="8">
        <v>19040</v>
      </c>
      <c r="V1964" s="8">
        <f t="shared" si="201"/>
        <v>17136</v>
      </c>
      <c r="W1964" s="8">
        <f t="shared" si="202"/>
        <v>42840</v>
      </c>
    </row>
    <row r="1965" spans="2:23" ht="21.95" customHeight="1" x14ac:dyDescent="0.2">
      <c r="B1965" t="s">
        <v>1582</v>
      </c>
      <c r="C1965" s="6" t="s">
        <v>1875</v>
      </c>
      <c r="D1965" s="6" t="s">
        <v>1880</v>
      </c>
      <c r="K1965" s="7">
        <v>44006161</v>
      </c>
      <c r="L1965" s="6" t="str">
        <f t="shared" si="203"/>
        <v>AR DRESS 100 CM TEK ASKI BORU MODÜL M-39</v>
      </c>
      <c r="T1965" s="8">
        <v>27175</v>
      </c>
      <c r="V1965" s="8">
        <f t="shared" si="201"/>
        <v>24457.5</v>
      </c>
      <c r="W1965" s="8">
        <f t="shared" si="202"/>
        <v>61143.75</v>
      </c>
    </row>
    <row r="1966" spans="2:23" ht="21.95" customHeight="1" x14ac:dyDescent="0.2">
      <c r="B1966" t="s">
        <v>1582</v>
      </c>
      <c r="C1966" s="6" t="s">
        <v>1875</v>
      </c>
      <c r="D1966" s="6" t="s">
        <v>1879</v>
      </c>
      <c r="K1966" s="7">
        <v>44006162</v>
      </c>
      <c r="L1966" s="6" t="str">
        <f t="shared" si="203"/>
        <v>AR DRESS 100 CM ÇİFT ASKI BORU MODÜL M-49</v>
      </c>
      <c r="T1966" s="8">
        <v>22110</v>
      </c>
      <c r="V1966" s="8">
        <f t="shared" si="201"/>
        <v>19899</v>
      </c>
      <c r="W1966" s="8">
        <f t="shared" si="202"/>
        <v>49747.5</v>
      </c>
    </row>
    <row r="1967" spans="2:23" ht="21.95" customHeight="1" x14ac:dyDescent="0.2">
      <c r="B1967" t="s">
        <v>1582</v>
      </c>
      <c r="C1967" s="6" t="s">
        <v>1875</v>
      </c>
      <c r="D1967" s="6" t="s">
        <v>1878</v>
      </c>
      <c r="K1967" s="7">
        <v>44006163</v>
      </c>
      <c r="L1967" s="6" t="str">
        <f t="shared" si="203"/>
        <v>AR DRESS 100 CM PANTOLONLUKLU MODÜL M-59</v>
      </c>
      <c r="T1967" s="8">
        <v>16630</v>
      </c>
      <c r="V1967" s="8">
        <f t="shared" si="201"/>
        <v>14967</v>
      </c>
      <c r="W1967" s="8">
        <f t="shared" si="202"/>
        <v>37417.5</v>
      </c>
    </row>
    <row r="1968" spans="2:23" ht="21.95" customHeight="1" x14ac:dyDescent="0.2">
      <c r="B1968" t="s">
        <v>1582</v>
      </c>
      <c r="C1968" s="6" t="s">
        <v>1875</v>
      </c>
      <c r="D1968" s="6" t="s">
        <v>1877</v>
      </c>
      <c r="K1968" s="7">
        <v>44006164</v>
      </c>
      <c r="L1968" s="6" t="str">
        <f t="shared" si="203"/>
        <v>AR DRESS 100 CM BOY ASKI MODÜL M-60</v>
      </c>
      <c r="T1968" s="8">
        <v>4065</v>
      </c>
      <c r="V1968" s="8">
        <f t="shared" si="201"/>
        <v>3658.5</v>
      </c>
      <c r="W1968" s="8">
        <f t="shared" si="202"/>
        <v>9146.25</v>
      </c>
    </row>
    <row r="1969" spans="2:23" ht="21.95" customHeight="1" x14ac:dyDescent="0.2">
      <c r="B1969" t="s">
        <v>1582</v>
      </c>
      <c r="C1969" s="6" t="s">
        <v>1875</v>
      </c>
      <c r="D1969" s="6" t="s">
        <v>1900</v>
      </c>
      <c r="K1969" s="7">
        <v>44006165</v>
      </c>
      <c r="L1969" s="6" t="str">
        <f t="shared" si="203"/>
        <v>AR DRESS BOY ASKI, KASALI, 2 Lİ BÖLMELİ RAF MODÜL O-61</v>
      </c>
      <c r="T1969" s="8">
        <v>10310</v>
      </c>
      <c r="V1969" s="8">
        <f t="shared" si="201"/>
        <v>9279</v>
      </c>
      <c r="W1969" s="8">
        <f t="shared" si="202"/>
        <v>23197.5</v>
      </c>
    </row>
    <row r="1970" spans="2:23" ht="21.95" customHeight="1" x14ac:dyDescent="0.2">
      <c r="B1970" t="s">
        <v>1582</v>
      </c>
      <c r="C1970" s="6" t="s">
        <v>1875</v>
      </c>
      <c r="D1970" s="6" t="s">
        <v>1899</v>
      </c>
      <c r="K1970" s="7">
        <v>44006166</v>
      </c>
      <c r="L1970" s="6" t="str">
        <f t="shared" si="203"/>
        <v>AR DRESS BOY ASKI,4 LÜ BÖLMELİ RAF MODÜL O-62</v>
      </c>
      <c r="T1970" s="8">
        <v>10790</v>
      </c>
      <c r="V1970" s="8">
        <f t="shared" si="201"/>
        <v>9711</v>
      </c>
      <c r="W1970" s="8">
        <f t="shared" si="202"/>
        <v>24277.5</v>
      </c>
    </row>
    <row r="1971" spans="2:23" ht="21.95" customHeight="1" x14ac:dyDescent="0.2">
      <c r="B1971" t="s">
        <v>1582</v>
      </c>
      <c r="C1971" s="6" t="s">
        <v>1875</v>
      </c>
      <c r="D1971" s="6" t="s">
        <v>1901</v>
      </c>
      <c r="K1971" s="7">
        <v>44006167</v>
      </c>
      <c r="L1971" s="6" t="str">
        <f t="shared" si="203"/>
        <v>AR DRESS KAPALI ÇEKMECELİ DOLAP MODÜL O-30</v>
      </c>
      <c r="T1971" s="8">
        <v>10400</v>
      </c>
      <c r="V1971" s="8">
        <f t="shared" si="201"/>
        <v>9360</v>
      </c>
      <c r="W1971" s="8">
        <f t="shared" si="202"/>
        <v>23400</v>
      </c>
    </row>
    <row r="1972" spans="2:23" ht="21.95" customHeight="1" x14ac:dyDescent="0.2">
      <c r="B1972" t="s">
        <v>1582</v>
      </c>
      <c r="C1972" s="6" t="s">
        <v>1875</v>
      </c>
      <c r="D1972" s="6" t="s">
        <v>1902</v>
      </c>
      <c r="K1972" s="7">
        <v>44006168</v>
      </c>
      <c r="L1972" s="6" t="str">
        <f t="shared" si="203"/>
        <v>AR DRESS KAPALI 4 ÇEKMECELİ DOLAP MODÜL O-31</v>
      </c>
      <c r="T1972" s="8">
        <v>25690</v>
      </c>
      <c r="V1972" s="8">
        <f t="shared" si="201"/>
        <v>23121</v>
      </c>
      <c r="W1972" s="8">
        <f t="shared" si="202"/>
        <v>57802.5</v>
      </c>
    </row>
    <row r="1973" spans="2:23" ht="21.95" customHeight="1" x14ac:dyDescent="0.2">
      <c r="B1973" t="s">
        <v>1582</v>
      </c>
      <c r="C1973" s="6" t="s">
        <v>1875</v>
      </c>
      <c r="D1973" s="6" t="s">
        <v>1903</v>
      </c>
      <c r="K1973" s="7">
        <v>44006169</v>
      </c>
      <c r="L1973" s="6" t="str">
        <f t="shared" si="203"/>
        <v>AR DRESS KAPALI 2 ÇEKMECE CAMLI 2 ÇEKMECE DOLAP MODÜL O-32</v>
      </c>
      <c r="T1973" s="8">
        <v>18385</v>
      </c>
      <c r="V1973" s="8">
        <f t="shared" si="201"/>
        <v>16546.5</v>
      </c>
      <c r="W1973" s="8">
        <f t="shared" si="202"/>
        <v>41366.25</v>
      </c>
    </row>
    <row r="1974" spans="2:23" ht="21.95" customHeight="1" x14ac:dyDescent="0.2">
      <c r="B1974" t="s">
        <v>1582</v>
      </c>
      <c r="C1974" s="6" t="s">
        <v>1875</v>
      </c>
      <c r="D1974" s="6" t="s">
        <v>1904</v>
      </c>
      <c r="K1974" s="7">
        <v>44006170</v>
      </c>
      <c r="L1974" s="6" t="str">
        <f t="shared" si="203"/>
        <v>AR DRESS KAPALI 2 ÇEKMECE AÇIK 2 ÇEKMECE DOLAP MODÜL O-33</v>
      </c>
      <c r="T1974" s="8">
        <v>30290</v>
      </c>
      <c r="V1974" s="8">
        <f t="shared" si="201"/>
        <v>27261</v>
      </c>
      <c r="W1974" s="8">
        <f t="shared" si="202"/>
        <v>68152.5</v>
      </c>
    </row>
    <row r="1975" spans="2:23" ht="21.95" customHeight="1" x14ac:dyDescent="0.2">
      <c r="B1975" t="s">
        <v>1582</v>
      </c>
      <c r="C1975" s="6" t="s">
        <v>1875</v>
      </c>
      <c r="D1975" s="6" t="s">
        <v>1905</v>
      </c>
      <c r="K1975" s="7">
        <v>44006171</v>
      </c>
      <c r="L1975" s="6" t="str">
        <f t="shared" si="203"/>
        <v>AR DRESS KAPALI 2 ÇEKMECE KASALI DOLAP MODÜL O-34</v>
      </c>
      <c r="T1975" s="8">
        <v>22985</v>
      </c>
      <c r="V1975" s="8">
        <f t="shared" si="201"/>
        <v>20686.5</v>
      </c>
      <c r="W1975" s="8">
        <f t="shared" si="202"/>
        <v>51716.25</v>
      </c>
    </row>
    <row r="1976" spans="2:23" ht="21.95" customHeight="1" x14ac:dyDescent="0.2">
      <c r="B1976" t="s">
        <v>1582</v>
      </c>
      <c r="C1976" s="6" t="s">
        <v>1875</v>
      </c>
      <c r="D1976" s="6" t="s">
        <v>1906</v>
      </c>
      <c r="K1976" s="7">
        <v>44006172</v>
      </c>
      <c r="L1976" s="6" t="str">
        <f t="shared" si="203"/>
        <v>AR DRESS KAPALI 2 ÇEKMECE BÖLMELİ RAF MODÜL O-35</v>
      </c>
      <c r="T1976" s="8">
        <v>32790</v>
      </c>
      <c r="V1976" s="8">
        <f t="shared" si="201"/>
        <v>29511</v>
      </c>
      <c r="W1976" s="8">
        <f t="shared" si="202"/>
        <v>73777.5</v>
      </c>
    </row>
    <row r="1977" spans="2:23" ht="21.95" customHeight="1" x14ac:dyDescent="0.2">
      <c r="B1977" t="s">
        <v>1582</v>
      </c>
      <c r="C1977" s="6" t="s">
        <v>1875</v>
      </c>
      <c r="D1977" s="6" t="s">
        <v>1907</v>
      </c>
      <c r="K1977" s="7">
        <v>44006173</v>
      </c>
      <c r="L1977" s="6" t="str">
        <f t="shared" si="203"/>
        <v>AR DRESS CAMLI 2 ÇEKMECELİ DOLAP MODÜL O-40</v>
      </c>
      <c r="T1977" s="8">
        <v>25485</v>
      </c>
      <c r="V1977" s="8">
        <f t="shared" si="201"/>
        <v>22936.5</v>
      </c>
      <c r="W1977" s="8">
        <f t="shared" si="202"/>
        <v>57341.25</v>
      </c>
    </row>
    <row r="1978" spans="2:23" ht="21.95" customHeight="1" x14ac:dyDescent="0.2">
      <c r="B1978" t="s">
        <v>1582</v>
      </c>
      <c r="C1978" s="6" t="s">
        <v>1875</v>
      </c>
      <c r="D1978" s="6" t="s">
        <v>1908</v>
      </c>
      <c r="K1978" s="7">
        <v>44006174</v>
      </c>
      <c r="L1978" s="6" t="str">
        <f t="shared" si="203"/>
        <v>AR DRESS CAMLI 4 ÇEKMECELİ DOLAP MODÜL O-41</v>
      </c>
      <c r="T1978" s="8">
        <v>28190</v>
      </c>
      <c r="V1978" s="8">
        <f t="shared" si="201"/>
        <v>25371</v>
      </c>
      <c r="W1978" s="8">
        <f t="shared" si="202"/>
        <v>63427.5</v>
      </c>
    </row>
    <row r="1979" spans="2:23" ht="21.95" customHeight="1" x14ac:dyDescent="0.2">
      <c r="B1979" t="s">
        <v>1582</v>
      </c>
      <c r="C1979" s="6" t="s">
        <v>1875</v>
      </c>
      <c r="D1979" s="6" t="s">
        <v>1909</v>
      </c>
      <c r="K1979" s="7">
        <v>44006175</v>
      </c>
      <c r="L1979" s="6" t="str">
        <f t="shared" si="203"/>
        <v>AR DRESS CAMLI 2 ÇEKMECELİ KAPALI 2 ÇEKMECELİ DOLAP MODÜL O-42</v>
      </c>
      <c r="T1979" s="8">
        <v>20885</v>
      </c>
      <c r="V1979" s="8">
        <f t="shared" si="201"/>
        <v>18796.5</v>
      </c>
      <c r="W1979" s="8">
        <f t="shared" si="202"/>
        <v>46991.25</v>
      </c>
    </row>
    <row r="1980" spans="2:23" ht="21.95" customHeight="1" x14ac:dyDescent="0.2">
      <c r="B1980" t="s">
        <v>1582</v>
      </c>
      <c r="C1980" s="6" t="s">
        <v>1875</v>
      </c>
      <c r="D1980" s="6" t="s">
        <v>1910</v>
      </c>
      <c r="K1980" s="7">
        <v>44006176</v>
      </c>
      <c r="L1980" s="6" t="str">
        <f t="shared" si="203"/>
        <v>AR DRESS CAMLI 2 ÇEKMECELİ AÇIK 2 ÇEKMECELİ DOLAP MODÜL O-43</v>
      </c>
      <c r="T1980" s="8">
        <v>7305</v>
      </c>
      <c r="V1980" s="8">
        <f t="shared" si="201"/>
        <v>6574.5</v>
      </c>
      <c r="W1980" s="8">
        <f t="shared" si="202"/>
        <v>16436.25</v>
      </c>
    </row>
    <row r="1981" spans="2:23" ht="21.95" customHeight="1" x14ac:dyDescent="0.2">
      <c r="B1981" t="s">
        <v>1582</v>
      </c>
      <c r="C1981" s="6" t="s">
        <v>1875</v>
      </c>
      <c r="D1981" s="6" t="s">
        <v>1911</v>
      </c>
      <c r="K1981" s="7">
        <v>44006177</v>
      </c>
      <c r="L1981" s="6" t="str">
        <f t="shared" si="203"/>
        <v>AR DRESS CAMLI 2 ÇEKMECELİ KASALI DOLAP MODÜL O-44</v>
      </c>
      <c r="T1981" s="8">
        <v>6725</v>
      </c>
      <c r="V1981" s="8">
        <f t="shared" si="201"/>
        <v>6052.5</v>
      </c>
      <c r="W1981" s="8">
        <f t="shared" si="202"/>
        <v>15131.25</v>
      </c>
    </row>
    <row r="1982" spans="2:23" ht="21.95" customHeight="1" x14ac:dyDescent="0.2">
      <c r="B1982" t="s">
        <v>1582</v>
      </c>
      <c r="C1982" s="6" t="s">
        <v>1875</v>
      </c>
      <c r="D1982" s="6" t="s">
        <v>1912</v>
      </c>
      <c r="K1982" s="7">
        <v>44006178</v>
      </c>
      <c r="L1982" s="6" t="str">
        <f t="shared" si="203"/>
        <v>AR DRESS CAMLI 2 ÇEKMECELİ BÖLMELİ RAFLI DOLAP MODÜL O-45</v>
      </c>
      <c r="T1982" s="8">
        <v>48910</v>
      </c>
      <c r="V1982" s="8">
        <f t="shared" si="201"/>
        <v>44019</v>
      </c>
      <c r="W1982" s="8">
        <f t="shared" si="202"/>
        <v>110047.5</v>
      </c>
    </row>
    <row r="1983" spans="2:23" ht="21.95" customHeight="1" x14ac:dyDescent="0.2">
      <c r="B1983" t="s">
        <v>1582</v>
      </c>
      <c r="C1983" s="6" t="s">
        <v>1875</v>
      </c>
      <c r="D1983" s="6" t="s">
        <v>1913</v>
      </c>
      <c r="K1983" s="7">
        <v>44006179</v>
      </c>
      <c r="L1983" s="6" t="str">
        <f t="shared" si="203"/>
        <v>AR DRESS AÇIK 2 ÇEKMECELİ DOLAP MODÜL O-50</v>
      </c>
      <c r="T1983" s="8">
        <v>39345</v>
      </c>
      <c r="V1983" s="8">
        <f t="shared" si="201"/>
        <v>35410.5</v>
      </c>
      <c r="W1983" s="8">
        <f t="shared" si="202"/>
        <v>88526.25</v>
      </c>
    </row>
    <row r="1984" spans="2:23" ht="21.95" customHeight="1" x14ac:dyDescent="0.2">
      <c r="B1984" t="s">
        <v>1582</v>
      </c>
      <c r="C1984" s="6" t="s">
        <v>1875</v>
      </c>
      <c r="D1984" s="6" t="s">
        <v>1914</v>
      </c>
      <c r="K1984" s="7">
        <v>44006180</v>
      </c>
      <c r="L1984" s="6" t="str">
        <f t="shared" si="203"/>
        <v>AR DRESS AÇIK 4 ÇEKMECELİ DOLAP MODÜL O-51</v>
      </c>
      <c r="T1984" s="8">
        <v>10410</v>
      </c>
      <c r="V1984" s="8">
        <f t="shared" si="201"/>
        <v>9369</v>
      </c>
      <c r="W1984" s="8">
        <f t="shared" si="202"/>
        <v>23422.5</v>
      </c>
    </row>
    <row r="1985" spans="2:23" ht="21.95" customHeight="1" x14ac:dyDescent="0.2">
      <c r="B1985" t="s">
        <v>1582</v>
      </c>
      <c r="C1985" s="6" t="s">
        <v>1875</v>
      </c>
      <c r="D1985" s="6" t="s">
        <v>1915</v>
      </c>
      <c r="K1985" s="7">
        <v>44006181</v>
      </c>
      <c r="L1985" s="6" t="str">
        <f t="shared" si="203"/>
        <v>AR DRESS AÇIK 2 ÇEKMECE KAPALI 2 ÇEKMECE DOLAP MODÜL O-52</v>
      </c>
      <c r="T1985" s="8">
        <v>4775</v>
      </c>
      <c r="V1985" s="8">
        <f t="shared" si="201"/>
        <v>4297.5</v>
      </c>
      <c r="W1985" s="8">
        <f t="shared" si="202"/>
        <v>10743.75</v>
      </c>
    </row>
    <row r="1986" spans="2:23" ht="21.95" customHeight="1" x14ac:dyDescent="0.2">
      <c r="B1986" t="s">
        <v>1582</v>
      </c>
      <c r="C1986" s="6" t="s">
        <v>1875</v>
      </c>
      <c r="D1986" s="6" t="s">
        <v>1916</v>
      </c>
      <c r="K1986" s="7">
        <v>44006182</v>
      </c>
      <c r="L1986" s="6" t="str">
        <f t="shared" si="203"/>
        <v>AR DRESS AÇIK 2 ÇEKMECE CAMLI 2 ÇEKMECE DOLAP MODÜL O-53</v>
      </c>
      <c r="T1986" s="8">
        <v>3170</v>
      </c>
      <c r="V1986" s="8">
        <f t="shared" ref="V1986:V2074" si="204">T1986*0.9</f>
        <v>2853</v>
      </c>
      <c r="W1986" s="8">
        <f t="shared" ref="W1986:W2074" si="205">V1986*2.5</f>
        <v>7132.5</v>
      </c>
    </row>
    <row r="1987" spans="2:23" ht="21.95" customHeight="1" x14ac:dyDescent="0.2">
      <c r="B1987" t="s">
        <v>1582</v>
      </c>
      <c r="C1987" s="6" t="s">
        <v>1875</v>
      </c>
      <c r="D1987" s="6" t="s">
        <v>1917</v>
      </c>
      <c r="K1987" s="7">
        <v>44006183</v>
      </c>
      <c r="L1987" s="6" t="str">
        <f t="shared" si="203"/>
        <v>AR DRESS AÇIK 2 ÇEKMECE KASALI DOLAP MODÜL O-54</v>
      </c>
      <c r="T1987" s="8">
        <v>18755</v>
      </c>
      <c r="V1987" s="8">
        <f t="shared" si="204"/>
        <v>16879.5</v>
      </c>
      <c r="W1987" s="8">
        <f t="shared" si="205"/>
        <v>42198.75</v>
      </c>
    </row>
    <row r="1988" spans="2:23" ht="21.95" customHeight="1" x14ac:dyDescent="0.2">
      <c r="B1988" t="s">
        <v>1582</v>
      </c>
      <c r="C1988" s="6" t="s">
        <v>1875</v>
      </c>
      <c r="D1988" s="6" t="s">
        <v>1918</v>
      </c>
      <c r="K1988" s="7">
        <v>44006184</v>
      </c>
      <c r="L1988" s="6" t="str">
        <f t="shared" si="203"/>
        <v>AR DRESS AÇIK 2 ÇEKMECE BÖLMELİ RAFLI DOLAP DOLAP MODÜL O-55</v>
      </c>
      <c r="T1988" s="8">
        <v>8765</v>
      </c>
      <c r="V1988" s="8">
        <f t="shared" si="204"/>
        <v>7888.5</v>
      </c>
      <c r="W1988" s="8">
        <f t="shared" si="205"/>
        <v>19721.25</v>
      </c>
    </row>
    <row r="1989" spans="2:23" ht="21.95" customHeight="1" x14ac:dyDescent="0.2">
      <c r="B1989" t="s">
        <v>1582</v>
      </c>
      <c r="C1989" s="6" t="s">
        <v>1875</v>
      </c>
      <c r="D1989" s="6" t="s">
        <v>1919</v>
      </c>
      <c r="K1989" s="7">
        <v>44006185</v>
      </c>
      <c r="L1989" s="6" t="str">
        <f t="shared" si="203"/>
        <v>AR DRESS KAPALI 2 ÇEKMECE OPSİYON M-90</v>
      </c>
      <c r="T1989" s="8">
        <v>16295</v>
      </c>
      <c r="V1989" s="8">
        <f t="shared" si="204"/>
        <v>14665.5</v>
      </c>
      <c r="W1989" s="8">
        <f t="shared" si="205"/>
        <v>36663.75</v>
      </c>
    </row>
    <row r="1990" spans="2:23" ht="21.95" customHeight="1" x14ac:dyDescent="0.2">
      <c r="B1990" t="s">
        <v>1582</v>
      </c>
      <c r="C1990" s="6" t="s">
        <v>1875</v>
      </c>
      <c r="D1990" s="6" t="s">
        <v>1920</v>
      </c>
      <c r="K1990" s="7">
        <v>44006186</v>
      </c>
      <c r="L1990" s="6" t="str">
        <f t="shared" si="203"/>
        <v>AR DRESS CAMLI İKİ ÇEKMECE OPSİYON M-91</v>
      </c>
      <c r="T1990" s="8">
        <v>19160</v>
      </c>
      <c r="V1990" s="8">
        <f t="shared" si="204"/>
        <v>17244</v>
      </c>
      <c r="W1990" s="8">
        <f t="shared" si="205"/>
        <v>43110</v>
      </c>
    </row>
    <row r="1991" spans="2:23" ht="21.95" customHeight="1" x14ac:dyDescent="0.2">
      <c r="B1991" t="s">
        <v>1582</v>
      </c>
      <c r="C1991" s="6" t="s">
        <v>1875</v>
      </c>
      <c r="D1991" s="6" t="s">
        <v>1921</v>
      </c>
      <c r="K1991" s="7">
        <v>44006187</v>
      </c>
      <c r="L1991" s="6" t="str">
        <f t="shared" ref="L1991:L2062" si="206">B1991&amp;" "&amp;C1991&amp;" "&amp;D1991</f>
        <v>AR DRESS AÇIK 2 ÇEKMECE OPSİYON M-92</v>
      </c>
      <c r="T1991" s="8">
        <v>40210</v>
      </c>
      <c r="V1991" s="8">
        <f t="shared" si="204"/>
        <v>36189</v>
      </c>
      <c r="W1991" s="8">
        <f t="shared" si="205"/>
        <v>90472.5</v>
      </c>
    </row>
    <row r="1992" spans="2:23" ht="21.95" customHeight="1" x14ac:dyDescent="0.2">
      <c r="B1992" t="s">
        <v>1582</v>
      </c>
      <c r="C1992" s="6" t="s">
        <v>1875</v>
      </c>
      <c r="D1992" s="6" t="s">
        <v>1922</v>
      </c>
      <c r="K1992" s="7">
        <v>44006188</v>
      </c>
      <c r="L1992" s="6" t="str">
        <f t="shared" si="206"/>
        <v>AR DRESS KASALI OPSİYON M-93</v>
      </c>
      <c r="T1992" s="8">
        <v>6139</v>
      </c>
      <c r="V1992" s="8">
        <f t="shared" si="204"/>
        <v>5525.1</v>
      </c>
      <c r="W1992" s="8">
        <f t="shared" si="205"/>
        <v>13812.75</v>
      </c>
    </row>
    <row r="1993" spans="2:23" ht="21.95" customHeight="1" x14ac:dyDescent="0.2">
      <c r="B1993" t="s">
        <v>1582</v>
      </c>
      <c r="C1993" s="6" t="s">
        <v>1875</v>
      </c>
      <c r="D1993" s="6" t="s">
        <v>1923</v>
      </c>
      <c r="K1993" s="7">
        <v>44006189</v>
      </c>
      <c r="L1993" s="6" t="str">
        <f t="shared" si="206"/>
        <v>AR DRESS BÖLMELİ RAF OPSİYON M-94</v>
      </c>
      <c r="T1993" s="8">
        <v>37880</v>
      </c>
      <c r="V1993" s="8">
        <f t="shared" si="204"/>
        <v>34092</v>
      </c>
      <c r="W1993" s="8">
        <f t="shared" si="205"/>
        <v>85230</v>
      </c>
    </row>
    <row r="1994" spans="2:23" ht="21.95" customHeight="1" x14ac:dyDescent="0.2">
      <c r="B1994" t="s">
        <v>1582</v>
      </c>
      <c r="C1994" s="6" t="s">
        <v>1875</v>
      </c>
      <c r="D1994" s="6" t="s">
        <v>1925</v>
      </c>
      <c r="K1994" s="7">
        <v>44006190</v>
      </c>
      <c r="L1994" s="6" t="str">
        <f t="shared" si="206"/>
        <v>AR DRESS 50 CM CAM KAPAK MODÜL (BRONZ PK-04)</v>
      </c>
      <c r="T1994" s="8">
        <v>49244</v>
      </c>
      <c r="V1994" s="8">
        <f t="shared" si="204"/>
        <v>44319.6</v>
      </c>
      <c r="W1994" s="8">
        <f t="shared" si="205"/>
        <v>110799</v>
      </c>
    </row>
    <row r="1995" spans="2:23" ht="21.95" customHeight="1" x14ac:dyDescent="0.2">
      <c r="B1995" t="s">
        <v>1582</v>
      </c>
      <c r="C1995" s="6" t="s">
        <v>1875</v>
      </c>
      <c r="D1995" s="6" t="s">
        <v>1924</v>
      </c>
      <c r="K1995" s="7">
        <v>44006191</v>
      </c>
      <c r="L1995" s="6" t="str">
        <f t="shared" si="206"/>
        <v>AR DRESS 50 CM CAM KAPAK MODÜL (MAT SİYAH PK-05)</v>
      </c>
      <c r="T1995" s="8">
        <v>56279</v>
      </c>
      <c r="V1995" s="8">
        <f t="shared" si="204"/>
        <v>50651.1</v>
      </c>
      <c r="W1995" s="8">
        <f t="shared" si="205"/>
        <v>126627.75</v>
      </c>
    </row>
    <row r="1996" spans="2:23" ht="21.95" customHeight="1" x14ac:dyDescent="0.2">
      <c r="B1996" t="s">
        <v>1582</v>
      </c>
      <c r="C1996" s="6" t="s">
        <v>1875</v>
      </c>
      <c r="D1996" s="6" t="s">
        <v>1926</v>
      </c>
      <c r="K1996" s="7">
        <v>44006192</v>
      </c>
      <c r="L1996" s="6" t="str">
        <f t="shared" si="206"/>
        <v>AR DRESS 50 CM CAM KAPAK MODÜL (MAT ALTIN PK-06</v>
      </c>
      <c r="T1996" s="8">
        <v>5941</v>
      </c>
      <c r="V1996" s="8">
        <f t="shared" si="204"/>
        <v>5346.9000000000005</v>
      </c>
      <c r="W1996" s="8">
        <f t="shared" si="205"/>
        <v>13367.250000000002</v>
      </c>
    </row>
    <row r="1997" spans="2:23" ht="21.95" customHeight="1" x14ac:dyDescent="0.2">
      <c r="B1997" t="s">
        <v>1582</v>
      </c>
      <c r="C1997" s="6" t="s">
        <v>1875</v>
      </c>
      <c r="D1997" s="6" t="s">
        <v>1927</v>
      </c>
      <c r="K1997" s="7">
        <v>44006193</v>
      </c>
      <c r="L1997" s="6" t="str">
        <f t="shared" si="206"/>
        <v>AR DRESS 100 CM CAM KAPAK MODÜL (BRONZ PK-01)</v>
      </c>
      <c r="T1997" s="8">
        <v>36035</v>
      </c>
      <c r="V1997" s="8">
        <f t="shared" si="204"/>
        <v>32431.5</v>
      </c>
      <c r="W1997" s="8">
        <f t="shared" si="205"/>
        <v>81078.75</v>
      </c>
    </row>
    <row r="1998" spans="2:23" ht="21.95" customHeight="1" x14ac:dyDescent="0.2">
      <c r="B1998" t="s">
        <v>1582</v>
      </c>
      <c r="C1998" s="6" t="s">
        <v>1875</v>
      </c>
      <c r="D1998" s="6" t="s">
        <v>1928</v>
      </c>
      <c r="K1998" s="7">
        <v>44006194</v>
      </c>
      <c r="L1998" s="6" t="str">
        <f t="shared" si="206"/>
        <v>AR DRESS 100 CM CAM KAPAK MODÜL (MAT SİYAH PK-02</v>
      </c>
      <c r="T1998" s="8">
        <v>25690</v>
      </c>
      <c r="V1998" s="8">
        <f t="shared" si="204"/>
        <v>23121</v>
      </c>
      <c r="W1998" s="8">
        <f t="shared" si="205"/>
        <v>57802.5</v>
      </c>
    </row>
    <row r="1999" spans="2:23" ht="21.95" customHeight="1" x14ac:dyDescent="0.2">
      <c r="B1999" t="s">
        <v>1582</v>
      </c>
      <c r="C1999" s="6" t="s">
        <v>1875</v>
      </c>
      <c r="D1999" s="6" t="s">
        <v>1929</v>
      </c>
      <c r="K1999" s="7">
        <v>44006195</v>
      </c>
      <c r="L1999" s="6" t="str">
        <f t="shared" si="206"/>
        <v>AR DRESS 100 CM CAM KAPAK MODÜL (MAT ALTIN PK-03)</v>
      </c>
      <c r="T1999" s="8">
        <v>12570</v>
      </c>
      <c r="V1999" s="8">
        <f t="shared" si="204"/>
        <v>11313</v>
      </c>
      <c r="W1999" s="8">
        <f t="shared" si="205"/>
        <v>28282.5</v>
      </c>
    </row>
    <row r="2000" spans="2:23" ht="21.95" customHeight="1" x14ac:dyDescent="0.2">
      <c r="B2000" t="s">
        <v>1582</v>
      </c>
      <c r="C2000" s="6" t="s">
        <v>1875</v>
      </c>
      <c r="D2000" s="6" t="s">
        <v>1930</v>
      </c>
      <c r="K2000" s="7">
        <v>44006196</v>
      </c>
      <c r="L2000" s="6" t="str">
        <f t="shared" si="206"/>
        <v>AR DRESS 200 CM CAM KAPAK AKORDİYONLU MODÜL (BRONZ PK-07)</v>
      </c>
      <c r="T2000" s="8">
        <v>40180</v>
      </c>
      <c r="V2000" s="8">
        <f t="shared" si="204"/>
        <v>36162</v>
      </c>
      <c r="W2000" s="8">
        <f t="shared" si="205"/>
        <v>90405</v>
      </c>
    </row>
    <row r="2001" spans="2:23" ht="21.95" customHeight="1" x14ac:dyDescent="0.2">
      <c r="B2001" t="s">
        <v>1582</v>
      </c>
      <c r="C2001" s="6" t="s">
        <v>1875</v>
      </c>
      <c r="D2001" s="6" t="s">
        <v>1931</v>
      </c>
      <c r="K2001" s="7">
        <v>44006197</v>
      </c>
      <c r="L2001" s="6" t="str">
        <f t="shared" si="206"/>
        <v>AR DRESS 200 CM CAM KAPAK AKORDİYONLU MODÜL (MAT SİYAH PK-08)</v>
      </c>
      <c r="T2001" s="8">
        <v>25970</v>
      </c>
      <c r="V2001" s="8">
        <f t="shared" si="204"/>
        <v>23373</v>
      </c>
      <c r="W2001" s="8">
        <f t="shared" si="205"/>
        <v>58432.5</v>
      </c>
    </row>
    <row r="2002" spans="2:23" ht="21.95" customHeight="1" x14ac:dyDescent="0.2">
      <c r="B2002" t="s">
        <v>1582</v>
      </c>
      <c r="C2002" s="6" t="s">
        <v>1875</v>
      </c>
      <c r="D2002" s="6" t="s">
        <v>1932</v>
      </c>
      <c r="K2002" s="7">
        <v>44006198</v>
      </c>
      <c r="L2002" s="6" t="str">
        <f t="shared" si="206"/>
        <v>AR DRESS 200 CM CAM KAPAK AKORDİYONLU MODÜL (MAT ALTIN PK-09)</v>
      </c>
      <c r="T2002" s="8">
        <v>16595</v>
      </c>
      <c r="V2002" s="8">
        <f t="shared" si="204"/>
        <v>14935.5</v>
      </c>
      <c r="W2002" s="8">
        <f t="shared" si="205"/>
        <v>37338.75</v>
      </c>
    </row>
    <row r="2003" spans="2:23" ht="21.95" customHeight="1" x14ac:dyDescent="0.2">
      <c r="B2003" t="s">
        <v>1582</v>
      </c>
      <c r="C2003" s="6" t="s">
        <v>1875</v>
      </c>
      <c r="D2003" s="6" t="s">
        <v>1933</v>
      </c>
      <c r="K2003" s="7">
        <v>44006199</v>
      </c>
      <c r="L2003" s="6" t="str">
        <f t="shared" si="206"/>
        <v>AR DRESS 200 CM ÇEKMECELİ AKORDİYONLU CAM KAPAK+KULP (BRONZ PK-10)</v>
      </c>
      <c r="T2003" s="8">
        <v>40125</v>
      </c>
      <c r="V2003" s="8">
        <f t="shared" si="204"/>
        <v>36112.5</v>
      </c>
      <c r="W2003" s="8">
        <f t="shared" si="205"/>
        <v>90281.25</v>
      </c>
    </row>
    <row r="2004" spans="2:23" ht="21.95" customHeight="1" x14ac:dyDescent="0.2">
      <c r="B2004" t="s">
        <v>1582</v>
      </c>
      <c r="C2004" s="6" t="s">
        <v>1875</v>
      </c>
      <c r="D2004" s="6" t="s">
        <v>1934</v>
      </c>
      <c r="K2004" s="7">
        <v>44006200</v>
      </c>
      <c r="L2004" s="6" t="str">
        <f t="shared" si="206"/>
        <v>AR DRESS 200 CM ÇEKMECELİ AKORDİYONLU CAM KAPAK+KULP (MAT SİYAH PK-11)</v>
      </c>
      <c r="T2004" s="8">
        <v>35940</v>
      </c>
      <c r="V2004" s="8">
        <f t="shared" si="204"/>
        <v>32346</v>
      </c>
      <c r="W2004" s="8">
        <f t="shared" si="205"/>
        <v>80865</v>
      </c>
    </row>
    <row r="2005" spans="2:23" ht="21.95" customHeight="1" x14ac:dyDescent="0.2">
      <c r="B2005" t="s">
        <v>1582</v>
      </c>
      <c r="C2005" s="6" t="s">
        <v>1875</v>
      </c>
      <c r="D2005" s="6" t="s">
        <v>1935</v>
      </c>
      <c r="K2005" s="7">
        <v>44006201</v>
      </c>
      <c r="L2005" s="6" t="str">
        <f t="shared" si="206"/>
        <v>AR DRESS 200 CM ÇEKMECELİ AKORDİYONLU CAM KAPAK+KULP (MAT ALTIN PK-12)</v>
      </c>
      <c r="T2005" s="8">
        <v>16190</v>
      </c>
      <c r="V2005" s="8">
        <f t="shared" si="204"/>
        <v>14571</v>
      </c>
      <c r="W2005" s="8">
        <f t="shared" si="205"/>
        <v>36427.5</v>
      </c>
    </row>
    <row r="2006" spans="2:23" ht="21.95" customHeight="1" x14ac:dyDescent="0.2">
      <c r="B2006" t="s">
        <v>1582</v>
      </c>
      <c r="C2006" s="6" t="s">
        <v>1875</v>
      </c>
      <c r="D2006" s="6" t="s">
        <v>1936</v>
      </c>
      <c r="K2006" s="7">
        <v>44006202</v>
      </c>
      <c r="L2006" s="6" t="str">
        <f t="shared" si="206"/>
        <v>AR DRESS 112 CM KÖŞE MODÜL ÇİFT KAPAK (BRONZ PK-13)</v>
      </c>
      <c r="T2006" s="8">
        <v>29505</v>
      </c>
      <c r="V2006" s="8">
        <f t="shared" si="204"/>
        <v>26554.5</v>
      </c>
      <c r="W2006" s="8">
        <f t="shared" si="205"/>
        <v>66386.25</v>
      </c>
    </row>
    <row r="2007" spans="2:23" ht="21.95" customHeight="1" x14ac:dyDescent="0.2">
      <c r="B2007" t="s">
        <v>1582</v>
      </c>
      <c r="C2007" s="6" t="s">
        <v>1875</v>
      </c>
      <c r="D2007" s="6" t="s">
        <v>1938</v>
      </c>
      <c r="K2007" s="7">
        <v>44006203</v>
      </c>
      <c r="L2007" s="6" t="str">
        <f t="shared" si="206"/>
        <v>AR DRESS 112 CM KÖŞE MODÜL ÇİFT KAPAK (MAT SİYAH PK-14)</v>
      </c>
      <c r="T2007" s="8">
        <v>34105</v>
      </c>
      <c r="V2007" s="8">
        <f t="shared" si="204"/>
        <v>30694.5</v>
      </c>
      <c r="W2007" s="8">
        <f t="shared" si="205"/>
        <v>76736.25</v>
      </c>
    </row>
    <row r="2008" spans="2:23" ht="21.95" customHeight="1" x14ac:dyDescent="0.2">
      <c r="B2008" t="s">
        <v>1582</v>
      </c>
      <c r="C2008" s="6" t="s">
        <v>1875</v>
      </c>
      <c r="D2008" s="6" t="s">
        <v>1937</v>
      </c>
      <c r="K2008" s="7">
        <v>44006204</v>
      </c>
      <c r="L2008" s="6" t="str">
        <f t="shared" si="206"/>
        <v>AR DRESS 112 CM KÖŞE MODÜL ÇİFT KAPAK (MAT ALTIN PK-15)</v>
      </c>
      <c r="T2008" s="8">
        <v>36605</v>
      </c>
      <c r="V2008" s="8">
        <f t="shared" si="204"/>
        <v>32944.5</v>
      </c>
      <c r="W2008" s="8">
        <f t="shared" si="205"/>
        <v>82361.25</v>
      </c>
    </row>
    <row r="2009" spans="2:23" ht="21.95" customHeight="1" x14ac:dyDescent="0.2">
      <c r="B2009" t="s">
        <v>1582</v>
      </c>
      <c r="C2009" s="6" t="s">
        <v>1875</v>
      </c>
      <c r="D2009" s="6" t="s">
        <v>1951</v>
      </c>
      <c r="K2009" s="7">
        <v>44006205</v>
      </c>
      <c r="L2009" s="6" t="str">
        <f t="shared" si="206"/>
        <v>AR DRESS 50 CM SOHO KAPAK SAĞ (SERAMİK BRONZ PK-16)</v>
      </c>
      <c r="T2009" s="8">
        <v>32005</v>
      </c>
      <c r="V2009" s="8">
        <f t="shared" si="204"/>
        <v>28804.5</v>
      </c>
      <c r="W2009" s="8">
        <f t="shared" si="205"/>
        <v>72011.25</v>
      </c>
    </row>
    <row r="2010" spans="2:23" ht="21.95" customHeight="1" x14ac:dyDescent="0.2">
      <c r="B2010" t="s">
        <v>1582</v>
      </c>
      <c r="C2010" s="6" t="s">
        <v>1875</v>
      </c>
      <c r="D2010" s="6" t="s">
        <v>1952</v>
      </c>
      <c r="K2010" s="7">
        <v>44006206</v>
      </c>
      <c r="L2010" s="6" t="str">
        <f t="shared" si="206"/>
        <v>AR DRESS 50 CM SOHO KAPAK SAĞ (SERAMİK MAT SİYAH PK-17)</v>
      </c>
      <c r="T2010" s="8">
        <v>11485</v>
      </c>
      <c r="V2010" s="8">
        <f t="shared" si="204"/>
        <v>10336.5</v>
      </c>
      <c r="W2010" s="8">
        <f t="shared" si="205"/>
        <v>25841.25</v>
      </c>
    </row>
    <row r="2011" spans="2:23" ht="21.95" customHeight="1" x14ac:dyDescent="0.2">
      <c r="B2011" t="s">
        <v>1582</v>
      </c>
      <c r="C2011" s="6" t="s">
        <v>1875</v>
      </c>
      <c r="D2011" s="6" t="s">
        <v>1953</v>
      </c>
      <c r="K2011" s="7">
        <v>44006207</v>
      </c>
      <c r="L2011" s="6" t="str">
        <f t="shared" si="206"/>
        <v>AR DRESS 50 CM SOHO KAPAK SAĞ (SERAMİK MAT ALTIN PK-18)</v>
      </c>
      <c r="T2011" s="8">
        <v>55085</v>
      </c>
      <c r="V2011" s="8">
        <f t="shared" si="204"/>
        <v>49576.5</v>
      </c>
      <c r="W2011" s="8">
        <f t="shared" si="205"/>
        <v>123941.25</v>
      </c>
    </row>
    <row r="2012" spans="2:23" ht="21.95" customHeight="1" x14ac:dyDescent="0.2">
      <c r="B2012" t="s">
        <v>1582</v>
      </c>
      <c r="C2012" s="6" t="s">
        <v>1875</v>
      </c>
      <c r="D2012" s="6" t="s">
        <v>1939</v>
      </c>
      <c r="K2012" s="7">
        <v>44006208</v>
      </c>
      <c r="L2012" s="6" t="str">
        <f t="shared" si="206"/>
        <v>AR DRESS 50 CM SOHO KAPAK SOL (SERAMİK BRONZ PK-19)</v>
      </c>
      <c r="T2012" s="8">
        <v>26665</v>
      </c>
      <c r="V2012" s="8">
        <f t="shared" si="204"/>
        <v>23998.5</v>
      </c>
      <c r="W2012" s="8">
        <f t="shared" si="205"/>
        <v>59996.25</v>
      </c>
    </row>
    <row r="2013" spans="2:23" ht="21.95" customHeight="1" x14ac:dyDescent="0.2">
      <c r="B2013" t="s">
        <v>1582</v>
      </c>
      <c r="C2013" s="6" t="s">
        <v>1875</v>
      </c>
      <c r="D2013" s="6" t="s">
        <v>1940</v>
      </c>
      <c r="K2013" s="7">
        <v>44006209</v>
      </c>
      <c r="L2013" s="6" t="str">
        <f t="shared" si="206"/>
        <v>AR DRESS 50 CM SOHO KAPAK SOL (SERAMİK MAT SİYAH PK-20)</v>
      </c>
      <c r="T2013" s="8">
        <v>21855</v>
      </c>
      <c r="V2013" s="8">
        <f t="shared" si="204"/>
        <v>19669.5</v>
      </c>
      <c r="W2013" s="8">
        <f t="shared" si="205"/>
        <v>49173.75</v>
      </c>
    </row>
    <row r="2014" spans="2:23" ht="21.95" customHeight="1" x14ac:dyDescent="0.2">
      <c r="B2014" t="s">
        <v>1582</v>
      </c>
      <c r="C2014" s="6" t="s">
        <v>1875</v>
      </c>
      <c r="D2014" s="5" t="s">
        <v>1941</v>
      </c>
      <c r="K2014" s="7">
        <v>44006210</v>
      </c>
      <c r="L2014" s="6" t="str">
        <f t="shared" si="206"/>
        <v>AR DRESS 50 CM SOHO KAPAK SOL (SERAMİK MAT ALTIN PK-21)</v>
      </c>
      <c r="T2014" s="8">
        <v>4775</v>
      </c>
      <c r="V2014" s="8">
        <f t="shared" si="204"/>
        <v>4297.5</v>
      </c>
      <c r="W2014" s="8">
        <f t="shared" si="205"/>
        <v>10743.75</v>
      </c>
    </row>
    <row r="2015" spans="2:23" ht="21.95" customHeight="1" x14ac:dyDescent="0.2">
      <c r="B2015" t="s">
        <v>1582</v>
      </c>
      <c r="C2015" s="6" t="s">
        <v>1875</v>
      </c>
      <c r="D2015" s="6" t="s">
        <v>1942</v>
      </c>
      <c r="K2015" s="7">
        <v>44006211</v>
      </c>
      <c r="L2015" s="6" t="str">
        <f t="shared" si="206"/>
        <v>AR DRESS 100 CM SOHO KAPAK (SERAMİK BRONZ PK-22)</v>
      </c>
      <c r="T2015" s="8">
        <v>5280</v>
      </c>
      <c r="V2015" s="8">
        <f t="shared" si="204"/>
        <v>4752</v>
      </c>
      <c r="W2015" s="8">
        <f t="shared" si="205"/>
        <v>11880</v>
      </c>
    </row>
    <row r="2016" spans="2:23" ht="21.95" customHeight="1" x14ac:dyDescent="0.2">
      <c r="B2016" t="s">
        <v>1582</v>
      </c>
      <c r="C2016" s="6" t="s">
        <v>1875</v>
      </c>
      <c r="D2016" s="6" t="s">
        <v>1943</v>
      </c>
      <c r="K2016" s="7">
        <v>44006212</v>
      </c>
      <c r="L2016" s="6" t="str">
        <f t="shared" si="206"/>
        <v>AR DRESS 100 CM SOHO KAPAK (SERAMİK MAT SİYAH PK-23)</v>
      </c>
      <c r="T2016" s="8">
        <v>3170</v>
      </c>
      <c r="V2016" s="8">
        <f t="shared" si="204"/>
        <v>2853</v>
      </c>
      <c r="W2016" s="8">
        <f t="shared" si="205"/>
        <v>7132.5</v>
      </c>
    </row>
    <row r="2017" spans="2:23" ht="21.95" customHeight="1" x14ac:dyDescent="0.2">
      <c r="B2017" t="s">
        <v>1582</v>
      </c>
      <c r="C2017" s="6" t="s">
        <v>1875</v>
      </c>
      <c r="D2017" s="6" t="s">
        <v>1944</v>
      </c>
      <c r="K2017" s="7">
        <v>44006213</v>
      </c>
      <c r="L2017" s="6" t="str">
        <f t="shared" si="206"/>
        <v>AR DRESS 100 CM SOHO KAPAK (SERAMİK MAT ALTIN PK-24)</v>
      </c>
      <c r="T2017" s="8">
        <v>41185</v>
      </c>
      <c r="V2017" s="8">
        <f t="shared" si="204"/>
        <v>37066.5</v>
      </c>
      <c r="W2017" s="8">
        <f t="shared" si="205"/>
        <v>92666.25</v>
      </c>
    </row>
    <row r="2018" spans="2:23" ht="21.95" customHeight="1" x14ac:dyDescent="0.2">
      <c r="B2018" t="s">
        <v>1582</v>
      </c>
      <c r="C2018" s="6" t="s">
        <v>1875</v>
      </c>
      <c r="D2018" s="18" t="s">
        <v>1945</v>
      </c>
      <c r="K2018" s="7">
        <v>44006214</v>
      </c>
      <c r="L2018" s="6" t="str">
        <f t="shared" si="206"/>
        <v>AR DRESS 100 CM AYNA KAPAK (BRONZ PK-25)</v>
      </c>
      <c r="T2018" s="8">
        <v>4277</v>
      </c>
      <c r="V2018" s="8">
        <f t="shared" si="204"/>
        <v>3849.3</v>
      </c>
      <c r="W2018" s="8">
        <f t="shared" si="205"/>
        <v>9623.25</v>
      </c>
    </row>
    <row r="2019" spans="2:23" ht="21.95" customHeight="1" x14ac:dyDescent="0.2">
      <c r="B2019" t="s">
        <v>1582</v>
      </c>
      <c r="C2019" s="6" t="s">
        <v>1875</v>
      </c>
      <c r="D2019" s="18" t="s">
        <v>1946</v>
      </c>
      <c r="K2019" s="7">
        <v>44006215</v>
      </c>
      <c r="L2019" s="6" t="str">
        <f t="shared" si="206"/>
        <v>AR DRESS 100 CM AYNA KAPAK (MAT SİYAH PK-26)</v>
      </c>
      <c r="T2019" s="8">
        <v>25180</v>
      </c>
      <c r="V2019" s="8">
        <f t="shared" si="204"/>
        <v>22662</v>
      </c>
      <c r="W2019" s="8">
        <f t="shared" si="205"/>
        <v>56655</v>
      </c>
    </row>
    <row r="2020" spans="2:23" ht="21.95" customHeight="1" x14ac:dyDescent="0.2">
      <c r="B2020" t="s">
        <v>1582</v>
      </c>
      <c r="C2020" s="6" t="s">
        <v>1875</v>
      </c>
      <c r="D2020" s="18" t="s">
        <v>1947</v>
      </c>
      <c r="K2020" s="7">
        <v>44006216</v>
      </c>
      <c r="L2020" s="6" t="str">
        <f t="shared" si="206"/>
        <v>AR DRESS 100 CM AYNA KAPAK (MAT ALTIN PK-27)</v>
      </c>
      <c r="T2020" s="8">
        <v>32734</v>
      </c>
      <c r="V2020" s="8">
        <f t="shared" si="204"/>
        <v>29460.600000000002</v>
      </c>
      <c r="W2020" s="8">
        <f t="shared" si="205"/>
        <v>73651.5</v>
      </c>
    </row>
    <row r="2021" spans="2:23" ht="21.95" customHeight="1" x14ac:dyDescent="0.2">
      <c r="B2021" t="s">
        <v>1582</v>
      </c>
      <c r="C2021" s="6" t="s">
        <v>1875</v>
      </c>
      <c r="D2021" s="19" t="s">
        <v>1948</v>
      </c>
      <c r="K2021" s="7">
        <v>44006217</v>
      </c>
      <c r="L2021" s="6" t="str">
        <f t="shared" si="206"/>
        <v>AR DRESS 50 CM AYNA KAPAK (BRONZ PK-28)</v>
      </c>
      <c r="T2021" s="8">
        <v>37410</v>
      </c>
      <c r="V2021" s="8">
        <f t="shared" si="204"/>
        <v>33669</v>
      </c>
      <c r="W2021" s="8">
        <f t="shared" si="205"/>
        <v>84172.5</v>
      </c>
    </row>
    <row r="2022" spans="2:23" ht="21.95" customHeight="1" x14ac:dyDescent="0.2">
      <c r="B2022" t="s">
        <v>1582</v>
      </c>
      <c r="C2022" s="6" t="s">
        <v>1875</v>
      </c>
      <c r="D2022" s="20" t="s">
        <v>1949</v>
      </c>
      <c r="K2022" s="7">
        <v>44006218</v>
      </c>
      <c r="L2022" s="6" t="str">
        <f t="shared" si="206"/>
        <v>AR DRESS 50 CM AYNA KAPAK (MAT SİYAH PK-29)</v>
      </c>
      <c r="T2022" s="8">
        <v>4558</v>
      </c>
      <c r="V2022" s="8">
        <f t="shared" si="204"/>
        <v>4102.2</v>
      </c>
      <c r="W2022" s="8">
        <f t="shared" si="205"/>
        <v>10255.5</v>
      </c>
    </row>
    <row r="2023" spans="2:23" ht="21.95" customHeight="1" x14ac:dyDescent="0.2">
      <c r="B2023" t="s">
        <v>1582</v>
      </c>
      <c r="C2023" s="6" t="s">
        <v>1875</v>
      </c>
      <c r="D2023" s="20" t="s">
        <v>1950</v>
      </c>
      <c r="K2023" s="7">
        <v>44006219</v>
      </c>
      <c r="L2023" s="6" t="str">
        <f t="shared" si="206"/>
        <v>AR DRESS 50 CM AYNA KAPAK (MAT ALTIN PK-30)</v>
      </c>
      <c r="T2023" s="8">
        <v>6395</v>
      </c>
      <c r="V2023" s="8">
        <f t="shared" si="204"/>
        <v>5755.5</v>
      </c>
      <c r="W2023" s="8">
        <f t="shared" si="205"/>
        <v>14388.75</v>
      </c>
    </row>
    <row r="2024" spans="2:23" ht="21.95" customHeight="1" x14ac:dyDescent="0.2">
      <c r="B2024" t="s">
        <v>1582</v>
      </c>
      <c r="C2024" s="6" t="s">
        <v>1875</v>
      </c>
      <c r="D2024" s="20" t="s">
        <v>1957</v>
      </c>
      <c r="K2024" s="7">
        <v>44006220</v>
      </c>
      <c r="L2024" s="6" t="str">
        <f t="shared" si="206"/>
        <v>AR DRESS 2 Lİ AHŞAP MONGE KAPAK (DOLUNAY) BRONZ 2 ADET AK-01</v>
      </c>
      <c r="T2024" s="8">
        <v>35510</v>
      </c>
      <c r="V2024" s="8">
        <f t="shared" si="204"/>
        <v>31959</v>
      </c>
      <c r="W2024" s="8">
        <f t="shared" si="205"/>
        <v>79897.5</v>
      </c>
    </row>
    <row r="2025" spans="2:23" ht="21.95" customHeight="1" x14ac:dyDescent="0.2">
      <c r="B2025" t="s">
        <v>1582</v>
      </c>
      <c r="C2025" s="6" t="s">
        <v>1875</v>
      </c>
      <c r="D2025" s="20" t="s">
        <v>1956</v>
      </c>
      <c r="K2025" s="7">
        <v>44006221</v>
      </c>
      <c r="L2025" s="6" t="str">
        <f t="shared" si="206"/>
        <v xml:space="preserve">AR DRESS MONGE AHŞAP KAPAK SOL TEKLİ (DOLUNAY) BRONZ 1 ADET AK-02 </v>
      </c>
      <c r="T2025" s="8">
        <v>14810</v>
      </c>
      <c r="V2025" s="8">
        <f t="shared" si="204"/>
        <v>13329</v>
      </c>
      <c r="W2025" s="8">
        <f t="shared" si="205"/>
        <v>33322.5</v>
      </c>
    </row>
    <row r="2026" spans="2:23" ht="21.95" customHeight="1" x14ac:dyDescent="0.2">
      <c r="B2026" t="s">
        <v>1582</v>
      </c>
      <c r="C2026" s="6" t="s">
        <v>1875</v>
      </c>
      <c r="D2026" s="20" t="s">
        <v>1955</v>
      </c>
      <c r="K2026" s="7">
        <v>44006222</v>
      </c>
      <c r="L2026" s="6" t="str">
        <f t="shared" si="206"/>
        <v xml:space="preserve">AR DRESS MONGE AHŞAP KAPAK SAĞ TEKLİ (DOLUNAY) BRONZ 1 ADET AK-03 </v>
      </c>
      <c r="T2026" s="8">
        <v>25565</v>
      </c>
      <c r="V2026" s="8">
        <f t="shared" si="204"/>
        <v>23008.5</v>
      </c>
      <c r="W2026" s="8">
        <f t="shared" si="205"/>
        <v>57521.25</v>
      </c>
    </row>
    <row r="2027" spans="2:23" ht="21.95" customHeight="1" x14ac:dyDescent="0.2">
      <c r="B2027" t="s">
        <v>1582</v>
      </c>
      <c r="C2027" s="6" t="s">
        <v>1875</v>
      </c>
      <c r="D2027" s="20" t="s">
        <v>1954</v>
      </c>
      <c r="K2027" s="7">
        <v>44006223</v>
      </c>
      <c r="L2027" s="6" t="str">
        <f t="shared" si="206"/>
        <v>AR DRESS 2 Lİ AHŞAP SOHO KAPAK MAT VİZYON BRONZ 2 ADET AK-04</v>
      </c>
      <c r="T2027" s="8">
        <v>13435</v>
      </c>
      <c r="V2027" s="8">
        <f t="shared" si="204"/>
        <v>12091.5</v>
      </c>
      <c r="W2027" s="8">
        <f t="shared" si="205"/>
        <v>30228.75</v>
      </c>
    </row>
    <row r="2028" spans="2:23" ht="21.95" customHeight="1" x14ac:dyDescent="0.2">
      <c r="B2028" t="s">
        <v>1582</v>
      </c>
      <c r="C2028" s="6" t="s">
        <v>1875</v>
      </c>
      <c r="D2028" s="20" t="s">
        <v>1958</v>
      </c>
      <c r="K2028" s="7">
        <v>44006224</v>
      </c>
      <c r="L2028" s="6" t="str">
        <f t="shared" si="206"/>
        <v xml:space="preserve">AR DRESS SOHO AHŞAP KAPAK SAĞ TEKLİ MAT VİZYON BRONZ 1 ADET AK-05 </v>
      </c>
      <c r="T2028" s="8">
        <v>42220</v>
      </c>
      <c r="V2028" s="8">
        <f t="shared" si="204"/>
        <v>37998</v>
      </c>
      <c r="W2028" s="8">
        <f t="shared" si="205"/>
        <v>94995</v>
      </c>
    </row>
    <row r="2029" spans="2:23" ht="21.95" customHeight="1" x14ac:dyDescent="0.2">
      <c r="B2029" t="s">
        <v>1582</v>
      </c>
      <c r="C2029" s="6" t="s">
        <v>1875</v>
      </c>
      <c r="D2029" s="20" t="s">
        <v>1959</v>
      </c>
      <c r="K2029" s="7">
        <v>44006225</v>
      </c>
      <c r="L2029" s="6" t="str">
        <f t="shared" si="206"/>
        <v>AR DRESS SOHO AHŞAP KAPAK SOL TEKLİ MAT VİZYON BRONZ 1 ADET AK-06</v>
      </c>
      <c r="T2029" s="8">
        <v>42770</v>
      </c>
      <c r="V2029" s="8">
        <f t="shared" si="204"/>
        <v>38493</v>
      </c>
      <c r="W2029" s="8">
        <f t="shared" si="205"/>
        <v>96232.5</v>
      </c>
    </row>
    <row r="2030" spans="2:23" ht="21.95" customHeight="1" x14ac:dyDescent="0.2">
      <c r="B2030" t="s">
        <v>1582</v>
      </c>
      <c r="C2030" s="6" t="s">
        <v>1875</v>
      </c>
      <c r="D2030" s="20" t="s">
        <v>1960</v>
      </c>
      <c r="K2030" s="7">
        <v>44006226</v>
      </c>
      <c r="L2030" s="6" t="str">
        <f t="shared" si="206"/>
        <v>AR DRESS PORTO AHŞAP KAPAK SOL TEKLİ (DOLUNAY) MAT ALTTIN 1 ADET AK-10</v>
      </c>
      <c r="T2030" s="8">
        <v>38460</v>
      </c>
      <c r="V2030" s="8">
        <f t="shared" si="204"/>
        <v>34614</v>
      </c>
      <c r="W2030" s="8">
        <f t="shared" si="205"/>
        <v>86535</v>
      </c>
    </row>
    <row r="2031" spans="2:23" ht="21.95" customHeight="1" x14ac:dyDescent="0.2">
      <c r="B2031" t="s">
        <v>1582</v>
      </c>
      <c r="C2031" s="6" t="s">
        <v>1875</v>
      </c>
      <c r="D2031" s="20" t="s">
        <v>1961</v>
      </c>
      <c r="K2031" s="7">
        <v>44006227</v>
      </c>
      <c r="L2031" s="6" t="str">
        <f t="shared" si="206"/>
        <v>AR DRESS PORTO AHŞAP KAPAK SAĞ TEKLİ (DOLUNAY) MAT ALTIN 1 ADET AK-11</v>
      </c>
      <c r="T2031" s="8">
        <v>37705</v>
      </c>
      <c r="V2031" s="8">
        <f t="shared" si="204"/>
        <v>33934.5</v>
      </c>
      <c r="W2031" s="8">
        <f t="shared" si="205"/>
        <v>84836.25</v>
      </c>
    </row>
    <row r="2032" spans="2:23" ht="21.95" customHeight="1" x14ac:dyDescent="0.2">
      <c r="B2032" t="s">
        <v>1582</v>
      </c>
      <c r="C2032" s="6" t="s">
        <v>1875</v>
      </c>
      <c r="D2032" s="20" t="s">
        <v>1962</v>
      </c>
      <c r="K2032" s="7">
        <v>44006228</v>
      </c>
      <c r="L2032" s="6" t="str">
        <f t="shared" si="206"/>
        <v>AR DRESS BELİZE AHŞAP KAPAK SOL TEKLİ (DOLUNAY) MAT SİYAH 1 ADET AK-12</v>
      </c>
      <c r="T2032" s="8">
        <v>17270</v>
      </c>
      <c r="V2032" s="8">
        <f t="shared" si="204"/>
        <v>15543</v>
      </c>
      <c r="W2032" s="8">
        <f t="shared" si="205"/>
        <v>38857.5</v>
      </c>
    </row>
    <row r="2033" spans="2:23" ht="21.95" customHeight="1" x14ac:dyDescent="0.2">
      <c r="B2033" t="s">
        <v>1582</v>
      </c>
      <c r="C2033" s="6" t="s">
        <v>1875</v>
      </c>
      <c r="D2033" s="20" t="s">
        <v>1963</v>
      </c>
      <c r="K2033" s="7">
        <v>44006229</v>
      </c>
      <c r="L2033" s="6" t="str">
        <f t="shared" si="206"/>
        <v>AR DRESS BELİZE AHŞAP KAPAK SAĞ TEKLİ (DOLUNAY) MAT SİYAH 1 ADET AK-13</v>
      </c>
      <c r="T2033" s="8">
        <v>28660</v>
      </c>
      <c r="V2033" s="8">
        <f t="shared" si="204"/>
        <v>25794</v>
      </c>
      <c r="W2033" s="8">
        <f t="shared" si="205"/>
        <v>64485</v>
      </c>
    </row>
    <row r="2034" spans="2:23" ht="21.95" customHeight="1" x14ac:dyDescent="0.2">
      <c r="B2034" t="s">
        <v>1582</v>
      </c>
      <c r="C2034" s="6" t="s">
        <v>1875</v>
      </c>
      <c r="D2034" s="20" t="s">
        <v>1964</v>
      </c>
      <c r="K2034" s="7">
        <v>44006230</v>
      </c>
      <c r="L2034" s="6" t="str">
        <f t="shared" si="206"/>
        <v>AR DRESS 2 Lİ AHŞAP SİMON KAPAK MAT KUMTAŞI 2 ADET AK-09</v>
      </c>
      <c r="T2034" s="8">
        <v>33260</v>
      </c>
      <c r="V2034" s="8">
        <f t="shared" si="204"/>
        <v>29934</v>
      </c>
      <c r="W2034" s="8">
        <f t="shared" si="205"/>
        <v>74835</v>
      </c>
    </row>
    <row r="2035" spans="2:23" ht="21.95" customHeight="1" x14ac:dyDescent="0.2">
      <c r="B2035" t="s">
        <v>1582</v>
      </c>
      <c r="C2035" s="6" t="s">
        <v>1875</v>
      </c>
      <c r="D2035" s="20" t="s">
        <v>1965</v>
      </c>
      <c r="K2035" s="7">
        <v>44006231</v>
      </c>
      <c r="L2035" s="6" t="str">
        <f t="shared" si="206"/>
        <v>AR DRESS SİMON AHŞAP KAPAK SOL TEKLİ MAT KUMTAŞI 1 ADET AK-08</v>
      </c>
      <c r="T2035" s="8">
        <v>35760</v>
      </c>
      <c r="V2035" s="8">
        <f t="shared" si="204"/>
        <v>32184</v>
      </c>
      <c r="W2035" s="8">
        <f t="shared" si="205"/>
        <v>80460</v>
      </c>
    </row>
    <row r="2036" spans="2:23" ht="21.95" customHeight="1" x14ac:dyDescent="0.2">
      <c r="B2036" t="s">
        <v>1582</v>
      </c>
      <c r="C2036" s="6" t="s">
        <v>1875</v>
      </c>
      <c r="D2036" s="20" t="s">
        <v>1966</v>
      </c>
      <c r="K2036" s="7">
        <v>44006232</v>
      </c>
      <c r="L2036" s="6" t="str">
        <f t="shared" si="206"/>
        <v>AR DRESS SİMON AHŞAP KAPAK SAĞ TEKLİ MAT KUMTAŞI 1 ADET AK-07</v>
      </c>
      <c r="T2036" s="8">
        <v>31160</v>
      </c>
      <c r="V2036" s="8">
        <f t="shared" si="204"/>
        <v>28044</v>
      </c>
      <c r="W2036" s="8">
        <f t="shared" si="205"/>
        <v>70110</v>
      </c>
    </row>
    <row r="2037" spans="2:23" ht="21.95" customHeight="1" x14ac:dyDescent="0.2">
      <c r="B2037" t="s">
        <v>1582</v>
      </c>
      <c r="C2037" s="6" t="s">
        <v>2141</v>
      </c>
      <c r="D2037" s="28" t="s">
        <v>194</v>
      </c>
      <c r="L2037" s="6" t="str">
        <f>B2037&amp;" "&amp;C2037&amp;" "&amp;D2037</f>
        <v xml:space="preserve">AR SİMON  KONSOL </v>
      </c>
      <c r="T2037" s="12"/>
      <c r="U2037" s="8">
        <v>24500</v>
      </c>
    </row>
    <row r="2038" spans="2:23" ht="21.95" customHeight="1" x14ac:dyDescent="0.2">
      <c r="B2038" t="s">
        <v>1582</v>
      </c>
      <c r="C2038" s="6" t="s">
        <v>2141</v>
      </c>
      <c r="D2038" s="28" t="s">
        <v>2142</v>
      </c>
      <c r="L2038" s="6" t="str">
        <f t="shared" ref="L2038:L2061" si="207">B2038&amp;" "&amp;C2038&amp;" "&amp;D2038</f>
        <v xml:space="preserve">AR SİMON  TABLO </v>
      </c>
      <c r="T2038" s="12"/>
      <c r="U2038" s="8">
        <v>26300</v>
      </c>
    </row>
    <row r="2039" spans="2:23" ht="21.95" customHeight="1" x14ac:dyDescent="0.2">
      <c r="B2039" t="s">
        <v>1582</v>
      </c>
      <c r="C2039" s="6" t="s">
        <v>2141</v>
      </c>
      <c r="D2039" s="28" t="s">
        <v>2143</v>
      </c>
      <c r="L2039" s="6" t="str">
        <f t="shared" si="207"/>
        <v>AR SİMON  MASA 210 CM</v>
      </c>
      <c r="T2039" s="12"/>
      <c r="U2039" s="8">
        <v>28000</v>
      </c>
    </row>
    <row r="2040" spans="2:23" ht="21.95" customHeight="1" x14ac:dyDescent="0.2">
      <c r="B2040" t="s">
        <v>1582</v>
      </c>
      <c r="C2040" s="6" t="s">
        <v>2141</v>
      </c>
      <c r="D2040" s="28" t="s">
        <v>2144</v>
      </c>
      <c r="L2040" s="6" t="str">
        <f t="shared" si="207"/>
        <v xml:space="preserve">AR SİMON  MASA 180 CM </v>
      </c>
      <c r="T2040" s="12"/>
      <c r="U2040" s="8">
        <v>31500</v>
      </c>
    </row>
    <row r="2041" spans="2:23" ht="21.95" customHeight="1" x14ac:dyDescent="0.2">
      <c r="B2041" t="s">
        <v>1582</v>
      </c>
      <c r="C2041" s="6" t="s">
        <v>2141</v>
      </c>
      <c r="D2041" s="28" t="s">
        <v>2145</v>
      </c>
      <c r="L2041" s="6" t="str">
        <f t="shared" si="207"/>
        <v xml:space="preserve">AR SİMON  MASA 240 CM </v>
      </c>
      <c r="T2041" s="12"/>
      <c r="U2041" s="8">
        <v>15800</v>
      </c>
    </row>
    <row r="2042" spans="2:23" ht="21.95" customHeight="1" x14ac:dyDescent="0.2">
      <c r="B2042" t="s">
        <v>1582</v>
      </c>
      <c r="C2042" s="6" t="s">
        <v>2141</v>
      </c>
      <c r="D2042" s="28" t="s">
        <v>358</v>
      </c>
      <c r="L2042" s="6" t="str">
        <f t="shared" si="207"/>
        <v xml:space="preserve">AR SİMON  SANDALYE </v>
      </c>
      <c r="T2042" s="12"/>
      <c r="U2042" s="8">
        <v>13400</v>
      </c>
    </row>
    <row r="2043" spans="2:23" ht="21.95" customHeight="1" x14ac:dyDescent="0.2">
      <c r="B2043" t="s">
        <v>1582</v>
      </c>
      <c r="C2043" s="6" t="s">
        <v>2141</v>
      </c>
      <c r="D2043" s="28" t="s">
        <v>588</v>
      </c>
      <c r="L2043" s="6" t="str">
        <f t="shared" si="207"/>
        <v xml:space="preserve">AR SİMON  DRESUAR </v>
      </c>
      <c r="T2043" s="12"/>
      <c r="U2043" s="8">
        <v>14300</v>
      </c>
    </row>
    <row r="2044" spans="2:23" ht="21.95" customHeight="1" x14ac:dyDescent="0.2">
      <c r="B2044" t="s">
        <v>1582</v>
      </c>
      <c r="C2044" s="6" t="s">
        <v>2141</v>
      </c>
      <c r="D2044" s="28" t="s">
        <v>544</v>
      </c>
      <c r="L2044" s="6" t="str">
        <f t="shared" si="207"/>
        <v xml:space="preserve">AR SİMON  TV ÜNİTESİ ALT MODÜL </v>
      </c>
      <c r="T2044" s="12"/>
      <c r="U2044" s="8">
        <v>15300</v>
      </c>
    </row>
    <row r="2045" spans="2:23" ht="21.95" customHeight="1" x14ac:dyDescent="0.2">
      <c r="B2045" t="s">
        <v>1582</v>
      </c>
      <c r="C2045" s="6" t="s">
        <v>2141</v>
      </c>
      <c r="D2045" s="28" t="s">
        <v>2146</v>
      </c>
      <c r="L2045" s="6" t="str">
        <f t="shared" si="207"/>
        <v>AR SİMON  ORTA SEHPA (SERAMİK)</v>
      </c>
      <c r="T2045" s="12"/>
      <c r="U2045" s="8">
        <v>17200</v>
      </c>
    </row>
    <row r="2046" spans="2:23" ht="21.95" customHeight="1" x14ac:dyDescent="0.2">
      <c r="B2046" t="s">
        <v>1582</v>
      </c>
      <c r="C2046" s="6" t="s">
        <v>2141</v>
      </c>
      <c r="D2046" s="28" t="s">
        <v>2147</v>
      </c>
      <c r="L2046" s="6" t="str">
        <f t="shared" si="207"/>
        <v>AR SİMON  ORTA SEHPA (AHŞAP)</v>
      </c>
      <c r="T2046" s="12"/>
      <c r="U2046" s="8">
        <v>55900</v>
      </c>
    </row>
    <row r="2047" spans="2:23" ht="21.95" customHeight="1" x14ac:dyDescent="0.2">
      <c r="B2047" t="s">
        <v>1582</v>
      </c>
      <c r="C2047" s="6" t="s">
        <v>2141</v>
      </c>
      <c r="D2047" s="28" t="s">
        <v>1862</v>
      </c>
      <c r="L2047" s="6" t="str">
        <f t="shared" si="207"/>
        <v xml:space="preserve">AR SİMON  YAN SEHPA </v>
      </c>
      <c r="T2047" s="12"/>
      <c r="U2047" s="8">
        <v>59900</v>
      </c>
    </row>
    <row r="2048" spans="2:23" ht="21.95" customHeight="1" x14ac:dyDescent="0.2">
      <c r="B2048" t="s">
        <v>1582</v>
      </c>
      <c r="C2048" s="6" t="s">
        <v>2141</v>
      </c>
      <c r="D2048" s="28" t="s">
        <v>2148</v>
      </c>
      <c r="L2048" s="6" t="str">
        <f t="shared" si="207"/>
        <v xml:space="preserve">AR SİMON  SERVİS SEHPASI </v>
      </c>
      <c r="T2048" s="12"/>
      <c r="U2048" s="8">
        <v>63900</v>
      </c>
    </row>
    <row r="2049" spans="1:23" ht="21.95" customHeight="1" x14ac:dyDescent="0.2">
      <c r="B2049" t="s">
        <v>1582</v>
      </c>
      <c r="C2049" s="6" t="s">
        <v>2141</v>
      </c>
      <c r="D2049" s="28" t="s">
        <v>1850</v>
      </c>
      <c r="L2049" s="6" t="str">
        <f t="shared" si="207"/>
        <v xml:space="preserve">AR SİMON  4 LÜ KOLTUK </v>
      </c>
      <c r="T2049" s="12"/>
      <c r="U2049" s="8">
        <v>71900</v>
      </c>
    </row>
    <row r="2050" spans="1:23" ht="21.95" customHeight="1" x14ac:dyDescent="0.2">
      <c r="B2050" t="s">
        <v>1582</v>
      </c>
      <c r="C2050" s="6" t="s">
        <v>2141</v>
      </c>
      <c r="D2050" s="28" t="s">
        <v>1857</v>
      </c>
      <c r="L2050" s="6" t="str">
        <f t="shared" si="207"/>
        <v xml:space="preserve">AR SİMON  3 LÜ KOLTUK </v>
      </c>
      <c r="T2050" s="12"/>
      <c r="U2050" s="8">
        <v>21100</v>
      </c>
    </row>
    <row r="2051" spans="1:23" ht="21.95" customHeight="1" x14ac:dyDescent="0.2">
      <c r="B2051" t="s">
        <v>1582</v>
      </c>
      <c r="C2051" s="6" t="s">
        <v>2141</v>
      </c>
      <c r="D2051" s="28" t="s">
        <v>168</v>
      </c>
      <c r="L2051" s="6" t="str">
        <f t="shared" si="207"/>
        <v xml:space="preserve">AR SİMON  BERJER </v>
      </c>
      <c r="T2051" s="12"/>
      <c r="U2051" s="8">
        <v>22600</v>
      </c>
    </row>
    <row r="2052" spans="1:23" ht="21.95" customHeight="1" x14ac:dyDescent="0.2">
      <c r="B2052" t="s">
        <v>1582</v>
      </c>
      <c r="C2052" s="6" t="s">
        <v>2141</v>
      </c>
      <c r="D2052" s="28" t="s">
        <v>2149</v>
      </c>
      <c r="L2052" s="6" t="str">
        <f t="shared" si="207"/>
        <v xml:space="preserve">AR SİMON  KARYOLA İÇ KAYITLI 160 CM </v>
      </c>
      <c r="T2052" s="12"/>
      <c r="U2052" s="8">
        <v>24100</v>
      </c>
    </row>
    <row r="2053" spans="1:23" ht="21.95" customHeight="1" x14ac:dyDescent="0.2">
      <c r="B2053" t="s">
        <v>1582</v>
      </c>
      <c r="C2053" s="6" t="s">
        <v>2141</v>
      </c>
      <c r="D2053" s="28" t="s">
        <v>2150</v>
      </c>
      <c r="L2053" s="6" t="str">
        <f t="shared" si="207"/>
        <v xml:space="preserve">AR SİMON  KOMODİN 65 CM </v>
      </c>
      <c r="T2053" s="12"/>
      <c r="U2053" s="8">
        <v>27100</v>
      </c>
    </row>
    <row r="2054" spans="1:23" ht="21.95" customHeight="1" x14ac:dyDescent="0.2">
      <c r="B2054" t="s">
        <v>1582</v>
      </c>
      <c r="C2054" s="6" t="s">
        <v>2141</v>
      </c>
      <c r="D2054" s="28" t="s">
        <v>2151</v>
      </c>
      <c r="L2054" s="6" t="str">
        <f t="shared" si="207"/>
        <v xml:space="preserve">AR SİMON  KOMODİN 85 CM </v>
      </c>
      <c r="T2054" s="12"/>
      <c r="U2054" s="8">
        <v>19300</v>
      </c>
    </row>
    <row r="2055" spans="1:23" ht="21.95" customHeight="1" x14ac:dyDescent="0.2">
      <c r="B2055" t="s">
        <v>1582</v>
      </c>
      <c r="C2055" s="6" t="s">
        <v>2141</v>
      </c>
      <c r="D2055" s="28" t="s">
        <v>382</v>
      </c>
      <c r="L2055" s="6" t="str">
        <f t="shared" si="207"/>
        <v xml:space="preserve">AR SİMON  DOLAP 6 KAPAK </v>
      </c>
      <c r="T2055" s="12"/>
      <c r="U2055" s="8">
        <v>19700</v>
      </c>
    </row>
    <row r="2056" spans="1:23" ht="21.95" customHeight="1" x14ac:dyDescent="0.2">
      <c r="B2056" t="s">
        <v>1582</v>
      </c>
      <c r="C2056" s="6" t="s">
        <v>2141</v>
      </c>
      <c r="D2056" s="28" t="s">
        <v>2152</v>
      </c>
      <c r="L2056" s="6" t="str">
        <f t="shared" si="207"/>
        <v>AR SİMON  ŞİFONYER (AYNA DAHİL)</v>
      </c>
      <c r="T2056" s="12"/>
      <c r="U2056" s="8">
        <v>21100</v>
      </c>
    </row>
    <row r="2057" spans="1:23" ht="21.95" customHeight="1" x14ac:dyDescent="0.2">
      <c r="B2057" t="s">
        <v>1582</v>
      </c>
      <c r="C2057" s="6" t="s">
        <v>2141</v>
      </c>
      <c r="D2057" s="28" t="s">
        <v>2153</v>
      </c>
      <c r="L2057" s="6" t="str">
        <f t="shared" si="207"/>
        <v xml:space="preserve">AR SİMON  KARYOLA BAZALI 160 CM </v>
      </c>
      <c r="T2057" s="12"/>
      <c r="U2057" s="8">
        <v>22500</v>
      </c>
    </row>
    <row r="2058" spans="1:23" ht="21.95" customHeight="1" x14ac:dyDescent="0.2">
      <c r="B2058" t="s">
        <v>1582</v>
      </c>
      <c r="C2058" s="6" t="s">
        <v>2141</v>
      </c>
      <c r="D2058" s="28" t="s">
        <v>2154</v>
      </c>
      <c r="L2058" s="6" t="str">
        <f t="shared" si="207"/>
        <v xml:space="preserve">AR SİMON  KARYOLA BAZALI 180 CM </v>
      </c>
      <c r="T2058" s="12"/>
      <c r="U2058" s="8">
        <v>25300</v>
      </c>
    </row>
    <row r="2059" spans="1:23" ht="21.95" customHeight="1" x14ac:dyDescent="0.2">
      <c r="B2059" t="s">
        <v>1582</v>
      </c>
      <c r="C2059" s="6" t="s">
        <v>2141</v>
      </c>
      <c r="D2059" s="28" t="s">
        <v>2155</v>
      </c>
      <c r="L2059" s="6" t="str">
        <f t="shared" si="207"/>
        <v xml:space="preserve">AR SİMON  KARYOLA İÇ KAYITLI 180 CM </v>
      </c>
      <c r="T2059" s="12"/>
      <c r="U2059" s="8">
        <v>14100</v>
      </c>
    </row>
    <row r="2060" spans="1:23" ht="21.95" customHeight="1" x14ac:dyDescent="0.2">
      <c r="B2060" t="s">
        <v>1582</v>
      </c>
      <c r="C2060" s="6" t="s">
        <v>2141</v>
      </c>
      <c r="D2060" s="28" t="s">
        <v>1615</v>
      </c>
      <c r="L2060" s="6" t="str">
        <f t="shared" si="207"/>
        <v xml:space="preserve">AR SİMON  BOY AYNASI </v>
      </c>
      <c r="T2060" s="12"/>
      <c r="U2060" s="8">
        <v>15100</v>
      </c>
    </row>
    <row r="2061" spans="1:23" ht="21.95" customHeight="1" x14ac:dyDescent="0.2">
      <c r="B2061" t="s">
        <v>1582</v>
      </c>
      <c r="C2061" s="6" t="s">
        <v>2141</v>
      </c>
      <c r="D2061" s="28" t="s">
        <v>1876</v>
      </c>
      <c r="L2061" s="6" t="str">
        <f t="shared" si="207"/>
        <v xml:space="preserve">AR SİMON  MAKYAJ PUFU </v>
      </c>
      <c r="T2061" s="12"/>
      <c r="U2061" s="8">
        <v>16100</v>
      </c>
    </row>
    <row r="2062" spans="1:23" ht="21.95" customHeight="1" x14ac:dyDescent="0.2">
      <c r="A2062" s="6" t="s">
        <v>17</v>
      </c>
      <c r="B2062" t="s">
        <v>805</v>
      </c>
      <c r="C2062" s="6" t="s">
        <v>806</v>
      </c>
      <c r="D2062" s="6" t="s">
        <v>513</v>
      </c>
      <c r="E2062" s="6"/>
      <c r="F2062"/>
      <c r="G2062"/>
      <c r="H2062"/>
      <c r="I2062" s="10"/>
      <c r="J2062" s="10"/>
      <c r="K2062" s="7">
        <v>44006233</v>
      </c>
      <c r="L2062" s="6" t="str">
        <f t="shared" si="206"/>
        <v>VRL BARİSTA KÖŞE TAKIMI</v>
      </c>
      <c r="M2062" s="12">
        <v>0.4</v>
      </c>
      <c r="N2062" s="12">
        <v>0.4</v>
      </c>
      <c r="O2062" s="8">
        <v>86410</v>
      </c>
      <c r="P2062" s="8">
        <f t="shared" ref="P2062:P2125" si="208">O2062*(1-N2062)</f>
        <v>51846</v>
      </c>
      <c r="Q2062" s="12">
        <f t="shared" ref="Q2062:Q2125" si="209">O2062*(1-N2062)*2.1</f>
        <v>108876.6</v>
      </c>
      <c r="R2062" s="31">
        <f t="shared" ref="R2062:R2125" si="210">ROUNDDOWN(Q2062,-2)</f>
        <v>108800</v>
      </c>
      <c r="T2062" s="8">
        <v>6820</v>
      </c>
      <c r="V2062" s="8">
        <f t="shared" si="204"/>
        <v>6138</v>
      </c>
      <c r="W2062" s="8">
        <f t="shared" si="205"/>
        <v>15345</v>
      </c>
    </row>
    <row r="2063" spans="1:23" ht="21.95" customHeight="1" x14ac:dyDescent="0.2">
      <c r="A2063" s="6" t="s">
        <v>17</v>
      </c>
      <c r="B2063" t="s">
        <v>805</v>
      </c>
      <c r="C2063" s="6" t="s">
        <v>806</v>
      </c>
      <c r="D2063" s="6" t="s">
        <v>693</v>
      </c>
      <c r="E2063" s="6"/>
      <c r="F2063"/>
      <c r="G2063">
        <v>80</v>
      </c>
      <c r="H2063">
        <v>90</v>
      </c>
      <c r="I2063" s="10">
        <v>71</v>
      </c>
      <c r="J2063" s="10"/>
      <c r="K2063" s="7">
        <v>44006234</v>
      </c>
      <c r="L2063" s="6" t="str">
        <f>B2063&amp;" "&amp;C2063&amp;" "&amp;D2063&amp;" "&amp;G2063&amp;"x"&amp;H2063&amp;"x"&amp;I2063</f>
        <v>VRL BARİSTA TEKLİ MODÜL 80x90x71</v>
      </c>
      <c r="M2063" s="12">
        <v>0.4</v>
      </c>
      <c r="N2063" s="12">
        <v>0.4</v>
      </c>
      <c r="O2063" s="8">
        <v>12630</v>
      </c>
      <c r="P2063" s="8">
        <f t="shared" si="208"/>
        <v>7578</v>
      </c>
      <c r="Q2063" s="12">
        <f t="shared" si="209"/>
        <v>15913.800000000001</v>
      </c>
      <c r="R2063" s="31">
        <f t="shared" si="210"/>
        <v>15900</v>
      </c>
      <c r="T2063" s="8">
        <v>52385</v>
      </c>
      <c r="V2063" s="8">
        <f t="shared" si="204"/>
        <v>47146.5</v>
      </c>
      <c r="W2063" s="8">
        <f t="shared" si="205"/>
        <v>117866.25</v>
      </c>
    </row>
    <row r="2064" spans="1:23" ht="21.95" customHeight="1" x14ac:dyDescent="0.2">
      <c r="A2064" s="6" t="s">
        <v>17</v>
      </c>
      <c r="B2064" t="s">
        <v>805</v>
      </c>
      <c r="C2064" s="6" t="s">
        <v>806</v>
      </c>
      <c r="D2064" s="6" t="s">
        <v>59</v>
      </c>
      <c r="E2064" s="6"/>
      <c r="F2064"/>
      <c r="G2064">
        <v>90</v>
      </c>
      <c r="H2064">
        <v>90</v>
      </c>
      <c r="I2064" s="10">
        <v>71</v>
      </c>
      <c r="J2064" s="10"/>
      <c r="K2064" s="7">
        <v>44006235</v>
      </c>
      <c r="L2064" s="6" t="str">
        <f>B2064&amp;" "&amp;C2064&amp;" "&amp;D2064&amp;" "&amp;G2064&amp;"x"&amp;H2064&amp;"x"&amp;I2064</f>
        <v>VRL BARİSTA KÖŞE MODÜL 90x90x71</v>
      </c>
      <c r="M2064" s="12">
        <v>0.4</v>
      </c>
      <c r="N2064" s="12">
        <v>0.4</v>
      </c>
      <c r="O2064" s="8">
        <v>15680</v>
      </c>
      <c r="P2064" s="8">
        <f t="shared" si="208"/>
        <v>9408</v>
      </c>
      <c r="Q2064" s="12">
        <f t="shared" si="209"/>
        <v>19756.8</v>
      </c>
      <c r="R2064" s="31">
        <f t="shared" si="210"/>
        <v>19700</v>
      </c>
      <c r="T2064" s="8">
        <v>23415</v>
      </c>
      <c r="V2064" s="8">
        <f t="shared" si="204"/>
        <v>21073.5</v>
      </c>
      <c r="W2064" s="8">
        <f t="shared" si="205"/>
        <v>52683.75</v>
      </c>
    </row>
    <row r="2065" spans="1:23" ht="21.95" customHeight="1" x14ac:dyDescent="0.2">
      <c r="A2065" s="6" t="s">
        <v>17</v>
      </c>
      <c r="B2065" t="s">
        <v>805</v>
      </c>
      <c r="C2065" s="6" t="s">
        <v>806</v>
      </c>
      <c r="D2065" s="6" t="s">
        <v>807</v>
      </c>
      <c r="E2065" s="6"/>
      <c r="F2065"/>
      <c r="G2065">
        <v>15</v>
      </c>
      <c r="H2065">
        <v>89</v>
      </c>
      <c r="I2065" s="10">
        <v>60</v>
      </c>
      <c r="J2065" s="10"/>
      <c r="K2065" s="7">
        <v>44006236</v>
      </c>
      <c r="L2065" s="6" t="str">
        <f>B2065&amp;" "&amp;C2065&amp;" "&amp;D2065&amp;" "&amp;G2065&amp;"x"&amp;H2065&amp;"x"&amp;I2065</f>
        <v>VRL BARİSTA KOL TAKIM 15x89x60</v>
      </c>
      <c r="M2065" s="12">
        <v>0.4</v>
      </c>
      <c r="N2065" s="12">
        <v>0.4</v>
      </c>
      <c r="O2065" s="8">
        <v>7580</v>
      </c>
      <c r="P2065" s="8">
        <f t="shared" si="208"/>
        <v>4548</v>
      </c>
      <c r="Q2065" s="12">
        <f t="shared" si="209"/>
        <v>9550.8000000000011</v>
      </c>
      <c r="R2065" s="31">
        <f t="shared" si="210"/>
        <v>9500</v>
      </c>
      <c r="T2065" s="8">
        <v>14045</v>
      </c>
      <c r="V2065" s="8">
        <f t="shared" si="204"/>
        <v>12640.5</v>
      </c>
      <c r="W2065" s="8">
        <f t="shared" si="205"/>
        <v>31601.25</v>
      </c>
    </row>
    <row r="2066" spans="1:23" ht="21.95" customHeight="1" x14ac:dyDescent="0.2">
      <c r="A2066" s="6" t="s">
        <v>17</v>
      </c>
      <c r="B2066" t="s">
        <v>805</v>
      </c>
      <c r="C2066" s="6" t="s">
        <v>806</v>
      </c>
      <c r="D2066" s="6" t="s">
        <v>29</v>
      </c>
      <c r="E2066" s="6"/>
      <c r="F2066"/>
      <c r="G2066">
        <v>130</v>
      </c>
      <c r="H2066">
        <v>65</v>
      </c>
      <c r="I2066" s="10">
        <v>45</v>
      </c>
      <c r="J2066" s="10"/>
      <c r="K2066" s="7">
        <v>44006237</v>
      </c>
      <c r="L2066" s="6" t="str">
        <f>B2066&amp;" "&amp;C2066&amp;" "&amp;D2066&amp;" "&amp;G2066&amp;"x"&amp;H2066&amp;"x"&amp;I2066</f>
        <v>VRL BARİSTA ORTA SEHPA 130x65x45</v>
      </c>
      <c r="M2066" s="12">
        <v>0.4</v>
      </c>
      <c r="N2066" s="12">
        <v>0.4</v>
      </c>
      <c r="O2066" s="8">
        <v>15990</v>
      </c>
      <c r="P2066" s="8">
        <f t="shared" si="208"/>
        <v>9594</v>
      </c>
      <c r="Q2066" s="12">
        <f t="shared" si="209"/>
        <v>20147.400000000001</v>
      </c>
      <c r="R2066" s="31">
        <f t="shared" si="210"/>
        <v>20100</v>
      </c>
      <c r="T2066" s="8">
        <v>4775</v>
      </c>
      <c r="V2066" s="8">
        <f t="shared" si="204"/>
        <v>4297.5</v>
      </c>
      <c r="W2066" s="8">
        <f t="shared" si="205"/>
        <v>10743.75</v>
      </c>
    </row>
    <row r="2067" spans="1:23" ht="21.95" customHeight="1" x14ac:dyDescent="0.2">
      <c r="A2067" s="6" t="s">
        <v>17</v>
      </c>
      <c r="B2067" t="s">
        <v>805</v>
      </c>
      <c r="C2067" s="6" t="s">
        <v>808</v>
      </c>
      <c r="D2067" s="6" t="s">
        <v>809</v>
      </c>
      <c r="E2067" s="6"/>
      <c r="F2067"/>
      <c r="G2067"/>
      <c r="H2067"/>
      <c r="I2067" s="10"/>
      <c r="J2067" s="10"/>
      <c r="K2067" s="7">
        <v>44006238</v>
      </c>
      <c r="L2067" s="6" t="str">
        <f>B2067&amp;" "&amp;C2067&amp;" "&amp;D2067</f>
        <v>VRL CALİSTO ZİGON SEHPA TAKIMI 3'LÜ</v>
      </c>
      <c r="M2067" s="12">
        <v>0.4</v>
      </c>
      <c r="N2067" s="12">
        <v>0.4</v>
      </c>
      <c r="O2067" s="8">
        <v>14440</v>
      </c>
      <c r="P2067" s="8">
        <f t="shared" si="208"/>
        <v>8664</v>
      </c>
      <c r="Q2067" s="12">
        <f t="shared" si="209"/>
        <v>18194.400000000001</v>
      </c>
      <c r="R2067" s="31">
        <f t="shared" si="210"/>
        <v>18100</v>
      </c>
      <c r="T2067" s="8">
        <v>3170</v>
      </c>
      <c r="V2067" s="8">
        <f t="shared" si="204"/>
        <v>2853</v>
      </c>
      <c r="W2067" s="8">
        <f t="shared" si="205"/>
        <v>7132.5</v>
      </c>
    </row>
    <row r="2068" spans="1:23" ht="21.95" customHeight="1" x14ac:dyDescent="0.2">
      <c r="A2068" s="6" t="s">
        <v>17</v>
      </c>
      <c r="B2068" t="s">
        <v>805</v>
      </c>
      <c r="C2068" s="6" t="s">
        <v>810</v>
      </c>
      <c r="D2068" s="6" t="s">
        <v>33</v>
      </c>
      <c r="E2068" s="6"/>
      <c r="F2068"/>
      <c r="G2068">
        <v>64</v>
      </c>
      <c r="H2068">
        <v>61</v>
      </c>
      <c r="I2068" s="10">
        <v>79</v>
      </c>
      <c r="J2068" s="10"/>
      <c r="K2068" s="7">
        <v>44006239</v>
      </c>
      <c r="L2068" s="6" t="str">
        <f t="shared" ref="L2068:L2076" si="211">B2068&amp;" "&amp;C2068&amp;" "&amp;D2068&amp;" "&amp;G2068&amp;"x"&amp;H2068&amp;"x"&amp;I2068</f>
        <v>VRL CAMBRİDGE BERJER 64x61x79</v>
      </c>
      <c r="M2068" s="12">
        <v>0.4</v>
      </c>
      <c r="N2068" s="12">
        <v>0.4</v>
      </c>
      <c r="O2068" s="8">
        <v>11530</v>
      </c>
      <c r="P2068" s="8">
        <f t="shared" si="208"/>
        <v>6918</v>
      </c>
      <c r="Q2068" s="12">
        <f t="shared" si="209"/>
        <v>14527.800000000001</v>
      </c>
      <c r="R2068" s="31">
        <f t="shared" si="210"/>
        <v>14500</v>
      </c>
      <c r="T2068" s="8">
        <v>18755</v>
      </c>
      <c r="V2068" s="8">
        <f t="shared" si="204"/>
        <v>16879.5</v>
      </c>
      <c r="W2068" s="8">
        <f t="shared" si="205"/>
        <v>42198.75</v>
      </c>
    </row>
    <row r="2069" spans="1:23" ht="21.95" customHeight="1" x14ac:dyDescent="0.2">
      <c r="A2069" s="6" t="s">
        <v>17</v>
      </c>
      <c r="B2069" t="s">
        <v>805</v>
      </c>
      <c r="C2069" s="6" t="s">
        <v>811</v>
      </c>
      <c r="D2069" s="6" t="s">
        <v>812</v>
      </c>
      <c r="E2069" s="6"/>
      <c r="F2069"/>
      <c r="G2069">
        <v>45</v>
      </c>
      <c r="H2069">
        <v>47</v>
      </c>
      <c r="I2069" s="10">
        <v>70</v>
      </c>
      <c r="J2069" s="10"/>
      <c r="K2069" s="7">
        <v>44006240</v>
      </c>
      <c r="L2069" s="6" t="str">
        <f t="shared" si="211"/>
        <v>VRL DOVER BAR TABURE 45x47x70</v>
      </c>
      <c r="M2069" s="12">
        <v>0.4</v>
      </c>
      <c r="N2069" s="12">
        <v>0.4</v>
      </c>
      <c r="O2069" s="8">
        <v>3390</v>
      </c>
      <c r="P2069" s="8">
        <f t="shared" si="208"/>
        <v>2034</v>
      </c>
      <c r="Q2069" s="12">
        <f t="shared" si="209"/>
        <v>4271.4000000000005</v>
      </c>
      <c r="R2069" s="31">
        <f t="shared" si="210"/>
        <v>4200</v>
      </c>
      <c r="T2069" s="8">
        <v>11225</v>
      </c>
      <c r="V2069" s="8">
        <f t="shared" si="204"/>
        <v>10102.5</v>
      </c>
      <c r="W2069" s="8">
        <f t="shared" si="205"/>
        <v>25256.25</v>
      </c>
    </row>
    <row r="2070" spans="1:23" ht="21.95" customHeight="1" x14ac:dyDescent="0.2">
      <c r="A2070" s="6" t="s">
        <v>17</v>
      </c>
      <c r="B2070" s="5" t="s">
        <v>805</v>
      </c>
      <c r="C2070" s="6" t="s">
        <v>813</v>
      </c>
      <c r="D2070" s="6" t="s">
        <v>814</v>
      </c>
      <c r="E2070" s="6"/>
      <c r="G2070" s="5">
        <v>76</v>
      </c>
      <c r="H2070" s="5">
        <v>86</v>
      </c>
      <c r="I2070" s="7">
        <v>75</v>
      </c>
      <c r="K2070" s="7">
        <v>44006241</v>
      </c>
      <c r="L2070" s="6" t="str">
        <f t="shared" si="211"/>
        <v>VRL FREYA TEKLİ KOLTUK 76x86x75</v>
      </c>
      <c r="M2070" s="12">
        <v>0.4</v>
      </c>
      <c r="N2070" s="12">
        <v>0.4</v>
      </c>
      <c r="O2070" s="8">
        <v>11990</v>
      </c>
      <c r="P2070" s="8">
        <f t="shared" si="208"/>
        <v>7194</v>
      </c>
      <c r="Q2070" s="12">
        <f t="shared" si="209"/>
        <v>15107.400000000001</v>
      </c>
      <c r="R2070" s="31">
        <f t="shared" si="210"/>
        <v>15100</v>
      </c>
      <c r="T2070" s="8">
        <v>10570</v>
      </c>
      <c r="V2070" s="8">
        <f t="shared" si="204"/>
        <v>9513</v>
      </c>
      <c r="W2070" s="8">
        <f t="shared" si="205"/>
        <v>23782.5</v>
      </c>
    </row>
    <row r="2071" spans="1:23" ht="21.95" customHeight="1" x14ac:dyDescent="0.2">
      <c r="A2071" s="6" t="s">
        <v>17</v>
      </c>
      <c r="B2071" s="6" t="s">
        <v>805</v>
      </c>
      <c r="C2071" s="6" t="s">
        <v>813</v>
      </c>
      <c r="D2071" s="6" t="s">
        <v>815</v>
      </c>
      <c r="E2071" s="6"/>
      <c r="G2071" s="5">
        <v>130</v>
      </c>
      <c r="H2071" s="5">
        <v>86</v>
      </c>
      <c r="I2071" s="7">
        <v>75</v>
      </c>
      <c r="K2071" s="7">
        <v>44006242</v>
      </c>
      <c r="L2071" s="6" t="str">
        <f t="shared" si="211"/>
        <v>VRL FREYA 2'Lİ KOLTUK 130x86x75</v>
      </c>
      <c r="M2071" s="12">
        <v>0.4</v>
      </c>
      <c r="N2071" s="12">
        <v>0.4</v>
      </c>
      <c r="O2071" s="8">
        <v>19190</v>
      </c>
      <c r="P2071" s="8">
        <f t="shared" si="208"/>
        <v>11514</v>
      </c>
      <c r="Q2071" s="12">
        <f t="shared" si="209"/>
        <v>24179.4</v>
      </c>
      <c r="R2071" s="31">
        <f t="shared" si="210"/>
        <v>24100</v>
      </c>
      <c r="T2071" s="8">
        <v>16295</v>
      </c>
      <c r="V2071" s="8">
        <f t="shared" si="204"/>
        <v>14665.5</v>
      </c>
      <c r="W2071" s="8">
        <f t="shared" si="205"/>
        <v>36663.75</v>
      </c>
    </row>
    <row r="2072" spans="1:23" ht="21.95" customHeight="1" x14ac:dyDescent="0.2">
      <c r="A2072" s="6" t="s">
        <v>17</v>
      </c>
      <c r="B2072" s="6" t="s">
        <v>805</v>
      </c>
      <c r="C2072" s="6" t="s">
        <v>813</v>
      </c>
      <c r="D2072" s="6" t="s">
        <v>29</v>
      </c>
      <c r="E2072" s="6"/>
      <c r="G2072" s="6">
        <v>100</v>
      </c>
      <c r="H2072" s="6">
        <v>60</v>
      </c>
      <c r="I2072" s="9">
        <v>49</v>
      </c>
      <c r="J2072" s="9"/>
      <c r="K2072" s="7">
        <v>44006243</v>
      </c>
      <c r="L2072" s="6" t="str">
        <f t="shared" si="211"/>
        <v>VRL FREYA ORTA SEHPA 100x60x49</v>
      </c>
      <c r="M2072" s="12">
        <v>0.4</v>
      </c>
      <c r="N2072" s="12">
        <v>0.4</v>
      </c>
      <c r="O2072" s="8">
        <v>9730</v>
      </c>
      <c r="P2072" s="8">
        <f t="shared" si="208"/>
        <v>5838</v>
      </c>
      <c r="Q2072" s="12">
        <f t="shared" si="209"/>
        <v>12259.800000000001</v>
      </c>
      <c r="R2072" s="31">
        <f t="shared" si="210"/>
        <v>12200</v>
      </c>
      <c r="T2072" s="8">
        <v>19160</v>
      </c>
      <c r="V2072" s="8">
        <f t="shared" si="204"/>
        <v>17244</v>
      </c>
      <c r="W2072" s="8">
        <f t="shared" si="205"/>
        <v>43110</v>
      </c>
    </row>
    <row r="2073" spans="1:23" ht="21.95" customHeight="1" x14ac:dyDescent="0.2">
      <c r="A2073" s="6" t="s">
        <v>17</v>
      </c>
      <c r="B2073" s="6" t="s">
        <v>805</v>
      </c>
      <c r="C2073" s="6" t="s">
        <v>816</v>
      </c>
      <c r="D2073" s="6" t="s">
        <v>812</v>
      </c>
      <c r="E2073" s="6"/>
      <c r="G2073" s="6">
        <v>34</v>
      </c>
      <c r="H2073" s="6">
        <v>34</v>
      </c>
      <c r="I2073" s="9">
        <v>70</v>
      </c>
      <c r="J2073" s="9"/>
      <c r="K2073" s="7">
        <v>44006244</v>
      </c>
      <c r="L2073" s="6" t="str">
        <f t="shared" si="211"/>
        <v>VRL LAVİ BAR TABURE 34x34x70</v>
      </c>
      <c r="M2073" s="12">
        <v>0.4</v>
      </c>
      <c r="N2073" s="12">
        <v>0.4</v>
      </c>
      <c r="O2073" s="8">
        <v>6260</v>
      </c>
      <c r="P2073" s="8">
        <f t="shared" si="208"/>
        <v>3756</v>
      </c>
      <c r="Q2073" s="12">
        <f t="shared" si="209"/>
        <v>7887.6</v>
      </c>
      <c r="R2073" s="31">
        <f t="shared" si="210"/>
        <v>7800</v>
      </c>
      <c r="T2073" s="8">
        <v>41185</v>
      </c>
      <c r="V2073" s="8">
        <f t="shared" si="204"/>
        <v>37066.5</v>
      </c>
      <c r="W2073" s="8">
        <f t="shared" si="205"/>
        <v>92666.25</v>
      </c>
    </row>
    <row r="2074" spans="1:23" ht="21.95" customHeight="1" x14ac:dyDescent="0.2">
      <c r="A2074" s="6" t="s">
        <v>17</v>
      </c>
      <c r="B2074" s="6" t="s">
        <v>805</v>
      </c>
      <c r="C2074" s="6" t="s">
        <v>817</v>
      </c>
      <c r="D2074" s="6" t="s">
        <v>814</v>
      </c>
      <c r="E2074" s="6"/>
      <c r="G2074" s="6">
        <v>69</v>
      </c>
      <c r="H2074" s="6">
        <v>82</v>
      </c>
      <c r="I2074" s="9">
        <v>69</v>
      </c>
      <c r="J2074" s="9"/>
      <c r="K2074" s="7">
        <v>44006245</v>
      </c>
      <c r="L2074" s="6" t="str">
        <f t="shared" si="211"/>
        <v>VRL MALAGA TEKLİ KOLTUK 69x82x69</v>
      </c>
      <c r="M2074" s="12">
        <v>0.4</v>
      </c>
      <c r="N2074" s="12">
        <v>0.4</v>
      </c>
      <c r="O2074" s="8">
        <v>8580</v>
      </c>
      <c r="P2074" s="8">
        <f t="shared" si="208"/>
        <v>5148</v>
      </c>
      <c r="Q2074" s="12">
        <f t="shared" si="209"/>
        <v>10810.800000000001</v>
      </c>
      <c r="R2074" s="31">
        <f t="shared" si="210"/>
        <v>10800</v>
      </c>
      <c r="T2074" s="8">
        <v>4277</v>
      </c>
      <c r="V2074" s="8">
        <f t="shared" si="204"/>
        <v>3849.3</v>
      </c>
      <c r="W2074" s="8">
        <f t="shared" si="205"/>
        <v>9623.25</v>
      </c>
    </row>
    <row r="2075" spans="1:23" ht="21.95" customHeight="1" x14ac:dyDescent="0.2">
      <c r="A2075" s="6" t="s">
        <v>17</v>
      </c>
      <c r="B2075" s="6" t="s">
        <v>805</v>
      </c>
      <c r="C2075" s="6" t="s">
        <v>817</v>
      </c>
      <c r="D2075" s="6" t="s">
        <v>815</v>
      </c>
      <c r="E2075" s="6"/>
      <c r="G2075" s="6">
        <v>132</v>
      </c>
      <c r="H2075" s="6">
        <v>82</v>
      </c>
      <c r="I2075" s="9">
        <v>69</v>
      </c>
      <c r="J2075" s="9"/>
      <c r="K2075" s="7">
        <v>44006246</v>
      </c>
      <c r="L2075" s="6" t="str">
        <f t="shared" si="211"/>
        <v>VRL MALAGA 2'Lİ KOLTUK 132x82x69</v>
      </c>
      <c r="M2075" s="12">
        <v>0.4</v>
      </c>
      <c r="N2075" s="12">
        <v>0.4</v>
      </c>
      <c r="O2075" s="8">
        <v>12480</v>
      </c>
      <c r="P2075" s="8">
        <f t="shared" si="208"/>
        <v>7488</v>
      </c>
      <c r="Q2075" s="12">
        <f t="shared" si="209"/>
        <v>15724.800000000001</v>
      </c>
      <c r="R2075" s="31">
        <f t="shared" si="210"/>
        <v>15700</v>
      </c>
      <c r="T2075" s="8">
        <v>25180</v>
      </c>
      <c r="V2075" s="8">
        <f t="shared" ref="V2075:V2138" si="212">T2075*0.9</f>
        <v>22662</v>
      </c>
      <c r="W2075" s="8">
        <f t="shared" ref="W2075:W2138" si="213">V2075*2.5</f>
        <v>56655</v>
      </c>
    </row>
    <row r="2076" spans="1:23" ht="21.95" customHeight="1" x14ac:dyDescent="0.2">
      <c r="A2076" s="6" t="s">
        <v>17</v>
      </c>
      <c r="B2076" s="6" t="s">
        <v>805</v>
      </c>
      <c r="C2076" s="6" t="s">
        <v>817</v>
      </c>
      <c r="D2076" s="6" t="s">
        <v>29</v>
      </c>
      <c r="E2076" s="6"/>
      <c r="G2076" s="6">
        <v>108</v>
      </c>
      <c r="H2076" s="6">
        <v>60</v>
      </c>
      <c r="I2076" s="9">
        <v>46</v>
      </c>
      <c r="J2076" s="9"/>
      <c r="K2076" s="7">
        <v>44006247</v>
      </c>
      <c r="L2076" s="6" t="str">
        <f t="shared" si="211"/>
        <v>VRL MALAGA ORTA SEHPA 108x60x46</v>
      </c>
      <c r="M2076" s="12">
        <v>0.4</v>
      </c>
      <c r="N2076" s="12">
        <v>0.4</v>
      </c>
      <c r="O2076" s="8">
        <v>3970</v>
      </c>
      <c r="P2076" s="8">
        <f t="shared" si="208"/>
        <v>2382</v>
      </c>
      <c r="Q2076" s="12">
        <f t="shared" si="209"/>
        <v>5002.2</v>
      </c>
      <c r="R2076" s="31">
        <f t="shared" si="210"/>
        <v>5000</v>
      </c>
      <c r="T2076" s="8">
        <v>4641</v>
      </c>
      <c r="V2076" s="8">
        <f t="shared" si="212"/>
        <v>4176.9000000000005</v>
      </c>
      <c r="W2076" s="8">
        <f t="shared" si="213"/>
        <v>10442.250000000002</v>
      </c>
    </row>
    <row r="2077" spans="1:23" ht="21.95" customHeight="1" x14ac:dyDescent="0.2">
      <c r="A2077" s="6" t="s">
        <v>17</v>
      </c>
      <c r="B2077" s="6" t="s">
        <v>805</v>
      </c>
      <c r="C2077" s="6" t="s">
        <v>818</v>
      </c>
      <c r="D2077" s="6" t="s">
        <v>819</v>
      </c>
      <c r="E2077" s="6"/>
      <c r="K2077" s="7">
        <v>44006248</v>
      </c>
      <c r="L2077" s="6" t="str">
        <f>B2077&amp;" "&amp;C2077&amp;" "&amp;D2077</f>
        <v>VRL MAYA BANK</v>
      </c>
      <c r="M2077" s="12">
        <v>0.4</v>
      </c>
      <c r="N2077" s="12">
        <v>0.4</v>
      </c>
      <c r="O2077" s="8">
        <v>9580</v>
      </c>
      <c r="P2077" s="8">
        <f t="shared" si="208"/>
        <v>5748</v>
      </c>
      <c r="Q2077" s="12">
        <f t="shared" si="209"/>
        <v>12070.800000000001</v>
      </c>
      <c r="R2077" s="31">
        <f t="shared" si="210"/>
        <v>12000</v>
      </c>
      <c r="T2077" s="8">
        <v>40040</v>
      </c>
      <c r="V2077" s="8">
        <f t="shared" si="212"/>
        <v>36036</v>
      </c>
      <c r="W2077" s="8">
        <f t="shared" si="213"/>
        <v>90090</v>
      </c>
    </row>
    <row r="2078" spans="1:23" ht="21.95" customHeight="1" x14ac:dyDescent="0.2">
      <c r="A2078" s="6" t="s">
        <v>17</v>
      </c>
      <c r="B2078" s="6" t="s">
        <v>805</v>
      </c>
      <c r="C2078" s="6" t="s">
        <v>818</v>
      </c>
      <c r="D2078" s="6" t="s">
        <v>275</v>
      </c>
      <c r="E2078" s="6"/>
      <c r="G2078" s="5">
        <v>200</v>
      </c>
      <c r="H2078" s="5">
        <v>140</v>
      </c>
      <c r="I2078" s="7">
        <v>90</v>
      </c>
      <c r="K2078" s="7">
        <v>44006249</v>
      </c>
      <c r="L2078" s="6" t="str">
        <f>B2078&amp;" "&amp;C2078&amp;" "&amp;D2078&amp;" "&amp;G2078&amp;"x"&amp;H2078&amp;"x"&amp;I2078</f>
        <v>VRL MAYA KÖŞE 200x140x90</v>
      </c>
      <c r="M2078" s="12">
        <v>0.4</v>
      </c>
      <c r="N2078" s="12">
        <v>0.4</v>
      </c>
      <c r="O2078" s="8">
        <v>21030</v>
      </c>
      <c r="P2078" s="8">
        <f t="shared" si="208"/>
        <v>12618</v>
      </c>
      <c r="Q2078" s="12">
        <f t="shared" si="209"/>
        <v>26497.800000000003</v>
      </c>
      <c r="R2078" s="31">
        <f t="shared" si="210"/>
        <v>26400</v>
      </c>
      <c r="T2078" s="8">
        <v>35700</v>
      </c>
      <c r="V2078" s="8">
        <f t="shared" si="212"/>
        <v>32130</v>
      </c>
      <c r="W2078" s="8">
        <f t="shared" si="213"/>
        <v>80325</v>
      </c>
    </row>
    <row r="2079" spans="1:23" ht="21.95" customHeight="1" x14ac:dyDescent="0.2">
      <c r="A2079" s="6" t="s">
        <v>17</v>
      </c>
      <c r="B2079" s="6" t="s">
        <v>805</v>
      </c>
      <c r="C2079" s="6" t="s">
        <v>818</v>
      </c>
      <c r="D2079" s="6" t="s">
        <v>119</v>
      </c>
      <c r="E2079" s="6"/>
      <c r="G2079" s="5">
        <v>100</v>
      </c>
      <c r="H2079" s="5">
        <v>45</v>
      </c>
      <c r="I2079" s="7">
        <v>45</v>
      </c>
      <c r="K2079" s="7">
        <v>44006250</v>
      </c>
      <c r="L2079" s="6" t="str">
        <f>B2079&amp;" "&amp;C2079&amp;" "&amp;D2079&amp;" "&amp;G2079&amp;"x"&amp;H2079&amp;"x"&amp;I2079</f>
        <v>VRL MAYA PUF 100x45x45</v>
      </c>
      <c r="M2079" s="12">
        <v>0.4</v>
      </c>
      <c r="N2079" s="12">
        <v>0.4</v>
      </c>
      <c r="O2079" s="8">
        <v>5240</v>
      </c>
      <c r="P2079" s="8">
        <f t="shared" si="208"/>
        <v>3144</v>
      </c>
      <c r="Q2079" s="12">
        <f t="shared" si="209"/>
        <v>6602.4000000000005</v>
      </c>
      <c r="R2079" s="31">
        <f t="shared" si="210"/>
        <v>6600</v>
      </c>
      <c r="T2079" s="8">
        <v>16925</v>
      </c>
      <c r="V2079" s="8">
        <f t="shared" si="212"/>
        <v>15232.5</v>
      </c>
      <c r="W2079" s="8">
        <f t="shared" si="213"/>
        <v>38081.25</v>
      </c>
    </row>
    <row r="2080" spans="1:23" ht="21.95" customHeight="1" x14ac:dyDescent="0.2">
      <c r="A2080" s="6" t="s">
        <v>17</v>
      </c>
      <c r="B2080" s="6" t="s">
        <v>805</v>
      </c>
      <c r="C2080" s="6" t="s">
        <v>820</v>
      </c>
      <c r="D2080" s="6" t="s">
        <v>821</v>
      </c>
      <c r="E2080" s="6"/>
      <c r="G2080" s="6">
        <v>180</v>
      </c>
      <c r="H2080" s="6">
        <v>95</v>
      </c>
      <c r="I2080" s="9">
        <v>74</v>
      </c>
      <c r="J2080" s="9"/>
      <c r="K2080" s="7">
        <v>44006251</v>
      </c>
      <c r="L2080" s="6" t="str">
        <f>B2080&amp;" "&amp;C2080&amp;" "&amp;D2080&amp;" "&amp;G2080&amp;"x"&amp;H2080&amp;"x"&amp;I2080</f>
        <v>VRL NEVADA KOLTUK 180x95x74</v>
      </c>
      <c r="M2080" s="12">
        <v>0.4</v>
      </c>
      <c r="N2080" s="12">
        <v>0.4</v>
      </c>
      <c r="O2080" s="8">
        <v>94870</v>
      </c>
      <c r="P2080" s="8">
        <f t="shared" si="208"/>
        <v>56922</v>
      </c>
      <c r="Q2080" s="12">
        <f t="shared" si="209"/>
        <v>119536.20000000001</v>
      </c>
      <c r="R2080" s="31">
        <f t="shared" si="210"/>
        <v>119500</v>
      </c>
      <c r="T2080" s="8">
        <v>35323</v>
      </c>
      <c r="V2080" s="8">
        <f t="shared" si="212"/>
        <v>31790.7</v>
      </c>
      <c r="W2080" s="8">
        <f t="shared" si="213"/>
        <v>79476.75</v>
      </c>
    </row>
    <row r="2081" spans="1:23" ht="21.95" customHeight="1" x14ac:dyDescent="0.2">
      <c r="A2081" s="6" t="s">
        <v>17</v>
      </c>
      <c r="B2081" s="6" t="s">
        <v>805</v>
      </c>
      <c r="C2081" s="6" t="s">
        <v>822</v>
      </c>
      <c r="D2081" s="6" t="s">
        <v>823</v>
      </c>
      <c r="E2081" s="6"/>
      <c r="K2081" s="7">
        <v>44006252</v>
      </c>
      <c r="L2081" s="6" t="str">
        <f>B2081&amp;" "&amp;C2081&amp;" "&amp;D2081</f>
        <v>VRL REST LOCA</v>
      </c>
      <c r="M2081" s="12">
        <v>0.4</v>
      </c>
      <c r="N2081" s="12">
        <v>0.4</v>
      </c>
      <c r="O2081" s="8">
        <v>13080</v>
      </c>
      <c r="P2081" s="8">
        <f t="shared" si="208"/>
        <v>7848</v>
      </c>
      <c r="Q2081" s="12">
        <f t="shared" si="209"/>
        <v>16480.8</v>
      </c>
      <c r="R2081" s="31">
        <f t="shared" si="210"/>
        <v>16400</v>
      </c>
      <c r="T2081" s="8">
        <v>5910</v>
      </c>
      <c r="V2081" s="8">
        <f t="shared" si="212"/>
        <v>5319</v>
      </c>
      <c r="W2081" s="8">
        <f t="shared" si="213"/>
        <v>13297.5</v>
      </c>
    </row>
    <row r="2082" spans="1:23" ht="21.95" customHeight="1" x14ac:dyDescent="0.2">
      <c r="A2082" s="6" t="s">
        <v>17</v>
      </c>
      <c r="B2082" s="6" t="s">
        <v>805</v>
      </c>
      <c r="C2082" s="6" t="s">
        <v>824</v>
      </c>
      <c r="D2082" s="6" t="s">
        <v>814</v>
      </c>
      <c r="E2082" s="6"/>
      <c r="K2082" s="7">
        <v>44006253</v>
      </c>
      <c r="L2082" s="6" t="str">
        <f>B2082&amp;" "&amp;C2082&amp;" "&amp;D2082</f>
        <v>VRL RETRO TEKLİ KOLTUK</v>
      </c>
      <c r="M2082" s="12">
        <v>0.4</v>
      </c>
      <c r="N2082" s="12">
        <v>0.4</v>
      </c>
      <c r="O2082" s="8">
        <v>11120</v>
      </c>
      <c r="P2082" s="8">
        <f t="shared" si="208"/>
        <v>6672</v>
      </c>
      <c r="Q2082" s="12">
        <f t="shared" si="209"/>
        <v>14011.2</v>
      </c>
      <c r="R2082" s="31">
        <f t="shared" si="210"/>
        <v>14000</v>
      </c>
      <c r="T2082" s="8">
        <v>21515</v>
      </c>
      <c r="V2082" s="8">
        <f t="shared" si="212"/>
        <v>19363.5</v>
      </c>
      <c r="W2082" s="8">
        <f t="shared" si="213"/>
        <v>48408.75</v>
      </c>
    </row>
    <row r="2083" spans="1:23" ht="21.95" customHeight="1" x14ac:dyDescent="0.2">
      <c r="A2083" s="6" t="s">
        <v>17</v>
      </c>
      <c r="B2083" s="6" t="s">
        <v>805</v>
      </c>
      <c r="C2083" s="6" t="s">
        <v>824</v>
      </c>
      <c r="D2083" s="6" t="s">
        <v>815</v>
      </c>
      <c r="E2083" s="6"/>
      <c r="G2083" s="6">
        <v>120</v>
      </c>
      <c r="H2083" s="6">
        <v>70</v>
      </c>
      <c r="I2083" s="9">
        <v>90</v>
      </c>
      <c r="J2083" s="9"/>
      <c r="K2083" s="7">
        <v>44006254</v>
      </c>
      <c r="L2083" s="6" t="str">
        <f>B2083&amp;" "&amp;C2083&amp;" "&amp;D2083&amp;" "&amp;G2083&amp;"x"&amp;H2083&amp;"x"&amp;I2083</f>
        <v>VRL RETRO 2'Lİ KOLTUK 120x70x90</v>
      </c>
      <c r="M2083" s="12">
        <v>0.4</v>
      </c>
      <c r="N2083" s="12">
        <v>0.4</v>
      </c>
      <c r="O2083" s="8">
        <v>16070</v>
      </c>
      <c r="P2083" s="8">
        <f t="shared" si="208"/>
        <v>9642</v>
      </c>
      <c r="Q2083" s="12">
        <f t="shared" si="209"/>
        <v>20248.2</v>
      </c>
      <c r="R2083" s="31">
        <f t="shared" si="210"/>
        <v>20200</v>
      </c>
      <c r="T2083" s="8">
        <v>3652</v>
      </c>
      <c r="V2083" s="8">
        <f t="shared" si="212"/>
        <v>3286.8</v>
      </c>
      <c r="W2083" s="8">
        <f t="shared" si="213"/>
        <v>8217</v>
      </c>
    </row>
    <row r="2084" spans="1:23" ht="21.95" customHeight="1" x14ac:dyDescent="0.2">
      <c r="A2084" s="6" t="s">
        <v>17</v>
      </c>
      <c r="B2084" s="6" t="s">
        <v>805</v>
      </c>
      <c r="C2084" s="6" t="s">
        <v>824</v>
      </c>
      <c r="D2084" s="6" t="s">
        <v>825</v>
      </c>
      <c r="E2084" s="6"/>
      <c r="K2084" s="7">
        <v>44006255</v>
      </c>
      <c r="L2084" s="6" t="str">
        <f>B2084&amp;" "&amp;C2084&amp;" "&amp;D2084</f>
        <v>VRL RETRO TABURE</v>
      </c>
      <c r="M2084" s="12">
        <v>0.4</v>
      </c>
      <c r="N2084" s="12">
        <v>0.4</v>
      </c>
      <c r="O2084" s="8">
        <v>2520</v>
      </c>
      <c r="P2084" s="8">
        <f t="shared" si="208"/>
        <v>1512</v>
      </c>
      <c r="Q2084" s="12">
        <f t="shared" si="209"/>
        <v>3175.2000000000003</v>
      </c>
      <c r="R2084" s="31">
        <f t="shared" si="210"/>
        <v>3100</v>
      </c>
      <c r="T2084" s="8">
        <v>23655</v>
      </c>
      <c r="V2084" s="8">
        <f t="shared" si="212"/>
        <v>21289.5</v>
      </c>
      <c r="W2084" s="8">
        <f t="shared" si="213"/>
        <v>53223.75</v>
      </c>
    </row>
    <row r="2085" spans="1:23" ht="21.95" customHeight="1" x14ac:dyDescent="0.2">
      <c r="A2085" s="6" t="s">
        <v>17</v>
      </c>
      <c r="B2085" s="6" t="s">
        <v>805</v>
      </c>
      <c r="C2085" s="6" t="s">
        <v>824</v>
      </c>
      <c r="D2085" s="6" t="s">
        <v>275</v>
      </c>
      <c r="E2085" s="6"/>
      <c r="K2085" s="7">
        <v>44006256</v>
      </c>
      <c r="L2085" s="6" t="str">
        <f>B2085&amp;" "&amp;C2085&amp;" "&amp;D2085</f>
        <v>VRL RETRO KÖŞE</v>
      </c>
      <c r="M2085" s="12">
        <v>0.4</v>
      </c>
      <c r="N2085" s="12">
        <v>0.4</v>
      </c>
      <c r="O2085" s="8">
        <v>35180</v>
      </c>
      <c r="P2085" s="8">
        <f t="shared" si="208"/>
        <v>21108</v>
      </c>
      <c r="Q2085" s="12">
        <f t="shared" si="209"/>
        <v>44326.8</v>
      </c>
      <c r="R2085" s="31">
        <f t="shared" si="210"/>
        <v>44300</v>
      </c>
      <c r="V2085" s="8">
        <f t="shared" si="212"/>
        <v>0</v>
      </c>
      <c r="W2085" s="8">
        <f t="shared" si="213"/>
        <v>0</v>
      </c>
    </row>
    <row r="2086" spans="1:23" ht="21.95" customHeight="1" x14ac:dyDescent="0.2">
      <c r="A2086" s="6" t="s">
        <v>17</v>
      </c>
      <c r="B2086" s="6" t="s">
        <v>805</v>
      </c>
      <c r="C2086" s="6" t="s">
        <v>824</v>
      </c>
      <c r="D2086" s="6" t="s">
        <v>119</v>
      </c>
      <c r="E2086" s="6"/>
      <c r="G2086" s="5">
        <v>90</v>
      </c>
      <c r="H2086" s="5">
        <v>40</v>
      </c>
      <c r="I2086" s="7">
        <v>48</v>
      </c>
      <c r="K2086" s="7">
        <v>44006257</v>
      </c>
      <c r="L2086" s="6" t="str">
        <f>B2086&amp;" "&amp;C2086&amp;" "&amp;D2086&amp;" "&amp;G2086&amp;"x"&amp;H2086&amp;"x"&amp;I2086</f>
        <v>VRL RETRO PUF 90x40x48</v>
      </c>
      <c r="M2086" s="12">
        <v>0.4</v>
      </c>
      <c r="N2086" s="12">
        <v>0.4</v>
      </c>
      <c r="O2086" s="8">
        <v>4890</v>
      </c>
      <c r="P2086" s="8">
        <f t="shared" si="208"/>
        <v>2934</v>
      </c>
      <c r="Q2086" s="12">
        <f t="shared" si="209"/>
        <v>6161.4000000000005</v>
      </c>
      <c r="R2086" s="31">
        <f t="shared" si="210"/>
        <v>6100</v>
      </c>
      <c r="T2086" s="8">
        <v>9275</v>
      </c>
      <c r="V2086" s="8">
        <f t="shared" si="212"/>
        <v>8347.5</v>
      </c>
      <c r="W2086" s="8">
        <f t="shared" si="213"/>
        <v>20868.75</v>
      </c>
    </row>
    <row r="2087" spans="1:23" ht="21.95" customHeight="1" x14ac:dyDescent="0.2">
      <c r="A2087" s="6" t="s">
        <v>17</v>
      </c>
      <c r="B2087" s="6" t="s">
        <v>805</v>
      </c>
      <c r="C2087" s="6" t="s">
        <v>826</v>
      </c>
      <c r="D2087" s="6" t="s">
        <v>819</v>
      </c>
      <c r="E2087" s="6"/>
      <c r="K2087" s="7">
        <v>44006258</v>
      </c>
      <c r="L2087" s="6" t="str">
        <f>B2087&amp;" "&amp;C2087&amp;" "&amp;D2087</f>
        <v>VRL ROCO BANK</v>
      </c>
      <c r="M2087" s="12">
        <v>0.4</v>
      </c>
      <c r="N2087" s="12">
        <v>0.4</v>
      </c>
      <c r="O2087" s="8">
        <v>9520</v>
      </c>
      <c r="P2087" s="8">
        <f t="shared" si="208"/>
        <v>5712</v>
      </c>
      <c r="Q2087" s="12">
        <f t="shared" si="209"/>
        <v>11995.2</v>
      </c>
      <c r="R2087" s="31">
        <f t="shared" si="210"/>
        <v>11900</v>
      </c>
      <c r="T2087" s="8">
        <v>31170</v>
      </c>
      <c r="V2087" s="8">
        <f t="shared" si="212"/>
        <v>28053</v>
      </c>
      <c r="W2087" s="8">
        <f t="shared" si="213"/>
        <v>70132.5</v>
      </c>
    </row>
    <row r="2088" spans="1:23" ht="21.95" customHeight="1" x14ac:dyDescent="0.2">
      <c r="A2088" s="6" t="s">
        <v>17</v>
      </c>
      <c r="B2088" s="6" t="s">
        <v>805</v>
      </c>
      <c r="C2088" s="6" t="s">
        <v>827</v>
      </c>
      <c r="D2088" s="6" t="s">
        <v>814</v>
      </c>
      <c r="E2088" s="6"/>
      <c r="G2088" s="5">
        <v>54</v>
      </c>
      <c r="H2088" s="5">
        <v>60</v>
      </c>
      <c r="I2088" s="7">
        <v>80</v>
      </c>
      <c r="K2088" s="7">
        <v>44006259</v>
      </c>
      <c r="L2088" s="6" t="str">
        <f>B2088&amp;" "&amp;C2088&amp;" "&amp;D2088&amp;" "&amp;G2088&amp;"x"&amp;H2088&amp;"x"&amp;I2088</f>
        <v>VRL SALVADOR TEKLİ KOLTUK 54x60x80</v>
      </c>
      <c r="M2088" s="12">
        <v>0.4</v>
      </c>
      <c r="N2088" s="12">
        <v>0.4</v>
      </c>
      <c r="O2088" s="8">
        <v>8920</v>
      </c>
      <c r="P2088" s="8">
        <f t="shared" si="208"/>
        <v>5352</v>
      </c>
      <c r="Q2088" s="12">
        <f t="shared" si="209"/>
        <v>11239.2</v>
      </c>
      <c r="R2088" s="31">
        <f t="shared" si="210"/>
        <v>11200</v>
      </c>
      <c r="T2088" s="8">
        <v>19760</v>
      </c>
      <c r="V2088" s="8">
        <f t="shared" si="212"/>
        <v>17784</v>
      </c>
      <c r="W2088" s="8">
        <f t="shared" si="213"/>
        <v>44460</v>
      </c>
    </row>
    <row r="2089" spans="1:23" ht="21.95" customHeight="1" x14ac:dyDescent="0.2">
      <c r="A2089" s="6" t="s">
        <v>17</v>
      </c>
      <c r="B2089" s="6" t="s">
        <v>805</v>
      </c>
      <c r="C2089" s="6" t="s">
        <v>827</v>
      </c>
      <c r="D2089" s="6" t="s">
        <v>1849</v>
      </c>
      <c r="E2089" s="6"/>
      <c r="G2089" s="5">
        <v>122</v>
      </c>
      <c r="H2089" s="5">
        <v>60</v>
      </c>
      <c r="I2089" s="7">
        <v>80</v>
      </c>
      <c r="K2089" s="7">
        <v>44006260</v>
      </c>
      <c r="L2089" s="6" t="str">
        <f>B2089&amp;" "&amp;C2089&amp;" "&amp;D2089&amp;" "&amp;G2089&amp;"x"&amp;H2089&amp;"x"&amp;I2089</f>
        <v>VRL SALVADOR 2 Lİ KOLTUK 122x60x80</v>
      </c>
      <c r="M2089" s="12">
        <v>0.4</v>
      </c>
      <c r="N2089" s="12">
        <v>0.4</v>
      </c>
      <c r="O2089" s="8">
        <v>12340</v>
      </c>
      <c r="P2089" s="8">
        <f t="shared" si="208"/>
        <v>7404</v>
      </c>
      <c r="Q2089" s="12">
        <f t="shared" si="209"/>
        <v>15548.400000000001</v>
      </c>
      <c r="R2089" s="31">
        <f t="shared" si="210"/>
        <v>15500</v>
      </c>
      <c r="T2089" s="8">
        <v>14345</v>
      </c>
      <c r="V2089" s="8">
        <f t="shared" si="212"/>
        <v>12910.5</v>
      </c>
      <c r="W2089" s="8">
        <f t="shared" si="213"/>
        <v>32276.25</v>
      </c>
    </row>
    <row r="2090" spans="1:23" ht="21.95" customHeight="1" x14ac:dyDescent="0.2">
      <c r="A2090" s="6" t="s">
        <v>17</v>
      </c>
      <c r="B2090" s="6" t="s">
        <v>805</v>
      </c>
      <c r="C2090" s="6" t="s">
        <v>827</v>
      </c>
      <c r="D2090" s="6" t="s">
        <v>29</v>
      </c>
      <c r="E2090" s="6"/>
      <c r="G2090" s="5">
        <v>108</v>
      </c>
      <c r="H2090" s="5">
        <v>55</v>
      </c>
      <c r="I2090" s="7">
        <v>46</v>
      </c>
      <c r="K2090" s="7">
        <v>44006261</v>
      </c>
      <c r="L2090" s="6" t="str">
        <f>B2090&amp;" "&amp;C2090&amp;" "&amp;D2090&amp;" "&amp;G2090&amp;"x"&amp;H2090&amp;"x"&amp;I2090</f>
        <v>VRL SALVADOR ORTA SEHPA 108x55x46</v>
      </c>
      <c r="M2090" s="12">
        <v>0.4</v>
      </c>
      <c r="N2090" s="12">
        <v>0.4</v>
      </c>
      <c r="O2090" s="8">
        <v>10890</v>
      </c>
      <c r="P2090" s="8">
        <f t="shared" si="208"/>
        <v>6534</v>
      </c>
      <c r="Q2090" s="12">
        <f t="shared" si="209"/>
        <v>13721.400000000001</v>
      </c>
      <c r="R2090" s="31">
        <f t="shared" si="210"/>
        <v>13700</v>
      </c>
      <c r="T2090" s="8">
        <v>40750</v>
      </c>
      <c r="V2090" s="8">
        <f t="shared" si="212"/>
        <v>36675</v>
      </c>
      <c r="W2090" s="8">
        <f t="shared" si="213"/>
        <v>91687.5</v>
      </c>
    </row>
    <row r="2091" spans="1:23" ht="21.95" customHeight="1" x14ac:dyDescent="0.2">
      <c r="A2091" s="6" t="s">
        <v>17</v>
      </c>
      <c r="B2091" s="6" t="s">
        <v>805</v>
      </c>
      <c r="C2091" s="6" t="s">
        <v>828</v>
      </c>
      <c r="D2091" s="6" t="s">
        <v>812</v>
      </c>
      <c r="E2091" s="6"/>
      <c r="G2091" s="6">
        <v>45</v>
      </c>
      <c r="H2091" s="6">
        <v>48</v>
      </c>
      <c r="I2091" s="9">
        <v>77</v>
      </c>
      <c r="J2091" s="9"/>
      <c r="K2091" s="7">
        <v>44006262</v>
      </c>
      <c r="L2091" s="6" t="str">
        <f>B2091&amp;" "&amp;C2091&amp;" "&amp;D2091&amp;" "&amp;G2091&amp;"x"&amp;H2091&amp;"x"&amp;I2091</f>
        <v>VRL SKY  BAR TABURE 45x48x77</v>
      </c>
      <c r="M2091" s="12">
        <v>0.4</v>
      </c>
      <c r="N2091" s="12">
        <v>0.4</v>
      </c>
      <c r="O2091" s="8">
        <v>3450</v>
      </c>
      <c r="P2091" s="8">
        <f t="shared" si="208"/>
        <v>2070</v>
      </c>
      <c r="Q2091" s="12">
        <f t="shared" si="209"/>
        <v>4347</v>
      </c>
      <c r="R2091" s="31">
        <f t="shared" si="210"/>
        <v>4300</v>
      </c>
      <c r="T2091" s="8">
        <v>42295</v>
      </c>
      <c r="V2091" s="8">
        <f t="shared" si="212"/>
        <v>38065.5</v>
      </c>
      <c r="W2091" s="8">
        <f t="shared" si="213"/>
        <v>95163.75</v>
      </c>
    </row>
    <row r="2092" spans="1:23" ht="21.95" customHeight="1" x14ac:dyDescent="0.2">
      <c r="A2092" s="6" t="s">
        <v>17</v>
      </c>
      <c r="B2092" s="6" t="s">
        <v>805</v>
      </c>
      <c r="C2092" s="6" t="s">
        <v>829</v>
      </c>
      <c r="D2092" s="6" t="s">
        <v>33</v>
      </c>
      <c r="E2092" s="6"/>
      <c r="K2092" s="7">
        <v>44006263</v>
      </c>
      <c r="L2092" s="6" t="str">
        <f>B2092&amp;" "&amp;C2092&amp;" "&amp;D2092</f>
        <v>VRL SUNSET BERJER</v>
      </c>
      <c r="M2092" s="12">
        <v>0.4</v>
      </c>
      <c r="N2092" s="12">
        <v>0.4</v>
      </c>
      <c r="O2092" s="8">
        <v>10210</v>
      </c>
      <c r="P2092" s="8">
        <f t="shared" si="208"/>
        <v>6126</v>
      </c>
      <c r="Q2092" s="12">
        <f t="shared" si="209"/>
        <v>12864.6</v>
      </c>
      <c r="R2092" s="31">
        <f t="shared" si="210"/>
        <v>12800</v>
      </c>
      <c r="T2092" s="8">
        <v>38185</v>
      </c>
      <c r="V2092" s="8">
        <f t="shared" si="212"/>
        <v>34366.5</v>
      </c>
      <c r="W2092" s="8">
        <f t="shared" si="213"/>
        <v>85916.25</v>
      </c>
    </row>
    <row r="2093" spans="1:23" ht="21.95" customHeight="1" x14ac:dyDescent="0.2">
      <c r="A2093" s="6" t="s">
        <v>17</v>
      </c>
      <c r="B2093" s="6" t="s">
        <v>805</v>
      </c>
      <c r="C2093" s="6" t="s">
        <v>830</v>
      </c>
      <c r="D2093" s="6" t="s">
        <v>406</v>
      </c>
      <c r="E2093" s="6"/>
      <c r="G2093" s="6">
        <v>120</v>
      </c>
      <c r="H2093" s="6">
        <v>38</v>
      </c>
      <c r="I2093" s="9">
        <v>210</v>
      </c>
      <c r="J2093" s="9"/>
      <c r="K2093" s="7">
        <v>44006264</v>
      </c>
      <c r="L2093" s="6" t="str">
        <f>B2093&amp;" "&amp;C2093&amp;" "&amp;D2093&amp;" "&amp;G2093&amp;"x"&amp;H2093&amp;"x"&amp;I2093</f>
        <v>VRL TİMBER KİTAPLIK 120x38x210</v>
      </c>
      <c r="M2093" s="12">
        <v>0.4</v>
      </c>
      <c r="N2093" s="12">
        <v>0.4</v>
      </c>
      <c r="O2093" s="8">
        <v>13770</v>
      </c>
      <c r="P2093" s="8">
        <f t="shared" si="208"/>
        <v>8262</v>
      </c>
      <c r="Q2093" s="12">
        <f t="shared" si="209"/>
        <v>17350.2</v>
      </c>
      <c r="R2093" s="31">
        <f t="shared" si="210"/>
        <v>17300</v>
      </c>
      <c r="T2093" s="8">
        <v>36735</v>
      </c>
      <c r="V2093" s="8">
        <f t="shared" si="212"/>
        <v>33061.5</v>
      </c>
      <c r="W2093" s="8">
        <f t="shared" si="213"/>
        <v>82653.75</v>
      </c>
    </row>
    <row r="2094" spans="1:23" ht="21.95" customHeight="1" x14ac:dyDescent="0.2">
      <c r="A2094" s="6" t="s">
        <v>17</v>
      </c>
      <c r="B2094" s="6" t="s">
        <v>805</v>
      </c>
      <c r="C2094" s="6" t="s">
        <v>830</v>
      </c>
      <c r="D2094" s="6" t="s">
        <v>29</v>
      </c>
      <c r="E2094" s="6"/>
      <c r="G2094" s="6">
        <v>120</v>
      </c>
      <c r="H2094" s="6">
        <v>80</v>
      </c>
      <c r="I2094" s="9">
        <v>45</v>
      </c>
      <c r="J2094" s="9"/>
      <c r="K2094" s="7">
        <v>44006265</v>
      </c>
      <c r="L2094" s="6" t="str">
        <f>B2094&amp;" "&amp;C2094&amp;" "&amp;D2094&amp;" "&amp;G2094&amp;"x"&amp;H2094&amp;"x"&amp;I2094</f>
        <v>VRL TİMBER ORTA SEHPA 120x80x45</v>
      </c>
      <c r="M2094" s="12">
        <v>0.4</v>
      </c>
      <c r="N2094" s="12">
        <v>0.4</v>
      </c>
      <c r="O2094" s="8">
        <v>12100</v>
      </c>
      <c r="P2094" s="8">
        <f t="shared" si="208"/>
        <v>7260</v>
      </c>
      <c r="Q2094" s="12">
        <f t="shared" si="209"/>
        <v>15246</v>
      </c>
      <c r="R2094" s="31">
        <f t="shared" si="210"/>
        <v>15200</v>
      </c>
      <c r="T2094" s="8">
        <v>34150</v>
      </c>
      <c r="V2094" s="8">
        <f t="shared" si="212"/>
        <v>30735</v>
      </c>
      <c r="W2094" s="8">
        <f t="shared" si="213"/>
        <v>76837.5</v>
      </c>
    </row>
    <row r="2095" spans="1:23" ht="21.95" customHeight="1" x14ac:dyDescent="0.2">
      <c r="A2095" s="6" t="s">
        <v>17</v>
      </c>
      <c r="B2095" s="6" t="s">
        <v>805</v>
      </c>
      <c r="C2095" s="6" t="s">
        <v>831</v>
      </c>
      <c r="D2095" s="6" t="s">
        <v>825</v>
      </c>
      <c r="E2095" s="6"/>
      <c r="K2095" s="7">
        <v>44006266</v>
      </c>
      <c r="L2095" s="6" t="str">
        <f>B2095&amp;" "&amp;C2095&amp;" "&amp;D2095</f>
        <v>VRL URBAN TABURE</v>
      </c>
      <c r="M2095" s="12">
        <v>0.4</v>
      </c>
      <c r="N2095" s="12">
        <v>0.4</v>
      </c>
      <c r="O2095" s="8">
        <v>2960</v>
      </c>
      <c r="P2095" s="8">
        <f t="shared" si="208"/>
        <v>1776</v>
      </c>
      <c r="Q2095" s="12">
        <f t="shared" si="209"/>
        <v>3729.6000000000004</v>
      </c>
      <c r="R2095" s="31">
        <f t="shared" si="210"/>
        <v>3700</v>
      </c>
      <c r="T2095" s="8">
        <v>17800</v>
      </c>
      <c r="V2095" s="8">
        <f t="shared" si="212"/>
        <v>16020</v>
      </c>
      <c r="W2095" s="8">
        <f t="shared" si="213"/>
        <v>40050</v>
      </c>
    </row>
    <row r="2096" spans="1:23" ht="21.95" customHeight="1" x14ac:dyDescent="0.2">
      <c r="A2096" s="6" t="s">
        <v>17</v>
      </c>
      <c r="B2096" s="6" t="s">
        <v>805</v>
      </c>
      <c r="C2096" s="6" t="s">
        <v>527</v>
      </c>
      <c r="D2096" s="6" t="s">
        <v>812</v>
      </c>
      <c r="E2096" s="6"/>
      <c r="G2096" s="6">
        <v>40</v>
      </c>
      <c r="H2096" s="6">
        <v>37</v>
      </c>
      <c r="I2096" s="9">
        <v>75</v>
      </c>
      <c r="J2096" s="9"/>
      <c r="K2096" s="7">
        <v>44006267</v>
      </c>
      <c r="L2096" s="6" t="str">
        <f>B2096&amp;" "&amp;C2096&amp;" "&amp;D2096&amp;" "&amp;G2096&amp;"x"&amp;H2096&amp;"x"&amp;I2096</f>
        <v>VRL VEGA BAR TABURE 40x37x75</v>
      </c>
      <c r="M2096" s="12">
        <v>0.4</v>
      </c>
      <c r="N2096" s="12">
        <v>0.4</v>
      </c>
      <c r="O2096" s="8">
        <v>4970</v>
      </c>
      <c r="P2096" s="8">
        <f t="shared" si="208"/>
        <v>2982</v>
      </c>
      <c r="Q2096" s="12">
        <f t="shared" si="209"/>
        <v>6262.2</v>
      </c>
      <c r="R2096" s="31">
        <f t="shared" si="210"/>
        <v>6200</v>
      </c>
      <c r="T2096" s="8">
        <v>28155</v>
      </c>
      <c r="V2096" s="8">
        <f t="shared" si="212"/>
        <v>25339.5</v>
      </c>
      <c r="W2096" s="8">
        <f t="shared" si="213"/>
        <v>63348.75</v>
      </c>
    </row>
    <row r="2097" spans="1:23" ht="21.95" customHeight="1" x14ac:dyDescent="0.2">
      <c r="A2097" s="6" t="s">
        <v>17</v>
      </c>
      <c r="B2097" s="6" t="s">
        <v>805</v>
      </c>
      <c r="C2097" s="6" t="s">
        <v>527</v>
      </c>
      <c r="D2097" s="6" t="s">
        <v>832</v>
      </c>
      <c r="E2097" s="6"/>
      <c r="G2097" s="6">
        <v>40</v>
      </c>
      <c r="H2097" s="6">
        <v>37</v>
      </c>
      <c r="I2097" s="9">
        <v>83</v>
      </c>
      <c r="J2097" s="9"/>
      <c r="K2097" s="7">
        <v>44006268</v>
      </c>
      <c r="L2097" s="6" t="str">
        <f>B2097&amp;" "&amp;C2097&amp;" "&amp;D2097&amp;" "&amp;G2097&amp;"x"&amp;H2097&amp;"x"&amp;I2097</f>
        <v>VRL VEGA METAL BAR TABURE 40x37x83</v>
      </c>
      <c r="M2097" s="12">
        <v>0.4</v>
      </c>
      <c r="N2097" s="12">
        <v>0.4</v>
      </c>
      <c r="O2097" s="8">
        <v>7260</v>
      </c>
      <c r="P2097" s="8">
        <f t="shared" si="208"/>
        <v>4356</v>
      </c>
      <c r="Q2097" s="12">
        <f t="shared" si="209"/>
        <v>9147.6</v>
      </c>
      <c r="R2097" s="31">
        <f t="shared" si="210"/>
        <v>9100</v>
      </c>
      <c r="T2097" s="8">
        <v>22245</v>
      </c>
      <c r="V2097" s="8">
        <f t="shared" si="212"/>
        <v>20020.5</v>
      </c>
      <c r="W2097" s="8">
        <f t="shared" si="213"/>
        <v>50051.25</v>
      </c>
    </row>
    <row r="2098" spans="1:23" ht="21.95" customHeight="1" x14ac:dyDescent="0.2">
      <c r="A2098" s="6" t="s">
        <v>17</v>
      </c>
      <c r="B2098" s="6" t="s">
        <v>805</v>
      </c>
      <c r="C2098" s="6" t="s">
        <v>833</v>
      </c>
      <c r="D2098" s="6" t="s">
        <v>812</v>
      </c>
      <c r="E2098" s="6"/>
      <c r="K2098" s="7">
        <v>44006269</v>
      </c>
      <c r="L2098" s="6" t="str">
        <f>B2098&amp;" "&amp;C2098&amp;" "&amp;D2098</f>
        <v>VRL VEN BAR TABURE</v>
      </c>
      <c r="M2098" s="12">
        <v>0.4</v>
      </c>
      <c r="N2098" s="12">
        <v>0.4</v>
      </c>
      <c r="O2098" s="8">
        <v>4840</v>
      </c>
      <c r="P2098" s="8">
        <f t="shared" si="208"/>
        <v>2904</v>
      </c>
      <c r="Q2098" s="12">
        <f t="shared" si="209"/>
        <v>6098.4000000000005</v>
      </c>
      <c r="R2098" s="31">
        <f t="shared" si="210"/>
        <v>6000</v>
      </c>
      <c r="T2098" s="8">
        <v>32755</v>
      </c>
      <c r="V2098" s="8">
        <f t="shared" si="212"/>
        <v>29479.5</v>
      </c>
      <c r="W2098" s="8">
        <f t="shared" si="213"/>
        <v>73698.75</v>
      </c>
    </row>
    <row r="2099" spans="1:23" ht="21.95" customHeight="1" x14ac:dyDescent="0.2">
      <c r="A2099" s="6" t="s">
        <v>17</v>
      </c>
      <c r="B2099" s="6" t="s">
        <v>805</v>
      </c>
      <c r="C2099" s="6" t="s">
        <v>834</v>
      </c>
      <c r="D2099" s="6" t="s">
        <v>814</v>
      </c>
      <c r="E2099" s="6"/>
      <c r="G2099" s="6">
        <v>69</v>
      </c>
      <c r="H2099" s="6">
        <v>82</v>
      </c>
      <c r="I2099" s="9">
        <v>69</v>
      </c>
      <c r="J2099" s="9"/>
      <c r="K2099" s="7">
        <v>44006270</v>
      </c>
      <c r="L2099" s="6" t="str">
        <f>B2099&amp;" "&amp;C2099&amp;" "&amp;D2099&amp;" "&amp;G2099&amp;"x"&amp;H2099&amp;"x"&amp;I2099</f>
        <v>VRL VİERA TEKLİ KOLTUK 69x82x69</v>
      </c>
      <c r="M2099" s="12">
        <v>0.4</v>
      </c>
      <c r="N2099" s="12">
        <v>0.4</v>
      </c>
      <c r="O2099" s="8">
        <v>9310</v>
      </c>
      <c r="P2099" s="8">
        <f t="shared" si="208"/>
        <v>5586</v>
      </c>
      <c r="Q2099" s="12">
        <f t="shared" si="209"/>
        <v>11730.6</v>
      </c>
      <c r="R2099" s="31">
        <f t="shared" si="210"/>
        <v>11700</v>
      </c>
      <c r="T2099" s="8">
        <v>26845</v>
      </c>
      <c r="V2099" s="8">
        <f t="shared" si="212"/>
        <v>24160.5</v>
      </c>
      <c r="W2099" s="8">
        <f t="shared" si="213"/>
        <v>60401.25</v>
      </c>
    </row>
    <row r="2100" spans="1:23" ht="21.95" customHeight="1" x14ac:dyDescent="0.2">
      <c r="A2100" s="6" t="s">
        <v>17</v>
      </c>
      <c r="B2100" s="6" t="s">
        <v>805</v>
      </c>
      <c r="C2100" s="6" t="s">
        <v>834</v>
      </c>
      <c r="D2100" s="6" t="s">
        <v>815</v>
      </c>
      <c r="E2100" s="6"/>
      <c r="G2100" s="6">
        <v>135</v>
      </c>
      <c r="H2100" s="6">
        <v>85</v>
      </c>
      <c r="I2100" s="9">
        <v>70</v>
      </c>
      <c r="J2100" s="9"/>
      <c r="K2100" s="7">
        <v>44006271</v>
      </c>
      <c r="L2100" s="6" t="str">
        <f>B2100&amp;" "&amp;C2100&amp;" "&amp;D2100&amp;" "&amp;G2100&amp;"x"&amp;H2100&amp;"x"&amp;I2100</f>
        <v>VRL VİERA 2'Lİ KOLTUK 135x85x70</v>
      </c>
      <c r="M2100" s="12">
        <v>0.4</v>
      </c>
      <c r="N2100" s="12">
        <v>0.4</v>
      </c>
      <c r="O2100" s="8">
        <v>12660</v>
      </c>
      <c r="P2100" s="8">
        <f t="shared" si="208"/>
        <v>7596</v>
      </c>
      <c r="Q2100" s="12">
        <f t="shared" si="209"/>
        <v>15951.6</v>
      </c>
      <c r="R2100" s="31">
        <f t="shared" si="210"/>
        <v>15900</v>
      </c>
      <c r="T2100" s="8">
        <v>35255</v>
      </c>
      <c r="V2100" s="8">
        <f t="shared" si="212"/>
        <v>31729.5</v>
      </c>
      <c r="W2100" s="8">
        <f t="shared" si="213"/>
        <v>79323.75</v>
      </c>
    </row>
    <row r="2101" spans="1:23" ht="21.95" customHeight="1" x14ac:dyDescent="0.2">
      <c r="A2101" s="6" t="s">
        <v>17</v>
      </c>
      <c r="B2101" s="6" t="s">
        <v>805</v>
      </c>
      <c r="C2101" s="6" t="s">
        <v>834</v>
      </c>
      <c r="D2101" s="6" t="s">
        <v>29</v>
      </c>
      <c r="E2101" s="6"/>
      <c r="G2101" s="6">
        <v>108</v>
      </c>
      <c r="H2101" s="6">
        <v>60</v>
      </c>
      <c r="I2101" s="9">
        <v>45</v>
      </c>
      <c r="J2101" s="9"/>
      <c r="K2101" s="7">
        <v>44006272</v>
      </c>
      <c r="L2101" s="6" t="str">
        <f>B2101&amp;" "&amp;C2101&amp;" "&amp;D2101&amp;" "&amp;G2101&amp;"x"&amp;H2101&amp;"x"&amp;I2101</f>
        <v>VRL VİERA ORTA SEHPA 108x60x45</v>
      </c>
      <c r="M2101" s="12">
        <v>0.4</v>
      </c>
      <c r="N2101" s="12">
        <v>0.4</v>
      </c>
      <c r="O2101" s="8">
        <v>3840</v>
      </c>
      <c r="P2101" s="8">
        <f t="shared" si="208"/>
        <v>2304</v>
      </c>
      <c r="Q2101" s="12">
        <f t="shared" si="209"/>
        <v>4838.4000000000005</v>
      </c>
      <c r="R2101" s="31">
        <f t="shared" si="210"/>
        <v>4800</v>
      </c>
      <c r="T2101" s="8">
        <v>29345</v>
      </c>
      <c r="V2101" s="8">
        <f t="shared" si="212"/>
        <v>26410.5</v>
      </c>
      <c r="W2101" s="8">
        <f t="shared" si="213"/>
        <v>66026.25</v>
      </c>
    </row>
    <row r="2102" spans="1:23" ht="21.95" customHeight="1" x14ac:dyDescent="0.2">
      <c r="A2102" s="6" t="s">
        <v>17</v>
      </c>
      <c r="B2102" s="6" t="s">
        <v>805</v>
      </c>
      <c r="C2102" s="6" t="s">
        <v>835</v>
      </c>
      <c r="D2102" s="6" t="s">
        <v>119</v>
      </c>
      <c r="E2102" s="6"/>
      <c r="G2102" s="6">
        <v>100</v>
      </c>
      <c r="H2102" s="6">
        <v>45</v>
      </c>
      <c r="I2102" s="9">
        <v>45</v>
      </c>
      <c r="J2102" s="9"/>
      <c r="K2102" s="7">
        <v>44006273</v>
      </c>
      <c r="L2102" s="6" t="str">
        <f>B2102&amp;" "&amp;C2102&amp;" "&amp;D2102&amp;" "&amp;G2102&amp;"x"&amp;H2102&amp;"x"&amp;I2102</f>
        <v>VRL ZOE PUF 100x45x45</v>
      </c>
      <c r="M2102" s="12">
        <v>0.4</v>
      </c>
      <c r="N2102" s="12">
        <v>0.4</v>
      </c>
      <c r="O2102" s="8">
        <v>4930</v>
      </c>
      <c r="P2102" s="8">
        <f t="shared" si="208"/>
        <v>2958</v>
      </c>
      <c r="Q2102" s="12">
        <f t="shared" si="209"/>
        <v>6211.8</v>
      </c>
      <c r="R2102" s="31">
        <f t="shared" si="210"/>
        <v>6200</v>
      </c>
      <c r="T2102" s="8">
        <v>30655</v>
      </c>
      <c r="V2102" s="8">
        <f t="shared" si="212"/>
        <v>27589.5</v>
      </c>
      <c r="W2102" s="8">
        <f t="shared" si="213"/>
        <v>68973.75</v>
      </c>
    </row>
    <row r="2103" spans="1:23" ht="21.95" customHeight="1" x14ac:dyDescent="0.2">
      <c r="A2103" s="6" t="s">
        <v>17</v>
      </c>
      <c r="B2103" s="6" t="s">
        <v>805</v>
      </c>
      <c r="C2103" s="6" t="s">
        <v>836</v>
      </c>
      <c r="D2103" s="6" t="s">
        <v>825</v>
      </c>
      <c r="E2103" s="6"/>
      <c r="K2103" s="7">
        <v>44006274</v>
      </c>
      <c r="L2103" s="6" t="str">
        <f>B2103&amp;" "&amp;C2103&amp;" "&amp;D2103</f>
        <v>VRL WEST TABURE</v>
      </c>
      <c r="M2103" s="12">
        <v>0.4</v>
      </c>
      <c r="N2103" s="12">
        <v>0.4</v>
      </c>
      <c r="O2103" s="8">
        <v>1640</v>
      </c>
      <c r="P2103" s="8">
        <f t="shared" si="208"/>
        <v>984</v>
      </c>
      <c r="Q2103" s="12">
        <f t="shared" si="209"/>
        <v>2066.4</v>
      </c>
      <c r="R2103" s="31">
        <f t="shared" si="210"/>
        <v>2000</v>
      </c>
      <c r="T2103" s="8">
        <v>24745</v>
      </c>
      <c r="V2103" s="8">
        <f t="shared" si="212"/>
        <v>22270.5</v>
      </c>
      <c r="W2103" s="8">
        <f t="shared" si="213"/>
        <v>55676.25</v>
      </c>
    </row>
    <row r="2104" spans="1:23" ht="21.95" customHeight="1" x14ac:dyDescent="0.2">
      <c r="A2104" s="6" t="s">
        <v>17</v>
      </c>
      <c r="B2104" s="6" t="s">
        <v>805</v>
      </c>
      <c r="C2104" s="6" t="s">
        <v>837</v>
      </c>
      <c r="D2104" s="6" t="s">
        <v>155</v>
      </c>
      <c r="E2104" s="6"/>
      <c r="K2104" s="7">
        <v>44006275</v>
      </c>
      <c r="L2104" s="6" t="str">
        <f>B2104&amp;" "&amp;C2104&amp;" "&amp;D2104</f>
        <v>VRL ADELE MASA</v>
      </c>
      <c r="M2104" s="12">
        <v>0.4</v>
      </c>
      <c r="N2104" s="12">
        <v>0.4</v>
      </c>
      <c r="O2104" s="8">
        <v>15680</v>
      </c>
      <c r="P2104" s="8">
        <f t="shared" si="208"/>
        <v>9408</v>
      </c>
      <c r="Q2104" s="12">
        <f t="shared" si="209"/>
        <v>19756.8</v>
      </c>
      <c r="R2104" s="31">
        <f t="shared" si="210"/>
        <v>19700</v>
      </c>
      <c r="T2104" s="8">
        <v>5910</v>
      </c>
      <c r="V2104" s="8">
        <f t="shared" si="212"/>
        <v>5319</v>
      </c>
      <c r="W2104" s="8">
        <f t="shared" si="213"/>
        <v>13297.5</v>
      </c>
    </row>
    <row r="2105" spans="1:23" ht="21.95" customHeight="1" x14ac:dyDescent="0.2">
      <c r="A2105" s="6" t="s">
        <v>17</v>
      </c>
      <c r="B2105" s="6" t="s">
        <v>805</v>
      </c>
      <c r="C2105" s="6" t="s">
        <v>838</v>
      </c>
      <c r="D2105" s="6" t="s">
        <v>839</v>
      </c>
      <c r="E2105" s="6"/>
      <c r="G2105" s="6">
        <v>130</v>
      </c>
      <c r="H2105" s="6">
        <v>70</v>
      </c>
      <c r="I2105" s="9">
        <v>75</v>
      </c>
      <c r="J2105" s="9"/>
      <c r="K2105" s="7">
        <v>44006276</v>
      </c>
      <c r="L2105" s="6" t="str">
        <f>B2105&amp;" "&amp;C2105&amp;" "&amp;D2105&amp;" "&amp;G2105&amp;"x"&amp;H2105&amp;"x"&amp;I2105</f>
        <v>VRL CAPRİCE WOOD KONİK AYAKLI MASA 130x70x75</v>
      </c>
      <c r="M2105" s="12">
        <v>0.4</v>
      </c>
      <c r="N2105" s="12">
        <v>0.4</v>
      </c>
      <c r="O2105" s="8">
        <v>11720</v>
      </c>
      <c r="P2105" s="8">
        <f t="shared" si="208"/>
        <v>7032</v>
      </c>
      <c r="Q2105" s="12">
        <f t="shared" si="209"/>
        <v>14767.2</v>
      </c>
      <c r="R2105" s="31">
        <f t="shared" si="210"/>
        <v>14700</v>
      </c>
      <c r="T2105" s="8">
        <v>9700</v>
      </c>
      <c r="V2105" s="8">
        <f t="shared" si="212"/>
        <v>8730</v>
      </c>
      <c r="W2105" s="8">
        <f t="shared" si="213"/>
        <v>21825</v>
      </c>
    </row>
    <row r="2106" spans="1:23" ht="21.95" customHeight="1" x14ac:dyDescent="0.2">
      <c r="A2106" s="6" t="s">
        <v>17</v>
      </c>
      <c r="B2106" s="6" t="s">
        <v>805</v>
      </c>
      <c r="C2106" s="6" t="s">
        <v>840</v>
      </c>
      <c r="D2106" s="6" t="s">
        <v>841</v>
      </c>
      <c r="E2106" s="6"/>
      <c r="G2106" s="6">
        <v>135</v>
      </c>
      <c r="H2106" s="6">
        <v>80</v>
      </c>
      <c r="I2106" s="9">
        <v>74</v>
      </c>
      <c r="J2106" s="9"/>
      <c r="K2106" s="7">
        <v>44006277</v>
      </c>
      <c r="L2106" s="6" t="str">
        <f>B2106&amp;" "&amp;C2106&amp;" "&amp;D2106&amp;" "&amp;G2106&amp;"x"&amp;H2106&amp;"x"&amp;I2106</f>
        <v>VRL COTTAGE 135'LİK  AHŞAP AYAKLI MASA  135x80x74</v>
      </c>
      <c r="M2106" s="12">
        <v>0.4</v>
      </c>
      <c r="N2106" s="12">
        <v>0.4</v>
      </c>
      <c r="O2106" s="8">
        <v>11480</v>
      </c>
      <c r="P2106" s="8">
        <f t="shared" si="208"/>
        <v>6888</v>
      </c>
      <c r="Q2106" s="12">
        <f t="shared" si="209"/>
        <v>14464.800000000001</v>
      </c>
      <c r="R2106" s="31">
        <f t="shared" si="210"/>
        <v>14400</v>
      </c>
      <c r="T2106" s="8">
        <v>58625</v>
      </c>
      <c r="V2106" s="8">
        <f t="shared" si="212"/>
        <v>52762.5</v>
      </c>
      <c r="W2106" s="8">
        <f t="shared" si="213"/>
        <v>131906.25</v>
      </c>
    </row>
    <row r="2107" spans="1:23" ht="21.95" customHeight="1" x14ac:dyDescent="0.2">
      <c r="A2107" s="6" t="s">
        <v>17</v>
      </c>
      <c r="B2107" s="6" t="s">
        <v>805</v>
      </c>
      <c r="C2107" s="6" t="s">
        <v>840</v>
      </c>
      <c r="D2107" s="6" t="s">
        <v>842</v>
      </c>
      <c r="E2107" s="6"/>
      <c r="K2107" s="7">
        <v>44006278</v>
      </c>
      <c r="L2107" s="6" t="str">
        <f>B2107&amp;" "&amp;C2107&amp;" "&amp;D2107</f>
        <v>VRL COTTAGE 135'LİK  METAL AYAKLI MASA</v>
      </c>
      <c r="M2107" s="12">
        <v>0.4</v>
      </c>
      <c r="N2107" s="12">
        <v>0.4</v>
      </c>
      <c r="O2107" s="8">
        <v>10960</v>
      </c>
      <c r="P2107" s="8">
        <f t="shared" si="208"/>
        <v>6576</v>
      </c>
      <c r="Q2107" s="12">
        <f t="shared" si="209"/>
        <v>13809.6</v>
      </c>
      <c r="R2107" s="31">
        <f t="shared" si="210"/>
        <v>13800</v>
      </c>
      <c r="T2107" s="8">
        <v>26550</v>
      </c>
      <c r="V2107" s="8">
        <f t="shared" si="212"/>
        <v>23895</v>
      </c>
      <c r="W2107" s="8">
        <f t="shared" si="213"/>
        <v>59737.5</v>
      </c>
    </row>
    <row r="2108" spans="1:23" ht="21.95" customHeight="1" x14ac:dyDescent="0.2">
      <c r="A2108" s="6" t="s">
        <v>17</v>
      </c>
      <c r="B2108" s="6" t="s">
        <v>805</v>
      </c>
      <c r="C2108" s="6" t="s">
        <v>840</v>
      </c>
      <c r="D2108" s="6" t="s">
        <v>843</v>
      </c>
      <c r="E2108" s="6"/>
      <c r="K2108" s="7">
        <v>44006279</v>
      </c>
      <c r="L2108" s="6" t="str">
        <f>B2108&amp;" "&amp;C2108&amp;" "&amp;D2108</f>
        <v>VRL COTTAGE 165'LİK AHŞAP AYAKLI MASA</v>
      </c>
      <c r="M2108" s="12">
        <v>0.4</v>
      </c>
      <c r="N2108" s="12">
        <v>0.4</v>
      </c>
      <c r="O2108" s="8">
        <v>12690</v>
      </c>
      <c r="P2108" s="8">
        <f t="shared" si="208"/>
        <v>7614</v>
      </c>
      <c r="Q2108" s="12">
        <f t="shared" si="209"/>
        <v>15989.400000000001</v>
      </c>
      <c r="R2108" s="31">
        <f t="shared" si="210"/>
        <v>15900</v>
      </c>
      <c r="T2108" s="8">
        <v>15270</v>
      </c>
      <c r="V2108" s="8">
        <f t="shared" si="212"/>
        <v>13743</v>
      </c>
      <c r="W2108" s="8">
        <f t="shared" si="213"/>
        <v>34357.5</v>
      </c>
    </row>
    <row r="2109" spans="1:23" ht="21.95" customHeight="1" x14ac:dyDescent="0.2">
      <c r="A2109" s="6" t="s">
        <v>17</v>
      </c>
      <c r="B2109" s="6" t="s">
        <v>805</v>
      </c>
      <c r="C2109" s="6" t="s">
        <v>840</v>
      </c>
      <c r="D2109" s="6" t="s">
        <v>844</v>
      </c>
      <c r="E2109" s="6"/>
      <c r="K2109" s="7">
        <v>44006280</v>
      </c>
      <c r="L2109" s="6" t="str">
        <f>B2109&amp;" "&amp;C2109&amp;" "&amp;D2109</f>
        <v>VRL COTTAGE 165'LİK  METAL AYAKLI MASA</v>
      </c>
      <c r="M2109" s="12">
        <v>0.4</v>
      </c>
      <c r="N2109" s="12">
        <v>0.4</v>
      </c>
      <c r="O2109" s="8">
        <v>11990</v>
      </c>
      <c r="P2109" s="8">
        <f t="shared" si="208"/>
        <v>7194</v>
      </c>
      <c r="Q2109" s="12">
        <f t="shared" si="209"/>
        <v>15107.400000000001</v>
      </c>
      <c r="R2109" s="31">
        <f t="shared" si="210"/>
        <v>15100</v>
      </c>
      <c r="T2109" s="8">
        <v>4775</v>
      </c>
      <c r="V2109" s="8">
        <f t="shared" si="212"/>
        <v>4297.5</v>
      </c>
      <c r="W2109" s="8">
        <f t="shared" si="213"/>
        <v>10743.75</v>
      </c>
    </row>
    <row r="2110" spans="1:23" ht="21.95" customHeight="1" x14ac:dyDescent="0.2">
      <c r="A2110" s="6" t="s">
        <v>17</v>
      </c>
      <c r="B2110" s="6" t="s">
        <v>805</v>
      </c>
      <c r="C2110" s="6" t="s">
        <v>845</v>
      </c>
      <c r="D2110" s="6" t="s">
        <v>846</v>
      </c>
      <c r="E2110" s="6"/>
      <c r="K2110" s="7">
        <v>44006281</v>
      </c>
      <c r="L2110" s="6" t="str">
        <f>B2110&amp;" "&amp;C2110&amp;" "&amp;D2110</f>
        <v>VRL CROSS AHŞAP AYAKLI MASA</v>
      </c>
      <c r="M2110" s="12">
        <v>0.4</v>
      </c>
      <c r="N2110" s="12">
        <v>0.4</v>
      </c>
      <c r="O2110" s="8">
        <v>14250</v>
      </c>
      <c r="P2110" s="8">
        <f t="shared" si="208"/>
        <v>8550</v>
      </c>
      <c r="Q2110" s="12">
        <f t="shared" si="209"/>
        <v>17955</v>
      </c>
      <c r="R2110" s="31">
        <f t="shared" si="210"/>
        <v>17900</v>
      </c>
      <c r="T2110" s="8">
        <v>3170</v>
      </c>
      <c r="V2110" s="8">
        <f t="shared" si="212"/>
        <v>2853</v>
      </c>
      <c r="W2110" s="8">
        <f t="shared" si="213"/>
        <v>7132.5</v>
      </c>
    </row>
    <row r="2111" spans="1:23" ht="21.95" customHeight="1" x14ac:dyDescent="0.2">
      <c r="A2111" s="6" t="s">
        <v>17</v>
      </c>
      <c r="B2111" s="6" t="s">
        <v>805</v>
      </c>
      <c r="C2111" s="6" t="s">
        <v>845</v>
      </c>
      <c r="D2111" s="6" t="s">
        <v>847</v>
      </c>
      <c r="E2111" s="6"/>
      <c r="K2111" s="7">
        <v>44006282</v>
      </c>
      <c r="L2111" s="6" t="str">
        <f>B2111&amp;" "&amp;C2111&amp;" "&amp;D2111</f>
        <v>VRL CROSS METAL AYAKLI MASA</v>
      </c>
      <c r="M2111" s="12">
        <v>0.4</v>
      </c>
      <c r="N2111" s="12">
        <v>0.4</v>
      </c>
      <c r="O2111" s="8">
        <v>13660</v>
      </c>
      <c r="P2111" s="8">
        <f t="shared" si="208"/>
        <v>8196</v>
      </c>
      <c r="Q2111" s="12">
        <f t="shared" si="209"/>
        <v>17211.600000000002</v>
      </c>
      <c r="R2111" s="31">
        <f t="shared" si="210"/>
        <v>17200</v>
      </c>
      <c r="T2111" s="8">
        <v>35875</v>
      </c>
      <c r="V2111" s="8">
        <f t="shared" si="212"/>
        <v>32287.5</v>
      </c>
      <c r="W2111" s="8">
        <f t="shared" si="213"/>
        <v>80718.75</v>
      </c>
    </row>
    <row r="2112" spans="1:23" ht="21.95" customHeight="1" x14ac:dyDescent="0.2">
      <c r="A2112" s="6" t="s">
        <v>17</v>
      </c>
      <c r="B2112" s="6" t="s">
        <v>805</v>
      </c>
      <c r="C2112" s="6" t="s">
        <v>848</v>
      </c>
      <c r="D2112" s="6" t="s">
        <v>155</v>
      </c>
      <c r="E2112" s="6"/>
      <c r="G2112" s="5">
        <v>90</v>
      </c>
      <c r="H2112" s="5">
        <v>180</v>
      </c>
      <c r="I2112" s="7">
        <v>75</v>
      </c>
      <c r="K2112" s="7">
        <v>44006283</v>
      </c>
      <c r="L2112" s="6" t="str">
        <f>B2112&amp;" "&amp;C2112&amp;" "&amp;D2112&amp;" "&amp;G2112&amp;"x"&amp;H2112&amp;"x"&amp;I2112</f>
        <v>VRL DESKON MASA 90x180x75</v>
      </c>
      <c r="M2112" s="12">
        <v>0.4</v>
      </c>
      <c r="N2112" s="12">
        <v>0.4</v>
      </c>
      <c r="O2112" s="8">
        <v>22820</v>
      </c>
      <c r="P2112" s="8">
        <f t="shared" si="208"/>
        <v>13692</v>
      </c>
      <c r="Q2112" s="12">
        <f t="shared" si="209"/>
        <v>28753.200000000001</v>
      </c>
      <c r="R2112" s="31">
        <f t="shared" si="210"/>
        <v>28700</v>
      </c>
      <c r="T2112" s="8">
        <v>6576</v>
      </c>
      <c r="V2112" s="8">
        <f t="shared" si="212"/>
        <v>5918.4000000000005</v>
      </c>
      <c r="W2112" s="8">
        <f t="shared" si="213"/>
        <v>14796.000000000002</v>
      </c>
    </row>
    <row r="2113" spans="1:23" ht="21.95" customHeight="1" x14ac:dyDescent="0.2">
      <c r="A2113" s="6" t="s">
        <v>17</v>
      </c>
      <c r="B2113" s="6" t="s">
        <v>805</v>
      </c>
      <c r="C2113" s="6" t="s">
        <v>849</v>
      </c>
      <c r="D2113" s="6" t="s">
        <v>155</v>
      </c>
      <c r="E2113" s="6"/>
      <c r="G2113" s="6" t="s">
        <v>850</v>
      </c>
      <c r="H2113" s="5">
        <v>80</v>
      </c>
      <c r="I2113" s="7">
        <v>75</v>
      </c>
      <c r="K2113" s="7">
        <v>44006284</v>
      </c>
      <c r="L2113" s="6" t="str">
        <f>B2113&amp;" "&amp;C2113&amp;" "&amp;D2113&amp;" "&amp;G2113&amp;"x"&amp;H2113&amp;"x"&amp;I2113</f>
        <v>VRL DİNNER MASA 130/190x80x75</v>
      </c>
      <c r="M2113" s="12">
        <v>0.4</v>
      </c>
      <c r="N2113" s="12">
        <v>0.4</v>
      </c>
      <c r="O2113" s="8">
        <v>6910</v>
      </c>
      <c r="P2113" s="8">
        <f t="shared" si="208"/>
        <v>4146</v>
      </c>
      <c r="Q2113" s="12">
        <f t="shared" si="209"/>
        <v>8706.6</v>
      </c>
      <c r="R2113" s="31">
        <f t="shared" si="210"/>
        <v>8700</v>
      </c>
      <c r="T2113" s="8">
        <v>28545</v>
      </c>
      <c r="V2113" s="8">
        <f t="shared" si="212"/>
        <v>25690.5</v>
      </c>
      <c r="W2113" s="8">
        <f t="shared" si="213"/>
        <v>64226.25</v>
      </c>
    </row>
    <row r="2114" spans="1:23" ht="21.95" customHeight="1" x14ac:dyDescent="0.2">
      <c r="A2114" s="6" t="s">
        <v>17</v>
      </c>
      <c r="B2114" s="6" t="s">
        <v>805</v>
      </c>
      <c r="C2114" s="6" t="s">
        <v>851</v>
      </c>
      <c r="D2114" s="6" t="s">
        <v>155</v>
      </c>
      <c r="E2114" s="6"/>
      <c r="G2114" s="5">
        <v>160</v>
      </c>
      <c r="H2114" s="5">
        <v>80</v>
      </c>
      <c r="I2114" s="7">
        <v>75</v>
      </c>
      <c r="K2114" s="7">
        <v>44006285</v>
      </c>
      <c r="L2114" s="6" t="str">
        <f>B2114&amp;" "&amp;C2114&amp;" "&amp;D2114&amp;" "&amp;G2114&amp;"x"&amp;H2114&amp;"x"&amp;I2114</f>
        <v>VRL ELDA MASA 160x80x75</v>
      </c>
      <c r="M2114" s="12">
        <v>0.4</v>
      </c>
      <c r="N2114" s="12">
        <v>0.4</v>
      </c>
      <c r="O2114" s="8">
        <v>16920</v>
      </c>
      <c r="P2114" s="8">
        <f t="shared" si="208"/>
        <v>10152</v>
      </c>
      <c r="Q2114" s="12">
        <f t="shared" si="209"/>
        <v>21319.200000000001</v>
      </c>
      <c r="R2114" s="31">
        <f t="shared" si="210"/>
        <v>21300</v>
      </c>
      <c r="T2114" s="8">
        <v>37109</v>
      </c>
      <c r="V2114" s="8">
        <f t="shared" si="212"/>
        <v>33398.1</v>
      </c>
      <c r="W2114" s="8">
        <f t="shared" si="213"/>
        <v>83495.25</v>
      </c>
    </row>
    <row r="2115" spans="1:23" ht="21.95" customHeight="1" x14ac:dyDescent="0.2">
      <c r="A2115" s="6" t="s">
        <v>17</v>
      </c>
      <c r="B2115" s="6" t="s">
        <v>805</v>
      </c>
      <c r="C2115" s="6" t="s">
        <v>852</v>
      </c>
      <c r="D2115" s="6" t="s">
        <v>853</v>
      </c>
      <c r="E2115" s="6"/>
      <c r="K2115" s="7">
        <v>44006286</v>
      </c>
      <c r="L2115" s="6" t="str">
        <f>B2115&amp;" "&amp;C2115&amp;" "&amp;D226162</f>
        <v xml:space="preserve">VRL ENZO </v>
      </c>
      <c r="M2115" s="12">
        <v>0.4</v>
      </c>
      <c r="N2115" s="12">
        <v>0.4</v>
      </c>
      <c r="O2115" s="8">
        <v>20140</v>
      </c>
      <c r="P2115" s="8">
        <f t="shared" si="208"/>
        <v>12084</v>
      </c>
      <c r="Q2115" s="12">
        <f t="shared" si="209"/>
        <v>25376.400000000001</v>
      </c>
      <c r="R2115" s="31">
        <f t="shared" si="210"/>
        <v>25300</v>
      </c>
      <c r="T2115" s="8">
        <v>42410</v>
      </c>
      <c r="V2115" s="8">
        <f t="shared" si="212"/>
        <v>38169</v>
      </c>
      <c r="W2115" s="8">
        <f t="shared" si="213"/>
        <v>95422.5</v>
      </c>
    </row>
    <row r="2116" spans="1:23" ht="21.95" customHeight="1" x14ac:dyDescent="0.2">
      <c r="A2116" s="6" t="s">
        <v>17</v>
      </c>
      <c r="B2116" s="6" t="s">
        <v>805</v>
      </c>
      <c r="C2116" s="6" t="s">
        <v>852</v>
      </c>
      <c r="D2116" s="6" t="s">
        <v>854</v>
      </c>
      <c r="E2116" s="6"/>
      <c r="K2116" s="7">
        <v>44006287</v>
      </c>
      <c r="L2116" s="6" t="str">
        <f>B2116&amp;" "&amp;C2116&amp;" "&amp;D2116</f>
        <v>VRL ENZO METAL KONİK AYAKLI MASA</v>
      </c>
      <c r="M2116" s="12">
        <v>0.4</v>
      </c>
      <c r="N2116" s="12">
        <v>0.4</v>
      </c>
      <c r="O2116" s="8">
        <v>19830</v>
      </c>
      <c r="P2116" s="8">
        <f t="shared" si="208"/>
        <v>11898</v>
      </c>
      <c r="Q2116" s="12">
        <f t="shared" si="209"/>
        <v>24985.8</v>
      </c>
      <c r="R2116" s="31">
        <f t="shared" si="210"/>
        <v>24900</v>
      </c>
      <c r="T2116" s="8">
        <v>5054</v>
      </c>
      <c r="V2116" s="8">
        <f t="shared" si="212"/>
        <v>4548.6000000000004</v>
      </c>
      <c r="W2116" s="8">
        <f t="shared" si="213"/>
        <v>11371.5</v>
      </c>
    </row>
    <row r="2117" spans="1:23" ht="21.95" customHeight="1" x14ac:dyDescent="0.2">
      <c r="A2117" s="6" t="s">
        <v>17</v>
      </c>
      <c r="B2117" s="6" t="s">
        <v>805</v>
      </c>
      <c r="C2117" s="6" t="s">
        <v>855</v>
      </c>
      <c r="D2117" s="6" t="s">
        <v>856</v>
      </c>
      <c r="E2117" s="6"/>
      <c r="G2117" s="5">
        <v>138</v>
      </c>
      <c r="H2117" s="6">
        <v>78</v>
      </c>
      <c r="I2117" s="9">
        <v>78</v>
      </c>
      <c r="J2117" s="9"/>
      <c r="K2117" s="7">
        <v>44006288</v>
      </c>
      <c r="L2117" s="6" t="str">
        <f t="shared" ref="L2117:L2127" si="214">B2117&amp;" "&amp;C2117&amp;" "&amp;D2117&amp;" "&amp;G2117&amp;"x"&amp;H2117&amp;"x"&amp;I2117</f>
        <v>VRL GİO AHŞAP MASA 138x78x78</v>
      </c>
      <c r="M2117" s="12">
        <v>0.4</v>
      </c>
      <c r="N2117" s="12">
        <v>0.4</v>
      </c>
      <c r="O2117" s="8">
        <v>11460</v>
      </c>
      <c r="P2117" s="8">
        <f t="shared" si="208"/>
        <v>6876</v>
      </c>
      <c r="Q2117" s="12">
        <f t="shared" si="209"/>
        <v>14439.6</v>
      </c>
      <c r="R2117" s="31">
        <f t="shared" si="210"/>
        <v>14400</v>
      </c>
      <c r="T2117" s="8">
        <v>31445</v>
      </c>
      <c r="V2117" s="8">
        <f t="shared" si="212"/>
        <v>28300.5</v>
      </c>
      <c r="W2117" s="8">
        <f t="shared" si="213"/>
        <v>70751.25</v>
      </c>
    </row>
    <row r="2118" spans="1:23" ht="21.95" customHeight="1" x14ac:dyDescent="0.2">
      <c r="A2118" s="6" t="s">
        <v>17</v>
      </c>
      <c r="B2118" s="6" t="s">
        <v>805</v>
      </c>
      <c r="C2118" s="6" t="s">
        <v>857</v>
      </c>
      <c r="D2118" s="6" t="s">
        <v>155</v>
      </c>
      <c r="E2118" s="6"/>
      <c r="G2118" s="5">
        <v>140</v>
      </c>
      <c r="H2118" s="6">
        <v>80</v>
      </c>
      <c r="I2118" s="9">
        <v>75</v>
      </c>
      <c r="J2118" s="9"/>
      <c r="K2118" s="7">
        <v>44006289</v>
      </c>
      <c r="L2118" s="6" t="str">
        <f t="shared" si="214"/>
        <v>VRL HARPER MASA 140x80x75</v>
      </c>
      <c r="M2118" s="12">
        <v>0.4</v>
      </c>
      <c r="N2118" s="12">
        <v>0.4</v>
      </c>
      <c r="O2118" s="8">
        <v>10280</v>
      </c>
      <c r="P2118" s="8">
        <f t="shared" si="208"/>
        <v>6168</v>
      </c>
      <c r="Q2118" s="12">
        <f t="shared" si="209"/>
        <v>12952.800000000001</v>
      </c>
      <c r="R2118" s="31">
        <f t="shared" si="210"/>
        <v>12900</v>
      </c>
      <c r="T2118" s="8">
        <v>21710</v>
      </c>
      <c r="V2118" s="8">
        <f t="shared" si="212"/>
        <v>19539</v>
      </c>
      <c r="W2118" s="8">
        <f t="shared" si="213"/>
        <v>48847.5</v>
      </c>
    </row>
    <row r="2119" spans="1:23" ht="21.95" customHeight="1" x14ac:dyDescent="0.2">
      <c r="A2119" s="6" t="s">
        <v>17</v>
      </c>
      <c r="B2119" s="6" t="s">
        <v>805</v>
      </c>
      <c r="C2119" s="6" t="s">
        <v>858</v>
      </c>
      <c r="D2119" s="6" t="s">
        <v>155</v>
      </c>
      <c r="E2119" s="6"/>
      <c r="G2119" s="6">
        <v>117</v>
      </c>
      <c r="H2119" s="6">
        <v>102</v>
      </c>
      <c r="I2119" s="9">
        <v>80</v>
      </c>
      <c r="J2119" s="9"/>
      <c r="K2119" s="7">
        <v>44006290</v>
      </c>
      <c r="L2119" s="6" t="str">
        <f t="shared" si="214"/>
        <v>VRL HEGZON MASA 117x102x80</v>
      </c>
      <c r="M2119" s="12">
        <v>0.4</v>
      </c>
      <c r="N2119" s="12">
        <v>0.4</v>
      </c>
      <c r="O2119" s="8">
        <v>11320</v>
      </c>
      <c r="P2119" s="8">
        <f t="shared" si="208"/>
        <v>6792</v>
      </c>
      <c r="Q2119" s="12">
        <f t="shared" si="209"/>
        <v>14263.2</v>
      </c>
      <c r="R2119" s="31">
        <f t="shared" si="210"/>
        <v>14200</v>
      </c>
      <c r="T2119" s="8">
        <v>10145</v>
      </c>
      <c r="V2119" s="8">
        <f t="shared" si="212"/>
        <v>9130.5</v>
      </c>
      <c r="W2119" s="8">
        <f t="shared" si="213"/>
        <v>22826.25</v>
      </c>
    </row>
    <row r="2120" spans="1:23" ht="21.95" customHeight="1" x14ac:dyDescent="0.2">
      <c r="A2120" s="6" t="s">
        <v>17</v>
      </c>
      <c r="B2120" s="6" t="s">
        <v>805</v>
      </c>
      <c r="C2120" s="6" t="s">
        <v>859</v>
      </c>
      <c r="D2120" s="6" t="s">
        <v>155</v>
      </c>
      <c r="E2120" s="6"/>
      <c r="G2120" s="6">
        <v>180</v>
      </c>
      <c r="H2120" s="6">
        <v>90</v>
      </c>
      <c r="I2120" s="9">
        <v>76</v>
      </c>
      <c r="J2120" s="9"/>
      <c r="K2120" s="7">
        <v>44006291</v>
      </c>
      <c r="L2120" s="6" t="str">
        <f t="shared" si="214"/>
        <v>VRL LEDART MASA 180x90x76</v>
      </c>
      <c r="M2120" s="12">
        <v>0.4</v>
      </c>
      <c r="N2120" s="12">
        <v>0.4</v>
      </c>
      <c r="O2120" s="8">
        <v>26550</v>
      </c>
      <c r="P2120" s="8">
        <f t="shared" si="208"/>
        <v>15930</v>
      </c>
      <c r="Q2120" s="12">
        <f t="shared" si="209"/>
        <v>33453</v>
      </c>
      <c r="R2120" s="31">
        <f t="shared" si="210"/>
        <v>33400</v>
      </c>
      <c r="T2120" s="8">
        <v>40895</v>
      </c>
      <c r="V2120" s="8">
        <f t="shared" si="212"/>
        <v>36805.5</v>
      </c>
      <c r="W2120" s="8">
        <f t="shared" si="213"/>
        <v>92013.75</v>
      </c>
    </row>
    <row r="2121" spans="1:23" ht="21.95" customHeight="1" x14ac:dyDescent="0.2">
      <c r="A2121" s="6" t="s">
        <v>17</v>
      </c>
      <c r="B2121" s="6" t="s">
        <v>805</v>
      </c>
      <c r="C2121" s="6" t="s">
        <v>860</v>
      </c>
      <c r="D2121" s="6" t="s">
        <v>155</v>
      </c>
      <c r="E2121" s="6"/>
      <c r="G2121" s="6">
        <v>160</v>
      </c>
      <c r="H2121" s="6">
        <v>82</v>
      </c>
      <c r="I2121" s="9">
        <v>79</v>
      </c>
      <c r="J2121" s="9"/>
      <c r="K2121" s="7">
        <v>44006292</v>
      </c>
      <c r="L2121" s="6" t="str">
        <f t="shared" si="214"/>
        <v>VRL LOOP MASA 160x82x79</v>
      </c>
      <c r="M2121" s="12">
        <v>0.4</v>
      </c>
      <c r="N2121" s="12">
        <v>0.4</v>
      </c>
      <c r="O2121" s="8">
        <v>20210</v>
      </c>
      <c r="P2121" s="8">
        <f t="shared" si="208"/>
        <v>12126</v>
      </c>
      <c r="Q2121" s="12">
        <f t="shared" si="209"/>
        <v>25464.600000000002</v>
      </c>
      <c r="R2121" s="31">
        <f t="shared" si="210"/>
        <v>25400</v>
      </c>
      <c r="T2121" s="8">
        <v>19510</v>
      </c>
      <c r="V2121" s="8">
        <f t="shared" si="212"/>
        <v>17559</v>
      </c>
      <c r="W2121" s="8">
        <f t="shared" si="213"/>
        <v>43897.5</v>
      </c>
    </row>
    <row r="2122" spans="1:23" ht="21.95" customHeight="1" x14ac:dyDescent="0.2">
      <c r="A2122" s="6" t="s">
        <v>17</v>
      </c>
      <c r="B2122" s="6" t="s">
        <v>805</v>
      </c>
      <c r="C2122" s="6" t="s">
        <v>861</v>
      </c>
      <c r="D2122" s="6" t="s">
        <v>862</v>
      </c>
      <c r="E2122" s="6"/>
      <c r="G2122" s="6">
        <v>105</v>
      </c>
      <c r="H2122" s="6">
        <v>105</v>
      </c>
      <c r="I2122" s="9">
        <v>75</v>
      </c>
      <c r="J2122" s="9"/>
      <c r="K2122" s="7">
        <v>44006293</v>
      </c>
      <c r="L2122" s="6" t="str">
        <f t="shared" si="214"/>
        <v>VRL MARİN 105 MASA 105x105x75</v>
      </c>
      <c r="M2122" s="12">
        <v>0.4</v>
      </c>
      <c r="N2122" s="12">
        <v>0.4</v>
      </c>
      <c r="O2122" s="8">
        <v>7390</v>
      </c>
      <c r="P2122" s="8">
        <f t="shared" si="208"/>
        <v>4434</v>
      </c>
      <c r="Q2122" s="12">
        <f t="shared" si="209"/>
        <v>9311.4</v>
      </c>
      <c r="R2122" s="31">
        <f t="shared" si="210"/>
        <v>9300</v>
      </c>
      <c r="T2122" s="8">
        <v>9145</v>
      </c>
      <c r="V2122" s="8">
        <f t="shared" si="212"/>
        <v>8230.5</v>
      </c>
      <c r="W2122" s="8">
        <f t="shared" si="213"/>
        <v>20576.25</v>
      </c>
    </row>
    <row r="2123" spans="1:23" ht="21.95" customHeight="1" x14ac:dyDescent="0.2">
      <c r="A2123" s="6" t="s">
        <v>17</v>
      </c>
      <c r="B2123" s="6" t="s">
        <v>805</v>
      </c>
      <c r="C2123" s="6" t="s">
        <v>818</v>
      </c>
      <c r="D2123" s="6" t="s">
        <v>155</v>
      </c>
      <c r="E2123" s="6"/>
      <c r="G2123" s="6">
        <v>130</v>
      </c>
      <c r="H2123" s="6">
        <v>70</v>
      </c>
      <c r="I2123" s="9">
        <v>75</v>
      </c>
      <c r="J2123" s="9"/>
      <c r="K2123" s="7">
        <v>44006294</v>
      </c>
      <c r="L2123" s="6" t="str">
        <f t="shared" si="214"/>
        <v>VRL MAYA MASA 130x70x75</v>
      </c>
      <c r="M2123" s="12">
        <v>0.4</v>
      </c>
      <c r="N2123" s="12">
        <v>0.4</v>
      </c>
      <c r="O2123" s="8">
        <v>12170</v>
      </c>
      <c r="P2123" s="8">
        <f t="shared" si="208"/>
        <v>7302</v>
      </c>
      <c r="Q2123" s="12">
        <f t="shared" si="209"/>
        <v>15334.2</v>
      </c>
      <c r="R2123" s="31">
        <f t="shared" si="210"/>
        <v>15300</v>
      </c>
      <c r="T2123" s="8">
        <v>36645</v>
      </c>
      <c r="V2123" s="8">
        <f t="shared" si="212"/>
        <v>32980.5</v>
      </c>
      <c r="W2123" s="8">
        <f t="shared" si="213"/>
        <v>82451.25</v>
      </c>
    </row>
    <row r="2124" spans="1:23" ht="21.95" customHeight="1" x14ac:dyDescent="0.2">
      <c r="A2124" s="6" t="s">
        <v>17</v>
      </c>
      <c r="B2124" s="6" t="s">
        <v>805</v>
      </c>
      <c r="C2124" s="6" t="s">
        <v>863</v>
      </c>
      <c r="D2124" s="6" t="s">
        <v>155</v>
      </c>
      <c r="E2124" s="6"/>
      <c r="G2124" s="6">
        <v>160</v>
      </c>
      <c r="H2124" s="6">
        <v>80</v>
      </c>
      <c r="I2124" s="9">
        <v>75</v>
      </c>
      <c r="J2124" s="9"/>
      <c r="K2124" s="7">
        <v>44006295</v>
      </c>
      <c r="L2124" s="6" t="str">
        <f t="shared" si="214"/>
        <v>VRL MERİDA MASA 160x80x75</v>
      </c>
      <c r="M2124" s="12">
        <v>0.4</v>
      </c>
      <c r="N2124" s="12">
        <v>0.4</v>
      </c>
      <c r="O2124" s="8">
        <v>17100</v>
      </c>
      <c r="P2124" s="8">
        <f t="shared" si="208"/>
        <v>10260</v>
      </c>
      <c r="Q2124" s="12">
        <f t="shared" si="209"/>
        <v>21546</v>
      </c>
      <c r="R2124" s="31">
        <f t="shared" si="210"/>
        <v>21500</v>
      </c>
      <c r="T2124" s="8">
        <v>32970</v>
      </c>
      <c r="V2124" s="8">
        <f t="shared" si="212"/>
        <v>29673</v>
      </c>
      <c r="W2124" s="8">
        <f t="shared" si="213"/>
        <v>74182.5</v>
      </c>
    </row>
    <row r="2125" spans="1:23" ht="21.95" customHeight="1" x14ac:dyDescent="0.2">
      <c r="A2125" s="6" t="s">
        <v>17</v>
      </c>
      <c r="B2125" s="6" t="s">
        <v>805</v>
      </c>
      <c r="C2125" s="6" t="s">
        <v>864</v>
      </c>
      <c r="D2125" s="6" t="s">
        <v>155</v>
      </c>
      <c r="E2125" s="6"/>
      <c r="G2125" s="6">
        <v>105</v>
      </c>
      <c r="H2125" s="6">
        <v>105</v>
      </c>
      <c r="I2125" s="9">
        <v>75</v>
      </c>
      <c r="J2125" s="9"/>
      <c r="K2125" s="7">
        <v>44006296</v>
      </c>
      <c r="L2125" s="6" t="str">
        <f t="shared" si="214"/>
        <v>VRL MESİNA MASA 105x105x75</v>
      </c>
      <c r="M2125" s="12">
        <v>0.4</v>
      </c>
      <c r="N2125" s="12">
        <v>0.4</v>
      </c>
      <c r="O2125" s="8">
        <v>14030</v>
      </c>
      <c r="P2125" s="8">
        <f t="shared" si="208"/>
        <v>8418</v>
      </c>
      <c r="Q2125" s="12">
        <f t="shared" si="209"/>
        <v>17677.8</v>
      </c>
      <c r="R2125" s="31">
        <f t="shared" si="210"/>
        <v>17600</v>
      </c>
      <c r="T2125" s="8">
        <v>16540</v>
      </c>
      <c r="V2125" s="8">
        <f t="shared" si="212"/>
        <v>14886</v>
      </c>
      <c r="W2125" s="8">
        <f t="shared" si="213"/>
        <v>37215</v>
      </c>
    </row>
    <row r="2126" spans="1:23" ht="21.95" customHeight="1" x14ac:dyDescent="0.2">
      <c r="A2126" s="6" t="s">
        <v>17</v>
      </c>
      <c r="B2126" s="6" t="s">
        <v>805</v>
      </c>
      <c r="C2126" s="6" t="s">
        <v>865</v>
      </c>
      <c r="D2126" s="6" t="s">
        <v>866</v>
      </c>
      <c r="E2126" s="6"/>
      <c r="G2126" s="6">
        <v>135</v>
      </c>
      <c r="H2126" s="6">
        <v>80</v>
      </c>
      <c r="I2126" s="9">
        <v>75</v>
      </c>
      <c r="J2126" s="9"/>
      <c r="K2126" s="7">
        <v>44006297</v>
      </c>
      <c r="L2126" s="6" t="str">
        <f t="shared" si="214"/>
        <v>VRL NATURA BOLD  MASA 135'LİK 135x80x75</v>
      </c>
      <c r="M2126" s="12">
        <v>0.4</v>
      </c>
      <c r="N2126" s="12">
        <v>0.4</v>
      </c>
      <c r="O2126" s="8">
        <v>8660</v>
      </c>
      <c r="P2126" s="8">
        <f t="shared" ref="P2126:P2189" si="215">O2126*(1-N2126)</f>
        <v>5196</v>
      </c>
      <c r="Q2126" s="12">
        <f t="shared" ref="Q2126:Q2189" si="216">O2126*(1-N2126)*2.1</f>
        <v>10911.6</v>
      </c>
      <c r="R2126" s="31">
        <f t="shared" ref="R2126:R2189" si="217">ROUNDDOWN(Q2126,-2)</f>
        <v>10900</v>
      </c>
      <c r="T2126" s="8">
        <v>26510</v>
      </c>
      <c r="V2126" s="8">
        <f t="shared" si="212"/>
        <v>23859</v>
      </c>
      <c r="W2126" s="8">
        <f t="shared" si="213"/>
        <v>59647.5</v>
      </c>
    </row>
    <row r="2127" spans="1:23" ht="21.95" customHeight="1" x14ac:dyDescent="0.2">
      <c r="A2127" s="6" t="s">
        <v>17</v>
      </c>
      <c r="B2127" s="6" t="s">
        <v>805</v>
      </c>
      <c r="C2127" s="6" t="s">
        <v>867</v>
      </c>
      <c r="D2127" s="6" t="s">
        <v>155</v>
      </c>
      <c r="E2127" s="6"/>
      <c r="G2127" s="6">
        <v>135</v>
      </c>
      <c r="H2127" s="6">
        <v>80</v>
      </c>
      <c r="I2127" s="9">
        <v>75</v>
      </c>
      <c r="J2127" s="9"/>
      <c r="K2127" s="7">
        <v>44006298</v>
      </c>
      <c r="L2127" s="6" t="str">
        <f t="shared" si="214"/>
        <v>VRL NATURA  MASA 135x80x75</v>
      </c>
      <c r="M2127" s="12">
        <v>0.4</v>
      </c>
      <c r="N2127" s="12">
        <v>0.4</v>
      </c>
      <c r="O2127" s="8">
        <v>12470</v>
      </c>
      <c r="P2127" s="8">
        <f t="shared" si="215"/>
        <v>7482</v>
      </c>
      <c r="Q2127" s="12">
        <f t="shared" si="216"/>
        <v>15712.2</v>
      </c>
      <c r="R2127" s="31">
        <f t="shared" si="217"/>
        <v>15700</v>
      </c>
      <c r="T2127" s="8">
        <v>19945</v>
      </c>
      <c r="V2127" s="8">
        <f t="shared" si="212"/>
        <v>17950.5</v>
      </c>
      <c r="W2127" s="8">
        <f t="shared" si="213"/>
        <v>44876.25</v>
      </c>
    </row>
    <row r="2128" spans="1:23" ht="21.95" customHeight="1" x14ac:dyDescent="0.2">
      <c r="A2128" s="6" t="s">
        <v>17</v>
      </c>
      <c r="B2128" s="6" t="s">
        <v>805</v>
      </c>
      <c r="C2128" s="6" t="s">
        <v>868</v>
      </c>
      <c r="D2128" s="6" t="s">
        <v>846</v>
      </c>
      <c r="E2128" s="6"/>
      <c r="K2128" s="7">
        <v>44006299</v>
      </c>
      <c r="L2128" s="6" t="str">
        <f>B2128&amp;" "&amp;C2128&amp;" "&amp;D2128</f>
        <v>VRL PASCAL AHŞAP AYAKLI MASA</v>
      </c>
      <c r="M2128" s="12">
        <v>0.4</v>
      </c>
      <c r="N2128" s="12">
        <v>0.4</v>
      </c>
      <c r="O2128" s="8">
        <v>14700</v>
      </c>
      <c r="P2128" s="8">
        <f t="shared" si="215"/>
        <v>8820</v>
      </c>
      <c r="Q2128" s="12">
        <f t="shared" si="216"/>
        <v>18522</v>
      </c>
      <c r="R2128" s="31">
        <f t="shared" si="217"/>
        <v>18500</v>
      </c>
      <c r="T2128" s="8">
        <v>31110</v>
      </c>
      <c r="V2128" s="8">
        <f t="shared" si="212"/>
        <v>27999</v>
      </c>
      <c r="W2128" s="8">
        <f t="shared" si="213"/>
        <v>69997.5</v>
      </c>
    </row>
    <row r="2129" spans="1:23" ht="21.95" customHeight="1" x14ac:dyDescent="0.2">
      <c r="A2129" s="6" t="s">
        <v>17</v>
      </c>
      <c r="B2129" s="6" t="s">
        <v>805</v>
      </c>
      <c r="C2129" s="6" t="s">
        <v>868</v>
      </c>
      <c r="D2129" s="6" t="s">
        <v>847</v>
      </c>
      <c r="E2129" s="6"/>
      <c r="K2129" s="7">
        <v>44006300</v>
      </c>
      <c r="L2129" s="6" t="str">
        <f>B2129&amp;" "&amp;C2129&amp;" "&amp;D2129</f>
        <v>VRL PASCAL METAL AYAKLI MASA</v>
      </c>
      <c r="M2129" s="12">
        <v>0.4</v>
      </c>
      <c r="N2129" s="12">
        <v>0.4</v>
      </c>
      <c r="O2129" s="8">
        <v>13920</v>
      </c>
      <c r="P2129" s="8">
        <f t="shared" si="215"/>
        <v>8352</v>
      </c>
      <c r="Q2129" s="12">
        <f t="shared" si="216"/>
        <v>17539.2</v>
      </c>
      <c r="R2129" s="31">
        <f t="shared" si="217"/>
        <v>17500</v>
      </c>
      <c r="T2129" s="8">
        <v>24545</v>
      </c>
      <c r="V2129" s="8">
        <f t="shared" si="212"/>
        <v>22090.5</v>
      </c>
      <c r="W2129" s="8">
        <f t="shared" si="213"/>
        <v>55226.25</v>
      </c>
    </row>
    <row r="2130" spans="1:23" ht="21.95" customHeight="1" x14ac:dyDescent="0.2">
      <c r="A2130" s="6" t="s">
        <v>17</v>
      </c>
      <c r="B2130" s="6" t="s">
        <v>805</v>
      </c>
      <c r="C2130" s="6" t="s">
        <v>624</v>
      </c>
      <c r="D2130" s="6" t="s">
        <v>155</v>
      </c>
      <c r="E2130" s="6"/>
      <c r="G2130" s="6" t="s">
        <v>869</v>
      </c>
      <c r="H2130" s="6">
        <v>80</v>
      </c>
      <c r="I2130" s="9">
        <v>77</v>
      </c>
      <c r="J2130" s="9"/>
      <c r="K2130" s="7">
        <v>44006301</v>
      </c>
      <c r="L2130" s="6" t="str">
        <f>B2130&amp;" "&amp;C2130&amp;" "&amp;D2130&amp;" "&amp;G2130&amp;"x"&amp;H2130&amp;"x"&amp;I2130</f>
        <v>VRL PETRA MASA 150/189x80x77</v>
      </c>
      <c r="M2130" s="12">
        <v>0.4</v>
      </c>
      <c r="N2130" s="12">
        <v>0.4</v>
      </c>
      <c r="O2130" s="8">
        <v>10710</v>
      </c>
      <c r="P2130" s="8">
        <f t="shared" si="215"/>
        <v>6426</v>
      </c>
      <c r="Q2130" s="12">
        <f t="shared" si="216"/>
        <v>13494.6</v>
      </c>
      <c r="R2130" s="31">
        <f t="shared" si="217"/>
        <v>13400</v>
      </c>
      <c r="T2130" s="8">
        <v>33610</v>
      </c>
      <c r="V2130" s="8">
        <f t="shared" si="212"/>
        <v>30249</v>
      </c>
      <c r="W2130" s="8">
        <f t="shared" si="213"/>
        <v>75622.5</v>
      </c>
    </row>
    <row r="2131" spans="1:23" ht="21.95" customHeight="1" x14ac:dyDescent="0.2">
      <c r="A2131" s="6" t="s">
        <v>17</v>
      </c>
      <c r="B2131" s="6" t="s">
        <v>805</v>
      </c>
      <c r="C2131" s="6" t="s">
        <v>870</v>
      </c>
      <c r="D2131" s="6" t="s">
        <v>846</v>
      </c>
      <c r="E2131" s="6"/>
      <c r="G2131" s="6" t="s">
        <v>871</v>
      </c>
      <c r="H2131" s="6">
        <v>70</v>
      </c>
      <c r="I2131" s="9">
        <v>55</v>
      </c>
      <c r="J2131" s="9"/>
      <c r="K2131" s="7">
        <v>44006302</v>
      </c>
      <c r="L2131" s="6" t="str">
        <f>B2131&amp;" "&amp;C2131&amp;" "&amp;D2131&amp;" "&amp;G2131&amp;"x"&amp;H2131&amp;"x"&amp;I2131</f>
        <v>VRL SORTİE AHŞAP AYAKLI MASA 113/153x70x55</v>
      </c>
      <c r="M2131" s="12">
        <v>0.4</v>
      </c>
      <c r="N2131" s="12">
        <v>0.4</v>
      </c>
      <c r="O2131" s="8">
        <v>11360</v>
      </c>
      <c r="P2131" s="8">
        <f t="shared" si="215"/>
        <v>6816</v>
      </c>
      <c r="Q2131" s="12">
        <f t="shared" si="216"/>
        <v>14313.6</v>
      </c>
      <c r="R2131" s="31">
        <f t="shared" si="217"/>
        <v>14300</v>
      </c>
      <c r="T2131" s="8">
        <v>27045</v>
      </c>
      <c r="V2131" s="8">
        <f t="shared" si="212"/>
        <v>24340.5</v>
      </c>
      <c r="W2131" s="8">
        <f t="shared" si="213"/>
        <v>60851.25</v>
      </c>
    </row>
    <row r="2132" spans="1:23" ht="21.95" customHeight="1" x14ac:dyDescent="0.2">
      <c r="A2132" s="6" t="s">
        <v>17</v>
      </c>
      <c r="B2132" s="6" t="s">
        <v>805</v>
      </c>
      <c r="C2132" s="6" t="s">
        <v>870</v>
      </c>
      <c r="D2132" s="6" t="s">
        <v>847</v>
      </c>
      <c r="E2132" s="6"/>
      <c r="K2132" s="7">
        <v>44006303</v>
      </c>
      <c r="L2132" s="6" t="str">
        <f>B2132&amp;" "&amp;C2132&amp;" "&amp;D2132</f>
        <v>VRL SORTİE METAL AYAKLI MASA</v>
      </c>
      <c r="M2132" s="12">
        <v>0.4</v>
      </c>
      <c r="N2132" s="12">
        <v>0.4</v>
      </c>
      <c r="O2132" s="8">
        <v>11040</v>
      </c>
      <c r="P2132" s="8">
        <f t="shared" si="215"/>
        <v>6624</v>
      </c>
      <c r="Q2132" s="12">
        <f t="shared" si="216"/>
        <v>13910.400000000001</v>
      </c>
      <c r="R2132" s="31">
        <f t="shared" si="217"/>
        <v>13900</v>
      </c>
      <c r="T2132" s="8">
        <v>29010</v>
      </c>
      <c r="V2132" s="8">
        <f t="shared" si="212"/>
        <v>26109</v>
      </c>
      <c r="W2132" s="8">
        <f t="shared" si="213"/>
        <v>65272.5</v>
      </c>
    </row>
    <row r="2133" spans="1:23" ht="21.95" customHeight="1" x14ac:dyDescent="0.2">
      <c r="A2133" s="6" t="s">
        <v>17</v>
      </c>
      <c r="B2133" s="6" t="s">
        <v>805</v>
      </c>
      <c r="C2133" s="6" t="s">
        <v>870</v>
      </c>
      <c r="D2133" s="6" t="s">
        <v>872</v>
      </c>
      <c r="E2133" s="6"/>
      <c r="G2133" s="6" t="s">
        <v>873</v>
      </c>
      <c r="H2133" s="5">
        <v>75</v>
      </c>
      <c r="I2133" s="7">
        <v>77</v>
      </c>
      <c r="K2133" s="7">
        <v>44006304</v>
      </c>
      <c r="L2133" s="6" t="str">
        <f>B2133&amp;" "&amp;C2133&amp;" "&amp;D2133&amp;" "&amp;G2133&amp;"x"&amp;H2133&amp;"x"&amp;I2133</f>
        <v>VRL SORTİE OVAL AHŞAP AYAKLI MASA 130/168x75x77</v>
      </c>
      <c r="M2133" s="12">
        <v>0.4</v>
      </c>
      <c r="N2133" s="12">
        <v>0.4</v>
      </c>
      <c r="O2133" s="8">
        <v>12770</v>
      </c>
      <c r="P2133" s="8">
        <f t="shared" si="215"/>
        <v>7662</v>
      </c>
      <c r="Q2133" s="12">
        <f t="shared" si="216"/>
        <v>16090.2</v>
      </c>
      <c r="R2133" s="31">
        <f t="shared" si="217"/>
        <v>16000</v>
      </c>
      <c r="T2133" s="8">
        <v>22445</v>
      </c>
      <c r="V2133" s="8">
        <f t="shared" si="212"/>
        <v>20200.5</v>
      </c>
      <c r="W2133" s="8">
        <f t="shared" si="213"/>
        <v>50501.25</v>
      </c>
    </row>
    <row r="2134" spans="1:23" ht="21.95" customHeight="1" x14ac:dyDescent="0.2">
      <c r="A2134" s="6" t="s">
        <v>17</v>
      </c>
      <c r="B2134" s="6" t="s">
        <v>805</v>
      </c>
      <c r="C2134" s="6" t="s">
        <v>870</v>
      </c>
      <c r="D2134" s="6" t="s">
        <v>874</v>
      </c>
      <c r="E2134" s="6"/>
      <c r="K2134" s="7">
        <v>44006305</v>
      </c>
      <c r="L2134" s="6" t="str">
        <f>B2134&amp;" "&amp;C2134&amp;" "&amp;D2134</f>
        <v>VRL SORTİE OVAL METAL AYAKLI MASA</v>
      </c>
      <c r="M2134" s="12">
        <v>0.4</v>
      </c>
      <c r="N2134" s="12">
        <v>0.4</v>
      </c>
      <c r="O2134" s="8">
        <v>11980</v>
      </c>
      <c r="P2134" s="8">
        <f t="shared" si="215"/>
        <v>7188</v>
      </c>
      <c r="Q2134" s="12">
        <f t="shared" si="216"/>
        <v>15094.800000000001</v>
      </c>
      <c r="R2134" s="31">
        <f t="shared" si="217"/>
        <v>15000</v>
      </c>
      <c r="T2134" s="8">
        <v>6565</v>
      </c>
      <c r="V2134" s="8">
        <f t="shared" si="212"/>
        <v>5908.5</v>
      </c>
      <c r="W2134" s="8">
        <f t="shared" si="213"/>
        <v>14771.25</v>
      </c>
    </row>
    <row r="2135" spans="1:23" ht="21.95" customHeight="1" x14ac:dyDescent="0.2">
      <c r="A2135" s="6" t="s">
        <v>17</v>
      </c>
      <c r="B2135" s="6" t="s">
        <v>805</v>
      </c>
      <c r="C2135" s="6" t="s">
        <v>875</v>
      </c>
      <c r="D2135" s="6" t="s">
        <v>876</v>
      </c>
      <c r="E2135" s="6"/>
      <c r="G2135" s="5">
        <v>105</v>
      </c>
      <c r="H2135" s="6">
        <v>105</v>
      </c>
      <c r="I2135" s="9">
        <v>75</v>
      </c>
      <c r="J2135" s="9"/>
      <c r="K2135" s="7">
        <v>44006306</v>
      </c>
      <c r="L2135" s="6" t="str">
        <f>B2135&amp;" "&amp;C2135&amp;" "&amp;D2135&amp;" "&amp;G2135&amp;"x"&amp;H2135&amp;"x"&amp;I2135</f>
        <v>VRL SORTİE R  MASA 105x105x75</v>
      </c>
      <c r="M2135" s="12">
        <v>0.4</v>
      </c>
      <c r="N2135" s="12">
        <v>0.4</v>
      </c>
      <c r="O2135" s="8">
        <v>12750</v>
      </c>
      <c r="P2135" s="8">
        <f t="shared" si="215"/>
        <v>7650</v>
      </c>
      <c r="Q2135" s="12">
        <f t="shared" si="216"/>
        <v>16065</v>
      </c>
      <c r="R2135" s="31">
        <f t="shared" si="217"/>
        <v>16000</v>
      </c>
      <c r="T2135" s="8">
        <v>9390</v>
      </c>
      <c r="V2135" s="8">
        <f t="shared" si="212"/>
        <v>8451</v>
      </c>
      <c r="W2135" s="8">
        <f t="shared" si="213"/>
        <v>21127.5</v>
      </c>
    </row>
    <row r="2136" spans="1:23" ht="21.95" customHeight="1" x14ac:dyDescent="0.2">
      <c r="A2136" s="6" t="s">
        <v>17</v>
      </c>
      <c r="B2136" s="6" t="s">
        <v>805</v>
      </c>
      <c r="C2136" s="6" t="s">
        <v>877</v>
      </c>
      <c r="D2136" s="6" t="s">
        <v>155</v>
      </c>
      <c r="E2136" s="6"/>
      <c r="G2136" s="5">
        <v>135</v>
      </c>
      <c r="H2136" s="6">
        <v>80</v>
      </c>
      <c r="I2136" s="9">
        <v>75</v>
      </c>
      <c r="J2136" s="9"/>
      <c r="K2136" s="7">
        <v>44006307</v>
      </c>
      <c r="L2136" s="6" t="str">
        <f>B2136&amp;" "&amp;C2136&amp;" "&amp;D2136&amp;" "&amp;G2136&amp;"x"&amp;H2136&amp;"x"&amp;I2136</f>
        <v>VRL TEMA MASA 135x80x75</v>
      </c>
      <c r="M2136" s="12">
        <v>0.4</v>
      </c>
      <c r="N2136" s="12">
        <v>0.4</v>
      </c>
      <c r="O2136" s="8">
        <v>8230</v>
      </c>
      <c r="P2136" s="8">
        <f t="shared" si="215"/>
        <v>4938</v>
      </c>
      <c r="Q2136" s="12">
        <f t="shared" si="216"/>
        <v>10369.800000000001</v>
      </c>
      <c r="R2136" s="31">
        <f t="shared" si="217"/>
        <v>10300</v>
      </c>
      <c r="T2136" s="8">
        <v>54215</v>
      </c>
      <c r="V2136" s="8">
        <f t="shared" si="212"/>
        <v>48793.5</v>
      </c>
      <c r="W2136" s="8">
        <f t="shared" si="213"/>
        <v>121983.75</v>
      </c>
    </row>
    <row r="2137" spans="1:23" ht="21.95" customHeight="1" x14ac:dyDescent="0.2">
      <c r="A2137" s="6" t="s">
        <v>17</v>
      </c>
      <c r="B2137" s="6" t="s">
        <v>805</v>
      </c>
      <c r="C2137" s="6" t="s">
        <v>878</v>
      </c>
      <c r="D2137" s="6" t="s">
        <v>879</v>
      </c>
      <c r="E2137" s="6"/>
      <c r="K2137" s="7">
        <v>44006308</v>
      </c>
      <c r="L2137" s="6" t="str">
        <f>B2137&amp;" "&amp;C2137&amp;" "&amp;D2137</f>
        <v xml:space="preserve">VRL TİMBERLAND 135'LİK MASA </v>
      </c>
      <c r="M2137" s="12">
        <v>0.4</v>
      </c>
      <c r="N2137" s="12">
        <v>0.4</v>
      </c>
      <c r="O2137" s="8">
        <v>10980</v>
      </c>
      <c r="P2137" s="8">
        <f t="shared" si="215"/>
        <v>6588</v>
      </c>
      <c r="Q2137" s="12">
        <f t="shared" si="216"/>
        <v>13834.800000000001</v>
      </c>
      <c r="R2137" s="31">
        <f t="shared" si="217"/>
        <v>13800</v>
      </c>
      <c r="T2137" s="8">
        <v>22100</v>
      </c>
      <c r="V2137" s="8">
        <f t="shared" si="212"/>
        <v>19890</v>
      </c>
      <c r="W2137" s="8">
        <f t="shared" si="213"/>
        <v>49725</v>
      </c>
    </row>
    <row r="2138" spans="1:23" ht="21.95" customHeight="1" x14ac:dyDescent="0.2">
      <c r="A2138" s="6" t="s">
        <v>17</v>
      </c>
      <c r="B2138" s="6" t="s">
        <v>805</v>
      </c>
      <c r="C2138" s="6" t="s">
        <v>878</v>
      </c>
      <c r="D2138" s="6" t="s">
        <v>880</v>
      </c>
      <c r="E2138" s="6"/>
      <c r="G2138" s="5">
        <v>180</v>
      </c>
      <c r="H2138" s="6">
        <v>90</v>
      </c>
      <c r="I2138" s="9">
        <v>75</v>
      </c>
      <c r="J2138" s="9"/>
      <c r="K2138" s="7">
        <v>44006309</v>
      </c>
      <c r="L2138" s="6" t="str">
        <f>B2138&amp;" "&amp;C2138&amp;" "&amp;D2138&amp;" "&amp;G2138&amp;"x"&amp;H2138&amp;"x"&amp;I2138</f>
        <v>VRL TİMBERLAND 180'LİK MASA 180x90x75</v>
      </c>
      <c r="M2138" s="12">
        <v>0.4</v>
      </c>
      <c r="N2138" s="12">
        <v>0.4</v>
      </c>
      <c r="O2138" s="8">
        <v>11880</v>
      </c>
      <c r="P2138" s="8">
        <f t="shared" si="215"/>
        <v>7128</v>
      </c>
      <c r="Q2138" s="12">
        <f t="shared" si="216"/>
        <v>14968.800000000001</v>
      </c>
      <c r="R2138" s="31">
        <f t="shared" si="217"/>
        <v>14900</v>
      </c>
      <c r="T2138" s="8">
        <v>16870</v>
      </c>
      <c r="V2138" s="8">
        <f t="shared" si="212"/>
        <v>15183</v>
      </c>
      <c r="W2138" s="8">
        <f t="shared" si="213"/>
        <v>37957.5</v>
      </c>
    </row>
    <row r="2139" spans="1:23" ht="21.95" customHeight="1" x14ac:dyDescent="0.2">
      <c r="A2139" s="6" t="s">
        <v>17</v>
      </c>
      <c r="B2139" s="6" t="s">
        <v>805</v>
      </c>
      <c r="C2139" s="6" t="s">
        <v>881</v>
      </c>
      <c r="D2139" s="6" t="s">
        <v>155</v>
      </c>
      <c r="E2139" s="6"/>
      <c r="G2139" s="6">
        <v>180</v>
      </c>
      <c r="H2139" s="6">
        <v>90</v>
      </c>
      <c r="I2139" s="9">
        <v>75</v>
      </c>
      <c r="J2139" s="9"/>
      <c r="K2139" s="7">
        <v>44006310</v>
      </c>
      <c r="L2139" s="6" t="str">
        <f>B2139&amp;" "&amp;C2139&amp;" "&amp;D2139&amp;" "&amp;G2139&amp;"x"&amp;H2139&amp;"x"&amp;I2139</f>
        <v>VRL TOWER  MASA 180x90x75</v>
      </c>
      <c r="M2139" s="12">
        <v>0.4</v>
      </c>
      <c r="N2139" s="12">
        <v>0.4</v>
      </c>
      <c r="O2139" s="8">
        <v>22960</v>
      </c>
      <c r="P2139" s="8">
        <f t="shared" si="215"/>
        <v>13776</v>
      </c>
      <c r="Q2139" s="12">
        <f t="shared" si="216"/>
        <v>28929.600000000002</v>
      </c>
      <c r="R2139" s="31">
        <f t="shared" si="217"/>
        <v>28900</v>
      </c>
      <c r="T2139" s="8">
        <v>4775</v>
      </c>
      <c r="V2139" s="8">
        <f t="shared" ref="V2139:V2202" si="218">T2139*0.9</f>
        <v>4297.5</v>
      </c>
      <c r="W2139" s="8">
        <f t="shared" ref="W2139:W2202" si="219">V2139*2.5</f>
        <v>10743.75</v>
      </c>
    </row>
    <row r="2140" spans="1:23" ht="21.95" customHeight="1" x14ac:dyDescent="0.2">
      <c r="A2140" s="6" t="s">
        <v>17</v>
      </c>
      <c r="B2140" s="6" t="s">
        <v>805</v>
      </c>
      <c r="C2140" s="6" t="s">
        <v>882</v>
      </c>
      <c r="D2140" s="6" t="s">
        <v>155</v>
      </c>
      <c r="E2140" s="6"/>
      <c r="G2140" s="6">
        <v>110</v>
      </c>
      <c r="H2140" s="6">
        <v>110</v>
      </c>
      <c r="I2140" s="9">
        <v>77</v>
      </c>
      <c r="J2140" s="9"/>
      <c r="K2140" s="7">
        <v>44006311</v>
      </c>
      <c r="L2140" s="6" t="str">
        <f>B2140&amp;" "&amp;C2140&amp;" "&amp;D2140&amp;" "&amp;G2140&amp;"x"&amp;H2140&amp;"x"&amp;I2140</f>
        <v>VRL TROYA MASA 110x110x77</v>
      </c>
      <c r="M2140" s="12">
        <v>0.4</v>
      </c>
      <c r="N2140" s="12">
        <v>0.4</v>
      </c>
      <c r="O2140" s="8">
        <v>26180</v>
      </c>
      <c r="P2140" s="8">
        <f t="shared" si="215"/>
        <v>15708</v>
      </c>
      <c r="Q2140" s="12">
        <f t="shared" si="216"/>
        <v>32986.800000000003</v>
      </c>
      <c r="R2140" s="31">
        <f t="shared" si="217"/>
        <v>32900</v>
      </c>
      <c r="T2140" s="8">
        <v>3170</v>
      </c>
      <c r="V2140" s="8">
        <f t="shared" si="218"/>
        <v>2853</v>
      </c>
      <c r="W2140" s="8">
        <f t="shared" si="219"/>
        <v>7132.5</v>
      </c>
    </row>
    <row r="2141" spans="1:23" ht="21.95" customHeight="1" x14ac:dyDescent="0.2">
      <c r="A2141" s="6" t="s">
        <v>17</v>
      </c>
      <c r="B2141" s="6" t="s">
        <v>805</v>
      </c>
      <c r="C2141" s="6" t="s">
        <v>883</v>
      </c>
      <c r="D2141" s="6" t="s">
        <v>155</v>
      </c>
      <c r="E2141" s="6"/>
      <c r="G2141" s="6">
        <v>160</v>
      </c>
      <c r="H2141" s="6">
        <v>75</v>
      </c>
      <c r="I2141" s="9">
        <v>75</v>
      </c>
      <c r="J2141" s="9"/>
      <c r="K2141" s="7">
        <v>44006312</v>
      </c>
      <c r="L2141" s="6" t="str">
        <f>B2141&amp;" "&amp;C2141&amp;" "&amp;D2141&amp;" "&amp;G2141&amp;"x"&amp;H2141&amp;"x"&amp;I2141</f>
        <v>VRL TUAL MASA 160x75x75</v>
      </c>
      <c r="M2141" s="12">
        <v>0.4</v>
      </c>
      <c r="N2141" s="12">
        <v>0.4</v>
      </c>
      <c r="O2141" s="8">
        <v>14650</v>
      </c>
      <c r="P2141" s="8">
        <f t="shared" si="215"/>
        <v>8790</v>
      </c>
      <c r="Q2141" s="12">
        <f t="shared" si="216"/>
        <v>18459</v>
      </c>
      <c r="R2141" s="31">
        <f t="shared" si="217"/>
        <v>18400</v>
      </c>
      <c r="T2141" s="8">
        <v>33290</v>
      </c>
      <c r="V2141" s="8">
        <f t="shared" si="218"/>
        <v>29961</v>
      </c>
      <c r="W2141" s="8">
        <f t="shared" si="219"/>
        <v>74902.5</v>
      </c>
    </row>
    <row r="2142" spans="1:23" ht="21.95" customHeight="1" x14ac:dyDescent="0.2">
      <c r="A2142" s="6" t="s">
        <v>17</v>
      </c>
      <c r="B2142" s="6" t="s">
        <v>805</v>
      </c>
      <c r="C2142" s="6" t="s">
        <v>884</v>
      </c>
      <c r="D2142" s="6" t="s">
        <v>885</v>
      </c>
      <c r="E2142" s="6"/>
      <c r="G2142" s="6" t="s">
        <v>886</v>
      </c>
      <c r="H2142" s="6">
        <v>75</v>
      </c>
      <c r="I2142" s="9">
        <v>75</v>
      </c>
      <c r="J2142" s="9"/>
      <c r="K2142" s="7">
        <v>44006313</v>
      </c>
      <c r="L2142" s="6" t="str">
        <f>B2142&amp;" "&amp;C2142&amp;" "&amp;D2142&amp;" "&amp;G2142&amp;"x"&amp;H2142&amp;"x"&amp;I2142</f>
        <v>VRL VARİO AHŞAP DÜZ AYAKLI MASA 135/175x75x75</v>
      </c>
      <c r="M2142" s="12">
        <v>0.4</v>
      </c>
      <c r="N2142" s="12">
        <v>0.4</v>
      </c>
      <c r="O2142" s="8">
        <v>15180</v>
      </c>
      <c r="P2142" s="8">
        <f t="shared" si="215"/>
        <v>9108</v>
      </c>
      <c r="Q2142" s="12">
        <f t="shared" si="216"/>
        <v>19126.8</v>
      </c>
      <c r="R2142" s="31">
        <f t="shared" si="217"/>
        <v>19100</v>
      </c>
      <c r="T2142" s="8">
        <v>8866</v>
      </c>
      <c r="V2142" s="8">
        <f t="shared" si="218"/>
        <v>7979.4000000000005</v>
      </c>
      <c r="W2142" s="8">
        <f t="shared" si="219"/>
        <v>19948.5</v>
      </c>
    </row>
    <row r="2143" spans="1:23" ht="21.95" customHeight="1" x14ac:dyDescent="0.2">
      <c r="A2143" s="6" t="s">
        <v>17</v>
      </c>
      <c r="B2143" s="6" t="s">
        <v>805</v>
      </c>
      <c r="C2143" s="6" t="s">
        <v>884</v>
      </c>
      <c r="D2143" s="6" t="s">
        <v>887</v>
      </c>
      <c r="E2143" s="6"/>
      <c r="K2143" s="7">
        <v>44006314</v>
      </c>
      <c r="L2143" s="6" t="str">
        <f>B2143&amp;" "&amp;C2143&amp;" "&amp;D2143</f>
        <v>VRL VARİO METAL DÜZ AYAKLI MASA</v>
      </c>
      <c r="M2143" s="12">
        <v>0.4</v>
      </c>
      <c r="N2143" s="12">
        <v>0.4</v>
      </c>
      <c r="O2143" s="8">
        <v>14460</v>
      </c>
      <c r="P2143" s="8">
        <f t="shared" si="215"/>
        <v>8676</v>
      </c>
      <c r="Q2143" s="12">
        <f t="shared" si="216"/>
        <v>18219.600000000002</v>
      </c>
      <c r="R2143" s="31">
        <f t="shared" si="217"/>
        <v>18200</v>
      </c>
      <c r="T2143" s="8">
        <v>23975</v>
      </c>
      <c r="V2143" s="8">
        <f t="shared" si="218"/>
        <v>21577.5</v>
      </c>
      <c r="W2143" s="8">
        <f t="shared" si="219"/>
        <v>53943.75</v>
      </c>
    </row>
    <row r="2144" spans="1:23" ht="21.95" customHeight="1" x14ac:dyDescent="0.2">
      <c r="A2144" s="6" t="s">
        <v>17</v>
      </c>
      <c r="B2144" s="6" t="s">
        <v>805</v>
      </c>
      <c r="C2144" s="6" t="s">
        <v>888</v>
      </c>
      <c r="D2144" s="6" t="s">
        <v>155</v>
      </c>
      <c r="E2144" s="6"/>
      <c r="G2144" s="6">
        <v>130</v>
      </c>
      <c r="H2144" s="6" t="s">
        <v>889</v>
      </c>
      <c r="I2144" s="9">
        <v>75</v>
      </c>
      <c r="J2144" s="9"/>
      <c r="K2144" s="7">
        <v>44006315</v>
      </c>
      <c r="L2144" s="6" t="str">
        <f>B2144&amp;" "&amp;C2144&amp;" "&amp;D2144&amp;" "&amp;G2144&amp;"x"&amp;H2144&amp;"x"&amp;I2144</f>
        <v>VRL VERSAY MASA 130x80/130x75</v>
      </c>
      <c r="M2144" s="12">
        <v>0.4</v>
      </c>
      <c r="N2144" s="12">
        <v>0.4</v>
      </c>
      <c r="O2144" s="8">
        <v>15530</v>
      </c>
      <c r="P2144" s="8">
        <f t="shared" si="215"/>
        <v>9318</v>
      </c>
      <c r="Q2144" s="12">
        <f t="shared" si="216"/>
        <v>19567.8</v>
      </c>
      <c r="R2144" s="31">
        <f t="shared" si="217"/>
        <v>19500</v>
      </c>
      <c r="T2144" s="8">
        <v>31168</v>
      </c>
      <c r="V2144" s="8">
        <f t="shared" si="218"/>
        <v>28051.200000000001</v>
      </c>
      <c r="W2144" s="8">
        <f t="shared" si="219"/>
        <v>70128</v>
      </c>
    </row>
    <row r="2145" spans="1:23" ht="21.95" customHeight="1" x14ac:dyDescent="0.2">
      <c r="A2145" s="6" t="s">
        <v>17</v>
      </c>
      <c r="B2145" s="6" t="s">
        <v>805</v>
      </c>
      <c r="C2145" s="6" t="s">
        <v>890</v>
      </c>
      <c r="D2145" s="6" t="s">
        <v>155</v>
      </c>
      <c r="E2145" s="6"/>
      <c r="G2145" s="6">
        <v>160</v>
      </c>
      <c r="H2145" s="6">
        <v>80</v>
      </c>
      <c r="I2145" s="9">
        <v>77</v>
      </c>
      <c r="J2145" s="9"/>
      <c r="K2145" s="7">
        <v>44006316</v>
      </c>
      <c r="L2145" s="6" t="str">
        <f>B2145&amp;" "&amp;C2145&amp;" "&amp;D2145&amp;" "&amp;G2145&amp;"x"&amp;H2145&amp;"x"&amp;I2145</f>
        <v>VRL VİTAL MASA 160x80x77</v>
      </c>
      <c r="M2145" s="12">
        <v>0.4</v>
      </c>
      <c r="N2145" s="12">
        <v>0.4</v>
      </c>
      <c r="O2145" s="8">
        <v>16430</v>
      </c>
      <c r="P2145" s="8">
        <f t="shared" si="215"/>
        <v>9858</v>
      </c>
      <c r="Q2145" s="12">
        <f t="shared" si="216"/>
        <v>20701.8</v>
      </c>
      <c r="R2145" s="31">
        <f t="shared" si="217"/>
        <v>20700</v>
      </c>
      <c r="T2145" s="8">
        <v>35620</v>
      </c>
      <c r="V2145" s="8">
        <f t="shared" si="218"/>
        <v>32058</v>
      </c>
      <c r="W2145" s="8">
        <f t="shared" si="219"/>
        <v>80145</v>
      </c>
    </row>
    <row r="2146" spans="1:23" ht="21.95" customHeight="1" x14ac:dyDescent="0.2">
      <c r="A2146" s="6" t="s">
        <v>17</v>
      </c>
      <c r="B2146" s="6" t="s">
        <v>805</v>
      </c>
      <c r="C2146" s="6" t="s">
        <v>891</v>
      </c>
      <c r="D2146" s="6" t="s">
        <v>25</v>
      </c>
      <c r="E2146" s="6"/>
      <c r="G2146" s="6">
        <v>43</v>
      </c>
      <c r="H2146" s="6">
        <v>47</v>
      </c>
      <c r="I2146" s="9">
        <v>92</v>
      </c>
      <c r="J2146" s="9"/>
      <c r="K2146" s="7">
        <v>44006317</v>
      </c>
      <c r="L2146" s="6" t="str">
        <f>B2146&amp;" "&amp;C2146&amp;" "&amp;D2146&amp;" "&amp;G2146&amp;"x"&amp;H2146&amp;"x"&amp;I2146</f>
        <v>VRL ARAMİS SANDALYE 43x47x92</v>
      </c>
      <c r="M2146" s="12">
        <v>0.4</v>
      </c>
      <c r="N2146" s="12">
        <v>0.4</v>
      </c>
      <c r="O2146" s="8">
        <v>5980</v>
      </c>
      <c r="P2146" s="8">
        <f t="shared" si="215"/>
        <v>3588</v>
      </c>
      <c r="Q2146" s="12">
        <f t="shared" si="216"/>
        <v>7534.8</v>
      </c>
      <c r="R2146" s="31">
        <f t="shared" si="217"/>
        <v>7500</v>
      </c>
      <c r="T2146" s="8">
        <v>4514</v>
      </c>
      <c r="V2146" s="8">
        <f t="shared" si="218"/>
        <v>4062.6</v>
      </c>
      <c r="W2146" s="8">
        <f t="shared" si="219"/>
        <v>10156.5</v>
      </c>
    </row>
    <row r="2147" spans="1:23" ht="21.95" customHeight="1" x14ac:dyDescent="0.2">
      <c r="A2147" s="6" t="s">
        <v>17</v>
      </c>
      <c r="B2147" s="6" t="s">
        <v>805</v>
      </c>
      <c r="C2147" s="6" t="s">
        <v>892</v>
      </c>
      <c r="D2147" s="6" t="s">
        <v>893</v>
      </c>
      <c r="E2147" s="6"/>
      <c r="G2147" s="6">
        <v>49</v>
      </c>
      <c r="H2147" s="6">
        <v>42</v>
      </c>
      <c r="I2147" s="9">
        <v>102</v>
      </c>
      <c r="J2147" s="9"/>
      <c r="K2147" s="7">
        <v>44006318</v>
      </c>
      <c r="L2147" s="6" t="str">
        <f>B2147&amp;" "&amp;C2147&amp;" "&amp;D2147&amp;" "&amp;G2147&amp;"x"&amp;H2147&amp;"x"&amp;I2147</f>
        <v>VRL ARTEM BAR SANDALYE  49x42x102</v>
      </c>
      <c r="M2147" s="12">
        <v>0.4</v>
      </c>
      <c r="N2147" s="12">
        <v>0.4</v>
      </c>
      <c r="O2147" s="8">
        <v>8300</v>
      </c>
      <c r="P2147" s="8">
        <f t="shared" si="215"/>
        <v>4980</v>
      </c>
      <c r="Q2147" s="12">
        <f t="shared" si="216"/>
        <v>10458</v>
      </c>
      <c r="R2147" s="31">
        <f t="shared" si="217"/>
        <v>10400</v>
      </c>
      <c r="T2147" s="8">
        <v>22165</v>
      </c>
      <c r="V2147" s="8">
        <f t="shared" si="218"/>
        <v>19948.5</v>
      </c>
      <c r="W2147" s="8">
        <f t="shared" si="219"/>
        <v>49871.25</v>
      </c>
    </row>
    <row r="2148" spans="1:23" ht="21.95" customHeight="1" x14ac:dyDescent="0.2">
      <c r="A2148" s="6" t="s">
        <v>17</v>
      </c>
      <c r="B2148" s="6" t="s">
        <v>805</v>
      </c>
      <c r="C2148" s="6" t="s">
        <v>894</v>
      </c>
      <c r="D2148" s="6" t="s">
        <v>25</v>
      </c>
      <c r="E2148" s="6"/>
      <c r="G2148" s="6">
        <v>55</v>
      </c>
      <c r="H2148" s="6">
        <v>58</v>
      </c>
      <c r="I2148" s="9">
        <v>86</v>
      </c>
      <c r="J2148" s="9"/>
      <c r="K2148" s="7">
        <v>44006319</v>
      </c>
      <c r="L2148" s="6" t="str">
        <f>B2148&amp;" "&amp;C2148&amp;" "&amp;D2148&amp;" "&amp;G2148&amp;"x"&amp;H2148&amp;"x"&amp;I2148</f>
        <v>VRL ARVEN SANDALYE 55x58x86</v>
      </c>
      <c r="M2148" s="12">
        <v>0.4</v>
      </c>
      <c r="N2148" s="12">
        <v>0.4</v>
      </c>
      <c r="O2148" s="8">
        <v>6610</v>
      </c>
      <c r="P2148" s="8">
        <f t="shared" si="215"/>
        <v>3966</v>
      </c>
      <c r="Q2148" s="12">
        <f t="shared" si="216"/>
        <v>8328.6</v>
      </c>
      <c r="R2148" s="31">
        <f t="shared" si="217"/>
        <v>8300</v>
      </c>
      <c r="T2148" s="8">
        <v>13770</v>
      </c>
      <c r="V2148" s="8">
        <f t="shared" si="218"/>
        <v>12393</v>
      </c>
      <c r="W2148" s="8">
        <f t="shared" si="219"/>
        <v>30982.5</v>
      </c>
    </row>
    <row r="2149" spans="1:23" ht="21.95" customHeight="1" x14ac:dyDescent="0.2">
      <c r="A2149" s="5" t="s">
        <v>17</v>
      </c>
      <c r="B2149" s="6" t="s">
        <v>805</v>
      </c>
      <c r="C2149" s="6" t="s">
        <v>895</v>
      </c>
      <c r="D2149" s="6" t="s">
        <v>25</v>
      </c>
      <c r="E2149" s="6"/>
      <c r="K2149" s="7">
        <v>44006320</v>
      </c>
      <c r="L2149" s="6" t="str">
        <f>B2149&amp;" "&amp;C2149&amp;" "&amp;D2149</f>
        <v>VRL ATOS  SANDALYE</v>
      </c>
      <c r="M2149" s="12">
        <v>0.4</v>
      </c>
      <c r="N2149" s="12">
        <v>0.4</v>
      </c>
      <c r="O2149" s="8">
        <v>6910</v>
      </c>
      <c r="P2149" s="8">
        <f t="shared" si="215"/>
        <v>4146</v>
      </c>
      <c r="Q2149" s="12">
        <f t="shared" si="216"/>
        <v>8706.6</v>
      </c>
      <c r="R2149" s="31">
        <f t="shared" si="217"/>
        <v>8700</v>
      </c>
      <c r="T2149" s="8">
        <v>31520</v>
      </c>
      <c r="V2149" s="8">
        <f t="shared" si="218"/>
        <v>28368</v>
      </c>
      <c r="W2149" s="8">
        <f t="shared" si="219"/>
        <v>70920</v>
      </c>
    </row>
    <row r="2150" spans="1:23" ht="21.95" customHeight="1" x14ac:dyDescent="0.2">
      <c r="A2150" s="6" t="s">
        <v>17</v>
      </c>
      <c r="B2150" s="6" t="s">
        <v>805</v>
      </c>
      <c r="C2150" s="6" t="s">
        <v>896</v>
      </c>
      <c r="D2150" s="6" t="s">
        <v>358</v>
      </c>
      <c r="E2150" s="6"/>
      <c r="G2150" s="6">
        <v>60</v>
      </c>
      <c r="H2150" s="6">
        <v>58</v>
      </c>
      <c r="I2150" s="9">
        <v>85</v>
      </c>
      <c r="J2150" s="9"/>
      <c r="K2150" s="7">
        <v>44006321</v>
      </c>
      <c r="L2150" s="6" t="str">
        <f>B2150&amp;" "&amp;C2150&amp;" "&amp;D2150&amp;" "&amp;G2150&amp;"x"&amp;H2150&amp;"x"&amp;I2150</f>
        <v>VRL ATOS N SANDALYE  60x58x85</v>
      </c>
      <c r="M2150" s="12">
        <v>0.4</v>
      </c>
      <c r="N2150" s="12">
        <v>0.4</v>
      </c>
      <c r="O2150" s="8">
        <v>7530</v>
      </c>
      <c r="P2150" s="8">
        <f t="shared" si="215"/>
        <v>4518</v>
      </c>
      <c r="Q2150" s="12">
        <f t="shared" si="216"/>
        <v>9487.8000000000011</v>
      </c>
      <c r="R2150" s="31">
        <f t="shared" si="217"/>
        <v>9400</v>
      </c>
      <c r="T2150" s="8">
        <v>18245</v>
      </c>
      <c r="V2150" s="8">
        <f t="shared" si="218"/>
        <v>16420.5</v>
      </c>
      <c r="W2150" s="8">
        <f t="shared" si="219"/>
        <v>41051.25</v>
      </c>
    </row>
    <row r="2151" spans="1:23" ht="21.95" customHeight="1" x14ac:dyDescent="0.2">
      <c r="A2151" s="6" t="s">
        <v>17</v>
      </c>
      <c r="B2151" s="6" t="s">
        <v>805</v>
      </c>
      <c r="C2151" s="6" t="s">
        <v>897</v>
      </c>
      <c r="D2151" s="6" t="s">
        <v>898</v>
      </c>
      <c r="E2151" s="6"/>
      <c r="G2151" s="6">
        <v>57</v>
      </c>
      <c r="H2151" s="6">
        <v>52</v>
      </c>
      <c r="I2151" s="9">
        <v>78</v>
      </c>
      <c r="J2151" s="9"/>
      <c r="K2151" s="7">
        <v>44006322</v>
      </c>
      <c r="L2151" s="6" t="str">
        <f>B2151&amp;" "&amp;C2151&amp;" "&amp;D2151&amp;" "&amp;G2151&amp;"x"&amp;H2151&amp;"x"&amp;I2151</f>
        <v>VRL BALEM KOLSUZ SANDALYE 57x52x78</v>
      </c>
      <c r="M2151" s="12">
        <v>0.4</v>
      </c>
      <c r="N2151" s="12">
        <v>0.4</v>
      </c>
      <c r="O2151" s="8">
        <v>5910</v>
      </c>
      <c r="P2151" s="8">
        <f t="shared" si="215"/>
        <v>3546</v>
      </c>
      <c r="Q2151" s="12">
        <f t="shared" si="216"/>
        <v>7446.6</v>
      </c>
      <c r="R2151" s="31">
        <f t="shared" si="217"/>
        <v>7400</v>
      </c>
      <c r="T2151" s="8">
        <v>10475</v>
      </c>
      <c r="V2151" s="8">
        <f t="shared" si="218"/>
        <v>9427.5</v>
      </c>
      <c r="W2151" s="8">
        <f t="shared" si="219"/>
        <v>23568.75</v>
      </c>
    </row>
    <row r="2152" spans="1:23" ht="21.95" customHeight="1" x14ac:dyDescent="0.2">
      <c r="A2152" s="6" t="s">
        <v>17</v>
      </c>
      <c r="B2152" s="6" t="s">
        <v>805</v>
      </c>
      <c r="C2152" s="6" t="s">
        <v>899</v>
      </c>
      <c r="D2152" s="6" t="s">
        <v>25</v>
      </c>
      <c r="E2152" s="6"/>
      <c r="G2152" s="6">
        <v>60</v>
      </c>
      <c r="H2152" s="6">
        <v>59</v>
      </c>
      <c r="I2152" s="9">
        <v>88</v>
      </c>
      <c r="J2152" s="9"/>
      <c r="K2152" s="7">
        <v>44006323</v>
      </c>
      <c r="L2152" s="6" t="str">
        <f>B2152&amp;" "&amp;C2152&amp;" "&amp;D2152&amp;" "&amp;G2152&amp;"x"&amp;H2152&amp;"x"&amp;I2152</f>
        <v>VRL BARAKALDO SANDALYE 60x59x88</v>
      </c>
      <c r="M2152" s="12">
        <v>0.4</v>
      </c>
      <c r="N2152" s="12">
        <v>0.4</v>
      </c>
      <c r="O2152" s="8">
        <v>6160</v>
      </c>
      <c r="P2152" s="8">
        <f t="shared" si="215"/>
        <v>3696</v>
      </c>
      <c r="Q2152" s="12">
        <f t="shared" si="216"/>
        <v>7761.6</v>
      </c>
      <c r="R2152" s="31">
        <f t="shared" si="217"/>
        <v>7700</v>
      </c>
      <c r="T2152" s="8">
        <v>31885</v>
      </c>
      <c r="V2152" s="8">
        <f t="shared" si="218"/>
        <v>28696.5</v>
      </c>
      <c r="W2152" s="8">
        <f t="shared" si="219"/>
        <v>71741.25</v>
      </c>
    </row>
    <row r="2153" spans="1:23" ht="21.95" customHeight="1" x14ac:dyDescent="0.2">
      <c r="A2153" s="6" t="s">
        <v>17</v>
      </c>
      <c r="B2153" s="6" t="s">
        <v>805</v>
      </c>
      <c r="C2153" s="6" t="s">
        <v>900</v>
      </c>
      <c r="D2153" s="6" t="s">
        <v>901</v>
      </c>
      <c r="E2153" s="6"/>
      <c r="H2153" s="6">
        <v>52</v>
      </c>
      <c r="I2153" s="9">
        <v>82</v>
      </c>
      <c r="J2153" s="9"/>
      <c r="K2153" s="7">
        <v>44006324</v>
      </c>
      <c r="L2153" s="6" t="str">
        <f>B2153&amp;" "&amp;C2153&amp;" "&amp;D2153&amp;" "&amp;H2153&amp;"x"&amp;I2153</f>
        <v>VRL BROOKLYN KOLLU SANDALYE  52x82</v>
      </c>
      <c r="M2153" s="12">
        <v>0.4</v>
      </c>
      <c r="N2153" s="12">
        <v>0.4</v>
      </c>
      <c r="O2153" s="8">
        <v>4350</v>
      </c>
      <c r="P2153" s="8">
        <f t="shared" si="215"/>
        <v>2610</v>
      </c>
      <c r="Q2153" s="12">
        <f t="shared" si="216"/>
        <v>5481</v>
      </c>
      <c r="R2153" s="31">
        <f t="shared" si="217"/>
        <v>5400</v>
      </c>
      <c r="T2153" s="8">
        <v>28520</v>
      </c>
      <c r="V2153" s="8">
        <f t="shared" si="218"/>
        <v>25668</v>
      </c>
      <c r="W2153" s="8">
        <f t="shared" si="219"/>
        <v>64170</v>
      </c>
    </row>
    <row r="2154" spans="1:23" ht="21.95" customHeight="1" x14ac:dyDescent="0.2">
      <c r="A2154" s="6" t="s">
        <v>17</v>
      </c>
      <c r="B2154" s="6" t="s">
        <v>805</v>
      </c>
      <c r="C2154" s="6" t="s">
        <v>900</v>
      </c>
      <c r="D2154" s="6" t="s">
        <v>902</v>
      </c>
      <c r="E2154" s="6"/>
      <c r="G2154" s="6">
        <v>45</v>
      </c>
      <c r="H2154" s="6">
        <v>52</v>
      </c>
      <c r="I2154" s="9">
        <v>82</v>
      </c>
      <c r="J2154" s="9"/>
      <c r="K2154" s="7">
        <v>44006325</v>
      </c>
      <c r="L2154" s="6" t="str">
        <f t="shared" ref="L2154:L2163" si="220">B2154&amp;" "&amp;C2154&amp;" "&amp;D2154&amp;" "&amp;G2154&amp;"x"&amp;H2154&amp;"x"&amp;I2154</f>
        <v>VRL BROOKLYN SANDALYE MASİF OTURUMLU 45x52x82</v>
      </c>
      <c r="M2154" s="12">
        <v>0.4</v>
      </c>
      <c r="N2154" s="12">
        <v>0.4</v>
      </c>
      <c r="O2154" s="8">
        <v>3660</v>
      </c>
      <c r="P2154" s="8">
        <f t="shared" si="215"/>
        <v>2196</v>
      </c>
      <c r="Q2154" s="12">
        <f t="shared" si="216"/>
        <v>4611.6000000000004</v>
      </c>
      <c r="R2154" s="31">
        <f t="shared" si="217"/>
        <v>4600</v>
      </c>
      <c r="T2154" s="8">
        <v>15765</v>
      </c>
      <c r="V2154" s="8">
        <f t="shared" si="218"/>
        <v>14188.5</v>
      </c>
      <c r="W2154" s="8">
        <f t="shared" si="219"/>
        <v>35471.25</v>
      </c>
    </row>
    <row r="2155" spans="1:23" ht="21.95" customHeight="1" x14ac:dyDescent="0.2">
      <c r="A2155" s="6" t="s">
        <v>17</v>
      </c>
      <c r="B2155" s="6" t="s">
        <v>805</v>
      </c>
      <c r="C2155" s="6" t="s">
        <v>900</v>
      </c>
      <c r="D2155" s="6" t="s">
        <v>893</v>
      </c>
      <c r="E2155" s="6"/>
      <c r="G2155" s="6">
        <v>43</v>
      </c>
      <c r="H2155" s="6">
        <v>52</v>
      </c>
      <c r="I2155" s="9">
        <v>102</v>
      </c>
      <c r="J2155" s="9"/>
      <c r="K2155" s="7">
        <v>44006326</v>
      </c>
      <c r="L2155" s="6" t="str">
        <f t="shared" si="220"/>
        <v>VRL BROOKLYN BAR SANDALYE  43x52x102</v>
      </c>
      <c r="M2155" s="12">
        <v>0.4</v>
      </c>
      <c r="N2155" s="12">
        <v>0.4</v>
      </c>
      <c r="O2155" s="8">
        <v>4280</v>
      </c>
      <c r="P2155" s="8">
        <f t="shared" si="215"/>
        <v>2568</v>
      </c>
      <c r="Q2155" s="12">
        <f t="shared" si="216"/>
        <v>5392.8</v>
      </c>
      <c r="R2155" s="31">
        <f t="shared" si="217"/>
        <v>5300</v>
      </c>
      <c r="T2155" s="8">
        <v>9185</v>
      </c>
      <c r="V2155" s="8">
        <f t="shared" si="218"/>
        <v>8266.5</v>
      </c>
      <c r="W2155" s="8">
        <f t="shared" si="219"/>
        <v>20666.25</v>
      </c>
    </row>
    <row r="2156" spans="1:23" ht="21.95" customHeight="1" x14ac:dyDescent="0.2">
      <c r="A2156" s="6" t="s">
        <v>17</v>
      </c>
      <c r="B2156" s="6" t="s">
        <v>805</v>
      </c>
      <c r="C2156" s="6" t="s">
        <v>903</v>
      </c>
      <c r="D2156" s="6" t="s">
        <v>25</v>
      </c>
      <c r="E2156" s="6"/>
      <c r="G2156" s="6">
        <v>57</v>
      </c>
      <c r="H2156" s="6">
        <v>52</v>
      </c>
      <c r="I2156" s="9">
        <v>78</v>
      </c>
      <c r="J2156" s="9"/>
      <c r="K2156" s="7">
        <v>44006327</v>
      </c>
      <c r="L2156" s="6" t="str">
        <f t="shared" si="220"/>
        <v>VRL COHEN SANDALYE 57x52x78</v>
      </c>
      <c r="M2156" s="12">
        <v>0.4</v>
      </c>
      <c r="N2156" s="12">
        <v>0.4</v>
      </c>
      <c r="O2156" s="8">
        <v>6710</v>
      </c>
      <c r="P2156" s="8">
        <f t="shared" si="215"/>
        <v>4026</v>
      </c>
      <c r="Q2156" s="12">
        <f t="shared" si="216"/>
        <v>8454.6</v>
      </c>
      <c r="R2156" s="31">
        <f t="shared" si="217"/>
        <v>8400</v>
      </c>
      <c r="T2156" s="8">
        <v>25920</v>
      </c>
      <c r="V2156" s="8">
        <f t="shared" si="218"/>
        <v>23328</v>
      </c>
      <c r="W2156" s="8">
        <f t="shared" si="219"/>
        <v>58320</v>
      </c>
    </row>
    <row r="2157" spans="1:23" ht="21.95" customHeight="1" x14ac:dyDescent="0.2">
      <c r="A2157" s="6" t="s">
        <v>17</v>
      </c>
      <c r="B2157" s="6" t="s">
        <v>805</v>
      </c>
      <c r="C2157" s="6" t="s">
        <v>904</v>
      </c>
      <c r="D2157" s="6" t="s">
        <v>25</v>
      </c>
      <c r="E2157" s="6"/>
      <c r="G2157" s="6">
        <v>53</v>
      </c>
      <c r="H2157" s="6">
        <v>53</v>
      </c>
      <c r="I2157" s="9">
        <v>79</v>
      </c>
      <c r="J2157" s="9"/>
      <c r="K2157" s="7">
        <v>44006328</v>
      </c>
      <c r="L2157" s="6" t="str">
        <f t="shared" si="220"/>
        <v>VRL COLOGNE SANDALYE 53x53x79</v>
      </c>
      <c r="M2157" s="12">
        <v>0.4</v>
      </c>
      <c r="N2157" s="12">
        <v>0.4</v>
      </c>
      <c r="O2157" s="8">
        <v>4410</v>
      </c>
      <c r="P2157" s="8">
        <f t="shared" si="215"/>
        <v>2646</v>
      </c>
      <c r="Q2157" s="12">
        <f t="shared" si="216"/>
        <v>5556.6</v>
      </c>
      <c r="R2157" s="31">
        <f t="shared" si="217"/>
        <v>5500</v>
      </c>
      <c r="T2157" s="8">
        <v>30520</v>
      </c>
      <c r="V2157" s="8">
        <f t="shared" si="218"/>
        <v>27468</v>
      </c>
      <c r="W2157" s="8">
        <f t="shared" si="219"/>
        <v>68670</v>
      </c>
    </row>
    <row r="2158" spans="1:23" ht="21.95" customHeight="1" x14ac:dyDescent="0.2">
      <c r="A2158" s="6" t="s">
        <v>17</v>
      </c>
      <c r="B2158" s="6" t="s">
        <v>805</v>
      </c>
      <c r="C2158" s="6" t="s">
        <v>904</v>
      </c>
      <c r="D2158" s="6" t="s">
        <v>893</v>
      </c>
      <c r="E2158" s="6"/>
      <c r="G2158" s="6">
        <v>53</v>
      </c>
      <c r="H2158" s="6">
        <v>51</v>
      </c>
      <c r="I2158" s="9">
        <v>100</v>
      </c>
      <c r="J2158" s="9"/>
      <c r="K2158" s="7">
        <v>44006329</v>
      </c>
      <c r="L2158" s="6" t="str">
        <f t="shared" si="220"/>
        <v>VRL COLOGNE BAR SANDALYE  53x51x100</v>
      </c>
      <c r="M2158" s="12">
        <v>0.4</v>
      </c>
      <c r="N2158" s="12">
        <v>0.4</v>
      </c>
      <c r="O2158" s="8">
        <v>4730</v>
      </c>
      <c r="P2158" s="8">
        <f t="shared" si="215"/>
        <v>2838</v>
      </c>
      <c r="Q2158" s="12">
        <f t="shared" si="216"/>
        <v>5959.8</v>
      </c>
      <c r="R2158" s="31">
        <f t="shared" si="217"/>
        <v>5900</v>
      </c>
      <c r="T2158" s="8">
        <v>33020</v>
      </c>
      <c r="V2158" s="8">
        <f t="shared" si="218"/>
        <v>29718</v>
      </c>
      <c r="W2158" s="8">
        <f t="shared" si="219"/>
        <v>74295</v>
      </c>
    </row>
    <row r="2159" spans="1:23" ht="21.95" customHeight="1" x14ac:dyDescent="0.2">
      <c r="A2159" s="6" t="s">
        <v>17</v>
      </c>
      <c r="B2159" s="6" t="s">
        <v>805</v>
      </c>
      <c r="C2159" s="6" t="s">
        <v>905</v>
      </c>
      <c r="D2159" s="6" t="s">
        <v>25</v>
      </c>
      <c r="E2159" s="6"/>
      <c r="G2159" s="6">
        <v>45</v>
      </c>
      <c r="H2159" s="6">
        <v>52</v>
      </c>
      <c r="I2159" s="9">
        <v>82</v>
      </c>
      <c r="J2159" s="9"/>
      <c r="K2159" s="7">
        <v>44006330</v>
      </c>
      <c r="L2159" s="6" t="str">
        <f t="shared" si="220"/>
        <v>VRL CUBA SANDALYE 45x52x82</v>
      </c>
      <c r="M2159" s="12">
        <v>0.4</v>
      </c>
      <c r="N2159" s="12">
        <v>0.4</v>
      </c>
      <c r="O2159" s="8">
        <v>9910</v>
      </c>
      <c r="P2159" s="8">
        <f t="shared" si="215"/>
        <v>5946</v>
      </c>
      <c r="Q2159" s="12">
        <f t="shared" si="216"/>
        <v>12486.6</v>
      </c>
      <c r="R2159" s="31">
        <f t="shared" si="217"/>
        <v>12400</v>
      </c>
      <c r="T2159" s="8">
        <v>28420</v>
      </c>
      <c r="V2159" s="8">
        <f t="shared" si="218"/>
        <v>25578</v>
      </c>
      <c r="W2159" s="8">
        <f t="shared" si="219"/>
        <v>63945</v>
      </c>
    </row>
    <row r="2160" spans="1:23" ht="21.95" customHeight="1" x14ac:dyDescent="0.2">
      <c r="A2160" s="6" t="s">
        <v>17</v>
      </c>
      <c r="B2160" s="6" t="s">
        <v>805</v>
      </c>
      <c r="C2160" s="6" t="s">
        <v>906</v>
      </c>
      <c r="D2160" s="6" t="s">
        <v>25</v>
      </c>
      <c r="E2160" s="6"/>
      <c r="G2160" s="6">
        <v>48</v>
      </c>
      <c r="H2160" s="6">
        <v>61</v>
      </c>
      <c r="I2160" s="9">
        <v>86</v>
      </c>
      <c r="J2160" s="9"/>
      <c r="K2160" s="7">
        <v>44006331</v>
      </c>
      <c r="L2160" s="6" t="str">
        <f t="shared" si="220"/>
        <v>VRL DALİ SANDALYE 48x61x86</v>
      </c>
      <c r="M2160" s="12">
        <v>0.4</v>
      </c>
      <c r="N2160" s="12">
        <v>0.4</v>
      </c>
      <c r="O2160" s="8">
        <v>5820</v>
      </c>
      <c r="P2160" s="8">
        <f t="shared" si="215"/>
        <v>3492</v>
      </c>
      <c r="Q2160" s="12">
        <f t="shared" si="216"/>
        <v>7333.2000000000007</v>
      </c>
      <c r="R2160" s="31">
        <f t="shared" si="217"/>
        <v>7300</v>
      </c>
      <c r="T2160" s="8">
        <v>8080</v>
      </c>
      <c r="V2160" s="8">
        <f t="shared" si="218"/>
        <v>7272</v>
      </c>
      <c r="W2160" s="8">
        <f t="shared" si="219"/>
        <v>18180</v>
      </c>
    </row>
    <row r="2161" spans="1:23" ht="21.95" customHeight="1" x14ac:dyDescent="0.2">
      <c r="A2161" s="6" t="s">
        <v>17</v>
      </c>
      <c r="B2161" s="6" t="s">
        <v>805</v>
      </c>
      <c r="C2161" s="6" t="s">
        <v>907</v>
      </c>
      <c r="D2161" s="6" t="s">
        <v>908</v>
      </c>
      <c r="E2161" s="6"/>
      <c r="G2161" s="6">
        <v>60</v>
      </c>
      <c r="H2161" s="6">
        <v>63</v>
      </c>
      <c r="I2161" s="9">
        <v>86</v>
      </c>
      <c r="J2161" s="9"/>
      <c r="K2161" s="7">
        <v>44006332</v>
      </c>
      <c r="L2161" s="6" t="str">
        <f t="shared" si="220"/>
        <v>VRL DEFNE  AHŞAP SANDALYE 60x63x86</v>
      </c>
      <c r="M2161" s="12">
        <v>0.4</v>
      </c>
      <c r="N2161" s="12">
        <v>0.4</v>
      </c>
      <c r="O2161" s="8">
        <v>6900</v>
      </c>
      <c r="P2161" s="8">
        <f t="shared" si="215"/>
        <v>4140</v>
      </c>
      <c r="Q2161" s="12">
        <f t="shared" si="216"/>
        <v>8694</v>
      </c>
      <c r="R2161" s="31">
        <f t="shared" si="217"/>
        <v>8600</v>
      </c>
      <c r="T2161" s="8">
        <v>47205</v>
      </c>
      <c r="V2161" s="8">
        <f t="shared" si="218"/>
        <v>42484.5</v>
      </c>
      <c r="W2161" s="8">
        <f t="shared" si="219"/>
        <v>106211.25</v>
      </c>
    </row>
    <row r="2162" spans="1:23" ht="21.95" customHeight="1" x14ac:dyDescent="0.2">
      <c r="A2162" s="6" t="s">
        <v>17</v>
      </c>
      <c r="B2162" s="6" t="s">
        <v>805</v>
      </c>
      <c r="C2162" s="6" t="s">
        <v>907</v>
      </c>
      <c r="D2162" s="6" t="s">
        <v>909</v>
      </c>
      <c r="E2162" s="6"/>
      <c r="G2162" s="6">
        <v>60</v>
      </c>
      <c r="H2162" s="6">
        <v>63</v>
      </c>
      <c r="I2162" s="7" t="s">
        <v>910</v>
      </c>
      <c r="K2162" s="7">
        <v>44006333</v>
      </c>
      <c r="L2162" s="6" t="str">
        <f t="shared" si="220"/>
        <v>VRL DEFNE  OFİS SANDALYE 60x63x86/99</v>
      </c>
      <c r="M2162" s="12">
        <v>0.4</v>
      </c>
      <c r="N2162" s="12">
        <v>0.4</v>
      </c>
      <c r="O2162" s="8">
        <v>7880</v>
      </c>
      <c r="P2162" s="8">
        <f t="shared" si="215"/>
        <v>4728</v>
      </c>
      <c r="Q2162" s="12">
        <f t="shared" si="216"/>
        <v>9928.8000000000011</v>
      </c>
      <c r="R2162" s="31">
        <f t="shared" si="217"/>
        <v>9900</v>
      </c>
      <c r="T2162" s="8">
        <v>23735</v>
      </c>
      <c r="V2162" s="8">
        <f t="shared" si="218"/>
        <v>21361.5</v>
      </c>
      <c r="W2162" s="8">
        <f t="shared" si="219"/>
        <v>53403.75</v>
      </c>
    </row>
    <row r="2163" spans="1:23" ht="21.95" customHeight="1" x14ac:dyDescent="0.2">
      <c r="A2163" s="6" t="s">
        <v>17</v>
      </c>
      <c r="B2163" s="6" t="s">
        <v>805</v>
      </c>
      <c r="C2163" s="6" t="s">
        <v>911</v>
      </c>
      <c r="D2163" s="6" t="s">
        <v>908</v>
      </c>
      <c r="E2163" s="6"/>
      <c r="G2163" s="6">
        <v>54</v>
      </c>
      <c r="H2163" s="6">
        <v>55</v>
      </c>
      <c r="I2163" s="9">
        <v>84</v>
      </c>
      <c r="J2163" s="9"/>
      <c r="K2163" s="7">
        <v>44006334</v>
      </c>
      <c r="L2163" s="6" t="str">
        <f t="shared" si="220"/>
        <v>VRL DORUK AHŞAP SANDALYE 54x55x84</v>
      </c>
      <c r="M2163" s="12">
        <v>0.4</v>
      </c>
      <c r="N2163" s="12">
        <v>0.4</v>
      </c>
      <c r="O2163" s="8">
        <v>7040</v>
      </c>
      <c r="P2163" s="8">
        <f t="shared" si="215"/>
        <v>4224</v>
      </c>
      <c r="Q2163" s="12">
        <f t="shared" si="216"/>
        <v>8870.4</v>
      </c>
      <c r="R2163" s="31">
        <f t="shared" si="217"/>
        <v>8800</v>
      </c>
      <c r="T2163" s="8">
        <v>12830</v>
      </c>
      <c r="V2163" s="8">
        <f t="shared" si="218"/>
        <v>11547</v>
      </c>
      <c r="W2163" s="8">
        <f t="shared" si="219"/>
        <v>28867.5</v>
      </c>
    </row>
    <row r="2164" spans="1:23" ht="21.95" customHeight="1" x14ac:dyDescent="0.2">
      <c r="A2164" s="6" t="s">
        <v>17</v>
      </c>
      <c r="B2164" s="6" t="s">
        <v>805</v>
      </c>
      <c r="C2164" s="6" t="s">
        <v>912</v>
      </c>
      <c r="D2164" s="6" t="s">
        <v>908</v>
      </c>
      <c r="E2164" s="6"/>
      <c r="K2164" s="7">
        <v>44006335</v>
      </c>
      <c r="L2164" s="6" t="str">
        <f>B2164&amp;" "&amp;C2164&amp;" "&amp;D2164</f>
        <v>VRL ESTEL AHŞAP SANDALYE</v>
      </c>
      <c r="M2164" s="12">
        <v>0.4</v>
      </c>
      <c r="N2164" s="12">
        <v>0.4</v>
      </c>
      <c r="O2164" s="8">
        <v>8470</v>
      </c>
      <c r="P2164" s="8">
        <f t="shared" si="215"/>
        <v>5082</v>
      </c>
      <c r="Q2164" s="12">
        <f t="shared" si="216"/>
        <v>10672.2</v>
      </c>
      <c r="R2164" s="31">
        <f t="shared" si="217"/>
        <v>10600</v>
      </c>
      <c r="T2164" s="8">
        <v>4775</v>
      </c>
      <c r="V2164" s="8">
        <f t="shared" si="218"/>
        <v>4297.5</v>
      </c>
      <c r="W2164" s="8">
        <f t="shared" si="219"/>
        <v>10743.75</v>
      </c>
    </row>
    <row r="2165" spans="1:23" ht="21.95" customHeight="1" x14ac:dyDescent="0.2">
      <c r="A2165" s="6" t="s">
        <v>17</v>
      </c>
      <c r="B2165" s="6" t="s">
        <v>805</v>
      </c>
      <c r="C2165" s="6" t="s">
        <v>913</v>
      </c>
      <c r="D2165" s="6" t="s">
        <v>25</v>
      </c>
      <c r="E2165" s="6"/>
      <c r="G2165" s="6">
        <v>50</v>
      </c>
      <c r="H2165" s="6">
        <v>56</v>
      </c>
      <c r="I2165" s="9">
        <v>95</v>
      </c>
      <c r="J2165" s="9"/>
      <c r="K2165" s="7">
        <v>44006336</v>
      </c>
      <c r="L2165" s="6" t="str">
        <f>B2165&amp;" "&amp;C2165&amp;" "&amp;D2165&amp;" "&amp;G2165&amp;"x"&amp;H2165&amp;"x"&amp;I2165</f>
        <v>VRL FİONA SANDALYE 50x56x95</v>
      </c>
      <c r="M2165" s="12">
        <v>0.4</v>
      </c>
      <c r="N2165" s="12">
        <v>0.4</v>
      </c>
      <c r="O2165" s="8">
        <v>5700</v>
      </c>
      <c r="P2165" s="8">
        <f t="shared" si="215"/>
        <v>3420</v>
      </c>
      <c r="Q2165" s="12">
        <f t="shared" si="216"/>
        <v>7182</v>
      </c>
      <c r="R2165" s="31">
        <f t="shared" si="217"/>
        <v>7100</v>
      </c>
      <c r="T2165" s="8">
        <v>3170</v>
      </c>
      <c r="V2165" s="8">
        <f t="shared" si="218"/>
        <v>2853</v>
      </c>
      <c r="W2165" s="8">
        <f t="shared" si="219"/>
        <v>7132.5</v>
      </c>
    </row>
    <row r="2166" spans="1:23" ht="21.95" customHeight="1" x14ac:dyDescent="0.2">
      <c r="A2166" s="6" t="s">
        <v>17</v>
      </c>
      <c r="B2166" s="6" t="s">
        <v>805</v>
      </c>
      <c r="C2166" s="6" t="s">
        <v>914</v>
      </c>
      <c r="D2166" s="6" t="s">
        <v>25</v>
      </c>
      <c r="E2166" s="6"/>
      <c r="G2166" s="6">
        <v>57</v>
      </c>
      <c r="H2166" s="6">
        <v>53</v>
      </c>
      <c r="I2166" s="9">
        <v>83</v>
      </c>
      <c r="J2166" s="9"/>
      <c r="K2166" s="7">
        <v>44006337</v>
      </c>
      <c r="L2166" s="6" t="str">
        <f>B2166&amp;" "&amp;C2166&amp;" "&amp;D2166&amp;" "&amp;G2166&amp;"x"&amp;H2166&amp;"x"&amp;I2166</f>
        <v>VRL FLORA SANDALYE 57x53x83</v>
      </c>
      <c r="M2166" s="12">
        <v>0.4</v>
      </c>
      <c r="N2166" s="12">
        <v>0.4</v>
      </c>
      <c r="O2166" s="8">
        <v>6630</v>
      </c>
      <c r="P2166" s="8">
        <f t="shared" si="215"/>
        <v>3978</v>
      </c>
      <c r="Q2166" s="12">
        <f t="shared" si="216"/>
        <v>8353.8000000000011</v>
      </c>
      <c r="R2166" s="31">
        <f t="shared" si="217"/>
        <v>8300</v>
      </c>
      <c r="T2166" s="8">
        <v>34770</v>
      </c>
      <c r="V2166" s="8">
        <f t="shared" si="218"/>
        <v>31293</v>
      </c>
      <c r="W2166" s="8">
        <f t="shared" si="219"/>
        <v>78232.5</v>
      </c>
    </row>
    <row r="2167" spans="1:23" ht="21.95" customHeight="1" x14ac:dyDescent="0.2">
      <c r="A2167" s="6" t="s">
        <v>17</v>
      </c>
      <c r="B2167" s="6" t="s">
        <v>805</v>
      </c>
      <c r="C2167" s="6" t="s">
        <v>915</v>
      </c>
      <c r="D2167" s="6" t="s">
        <v>25</v>
      </c>
      <c r="E2167" s="6"/>
      <c r="G2167" s="6">
        <v>53</v>
      </c>
      <c r="H2167" s="6">
        <v>62</v>
      </c>
      <c r="I2167" s="9">
        <v>83</v>
      </c>
      <c r="J2167" s="9"/>
      <c r="K2167" s="7">
        <v>44006338</v>
      </c>
      <c r="L2167" s="6" t="str">
        <f>B2167&amp;" "&amp;C2167&amp;" "&amp;D2167&amp;" "&amp;G2167&amp;"x"&amp;H2167&amp;"x"&amp;I2167</f>
        <v>VRL GRACE SANDALYE 53x62x83</v>
      </c>
      <c r="M2167" s="12">
        <v>0.4</v>
      </c>
      <c r="N2167" s="12">
        <v>0.4</v>
      </c>
      <c r="O2167" s="8">
        <v>5520</v>
      </c>
      <c r="P2167" s="8">
        <f t="shared" si="215"/>
        <v>3312</v>
      </c>
      <c r="Q2167" s="12">
        <f t="shared" si="216"/>
        <v>6955.2000000000007</v>
      </c>
      <c r="R2167" s="31">
        <f t="shared" si="217"/>
        <v>6900</v>
      </c>
      <c r="T2167" s="8">
        <v>7664</v>
      </c>
      <c r="V2167" s="8">
        <f t="shared" si="218"/>
        <v>6897.6</v>
      </c>
      <c r="W2167" s="8">
        <f t="shared" si="219"/>
        <v>17244</v>
      </c>
    </row>
    <row r="2168" spans="1:23" ht="21.95" customHeight="1" x14ac:dyDescent="0.2">
      <c r="A2168" s="6" t="s">
        <v>17</v>
      </c>
      <c r="B2168" s="6" t="s">
        <v>805</v>
      </c>
      <c r="C2168" s="6" t="s">
        <v>916</v>
      </c>
      <c r="D2168" s="6" t="s">
        <v>25</v>
      </c>
      <c r="E2168" s="6"/>
      <c r="K2168" s="7">
        <v>44006339</v>
      </c>
      <c r="L2168" s="6" t="str">
        <f>B2168&amp;" "&amp;C2168&amp;" "&amp;D2168</f>
        <v>VRL GRACE LIGHT SANDALYE</v>
      </c>
      <c r="M2168" s="12">
        <v>0.4</v>
      </c>
      <c r="N2168" s="12">
        <v>0.4</v>
      </c>
      <c r="O2168" s="8">
        <v>5330</v>
      </c>
      <c r="P2168" s="8">
        <f t="shared" si="215"/>
        <v>3198</v>
      </c>
      <c r="Q2168" s="12">
        <f t="shared" si="216"/>
        <v>6715.8</v>
      </c>
      <c r="R2168" s="31">
        <f t="shared" si="217"/>
        <v>6700</v>
      </c>
      <c r="T2168" s="8">
        <v>21925</v>
      </c>
      <c r="V2168" s="8">
        <f t="shared" si="218"/>
        <v>19732.5</v>
      </c>
      <c r="W2168" s="8">
        <f t="shared" si="219"/>
        <v>49331.25</v>
      </c>
    </row>
    <row r="2169" spans="1:23" ht="21.95" customHeight="1" x14ac:dyDescent="0.2">
      <c r="A2169" s="6" t="s">
        <v>17</v>
      </c>
      <c r="B2169" s="6" t="s">
        <v>805</v>
      </c>
      <c r="C2169" s="6" t="s">
        <v>364</v>
      </c>
      <c r="D2169" s="6" t="s">
        <v>25</v>
      </c>
      <c r="E2169" s="6"/>
      <c r="G2169" s="6">
        <v>56</v>
      </c>
      <c r="H2169" s="6">
        <v>56</v>
      </c>
      <c r="I2169" s="9">
        <v>80</v>
      </c>
      <c r="J2169" s="9"/>
      <c r="K2169" s="7">
        <v>44006340</v>
      </c>
      <c r="L2169" s="6" t="str">
        <f t="shared" ref="L2169:L2203" si="221">B2169&amp;" "&amp;C2169&amp;" "&amp;D2169&amp;" "&amp;G2169&amp;"x"&amp;H2169&amp;"x"&amp;I2169</f>
        <v>VRL GRANDE SANDALYE 56x56x80</v>
      </c>
      <c r="M2169" s="12">
        <v>0.4</v>
      </c>
      <c r="N2169" s="12">
        <v>0.4</v>
      </c>
      <c r="O2169" s="8">
        <v>4930</v>
      </c>
      <c r="P2169" s="8">
        <f t="shared" si="215"/>
        <v>2958</v>
      </c>
      <c r="Q2169" s="12">
        <f t="shared" si="216"/>
        <v>6211.8</v>
      </c>
      <c r="R2169" s="31">
        <f t="shared" si="217"/>
        <v>6200</v>
      </c>
      <c r="T2169" s="8">
        <v>28503</v>
      </c>
      <c r="V2169" s="8">
        <f t="shared" si="218"/>
        <v>25652.7</v>
      </c>
      <c r="W2169" s="8">
        <f t="shared" si="219"/>
        <v>64131.75</v>
      </c>
    </row>
    <row r="2170" spans="1:23" ht="21.95" customHeight="1" x14ac:dyDescent="0.2">
      <c r="A2170" s="6" t="s">
        <v>17</v>
      </c>
      <c r="B2170" s="6" t="s">
        <v>805</v>
      </c>
      <c r="C2170" s="6" t="s">
        <v>917</v>
      </c>
      <c r="D2170" s="6" t="s">
        <v>25</v>
      </c>
      <c r="E2170" s="6"/>
      <c r="G2170" s="6">
        <v>55</v>
      </c>
      <c r="H2170" s="6">
        <v>56</v>
      </c>
      <c r="I2170" s="9">
        <v>80</v>
      </c>
      <c r="J2170" s="9"/>
      <c r="K2170" s="7">
        <v>44006341</v>
      </c>
      <c r="L2170" s="6" t="str">
        <f t="shared" si="221"/>
        <v>VRL HANİBAL SANDALYE 55x56x80</v>
      </c>
      <c r="M2170" s="12">
        <v>0.4</v>
      </c>
      <c r="N2170" s="12">
        <v>0.4</v>
      </c>
      <c r="O2170" s="8">
        <v>5480</v>
      </c>
      <c r="P2170" s="8">
        <f t="shared" si="215"/>
        <v>3288</v>
      </c>
      <c r="Q2170" s="12">
        <f t="shared" si="216"/>
        <v>6904.8</v>
      </c>
      <c r="R2170" s="31">
        <f t="shared" si="217"/>
        <v>6900</v>
      </c>
      <c r="T2170" s="8">
        <v>32574</v>
      </c>
      <c r="V2170" s="8">
        <f t="shared" si="218"/>
        <v>29316.600000000002</v>
      </c>
      <c r="W2170" s="8">
        <f t="shared" si="219"/>
        <v>73291.5</v>
      </c>
    </row>
    <row r="2171" spans="1:23" ht="21.95" customHeight="1" x14ac:dyDescent="0.2">
      <c r="A2171" s="6" t="s">
        <v>17</v>
      </c>
      <c r="B2171" s="6" t="s">
        <v>805</v>
      </c>
      <c r="C2171" s="6" t="s">
        <v>857</v>
      </c>
      <c r="D2171" s="6" t="s">
        <v>25</v>
      </c>
      <c r="E2171" s="6"/>
      <c r="G2171" s="6">
        <v>43</v>
      </c>
      <c r="H2171" s="6">
        <v>55</v>
      </c>
      <c r="I2171" s="9">
        <v>80</v>
      </c>
      <c r="J2171" s="9"/>
      <c r="K2171" s="7">
        <v>44006342</v>
      </c>
      <c r="L2171" s="6" t="str">
        <f t="shared" si="221"/>
        <v>VRL HARPER SANDALYE 43x55x80</v>
      </c>
      <c r="M2171" s="12">
        <v>0.4</v>
      </c>
      <c r="N2171" s="12">
        <v>0.4</v>
      </c>
      <c r="O2171" s="8">
        <v>4800</v>
      </c>
      <c r="P2171" s="8">
        <f t="shared" si="215"/>
        <v>2880</v>
      </c>
      <c r="Q2171" s="12">
        <f t="shared" si="216"/>
        <v>6048</v>
      </c>
      <c r="R2171" s="31">
        <f t="shared" si="217"/>
        <v>6000</v>
      </c>
      <c r="T2171" s="8">
        <v>4531</v>
      </c>
      <c r="V2171" s="8">
        <f t="shared" si="218"/>
        <v>4077.9</v>
      </c>
      <c r="W2171" s="8">
        <f t="shared" si="219"/>
        <v>10194.75</v>
      </c>
    </row>
    <row r="2172" spans="1:23" ht="21.95" customHeight="1" x14ac:dyDescent="0.2">
      <c r="A2172" s="6" t="s">
        <v>17</v>
      </c>
      <c r="B2172" s="6" t="s">
        <v>805</v>
      </c>
      <c r="C2172" s="6" t="s">
        <v>680</v>
      </c>
      <c r="D2172" s="6" t="s">
        <v>25</v>
      </c>
      <c r="E2172" s="6"/>
      <c r="G2172" s="6">
        <v>51</v>
      </c>
      <c r="H2172" s="6">
        <v>54</v>
      </c>
      <c r="I2172" s="9">
        <v>79</v>
      </c>
      <c r="J2172" s="9"/>
      <c r="K2172" s="7">
        <v>44006343</v>
      </c>
      <c r="L2172" s="6" t="str">
        <f t="shared" si="221"/>
        <v>VRL LİMA SANDALYE 51x54x79</v>
      </c>
      <c r="M2172" s="12">
        <v>0.4</v>
      </c>
      <c r="N2172" s="12">
        <v>0.4</v>
      </c>
      <c r="O2172" s="8">
        <v>4350</v>
      </c>
      <c r="P2172" s="8">
        <f t="shared" si="215"/>
        <v>2610</v>
      </c>
      <c r="Q2172" s="12">
        <f t="shared" si="216"/>
        <v>5481</v>
      </c>
      <c r="R2172" s="31">
        <f t="shared" si="217"/>
        <v>5400</v>
      </c>
      <c r="T2172" s="8">
        <v>11570</v>
      </c>
      <c r="V2172" s="8">
        <f t="shared" si="218"/>
        <v>10413</v>
      </c>
      <c r="W2172" s="8">
        <f t="shared" si="219"/>
        <v>26032.5</v>
      </c>
    </row>
    <row r="2173" spans="1:23" ht="21.95" customHeight="1" x14ac:dyDescent="0.2">
      <c r="A2173" s="6" t="s">
        <v>17</v>
      </c>
      <c r="B2173" s="6" t="s">
        <v>805</v>
      </c>
      <c r="C2173" s="6" t="s">
        <v>918</v>
      </c>
      <c r="D2173" s="6" t="s">
        <v>893</v>
      </c>
      <c r="E2173" s="6"/>
      <c r="G2173" s="6">
        <v>53</v>
      </c>
      <c r="H2173" s="6">
        <v>51</v>
      </c>
      <c r="I2173" s="9">
        <v>102</v>
      </c>
      <c r="J2173" s="9"/>
      <c r="K2173" s="7">
        <v>44006344</v>
      </c>
      <c r="L2173" s="6" t="str">
        <f t="shared" si="221"/>
        <v>VRL LİMA  BAR SANDALYE  53x51x102</v>
      </c>
      <c r="M2173" s="12">
        <v>0.4</v>
      </c>
      <c r="N2173" s="12">
        <v>0.4</v>
      </c>
      <c r="O2173" s="8">
        <v>5130</v>
      </c>
      <c r="P2173" s="8">
        <f t="shared" si="215"/>
        <v>3078</v>
      </c>
      <c r="Q2173" s="12">
        <f t="shared" si="216"/>
        <v>6463.8</v>
      </c>
      <c r="R2173" s="31">
        <f t="shared" si="217"/>
        <v>6400</v>
      </c>
      <c r="T2173" s="8">
        <v>30095</v>
      </c>
      <c r="V2173" s="8">
        <f t="shared" si="218"/>
        <v>27085.5</v>
      </c>
      <c r="W2173" s="8">
        <f t="shared" si="219"/>
        <v>67713.75</v>
      </c>
    </row>
    <row r="2174" spans="1:23" ht="21.95" customHeight="1" x14ac:dyDescent="0.2">
      <c r="A2174" s="6" t="s">
        <v>17</v>
      </c>
      <c r="B2174" s="6" t="s">
        <v>805</v>
      </c>
      <c r="C2174" s="6" t="s">
        <v>429</v>
      </c>
      <c r="D2174" s="6" t="s">
        <v>919</v>
      </c>
      <c r="E2174" s="6"/>
      <c r="G2174" s="6">
        <v>48</v>
      </c>
      <c r="H2174" s="6">
        <v>58</v>
      </c>
      <c r="I2174" s="9">
        <v>84</v>
      </c>
      <c r="J2174" s="9"/>
      <c r="K2174" s="7">
        <v>44006345</v>
      </c>
      <c r="L2174" s="6" t="str">
        <f t="shared" si="221"/>
        <v>VRL LİNA METAL SANDALYE 48x58x84</v>
      </c>
      <c r="M2174" s="12">
        <v>0.4</v>
      </c>
      <c r="N2174" s="12">
        <v>0.4</v>
      </c>
      <c r="O2174" s="8">
        <v>5580</v>
      </c>
      <c r="P2174" s="8">
        <f t="shared" si="215"/>
        <v>3348</v>
      </c>
      <c r="Q2174" s="12">
        <f t="shared" si="216"/>
        <v>7030.8</v>
      </c>
      <c r="R2174" s="31">
        <f t="shared" si="217"/>
        <v>7000</v>
      </c>
      <c r="T2174" s="8">
        <v>19645</v>
      </c>
      <c r="V2174" s="8">
        <f t="shared" si="218"/>
        <v>17680.5</v>
      </c>
      <c r="W2174" s="8">
        <f t="shared" si="219"/>
        <v>44201.25</v>
      </c>
    </row>
    <row r="2175" spans="1:23" ht="21.95" customHeight="1" x14ac:dyDescent="0.2">
      <c r="A2175" s="6" t="s">
        <v>17</v>
      </c>
      <c r="B2175" s="6" t="s">
        <v>805</v>
      </c>
      <c r="C2175" s="6" t="s">
        <v>429</v>
      </c>
      <c r="D2175" s="6" t="s">
        <v>893</v>
      </c>
      <c r="E2175" s="6"/>
      <c r="G2175" s="6">
        <v>54</v>
      </c>
      <c r="H2175" s="6">
        <v>55</v>
      </c>
      <c r="I2175" s="9">
        <v>94</v>
      </c>
      <c r="J2175" s="9"/>
      <c r="K2175" s="7">
        <v>44006346</v>
      </c>
      <c r="L2175" s="6" t="str">
        <f t="shared" si="221"/>
        <v>VRL LİNA BAR SANDALYE  54x55x94</v>
      </c>
      <c r="M2175" s="12">
        <v>0.4</v>
      </c>
      <c r="N2175" s="12">
        <v>0.4</v>
      </c>
      <c r="O2175" s="8">
        <v>6070</v>
      </c>
      <c r="P2175" s="8">
        <f t="shared" si="215"/>
        <v>3642</v>
      </c>
      <c r="Q2175" s="12">
        <f t="shared" si="216"/>
        <v>7648.2000000000007</v>
      </c>
      <c r="R2175" s="31">
        <f t="shared" si="217"/>
        <v>7600</v>
      </c>
      <c r="T2175" s="8">
        <v>14185</v>
      </c>
      <c r="V2175" s="8">
        <f t="shared" si="218"/>
        <v>12766.5</v>
      </c>
      <c r="W2175" s="8">
        <f t="shared" si="219"/>
        <v>31916.25</v>
      </c>
    </row>
    <row r="2176" spans="1:23" ht="21.95" customHeight="1" x14ac:dyDescent="0.2">
      <c r="A2176" s="6" t="s">
        <v>17</v>
      </c>
      <c r="B2176" s="6" t="s">
        <v>805</v>
      </c>
      <c r="C2176" s="6" t="s">
        <v>860</v>
      </c>
      <c r="D2176" s="6" t="s">
        <v>920</v>
      </c>
      <c r="E2176" s="6"/>
      <c r="G2176" s="6">
        <v>56</v>
      </c>
      <c r="H2176" s="6">
        <v>58</v>
      </c>
      <c r="I2176" s="9">
        <v>79</v>
      </c>
      <c r="J2176" s="9"/>
      <c r="K2176" s="7">
        <v>44006347</v>
      </c>
      <c r="L2176" s="6" t="str">
        <f t="shared" si="221"/>
        <v>VRL LOOP AHŞAP SANDALYE  56x58x79</v>
      </c>
      <c r="M2176" s="12">
        <v>0.4</v>
      </c>
      <c r="N2176" s="12">
        <v>0.4</v>
      </c>
      <c r="O2176" s="8">
        <v>5770</v>
      </c>
      <c r="P2176" s="8">
        <f t="shared" si="215"/>
        <v>3462</v>
      </c>
      <c r="Q2176" s="12">
        <f t="shared" si="216"/>
        <v>7270.2000000000007</v>
      </c>
      <c r="R2176" s="31">
        <f t="shared" si="217"/>
        <v>7200</v>
      </c>
      <c r="T2176" s="8">
        <v>38240</v>
      </c>
      <c r="V2176" s="8">
        <f t="shared" si="218"/>
        <v>34416</v>
      </c>
      <c r="W2176" s="8">
        <f t="shared" si="219"/>
        <v>86040</v>
      </c>
    </row>
    <row r="2177" spans="1:23" ht="21.95" customHeight="1" x14ac:dyDescent="0.2">
      <c r="A2177" s="6" t="s">
        <v>17</v>
      </c>
      <c r="B2177" s="6" t="s">
        <v>805</v>
      </c>
      <c r="C2177" s="6" t="s">
        <v>860</v>
      </c>
      <c r="D2177" s="6" t="s">
        <v>919</v>
      </c>
      <c r="E2177" s="6"/>
      <c r="G2177" s="6">
        <v>56</v>
      </c>
      <c r="H2177" s="6">
        <v>58</v>
      </c>
      <c r="I2177" s="9">
        <v>79</v>
      </c>
      <c r="J2177" s="9"/>
      <c r="K2177" s="7">
        <v>44006348</v>
      </c>
      <c r="L2177" s="6" t="str">
        <f t="shared" si="221"/>
        <v>VRL LOOP METAL SANDALYE 56x58x79</v>
      </c>
      <c r="M2177" s="12">
        <v>0.4</v>
      </c>
      <c r="N2177" s="12">
        <v>0.4</v>
      </c>
      <c r="O2177" s="8">
        <v>5230</v>
      </c>
      <c r="P2177" s="8">
        <f t="shared" si="215"/>
        <v>3138</v>
      </c>
      <c r="Q2177" s="12">
        <f t="shared" si="216"/>
        <v>6589.8</v>
      </c>
      <c r="R2177" s="31">
        <f t="shared" si="217"/>
        <v>6500</v>
      </c>
      <c r="T2177" s="8">
        <v>33170</v>
      </c>
      <c r="V2177" s="8">
        <f t="shared" si="218"/>
        <v>29853</v>
      </c>
      <c r="W2177" s="8">
        <f t="shared" si="219"/>
        <v>74632.5</v>
      </c>
    </row>
    <row r="2178" spans="1:23" ht="21.95" customHeight="1" x14ac:dyDescent="0.2">
      <c r="A2178" s="6" t="s">
        <v>17</v>
      </c>
      <c r="B2178" s="6" t="s">
        <v>805</v>
      </c>
      <c r="C2178" s="6" t="s">
        <v>921</v>
      </c>
      <c r="D2178" s="6" t="s">
        <v>893</v>
      </c>
      <c r="E2178" s="6"/>
      <c r="G2178" s="6">
        <v>51</v>
      </c>
      <c r="H2178" s="6">
        <v>53</v>
      </c>
      <c r="I2178" s="9">
        <v>110</v>
      </c>
      <c r="J2178" s="9"/>
      <c r="K2178" s="7">
        <v>44006349</v>
      </c>
      <c r="L2178" s="6" t="str">
        <f t="shared" si="221"/>
        <v>VRL LOOP  BAR SANDALYE  51x53x110</v>
      </c>
      <c r="M2178" s="12">
        <v>0.4</v>
      </c>
      <c r="N2178" s="12">
        <v>0.4</v>
      </c>
      <c r="O2178" s="8">
        <v>6080</v>
      </c>
      <c r="P2178" s="8">
        <f t="shared" si="215"/>
        <v>3648</v>
      </c>
      <c r="Q2178" s="12">
        <f t="shared" si="216"/>
        <v>7660.8</v>
      </c>
      <c r="R2178" s="31">
        <f t="shared" si="217"/>
        <v>7600</v>
      </c>
      <c r="T2178" s="8">
        <v>18835</v>
      </c>
      <c r="V2178" s="8">
        <f t="shared" si="218"/>
        <v>16951.5</v>
      </c>
      <c r="W2178" s="8">
        <f t="shared" si="219"/>
        <v>42378.75</v>
      </c>
    </row>
    <row r="2179" spans="1:23" ht="21.95" customHeight="1" x14ac:dyDescent="0.2">
      <c r="A2179" s="6" t="s">
        <v>17</v>
      </c>
      <c r="B2179" s="6" t="s">
        <v>805</v>
      </c>
      <c r="C2179" s="6" t="s">
        <v>922</v>
      </c>
      <c r="D2179" s="6" t="s">
        <v>909</v>
      </c>
      <c r="E2179" s="6"/>
      <c r="G2179" s="6">
        <v>57</v>
      </c>
      <c r="H2179" s="6">
        <v>87</v>
      </c>
      <c r="I2179" s="7" t="s">
        <v>923</v>
      </c>
      <c r="K2179" s="7">
        <v>44006350</v>
      </c>
      <c r="L2179" s="6" t="str">
        <f t="shared" si="221"/>
        <v>VRL MABEL OFİS SANDALYE 57x87x79/92</v>
      </c>
      <c r="M2179" s="12">
        <v>0.4</v>
      </c>
      <c r="N2179" s="12">
        <v>0.4</v>
      </c>
      <c r="O2179" s="8">
        <v>7480</v>
      </c>
      <c r="P2179" s="8">
        <f t="shared" si="215"/>
        <v>4488</v>
      </c>
      <c r="Q2179" s="12">
        <f t="shared" si="216"/>
        <v>9424.8000000000011</v>
      </c>
      <c r="R2179" s="31">
        <f t="shared" si="217"/>
        <v>9400</v>
      </c>
      <c r="T2179" s="8">
        <v>25730</v>
      </c>
      <c r="V2179" s="8">
        <f t="shared" si="218"/>
        <v>23157</v>
      </c>
      <c r="W2179" s="8">
        <f t="shared" si="219"/>
        <v>57892.5</v>
      </c>
    </row>
    <row r="2180" spans="1:23" ht="21.95" customHeight="1" x14ac:dyDescent="0.2">
      <c r="A2180" s="6" t="s">
        <v>17</v>
      </c>
      <c r="B2180" s="6" t="s">
        <v>805</v>
      </c>
      <c r="C2180" s="6" t="s">
        <v>924</v>
      </c>
      <c r="D2180" s="6" t="s">
        <v>25</v>
      </c>
      <c r="E2180" s="6"/>
      <c r="G2180" s="6">
        <v>56</v>
      </c>
      <c r="H2180" s="6">
        <v>52</v>
      </c>
      <c r="I2180" s="9">
        <v>78</v>
      </c>
      <c r="J2180" s="9"/>
      <c r="K2180" s="7">
        <v>44006351</v>
      </c>
      <c r="L2180" s="6" t="str">
        <f t="shared" si="221"/>
        <v>VRL MARS SANDALYE 56x52x78</v>
      </c>
      <c r="M2180" s="12">
        <v>0.4</v>
      </c>
      <c r="N2180" s="12">
        <v>0.4</v>
      </c>
      <c r="O2180" s="8">
        <v>8490</v>
      </c>
      <c r="P2180" s="8">
        <f t="shared" si="215"/>
        <v>5094</v>
      </c>
      <c r="Q2180" s="12">
        <f t="shared" si="216"/>
        <v>10697.4</v>
      </c>
      <c r="R2180" s="31">
        <f t="shared" si="217"/>
        <v>10600</v>
      </c>
      <c r="T2180" s="8">
        <v>30330</v>
      </c>
      <c r="V2180" s="8">
        <f t="shared" si="218"/>
        <v>27297</v>
      </c>
      <c r="W2180" s="8">
        <f t="shared" si="219"/>
        <v>68242.5</v>
      </c>
    </row>
    <row r="2181" spans="1:23" ht="21.95" customHeight="1" x14ac:dyDescent="0.2">
      <c r="A2181" s="6" t="s">
        <v>17</v>
      </c>
      <c r="B2181" s="6" t="s">
        <v>805</v>
      </c>
      <c r="C2181" s="6" t="s">
        <v>925</v>
      </c>
      <c r="D2181" s="6" t="s">
        <v>908</v>
      </c>
      <c r="E2181" s="6"/>
      <c r="G2181" s="6">
        <v>48</v>
      </c>
      <c r="H2181" s="6">
        <v>48</v>
      </c>
      <c r="I2181" s="9">
        <v>85</v>
      </c>
      <c r="J2181" s="9"/>
      <c r="K2181" s="7">
        <v>44006352</v>
      </c>
      <c r="L2181" s="6" t="str">
        <f t="shared" si="221"/>
        <v>VRL MARSİLYA AHŞAP SANDALYE 48x48x85</v>
      </c>
      <c r="M2181" s="12">
        <v>0.4</v>
      </c>
      <c r="N2181" s="12">
        <v>0.4</v>
      </c>
      <c r="O2181" s="8">
        <v>7630</v>
      </c>
      <c r="P2181" s="8">
        <f t="shared" si="215"/>
        <v>4578</v>
      </c>
      <c r="Q2181" s="12">
        <f t="shared" si="216"/>
        <v>9613.8000000000011</v>
      </c>
      <c r="R2181" s="31">
        <f t="shared" si="217"/>
        <v>9600</v>
      </c>
      <c r="T2181" s="8">
        <v>32830</v>
      </c>
      <c r="V2181" s="8">
        <f t="shared" si="218"/>
        <v>29547</v>
      </c>
      <c r="W2181" s="8">
        <f t="shared" si="219"/>
        <v>73867.5</v>
      </c>
    </row>
    <row r="2182" spans="1:23" ht="21.95" customHeight="1" x14ac:dyDescent="0.2">
      <c r="A2182" s="6" t="s">
        <v>17</v>
      </c>
      <c r="B2182" s="6" t="s">
        <v>805</v>
      </c>
      <c r="C2182" s="6" t="s">
        <v>925</v>
      </c>
      <c r="D2182" s="6" t="s">
        <v>919</v>
      </c>
      <c r="E2182" s="6"/>
      <c r="G2182" s="6">
        <v>48</v>
      </c>
      <c r="H2182" s="6">
        <v>48</v>
      </c>
      <c r="I2182" s="9">
        <v>85</v>
      </c>
      <c r="J2182" s="9"/>
      <c r="K2182" s="7">
        <v>44006353</v>
      </c>
      <c r="L2182" s="6" t="str">
        <f t="shared" si="221"/>
        <v>VRL MARSİLYA METAL SANDALYE 48x48x85</v>
      </c>
      <c r="M2182" s="12">
        <v>0.4</v>
      </c>
      <c r="N2182" s="12">
        <v>0.4</v>
      </c>
      <c r="O2182" s="8">
        <v>4880</v>
      </c>
      <c r="P2182" s="8">
        <f t="shared" si="215"/>
        <v>2928</v>
      </c>
      <c r="Q2182" s="12">
        <f t="shared" si="216"/>
        <v>6148.8</v>
      </c>
      <c r="R2182" s="31">
        <f t="shared" si="217"/>
        <v>6100</v>
      </c>
      <c r="T2182" s="8">
        <v>28230</v>
      </c>
      <c r="V2182" s="8">
        <f t="shared" si="218"/>
        <v>25407</v>
      </c>
      <c r="W2182" s="8">
        <f t="shared" si="219"/>
        <v>63517.5</v>
      </c>
    </row>
    <row r="2183" spans="1:23" ht="21.95" customHeight="1" x14ac:dyDescent="0.2">
      <c r="A2183" s="6" t="s">
        <v>17</v>
      </c>
      <c r="B2183" s="6" t="s">
        <v>805</v>
      </c>
      <c r="C2183" s="6" t="s">
        <v>926</v>
      </c>
      <c r="D2183" s="6" t="s">
        <v>25</v>
      </c>
      <c r="E2183" s="6"/>
      <c r="G2183" s="6">
        <v>46</v>
      </c>
      <c r="H2183" s="6">
        <v>46</v>
      </c>
      <c r="I2183" s="9">
        <v>81</v>
      </c>
      <c r="J2183" s="9"/>
      <c r="K2183" s="7">
        <v>44006354</v>
      </c>
      <c r="L2183" s="6" t="str">
        <f t="shared" si="221"/>
        <v>VRL NASTAS SANDALYE 46x46x81</v>
      </c>
      <c r="M2183" s="12">
        <v>0.4</v>
      </c>
      <c r="N2183" s="12">
        <v>0.4</v>
      </c>
      <c r="O2183" s="8">
        <v>4940</v>
      </c>
      <c r="P2183" s="8">
        <f t="shared" si="215"/>
        <v>2964</v>
      </c>
      <c r="Q2183" s="12">
        <f t="shared" si="216"/>
        <v>6224.4000000000005</v>
      </c>
      <c r="R2183" s="31">
        <f t="shared" si="217"/>
        <v>6200</v>
      </c>
      <c r="T2183" s="8">
        <v>9275</v>
      </c>
      <c r="V2183" s="8">
        <f t="shared" si="218"/>
        <v>8347.5</v>
      </c>
      <c r="W2183" s="8">
        <f t="shared" si="219"/>
        <v>20868.75</v>
      </c>
    </row>
    <row r="2184" spans="1:23" ht="21.95" customHeight="1" x14ac:dyDescent="0.2">
      <c r="A2184" s="6" t="s">
        <v>17</v>
      </c>
      <c r="B2184" s="6" t="s">
        <v>805</v>
      </c>
      <c r="C2184" s="6" t="s">
        <v>927</v>
      </c>
      <c r="D2184" s="6" t="s">
        <v>25</v>
      </c>
      <c r="E2184" s="6"/>
      <c r="G2184" s="6">
        <v>43</v>
      </c>
      <c r="H2184" s="6">
        <v>47</v>
      </c>
      <c r="I2184" s="9">
        <v>82</v>
      </c>
      <c r="J2184" s="9"/>
      <c r="K2184" s="7">
        <v>44006355</v>
      </c>
      <c r="L2184" s="6" t="str">
        <f t="shared" si="221"/>
        <v>VRL NICO  SANDALYE 43x47x82</v>
      </c>
      <c r="M2184" s="12">
        <v>0.4</v>
      </c>
      <c r="N2184" s="12">
        <v>0.4</v>
      </c>
      <c r="O2184" s="8">
        <v>3610</v>
      </c>
      <c r="P2184" s="8">
        <f t="shared" si="215"/>
        <v>2166</v>
      </c>
      <c r="Q2184" s="12">
        <f t="shared" si="216"/>
        <v>4548.6000000000004</v>
      </c>
      <c r="R2184" s="31">
        <f t="shared" si="217"/>
        <v>4500</v>
      </c>
      <c r="T2184" s="8">
        <v>62195</v>
      </c>
      <c r="V2184" s="8">
        <f t="shared" si="218"/>
        <v>55975.5</v>
      </c>
      <c r="W2184" s="8">
        <f t="shared" si="219"/>
        <v>139938.75</v>
      </c>
    </row>
    <row r="2185" spans="1:23" ht="21.95" customHeight="1" x14ac:dyDescent="0.2">
      <c r="A2185" s="6" t="s">
        <v>17</v>
      </c>
      <c r="B2185" s="6" t="s">
        <v>805</v>
      </c>
      <c r="C2185" s="6" t="s">
        <v>928</v>
      </c>
      <c r="D2185" s="6" t="s">
        <v>25</v>
      </c>
      <c r="E2185" s="6"/>
      <c r="G2185" s="6">
        <v>56</v>
      </c>
      <c r="H2185" s="6">
        <v>56</v>
      </c>
      <c r="I2185" s="9">
        <v>82</v>
      </c>
      <c r="J2185" s="9"/>
      <c r="K2185" s="7">
        <v>44006356</v>
      </c>
      <c r="L2185" s="6" t="str">
        <f t="shared" si="221"/>
        <v>VRL OBERON SANDALYE 56x56x82</v>
      </c>
      <c r="M2185" s="12">
        <v>0.4</v>
      </c>
      <c r="N2185" s="12">
        <v>0.4</v>
      </c>
      <c r="O2185" s="8">
        <v>5880</v>
      </c>
      <c r="P2185" s="8">
        <f t="shared" si="215"/>
        <v>3528</v>
      </c>
      <c r="Q2185" s="12">
        <f t="shared" si="216"/>
        <v>7408.8</v>
      </c>
      <c r="R2185" s="31">
        <f t="shared" si="217"/>
        <v>7400</v>
      </c>
      <c r="T2185" s="8">
        <v>27415</v>
      </c>
      <c r="V2185" s="8">
        <f t="shared" si="218"/>
        <v>24673.5</v>
      </c>
      <c r="W2185" s="8">
        <f t="shared" si="219"/>
        <v>61683.75</v>
      </c>
    </row>
    <row r="2186" spans="1:23" ht="21.95" customHeight="1" x14ac:dyDescent="0.2">
      <c r="A2186" s="6" t="s">
        <v>17</v>
      </c>
      <c r="B2186" s="6" t="s">
        <v>805</v>
      </c>
      <c r="C2186" s="6" t="s">
        <v>929</v>
      </c>
      <c r="D2186" s="6" t="s">
        <v>919</v>
      </c>
      <c r="E2186" s="6"/>
      <c r="G2186" s="6">
        <v>45</v>
      </c>
      <c r="H2186" s="6">
        <v>52</v>
      </c>
      <c r="I2186" s="9">
        <v>86</v>
      </c>
      <c r="J2186" s="9"/>
      <c r="K2186" s="7">
        <v>44006357</v>
      </c>
      <c r="L2186" s="6" t="str">
        <f t="shared" si="221"/>
        <v>VRL PANDORA METAL SANDALYE 45x52x86</v>
      </c>
      <c r="M2186" s="12">
        <v>0.4</v>
      </c>
      <c r="N2186" s="12">
        <v>0.4</v>
      </c>
      <c r="O2186" s="8">
        <v>3810</v>
      </c>
      <c r="P2186" s="8">
        <f t="shared" si="215"/>
        <v>2286</v>
      </c>
      <c r="Q2186" s="12">
        <f t="shared" si="216"/>
        <v>4800.6000000000004</v>
      </c>
      <c r="R2186" s="31">
        <f t="shared" si="217"/>
        <v>4800</v>
      </c>
      <c r="T2186" s="8">
        <v>16020</v>
      </c>
      <c r="V2186" s="8">
        <f t="shared" si="218"/>
        <v>14418</v>
      </c>
      <c r="W2186" s="8">
        <f t="shared" si="219"/>
        <v>36045</v>
      </c>
    </row>
    <row r="2187" spans="1:23" ht="21.95" customHeight="1" x14ac:dyDescent="0.2">
      <c r="A2187" s="6" t="s">
        <v>17</v>
      </c>
      <c r="B2187" s="6" t="s">
        <v>805</v>
      </c>
      <c r="C2187" s="6" t="s">
        <v>930</v>
      </c>
      <c r="D2187" s="6" t="s">
        <v>25</v>
      </c>
      <c r="E2187" s="6"/>
      <c r="G2187" s="6">
        <v>45</v>
      </c>
      <c r="H2187" s="6">
        <v>54</v>
      </c>
      <c r="I2187" s="9">
        <v>86</v>
      </c>
      <c r="J2187" s="9"/>
      <c r="K2187" s="7">
        <v>44006358</v>
      </c>
      <c r="L2187" s="6" t="str">
        <f t="shared" si="221"/>
        <v>VRL PERLA  SANDALYE 45x54x86</v>
      </c>
      <c r="M2187" s="12">
        <v>0.4</v>
      </c>
      <c r="N2187" s="12">
        <v>0.4</v>
      </c>
      <c r="O2187" s="8">
        <v>5120</v>
      </c>
      <c r="P2187" s="8">
        <f t="shared" si="215"/>
        <v>3072</v>
      </c>
      <c r="Q2187" s="12">
        <f t="shared" si="216"/>
        <v>6451.2000000000007</v>
      </c>
      <c r="R2187" s="31">
        <f t="shared" si="217"/>
        <v>6400</v>
      </c>
      <c r="T2187" s="8">
        <v>4775</v>
      </c>
      <c r="V2187" s="8">
        <f t="shared" si="218"/>
        <v>4297.5</v>
      </c>
      <c r="W2187" s="8">
        <f t="shared" si="219"/>
        <v>10743.75</v>
      </c>
    </row>
    <row r="2188" spans="1:23" ht="21.95" customHeight="1" x14ac:dyDescent="0.2">
      <c r="A2188" s="6" t="s">
        <v>17</v>
      </c>
      <c r="B2188" s="6" t="s">
        <v>805</v>
      </c>
      <c r="C2188" s="6" t="s">
        <v>931</v>
      </c>
      <c r="D2188" s="6" t="s">
        <v>25</v>
      </c>
      <c r="E2188" s="6"/>
      <c r="G2188" s="6">
        <v>47</v>
      </c>
      <c r="H2188" s="6">
        <v>56</v>
      </c>
      <c r="I2188" s="9">
        <v>83</v>
      </c>
      <c r="J2188" s="9"/>
      <c r="K2188" s="7">
        <v>44006359</v>
      </c>
      <c r="L2188" s="6" t="str">
        <f t="shared" si="221"/>
        <v>VRL PICATOS SANDALYE 47x56x83</v>
      </c>
      <c r="M2188" s="12">
        <v>0.4</v>
      </c>
      <c r="N2188" s="12">
        <v>0.4</v>
      </c>
      <c r="O2188" s="8">
        <v>6970</v>
      </c>
      <c r="P2188" s="8">
        <f t="shared" si="215"/>
        <v>4182</v>
      </c>
      <c r="Q2188" s="12">
        <f t="shared" si="216"/>
        <v>8782.2000000000007</v>
      </c>
      <c r="R2188" s="31">
        <f t="shared" si="217"/>
        <v>8700</v>
      </c>
      <c r="T2188" s="8">
        <v>3170</v>
      </c>
      <c r="V2188" s="8">
        <f t="shared" si="218"/>
        <v>2853</v>
      </c>
      <c r="W2188" s="8">
        <f t="shared" si="219"/>
        <v>7132.5</v>
      </c>
    </row>
    <row r="2189" spans="1:23" ht="21.95" customHeight="1" x14ac:dyDescent="0.2">
      <c r="A2189" s="6" t="s">
        <v>17</v>
      </c>
      <c r="B2189" s="6" t="s">
        <v>805</v>
      </c>
      <c r="C2189" s="6" t="s">
        <v>932</v>
      </c>
      <c r="D2189" s="6" t="s">
        <v>25</v>
      </c>
      <c r="E2189" s="6"/>
      <c r="G2189" s="6">
        <v>53</v>
      </c>
      <c r="H2189" s="6">
        <v>58</v>
      </c>
      <c r="I2189" s="9">
        <v>85</v>
      </c>
      <c r="J2189" s="9"/>
      <c r="K2189" s="7">
        <v>44006360</v>
      </c>
      <c r="L2189" s="6" t="str">
        <f t="shared" si="221"/>
        <v>VRL RATON SANDALYE 53x58x85</v>
      </c>
      <c r="M2189" s="12">
        <v>0.4</v>
      </c>
      <c r="N2189" s="12">
        <v>0.4</v>
      </c>
      <c r="O2189" s="8">
        <v>6410</v>
      </c>
      <c r="P2189" s="8">
        <f t="shared" si="215"/>
        <v>3846</v>
      </c>
      <c r="Q2189" s="12">
        <f t="shared" si="216"/>
        <v>8076.6</v>
      </c>
      <c r="R2189" s="31">
        <f t="shared" si="217"/>
        <v>8000</v>
      </c>
      <c r="T2189" s="8">
        <v>18755</v>
      </c>
      <c r="V2189" s="8">
        <f t="shared" si="218"/>
        <v>16879.5</v>
      </c>
      <c r="W2189" s="8">
        <f t="shared" si="219"/>
        <v>42198.75</v>
      </c>
    </row>
    <row r="2190" spans="1:23" ht="21.95" customHeight="1" x14ac:dyDescent="0.2">
      <c r="A2190" s="6" t="s">
        <v>17</v>
      </c>
      <c r="B2190" s="6" t="s">
        <v>805</v>
      </c>
      <c r="C2190" s="6" t="s">
        <v>933</v>
      </c>
      <c r="D2190" s="6" t="s">
        <v>25</v>
      </c>
      <c r="E2190" s="6"/>
      <c r="G2190" s="6">
        <v>45</v>
      </c>
      <c r="H2190" s="6">
        <v>57</v>
      </c>
      <c r="I2190" s="9">
        <v>82</v>
      </c>
      <c r="J2190" s="9"/>
      <c r="K2190" s="7">
        <v>44006361</v>
      </c>
      <c r="L2190" s="6" t="str">
        <f t="shared" si="221"/>
        <v>VRL RONDA SANDALYE 45x57x82</v>
      </c>
      <c r="M2190" s="12">
        <v>0.4</v>
      </c>
      <c r="N2190" s="12">
        <v>0.4</v>
      </c>
      <c r="O2190" s="8">
        <v>5750</v>
      </c>
      <c r="P2190" s="8">
        <f t="shared" ref="P2190:P2253" si="222">O2190*(1-N2190)</f>
        <v>3450</v>
      </c>
      <c r="Q2190" s="12">
        <f t="shared" ref="Q2190:Q2253" si="223">O2190*(1-N2190)*2.1</f>
        <v>7245</v>
      </c>
      <c r="R2190" s="31">
        <f t="shared" ref="R2190:R2253" si="224">ROUNDDOWN(Q2190,-2)</f>
        <v>7200</v>
      </c>
      <c r="T2190" s="8">
        <v>15205</v>
      </c>
      <c r="V2190" s="8">
        <f t="shared" si="218"/>
        <v>13684.5</v>
      </c>
      <c r="W2190" s="8">
        <f t="shared" si="219"/>
        <v>34211.25</v>
      </c>
    </row>
    <row r="2191" spans="1:23" ht="21.95" customHeight="1" x14ac:dyDescent="0.2">
      <c r="A2191" s="6" t="s">
        <v>17</v>
      </c>
      <c r="B2191" s="6" t="s">
        <v>805</v>
      </c>
      <c r="C2191" s="6" t="s">
        <v>934</v>
      </c>
      <c r="D2191" s="6" t="s">
        <v>25</v>
      </c>
      <c r="E2191" s="6"/>
      <c r="G2191" s="6">
        <v>52</v>
      </c>
      <c r="H2191" s="6">
        <v>52</v>
      </c>
      <c r="I2191" s="9">
        <v>76</v>
      </c>
      <c r="J2191" s="9"/>
      <c r="K2191" s="7">
        <v>44006362</v>
      </c>
      <c r="L2191" s="6" t="str">
        <f t="shared" si="221"/>
        <v>VRL ROSA SANDALYE 52x52x76</v>
      </c>
      <c r="M2191" s="12">
        <v>0.4</v>
      </c>
      <c r="N2191" s="12">
        <v>0.4</v>
      </c>
      <c r="O2191" s="8">
        <v>5740</v>
      </c>
      <c r="P2191" s="8">
        <f t="shared" si="222"/>
        <v>3444</v>
      </c>
      <c r="Q2191" s="12">
        <f t="shared" si="223"/>
        <v>7232.4000000000005</v>
      </c>
      <c r="R2191" s="31">
        <f t="shared" si="224"/>
        <v>7200</v>
      </c>
      <c r="T2191" s="8">
        <v>16295</v>
      </c>
      <c r="V2191" s="8">
        <f t="shared" si="218"/>
        <v>14665.5</v>
      </c>
      <c r="W2191" s="8">
        <f t="shared" si="219"/>
        <v>36663.75</v>
      </c>
    </row>
    <row r="2192" spans="1:23" ht="21.95" customHeight="1" x14ac:dyDescent="0.2">
      <c r="A2192" s="6" t="s">
        <v>17</v>
      </c>
      <c r="B2192" s="6" t="s">
        <v>805</v>
      </c>
      <c r="C2192" s="6" t="s">
        <v>935</v>
      </c>
      <c r="D2192" s="6" t="s">
        <v>893</v>
      </c>
      <c r="E2192" s="6"/>
      <c r="G2192" s="6">
        <v>56</v>
      </c>
      <c r="H2192" s="6">
        <v>63</v>
      </c>
      <c r="I2192" s="9">
        <v>103</v>
      </c>
      <c r="J2192" s="9"/>
      <c r="K2192" s="7">
        <v>44006363</v>
      </c>
      <c r="L2192" s="6" t="str">
        <f t="shared" si="221"/>
        <v>VRL ROSA  BAR SANDALYE  56x63x103</v>
      </c>
      <c r="M2192" s="12">
        <v>0.4</v>
      </c>
      <c r="N2192" s="12">
        <v>0.4</v>
      </c>
      <c r="O2192" s="8">
        <v>7100</v>
      </c>
      <c r="P2192" s="8">
        <f t="shared" si="222"/>
        <v>4260</v>
      </c>
      <c r="Q2192" s="12">
        <f t="shared" si="223"/>
        <v>8946</v>
      </c>
      <c r="R2192" s="31">
        <f t="shared" si="224"/>
        <v>8900</v>
      </c>
      <c r="T2192" s="8">
        <v>19160</v>
      </c>
      <c r="V2192" s="8">
        <f t="shared" si="218"/>
        <v>17244</v>
      </c>
      <c r="W2192" s="8">
        <f t="shared" si="219"/>
        <v>43110</v>
      </c>
    </row>
    <row r="2193" spans="1:23" ht="21.95" customHeight="1" x14ac:dyDescent="0.2">
      <c r="A2193" s="6" t="s">
        <v>17</v>
      </c>
      <c r="B2193" s="6" t="s">
        <v>805</v>
      </c>
      <c r="C2193" s="6" t="s">
        <v>936</v>
      </c>
      <c r="D2193" s="6" t="s">
        <v>25</v>
      </c>
      <c r="E2193" s="6"/>
      <c r="G2193" s="6">
        <v>48</v>
      </c>
      <c r="H2193" s="6">
        <v>48</v>
      </c>
      <c r="I2193" s="9">
        <v>86</v>
      </c>
      <c r="J2193" s="9"/>
      <c r="K2193" s="7">
        <v>44006364</v>
      </c>
      <c r="L2193" s="6" t="str">
        <f t="shared" si="221"/>
        <v>VRL TORTA  SANDALYE 48x48x86</v>
      </c>
      <c r="M2193" s="12">
        <v>0.4</v>
      </c>
      <c r="N2193" s="12">
        <v>0.4</v>
      </c>
      <c r="O2193" s="8">
        <v>5180</v>
      </c>
      <c r="P2193" s="8">
        <f t="shared" si="222"/>
        <v>3108</v>
      </c>
      <c r="Q2193" s="12">
        <f t="shared" si="223"/>
        <v>6526.8</v>
      </c>
      <c r="R2193" s="31">
        <f t="shared" si="224"/>
        <v>6500</v>
      </c>
      <c r="T2193" s="8">
        <v>39225</v>
      </c>
      <c r="V2193" s="8">
        <f t="shared" si="218"/>
        <v>35302.5</v>
      </c>
      <c r="W2193" s="8">
        <f t="shared" si="219"/>
        <v>88256.25</v>
      </c>
    </row>
    <row r="2194" spans="1:23" ht="21.95" customHeight="1" x14ac:dyDescent="0.2">
      <c r="A2194" s="6" t="s">
        <v>17</v>
      </c>
      <c r="B2194" s="6" t="s">
        <v>805</v>
      </c>
      <c r="C2194" s="6" t="s">
        <v>937</v>
      </c>
      <c r="D2194" s="6" t="s">
        <v>25</v>
      </c>
      <c r="E2194" s="6"/>
      <c r="G2194" s="6">
        <v>45</v>
      </c>
      <c r="H2194" s="6">
        <v>47</v>
      </c>
      <c r="I2194" s="9">
        <v>79</v>
      </c>
      <c r="J2194" s="9"/>
      <c r="K2194" s="7">
        <v>44006365</v>
      </c>
      <c r="L2194" s="6" t="str">
        <f t="shared" si="221"/>
        <v>VRL TOSCA SANDALYE 45x47x79</v>
      </c>
      <c r="M2194" s="12">
        <v>0.4</v>
      </c>
      <c r="N2194" s="12">
        <v>0.4</v>
      </c>
      <c r="O2194" s="8">
        <v>3740</v>
      </c>
      <c r="P2194" s="8">
        <f t="shared" si="222"/>
        <v>2244</v>
      </c>
      <c r="Q2194" s="12">
        <f t="shared" si="223"/>
        <v>4712.4000000000005</v>
      </c>
      <c r="R2194" s="31">
        <f t="shared" si="224"/>
        <v>4700</v>
      </c>
      <c r="T2194" s="8">
        <v>5942</v>
      </c>
      <c r="V2194" s="8">
        <f t="shared" si="218"/>
        <v>5347.8</v>
      </c>
      <c r="W2194" s="8">
        <f t="shared" si="219"/>
        <v>13369.5</v>
      </c>
    </row>
    <row r="2195" spans="1:23" ht="21.95" customHeight="1" x14ac:dyDescent="0.2">
      <c r="A2195" s="6" t="s">
        <v>17</v>
      </c>
      <c r="B2195" s="5" t="s">
        <v>805</v>
      </c>
      <c r="C2195" s="6" t="s">
        <v>938</v>
      </c>
      <c r="D2195" s="6" t="s">
        <v>908</v>
      </c>
      <c r="E2195" s="6"/>
      <c r="G2195" s="6">
        <v>48</v>
      </c>
      <c r="H2195" s="6">
        <v>49</v>
      </c>
      <c r="I2195" s="9">
        <v>85</v>
      </c>
      <c r="J2195" s="9"/>
      <c r="K2195" s="7">
        <v>44006366</v>
      </c>
      <c r="L2195" s="6" t="str">
        <f t="shared" si="221"/>
        <v>VRL TUNA AHŞAP SANDALYE 48x49x85</v>
      </c>
      <c r="M2195" s="12">
        <v>0.4</v>
      </c>
      <c r="N2195" s="12">
        <v>0.4</v>
      </c>
      <c r="O2195" s="8">
        <v>4810</v>
      </c>
      <c r="P2195" s="8">
        <f t="shared" si="222"/>
        <v>2886</v>
      </c>
      <c r="Q2195" s="12">
        <f t="shared" si="223"/>
        <v>6060.6</v>
      </c>
      <c r="R2195" s="31">
        <f t="shared" si="224"/>
        <v>6000</v>
      </c>
      <c r="T2195" s="8">
        <v>32100</v>
      </c>
      <c r="V2195" s="8">
        <f t="shared" si="218"/>
        <v>28890</v>
      </c>
      <c r="W2195" s="8">
        <f t="shared" si="219"/>
        <v>72225</v>
      </c>
    </row>
    <row r="2196" spans="1:23" ht="21.95" customHeight="1" x14ac:dyDescent="0.2">
      <c r="A2196" s="6" t="s">
        <v>17</v>
      </c>
      <c r="B2196" s="5" t="s">
        <v>805</v>
      </c>
      <c r="C2196" s="6" t="s">
        <v>938</v>
      </c>
      <c r="D2196" s="6" t="s">
        <v>893</v>
      </c>
      <c r="E2196" s="6"/>
      <c r="G2196" s="6">
        <v>45</v>
      </c>
      <c r="H2196" s="6">
        <v>47</v>
      </c>
      <c r="I2196" s="9">
        <v>102</v>
      </c>
      <c r="J2196" s="9"/>
      <c r="K2196" s="7">
        <v>44006367</v>
      </c>
      <c r="L2196" s="6" t="str">
        <f t="shared" si="221"/>
        <v>VRL TUNA BAR SANDALYE  45x47x102</v>
      </c>
      <c r="M2196" s="12">
        <v>0.4</v>
      </c>
      <c r="N2196" s="12">
        <v>0.4</v>
      </c>
      <c r="O2196" s="8">
        <v>5870</v>
      </c>
      <c r="P2196" s="8">
        <f t="shared" si="222"/>
        <v>3522</v>
      </c>
      <c r="Q2196" s="12">
        <f t="shared" si="223"/>
        <v>7396.2000000000007</v>
      </c>
      <c r="R2196" s="31">
        <f t="shared" si="224"/>
        <v>7300</v>
      </c>
      <c r="T2196" s="8">
        <v>41730</v>
      </c>
      <c r="V2196" s="8">
        <f t="shared" si="218"/>
        <v>37557</v>
      </c>
      <c r="W2196" s="8">
        <f t="shared" si="219"/>
        <v>93892.5</v>
      </c>
    </row>
    <row r="2197" spans="1:23" ht="21.95" customHeight="1" x14ac:dyDescent="0.2">
      <c r="A2197" s="6" t="s">
        <v>17</v>
      </c>
      <c r="B2197" s="5" t="s">
        <v>805</v>
      </c>
      <c r="C2197" s="6" t="s">
        <v>831</v>
      </c>
      <c r="D2197" s="6" t="s">
        <v>920</v>
      </c>
      <c r="E2197" s="6"/>
      <c r="G2197" s="6">
        <v>45</v>
      </c>
      <c r="H2197" s="6">
        <v>56</v>
      </c>
      <c r="I2197" s="9">
        <v>86</v>
      </c>
      <c r="J2197" s="9"/>
      <c r="K2197" s="7">
        <v>44006368</v>
      </c>
      <c r="L2197" s="6" t="str">
        <f t="shared" si="221"/>
        <v>VRL URBAN AHŞAP SANDALYE  45x56x86</v>
      </c>
      <c r="M2197" s="12">
        <v>0.4</v>
      </c>
      <c r="N2197" s="12">
        <v>0.4</v>
      </c>
      <c r="O2197" s="8">
        <v>5760</v>
      </c>
      <c r="P2197" s="8">
        <f t="shared" si="222"/>
        <v>3456</v>
      </c>
      <c r="Q2197" s="12">
        <f t="shared" si="223"/>
        <v>7257.6</v>
      </c>
      <c r="R2197" s="31">
        <f t="shared" si="224"/>
        <v>7200</v>
      </c>
      <c r="T2197" s="8">
        <v>47691</v>
      </c>
      <c r="V2197" s="8">
        <f t="shared" si="218"/>
        <v>42921.9</v>
      </c>
      <c r="W2197" s="8">
        <f t="shared" si="219"/>
        <v>107304.75</v>
      </c>
    </row>
    <row r="2198" spans="1:23" ht="21.95" customHeight="1" x14ac:dyDescent="0.2">
      <c r="A2198" s="6" t="s">
        <v>17</v>
      </c>
      <c r="B2198" s="5" t="s">
        <v>805</v>
      </c>
      <c r="C2198" s="6" t="s">
        <v>939</v>
      </c>
      <c r="D2198" s="6" t="s">
        <v>919</v>
      </c>
      <c r="E2198" s="6"/>
      <c r="G2198" s="6">
        <v>45</v>
      </c>
      <c r="H2198" s="6">
        <v>56</v>
      </c>
      <c r="I2198" s="9">
        <v>86</v>
      </c>
      <c r="J2198" s="9"/>
      <c r="K2198" s="7">
        <v>44006369</v>
      </c>
      <c r="L2198" s="6" t="str">
        <f t="shared" si="221"/>
        <v>VRL URBAN  METAL SANDALYE 45x56x86</v>
      </c>
      <c r="M2198" s="12">
        <v>0.4</v>
      </c>
      <c r="N2198" s="12">
        <v>0.4</v>
      </c>
      <c r="O2198" s="8">
        <v>4760</v>
      </c>
      <c r="P2198" s="8">
        <f t="shared" si="222"/>
        <v>2856</v>
      </c>
      <c r="Q2198" s="12">
        <f t="shared" si="223"/>
        <v>5997.6</v>
      </c>
      <c r="R2198" s="31">
        <f t="shared" si="224"/>
        <v>5900</v>
      </c>
      <c r="T2198" s="8">
        <v>4198</v>
      </c>
      <c r="V2198" s="8">
        <f t="shared" si="218"/>
        <v>3778.2000000000003</v>
      </c>
      <c r="W2198" s="8">
        <f t="shared" si="219"/>
        <v>9445.5</v>
      </c>
    </row>
    <row r="2199" spans="1:23" ht="21.95" customHeight="1" x14ac:dyDescent="0.2">
      <c r="A2199" s="6" t="s">
        <v>17</v>
      </c>
      <c r="B2199" s="5" t="s">
        <v>805</v>
      </c>
      <c r="C2199" s="6" t="s">
        <v>831</v>
      </c>
      <c r="D2199" s="6" t="s">
        <v>909</v>
      </c>
      <c r="E2199" s="6"/>
      <c r="G2199" s="6">
        <v>45</v>
      </c>
      <c r="H2199" s="6">
        <v>56</v>
      </c>
      <c r="I2199" s="7" t="s">
        <v>910</v>
      </c>
      <c r="K2199" s="7">
        <v>44006370</v>
      </c>
      <c r="L2199" s="6" t="str">
        <f t="shared" si="221"/>
        <v>VRL URBAN OFİS SANDALYE 45x56x86/99</v>
      </c>
      <c r="M2199" s="12">
        <v>0.4</v>
      </c>
      <c r="N2199" s="12">
        <v>0.4</v>
      </c>
      <c r="O2199" s="8">
        <v>6950</v>
      </c>
      <c r="P2199" s="8">
        <f t="shared" si="222"/>
        <v>4170</v>
      </c>
      <c r="Q2199" s="12">
        <f t="shared" si="223"/>
        <v>8757</v>
      </c>
      <c r="R2199" s="31">
        <f t="shared" si="224"/>
        <v>8700</v>
      </c>
      <c r="T2199" s="8">
        <v>22195</v>
      </c>
      <c r="V2199" s="8">
        <f t="shared" si="218"/>
        <v>19975.5</v>
      </c>
      <c r="W2199" s="8">
        <f t="shared" si="219"/>
        <v>49938.75</v>
      </c>
    </row>
    <row r="2200" spans="1:23" ht="21.95" customHeight="1" x14ac:dyDescent="0.2">
      <c r="A2200" s="6" t="s">
        <v>17</v>
      </c>
      <c r="B2200" s="5" t="s">
        <v>805</v>
      </c>
      <c r="C2200" s="6" t="s">
        <v>831</v>
      </c>
      <c r="D2200" s="6" t="s">
        <v>893</v>
      </c>
      <c r="E2200" s="6"/>
      <c r="G2200" s="6">
        <v>46</v>
      </c>
      <c r="H2200" s="6">
        <v>38</v>
      </c>
      <c r="I2200" s="9">
        <v>116</v>
      </c>
      <c r="J2200" s="9"/>
      <c r="K2200" s="7">
        <v>44006371</v>
      </c>
      <c r="L2200" s="6" t="str">
        <f t="shared" si="221"/>
        <v>VRL URBAN BAR SANDALYE  46x38x116</v>
      </c>
      <c r="M2200" s="12">
        <v>0.4</v>
      </c>
      <c r="N2200" s="12">
        <v>0.4</v>
      </c>
      <c r="O2200" s="8">
        <v>5400</v>
      </c>
      <c r="P2200" s="8">
        <f t="shared" si="222"/>
        <v>3240</v>
      </c>
      <c r="Q2200" s="12">
        <f t="shared" si="223"/>
        <v>6804</v>
      </c>
      <c r="R2200" s="31">
        <f t="shared" si="224"/>
        <v>6800</v>
      </c>
      <c r="T2200" s="8">
        <v>26760</v>
      </c>
      <c r="V2200" s="8">
        <f t="shared" si="218"/>
        <v>24084</v>
      </c>
      <c r="W2200" s="8">
        <f t="shared" si="219"/>
        <v>60210</v>
      </c>
    </row>
    <row r="2201" spans="1:23" ht="21.95" customHeight="1" x14ac:dyDescent="0.2">
      <c r="A2201" s="6" t="s">
        <v>17</v>
      </c>
      <c r="B2201" s="5" t="s">
        <v>805</v>
      </c>
      <c r="C2201" s="6" t="s">
        <v>940</v>
      </c>
      <c r="D2201" s="6" t="s">
        <v>25</v>
      </c>
      <c r="E2201" s="6"/>
      <c r="G2201" s="6">
        <v>45</v>
      </c>
      <c r="H2201" s="6">
        <v>55</v>
      </c>
      <c r="I2201" s="9">
        <v>85</v>
      </c>
      <c r="J2201" s="9"/>
      <c r="K2201" s="7">
        <v>44006372</v>
      </c>
      <c r="L2201" s="6" t="str">
        <f t="shared" si="221"/>
        <v>VRL VİCE SANDALYE 45x55x85</v>
      </c>
      <c r="M2201" s="12">
        <v>0.4</v>
      </c>
      <c r="N2201" s="12">
        <v>0.4</v>
      </c>
      <c r="O2201" s="8">
        <v>5100</v>
      </c>
      <c r="P2201" s="8">
        <f t="shared" si="222"/>
        <v>3060</v>
      </c>
      <c r="Q2201" s="12">
        <f t="shared" si="223"/>
        <v>6426</v>
      </c>
      <c r="R2201" s="31">
        <f t="shared" si="224"/>
        <v>6400</v>
      </c>
      <c r="T2201" s="8">
        <v>11565</v>
      </c>
      <c r="V2201" s="8">
        <f t="shared" si="218"/>
        <v>10408.5</v>
      </c>
      <c r="W2201" s="8">
        <f t="shared" si="219"/>
        <v>26021.25</v>
      </c>
    </row>
    <row r="2202" spans="1:23" s="21" customFormat="1" ht="21.95" customHeight="1" x14ac:dyDescent="0.2">
      <c r="A2202" s="6" t="s">
        <v>17</v>
      </c>
      <c r="B2202" s="5" t="s">
        <v>805</v>
      </c>
      <c r="C2202" s="6" t="s">
        <v>941</v>
      </c>
      <c r="D2202" s="6" t="s">
        <v>25</v>
      </c>
      <c r="E2202" s="6"/>
      <c r="F2202" s="5"/>
      <c r="G2202" s="6">
        <v>52</v>
      </c>
      <c r="H2202" s="6">
        <v>58</v>
      </c>
      <c r="I2202" s="9">
        <v>80</v>
      </c>
      <c r="J2202" s="9"/>
      <c r="K2202" s="7">
        <v>44006373</v>
      </c>
      <c r="L2202" s="6" t="str">
        <f t="shared" si="221"/>
        <v>VRL VİYANA  SANDALYE 52x58x80</v>
      </c>
      <c r="M2202" s="12">
        <v>0.4</v>
      </c>
      <c r="N2202" s="12">
        <v>0.4</v>
      </c>
      <c r="O2202" s="8">
        <v>6650</v>
      </c>
      <c r="P2202" s="8">
        <f t="shared" si="222"/>
        <v>3990</v>
      </c>
      <c r="Q2202" s="12">
        <f t="shared" si="223"/>
        <v>8379</v>
      </c>
      <c r="R2202" s="31">
        <f t="shared" si="224"/>
        <v>8300</v>
      </c>
      <c r="T2202" s="23"/>
      <c r="U2202" s="23"/>
      <c r="V2202" s="23">
        <f t="shared" si="218"/>
        <v>0</v>
      </c>
      <c r="W2202" s="23">
        <f t="shared" si="219"/>
        <v>0</v>
      </c>
    </row>
    <row r="2203" spans="1:23" ht="21.95" customHeight="1" x14ac:dyDescent="0.2">
      <c r="A2203" s="6" t="s">
        <v>17</v>
      </c>
      <c r="B2203" s="5" t="s">
        <v>805</v>
      </c>
      <c r="C2203" s="6" t="s">
        <v>942</v>
      </c>
      <c r="D2203" s="6" t="s">
        <v>25</v>
      </c>
      <c r="E2203" s="6"/>
      <c r="G2203" s="6">
        <v>54</v>
      </c>
      <c r="H2203" s="6">
        <v>59</v>
      </c>
      <c r="I2203" s="9">
        <v>85</v>
      </c>
      <c r="J2203" s="9"/>
      <c r="K2203" s="7">
        <v>44006374</v>
      </c>
      <c r="L2203" s="6" t="str">
        <f t="shared" si="221"/>
        <v>VRL ZENİT SANDALYE 54x59x85</v>
      </c>
      <c r="M2203" s="12">
        <v>0.4</v>
      </c>
      <c r="N2203" s="12">
        <v>0.4</v>
      </c>
      <c r="O2203" s="8">
        <v>7180</v>
      </c>
      <c r="P2203" s="8">
        <f t="shared" si="222"/>
        <v>4308</v>
      </c>
      <c r="Q2203" s="12">
        <f t="shared" si="223"/>
        <v>9046.8000000000011</v>
      </c>
      <c r="R2203" s="31">
        <f t="shared" si="224"/>
        <v>9000</v>
      </c>
      <c r="T2203" s="8">
        <v>5135</v>
      </c>
      <c r="V2203" s="8">
        <f t="shared" ref="V2203:V2291" si="225">T2203*0.9</f>
        <v>4621.5</v>
      </c>
      <c r="W2203" s="8">
        <f t="shared" ref="W2203:W2291" si="226">V2203*2.5</f>
        <v>11553.75</v>
      </c>
    </row>
    <row r="2204" spans="1:23" ht="21.95" customHeight="1" x14ac:dyDescent="0.2">
      <c r="A2204" s="6" t="s">
        <v>943</v>
      </c>
      <c r="B2204" s="6" t="s">
        <v>1596</v>
      </c>
      <c r="C2204" s="6" t="s">
        <v>944</v>
      </c>
      <c r="D2204" s="6" t="s">
        <v>945</v>
      </c>
      <c r="E2204" s="6"/>
      <c r="G2204" s="6">
        <v>150</v>
      </c>
      <c r="H2204" s="6">
        <v>200</v>
      </c>
      <c r="K2204" s="7">
        <v>44006375</v>
      </c>
      <c r="L2204" s="6" t="str">
        <f t="shared" ref="L2204:L2216" si="227">B2204&amp;" "&amp;C2204&amp;" "&amp;D2204&amp;" "&amp;G2204&amp;"x"&amp;H2204</f>
        <v>YT NEMO BAZA 150x200</v>
      </c>
      <c r="M2204" s="12">
        <v>0.1</v>
      </c>
      <c r="N2204" s="12">
        <v>0.1</v>
      </c>
      <c r="O2204" s="8">
        <v>24060</v>
      </c>
      <c r="P2204" s="8">
        <f t="shared" si="222"/>
        <v>21654</v>
      </c>
      <c r="Q2204" s="12">
        <f t="shared" si="223"/>
        <v>45473.4</v>
      </c>
      <c r="R2204" s="31">
        <f t="shared" si="224"/>
        <v>45400</v>
      </c>
      <c r="T2204" s="8">
        <v>38325</v>
      </c>
      <c r="V2204" s="8">
        <f t="shared" si="225"/>
        <v>34492.5</v>
      </c>
      <c r="W2204" s="8">
        <f t="shared" si="226"/>
        <v>86231.25</v>
      </c>
    </row>
    <row r="2205" spans="1:23" ht="21.95" customHeight="1" x14ac:dyDescent="0.2">
      <c r="A2205" s="6" t="s">
        <v>943</v>
      </c>
      <c r="B2205" s="6" t="s">
        <v>1596</v>
      </c>
      <c r="C2205" s="6" t="s">
        <v>946</v>
      </c>
      <c r="D2205" s="6" t="s">
        <v>945</v>
      </c>
      <c r="E2205" s="6"/>
      <c r="G2205" s="6">
        <v>160</v>
      </c>
      <c r="H2205" s="6">
        <v>200</v>
      </c>
      <c r="K2205" s="7">
        <v>44006376</v>
      </c>
      <c r="L2205" s="6" t="str">
        <f t="shared" si="227"/>
        <v>YT NEMO  BAZA 160x200</v>
      </c>
      <c r="M2205" s="12">
        <v>0.1</v>
      </c>
      <c r="N2205" s="12">
        <v>0.1</v>
      </c>
      <c r="O2205" s="8">
        <v>24250</v>
      </c>
      <c r="P2205" s="8">
        <f t="shared" si="222"/>
        <v>21825</v>
      </c>
      <c r="Q2205" s="12">
        <f t="shared" si="223"/>
        <v>45832.5</v>
      </c>
      <c r="R2205" s="31">
        <f t="shared" si="224"/>
        <v>45800</v>
      </c>
      <c r="T2205" s="8">
        <v>17980</v>
      </c>
      <c r="V2205" s="8">
        <f t="shared" si="225"/>
        <v>16182</v>
      </c>
      <c r="W2205" s="8">
        <f t="shared" si="226"/>
        <v>40455</v>
      </c>
    </row>
    <row r="2206" spans="1:23" ht="21.95" customHeight="1" x14ac:dyDescent="0.2">
      <c r="A2206" s="6" t="s">
        <v>943</v>
      </c>
      <c r="B2206" s="6" t="s">
        <v>1596</v>
      </c>
      <c r="C2206" s="6" t="s">
        <v>944</v>
      </c>
      <c r="D2206" s="6" t="s">
        <v>945</v>
      </c>
      <c r="E2206" s="6"/>
      <c r="G2206" s="6">
        <v>180</v>
      </c>
      <c r="H2206" s="6">
        <v>200</v>
      </c>
      <c r="K2206" s="7">
        <v>44006377</v>
      </c>
      <c r="L2206" s="6" t="str">
        <f t="shared" si="227"/>
        <v>YT NEMO BAZA 180x200</v>
      </c>
      <c r="M2206" s="12">
        <v>0.1</v>
      </c>
      <c r="N2206" s="12">
        <v>0.1</v>
      </c>
      <c r="O2206" s="8">
        <v>25470</v>
      </c>
      <c r="P2206" s="8">
        <f t="shared" si="222"/>
        <v>22923</v>
      </c>
      <c r="Q2206" s="12">
        <f t="shared" si="223"/>
        <v>48138.3</v>
      </c>
      <c r="R2206" s="31">
        <f t="shared" si="224"/>
        <v>48100</v>
      </c>
      <c r="T2206" s="8">
        <v>12190</v>
      </c>
      <c r="V2206" s="8">
        <f t="shared" si="225"/>
        <v>10971</v>
      </c>
      <c r="W2206" s="8">
        <f t="shared" si="226"/>
        <v>27427.5</v>
      </c>
    </row>
    <row r="2207" spans="1:23" ht="21.95" customHeight="1" x14ac:dyDescent="0.2">
      <c r="A2207" s="6" t="s">
        <v>943</v>
      </c>
      <c r="B2207" s="6" t="s">
        <v>1596</v>
      </c>
      <c r="C2207" s="6" t="s">
        <v>944</v>
      </c>
      <c r="D2207" s="6" t="s">
        <v>945</v>
      </c>
      <c r="E2207" s="6"/>
      <c r="G2207" s="6">
        <v>200</v>
      </c>
      <c r="H2207" s="6">
        <v>200</v>
      </c>
      <c r="K2207" s="7">
        <v>44006378</v>
      </c>
      <c r="L2207" s="6" t="str">
        <f t="shared" si="227"/>
        <v>YT NEMO BAZA 200x200</v>
      </c>
      <c r="M2207" s="12">
        <v>0.1</v>
      </c>
      <c r="N2207" s="12">
        <v>0.1</v>
      </c>
      <c r="O2207" s="8">
        <v>26030</v>
      </c>
      <c r="P2207" s="8">
        <f t="shared" si="222"/>
        <v>23427</v>
      </c>
      <c r="Q2207" s="12">
        <f t="shared" si="223"/>
        <v>49196.700000000004</v>
      </c>
      <c r="R2207" s="31">
        <f t="shared" si="224"/>
        <v>49100</v>
      </c>
      <c r="T2207" s="8">
        <v>39210</v>
      </c>
      <c r="V2207" s="8">
        <f t="shared" si="225"/>
        <v>35289</v>
      </c>
      <c r="W2207" s="8">
        <f t="shared" si="226"/>
        <v>88222.5</v>
      </c>
    </row>
    <row r="2208" spans="1:23" ht="21.95" customHeight="1" x14ac:dyDescent="0.2">
      <c r="A2208" s="6" t="s">
        <v>943</v>
      </c>
      <c r="B2208" s="6" t="s">
        <v>1596</v>
      </c>
      <c r="C2208" s="6" t="s">
        <v>947</v>
      </c>
      <c r="D2208" s="6" t="s">
        <v>948</v>
      </c>
      <c r="E2208" s="6"/>
      <c r="G2208" s="6">
        <v>45</v>
      </c>
      <c r="H2208" s="6">
        <v>56</v>
      </c>
      <c r="I2208" s="7">
        <v>65</v>
      </c>
      <c r="K2208" s="7">
        <v>44006379</v>
      </c>
      <c r="L2208" s="6" t="str">
        <f t="shared" si="227"/>
        <v>YT MİMOZA KOMİDİN 45x56</v>
      </c>
      <c r="M2208" s="12">
        <v>0.1</v>
      </c>
      <c r="N2208" s="12">
        <v>0.1</v>
      </c>
      <c r="O2208" s="8">
        <v>5110</v>
      </c>
      <c r="P2208" s="8">
        <f t="shared" si="222"/>
        <v>4599</v>
      </c>
      <c r="Q2208" s="12">
        <f t="shared" si="223"/>
        <v>9657.9</v>
      </c>
      <c r="R2208" s="31">
        <f t="shared" si="224"/>
        <v>9600</v>
      </c>
      <c r="T2208" s="8">
        <v>39970</v>
      </c>
      <c r="V2208" s="8">
        <f t="shared" si="225"/>
        <v>35973</v>
      </c>
      <c r="W2208" s="8">
        <f t="shared" si="226"/>
        <v>89932.5</v>
      </c>
    </row>
    <row r="2209" spans="1:23" ht="21.95" customHeight="1" x14ac:dyDescent="0.2">
      <c r="A2209" s="6" t="s">
        <v>943</v>
      </c>
      <c r="B2209" s="6" t="s">
        <v>1596</v>
      </c>
      <c r="C2209" s="6" t="s">
        <v>949</v>
      </c>
      <c r="D2209" s="6" t="s">
        <v>950</v>
      </c>
      <c r="E2209" s="6"/>
      <c r="G2209" s="6">
        <v>150</v>
      </c>
      <c r="H2209" s="6">
        <v>200</v>
      </c>
      <c r="K2209" s="7">
        <v>44006380</v>
      </c>
      <c r="L2209" s="6" t="str">
        <f t="shared" si="227"/>
        <v>YT MİMOZA  BAŞLIK 150x200</v>
      </c>
      <c r="M2209" s="12">
        <v>0.1</v>
      </c>
      <c r="N2209" s="12">
        <v>0.1</v>
      </c>
      <c r="O2209" s="8">
        <v>9000</v>
      </c>
      <c r="P2209" s="8">
        <f t="shared" si="222"/>
        <v>8100</v>
      </c>
      <c r="Q2209" s="12">
        <f t="shared" si="223"/>
        <v>17010</v>
      </c>
      <c r="R2209" s="31">
        <f t="shared" si="224"/>
        <v>17000</v>
      </c>
      <c r="T2209" s="8">
        <v>37060</v>
      </c>
      <c r="V2209" s="8">
        <f t="shared" si="225"/>
        <v>33354</v>
      </c>
      <c r="W2209" s="8">
        <f t="shared" si="226"/>
        <v>83385</v>
      </c>
    </row>
    <row r="2210" spans="1:23" ht="21.95" customHeight="1" x14ac:dyDescent="0.2">
      <c r="A2210" s="6" t="s">
        <v>943</v>
      </c>
      <c r="B2210" s="6" t="s">
        <v>1596</v>
      </c>
      <c r="C2210" s="6" t="s">
        <v>949</v>
      </c>
      <c r="D2210" s="6" t="s">
        <v>950</v>
      </c>
      <c r="E2210" s="6"/>
      <c r="G2210" s="6">
        <v>160</v>
      </c>
      <c r="H2210" s="6">
        <v>200</v>
      </c>
      <c r="K2210" s="7">
        <v>44006381</v>
      </c>
      <c r="L2210" s="6" t="str">
        <f t="shared" si="227"/>
        <v>YT MİMOZA  BAŞLIK 160x200</v>
      </c>
      <c r="M2210" s="12">
        <v>0.1</v>
      </c>
      <c r="N2210" s="12">
        <v>0.1</v>
      </c>
      <c r="O2210" s="8">
        <v>9360</v>
      </c>
      <c r="P2210" s="8">
        <f t="shared" si="222"/>
        <v>8424</v>
      </c>
      <c r="Q2210" s="12">
        <f t="shared" si="223"/>
        <v>17690.400000000001</v>
      </c>
      <c r="R2210" s="31">
        <f t="shared" si="224"/>
        <v>17600</v>
      </c>
      <c r="T2210" s="8">
        <v>35755</v>
      </c>
      <c r="V2210" s="8">
        <f t="shared" si="225"/>
        <v>32179.5</v>
      </c>
      <c r="W2210" s="8">
        <f t="shared" si="226"/>
        <v>80448.75</v>
      </c>
    </row>
    <row r="2211" spans="1:23" ht="21.95" customHeight="1" x14ac:dyDescent="0.2">
      <c r="A2211" s="6" t="s">
        <v>943</v>
      </c>
      <c r="B2211" s="6" t="s">
        <v>1596</v>
      </c>
      <c r="C2211" s="6" t="s">
        <v>949</v>
      </c>
      <c r="D2211" s="6" t="s">
        <v>950</v>
      </c>
      <c r="E2211" s="6"/>
      <c r="G2211" s="6">
        <v>180</v>
      </c>
      <c r="H2211" s="6">
        <v>200</v>
      </c>
      <c r="K2211" s="7">
        <v>44006382</v>
      </c>
      <c r="L2211" s="6" t="str">
        <f t="shared" si="227"/>
        <v>YT MİMOZA  BAŞLIK 180x200</v>
      </c>
      <c r="M2211" s="12">
        <v>0.1</v>
      </c>
      <c r="N2211" s="12">
        <v>0.1</v>
      </c>
      <c r="O2211" s="8">
        <v>10110</v>
      </c>
      <c r="P2211" s="8">
        <f t="shared" si="222"/>
        <v>9099</v>
      </c>
      <c r="Q2211" s="12">
        <f t="shared" si="223"/>
        <v>19107.900000000001</v>
      </c>
      <c r="R2211" s="31">
        <f t="shared" si="224"/>
        <v>19100</v>
      </c>
      <c r="T2211" s="8">
        <v>32620</v>
      </c>
      <c r="V2211" s="8">
        <f t="shared" si="225"/>
        <v>29358</v>
      </c>
      <c r="W2211" s="8">
        <f t="shared" si="226"/>
        <v>73395</v>
      </c>
    </row>
    <row r="2212" spans="1:23" ht="21.95" customHeight="1" x14ac:dyDescent="0.2">
      <c r="A2212" s="6" t="s">
        <v>943</v>
      </c>
      <c r="B2212" s="6" t="s">
        <v>1596</v>
      </c>
      <c r="C2212" s="6" t="s">
        <v>949</v>
      </c>
      <c r="D2212" s="6" t="s">
        <v>950</v>
      </c>
      <c r="E2212" s="6"/>
      <c r="G2212" s="6">
        <v>200</v>
      </c>
      <c r="H2212" s="6">
        <v>200</v>
      </c>
      <c r="K2212" s="7">
        <v>44006383</v>
      </c>
      <c r="L2212" s="6" t="str">
        <f t="shared" si="227"/>
        <v>YT MİMOZA  BAŞLIK 200x200</v>
      </c>
      <c r="M2212" s="12">
        <v>0.1</v>
      </c>
      <c r="N2212" s="12">
        <v>0.1</v>
      </c>
      <c r="O2212" s="8">
        <v>10850</v>
      </c>
      <c r="P2212" s="8">
        <f t="shared" si="222"/>
        <v>9765</v>
      </c>
      <c r="Q2212" s="12">
        <f t="shared" si="223"/>
        <v>20506.5</v>
      </c>
      <c r="R2212" s="31">
        <f t="shared" si="224"/>
        <v>20500</v>
      </c>
      <c r="T2212" s="8">
        <v>19770</v>
      </c>
      <c r="V2212" s="8">
        <f t="shared" si="225"/>
        <v>17793</v>
      </c>
      <c r="W2212" s="8">
        <f t="shared" si="226"/>
        <v>44482.5</v>
      </c>
    </row>
    <row r="2213" spans="1:23" ht="21.95" customHeight="1" x14ac:dyDescent="0.2">
      <c r="A2213" s="6" t="s">
        <v>943</v>
      </c>
      <c r="B2213" s="6" t="s">
        <v>1596</v>
      </c>
      <c r="C2213" s="6" t="s">
        <v>949</v>
      </c>
      <c r="D2213" s="6" t="s">
        <v>951</v>
      </c>
      <c r="E2213" s="6"/>
      <c r="G2213" s="6">
        <v>60</v>
      </c>
      <c r="H2213" s="6">
        <v>122</v>
      </c>
      <c r="I2213" s="7">
        <v>45</v>
      </c>
      <c r="K2213" s="7">
        <v>44006384</v>
      </c>
      <c r="L2213" s="6" t="str">
        <f t="shared" si="227"/>
        <v>YT MİMOZA  MARKİZ 60x122</v>
      </c>
      <c r="M2213" s="12">
        <v>0.1</v>
      </c>
      <c r="N2213" s="12">
        <v>0.1</v>
      </c>
      <c r="O2213" s="8">
        <v>6960</v>
      </c>
      <c r="P2213" s="8">
        <f t="shared" si="222"/>
        <v>6264</v>
      </c>
      <c r="Q2213" s="12">
        <f t="shared" si="223"/>
        <v>13154.400000000001</v>
      </c>
      <c r="R2213" s="31">
        <f t="shared" si="224"/>
        <v>13100</v>
      </c>
      <c r="T2213" s="8">
        <v>27150</v>
      </c>
      <c r="V2213" s="8">
        <f t="shared" si="225"/>
        <v>24435</v>
      </c>
      <c r="W2213" s="8">
        <f t="shared" si="226"/>
        <v>61087.5</v>
      </c>
    </row>
    <row r="2214" spans="1:23" ht="21.95" customHeight="1" x14ac:dyDescent="0.2">
      <c r="A2214" s="6" t="s">
        <v>943</v>
      </c>
      <c r="B2214" s="6" t="s">
        <v>1596</v>
      </c>
      <c r="C2214" s="6" t="s">
        <v>952</v>
      </c>
      <c r="D2214" s="6" t="s">
        <v>953</v>
      </c>
      <c r="E2214" s="6"/>
      <c r="G2214" s="6">
        <v>150</v>
      </c>
      <c r="H2214" s="6">
        <v>200</v>
      </c>
      <c r="K2214" s="7">
        <v>44006385</v>
      </c>
      <c r="L2214" s="6" t="str">
        <f t="shared" si="227"/>
        <v>YT KİNG MATRESS + YATAK 150x200</v>
      </c>
      <c r="M2214" s="12">
        <v>0.1</v>
      </c>
      <c r="N2214" s="12">
        <v>0.1</v>
      </c>
      <c r="O2214" s="8">
        <v>10050</v>
      </c>
      <c r="P2214" s="8">
        <f t="shared" si="222"/>
        <v>9045</v>
      </c>
      <c r="Q2214" s="12">
        <f t="shared" si="223"/>
        <v>18994.5</v>
      </c>
      <c r="R2214" s="31">
        <f t="shared" si="224"/>
        <v>18900</v>
      </c>
      <c r="T2214" s="8">
        <v>31750</v>
      </c>
      <c r="V2214" s="8">
        <f t="shared" si="225"/>
        <v>28575</v>
      </c>
      <c r="W2214" s="8">
        <f t="shared" si="226"/>
        <v>71437.5</v>
      </c>
    </row>
    <row r="2215" spans="1:23" ht="21.95" customHeight="1" x14ac:dyDescent="0.2">
      <c r="A2215" s="6" t="s">
        <v>943</v>
      </c>
      <c r="B2215" s="6" t="s">
        <v>1596</v>
      </c>
      <c r="C2215" s="6" t="s">
        <v>952</v>
      </c>
      <c r="D2215" s="6" t="s">
        <v>953</v>
      </c>
      <c r="E2215" s="6"/>
      <c r="G2215" s="6">
        <v>160</v>
      </c>
      <c r="H2215" s="6">
        <v>200</v>
      </c>
      <c r="K2215" s="7">
        <v>44006386</v>
      </c>
      <c r="L2215" s="6" t="str">
        <f t="shared" si="227"/>
        <v>YT KİNG MATRESS + YATAK 160x200</v>
      </c>
      <c r="M2215" s="12">
        <v>0.1</v>
      </c>
      <c r="N2215" s="12">
        <v>0.1</v>
      </c>
      <c r="O2215" s="8">
        <v>10770</v>
      </c>
      <c r="P2215" s="8">
        <f t="shared" si="222"/>
        <v>9693</v>
      </c>
      <c r="Q2215" s="12">
        <f t="shared" si="223"/>
        <v>20355.3</v>
      </c>
      <c r="R2215" s="31">
        <f t="shared" si="224"/>
        <v>20300</v>
      </c>
      <c r="T2215" s="8">
        <v>11110</v>
      </c>
      <c r="V2215" s="8">
        <f t="shared" si="225"/>
        <v>9999</v>
      </c>
      <c r="W2215" s="8">
        <f t="shared" si="226"/>
        <v>24997.5</v>
      </c>
    </row>
    <row r="2216" spans="1:23" ht="21.95" customHeight="1" x14ac:dyDescent="0.2">
      <c r="A2216" s="6" t="s">
        <v>943</v>
      </c>
      <c r="B2216" s="6" t="s">
        <v>1596</v>
      </c>
      <c r="C2216" s="6" t="s">
        <v>952</v>
      </c>
      <c r="D2216" s="6" t="s">
        <v>953</v>
      </c>
      <c r="E2216" s="6"/>
      <c r="G2216" s="6">
        <v>180</v>
      </c>
      <c r="H2216" s="6">
        <v>200</v>
      </c>
      <c r="K2216" s="7">
        <v>44006387</v>
      </c>
      <c r="L2216" s="6" t="str">
        <f t="shared" si="227"/>
        <v>YT KİNG MATRESS + YATAK 180x200</v>
      </c>
      <c r="M2216" s="12">
        <v>0.1</v>
      </c>
      <c r="N2216" s="12">
        <v>0.1</v>
      </c>
      <c r="O2216" s="8">
        <v>11580</v>
      </c>
      <c r="P2216" s="8">
        <f t="shared" si="222"/>
        <v>10422</v>
      </c>
      <c r="Q2216" s="12">
        <f t="shared" si="223"/>
        <v>21886.2</v>
      </c>
      <c r="R2216" s="31">
        <f t="shared" si="224"/>
        <v>21800</v>
      </c>
      <c r="T2216" s="8">
        <v>59640</v>
      </c>
      <c r="V2216" s="8">
        <f t="shared" si="225"/>
        <v>53676</v>
      </c>
      <c r="W2216" s="8">
        <f t="shared" si="226"/>
        <v>134190</v>
      </c>
    </row>
    <row r="2217" spans="1:23" ht="21.95" customHeight="1" x14ac:dyDescent="0.2">
      <c r="A2217" s="6" t="s">
        <v>943</v>
      </c>
      <c r="B2217" s="6" t="s">
        <v>1596</v>
      </c>
      <c r="C2217" s="6" t="s">
        <v>952</v>
      </c>
      <c r="D2217" s="6" t="s">
        <v>953</v>
      </c>
      <c r="E2217" s="6"/>
      <c r="G2217" s="6">
        <v>200</v>
      </c>
      <c r="H2217" s="6">
        <v>200</v>
      </c>
      <c r="K2217" s="7">
        <v>44006388</v>
      </c>
      <c r="L2217" s="6" t="str">
        <f>B2217&amp;" "&amp;C2217&amp;" "&amp;D2217&amp;" "</f>
        <v xml:space="preserve">YT KİNG MATRESS + YATAK </v>
      </c>
      <c r="M2217" s="12">
        <v>0.1</v>
      </c>
      <c r="N2217" s="12">
        <v>0.1</v>
      </c>
      <c r="O2217" s="8">
        <v>13290</v>
      </c>
      <c r="P2217" s="8">
        <f t="shared" si="222"/>
        <v>11961</v>
      </c>
      <c r="Q2217" s="12">
        <f t="shared" si="223"/>
        <v>25118.100000000002</v>
      </c>
      <c r="R2217" s="31">
        <f t="shared" si="224"/>
        <v>25100</v>
      </c>
      <c r="T2217" s="8">
        <v>68105</v>
      </c>
      <c r="V2217" s="8">
        <f t="shared" si="225"/>
        <v>61294.5</v>
      </c>
      <c r="W2217" s="8">
        <f t="shared" si="226"/>
        <v>153236.25</v>
      </c>
    </row>
    <row r="2218" spans="1:23" ht="21.95" customHeight="1" x14ac:dyDescent="0.2">
      <c r="A2218" s="6" t="s">
        <v>943</v>
      </c>
      <c r="B2218" s="6" t="s">
        <v>1596</v>
      </c>
      <c r="C2218" s="6" t="s">
        <v>954</v>
      </c>
      <c r="D2218" s="6" t="s">
        <v>955</v>
      </c>
      <c r="E2218" s="6"/>
      <c r="G2218" s="6"/>
      <c r="K2218" s="7">
        <v>44006389</v>
      </c>
      <c r="L2218" s="6" t="str">
        <f>B2218&amp;" "&amp;C2218&amp;" "&amp;D2218&amp;" "</f>
        <v xml:space="preserve">YT PARA KASASI KASA </v>
      </c>
      <c r="M2218" s="12">
        <v>0.1</v>
      </c>
      <c r="N2218" s="12">
        <v>0.1</v>
      </c>
      <c r="O2218" s="8">
        <v>2230</v>
      </c>
      <c r="P2218" s="8">
        <f t="shared" si="222"/>
        <v>2007</v>
      </c>
      <c r="Q2218" s="12">
        <f t="shared" si="223"/>
        <v>4214.7</v>
      </c>
      <c r="R2218" s="31">
        <f t="shared" si="224"/>
        <v>4200</v>
      </c>
      <c r="T2218" s="8">
        <v>28985</v>
      </c>
      <c r="V2218" s="8">
        <f t="shared" si="225"/>
        <v>26086.5</v>
      </c>
      <c r="W2218" s="8">
        <f t="shared" si="226"/>
        <v>65216.25</v>
      </c>
    </row>
    <row r="2219" spans="1:23" ht="21.95" customHeight="1" x14ac:dyDescent="0.2">
      <c r="A2219" s="6" t="s">
        <v>943</v>
      </c>
      <c r="B2219" s="6" t="s">
        <v>1596</v>
      </c>
      <c r="C2219" s="6" t="s">
        <v>954</v>
      </c>
      <c r="D2219" s="6" t="s">
        <v>956</v>
      </c>
      <c r="E2219" s="6"/>
      <c r="K2219" s="7">
        <v>44006390</v>
      </c>
      <c r="L2219" s="6" t="str">
        <f>B2219&amp;" "&amp;C2219&amp;" "&amp;D2219&amp;" "</f>
        <v xml:space="preserve">YT PARA KASASI KASA BÜYÜK </v>
      </c>
      <c r="M2219" s="12">
        <v>0.1</v>
      </c>
      <c r="N2219" s="12">
        <v>0.1</v>
      </c>
      <c r="O2219" s="8">
        <v>3700</v>
      </c>
      <c r="P2219" s="8">
        <f t="shared" si="222"/>
        <v>3330</v>
      </c>
      <c r="Q2219" s="12">
        <f t="shared" si="223"/>
        <v>6993</v>
      </c>
      <c r="R2219" s="31">
        <f t="shared" si="224"/>
        <v>6900</v>
      </c>
      <c r="T2219" s="8">
        <v>18940</v>
      </c>
      <c r="V2219" s="8">
        <f t="shared" si="225"/>
        <v>17046</v>
      </c>
      <c r="W2219" s="8">
        <f t="shared" si="226"/>
        <v>42615</v>
      </c>
    </row>
    <row r="2220" spans="1:23" ht="21.95" customHeight="1" x14ac:dyDescent="0.2">
      <c r="A2220" s="6" t="s">
        <v>943</v>
      </c>
      <c r="B2220" s="6" t="s">
        <v>1596</v>
      </c>
      <c r="C2220" s="6" t="s">
        <v>957</v>
      </c>
      <c r="D2220" s="6" t="s">
        <v>950</v>
      </c>
      <c r="E2220" s="6"/>
      <c r="G2220" s="6">
        <v>150</v>
      </c>
      <c r="H2220" s="6">
        <v>200</v>
      </c>
      <c r="K2220" s="7">
        <v>44006391</v>
      </c>
      <c r="L2220" s="6" t="str">
        <f>B2220&amp;" "&amp;C2220&amp;" "&amp;D2220&amp;" "&amp;G2220&amp;"x"&amp;H2220</f>
        <v>YT POLO BAŞLIK 150x200</v>
      </c>
      <c r="M2220" s="12">
        <v>0.1</v>
      </c>
      <c r="N2220" s="12">
        <v>0.1</v>
      </c>
      <c r="O2220" s="8">
        <v>8900</v>
      </c>
      <c r="P2220" s="8">
        <f t="shared" si="222"/>
        <v>8010</v>
      </c>
      <c r="Q2220" s="12">
        <f t="shared" si="223"/>
        <v>16821</v>
      </c>
      <c r="R2220" s="31">
        <f t="shared" si="224"/>
        <v>16800</v>
      </c>
      <c r="T2220" s="8">
        <v>4775</v>
      </c>
      <c r="V2220" s="8">
        <f t="shared" si="225"/>
        <v>4297.5</v>
      </c>
      <c r="W2220" s="8">
        <f t="shared" si="226"/>
        <v>10743.75</v>
      </c>
    </row>
    <row r="2221" spans="1:23" ht="21.95" customHeight="1" x14ac:dyDescent="0.2">
      <c r="A2221" s="6" t="s">
        <v>943</v>
      </c>
      <c r="B2221" s="6" t="s">
        <v>1596</v>
      </c>
      <c r="C2221" s="6" t="s">
        <v>957</v>
      </c>
      <c r="D2221" s="6" t="s">
        <v>950</v>
      </c>
      <c r="E2221" s="6"/>
      <c r="G2221" s="6">
        <v>160</v>
      </c>
      <c r="H2221" s="6">
        <v>200</v>
      </c>
      <c r="K2221" s="7">
        <v>44006392</v>
      </c>
      <c r="L2221" s="6" t="str">
        <f>B2221&amp;" "&amp;C2221&amp;" "&amp;D2221&amp;" "&amp;G2221&amp;"x"&amp;H2221</f>
        <v>YT POLO BAŞLIK 160x200</v>
      </c>
      <c r="M2221" s="12">
        <v>0.1</v>
      </c>
      <c r="N2221" s="12">
        <v>0.1</v>
      </c>
      <c r="O2221" s="8">
        <v>9220</v>
      </c>
      <c r="P2221" s="8">
        <f t="shared" si="222"/>
        <v>8298</v>
      </c>
      <c r="Q2221" s="12">
        <f t="shared" si="223"/>
        <v>17425.8</v>
      </c>
      <c r="R2221" s="31">
        <f t="shared" si="224"/>
        <v>17400</v>
      </c>
      <c r="T2221" s="8">
        <v>3170</v>
      </c>
      <c r="V2221" s="8">
        <f t="shared" si="225"/>
        <v>2853</v>
      </c>
      <c r="W2221" s="8">
        <f t="shared" si="226"/>
        <v>7132.5</v>
      </c>
    </row>
    <row r="2222" spans="1:23" ht="21.95" customHeight="1" x14ac:dyDescent="0.2">
      <c r="A2222" s="6" t="s">
        <v>943</v>
      </c>
      <c r="B2222" s="6" t="s">
        <v>1596</v>
      </c>
      <c r="C2222" s="6" t="s">
        <v>957</v>
      </c>
      <c r="D2222" s="6" t="s">
        <v>950</v>
      </c>
      <c r="E2222" s="6"/>
      <c r="G2222" s="6">
        <v>180</v>
      </c>
      <c r="H2222" s="6">
        <v>200</v>
      </c>
      <c r="K2222" s="7">
        <v>44006393</v>
      </c>
      <c r="L2222" s="6" t="str">
        <f>B2222&amp;" "&amp;C2222&amp;" "&amp;D2222&amp;" "&amp;G2222&amp;"x"&amp;H2222</f>
        <v>YT POLO BAŞLIK 180x200</v>
      </c>
      <c r="M2222" s="12">
        <v>0.1</v>
      </c>
      <c r="N2222" s="12">
        <v>0.1</v>
      </c>
      <c r="O2222" s="8">
        <v>10880</v>
      </c>
      <c r="P2222" s="8">
        <f t="shared" si="222"/>
        <v>9792</v>
      </c>
      <c r="Q2222" s="12">
        <f t="shared" si="223"/>
        <v>20563.2</v>
      </c>
      <c r="R2222" s="31">
        <f t="shared" si="224"/>
        <v>20500</v>
      </c>
      <c r="T2222" s="8">
        <v>11565</v>
      </c>
      <c r="V2222" s="8">
        <f t="shared" si="225"/>
        <v>10408.5</v>
      </c>
      <c r="W2222" s="8">
        <f t="shared" si="226"/>
        <v>26021.25</v>
      </c>
    </row>
    <row r="2223" spans="1:23" ht="21.95" customHeight="1" x14ac:dyDescent="0.2">
      <c r="A2223" s="6" t="s">
        <v>943</v>
      </c>
      <c r="B2223" s="6" t="s">
        <v>1596</v>
      </c>
      <c r="C2223" s="6" t="s">
        <v>957</v>
      </c>
      <c r="D2223" s="6" t="s">
        <v>950</v>
      </c>
      <c r="E2223" s="6"/>
      <c r="G2223" s="6">
        <v>200</v>
      </c>
      <c r="H2223" s="6">
        <v>200</v>
      </c>
      <c r="K2223" s="7">
        <v>44006394</v>
      </c>
      <c r="L2223" s="6" t="str">
        <f>B2223&amp;" "&amp;C2223&amp;" "&amp;D2223&amp;" "&amp;G2223&amp;"x"&amp;H2223</f>
        <v>YT POLO BAŞLIK 200x200</v>
      </c>
      <c r="M2223" s="12">
        <v>0.1</v>
      </c>
      <c r="N2223" s="12">
        <v>0.1</v>
      </c>
      <c r="O2223" s="8">
        <v>12060</v>
      </c>
      <c r="P2223" s="8">
        <f t="shared" si="222"/>
        <v>10854</v>
      </c>
      <c r="Q2223" s="12">
        <f t="shared" si="223"/>
        <v>22793.4</v>
      </c>
      <c r="R2223" s="31">
        <f t="shared" si="224"/>
        <v>22700</v>
      </c>
      <c r="T2223" s="8">
        <v>21245</v>
      </c>
      <c r="V2223" s="8">
        <f t="shared" si="225"/>
        <v>19120.5</v>
      </c>
      <c r="W2223" s="8">
        <f t="shared" si="226"/>
        <v>47801.25</v>
      </c>
    </row>
    <row r="2224" spans="1:23" ht="21.95" customHeight="1" x14ac:dyDescent="0.2">
      <c r="A2224" s="6" t="s">
        <v>943</v>
      </c>
      <c r="B2224" s="6" t="s">
        <v>1596</v>
      </c>
      <c r="C2224" s="6" t="s">
        <v>958</v>
      </c>
      <c r="D2224" s="6" t="s">
        <v>959</v>
      </c>
      <c r="E2224" s="6"/>
      <c r="K2224" s="7">
        <v>44006395</v>
      </c>
      <c r="L2224" s="6" t="str">
        <f>B2224&amp;" "&amp;C2224&amp;" "&amp;D2224&amp;" "</f>
        <v xml:space="preserve">YT ZÜMRÜT KOMİDİN  </v>
      </c>
      <c r="M2224" s="12">
        <v>0.1</v>
      </c>
      <c r="N2224" s="12">
        <v>0.1</v>
      </c>
      <c r="O2224" s="8">
        <v>4120</v>
      </c>
      <c r="P2224" s="8">
        <f t="shared" si="222"/>
        <v>3708</v>
      </c>
      <c r="Q2224" s="12">
        <f t="shared" si="223"/>
        <v>7786.8</v>
      </c>
      <c r="R2224" s="31">
        <f t="shared" si="224"/>
        <v>7700</v>
      </c>
      <c r="T2224" s="8">
        <v>13545</v>
      </c>
      <c r="V2224" s="8">
        <f t="shared" si="225"/>
        <v>12190.5</v>
      </c>
      <c r="W2224" s="8">
        <f t="shared" si="226"/>
        <v>30476.25</v>
      </c>
    </row>
    <row r="2225" spans="1:23" ht="21.95" customHeight="1" x14ac:dyDescent="0.2">
      <c r="A2225" s="6" t="s">
        <v>943</v>
      </c>
      <c r="B2225" s="6" t="s">
        <v>1596</v>
      </c>
      <c r="C2225" s="6" t="s">
        <v>957</v>
      </c>
      <c r="D2225" s="6" t="s">
        <v>953</v>
      </c>
      <c r="E2225" s="6"/>
      <c r="G2225" s="6">
        <v>150</v>
      </c>
      <c r="H2225" s="6">
        <v>200</v>
      </c>
      <c r="K2225" s="7">
        <v>44006396</v>
      </c>
      <c r="L2225" s="6" t="str">
        <f>B2225&amp;" "&amp;C2225&amp;" "&amp;D2225&amp;" "&amp;G2225&amp;"x"&amp;H2225</f>
        <v>YT POLO YATAK 150x200</v>
      </c>
      <c r="M2225" s="12">
        <v>0.1</v>
      </c>
      <c r="N2225" s="12">
        <v>0.1</v>
      </c>
      <c r="O2225" s="8">
        <v>13320</v>
      </c>
      <c r="P2225" s="8">
        <f t="shared" si="222"/>
        <v>11988</v>
      </c>
      <c r="Q2225" s="12">
        <f t="shared" si="223"/>
        <v>25174.799999999999</v>
      </c>
      <c r="R2225" s="31">
        <f t="shared" si="224"/>
        <v>25100</v>
      </c>
      <c r="T2225" s="8">
        <v>18995</v>
      </c>
      <c r="V2225" s="8">
        <f t="shared" si="225"/>
        <v>17095.5</v>
      </c>
      <c r="W2225" s="8">
        <f t="shared" si="226"/>
        <v>42738.75</v>
      </c>
    </row>
    <row r="2226" spans="1:23" ht="21.95" customHeight="1" x14ac:dyDescent="0.2">
      <c r="A2226" s="6" t="s">
        <v>943</v>
      </c>
      <c r="B2226" s="6" t="s">
        <v>1596</v>
      </c>
      <c r="C2226" s="6" t="s">
        <v>957</v>
      </c>
      <c r="D2226" s="6" t="s">
        <v>953</v>
      </c>
      <c r="E2226" s="6"/>
      <c r="G2226" s="6">
        <v>160</v>
      </c>
      <c r="H2226" s="6">
        <v>200</v>
      </c>
      <c r="K2226" s="7">
        <v>44006397</v>
      </c>
      <c r="L2226" s="6" t="str">
        <f>B2226&amp;" "&amp;C2226&amp;" "&amp;D2226&amp;" "&amp;G2226&amp;"x"&amp;H2226</f>
        <v>YT POLO YATAK 160x200</v>
      </c>
      <c r="M2226" s="12">
        <v>0.1</v>
      </c>
      <c r="N2226" s="12">
        <v>0.1</v>
      </c>
      <c r="O2226" s="8">
        <v>13780</v>
      </c>
      <c r="P2226" s="8">
        <f t="shared" si="222"/>
        <v>12402</v>
      </c>
      <c r="Q2226" s="12">
        <f t="shared" si="223"/>
        <v>26044.2</v>
      </c>
      <c r="R2226" s="31">
        <f t="shared" si="224"/>
        <v>26000</v>
      </c>
      <c r="T2226" s="8">
        <v>22020</v>
      </c>
      <c r="V2226" s="8">
        <f t="shared" si="225"/>
        <v>19818</v>
      </c>
      <c r="W2226" s="8">
        <f t="shared" si="226"/>
        <v>49545</v>
      </c>
    </row>
    <row r="2227" spans="1:23" ht="21.95" customHeight="1" x14ac:dyDescent="0.2">
      <c r="A2227" s="6" t="s">
        <v>943</v>
      </c>
      <c r="B2227" s="6" t="s">
        <v>1596</v>
      </c>
      <c r="C2227" s="6" t="s">
        <v>957</v>
      </c>
      <c r="D2227" s="6" t="s">
        <v>953</v>
      </c>
      <c r="E2227" s="6"/>
      <c r="G2227" s="6">
        <v>180</v>
      </c>
      <c r="H2227" s="6">
        <v>200</v>
      </c>
      <c r="K2227" s="7">
        <v>44006398</v>
      </c>
      <c r="L2227" s="6" t="str">
        <f>B2227&amp;" "&amp;C2227&amp;" "&amp;D2227&amp;" "&amp;G2227&amp;"x"&amp;H2227</f>
        <v>YT POLO YATAK 180x200</v>
      </c>
      <c r="M2227" s="12">
        <v>0.1</v>
      </c>
      <c r="N2227" s="12">
        <v>0.1</v>
      </c>
      <c r="O2227" s="8">
        <v>15960</v>
      </c>
      <c r="P2227" s="8">
        <f t="shared" si="222"/>
        <v>14364</v>
      </c>
      <c r="Q2227" s="12">
        <f t="shared" si="223"/>
        <v>30164.400000000001</v>
      </c>
      <c r="R2227" s="31">
        <f t="shared" si="224"/>
        <v>30100</v>
      </c>
      <c r="T2227" s="8">
        <v>23960</v>
      </c>
      <c r="V2227" s="8">
        <f t="shared" si="225"/>
        <v>21564</v>
      </c>
      <c r="W2227" s="8">
        <f t="shared" si="226"/>
        <v>53910</v>
      </c>
    </row>
    <row r="2228" spans="1:23" ht="21.95" customHeight="1" x14ac:dyDescent="0.2">
      <c r="A2228" s="6" t="s">
        <v>943</v>
      </c>
      <c r="B2228" s="6" t="s">
        <v>1596</v>
      </c>
      <c r="C2228" s="6" t="s">
        <v>957</v>
      </c>
      <c r="D2228" s="6" t="s">
        <v>953</v>
      </c>
      <c r="E2228" s="6"/>
      <c r="G2228" s="6">
        <v>200</v>
      </c>
      <c r="H2228" s="6">
        <v>200</v>
      </c>
      <c r="K2228" s="7">
        <v>44006399</v>
      </c>
      <c r="L2228" s="6" t="str">
        <f>B2228&amp;" "&amp;C2228&amp;" "&amp;D2228&amp;" "&amp;G2228&amp;"x"&amp;H2228</f>
        <v>YT POLO YATAK 200x200</v>
      </c>
      <c r="M2228" s="12">
        <v>0.1</v>
      </c>
      <c r="N2228" s="12">
        <v>0.1</v>
      </c>
      <c r="O2228" s="8">
        <v>17750</v>
      </c>
      <c r="P2228" s="8">
        <f t="shared" si="222"/>
        <v>15975</v>
      </c>
      <c r="Q2228" s="12">
        <f t="shared" si="223"/>
        <v>33547.5</v>
      </c>
      <c r="R2228" s="31">
        <f t="shared" si="224"/>
        <v>33500</v>
      </c>
      <c r="T2228" s="8">
        <v>20945</v>
      </c>
      <c r="V2228" s="8">
        <f t="shared" si="225"/>
        <v>18850.5</v>
      </c>
      <c r="W2228" s="8">
        <f t="shared" si="226"/>
        <v>47126.25</v>
      </c>
    </row>
    <row r="2229" spans="1:23" ht="21.95" customHeight="1" x14ac:dyDescent="0.2">
      <c r="A2229" s="6" t="s">
        <v>943</v>
      </c>
      <c r="B2229" s="6" t="s">
        <v>1596</v>
      </c>
      <c r="C2229" s="6" t="s">
        <v>954</v>
      </c>
      <c r="D2229" s="6" t="s">
        <v>960</v>
      </c>
      <c r="E2229" s="6"/>
      <c r="K2229" s="7">
        <v>44006400</v>
      </c>
      <c r="L2229" s="6" t="str">
        <f>B2229&amp;" "&amp;C2229&amp;" "&amp;D2229&amp;" "</f>
        <v xml:space="preserve">YT PARA KASASI KASA KÜÇÜK </v>
      </c>
      <c r="M2229" s="12">
        <v>0.1</v>
      </c>
      <c r="N2229" s="12">
        <v>0.1</v>
      </c>
      <c r="O2229" s="8">
        <v>2230</v>
      </c>
      <c r="P2229" s="8">
        <f t="shared" si="222"/>
        <v>2007</v>
      </c>
      <c r="Q2229" s="12">
        <f t="shared" si="223"/>
        <v>4214.7</v>
      </c>
      <c r="R2229" s="31">
        <f t="shared" si="224"/>
        <v>4200</v>
      </c>
      <c r="T2229" s="8">
        <v>35545</v>
      </c>
      <c r="V2229" s="8">
        <f t="shared" si="225"/>
        <v>31990.5</v>
      </c>
      <c r="W2229" s="8">
        <f t="shared" si="226"/>
        <v>79976.25</v>
      </c>
    </row>
    <row r="2230" spans="1:23" ht="21.95" customHeight="1" x14ac:dyDescent="0.2">
      <c r="A2230" s="6" t="s">
        <v>943</v>
      </c>
      <c r="B2230" s="6" t="s">
        <v>1596</v>
      </c>
      <c r="C2230" s="6" t="s">
        <v>954</v>
      </c>
      <c r="D2230" s="6" t="s">
        <v>956</v>
      </c>
      <c r="E2230" s="6"/>
      <c r="K2230" s="7">
        <v>44006401</v>
      </c>
      <c r="L2230" s="6" t="str">
        <f>B2230&amp;" "&amp;C2230&amp;" "&amp;D2230&amp;" "</f>
        <v xml:space="preserve">YT PARA KASASI KASA BÜYÜK </v>
      </c>
      <c r="M2230" s="12">
        <v>0.1</v>
      </c>
      <c r="N2230" s="12">
        <v>0.1</v>
      </c>
      <c r="O2230" s="8">
        <v>3700</v>
      </c>
      <c r="P2230" s="8">
        <f t="shared" si="222"/>
        <v>3330</v>
      </c>
      <c r="Q2230" s="12">
        <f t="shared" si="223"/>
        <v>6993</v>
      </c>
      <c r="R2230" s="31">
        <f t="shared" si="224"/>
        <v>6900</v>
      </c>
      <c r="T2230" s="8">
        <v>5870</v>
      </c>
      <c r="V2230" s="8">
        <f t="shared" si="225"/>
        <v>5283</v>
      </c>
      <c r="W2230" s="8">
        <f t="shared" si="226"/>
        <v>13207.5</v>
      </c>
    </row>
    <row r="2231" spans="1:23" ht="21.95" customHeight="1" x14ac:dyDescent="0.2">
      <c r="A2231" s="6" t="s">
        <v>943</v>
      </c>
      <c r="B2231" s="6" t="s">
        <v>1596</v>
      </c>
      <c r="C2231" s="6" t="s">
        <v>961</v>
      </c>
      <c r="D2231" s="6" t="s">
        <v>945</v>
      </c>
      <c r="E2231" s="6"/>
      <c r="G2231" s="6">
        <v>160</v>
      </c>
      <c r="H2231" s="6">
        <v>200</v>
      </c>
      <c r="K2231" s="7">
        <v>44006402</v>
      </c>
      <c r="L2231" s="6" t="str">
        <f t="shared" ref="L2231:L2236" si="228">B2231&amp;" "&amp;C2231&amp;" "&amp;D2231&amp;" "&amp;G2231&amp;"x"&amp;H2231</f>
        <v>YT DORMEO BAZA 160x200</v>
      </c>
      <c r="M2231" s="12">
        <v>0.1</v>
      </c>
      <c r="N2231" s="12">
        <v>0.1</v>
      </c>
      <c r="O2231" s="8">
        <v>11730</v>
      </c>
      <c r="P2231" s="8">
        <f t="shared" si="222"/>
        <v>10557</v>
      </c>
      <c r="Q2231" s="12">
        <f t="shared" si="223"/>
        <v>22169.7</v>
      </c>
      <c r="R2231" s="31">
        <f t="shared" si="224"/>
        <v>22100</v>
      </c>
      <c r="T2231" s="8">
        <v>20990</v>
      </c>
      <c r="V2231" s="8">
        <f t="shared" si="225"/>
        <v>18891</v>
      </c>
      <c r="W2231" s="8">
        <f t="shared" si="226"/>
        <v>47227.5</v>
      </c>
    </row>
    <row r="2232" spans="1:23" ht="21.95" customHeight="1" x14ac:dyDescent="0.2">
      <c r="A2232" s="6" t="s">
        <v>943</v>
      </c>
      <c r="B2232" s="6" t="s">
        <v>1596</v>
      </c>
      <c r="C2232" s="6" t="s">
        <v>961</v>
      </c>
      <c r="D2232" s="6" t="s">
        <v>945</v>
      </c>
      <c r="E2232" s="6"/>
      <c r="G2232" s="6">
        <v>180</v>
      </c>
      <c r="H2232" s="6">
        <v>200</v>
      </c>
      <c r="K2232" s="7">
        <v>44006403</v>
      </c>
      <c r="L2232" s="6" t="str">
        <f t="shared" si="228"/>
        <v>YT DORMEO BAZA 180x200</v>
      </c>
      <c r="M2232" s="12">
        <v>0.1</v>
      </c>
      <c r="N2232" s="12">
        <v>0.1</v>
      </c>
      <c r="O2232" s="8">
        <v>12670</v>
      </c>
      <c r="P2232" s="8">
        <f t="shared" si="222"/>
        <v>11403</v>
      </c>
      <c r="Q2232" s="12">
        <f t="shared" si="223"/>
        <v>23946.3</v>
      </c>
      <c r="R2232" s="31">
        <f t="shared" si="224"/>
        <v>23900</v>
      </c>
      <c r="T2232" s="8">
        <v>27287</v>
      </c>
      <c r="V2232" s="8">
        <f t="shared" si="225"/>
        <v>24558.3</v>
      </c>
      <c r="W2232" s="8">
        <f t="shared" si="226"/>
        <v>61395.75</v>
      </c>
    </row>
    <row r="2233" spans="1:23" ht="21.95" customHeight="1" x14ac:dyDescent="0.2">
      <c r="A2233" s="6" t="s">
        <v>943</v>
      </c>
      <c r="B2233" s="6" t="s">
        <v>1596</v>
      </c>
      <c r="C2233" s="6" t="s">
        <v>962</v>
      </c>
      <c r="D2233" s="6" t="s">
        <v>950</v>
      </c>
      <c r="E2233" s="6"/>
      <c r="G2233" s="6">
        <v>160</v>
      </c>
      <c r="H2233" s="6">
        <v>200</v>
      </c>
      <c r="K2233" s="7">
        <v>44006404</v>
      </c>
      <c r="L2233" s="6" t="str">
        <f t="shared" si="228"/>
        <v>YT HANEDAN BAŞLIK 160x200</v>
      </c>
      <c r="M2233" s="12">
        <v>0.1</v>
      </c>
      <c r="N2233" s="12">
        <v>0.1</v>
      </c>
      <c r="O2233" s="8">
        <v>9470</v>
      </c>
      <c r="P2233" s="8">
        <f t="shared" si="222"/>
        <v>8523</v>
      </c>
      <c r="Q2233" s="12">
        <f t="shared" si="223"/>
        <v>17898.3</v>
      </c>
      <c r="R2233" s="31">
        <f t="shared" si="224"/>
        <v>17800</v>
      </c>
      <c r="T2233" s="8">
        <v>31185</v>
      </c>
      <c r="V2233" s="8">
        <f t="shared" si="225"/>
        <v>28066.5</v>
      </c>
      <c r="W2233" s="8">
        <f t="shared" si="226"/>
        <v>70166.25</v>
      </c>
    </row>
    <row r="2234" spans="1:23" ht="21.95" customHeight="1" x14ac:dyDescent="0.2">
      <c r="A2234" s="6" t="s">
        <v>943</v>
      </c>
      <c r="B2234" s="6" t="s">
        <v>1596</v>
      </c>
      <c r="C2234" s="6" t="s">
        <v>962</v>
      </c>
      <c r="D2234" s="6" t="s">
        <v>950</v>
      </c>
      <c r="E2234" s="6"/>
      <c r="G2234" s="6">
        <v>180</v>
      </c>
      <c r="H2234" s="6">
        <v>200</v>
      </c>
      <c r="K2234" s="7">
        <v>44006405</v>
      </c>
      <c r="L2234" s="6" t="str">
        <f t="shared" si="228"/>
        <v>YT HANEDAN BAŞLIK 180x200</v>
      </c>
      <c r="M2234" s="12">
        <v>0.1</v>
      </c>
      <c r="N2234" s="12">
        <v>0.1</v>
      </c>
      <c r="O2234" s="8">
        <v>10440</v>
      </c>
      <c r="P2234" s="8">
        <f t="shared" si="222"/>
        <v>9396</v>
      </c>
      <c r="Q2234" s="12">
        <f t="shared" si="223"/>
        <v>19731.600000000002</v>
      </c>
      <c r="R2234" s="31">
        <f t="shared" si="224"/>
        <v>19700</v>
      </c>
      <c r="T2234" s="8">
        <v>4680</v>
      </c>
      <c r="V2234" s="8">
        <f t="shared" si="225"/>
        <v>4212</v>
      </c>
      <c r="W2234" s="8">
        <f t="shared" si="226"/>
        <v>10530</v>
      </c>
    </row>
    <row r="2235" spans="1:23" ht="21.95" customHeight="1" x14ac:dyDescent="0.2">
      <c r="A2235" s="6" t="s">
        <v>943</v>
      </c>
      <c r="B2235" s="6" t="s">
        <v>1596</v>
      </c>
      <c r="C2235" s="6" t="s">
        <v>963</v>
      </c>
      <c r="D2235" s="6" t="s">
        <v>953</v>
      </c>
      <c r="E2235" s="6"/>
      <c r="G2235" s="6">
        <v>160</v>
      </c>
      <c r="H2235" s="6">
        <v>200</v>
      </c>
      <c r="K2235" s="7">
        <v>44006406</v>
      </c>
      <c r="L2235" s="6" t="str">
        <f t="shared" si="228"/>
        <v>YT FİRUZE YATAK 160x200</v>
      </c>
      <c r="M2235" s="12">
        <v>0.1</v>
      </c>
      <c r="N2235" s="12">
        <v>0.1</v>
      </c>
      <c r="O2235" s="8">
        <v>7500</v>
      </c>
      <c r="P2235" s="8">
        <f t="shared" si="222"/>
        <v>6750</v>
      </c>
      <c r="Q2235" s="12">
        <f t="shared" si="223"/>
        <v>14175</v>
      </c>
      <c r="R2235" s="31">
        <f t="shared" si="224"/>
        <v>14100</v>
      </c>
      <c r="T2235" s="8">
        <v>5275</v>
      </c>
      <c r="V2235" s="8">
        <f t="shared" si="225"/>
        <v>4747.5</v>
      </c>
      <c r="W2235" s="8">
        <f t="shared" si="226"/>
        <v>11868.75</v>
      </c>
    </row>
    <row r="2236" spans="1:23" ht="21.95" customHeight="1" x14ac:dyDescent="0.2">
      <c r="A2236" s="6" t="s">
        <v>943</v>
      </c>
      <c r="B2236" s="6" t="s">
        <v>1596</v>
      </c>
      <c r="C2236" s="6" t="s">
        <v>963</v>
      </c>
      <c r="D2236" s="6" t="s">
        <v>953</v>
      </c>
      <c r="E2236" s="6"/>
      <c r="G2236" s="6">
        <v>180</v>
      </c>
      <c r="H2236" s="6">
        <v>200</v>
      </c>
      <c r="K2236" s="7">
        <v>44006407</v>
      </c>
      <c r="L2236" s="6" t="str">
        <f t="shared" si="228"/>
        <v>YT FİRUZE YATAK 180x200</v>
      </c>
      <c r="M2236" s="12">
        <v>0.1</v>
      </c>
      <c r="N2236" s="12">
        <v>0.1</v>
      </c>
      <c r="O2236" s="8">
        <v>8480</v>
      </c>
      <c r="P2236" s="8">
        <f t="shared" si="222"/>
        <v>7632</v>
      </c>
      <c r="Q2236" s="12">
        <f t="shared" si="223"/>
        <v>16027.2</v>
      </c>
      <c r="R2236" s="31">
        <f t="shared" si="224"/>
        <v>16000</v>
      </c>
      <c r="T2236" s="8">
        <v>3810</v>
      </c>
      <c r="V2236" s="8">
        <f t="shared" si="225"/>
        <v>3429</v>
      </c>
      <c r="W2236" s="8">
        <f t="shared" si="226"/>
        <v>8572.5</v>
      </c>
    </row>
    <row r="2237" spans="1:23" ht="21.95" customHeight="1" x14ac:dyDescent="0.2">
      <c r="A2237" s="6" t="s">
        <v>943</v>
      </c>
      <c r="B2237" s="6" t="s">
        <v>1596</v>
      </c>
      <c r="C2237" s="6" t="s">
        <v>961</v>
      </c>
      <c r="D2237" s="6" t="s">
        <v>959</v>
      </c>
      <c r="E2237" s="6"/>
      <c r="K2237" s="7">
        <v>44006408</v>
      </c>
      <c r="L2237" s="6" t="str">
        <f>B2237&amp;" "&amp;C2237&amp;" "&amp;D2237&amp;" "</f>
        <v xml:space="preserve">YT DORMEO KOMİDİN  </v>
      </c>
      <c r="M2237" s="12">
        <v>0.1</v>
      </c>
      <c r="N2237" s="12">
        <v>0.1</v>
      </c>
      <c r="O2237" s="8">
        <v>4810</v>
      </c>
      <c r="P2237" s="8">
        <f t="shared" si="222"/>
        <v>4329</v>
      </c>
      <c r="Q2237" s="12">
        <f t="shared" si="223"/>
        <v>9090.9</v>
      </c>
      <c r="R2237" s="31">
        <f t="shared" si="224"/>
        <v>9000</v>
      </c>
      <c r="T2237" s="8">
        <v>31410</v>
      </c>
      <c r="V2237" s="8">
        <f t="shared" si="225"/>
        <v>28269</v>
      </c>
      <c r="W2237" s="8">
        <f t="shared" si="226"/>
        <v>70672.5</v>
      </c>
    </row>
    <row r="2238" spans="1:23" ht="21.95" customHeight="1" x14ac:dyDescent="0.2">
      <c r="A2238" s="6" t="s">
        <v>943</v>
      </c>
      <c r="B2238" s="6" t="s">
        <v>1596</v>
      </c>
      <c r="C2238" s="6" t="s">
        <v>497</v>
      </c>
      <c r="D2238" s="6" t="s">
        <v>951</v>
      </c>
      <c r="E2238" s="6"/>
      <c r="K2238" s="7">
        <v>44006409</v>
      </c>
      <c r="L2238" s="6" t="str">
        <f>B2238&amp;" "&amp;C2238&amp;" "&amp;D2238&amp;" "</f>
        <v xml:space="preserve">YT TREND MARKİZ </v>
      </c>
      <c r="M2238" s="12">
        <v>0.1</v>
      </c>
      <c r="N2238" s="12">
        <v>0.1</v>
      </c>
      <c r="O2238" s="8">
        <v>4570</v>
      </c>
      <c r="P2238" s="8">
        <f t="shared" si="222"/>
        <v>4113</v>
      </c>
      <c r="Q2238" s="12">
        <f t="shared" si="223"/>
        <v>8637.3000000000011</v>
      </c>
      <c r="R2238" s="31">
        <f t="shared" si="224"/>
        <v>8600</v>
      </c>
      <c r="T2238" s="8">
        <v>23095</v>
      </c>
      <c r="V2238" s="8">
        <f t="shared" si="225"/>
        <v>20785.5</v>
      </c>
      <c r="W2238" s="8">
        <f t="shared" si="226"/>
        <v>51963.75</v>
      </c>
    </row>
    <row r="2239" spans="1:23" ht="21.95" customHeight="1" x14ac:dyDescent="0.2">
      <c r="A2239" s="6" t="s">
        <v>943</v>
      </c>
      <c r="B2239" s="6" t="s">
        <v>1596</v>
      </c>
      <c r="C2239" s="6" t="s">
        <v>964</v>
      </c>
      <c r="D2239" s="6" t="s">
        <v>126</v>
      </c>
      <c r="E2239" s="6"/>
      <c r="K2239" s="7">
        <v>44006410</v>
      </c>
      <c r="L2239" s="6" t="str">
        <f>B2239&amp;" "&amp;C2239&amp;" "&amp;D2239&amp;" "</f>
        <v xml:space="preserve">YT DORMEO  ÇAMAŞIRLIK </v>
      </c>
      <c r="M2239" s="12">
        <v>0.1</v>
      </c>
      <c r="N2239" s="12">
        <v>0.1</v>
      </c>
      <c r="O2239" s="8">
        <v>10080</v>
      </c>
      <c r="P2239" s="8">
        <f t="shared" si="222"/>
        <v>9072</v>
      </c>
      <c r="Q2239" s="12">
        <f t="shared" si="223"/>
        <v>19051.2</v>
      </c>
      <c r="R2239" s="31">
        <f t="shared" si="224"/>
        <v>19000</v>
      </c>
      <c r="T2239" s="8">
        <v>11745</v>
      </c>
      <c r="V2239" s="8">
        <f t="shared" si="225"/>
        <v>10570.5</v>
      </c>
      <c r="W2239" s="8">
        <f t="shared" si="226"/>
        <v>26426.25</v>
      </c>
    </row>
    <row r="2240" spans="1:23" ht="21.95" customHeight="1" x14ac:dyDescent="0.2">
      <c r="A2240" s="6" t="s">
        <v>943</v>
      </c>
      <c r="B2240" s="6" t="s">
        <v>1596</v>
      </c>
      <c r="C2240" s="6" t="s">
        <v>965</v>
      </c>
      <c r="D2240" s="6" t="s">
        <v>152</v>
      </c>
      <c r="E2240" s="6"/>
      <c r="K2240" s="7">
        <v>44006411</v>
      </c>
      <c r="L2240" s="6" t="str">
        <f>B2240&amp;" "&amp;C2240&amp;" "&amp;D2240&amp;" "</f>
        <v xml:space="preserve">YT LEDLİ AYNA AYNA </v>
      </c>
      <c r="M2240" s="12">
        <v>0.1</v>
      </c>
      <c r="N2240" s="12">
        <v>0.1</v>
      </c>
      <c r="O2240" s="8">
        <v>8020</v>
      </c>
      <c r="P2240" s="8">
        <f t="shared" si="222"/>
        <v>7218</v>
      </c>
      <c r="Q2240" s="12">
        <f t="shared" si="223"/>
        <v>15157.800000000001</v>
      </c>
      <c r="R2240" s="31">
        <f t="shared" si="224"/>
        <v>15100</v>
      </c>
      <c r="T2240" s="8">
        <v>41410</v>
      </c>
      <c r="V2240" s="8">
        <f t="shared" si="225"/>
        <v>37269</v>
      </c>
      <c r="W2240" s="8">
        <f t="shared" si="226"/>
        <v>93172.5</v>
      </c>
    </row>
    <row r="2241" spans="1:23" ht="21.95" customHeight="1" x14ac:dyDescent="0.2">
      <c r="A2241" s="6" t="s">
        <v>943</v>
      </c>
      <c r="B2241" s="6" t="s">
        <v>1596</v>
      </c>
      <c r="C2241" s="6" t="s">
        <v>964</v>
      </c>
      <c r="D2241" s="6" t="s">
        <v>945</v>
      </c>
      <c r="E2241" s="6"/>
      <c r="G2241" s="5">
        <v>160</v>
      </c>
      <c r="H2241" s="5">
        <v>200</v>
      </c>
      <c r="K2241" s="7">
        <v>44006412</v>
      </c>
      <c r="L2241" s="6" t="str">
        <f>B2241&amp;" "&amp;C2241&amp;" "&amp;D2241&amp;" "&amp;G2241&amp;"x"&amp;H2241</f>
        <v>YT DORMEO  BAZA 160x200</v>
      </c>
      <c r="M2241" s="12">
        <v>0.1</v>
      </c>
      <c r="N2241" s="12">
        <v>0.1</v>
      </c>
      <c r="O2241" s="8">
        <v>11730</v>
      </c>
      <c r="P2241" s="8">
        <f t="shared" si="222"/>
        <v>10557</v>
      </c>
      <c r="Q2241" s="12">
        <f t="shared" si="223"/>
        <v>22169.7</v>
      </c>
      <c r="R2241" s="31">
        <f t="shared" si="224"/>
        <v>22100</v>
      </c>
      <c r="T2241" s="8">
        <v>39390</v>
      </c>
      <c r="V2241" s="8">
        <f t="shared" si="225"/>
        <v>35451</v>
      </c>
      <c r="W2241" s="8">
        <f t="shared" si="226"/>
        <v>88627.5</v>
      </c>
    </row>
    <row r="2242" spans="1:23" ht="21.95" customHeight="1" x14ac:dyDescent="0.2">
      <c r="A2242" s="6" t="s">
        <v>943</v>
      </c>
      <c r="B2242" s="6" t="s">
        <v>1596</v>
      </c>
      <c r="C2242" s="6" t="s">
        <v>961</v>
      </c>
      <c r="D2242" s="6" t="s">
        <v>945</v>
      </c>
      <c r="E2242" s="6"/>
      <c r="G2242" s="5">
        <v>180</v>
      </c>
      <c r="H2242" s="5">
        <v>200</v>
      </c>
      <c r="K2242" s="7">
        <v>44006413</v>
      </c>
      <c r="L2242" s="6" t="str">
        <f>B2242&amp;" "&amp;C2242&amp;" "&amp;D2242&amp;" "&amp;G2242&amp;"x"&amp;H2242</f>
        <v>YT DORMEO BAZA 180x200</v>
      </c>
      <c r="M2242" s="12">
        <v>0.1</v>
      </c>
      <c r="N2242" s="12">
        <v>0.1</v>
      </c>
      <c r="O2242" s="8">
        <v>12670</v>
      </c>
      <c r="P2242" s="8">
        <f t="shared" si="222"/>
        <v>11403</v>
      </c>
      <c r="Q2242" s="12">
        <f t="shared" si="223"/>
        <v>23946.3</v>
      </c>
      <c r="R2242" s="31">
        <f t="shared" si="224"/>
        <v>23900</v>
      </c>
    </row>
    <row r="2243" spans="1:23" ht="21.95" customHeight="1" x14ac:dyDescent="0.2">
      <c r="A2243" s="6" t="s">
        <v>943</v>
      </c>
      <c r="B2243" s="6" t="s">
        <v>1596</v>
      </c>
      <c r="C2243" s="6" t="s">
        <v>961</v>
      </c>
      <c r="D2243" s="6" t="s">
        <v>948</v>
      </c>
      <c r="E2243" s="6"/>
      <c r="K2243" s="7">
        <v>44006414</v>
      </c>
      <c r="L2243" s="6" t="str">
        <f>B2243&amp;" "&amp;C2243&amp;" "&amp;D2243&amp;" "</f>
        <v xml:space="preserve">YT DORMEO KOMİDİN </v>
      </c>
      <c r="M2243" s="12">
        <v>0.1</v>
      </c>
      <c r="N2243" s="12">
        <v>0.1</v>
      </c>
      <c r="O2243" s="8">
        <v>4810</v>
      </c>
      <c r="P2243" s="8">
        <f t="shared" si="222"/>
        <v>4329</v>
      </c>
      <c r="Q2243" s="12">
        <f t="shared" si="223"/>
        <v>9090.9</v>
      </c>
      <c r="R2243" s="31">
        <f t="shared" si="224"/>
        <v>9000</v>
      </c>
    </row>
    <row r="2244" spans="1:23" ht="21.95" customHeight="1" x14ac:dyDescent="0.2">
      <c r="A2244" s="6" t="s">
        <v>943</v>
      </c>
      <c r="B2244" s="6" t="s">
        <v>1596</v>
      </c>
      <c r="C2244" s="6" t="s">
        <v>966</v>
      </c>
      <c r="D2244" s="6" t="s">
        <v>950</v>
      </c>
      <c r="E2244" s="6"/>
      <c r="G2244" s="5">
        <v>160</v>
      </c>
      <c r="H2244" s="5">
        <v>200</v>
      </c>
      <c r="K2244" s="7">
        <v>44006415</v>
      </c>
      <c r="L2244" s="6" t="str">
        <f>B2244&amp;" "&amp;C2244&amp;" "&amp;D2244&amp;" "&amp;G2244&amp;"x"&amp;H2244</f>
        <v>YT ŞEHRAZAT BAŞLIK 160x200</v>
      </c>
      <c r="M2244" s="12">
        <v>0.1</v>
      </c>
      <c r="N2244" s="12">
        <v>0.1</v>
      </c>
      <c r="O2244" s="8">
        <v>9750</v>
      </c>
      <c r="P2244" s="8">
        <f t="shared" si="222"/>
        <v>8775</v>
      </c>
      <c r="Q2244" s="12">
        <f t="shared" si="223"/>
        <v>18427.5</v>
      </c>
      <c r="R2244" s="31">
        <f t="shared" si="224"/>
        <v>18400</v>
      </c>
    </row>
    <row r="2245" spans="1:23" ht="21.95" customHeight="1" x14ac:dyDescent="0.2">
      <c r="A2245" s="6" t="s">
        <v>943</v>
      </c>
      <c r="B2245" s="6" t="s">
        <v>1596</v>
      </c>
      <c r="C2245" s="6" t="s">
        <v>966</v>
      </c>
      <c r="D2245" s="6" t="s">
        <v>950</v>
      </c>
      <c r="E2245" s="6"/>
      <c r="G2245" s="6">
        <v>180</v>
      </c>
      <c r="H2245" s="6">
        <v>200</v>
      </c>
      <c r="K2245" s="7">
        <v>44006416</v>
      </c>
      <c r="L2245" s="6" t="str">
        <f>B2245&amp;" "&amp;C2245&amp;" "&amp;D2245&amp;" "&amp;G2245&amp;"x"&amp;H2245</f>
        <v>YT ŞEHRAZAT BAŞLIK 180x200</v>
      </c>
      <c r="M2245" s="12">
        <v>0.1</v>
      </c>
      <c r="N2245" s="12">
        <v>0.1</v>
      </c>
      <c r="O2245" s="8">
        <v>10730</v>
      </c>
      <c r="P2245" s="8">
        <f t="shared" si="222"/>
        <v>9657</v>
      </c>
      <c r="Q2245" s="12">
        <f t="shared" si="223"/>
        <v>20279.7</v>
      </c>
      <c r="R2245" s="31">
        <f t="shared" si="224"/>
        <v>20200</v>
      </c>
    </row>
    <row r="2246" spans="1:23" ht="21.95" customHeight="1" x14ac:dyDescent="0.2">
      <c r="A2246" s="6" t="s">
        <v>943</v>
      </c>
      <c r="B2246" s="6" t="s">
        <v>1596</v>
      </c>
      <c r="C2246" s="6" t="s">
        <v>497</v>
      </c>
      <c r="D2246" s="6" t="s">
        <v>951</v>
      </c>
      <c r="E2246" s="6"/>
      <c r="K2246" s="7">
        <v>44006417</v>
      </c>
      <c r="L2246" s="6" t="str">
        <f>B2246&amp;" "&amp;C2246&amp;" "&amp;D2246&amp;" "</f>
        <v xml:space="preserve">YT TREND MARKİZ </v>
      </c>
      <c r="M2246" s="12">
        <v>0.1</v>
      </c>
      <c r="N2246" s="12">
        <v>0.1</v>
      </c>
      <c r="O2246" s="8">
        <v>4570</v>
      </c>
      <c r="P2246" s="8">
        <f t="shared" si="222"/>
        <v>4113</v>
      </c>
      <c r="Q2246" s="12">
        <f t="shared" si="223"/>
        <v>8637.3000000000011</v>
      </c>
      <c r="R2246" s="31">
        <f t="shared" si="224"/>
        <v>8600</v>
      </c>
    </row>
    <row r="2247" spans="1:23" ht="21.95" customHeight="1" x14ac:dyDescent="0.2">
      <c r="A2247" s="6" t="s">
        <v>943</v>
      </c>
      <c r="B2247" s="6" t="s">
        <v>1596</v>
      </c>
      <c r="C2247" s="6" t="s">
        <v>967</v>
      </c>
      <c r="D2247" s="6" t="s">
        <v>953</v>
      </c>
      <c r="E2247" s="6"/>
      <c r="G2247" s="6">
        <v>160</v>
      </c>
      <c r="H2247" s="6">
        <v>200</v>
      </c>
      <c r="K2247" s="7">
        <v>44006418</v>
      </c>
      <c r="L2247" s="6" t="str">
        <f>B2247&amp;" "&amp;C2247&amp;" "&amp;D2247&amp;" "&amp;G2247&amp;"x"&amp;H2247</f>
        <v>YT HERMES YATAK 160x200</v>
      </c>
      <c r="M2247" s="12">
        <v>0.1</v>
      </c>
      <c r="N2247" s="12">
        <v>0.1</v>
      </c>
      <c r="O2247" s="8">
        <v>9310</v>
      </c>
      <c r="P2247" s="8">
        <f t="shared" si="222"/>
        <v>8379</v>
      </c>
      <c r="Q2247" s="12">
        <f t="shared" si="223"/>
        <v>17595.900000000001</v>
      </c>
      <c r="R2247" s="31">
        <f t="shared" si="224"/>
        <v>17500</v>
      </c>
    </row>
    <row r="2248" spans="1:23" ht="21.95" customHeight="1" x14ac:dyDescent="0.2">
      <c r="A2248" s="6" t="s">
        <v>943</v>
      </c>
      <c r="B2248" s="6" t="s">
        <v>1596</v>
      </c>
      <c r="C2248" s="6" t="s">
        <v>967</v>
      </c>
      <c r="D2248" s="6" t="s">
        <v>953</v>
      </c>
      <c r="E2248" s="6"/>
      <c r="G2248" s="6">
        <v>180</v>
      </c>
      <c r="H2248" s="6">
        <v>200</v>
      </c>
      <c r="K2248" s="7">
        <v>44006419</v>
      </c>
      <c r="L2248" s="6" t="str">
        <f>B2248&amp;" "&amp;C2248&amp;" "&amp;D2248&amp;" "&amp;G2248&amp;"x"&amp;H2248</f>
        <v>YT HERMES YATAK 180x200</v>
      </c>
      <c r="M2248" s="12">
        <v>0.1</v>
      </c>
      <c r="N2248" s="12">
        <v>0.1</v>
      </c>
      <c r="O2248" s="8">
        <v>10020</v>
      </c>
      <c r="P2248" s="8">
        <f t="shared" si="222"/>
        <v>9018</v>
      </c>
      <c r="Q2248" s="12">
        <f t="shared" si="223"/>
        <v>18937.8</v>
      </c>
      <c r="R2248" s="31">
        <f t="shared" si="224"/>
        <v>18900</v>
      </c>
    </row>
    <row r="2249" spans="1:23" ht="21.95" customHeight="1" x14ac:dyDescent="0.2">
      <c r="A2249" s="6" t="s">
        <v>943</v>
      </c>
      <c r="B2249" s="6" t="s">
        <v>1596</v>
      </c>
      <c r="C2249" s="6" t="s">
        <v>961</v>
      </c>
      <c r="D2249" s="6" t="s">
        <v>126</v>
      </c>
      <c r="E2249" s="6"/>
      <c r="K2249" s="7">
        <v>44006420</v>
      </c>
      <c r="L2249" s="6" t="str">
        <f>B2249&amp;" "&amp;C2249&amp;" "&amp;D2249&amp;" "</f>
        <v xml:space="preserve">YT DORMEO ÇAMAŞIRLIK </v>
      </c>
      <c r="M2249" s="12">
        <v>0.1</v>
      </c>
      <c r="N2249" s="12">
        <v>0.1</v>
      </c>
      <c r="O2249" s="8">
        <v>10080</v>
      </c>
      <c r="P2249" s="8">
        <f t="shared" si="222"/>
        <v>9072</v>
      </c>
      <c r="Q2249" s="12">
        <f t="shared" si="223"/>
        <v>19051.2</v>
      </c>
      <c r="R2249" s="31">
        <f t="shared" si="224"/>
        <v>19000</v>
      </c>
    </row>
    <row r="2250" spans="1:23" ht="21.95" customHeight="1" x14ac:dyDescent="0.2">
      <c r="A2250" s="6" t="s">
        <v>943</v>
      </c>
      <c r="B2250" s="6" t="s">
        <v>1596</v>
      </c>
      <c r="C2250" s="6" t="s">
        <v>968</v>
      </c>
      <c r="D2250" s="6" t="s">
        <v>945</v>
      </c>
      <c r="E2250" s="6"/>
      <c r="G2250" s="5">
        <v>225</v>
      </c>
      <c r="H2250" s="5">
        <v>225</v>
      </c>
      <c r="K2250" s="7">
        <v>44006421</v>
      </c>
      <c r="L2250" s="6" t="str">
        <f>B2250&amp;" "&amp;C2250&amp;" "&amp;D2250&amp;" "&amp;G2250&amp;"x"&amp;H2250</f>
        <v>YT GÖKSU  BAZA 225x225</v>
      </c>
      <c r="M2250" s="12">
        <v>0.1</v>
      </c>
      <c r="N2250" s="12">
        <v>0.1</v>
      </c>
      <c r="O2250" s="8">
        <v>21660</v>
      </c>
      <c r="P2250" s="8">
        <f t="shared" si="222"/>
        <v>19494</v>
      </c>
      <c r="Q2250" s="12">
        <f t="shared" si="223"/>
        <v>40937.4</v>
      </c>
      <c r="R2250" s="31">
        <f t="shared" si="224"/>
        <v>40900</v>
      </c>
    </row>
    <row r="2251" spans="1:23" ht="21.95" customHeight="1" x14ac:dyDescent="0.2">
      <c r="A2251" s="6" t="s">
        <v>943</v>
      </c>
      <c r="B2251" s="6" t="s">
        <v>1596</v>
      </c>
      <c r="C2251" s="6" t="s">
        <v>968</v>
      </c>
      <c r="D2251" s="6" t="s">
        <v>950</v>
      </c>
      <c r="E2251" s="6"/>
      <c r="K2251" s="7">
        <v>44006422</v>
      </c>
      <c r="L2251" s="6" t="str">
        <f>B2251&amp;" "&amp;C2251&amp;" "&amp;D2251&amp;" "</f>
        <v xml:space="preserve">YT GÖKSU  BAŞLIK </v>
      </c>
      <c r="M2251" s="12">
        <v>0.1</v>
      </c>
      <c r="N2251" s="12">
        <v>0.1</v>
      </c>
      <c r="O2251" s="8">
        <v>3750</v>
      </c>
      <c r="P2251" s="8">
        <f t="shared" si="222"/>
        <v>3375</v>
      </c>
      <c r="Q2251" s="12">
        <f t="shared" si="223"/>
        <v>7087.5</v>
      </c>
      <c r="R2251" s="31">
        <f t="shared" si="224"/>
        <v>7000</v>
      </c>
    </row>
    <row r="2252" spans="1:23" ht="21.95" customHeight="1" x14ac:dyDescent="0.2">
      <c r="A2252" s="6" t="s">
        <v>943</v>
      </c>
      <c r="B2252" s="6" t="s">
        <v>1596</v>
      </c>
      <c r="C2252" s="6" t="s">
        <v>968</v>
      </c>
      <c r="D2252" s="6" t="s">
        <v>953</v>
      </c>
      <c r="E2252" s="6"/>
      <c r="G2252" s="5">
        <v>225</v>
      </c>
      <c r="H2252" s="5">
        <v>225</v>
      </c>
      <c r="K2252" s="7">
        <v>44006423</v>
      </c>
      <c r="L2252" s="6" t="str">
        <f>B2252&amp;" "&amp;C2252&amp;" "&amp;D2252&amp;" "&amp;G2252&amp;"x"&amp;H2252</f>
        <v>YT GÖKSU  YATAK 225x225</v>
      </c>
      <c r="M2252" s="12">
        <v>0.1</v>
      </c>
      <c r="N2252" s="12">
        <v>0.1</v>
      </c>
      <c r="O2252" s="8">
        <v>16630</v>
      </c>
      <c r="P2252" s="8">
        <f t="shared" si="222"/>
        <v>14967</v>
      </c>
      <c r="Q2252" s="12">
        <f t="shared" si="223"/>
        <v>31430.7</v>
      </c>
      <c r="R2252" s="31">
        <f t="shared" si="224"/>
        <v>31400</v>
      </c>
    </row>
    <row r="2253" spans="1:23" ht="21.95" customHeight="1" x14ac:dyDescent="0.2">
      <c r="A2253" s="6" t="s">
        <v>943</v>
      </c>
      <c r="B2253" s="6" t="s">
        <v>1596</v>
      </c>
      <c r="C2253" s="6" t="s">
        <v>969</v>
      </c>
      <c r="D2253" s="6" t="s">
        <v>948</v>
      </c>
      <c r="E2253" s="6"/>
      <c r="K2253" s="7">
        <v>44006424</v>
      </c>
      <c r="L2253" s="6" t="str">
        <f>B2253&amp;" "&amp;C2253&amp;" "&amp;D2253&amp;" "</f>
        <v xml:space="preserve">YT SAFRAN KOMİDİN </v>
      </c>
      <c r="M2253" s="12">
        <v>0.1</v>
      </c>
      <c r="N2253" s="12">
        <v>0.1</v>
      </c>
      <c r="O2253" s="8">
        <v>4100</v>
      </c>
      <c r="P2253" s="8">
        <f t="shared" si="222"/>
        <v>3690</v>
      </c>
      <c r="Q2253" s="12">
        <f t="shared" si="223"/>
        <v>7749</v>
      </c>
      <c r="R2253" s="31">
        <f t="shared" si="224"/>
        <v>7700</v>
      </c>
    </row>
    <row r="2254" spans="1:23" ht="21.95" customHeight="1" x14ac:dyDescent="0.2">
      <c r="A2254" s="6" t="s">
        <v>943</v>
      </c>
      <c r="B2254" s="6" t="s">
        <v>1596</v>
      </c>
      <c r="C2254" s="6" t="s">
        <v>970</v>
      </c>
      <c r="D2254" s="6" t="s">
        <v>945</v>
      </c>
      <c r="E2254" s="6"/>
      <c r="G2254" s="5">
        <v>90</v>
      </c>
      <c r="H2254" s="5">
        <v>200</v>
      </c>
      <c r="K2254" s="7">
        <v>44006425</v>
      </c>
      <c r="L2254" s="6" t="str">
        <f t="shared" ref="L2254:L2285" si="229">B2254&amp;" "&amp;C2254&amp;" "&amp;D2254&amp;" "&amp;G2254&amp;"x"&amp;H2254</f>
        <v>YT EFSANE BAZA 90x200</v>
      </c>
      <c r="M2254" s="12">
        <v>0.1</v>
      </c>
      <c r="N2254" s="12">
        <v>0.1</v>
      </c>
      <c r="O2254" s="8">
        <v>15540</v>
      </c>
      <c r="P2254" s="8">
        <f t="shared" ref="P2254:P2317" si="230">O2254*(1-N2254)</f>
        <v>13986</v>
      </c>
      <c r="Q2254" s="12">
        <f t="shared" ref="Q2254:Q2317" si="231">O2254*(1-N2254)*2.1</f>
        <v>29370.600000000002</v>
      </c>
      <c r="R2254" s="31">
        <f t="shared" ref="R2254:R2317" si="232">ROUNDDOWN(Q2254,-2)</f>
        <v>29300</v>
      </c>
    </row>
    <row r="2255" spans="1:23" ht="21.95" customHeight="1" x14ac:dyDescent="0.2">
      <c r="A2255" s="6" t="s">
        <v>943</v>
      </c>
      <c r="B2255" s="6" t="s">
        <v>1596</v>
      </c>
      <c r="C2255" s="6" t="s">
        <v>971</v>
      </c>
      <c r="D2255" s="6" t="s">
        <v>945</v>
      </c>
      <c r="E2255" s="6"/>
      <c r="G2255" s="6">
        <v>180</v>
      </c>
      <c r="H2255" s="6">
        <v>200</v>
      </c>
      <c r="K2255" s="7">
        <v>44006426</v>
      </c>
      <c r="L2255" s="6" t="str">
        <f t="shared" si="229"/>
        <v>YT EFSANE  BAZA 180x200</v>
      </c>
      <c r="M2255" s="12">
        <v>0.1</v>
      </c>
      <c r="N2255" s="12">
        <v>0.1</v>
      </c>
      <c r="O2255" s="8">
        <v>31430</v>
      </c>
      <c r="P2255" s="8">
        <f t="shared" si="230"/>
        <v>28287</v>
      </c>
      <c r="Q2255" s="12">
        <f t="shared" si="231"/>
        <v>59402.700000000004</v>
      </c>
      <c r="R2255" s="31">
        <f t="shared" si="232"/>
        <v>59400</v>
      </c>
    </row>
    <row r="2256" spans="1:23" ht="21.95" customHeight="1" x14ac:dyDescent="0.2">
      <c r="A2256" s="6" t="s">
        <v>943</v>
      </c>
      <c r="B2256" s="6" t="s">
        <v>1596</v>
      </c>
      <c r="C2256" s="6" t="s">
        <v>971</v>
      </c>
      <c r="D2256" s="6" t="s">
        <v>950</v>
      </c>
      <c r="E2256" s="6"/>
      <c r="G2256" s="6">
        <v>90</v>
      </c>
      <c r="H2256" s="6">
        <v>200</v>
      </c>
      <c r="K2256" s="7">
        <v>44006427</v>
      </c>
      <c r="L2256" s="6" t="str">
        <f t="shared" si="229"/>
        <v>YT EFSANE  BAŞLIK 90x200</v>
      </c>
      <c r="M2256" s="12">
        <v>0.1</v>
      </c>
      <c r="N2256" s="12">
        <v>0.1</v>
      </c>
      <c r="O2256" s="8">
        <v>2940</v>
      </c>
      <c r="P2256" s="8">
        <f t="shared" si="230"/>
        <v>2646</v>
      </c>
      <c r="Q2256" s="12">
        <f t="shared" si="231"/>
        <v>5556.6</v>
      </c>
      <c r="R2256" s="31">
        <f t="shared" si="232"/>
        <v>5500</v>
      </c>
    </row>
    <row r="2257" spans="1:23" ht="21.95" customHeight="1" x14ac:dyDescent="0.2">
      <c r="A2257" s="6" t="s">
        <v>943</v>
      </c>
      <c r="B2257" s="6" t="s">
        <v>1596</v>
      </c>
      <c r="C2257" s="6" t="s">
        <v>970</v>
      </c>
      <c r="D2257" s="6" t="s">
        <v>950</v>
      </c>
      <c r="E2257" s="6"/>
      <c r="G2257" s="6">
        <v>180</v>
      </c>
      <c r="H2257" s="6">
        <v>200</v>
      </c>
      <c r="K2257" s="7">
        <v>44006428</v>
      </c>
      <c r="L2257" s="6" t="str">
        <f t="shared" si="229"/>
        <v>YT EFSANE BAŞLIK 180x200</v>
      </c>
      <c r="M2257" s="12">
        <v>0.1</v>
      </c>
      <c r="N2257" s="12">
        <v>0.1</v>
      </c>
      <c r="O2257" s="8">
        <v>5430</v>
      </c>
      <c r="P2257" s="8">
        <f t="shared" si="230"/>
        <v>4887</v>
      </c>
      <c r="Q2257" s="12">
        <f t="shared" si="231"/>
        <v>10262.700000000001</v>
      </c>
      <c r="R2257" s="31">
        <f t="shared" si="232"/>
        <v>10200</v>
      </c>
    </row>
    <row r="2258" spans="1:23" ht="21.95" customHeight="1" x14ac:dyDescent="0.2">
      <c r="A2258" s="6" t="s">
        <v>943</v>
      </c>
      <c r="B2258" s="6" t="s">
        <v>1596</v>
      </c>
      <c r="C2258" s="6" t="s">
        <v>972</v>
      </c>
      <c r="D2258" s="6" t="s">
        <v>953</v>
      </c>
      <c r="E2258" s="6"/>
      <c r="G2258" s="6">
        <v>90</v>
      </c>
      <c r="H2258" s="6">
        <v>200</v>
      </c>
      <c r="K2258" s="7">
        <v>44006429</v>
      </c>
      <c r="L2258" s="6" t="str">
        <f t="shared" si="229"/>
        <v>YT VİSCO FLEX  YATAK 90x200</v>
      </c>
      <c r="M2258" s="12">
        <v>0.1</v>
      </c>
      <c r="N2258" s="12">
        <v>0.1</v>
      </c>
      <c r="O2258" s="8">
        <v>6890</v>
      </c>
      <c r="P2258" s="8">
        <f t="shared" si="230"/>
        <v>6201</v>
      </c>
      <c r="Q2258" s="12">
        <f t="shared" si="231"/>
        <v>13022.1</v>
      </c>
      <c r="R2258" s="31">
        <f t="shared" si="232"/>
        <v>13000</v>
      </c>
    </row>
    <row r="2259" spans="1:23" ht="21.95" customHeight="1" x14ac:dyDescent="0.2">
      <c r="A2259" s="6" t="s">
        <v>943</v>
      </c>
      <c r="B2259" s="6" t="s">
        <v>1596</v>
      </c>
      <c r="C2259" s="6" t="s">
        <v>972</v>
      </c>
      <c r="D2259" s="6" t="s">
        <v>953</v>
      </c>
      <c r="E2259" s="6"/>
      <c r="G2259" s="6">
        <v>180</v>
      </c>
      <c r="H2259" s="6">
        <v>200</v>
      </c>
      <c r="K2259" s="7">
        <v>44006430</v>
      </c>
      <c r="L2259" s="6" t="str">
        <f t="shared" si="229"/>
        <v>YT VİSCO FLEX  YATAK 180x200</v>
      </c>
      <c r="M2259" s="12">
        <v>0.1</v>
      </c>
      <c r="N2259" s="12">
        <v>0.1</v>
      </c>
      <c r="O2259" s="8">
        <v>13460</v>
      </c>
      <c r="P2259" s="8">
        <f t="shared" si="230"/>
        <v>12114</v>
      </c>
      <c r="Q2259" s="12">
        <f t="shared" si="231"/>
        <v>25439.4</v>
      </c>
      <c r="R2259" s="31">
        <f t="shared" si="232"/>
        <v>25400</v>
      </c>
    </row>
    <row r="2260" spans="1:23" ht="21.95" customHeight="1" x14ac:dyDescent="0.2">
      <c r="A2260" s="6" t="s">
        <v>943</v>
      </c>
      <c r="B2260" s="6" t="s">
        <v>1596</v>
      </c>
      <c r="C2260" s="6" t="s">
        <v>494</v>
      </c>
      <c r="D2260" s="6" t="s">
        <v>945</v>
      </c>
      <c r="E2260" s="6"/>
      <c r="G2260" s="6">
        <v>150</v>
      </c>
      <c r="H2260" s="6">
        <v>200</v>
      </c>
      <c r="K2260" s="7">
        <v>44006431</v>
      </c>
      <c r="L2260" s="6" t="str">
        <f t="shared" si="229"/>
        <v>YT PİCASSO BAZA 150x200</v>
      </c>
      <c r="M2260" s="12">
        <v>0.1</v>
      </c>
      <c r="N2260" s="12">
        <v>0.1</v>
      </c>
      <c r="O2260" s="8">
        <v>32880</v>
      </c>
      <c r="P2260" s="8">
        <f t="shared" si="230"/>
        <v>29592</v>
      </c>
      <c r="Q2260" s="12">
        <f t="shared" si="231"/>
        <v>62143.200000000004</v>
      </c>
      <c r="R2260" s="31">
        <f t="shared" si="232"/>
        <v>62100</v>
      </c>
    </row>
    <row r="2261" spans="1:23" ht="21.95" customHeight="1" x14ac:dyDescent="0.2">
      <c r="A2261" s="6" t="s">
        <v>943</v>
      </c>
      <c r="B2261" s="6" t="s">
        <v>1596</v>
      </c>
      <c r="C2261" s="6" t="s">
        <v>494</v>
      </c>
      <c r="D2261" s="6" t="s">
        <v>945</v>
      </c>
      <c r="E2261" s="6"/>
      <c r="G2261" s="6">
        <v>160</v>
      </c>
      <c r="H2261" s="6">
        <v>200</v>
      </c>
      <c r="K2261" s="7">
        <v>44006432</v>
      </c>
      <c r="L2261" s="6" t="str">
        <f t="shared" si="229"/>
        <v>YT PİCASSO BAZA 160x200</v>
      </c>
      <c r="M2261" s="12">
        <v>0.1</v>
      </c>
      <c r="N2261" s="12">
        <v>0.1</v>
      </c>
      <c r="O2261" s="8">
        <v>34480</v>
      </c>
      <c r="P2261" s="8">
        <f t="shared" si="230"/>
        <v>31032</v>
      </c>
      <c r="Q2261" s="12">
        <f t="shared" si="231"/>
        <v>65167.200000000004</v>
      </c>
      <c r="R2261" s="31">
        <f t="shared" si="232"/>
        <v>65100</v>
      </c>
    </row>
    <row r="2262" spans="1:23" ht="21.95" customHeight="1" x14ac:dyDescent="0.2">
      <c r="A2262" s="6" t="s">
        <v>943</v>
      </c>
      <c r="B2262" s="6" t="s">
        <v>1596</v>
      </c>
      <c r="C2262" s="6" t="s">
        <v>494</v>
      </c>
      <c r="D2262" s="6" t="s">
        <v>945</v>
      </c>
      <c r="E2262" s="6"/>
      <c r="G2262" s="6">
        <v>180</v>
      </c>
      <c r="H2262" s="6">
        <v>200</v>
      </c>
      <c r="K2262" s="7">
        <v>44006433</v>
      </c>
      <c r="L2262" s="6" t="str">
        <f t="shared" si="229"/>
        <v>YT PİCASSO BAZA 180x200</v>
      </c>
      <c r="M2262" s="12">
        <v>0.1</v>
      </c>
      <c r="N2262" s="12">
        <v>0.1</v>
      </c>
      <c r="O2262" s="8">
        <v>35990</v>
      </c>
      <c r="P2262" s="8">
        <f t="shared" si="230"/>
        <v>32391</v>
      </c>
      <c r="Q2262" s="12">
        <f t="shared" si="231"/>
        <v>68021.100000000006</v>
      </c>
      <c r="R2262" s="31">
        <f t="shared" si="232"/>
        <v>68000</v>
      </c>
    </row>
    <row r="2263" spans="1:23" ht="21.95" customHeight="1" x14ac:dyDescent="0.2">
      <c r="A2263" s="6" t="s">
        <v>943</v>
      </c>
      <c r="B2263" s="6" t="s">
        <v>1596</v>
      </c>
      <c r="C2263" s="6" t="s">
        <v>494</v>
      </c>
      <c r="D2263" s="6" t="s">
        <v>945</v>
      </c>
      <c r="E2263" s="6"/>
      <c r="G2263" s="6">
        <v>200</v>
      </c>
      <c r="H2263" s="6">
        <v>200</v>
      </c>
      <c r="K2263" s="7">
        <v>44006434</v>
      </c>
      <c r="L2263" s="6" t="str">
        <f t="shared" si="229"/>
        <v>YT PİCASSO BAZA 200x200</v>
      </c>
      <c r="M2263" s="12">
        <v>0.1</v>
      </c>
      <c r="N2263" s="12">
        <v>0.1</v>
      </c>
      <c r="O2263" s="8">
        <v>37470</v>
      </c>
      <c r="P2263" s="8">
        <f t="shared" si="230"/>
        <v>33723</v>
      </c>
      <c r="Q2263" s="12">
        <f t="shared" si="231"/>
        <v>70818.3</v>
      </c>
      <c r="R2263" s="31">
        <f t="shared" si="232"/>
        <v>70800</v>
      </c>
    </row>
    <row r="2264" spans="1:23" ht="21.95" customHeight="1" x14ac:dyDescent="0.2">
      <c r="A2264" s="6" t="s">
        <v>943</v>
      </c>
      <c r="B2264" s="6" t="s">
        <v>1596</v>
      </c>
      <c r="C2264" s="6" t="s">
        <v>494</v>
      </c>
      <c r="D2264" s="6" t="s">
        <v>950</v>
      </c>
      <c r="E2264" s="6"/>
      <c r="G2264" s="6">
        <v>150</v>
      </c>
      <c r="H2264" s="6">
        <v>200</v>
      </c>
      <c r="K2264" s="7">
        <v>44006435</v>
      </c>
      <c r="L2264" s="6" t="str">
        <f t="shared" si="229"/>
        <v>YT PİCASSO BAŞLIK 150x200</v>
      </c>
      <c r="M2264" s="12">
        <v>0.1</v>
      </c>
      <c r="N2264" s="12">
        <v>0.1</v>
      </c>
      <c r="O2264" s="8">
        <v>8030</v>
      </c>
      <c r="P2264" s="8">
        <f t="shared" si="230"/>
        <v>7227</v>
      </c>
      <c r="Q2264" s="12">
        <f t="shared" si="231"/>
        <v>15176.7</v>
      </c>
      <c r="R2264" s="31">
        <f t="shared" si="232"/>
        <v>15100</v>
      </c>
    </row>
    <row r="2265" spans="1:23" ht="21.95" customHeight="1" x14ac:dyDescent="0.2">
      <c r="A2265" s="6" t="s">
        <v>943</v>
      </c>
      <c r="B2265" s="6" t="s">
        <v>1596</v>
      </c>
      <c r="C2265" s="6" t="s">
        <v>494</v>
      </c>
      <c r="D2265" s="6" t="s">
        <v>950</v>
      </c>
      <c r="E2265" s="6"/>
      <c r="G2265" s="6">
        <v>160</v>
      </c>
      <c r="H2265" s="6">
        <v>200</v>
      </c>
      <c r="K2265" s="7">
        <v>44006436</v>
      </c>
      <c r="L2265" s="6" t="str">
        <f t="shared" si="229"/>
        <v>YT PİCASSO BAŞLIK 160x200</v>
      </c>
      <c r="M2265" s="12">
        <v>0.1</v>
      </c>
      <c r="N2265" s="12">
        <v>0.1</v>
      </c>
      <c r="O2265" s="8">
        <v>8460</v>
      </c>
      <c r="P2265" s="8">
        <f t="shared" si="230"/>
        <v>7614</v>
      </c>
      <c r="Q2265" s="12">
        <f t="shared" si="231"/>
        <v>15989.400000000001</v>
      </c>
      <c r="R2265" s="31">
        <f t="shared" si="232"/>
        <v>15900</v>
      </c>
    </row>
    <row r="2266" spans="1:23" ht="21.95" customHeight="1" x14ac:dyDescent="0.2">
      <c r="A2266" s="6" t="s">
        <v>943</v>
      </c>
      <c r="B2266" s="6" t="s">
        <v>1596</v>
      </c>
      <c r="C2266" s="6" t="s">
        <v>494</v>
      </c>
      <c r="D2266" s="6" t="s">
        <v>950</v>
      </c>
      <c r="E2266" s="6"/>
      <c r="G2266" s="6">
        <v>180</v>
      </c>
      <c r="H2266" s="6">
        <v>200</v>
      </c>
      <c r="K2266" s="7">
        <v>44006437</v>
      </c>
      <c r="L2266" s="6" t="str">
        <f t="shared" si="229"/>
        <v>YT PİCASSO BAŞLIK 180x200</v>
      </c>
      <c r="M2266" s="12">
        <v>0.1</v>
      </c>
      <c r="N2266" s="12">
        <v>0.1</v>
      </c>
      <c r="O2266" s="8">
        <v>9000</v>
      </c>
      <c r="P2266" s="8">
        <f t="shared" si="230"/>
        <v>8100</v>
      </c>
      <c r="Q2266" s="12">
        <f t="shared" si="231"/>
        <v>17010</v>
      </c>
      <c r="R2266" s="31">
        <f t="shared" si="232"/>
        <v>17000</v>
      </c>
    </row>
    <row r="2267" spans="1:23" ht="21.95" customHeight="1" x14ac:dyDescent="0.2">
      <c r="A2267" s="6" t="s">
        <v>943</v>
      </c>
      <c r="B2267" s="6" t="s">
        <v>1596</v>
      </c>
      <c r="C2267" s="6" t="s">
        <v>494</v>
      </c>
      <c r="D2267" s="6" t="s">
        <v>950</v>
      </c>
      <c r="E2267" s="6"/>
      <c r="G2267" s="6">
        <v>200</v>
      </c>
      <c r="H2267" s="6">
        <v>200</v>
      </c>
      <c r="K2267" s="7">
        <v>44006438</v>
      </c>
      <c r="L2267" s="6" t="str">
        <f t="shared" si="229"/>
        <v>YT PİCASSO BAŞLIK 200x200</v>
      </c>
      <c r="M2267" s="12">
        <v>0.1</v>
      </c>
      <c r="N2267" s="12">
        <v>0.1</v>
      </c>
      <c r="O2267" s="8">
        <v>9580</v>
      </c>
      <c r="P2267" s="8">
        <f t="shared" si="230"/>
        <v>8622</v>
      </c>
      <c r="Q2267" s="12">
        <f t="shared" si="231"/>
        <v>18106.2</v>
      </c>
      <c r="R2267" s="31">
        <f t="shared" si="232"/>
        <v>18100</v>
      </c>
      <c r="T2267" s="8">
        <v>36265</v>
      </c>
      <c r="V2267" s="8">
        <f t="shared" si="225"/>
        <v>32638.5</v>
      </c>
      <c r="W2267" s="8">
        <f t="shared" si="226"/>
        <v>81596.25</v>
      </c>
    </row>
    <row r="2268" spans="1:23" ht="21.95" customHeight="1" x14ac:dyDescent="0.2">
      <c r="A2268" s="6" t="s">
        <v>943</v>
      </c>
      <c r="B2268" s="6" t="s">
        <v>1596</v>
      </c>
      <c r="C2268" s="6" t="s">
        <v>494</v>
      </c>
      <c r="D2268" s="6" t="s">
        <v>948</v>
      </c>
      <c r="E2268" s="6"/>
      <c r="G2268" s="6">
        <v>47</v>
      </c>
      <c r="H2268" s="6">
        <v>56</v>
      </c>
      <c r="I2268" s="7">
        <v>52</v>
      </c>
      <c r="K2268" s="7">
        <v>44006439</v>
      </c>
      <c r="L2268" s="6" t="str">
        <f t="shared" si="229"/>
        <v>YT PİCASSO KOMİDİN 47x56</v>
      </c>
      <c r="M2268" s="12">
        <v>0.1</v>
      </c>
      <c r="N2268" s="12">
        <v>0.1</v>
      </c>
      <c r="O2268" s="8">
        <v>5290</v>
      </c>
      <c r="P2268" s="8">
        <f t="shared" si="230"/>
        <v>4761</v>
      </c>
      <c r="Q2268" s="12">
        <f t="shared" si="231"/>
        <v>9998.1</v>
      </c>
      <c r="R2268" s="31">
        <f t="shared" si="232"/>
        <v>9900</v>
      </c>
      <c r="T2268" s="8">
        <v>37325</v>
      </c>
      <c r="V2268" s="8">
        <f t="shared" si="225"/>
        <v>33592.5</v>
      </c>
      <c r="W2268" s="8">
        <f t="shared" si="226"/>
        <v>83981.25</v>
      </c>
    </row>
    <row r="2269" spans="1:23" ht="21.95" customHeight="1" x14ac:dyDescent="0.2">
      <c r="A2269" s="6" t="s">
        <v>943</v>
      </c>
      <c r="B2269" s="6" t="s">
        <v>1596</v>
      </c>
      <c r="C2269" s="6" t="s">
        <v>494</v>
      </c>
      <c r="D2269" s="6" t="s">
        <v>78</v>
      </c>
      <c r="E2269" s="6"/>
      <c r="G2269" s="6">
        <v>49</v>
      </c>
      <c r="H2269" s="6">
        <v>101</v>
      </c>
      <c r="I2269" s="7">
        <v>83</v>
      </c>
      <c r="K2269" s="7">
        <v>44006440</v>
      </c>
      <c r="L2269" s="6" t="str">
        <f t="shared" si="229"/>
        <v>YT PİCASSO ŞİFONYER 49x101</v>
      </c>
      <c r="M2269" s="12">
        <v>0.1</v>
      </c>
      <c r="N2269" s="12">
        <v>0.1</v>
      </c>
      <c r="O2269" s="8">
        <v>10850</v>
      </c>
      <c r="P2269" s="8">
        <f t="shared" si="230"/>
        <v>9765</v>
      </c>
      <c r="Q2269" s="12">
        <f t="shared" si="231"/>
        <v>20506.5</v>
      </c>
      <c r="R2269" s="31">
        <f t="shared" si="232"/>
        <v>20500</v>
      </c>
      <c r="T2269" s="8">
        <v>15305</v>
      </c>
      <c r="V2269" s="8">
        <f t="shared" si="225"/>
        <v>13774.5</v>
      </c>
      <c r="W2269" s="8">
        <f t="shared" si="226"/>
        <v>34436.25</v>
      </c>
    </row>
    <row r="2270" spans="1:23" ht="21.95" customHeight="1" x14ac:dyDescent="0.2">
      <c r="A2270" s="6" t="s">
        <v>943</v>
      </c>
      <c r="B2270" s="6" t="s">
        <v>1596</v>
      </c>
      <c r="C2270" s="6" t="s">
        <v>967</v>
      </c>
      <c r="D2270" s="6" t="s">
        <v>953</v>
      </c>
      <c r="E2270" s="6"/>
      <c r="G2270" s="6">
        <v>150</v>
      </c>
      <c r="H2270" s="6">
        <v>200</v>
      </c>
      <c r="K2270" s="7">
        <v>44006441</v>
      </c>
      <c r="L2270" s="6" t="str">
        <f t="shared" si="229"/>
        <v>YT HERMES YATAK 150x200</v>
      </c>
      <c r="M2270" s="12">
        <v>0.1</v>
      </c>
      <c r="N2270" s="12">
        <v>0.1</v>
      </c>
      <c r="O2270" s="8">
        <v>8690</v>
      </c>
      <c r="P2270" s="8">
        <f t="shared" si="230"/>
        <v>7821</v>
      </c>
      <c r="Q2270" s="12">
        <f t="shared" si="231"/>
        <v>16424.100000000002</v>
      </c>
      <c r="R2270" s="31">
        <f t="shared" si="232"/>
        <v>16400</v>
      </c>
      <c r="T2270" s="8">
        <v>29250</v>
      </c>
      <c r="V2270" s="8">
        <f t="shared" si="225"/>
        <v>26325</v>
      </c>
      <c r="W2270" s="8">
        <f t="shared" si="226"/>
        <v>65812.5</v>
      </c>
    </row>
    <row r="2271" spans="1:23" ht="21.95" customHeight="1" x14ac:dyDescent="0.2">
      <c r="A2271" s="6" t="s">
        <v>943</v>
      </c>
      <c r="B2271" s="6" t="s">
        <v>1596</v>
      </c>
      <c r="C2271" s="6" t="s">
        <v>967</v>
      </c>
      <c r="D2271" s="6" t="s">
        <v>953</v>
      </c>
      <c r="E2271" s="6"/>
      <c r="G2271" s="6">
        <v>200</v>
      </c>
      <c r="H2271" s="6">
        <v>200</v>
      </c>
      <c r="K2271" s="7">
        <v>44006442</v>
      </c>
      <c r="L2271" s="6" t="str">
        <f t="shared" si="229"/>
        <v>YT HERMES YATAK 200x200</v>
      </c>
      <c r="M2271" s="12">
        <v>0.1</v>
      </c>
      <c r="N2271" s="12">
        <v>0.1</v>
      </c>
      <c r="O2271" s="8">
        <v>11490</v>
      </c>
      <c r="P2271" s="8">
        <f t="shared" si="230"/>
        <v>10341</v>
      </c>
      <c r="Q2271" s="12">
        <f t="shared" si="231"/>
        <v>21716.100000000002</v>
      </c>
      <c r="R2271" s="31">
        <f t="shared" si="232"/>
        <v>21700</v>
      </c>
      <c r="T2271" s="8">
        <v>24510</v>
      </c>
      <c r="V2271" s="8">
        <f t="shared" si="225"/>
        <v>22059</v>
      </c>
      <c r="W2271" s="8">
        <f t="shared" si="226"/>
        <v>55147.5</v>
      </c>
    </row>
    <row r="2272" spans="1:23" ht="21.95" customHeight="1" x14ac:dyDescent="0.2">
      <c r="A2272" s="6" t="s">
        <v>943</v>
      </c>
      <c r="B2272" s="6" t="s">
        <v>1596</v>
      </c>
      <c r="C2272" s="6" t="s">
        <v>973</v>
      </c>
      <c r="D2272" s="6" t="s">
        <v>945</v>
      </c>
      <c r="E2272" s="6"/>
      <c r="G2272" s="6">
        <v>150</v>
      </c>
      <c r="H2272" s="6">
        <v>200</v>
      </c>
      <c r="K2272" s="7">
        <v>44006443</v>
      </c>
      <c r="L2272" s="6" t="str">
        <f t="shared" si="229"/>
        <v>YT CAROLİN BAZA 150x200</v>
      </c>
      <c r="M2272" s="12">
        <v>0.1</v>
      </c>
      <c r="N2272" s="12">
        <v>0.1</v>
      </c>
      <c r="O2272" s="8">
        <v>10770</v>
      </c>
      <c r="P2272" s="8">
        <f t="shared" si="230"/>
        <v>9693</v>
      </c>
      <c r="Q2272" s="12">
        <f t="shared" si="231"/>
        <v>20355.3</v>
      </c>
      <c r="R2272" s="31">
        <f t="shared" si="232"/>
        <v>20300</v>
      </c>
      <c r="T2272" s="8">
        <v>33850</v>
      </c>
      <c r="V2272" s="8">
        <f t="shared" si="225"/>
        <v>30465</v>
      </c>
      <c r="W2272" s="8">
        <f t="shared" si="226"/>
        <v>76162.5</v>
      </c>
    </row>
    <row r="2273" spans="1:23" ht="21.95" customHeight="1" x14ac:dyDescent="0.2">
      <c r="A2273" s="6" t="s">
        <v>943</v>
      </c>
      <c r="B2273" s="6" t="s">
        <v>1596</v>
      </c>
      <c r="C2273" s="6" t="s">
        <v>973</v>
      </c>
      <c r="D2273" s="6" t="s">
        <v>945</v>
      </c>
      <c r="E2273" s="6"/>
      <c r="G2273" s="6">
        <v>160</v>
      </c>
      <c r="H2273" s="6">
        <v>200</v>
      </c>
      <c r="K2273" s="7">
        <v>44006444</v>
      </c>
      <c r="L2273" s="6" t="str">
        <f t="shared" si="229"/>
        <v>YT CAROLİN BAZA 160x200</v>
      </c>
      <c r="M2273" s="12">
        <v>0.1</v>
      </c>
      <c r="N2273" s="12">
        <v>0.1</v>
      </c>
      <c r="O2273" s="8">
        <v>11200</v>
      </c>
      <c r="P2273" s="8">
        <f t="shared" si="230"/>
        <v>10080</v>
      </c>
      <c r="Q2273" s="12">
        <f t="shared" si="231"/>
        <v>21168</v>
      </c>
      <c r="R2273" s="31">
        <f t="shared" si="232"/>
        <v>21100</v>
      </c>
      <c r="T2273" s="8">
        <v>29110</v>
      </c>
      <c r="V2273" s="8">
        <f t="shared" si="225"/>
        <v>26199</v>
      </c>
      <c r="W2273" s="8">
        <f t="shared" si="226"/>
        <v>65497.5</v>
      </c>
    </row>
    <row r="2274" spans="1:23" ht="21.95" customHeight="1" x14ac:dyDescent="0.2">
      <c r="A2274" s="6" t="s">
        <v>943</v>
      </c>
      <c r="B2274" s="6" t="s">
        <v>1596</v>
      </c>
      <c r="C2274" s="6" t="s">
        <v>973</v>
      </c>
      <c r="D2274" s="6" t="s">
        <v>945</v>
      </c>
      <c r="E2274" s="6"/>
      <c r="G2274" s="6">
        <v>180</v>
      </c>
      <c r="H2274" s="6">
        <v>200</v>
      </c>
      <c r="K2274" s="7">
        <v>44006445</v>
      </c>
      <c r="L2274" s="6" t="str">
        <f t="shared" si="229"/>
        <v>YT CAROLİN BAZA 180x200</v>
      </c>
      <c r="M2274" s="12">
        <v>0.1</v>
      </c>
      <c r="N2274" s="12">
        <v>0.1</v>
      </c>
      <c r="O2274" s="8">
        <v>12080</v>
      </c>
      <c r="P2274" s="8">
        <f t="shared" si="230"/>
        <v>10872</v>
      </c>
      <c r="Q2274" s="12">
        <f t="shared" si="231"/>
        <v>22831.200000000001</v>
      </c>
      <c r="R2274" s="31">
        <f t="shared" si="232"/>
        <v>22800</v>
      </c>
      <c r="T2274" s="8">
        <v>36350</v>
      </c>
      <c r="V2274" s="8">
        <f t="shared" si="225"/>
        <v>32715</v>
      </c>
      <c r="W2274" s="8">
        <f t="shared" si="226"/>
        <v>81787.5</v>
      </c>
    </row>
    <row r="2275" spans="1:23" ht="21.95" customHeight="1" x14ac:dyDescent="0.2">
      <c r="A2275" s="6" t="s">
        <v>943</v>
      </c>
      <c r="B2275" s="6" t="s">
        <v>1596</v>
      </c>
      <c r="C2275" s="6" t="s">
        <v>973</v>
      </c>
      <c r="D2275" s="6" t="s">
        <v>945</v>
      </c>
      <c r="E2275" s="6"/>
      <c r="G2275" s="6">
        <v>200</v>
      </c>
      <c r="H2275" s="6">
        <v>200</v>
      </c>
      <c r="K2275" s="7">
        <v>44006446</v>
      </c>
      <c r="L2275" s="6" t="str">
        <f t="shared" si="229"/>
        <v>YT CAROLİN BAZA 200x200</v>
      </c>
      <c r="M2275" s="12">
        <v>0.1</v>
      </c>
      <c r="N2275" s="12">
        <v>0.1</v>
      </c>
      <c r="O2275" s="8">
        <v>12960</v>
      </c>
      <c r="P2275" s="8">
        <f t="shared" si="230"/>
        <v>11664</v>
      </c>
      <c r="Q2275" s="12">
        <f t="shared" si="231"/>
        <v>24494.400000000001</v>
      </c>
      <c r="R2275" s="31">
        <f t="shared" si="232"/>
        <v>24400</v>
      </c>
      <c r="T2275" s="8">
        <v>31610</v>
      </c>
      <c r="V2275" s="8">
        <f t="shared" si="225"/>
        <v>28449</v>
      </c>
      <c r="W2275" s="8">
        <f t="shared" si="226"/>
        <v>71122.5</v>
      </c>
    </row>
    <row r="2276" spans="1:23" ht="21.95" customHeight="1" x14ac:dyDescent="0.2">
      <c r="A2276" s="6" t="s">
        <v>943</v>
      </c>
      <c r="B2276" s="6" t="s">
        <v>1596</v>
      </c>
      <c r="C2276" s="6" t="s">
        <v>974</v>
      </c>
      <c r="D2276" s="6" t="s">
        <v>948</v>
      </c>
      <c r="E2276" s="6"/>
      <c r="G2276" s="6">
        <v>47</v>
      </c>
      <c r="H2276" s="6">
        <v>60</v>
      </c>
      <c r="I2276" s="7">
        <v>40</v>
      </c>
      <c r="K2276" s="7">
        <v>44006447</v>
      </c>
      <c r="L2276" s="6" t="str">
        <f t="shared" si="229"/>
        <v>YT CAROLİN  KOMİDİN 47x60</v>
      </c>
      <c r="M2276" s="12">
        <v>0.1</v>
      </c>
      <c r="N2276" s="12">
        <v>0.1</v>
      </c>
      <c r="O2276" s="8">
        <v>4520</v>
      </c>
      <c r="P2276" s="8">
        <f t="shared" si="230"/>
        <v>4068</v>
      </c>
      <c r="Q2276" s="12">
        <f t="shared" si="231"/>
        <v>8542.8000000000011</v>
      </c>
      <c r="R2276" s="31">
        <f t="shared" si="232"/>
        <v>8500</v>
      </c>
      <c r="T2276" s="8">
        <v>31750</v>
      </c>
      <c r="V2276" s="8">
        <f t="shared" si="225"/>
        <v>28575</v>
      </c>
      <c r="W2276" s="8">
        <f t="shared" si="226"/>
        <v>71437.5</v>
      </c>
    </row>
    <row r="2277" spans="1:23" ht="21.95" customHeight="1" x14ac:dyDescent="0.2">
      <c r="A2277" s="6" t="s">
        <v>943</v>
      </c>
      <c r="B2277" s="6" t="s">
        <v>1596</v>
      </c>
      <c r="C2277" s="6" t="s">
        <v>974</v>
      </c>
      <c r="D2277" s="6" t="s">
        <v>950</v>
      </c>
      <c r="E2277" s="6"/>
      <c r="G2277" s="6">
        <v>150</v>
      </c>
      <c r="H2277" s="6">
        <v>200</v>
      </c>
      <c r="K2277" s="7">
        <v>44006448</v>
      </c>
      <c r="L2277" s="6" t="str">
        <f t="shared" si="229"/>
        <v>YT CAROLİN  BAŞLIK 150x200</v>
      </c>
      <c r="M2277" s="12">
        <v>0.1</v>
      </c>
      <c r="N2277" s="12">
        <v>0.1</v>
      </c>
      <c r="O2277" s="8">
        <v>8670</v>
      </c>
      <c r="P2277" s="8">
        <f t="shared" si="230"/>
        <v>7803</v>
      </c>
      <c r="Q2277" s="12">
        <f t="shared" si="231"/>
        <v>16386.3</v>
      </c>
      <c r="R2277" s="31">
        <f t="shared" si="232"/>
        <v>16300</v>
      </c>
      <c r="T2277" s="8">
        <v>27010</v>
      </c>
      <c r="V2277" s="8">
        <f t="shared" si="225"/>
        <v>24309</v>
      </c>
      <c r="W2277" s="8">
        <f t="shared" si="226"/>
        <v>60772.5</v>
      </c>
    </row>
    <row r="2278" spans="1:23" ht="21.95" customHeight="1" x14ac:dyDescent="0.2">
      <c r="A2278" s="6" t="s">
        <v>943</v>
      </c>
      <c r="B2278" s="6" t="s">
        <v>1596</v>
      </c>
      <c r="C2278" s="6" t="s">
        <v>974</v>
      </c>
      <c r="D2278" s="6" t="s">
        <v>950</v>
      </c>
      <c r="E2278" s="6"/>
      <c r="G2278" s="6">
        <v>160</v>
      </c>
      <c r="H2278" s="6">
        <v>200</v>
      </c>
      <c r="K2278" s="7">
        <v>44006449</v>
      </c>
      <c r="L2278" s="6" t="str">
        <f t="shared" si="229"/>
        <v>YT CAROLİN  BAŞLIK 160x200</v>
      </c>
      <c r="M2278" s="12">
        <v>0.1</v>
      </c>
      <c r="N2278" s="12">
        <v>0.1</v>
      </c>
      <c r="O2278" s="8">
        <v>8980</v>
      </c>
      <c r="P2278" s="8">
        <f t="shared" si="230"/>
        <v>8082</v>
      </c>
      <c r="Q2278" s="12">
        <f t="shared" si="231"/>
        <v>16972.2</v>
      </c>
      <c r="R2278" s="31">
        <f t="shared" si="232"/>
        <v>16900</v>
      </c>
      <c r="T2278" s="8">
        <v>4740</v>
      </c>
      <c r="V2278" s="8">
        <f t="shared" si="225"/>
        <v>4266</v>
      </c>
      <c r="W2278" s="8">
        <f t="shared" si="226"/>
        <v>10665</v>
      </c>
    </row>
    <row r="2279" spans="1:23" ht="21.95" customHeight="1" x14ac:dyDescent="0.2">
      <c r="A2279" s="6" t="s">
        <v>943</v>
      </c>
      <c r="B2279" s="6" t="s">
        <v>1596</v>
      </c>
      <c r="C2279" s="6" t="s">
        <v>974</v>
      </c>
      <c r="D2279" s="6" t="s">
        <v>950</v>
      </c>
      <c r="E2279" s="6"/>
      <c r="G2279" s="6">
        <v>180</v>
      </c>
      <c r="H2279" s="6">
        <v>200</v>
      </c>
      <c r="K2279" s="7">
        <v>44006450</v>
      </c>
      <c r="L2279" s="6" t="str">
        <f t="shared" si="229"/>
        <v>YT CAROLİN  BAŞLIK 180x200</v>
      </c>
      <c r="M2279" s="12">
        <v>0.1</v>
      </c>
      <c r="N2279" s="12">
        <v>0.1</v>
      </c>
      <c r="O2279" s="8">
        <v>10590</v>
      </c>
      <c r="P2279" s="8">
        <f t="shared" si="230"/>
        <v>9531</v>
      </c>
      <c r="Q2279" s="12">
        <f t="shared" si="231"/>
        <v>20015.100000000002</v>
      </c>
      <c r="R2279" s="31">
        <f t="shared" si="232"/>
        <v>20000</v>
      </c>
      <c r="T2279" s="8">
        <v>7095</v>
      </c>
      <c r="V2279" s="8">
        <f t="shared" si="225"/>
        <v>6385.5</v>
      </c>
      <c r="W2279" s="8">
        <f t="shared" si="226"/>
        <v>15963.75</v>
      </c>
    </row>
    <row r="2280" spans="1:23" ht="21.95" customHeight="1" x14ac:dyDescent="0.2">
      <c r="A2280" s="6" t="s">
        <v>943</v>
      </c>
      <c r="B2280" s="6" t="s">
        <v>1596</v>
      </c>
      <c r="C2280" s="6" t="s">
        <v>974</v>
      </c>
      <c r="D2280" s="6" t="s">
        <v>950</v>
      </c>
      <c r="E2280" s="6"/>
      <c r="G2280" s="6">
        <v>200</v>
      </c>
      <c r="H2280" s="6">
        <v>200</v>
      </c>
      <c r="K2280" s="7">
        <v>44006451</v>
      </c>
      <c r="L2280" s="6" t="str">
        <f t="shared" si="229"/>
        <v>YT CAROLİN  BAŞLIK 200x200</v>
      </c>
      <c r="M2280" s="12">
        <v>0.1</v>
      </c>
      <c r="N2280" s="12">
        <v>0.1</v>
      </c>
      <c r="O2280" s="8">
        <v>11760</v>
      </c>
      <c r="P2280" s="8">
        <f t="shared" si="230"/>
        <v>10584</v>
      </c>
      <c r="Q2280" s="12">
        <f t="shared" si="231"/>
        <v>22226.400000000001</v>
      </c>
      <c r="R2280" s="31">
        <f t="shared" si="232"/>
        <v>22200</v>
      </c>
      <c r="T2280" s="8">
        <v>51220</v>
      </c>
      <c r="V2280" s="8">
        <f t="shared" si="225"/>
        <v>46098</v>
      </c>
      <c r="W2280" s="8">
        <f t="shared" si="226"/>
        <v>115245</v>
      </c>
    </row>
    <row r="2281" spans="1:23" ht="21.95" customHeight="1" x14ac:dyDescent="0.2">
      <c r="A2281" s="6" t="s">
        <v>943</v>
      </c>
      <c r="B2281" s="6" t="s">
        <v>1596</v>
      </c>
      <c r="C2281" s="6" t="s">
        <v>974</v>
      </c>
      <c r="D2281" s="6" t="s">
        <v>951</v>
      </c>
      <c r="E2281" s="6"/>
      <c r="G2281" s="6">
        <v>51</v>
      </c>
      <c r="H2281" s="6">
        <v>148</v>
      </c>
      <c r="I2281" s="7">
        <v>45</v>
      </c>
      <c r="K2281" s="7">
        <v>44006452</v>
      </c>
      <c r="L2281" s="6" t="str">
        <f t="shared" si="229"/>
        <v>YT CAROLİN  MARKİZ 51x148</v>
      </c>
      <c r="M2281" s="12">
        <v>0.1</v>
      </c>
      <c r="N2281" s="12">
        <v>0.1</v>
      </c>
      <c r="O2281" s="8">
        <v>9750</v>
      </c>
      <c r="P2281" s="8">
        <f t="shared" si="230"/>
        <v>8775</v>
      </c>
      <c r="Q2281" s="12">
        <f t="shared" si="231"/>
        <v>18427.5</v>
      </c>
      <c r="R2281" s="31">
        <f t="shared" si="232"/>
        <v>18400</v>
      </c>
      <c r="T2281" s="8">
        <v>25285</v>
      </c>
      <c r="V2281" s="8">
        <f t="shared" si="225"/>
        <v>22756.5</v>
      </c>
      <c r="W2281" s="8">
        <f t="shared" si="226"/>
        <v>56891.25</v>
      </c>
    </row>
    <row r="2282" spans="1:23" ht="21.95" customHeight="1" x14ac:dyDescent="0.2">
      <c r="A2282" s="6" t="s">
        <v>943</v>
      </c>
      <c r="B2282" s="6" t="s">
        <v>1596</v>
      </c>
      <c r="C2282" s="6" t="s">
        <v>975</v>
      </c>
      <c r="D2282" s="6" t="s">
        <v>953</v>
      </c>
      <c r="E2282" s="6"/>
      <c r="G2282" s="6">
        <v>150</v>
      </c>
      <c r="H2282" s="6">
        <v>200</v>
      </c>
      <c r="K2282" s="7">
        <v>44006453</v>
      </c>
      <c r="L2282" s="6" t="str">
        <f t="shared" si="229"/>
        <v>YT İKONYUM YATAK 150x200</v>
      </c>
      <c r="M2282" s="12">
        <v>0.1</v>
      </c>
      <c r="N2282" s="12">
        <v>0.1</v>
      </c>
      <c r="O2282" s="8">
        <v>16740</v>
      </c>
      <c r="P2282" s="8">
        <f t="shared" si="230"/>
        <v>15066</v>
      </c>
      <c r="Q2282" s="12">
        <f t="shared" si="231"/>
        <v>31638.600000000002</v>
      </c>
      <c r="R2282" s="31">
        <f t="shared" si="232"/>
        <v>31600</v>
      </c>
      <c r="T2282" s="8">
        <v>13200</v>
      </c>
      <c r="V2282" s="8">
        <f t="shared" si="225"/>
        <v>11880</v>
      </c>
      <c r="W2282" s="8">
        <f t="shared" si="226"/>
        <v>29700</v>
      </c>
    </row>
    <row r="2283" spans="1:23" ht="21.95" customHeight="1" x14ac:dyDescent="0.2">
      <c r="A2283" s="6" t="s">
        <v>943</v>
      </c>
      <c r="B2283" s="6" t="s">
        <v>1596</v>
      </c>
      <c r="C2283" s="6" t="s">
        <v>975</v>
      </c>
      <c r="D2283" s="6" t="s">
        <v>953</v>
      </c>
      <c r="E2283" s="6"/>
      <c r="G2283" s="6">
        <v>160</v>
      </c>
      <c r="H2283" s="6">
        <v>200</v>
      </c>
      <c r="K2283" s="7">
        <v>44006454</v>
      </c>
      <c r="L2283" s="6" t="str">
        <f t="shared" si="229"/>
        <v>YT İKONYUM YATAK 160x200</v>
      </c>
      <c r="M2283" s="12">
        <v>0.1</v>
      </c>
      <c r="N2283" s="12">
        <v>0.1</v>
      </c>
      <c r="O2283" s="8">
        <v>17890</v>
      </c>
      <c r="P2283" s="8">
        <f t="shared" si="230"/>
        <v>16101</v>
      </c>
      <c r="Q2283" s="12">
        <f t="shared" si="231"/>
        <v>33812.1</v>
      </c>
      <c r="R2283" s="31">
        <f t="shared" si="232"/>
        <v>33800</v>
      </c>
      <c r="T2283" s="8">
        <v>4775</v>
      </c>
      <c r="V2283" s="8">
        <f t="shared" si="225"/>
        <v>4297.5</v>
      </c>
      <c r="W2283" s="8">
        <f t="shared" si="226"/>
        <v>10743.75</v>
      </c>
    </row>
    <row r="2284" spans="1:23" ht="21.95" customHeight="1" x14ac:dyDescent="0.2">
      <c r="A2284" s="6" t="s">
        <v>943</v>
      </c>
      <c r="B2284" s="6" t="s">
        <v>1596</v>
      </c>
      <c r="C2284" s="6" t="s">
        <v>975</v>
      </c>
      <c r="D2284" s="6" t="s">
        <v>953</v>
      </c>
      <c r="E2284" s="6"/>
      <c r="G2284" s="6">
        <v>180</v>
      </c>
      <c r="H2284" s="6">
        <v>200</v>
      </c>
      <c r="K2284" s="7">
        <v>44006455</v>
      </c>
      <c r="L2284" s="6" t="str">
        <f t="shared" si="229"/>
        <v>YT İKONYUM YATAK 180x200</v>
      </c>
      <c r="M2284" s="12">
        <v>0.1</v>
      </c>
      <c r="N2284" s="12">
        <v>0.1</v>
      </c>
      <c r="O2284" s="8">
        <v>20060</v>
      </c>
      <c r="P2284" s="8">
        <f t="shared" si="230"/>
        <v>18054</v>
      </c>
      <c r="Q2284" s="12">
        <f t="shared" si="231"/>
        <v>37913.4</v>
      </c>
      <c r="R2284" s="31">
        <f t="shared" si="232"/>
        <v>37900</v>
      </c>
      <c r="T2284" s="8">
        <v>3170</v>
      </c>
      <c r="V2284" s="8">
        <f t="shared" si="225"/>
        <v>2853</v>
      </c>
      <c r="W2284" s="8">
        <f t="shared" si="226"/>
        <v>7132.5</v>
      </c>
    </row>
    <row r="2285" spans="1:23" ht="21.95" customHeight="1" x14ac:dyDescent="0.2">
      <c r="A2285" s="6" t="s">
        <v>943</v>
      </c>
      <c r="B2285" s="6" t="s">
        <v>1596</v>
      </c>
      <c r="C2285" s="6" t="s">
        <v>975</v>
      </c>
      <c r="D2285" s="6" t="s">
        <v>953</v>
      </c>
      <c r="E2285" s="6"/>
      <c r="G2285" s="6">
        <v>200</v>
      </c>
      <c r="H2285" s="6">
        <v>200</v>
      </c>
      <c r="K2285" s="7">
        <v>44006456</v>
      </c>
      <c r="L2285" s="6" t="str">
        <f t="shared" si="229"/>
        <v>YT İKONYUM YATAK 200x200</v>
      </c>
      <c r="M2285" s="12">
        <v>0.1</v>
      </c>
      <c r="N2285" s="12">
        <v>0.1</v>
      </c>
      <c r="O2285" s="8">
        <v>22320</v>
      </c>
      <c r="P2285" s="8">
        <f t="shared" si="230"/>
        <v>20088</v>
      </c>
      <c r="Q2285" s="12">
        <f t="shared" si="231"/>
        <v>42184.800000000003</v>
      </c>
      <c r="R2285" s="31">
        <f t="shared" si="232"/>
        <v>42100</v>
      </c>
      <c r="T2285" s="8">
        <v>22395</v>
      </c>
      <c r="V2285" s="8">
        <f t="shared" si="225"/>
        <v>20155.5</v>
      </c>
      <c r="W2285" s="8">
        <f t="shared" si="226"/>
        <v>50388.75</v>
      </c>
    </row>
    <row r="2286" spans="1:23" ht="21.95" customHeight="1" x14ac:dyDescent="0.2">
      <c r="A2286" s="6" t="s">
        <v>943</v>
      </c>
      <c r="B2286" s="6" t="s">
        <v>1596</v>
      </c>
      <c r="C2286" s="6" t="s">
        <v>474</v>
      </c>
      <c r="D2286" s="6" t="s">
        <v>945</v>
      </c>
      <c r="E2286" s="6"/>
      <c r="G2286" s="6">
        <v>150</v>
      </c>
      <c r="H2286" s="6">
        <v>200</v>
      </c>
      <c r="K2286" s="7">
        <v>44006457</v>
      </c>
      <c r="L2286" s="6" t="str">
        <f t="shared" ref="L2286:L2304" si="233">B2286&amp;" "&amp;C2286&amp;" "&amp;D2286&amp;" "&amp;G2286&amp;"x"&amp;H2286</f>
        <v>YT BOSS BAZA 150x200</v>
      </c>
      <c r="M2286" s="12">
        <v>0.1</v>
      </c>
      <c r="N2286" s="12">
        <v>0.1</v>
      </c>
      <c r="O2286" s="8">
        <v>10770</v>
      </c>
      <c r="P2286" s="8">
        <f t="shared" si="230"/>
        <v>9693</v>
      </c>
      <c r="Q2286" s="12">
        <f t="shared" si="231"/>
        <v>20355.3</v>
      </c>
      <c r="R2286" s="31">
        <f t="shared" si="232"/>
        <v>20300</v>
      </c>
      <c r="T2286" s="8">
        <v>3410</v>
      </c>
      <c r="V2286" s="8">
        <f t="shared" si="225"/>
        <v>3069</v>
      </c>
      <c r="W2286" s="8">
        <f t="shared" si="226"/>
        <v>7672.5</v>
      </c>
    </row>
    <row r="2287" spans="1:23" ht="21.95" customHeight="1" x14ac:dyDescent="0.2">
      <c r="A2287" s="6" t="s">
        <v>943</v>
      </c>
      <c r="B2287" s="6" t="s">
        <v>1596</v>
      </c>
      <c r="C2287" s="6" t="s">
        <v>474</v>
      </c>
      <c r="D2287" s="6" t="s">
        <v>945</v>
      </c>
      <c r="E2287" s="6"/>
      <c r="G2287" s="6">
        <v>160</v>
      </c>
      <c r="H2287" s="6">
        <v>200</v>
      </c>
      <c r="K2287" s="7">
        <v>44006458</v>
      </c>
      <c r="L2287" s="6" t="str">
        <f t="shared" si="233"/>
        <v>YT BOSS BAZA 160x200</v>
      </c>
      <c r="M2287" s="12">
        <v>0.1</v>
      </c>
      <c r="N2287" s="12">
        <v>0.1</v>
      </c>
      <c r="O2287" s="8">
        <v>11200</v>
      </c>
      <c r="P2287" s="8">
        <f t="shared" si="230"/>
        <v>10080</v>
      </c>
      <c r="Q2287" s="12">
        <f t="shared" si="231"/>
        <v>21168</v>
      </c>
      <c r="R2287" s="31">
        <f t="shared" si="232"/>
        <v>21100</v>
      </c>
      <c r="T2287" s="8">
        <v>13895</v>
      </c>
      <c r="V2287" s="8">
        <f t="shared" si="225"/>
        <v>12505.5</v>
      </c>
      <c r="W2287" s="8">
        <f t="shared" si="226"/>
        <v>31263.75</v>
      </c>
    </row>
    <row r="2288" spans="1:23" ht="21.95" customHeight="1" x14ac:dyDescent="0.2">
      <c r="A2288" s="6" t="s">
        <v>943</v>
      </c>
      <c r="B2288" s="6" t="s">
        <v>1596</v>
      </c>
      <c r="C2288" s="6" t="s">
        <v>474</v>
      </c>
      <c r="D2288" s="6" t="s">
        <v>945</v>
      </c>
      <c r="E2288" s="6"/>
      <c r="G2288" s="6">
        <v>180</v>
      </c>
      <c r="H2288" s="6">
        <v>200</v>
      </c>
      <c r="K2288" s="7">
        <v>44006459</v>
      </c>
      <c r="L2288" s="6" t="str">
        <f t="shared" si="233"/>
        <v>YT BOSS BAZA 180x200</v>
      </c>
      <c r="M2288" s="12">
        <v>0.1</v>
      </c>
      <c r="N2288" s="12">
        <v>0.1</v>
      </c>
      <c r="O2288" s="8">
        <v>12080</v>
      </c>
      <c r="P2288" s="8">
        <f t="shared" si="230"/>
        <v>10872</v>
      </c>
      <c r="Q2288" s="12">
        <f t="shared" si="231"/>
        <v>22831.200000000001</v>
      </c>
      <c r="R2288" s="31">
        <f t="shared" si="232"/>
        <v>22800</v>
      </c>
      <c r="T2288" s="8">
        <v>5795</v>
      </c>
      <c r="V2288" s="8">
        <f t="shared" si="225"/>
        <v>5215.5</v>
      </c>
      <c r="W2288" s="8">
        <f t="shared" si="226"/>
        <v>13038.75</v>
      </c>
    </row>
    <row r="2289" spans="1:23" ht="21.95" customHeight="1" x14ac:dyDescent="0.2">
      <c r="A2289" s="6" t="s">
        <v>943</v>
      </c>
      <c r="B2289" s="6" t="s">
        <v>1596</v>
      </c>
      <c r="C2289" s="6" t="s">
        <v>474</v>
      </c>
      <c r="D2289" s="6" t="s">
        <v>945</v>
      </c>
      <c r="E2289" s="6"/>
      <c r="G2289" s="6">
        <v>200</v>
      </c>
      <c r="H2289" s="6">
        <v>200</v>
      </c>
      <c r="K2289" s="7">
        <v>44006460</v>
      </c>
      <c r="L2289" s="6" t="str">
        <f t="shared" si="233"/>
        <v>YT BOSS BAZA 200x200</v>
      </c>
      <c r="M2289" s="12">
        <v>0.1</v>
      </c>
      <c r="N2289" s="12">
        <v>0.1</v>
      </c>
      <c r="O2289" s="8">
        <v>12960</v>
      </c>
      <c r="P2289" s="8">
        <f t="shared" si="230"/>
        <v>11664</v>
      </c>
      <c r="Q2289" s="12">
        <f t="shared" si="231"/>
        <v>24494.400000000001</v>
      </c>
      <c r="R2289" s="31">
        <f t="shared" si="232"/>
        <v>24400</v>
      </c>
      <c r="T2289" s="8">
        <v>16740</v>
      </c>
      <c r="V2289" s="8">
        <f t="shared" si="225"/>
        <v>15066</v>
      </c>
      <c r="W2289" s="8">
        <f t="shared" si="226"/>
        <v>37665</v>
      </c>
    </row>
    <row r="2290" spans="1:23" ht="21.95" customHeight="1" x14ac:dyDescent="0.2">
      <c r="A2290" s="6" t="s">
        <v>943</v>
      </c>
      <c r="B2290" s="6" t="s">
        <v>1596</v>
      </c>
      <c r="C2290" s="6" t="s">
        <v>474</v>
      </c>
      <c r="D2290" s="6" t="s">
        <v>950</v>
      </c>
      <c r="E2290" s="6"/>
      <c r="G2290" s="6">
        <v>150</v>
      </c>
      <c r="H2290" s="6">
        <v>200</v>
      </c>
      <c r="K2290" s="7">
        <v>44006461</v>
      </c>
      <c r="L2290" s="6" t="str">
        <f t="shared" si="233"/>
        <v>YT BOSS BAŞLIK 150x200</v>
      </c>
      <c r="M2290" s="12">
        <v>0.1</v>
      </c>
      <c r="N2290" s="12">
        <v>0.1</v>
      </c>
      <c r="O2290" s="8">
        <v>6060</v>
      </c>
      <c r="P2290" s="8">
        <f t="shared" si="230"/>
        <v>5454</v>
      </c>
      <c r="Q2290" s="12">
        <f t="shared" si="231"/>
        <v>11453.4</v>
      </c>
      <c r="R2290" s="31">
        <f t="shared" si="232"/>
        <v>11400</v>
      </c>
      <c r="T2290" s="8">
        <v>15135</v>
      </c>
      <c r="V2290" s="8">
        <f t="shared" si="225"/>
        <v>13621.5</v>
      </c>
      <c r="W2290" s="8">
        <f t="shared" si="226"/>
        <v>34053.75</v>
      </c>
    </row>
    <row r="2291" spans="1:23" ht="21.95" customHeight="1" x14ac:dyDescent="0.2">
      <c r="A2291" s="6" t="s">
        <v>943</v>
      </c>
      <c r="B2291" s="6" t="s">
        <v>1596</v>
      </c>
      <c r="C2291" s="6" t="s">
        <v>474</v>
      </c>
      <c r="D2291" s="6" t="s">
        <v>950</v>
      </c>
      <c r="E2291" s="6"/>
      <c r="G2291" s="6">
        <v>160</v>
      </c>
      <c r="H2291" s="6">
        <v>200</v>
      </c>
      <c r="K2291" s="7">
        <v>44006462</v>
      </c>
      <c r="L2291" s="6" t="str">
        <f t="shared" si="233"/>
        <v>YT BOSS BAŞLIK 160x200</v>
      </c>
      <c r="M2291" s="12">
        <v>0.1</v>
      </c>
      <c r="N2291" s="12">
        <v>0.1</v>
      </c>
      <c r="O2291" s="8">
        <v>6280</v>
      </c>
      <c r="P2291" s="8">
        <f t="shared" si="230"/>
        <v>5652</v>
      </c>
      <c r="Q2291" s="12">
        <f t="shared" si="231"/>
        <v>11869.2</v>
      </c>
      <c r="R2291" s="31">
        <f t="shared" si="232"/>
        <v>11800</v>
      </c>
      <c r="T2291" s="8">
        <v>2010</v>
      </c>
      <c r="V2291" s="8">
        <f t="shared" si="225"/>
        <v>1809</v>
      </c>
      <c r="W2291" s="8">
        <f t="shared" si="226"/>
        <v>4522.5</v>
      </c>
    </row>
    <row r="2292" spans="1:23" ht="21.95" customHeight="1" x14ac:dyDescent="0.2">
      <c r="A2292" s="6" t="s">
        <v>943</v>
      </c>
      <c r="B2292" s="6" t="s">
        <v>1596</v>
      </c>
      <c r="C2292" s="6" t="s">
        <v>474</v>
      </c>
      <c r="D2292" s="6" t="s">
        <v>950</v>
      </c>
      <c r="E2292" s="6"/>
      <c r="G2292" s="6">
        <v>180</v>
      </c>
      <c r="H2292" s="6">
        <v>200</v>
      </c>
      <c r="K2292" s="7">
        <v>44006463</v>
      </c>
      <c r="L2292" s="6" t="str">
        <f t="shared" si="233"/>
        <v>YT BOSS BAŞLIK 180x200</v>
      </c>
      <c r="M2292" s="12">
        <v>0.1</v>
      </c>
      <c r="N2292" s="12">
        <v>0.1</v>
      </c>
      <c r="O2292" s="8">
        <v>7400</v>
      </c>
      <c r="P2292" s="8">
        <f t="shared" si="230"/>
        <v>6660</v>
      </c>
      <c r="Q2292" s="12">
        <f t="shared" si="231"/>
        <v>13986</v>
      </c>
      <c r="R2292" s="31">
        <f t="shared" si="232"/>
        <v>13900</v>
      </c>
      <c r="T2292" s="8">
        <v>24110</v>
      </c>
      <c r="V2292" s="8">
        <f t="shared" ref="V2292:V2355" si="234">T2292*0.9</f>
        <v>21699</v>
      </c>
      <c r="W2292" s="8">
        <f t="shared" ref="W2292:W2355" si="235">V2292*2.5</f>
        <v>54247.5</v>
      </c>
    </row>
    <row r="2293" spans="1:23" ht="21.95" customHeight="1" x14ac:dyDescent="0.2">
      <c r="A2293" s="6" t="s">
        <v>943</v>
      </c>
      <c r="B2293" s="6" t="s">
        <v>1596</v>
      </c>
      <c r="C2293" s="6" t="s">
        <v>474</v>
      </c>
      <c r="D2293" s="6" t="s">
        <v>950</v>
      </c>
      <c r="E2293" s="6"/>
      <c r="G2293" s="6">
        <v>200</v>
      </c>
      <c r="H2293" s="6">
        <v>200</v>
      </c>
      <c r="K2293" s="7">
        <v>44006464</v>
      </c>
      <c r="L2293" s="6" t="str">
        <f t="shared" si="233"/>
        <v>YT BOSS BAŞLIK 200x200</v>
      </c>
      <c r="M2293" s="12">
        <v>0.1</v>
      </c>
      <c r="N2293" s="12">
        <v>0.1</v>
      </c>
      <c r="O2293" s="8">
        <v>8220</v>
      </c>
      <c r="P2293" s="8">
        <f t="shared" si="230"/>
        <v>7398</v>
      </c>
      <c r="Q2293" s="12">
        <f t="shared" si="231"/>
        <v>15535.800000000001</v>
      </c>
      <c r="R2293" s="31">
        <f t="shared" si="232"/>
        <v>15500</v>
      </c>
      <c r="T2293" s="8">
        <v>18500</v>
      </c>
      <c r="V2293" s="8">
        <f t="shared" si="234"/>
        <v>16650</v>
      </c>
      <c r="W2293" s="8">
        <f t="shared" si="235"/>
        <v>41625</v>
      </c>
    </row>
    <row r="2294" spans="1:23" ht="21.95" customHeight="1" x14ac:dyDescent="0.2">
      <c r="A2294" s="6" t="s">
        <v>943</v>
      </c>
      <c r="B2294" s="6" t="s">
        <v>1596</v>
      </c>
      <c r="C2294" s="6" t="s">
        <v>976</v>
      </c>
      <c r="D2294" s="6" t="s">
        <v>948</v>
      </c>
      <c r="E2294" s="6"/>
      <c r="G2294" s="6">
        <v>46</v>
      </c>
      <c r="H2294" s="6">
        <v>56</v>
      </c>
      <c r="I2294" s="7">
        <v>58</v>
      </c>
      <c r="K2294" s="7">
        <v>44006465</v>
      </c>
      <c r="L2294" s="6" t="str">
        <f t="shared" si="233"/>
        <v>YT BOSS  KOMİDİN 46x56</v>
      </c>
      <c r="M2294" s="12">
        <v>0.1</v>
      </c>
      <c r="N2294" s="12">
        <v>0.1</v>
      </c>
      <c r="O2294" s="8">
        <v>5280</v>
      </c>
      <c r="P2294" s="8">
        <f t="shared" si="230"/>
        <v>4752</v>
      </c>
      <c r="Q2294" s="12">
        <f t="shared" si="231"/>
        <v>9979.2000000000007</v>
      </c>
      <c r="R2294" s="31">
        <f t="shared" si="232"/>
        <v>9900</v>
      </c>
      <c r="T2294" s="8">
        <v>23150</v>
      </c>
      <c r="V2294" s="8">
        <f t="shared" si="234"/>
        <v>20835</v>
      </c>
      <c r="W2294" s="8">
        <f t="shared" si="235"/>
        <v>52087.5</v>
      </c>
    </row>
    <row r="2295" spans="1:23" ht="21.95" customHeight="1" x14ac:dyDescent="0.2">
      <c r="A2295" s="6" t="s">
        <v>943</v>
      </c>
      <c r="B2295" s="6" t="s">
        <v>1596</v>
      </c>
      <c r="C2295" s="6" t="s">
        <v>474</v>
      </c>
      <c r="D2295" s="6" t="s">
        <v>951</v>
      </c>
      <c r="E2295" s="6"/>
      <c r="G2295" s="6">
        <v>45</v>
      </c>
      <c r="H2295" s="6">
        <v>120</v>
      </c>
      <c r="I2295" s="7">
        <v>45</v>
      </c>
      <c r="K2295" s="7">
        <v>44006466</v>
      </c>
      <c r="L2295" s="6" t="str">
        <f t="shared" si="233"/>
        <v>YT BOSS MARKİZ 45x120</v>
      </c>
      <c r="M2295" s="12">
        <v>0.1</v>
      </c>
      <c r="N2295" s="12">
        <v>0.1</v>
      </c>
      <c r="O2295" s="8">
        <v>8420</v>
      </c>
      <c r="P2295" s="8">
        <f t="shared" si="230"/>
        <v>7578</v>
      </c>
      <c r="Q2295" s="12">
        <f t="shared" si="231"/>
        <v>15913.800000000001</v>
      </c>
      <c r="R2295" s="31">
        <f t="shared" si="232"/>
        <v>15900</v>
      </c>
      <c r="T2295" s="8">
        <v>25650</v>
      </c>
      <c r="V2295" s="8">
        <f t="shared" si="234"/>
        <v>23085</v>
      </c>
      <c r="W2295" s="8">
        <f t="shared" si="235"/>
        <v>57712.5</v>
      </c>
    </row>
    <row r="2296" spans="1:23" ht="21.95" customHeight="1" x14ac:dyDescent="0.2">
      <c r="A2296" s="6" t="s">
        <v>943</v>
      </c>
      <c r="B2296" s="6" t="s">
        <v>1596</v>
      </c>
      <c r="C2296" s="6" t="s">
        <v>977</v>
      </c>
      <c r="D2296" s="6" t="s">
        <v>953</v>
      </c>
      <c r="E2296" s="6"/>
      <c r="G2296" s="6">
        <v>150</v>
      </c>
      <c r="H2296" s="6">
        <v>200</v>
      </c>
      <c r="K2296" s="7">
        <v>44006467</v>
      </c>
      <c r="L2296" s="6" t="str">
        <f t="shared" si="233"/>
        <v>YT POLO  YATAK 150x200</v>
      </c>
      <c r="M2296" s="12">
        <v>0.1</v>
      </c>
      <c r="N2296" s="12">
        <v>0.1</v>
      </c>
      <c r="O2296" s="8">
        <v>13320</v>
      </c>
      <c r="P2296" s="8">
        <f t="shared" si="230"/>
        <v>11988</v>
      </c>
      <c r="Q2296" s="12">
        <f t="shared" si="231"/>
        <v>25174.799999999999</v>
      </c>
      <c r="R2296" s="31">
        <f t="shared" si="232"/>
        <v>25100</v>
      </c>
      <c r="T2296" s="8">
        <v>21050</v>
      </c>
      <c r="V2296" s="8">
        <f t="shared" si="234"/>
        <v>18945</v>
      </c>
      <c r="W2296" s="8">
        <f t="shared" si="235"/>
        <v>47362.5</v>
      </c>
    </row>
    <row r="2297" spans="1:23" ht="21.95" customHeight="1" x14ac:dyDescent="0.2">
      <c r="A2297" s="6" t="s">
        <v>943</v>
      </c>
      <c r="B2297" s="6" t="s">
        <v>1596</v>
      </c>
      <c r="C2297" s="6" t="s">
        <v>977</v>
      </c>
      <c r="D2297" s="6" t="s">
        <v>953</v>
      </c>
      <c r="E2297" s="6"/>
      <c r="G2297" s="6">
        <v>160</v>
      </c>
      <c r="H2297" s="6">
        <v>200</v>
      </c>
      <c r="K2297" s="7">
        <v>44006468</v>
      </c>
      <c r="L2297" s="6" t="str">
        <f t="shared" si="233"/>
        <v>YT POLO  YATAK 160x200</v>
      </c>
      <c r="M2297" s="12">
        <v>0.1</v>
      </c>
      <c r="N2297" s="12">
        <v>0.1</v>
      </c>
      <c r="O2297" s="8">
        <v>13780</v>
      </c>
      <c r="P2297" s="8">
        <f t="shared" si="230"/>
        <v>12402</v>
      </c>
      <c r="Q2297" s="12">
        <f t="shared" si="231"/>
        <v>26044.2</v>
      </c>
      <c r="R2297" s="31">
        <f t="shared" si="232"/>
        <v>26000</v>
      </c>
      <c r="T2297" s="8">
        <v>6495</v>
      </c>
      <c r="V2297" s="8">
        <f t="shared" si="234"/>
        <v>5845.5</v>
      </c>
      <c r="W2297" s="8">
        <f t="shared" si="235"/>
        <v>14613.75</v>
      </c>
    </row>
    <row r="2298" spans="1:23" ht="21.95" customHeight="1" x14ac:dyDescent="0.2">
      <c r="A2298" s="6" t="s">
        <v>943</v>
      </c>
      <c r="B2298" s="6" t="s">
        <v>1596</v>
      </c>
      <c r="C2298" s="6" t="s">
        <v>977</v>
      </c>
      <c r="D2298" s="6" t="s">
        <v>953</v>
      </c>
      <c r="E2298" s="6"/>
      <c r="G2298" s="6">
        <v>180</v>
      </c>
      <c r="H2298" s="6">
        <v>200</v>
      </c>
      <c r="K2298" s="7">
        <v>44006469</v>
      </c>
      <c r="L2298" s="6" t="str">
        <f t="shared" si="233"/>
        <v>YT POLO  YATAK 180x200</v>
      </c>
      <c r="M2298" s="12">
        <v>0.1</v>
      </c>
      <c r="N2298" s="12">
        <v>0.1</v>
      </c>
      <c r="O2298" s="8">
        <v>15960</v>
      </c>
      <c r="P2298" s="8">
        <f t="shared" si="230"/>
        <v>14364</v>
      </c>
      <c r="Q2298" s="12">
        <f t="shared" si="231"/>
        <v>30164.400000000001</v>
      </c>
      <c r="R2298" s="31">
        <f t="shared" si="232"/>
        <v>30100</v>
      </c>
      <c r="T2298" s="8">
        <v>43610</v>
      </c>
      <c r="V2298" s="8">
        <f t="shared" si="234"/>
        <v>39249</v>
      </c>
      <c r="W2298" s="8">
        <f t="shared" si="235"/>
        <v>98122.5</v>
      </c>
    </row>
    <row r="2299" spans="1:23" ht="21.95" customHeight="1" x14ac:dyDescent="0.2">
      <c r="A2299" s="6" t="s">
        <v>943</v>
      </c>
      <c r="B2299" s="6" t="s">
        <v>1596</v>
      </c>
      <c r="C2299" s="6" t="s">
        <v>977</v>
      </c>
      <c r="D2299" s="6" t="s">
        <v>953</v>
      </c>
      <c r="E2299" s="6"/>
      <c r="G2299" s="6">
        <v>200</v>
      </c>
      <c r="H2299" s="6">
        <v>200</v>
      </c>
      <c r="K2299" s="7">
        <v>44006470</v>
      </c>
      <c r="L2299" s="6" t="str">
        <f t="shared" si="233"/>
        <v>YT POLO  YATAK 200x200</v>
      </c>
      <c r="M2299" s="12">
        <v>0.1</v>
      </c>
      <c r="N2299" s="12">
        <v>0.1</v>
      </c>
      <c r="O2299" s="8">
        <v>17750</v>
      </c>
      <c r="P2299" s="8">
        <f t="shared" si="230"/>
        <v>15975</v>
      </c>
      <c r="Q2299" s="12">
        <f t="shared" si="231"/>
        <v>33547.5</v>
      </c>
      <c r="R2299" s="31">
        <f t="shared" si="232"/>
        <v>33500</v>
      </c>
      <c r="T2299" s="8">
        <v>17400</v>
      </c>
      <c r="V2299" s="8">
        <f t="shared" si="234"/>
        <v>15660</v>
      </c>
      <c r="W2299" s="8">
        <f t="shared" si="235"/>
        <v>39150</v>
      </c>
    </row>
    <row r="2300" spans="1:23" ht="21.95" customHeight="1" x14ac:dyDescent="0.2">
      <c r="A2300" s="6" t="s">
        <v>943</v>
      </c>
      <c r="B2300" s="6" t="s">
        <v>1596</v>
      </c>
      <c r="C2300" s="6" t="s">
        <v>534</v>
      </c>
      <c r="D2300" s="6" t="s">
        <v>945</v>
      </c>
      <c r="E2300" s="6"/>
      <c r="G2300" s="6">
        <v>150</v>
      </c>
      <c r="H2300" s="6">
        <v>200</v>
      </c>
      <c r="K2300" s="7">
        <v>44006471</v>
      </c>
      <c r="L2300" s="6" t="str">
        <f t="shared" si="233"/>
        <v>YT HARMONY BAZA 150x200</v>
      </c>
      <c r="M2300" s="12">
        <v>0.1</v>
      </c>
      <c r="N2300" s="12">
        <v>0.1</v>
      </c>
      <c r="O2300" s="8">
        <v>10200</v>
      </c>
      <c r="P2300" s="8">
        <f t="shared" si="230"/>
        <v>9180</v>
      </c>
      <c r="Q2300" s="12">
        <f t="shared" si="231"/>
        <v>19278</v>
      </c>
      <c r="R2300" s="31">
        <f t="shared" si="232"/>
        <v>19200</v>
      </c>
      <c r="T2300" s="8">
        <v>4775</v>
      </c>
      <c r="V2300" s="8">
        <f t="shared" si="234"/>
        <v>4297.5</v>
      </c>
      <c r="W2300" s="8">
        <f t="shared" si="235"/>
        <v>10743.75</v>
      </c>
    </row>
    <row r="2301" spans="1:23" ht="21.95" customHeight="1" x14ac:dyDescent="0.2">
      <c r="A2301" s="6" t="s">
        <v>943</v>
      </c>
      <c r="B2301" s="6" t="s">
        <v>1596</v>
      </c>
      <c r="C2301" s="6" t="s">
        <v>534</v>
      </c>
      <c r="D2301" s="6" t="s">
        <v>945</v>
      </c>
      <c r="E2301" s="6"/>
      <c r="G2301" s="6">
        <v>160</v>
      </c>
      <c r="H2301" s="6">
        <v>200</v>
      </c>
      <c r="K2301" s="7">
        <v>44006472</v>
      </c>
      <c r="L2301" s="6" t="str">
        <f t="shared" si="233"/>
        <v>YT HARMONY BAZA 160x200</v>
      </c>
      <c r="M2301" s="12">
        <v>0.1</v>
      </c>
      <c r="N2301" s="12">
        <v>0.1</v>
      </c>
      <c r="O2301" s="8">
        <v>10620</v>
      </c>
      <c r="P2301" s="8">
        <f t="shared" si="230"/>
        <v>9558</v>
      </c>
      <c r="Q2301" s="12">
        <f t="shared" si="231"/>
        <v>20071.8</v>
      </c>
      <c r="R2301" s="31">
        <f t="shared" si="232"/>
        <v>20000</v>
      </c>
      <c r="T2301" s="8">
        <v>3170</v>
      </c>
      <c r="V2301" s="8">
        <f t="shared" si="234"/>
        <v>2853</v>
      </c>
      <c r="W2301" s="8">
        <f t="shared" si="235"/>
        <v>7132.5</v>
      </c>
    </row>
    <row r="2302" spans="1:23" ht="21.95" customHeight="1" x14ac:dyDescent="0.2">
      <c r="A2302" s="6" t="s">
        <v>943</v>
      </c>
      <c r="B2302" s="6" t="s">
        <v>1596</v>
      </c>
      <c r="C2302" s="6" t="s">
        <v>534</v>
      </c>
      <c r="D2302" s="6" t="s">
        <v>945</v>
      </c>
      <c r="E2302" s="6"/>
      <c r="G2302" s="6">
        <v>180</v>
      </c>
      <c r="H2302" s="6">
        <v>200</v>
      </c>
      <c r="K2302" s="7">
        <v>44006473</v>
      </c>
      <c r="L2302" s="6" t="str">
        <f t="shared" si="233"/>
        <v>YT HARMONY BAZA 180x200</v>
      </c>
      <c r="M2302" s="12">
        <v>0.1</v>
      </c>
      <c r="N2302" s="12">
        <v>0.1</v>
      </c>
      <c r="O2302" s="8">
        <v>11460</v>
      </c>
      <c r="P2302" s="8">
        <f t="shared" si="230"/>
        <v>10314</v>
      </c>
      <c r="Q2302" s="12">
        <f t="shared" si="231"/>
        <v>21659.4</v>
      </c>
      <c r="R2302" s="31">
        <f t="shared" si="232"/>
        <v>21600</v>
      </c>
      <c r="T2302" s="8">
        <v>26190</v>
      </c>
      <c r="V2302" s="8">
        <f t="shared" si="234"/>
        <v>23571</v>
      </c>
      <c r="W2302" s="8">
        <f t="shared" si="235"/>
        <v>58927.5</v>
      </c>
    </row>
    <row r="2303" spans="1:23" ht="21.95" customHeight="1" x14ac:dyDescent="0.2">
      <c r="A2303" s="6" t="s">
        <v>943</v>
      </c>
      <c r="B2303" s="6" t="s">
        <v>1596</v>
      </c>
      <c r="C2303" s="6" t="s">
        <v>534</v>
      </c>
      <c r="D2303" s="6" t="s">
        <v>945</v>
      </c>
      <c r="E2303" s="6"/>
      <c r="G2303" s="6">
        <v>200</v>
      </c>
      <c r="H2303" s="6">
        <v>200</v>
      </c>
      <c r="K2303" s="7">
        <v>44006474</v>
      </c>
      <c r="L2303" s="6" t="str">
        <f t="shared" si="233"/>
        <v>YT HARMONY BAZA 200x200</v>
      </c>
      <c r="M2303" s="12">
        <v>0.1</v>
      </c>
      <c r="N2303" s="12">
        <v>0.1</v>
      </c>
      <c r="O2303" s="8">
        <v>12300</v>
      </c>
      <c r="P2303" s="8">
        <f t="shared" si="230"/>
        <v>11070</v>
      </c>
      <c r="Q2303" s="12">
        <f t="shared" si="231"/>
        <v>23247</v>
      </c>
      <c r="R2303" s="31">
        <f t="shared" si="232"/>
        <v>23200</v>
      </c>
      <c r="T2303" s="8">
        <v>4605</v>
      </c>
      <c r="V2303" s="8">
        <f t="shared" si="234"/>
        <v>4144.5</v>
      </c>
      <c r="W2303" s="8">
        <f t="shared" si="235"/>
        <v>10361.25</v>
      </c>
    </row>
    <row r="2304" spans="1:23" ht="21.95" customHeight="1" x14ac:dyDescent="0.2">
      <c r="A2304" s="6" t="s">
        <v>943</v>
      </c>
      <c r="B2304" s="6" t="s">
        <v>1596</v>
      </c>
      <c r="C2304" s="6" t="s">
        <v>534</v>
      </c>
      <c r="D2304" s="6" t="s">
        <v>948</v>
      </c>
      <c r="E2304" s="6"/>
      <c r="G2304" s="6">
        <v>47</v>
      </c>
      <c r="H2304" s="6">
        <v>56</v>
      </c>
      <c r="I2304" s="7">
        <v>52</v>
      </c>
      <c r="K2304" s="7">
        <v>44006475</v>
      </c>
      <c r="L2304" s="6" t="str">
        <f t="shared" si="233"/>
        <v>YT HARMONY KOMİDİN 47x56</v>
      </c>
      <c r="M2304" s="12">
        <v>0.1</v>
      </c>
      <c r="N2304" s="12">
        <v>0.1</v>
      </c>
      <c r="O2304" s="8">
        <v>4890</v>
      </c>
      <c r="P2304" s="8">
        <f t="shared" si="230"/>
        <v>4401</v>
      </c>
      <c r="Q2304" s="12">
        <f t="shared" si="231"/>
        <v>9242.1</v>
      </c>
      <c r="R2304" s="31">
        <f t="shared" si="232"/>
        <v>9200</v>
      </c>
      <c r="T2304" s="8">
        <v>17995</v>
      </c>
      <c r="V2304" s="8">
        <f t="shared" si="234"/>
        <v>16195.5</v>
      </c>
      <c r="W2304" s="8">
        <f t="shared" si="235"/>
        <v>40488.75</v>
      </c>
    </row>
    <row r="2305" spans="1:23" ht="21.95" customHeight="1" x14ac:dyDescent="0.2">
      <c r="A2305" s="6" t="s">
        <v>943</v>
      </c>
      <c r="B2305" s="6" t="s">
        <v>1596</v>
      </c>
      <c r="C2305" s="6" t="s">
        <v>534</v>
      </c>
      <c r="D2305" s="6" t="s">
        <v>951</v>
      </c>
      <c r="E2305" s="6"/>
      <c r="K2305" s="7">
        <v>44006476</v>
      </c>
      <c r="L2305" s="6" t="str">
        <f>B2305&amp;" "&amp;C2305&amp;" "&amp;D2305&amp;" "</f>
        <v xml:space="preserve">YT HARMONY MARKİZ </v>
      </c>
      <c r="M2305" s="12">
        <v>0.1</v>
      </c>
      <c r="N2305" s="12">
        <v>0.1</v>
      </c>
      <c r="O2305" s="8">
        <v>7020</v>
      </c>
      <c r="P2305" s="8">
        <f t="shared" si="230"/>
        <v>6318</v>
      </c>
      <c r="Q2305" s="12">
        <f t="shared" si="231"/>
        <v>13267.800000000001</v>
      </c>
      <c r="R2305" s="31">
        <f t="shared" si="232"/>
        <v>13200</v>
      </c>
      <c r="T2305" s="8">
        <v>5795</v>
      </c>
      <c r="V2305" s="8">
        <f t="shared" si="234"/>
        <v>5215.5</v>
      </c>
      <c r="W2305" s="8">
        <f t="shared" si="235"/>
        <v>13038.75</v>
      </c>
    </row>
    <row r="2306" spans="1:23" ht="21.95" customHeight="1" x14ac:dyDescent="0.2">
      <c r="A2306" s="6" t="s">
        <v>943</v>
      </c>
      <c r="B2306" s="6" t="s">
        <v>1596</v>
      </c>
      <c r="C2306" s="6" t="s">
        <v>534</v>
      </c>
      <c r="D2306" s="6" t="s">
        <v>950</v>
      </c>
      <c r="E2306" s="6"/>
      <c r="G2306" s="6">
        <v>150</v>
      </c>
      <c r="H2306" s="6">
        <v>200</v>
      </c>
      <c r="K2306" s="7">
        <v>44006477</v>
      </c>
      <c r="L2306" s="6" t="str">
        <f t="shared" ref="L2306:L2346" si="236">B2306&amp;" "&amp;C2306&amp;" "&amp;D2306&amp;" "&amp;G2306&amp;"x"&amp;H2306</f>
        <v>YT HARMONY BAŞLIK 150x200</v>
      </c>
      <c r="M2306" s="12">
        <v>0.1</v>
      </c>
      <c r="N2306" s="12">
        <v>0.1</v>
      </c>
      <c r="O2306" s="8">
        <v>6970</v>
      </c>
      <c r="P2306" s="8">
        <f t="shared" si="230"/>
        <v>6273</v>
      </c>
      <c r="Q2306" s="12">
        <f t="shared" si="231"/>
        <v>13173.300000000001</v>
      </c>
      <c r="R2306" s="31">
        <f t="shared" si="232"/>
        <v>13100</v>
      </c>
      <c r="T2306" s="8">
        <v>21675</v>
      </c>
      <c r="V2306" s="8">
        <f t="shared" si="234"/>
        <v>19507.5</v>
      </c>
      <c r="W2306" s="8">
        <f t="shared" si="235"/>
        <v>48768.75</v>
      </c>
    </row>
    <row r="2307" spans="1:23" ht="21.95" customHeight="1" x14ac:dyDescent="0.2">
      <c r="A2307" s="6" t="s">
        <v>943</v>
      </c>
      <c r="B2307" s="6" t="s">
        <v>1596</v>
      </c>
      <c r="C2307" s="6" t="s">
        <v>534</v>
      </c>
      <c r="D2307" s="6" t="s">
        <v>950</v>
      </c>
      <c r="E2307" s="6"/>
      <c r="G2307" s="6">
        <v>160</v>
      </c>
      <c r="H2307" s="6">
        <v>200</v>
      </c>
      <c r="K2307" s="7">
        <v>44006478</v>
      </c>
      <c r="L2307" s="6" t="str">
        <f t="shared" si="236"/>
        <v>YT HARMONY BAŞLIK 160x200</v>
      </c>
      <c r="M2307" s="12">
        <v>0.1</v>
      </c>
      <c r="N2307" s="12">
        <v>0.1</v>
      </c>
      <c r="O2307" s="8">
        <v>7220</v>
      </c>
      <c r="P2307" s="8">
        <f t="shared" si="230"/>
        <v>6498</v>
      </c>
      <c r="Q2307" s="12">
        <f t="shared" si="231"/>
        <v>13645.800000000001</v>
      </c>
      <c r="R2307" s="31">
        <f t="shared" si="232"/>
        <v>13600</v>
      </c>
      <c r="T2307" s="8">
        <v>26275</v>
      </c>
      <c r="V2307" s="8">
        <f t="shared" si="234"/>
        <v>23647.5</v>
      </c>
      <c r="W2307" s="8">
        <f t="shared" si="235"/>
        <v>59118.75</v>
      </c>
    </row>
    <row r="2308" spans="1:23" ht="21.95" customHeight="1" x14ac:dyDescent="0.2">
      <c r="A2308" s="6" t="s">
        <v>943</v>
      </c>
      <c r="B2308" s="6" t="s">
        <v>1596</v>
      </c>
      <c r="C2308" s="6" t="s">
        <v>534</v>
      </c>
      <c r="D2308" s="6" t="s">
        <v>950</v>
      </c>
      <c r="E2308" s="6"/>
      <c r="G2308" s="6">
        <v>180</v>
      </c>
      <c r="H2308" s="6">
        <v>200</v>
      </c>
      <c r="K2308" s="7">
        <v>44006479</v>
      </c>
      <c r="L2308" s="6" t="str">
        <f t="shared" si="236"/>
        <v>YT HARMONY BAŞLIK 180x200</v>
      </c>
      <c r="M2308" s="12">
        <v>0.1</v>
      </c>
      <c r="N2308" s="12">
        <v>0.1</v>
      </c>
      <c r="O2308" s="8">
        <v>8520</v>
      </c>
      <c r="P2308" s="8">
        <f t="shared" si="230"/>
        <v>7668</v>
      </c>
      <c r="Q2308" s="12">
        <f t="shared" si="231"/>
        <v>16102.800000000001</v>
      </c>
      <c r="R2308" s="31">
        <f t="shared" si="232"/>
        <v>16100</v>
      </c>
      <c r="T2308" s="8">
        <v>28775</v>
      </c>
      <c r="V2308" s="8">
        <f t="shared" si="234"/>
        <v>25897.5</v>
      </c>
      <c r="W2308" s="8">
        <f t="shared" si="235"/>
        <v>64743.75</v>
      </c>
    </row>
    <row r="2309" spans="1:23" ht="21.95" customHeight="1" x14ac:dyDescent="0.2">
      <c r="A2309" s="6" t="s">
        <v>943</v>
      </c>
      <c r="B2309" s="6" t="s">
        <v>1596</v>
      </c>
      <c r="C2309" s="6" t="s">
        <v>534</v>
      </c>
      <c r="D2309" s="6" t="s">
        <v>950</v>
      </c>
      <c r="E2309" s="6"/>
      <c r="G2309" s="6">
        <v>200</v>
      </c>
      <c r="H2309" s="6">
        <v>200</v>
      </c>
      <c r="K2309" s="7">
        <v>44006480</v>
      </c>
      <c r="L2309" s="6" t="str">
        <f t="shared" si="236"/>
        <v>YT HARMONY BAŞLIK 200x200</v>
      </c>
      <c r="M2309" s="12">
        <v>0.1</v>
      </c>
      <c r="N2309" s="12">
        <v>0.1</v>
      </c>
      <c r="O2309" s="8">
        <v>9440</v>
      </c>
      <c r="P2309" s="8">
        <f t="shared" si="230"/>
        <v>8496</v>
      </c>
      <c r="Q2309" s="12">
        <f t="shared" si="231"/>
        <v>17841.600000000002</v>
      </c>
      <c r="R2309" s="31">
        <f t="shared" si="232"/>
        <v>17800</v>
      </c>
      <c r="T2309" s="8">
        <v>24175</v>
      </c>
      <c r="V2309" s="8">
        <f t="shared" si="234"/>
        <v>21757.5</v>
      </c>
      <c r="W2309" s="8">
        <f t="shared" si="235"/>
        <v>54393.75</v>
      </c>
    </row>
    <row r="2310" spans="1:23" ht="21.95" customHeight="1" x14ac:dyDescent="0.2">
      <c r="A2310" s="6" t="s">
        <v>943</v>
      </c>
      <c r="B2310" s="6" t="s">
        <v>1596</v>
      </c>
      <c r="C2310" s="6" t="s">
        <v>534</v>
      </c>
      <c r="D2310" s="6" t="s">
        <v>978</v>
      </c>
      <c r="E2310" s="6"/>
      <c r="G2310" s="6">
        <v>150</v>
      </c>
      <c r="H2310" s="6">
        <v>200</v>
      </c>
      <c r="K2310" s="7">
        <v>44006481</v>
      </c>
      <c r="L2310" s="6" t="str">
        <f t="shared" si="236"/>
        <v>YT HARMONY AYAK UCU 150x200</v>
      </c>
      <c r="M2310" s="12">
        <v>0.1</v>
      </c>
      <c r="N2310" s="12">
        <v>0.1</v>
      </c>
      <c r="O2310" s="8">
        <v>5180</v>
      </c>
      <c r="P2310" s="8">
        <f t="shared" si="230"/>
        <v>4662</v>
      </c>
      <c r="Q2310" s="12">
        <f t="shared" si="231"/>
        <v>9790.2000000000007</v>
      </c>
      <c r="R2310" s="31">
        <f t="shared" si="232"/>
        <v>9700</v>
      </c>
      <c r="T2310" s="8">
        <v>8245</v>
      </c>
      <c r="V2310" s="8">
        <f t="shared" si="234"/>
        <v>7420.5</v>
      </c>
      <c r="W2310" s="8">
        <f t="shared" si="235"/>
        <v>18551.25</v>
      </c>
    </row>
    <row r="2311" spans="1:23" ht="21.95" customHeight="1" x14ac:dyDescent="0.2">
      <c r="A2311" s="6" t="s">
        <v>943</v>
      </c>
      <c r="B2311" s="6" t="s">
        <v>1596</v>
      </c>
      <c r="C2311" s="6" t="s">
        <v>534</v>
      </c>
      <c r="D2311" s="6" t="s">
        <v>978</v>
      </c>
      <c r="E2311" s="6"/>
      <c r="G2311" s="6">
        <v>160</v>
      </c>
      <c r="H2311" s="6">
        <v>200</v>
      </c>
      <c r="K2311" s="7">
        <v>44006482</v>
      </c>
      <c r="L2311" s="6" t="str">
        <f t="shared" si="236"/>
        <v>YT HARMONY AYAK UCU 160x200</v>
      </c>
      <c r="M2311" s="12">
        <v>0.1</v>
      </c>
      <c r="N2311" s="12">
        <v>0.1</v>
      </c>
      <c r="O2311" s="8">
        <v>5360</v>
      </c>
      <c r="P2311" s="8">
        <f t="shared" si="230"/>
        <v>4824</v>
      </c>
      <c r="Q2311" s="12">
        <f t="shared" si="231"/>
        <v>10130.4</v>
      </c>
      <c r="R2311" s="31">
        <f t="shared" si="232"/>
        <v>10100</v>
      </c>
      <c r="T2311" s="8">
        <v>49310</v>
      </c>
      <c r="V2311" s="8">
        <f t="shared" si="234"/>
        <v>44379</v>
      </c>
      <c r="W2311" s="8">
        <f t="shared" si="235"/>
        <v>110947.5</v>
      </c>
    </row>
    <row r="2312" spans="1:23" ht="21.95" customHeight="1" x14ac:dyDescent="0.2">
      <c r="A2312" s="6" t="s">
        <v>943</v>
      </c>
      <c r="B2312" s="6" t="s">
        <v>1596</v>
      </c>
      <c r="C2312" s="6" t="s">
        <v>534</v>
      </c>
      <c r="D2312" s="6" t="s">
        <v>978</v>
      </c>
      <c r="E2312" s="6"/>
      <c r="G2312" s="6">
        <v>180</v>
      </c>
      <c r="H2312" s="6">
        <v>200</v>
      </c>
      <c r="K2312" s="7">
        <v>44006483</v>
      </c>
      <c r="L2312" s="6" t="str">
        <f t="shared" si="236"/>
        <v>YT HARMONY AYAK UCU 180x200</v>
      </c>
      <c r="M2312" s="12">
        <v>0.1</v>
      </c>
      <c r="N2312" s="12">
        <v>0.1</v>
      </c>
      <c r="O2312" s="8">
        <v>6310</v>
      </c>
      <c r="P2312" s="8">
        <f t="shared" si="230"/>
        <v>5679</v>
      </c>
      <c r="Q2312" s="12">
        <f t="shared" si="231"/>
        <v>11925.9</v>
      </c>
      <c r="R2312" s="31">
        <f t="shared" si="232"/>
        <v>11900</v>
      </c>
      <c r="T2312" s="8">
        <v>20495</v>
      </c>
      <c r="V2312" s="8">
        <f t="shared" si="234"/>
        <v>18445.5</v>
      </c>
      <c r="W2312" s="8">
        <f t="shared" si="235"/>
        <v>46113.75</v>
      </c>
    </row>
    <row r="2313" spans="1:23" ht="21.95" customHeight="1" x14ac:dyDescent="0.2">
      <c r="A2313" s="6" t="s">
        <v>943</v>
      </c>
      <c r="B2313" s="6" t="s">
        <v>1596</v>
      </c>
      <c r="C2313" s="6" t="s">
        <v>534</v>
      </c>
      <c r="D2313" s="6" t="s">
        <v>978</v>
      </c>
      <c r="E2313" s="6"/>
      <c r="G2313" s="6">
        <v>200</v>
      </c>
      <c r="H2313" s="6">
        <v>200</v>
      </c>
      <c r="K2313" s="7">
        <v>44006484</v>
      </c>
      <c r="L2313" s="6" t="str">
        <f t="shared" si="236"/>
        <v>YT HARMONY AYAK UCU 200x200</v>
      </c>
      <c r="M2313" s="12">
        <v>0.1</v>
      </c>
      <c r="N2313" s="12">
        <v>0.1</v>
      </c>
      <c r="O2313" s="8">
        <v>7000</v>
      </c>
      <c r="P2313" s="8">
        <f t="shared" si="230"/>
        <v>6300</v>
      </c>
      <c r="Q2313" s="12">
        <f t="shared" si="231"/>
        <v>13230</v>
      </c>
      <c r="R2313" s="31">
        <f t="shared" si="232"/>
        <v>13200</v>
      </c>
      <c r="T2313" s="8">
        <v>13345</v>
      </c>
      <c r="V2313" s="8">
        <f t="shared" si="234"/>
        <v>12010.5</v>
      </c>
      <c r="W2313" s="8">
        <f t="shared" si="235"/>
        <v>30026.25</v>
      </c>
    </row>
    <row r="2314" spans="1:23" ht="21.95" customHeight="1" x14ac:dyDescent="0.2">
      <c r="A2314" s="6" t="s">
        <v>943</v>
      </c>
      <c r="B2314" s="6" t="s">
        <v>1596</v>
      </c>
      <c r="C2314" s="6" t="s">
        <v>979</v>
      </c>
      <c r="D2314" s="6" t="s">
        <v>953</v>
      </c>
      <c r="E2314" s="6"/>
      <c r="G2314" s="6">
        <v>150</v>
      </c>
      <c r="H2314" s="6">
        <v>200</v>
      </c>
      <c r="K2314" s="7">
        <v>44006485</v>
      </c>
      <c r="L2314" s="6" t="str">
        <f t="shared" si="236"/>
        <v>YT BEGONYA + YATAK 150x200</v>
      </c>
      <c r="M2314" s="12">
        <v>0.1</v>
      </c>
      <c r="N2314" s="12">
        <v>0.1</v>
      </c>
      <c r="O2314" s="8">
        <v>6380</v>
      </c>
      <c r="P2314" s="8">
        <f t="shared" si="230"/>
        <v>5742</v>
      </c>
      <c r="Q2314" s="12">
        <f t="shared" si="231"/>
        <v>12058.2</v>
      </c>
      <c r="R2314" s="31">
        <f t="shared" si="232"/>
        <v>12000</v>
      </c>
      <c r="T2314" s="8">
        <v>4775</v>
      </c>
      <c r="V2314" s="8">
        <f t="shared" si="234"/>
        <v>4297.5</v>
      </c>
      <c r="W2314" s="8">
        <f t="shared" si="235"/>
        <v>10743.75</v>
      </c>
    </row>
    <row r="2315" spans="1:23" ht="21.95" customHeight="1" x14ac:dyDescent="0.2">
      <c r="A2315" s="6" t="s">
        <v>943</v>
      </c>
      <c r="B2315" s="6" t="s">
        <v>1596</v>
      </c>
      <c r="C2315" s="6" t="s">
        <v>979</v>
      </c>
      <c r="D2315" s="6" t="s">
        <v>953</v>
      </c>
      <c r="E2315" s="6"/>
      <c r="G2315" s="6">
        <v>160</v>
      </c>
      <c r="H2315" s="6">
        <v>200</v>
      </c>
      <c r="K2315" s="7">
        <v>44006486</v>
      </c>
      <c r="L2315" s="6" t="str">
        <f t="shared" si="236"/>
        <v>YT BEGONYA + YATAK 160x200</v>
      </c>
      <c r="M2315" s="12">
        <v>0.1</v>
      </c>
      <c r="N2315" s="12">
        <v>0.1</v>
      </c>
      <c r="O2315" s="8">
        <v>6670</v>
      </c>
      <c r="P2315" s="8">
        <f t="shared" si="230"/>
        <v>6003</v>
      </c>
      <c r="Q2315" s="12">
        <f t="shared" si="231"/>
        <v>12606.300000000001</v>
      </c>
      <c r="R2315" s="31">
        <f t="shared" si="232"/>
        <v>12600</v>
      </c>
      <c r="T2315" s="8">
        <v>3170</v>
      </c>
      <c r="V2315" s="8">
        <f t="shared" si="234"/>
        <v>2853</v>
      </c>
      <c r="W2315" s="8">
        <f t="shared" si="235"/>
        <v>7132.5</v>
      </c>
    </row>
    <row r="2316" spans="1:23" ht="21.95" customHeight="1" x14ac:dyDescent="0.2">
      <c r="A2316" s="6" t="s">
        <v>943</v>
      </c>
      <c r="B2316" s="6" t="s">
        <v>1596</v>
      </c>
      <c r="C2316" s="6" t="s">
        <v>979</v>
      </c>
      <c r="D2316" s="6" t="s">
        <v>953</v>
      </c>
      <c r="E2316" s="6"/>
      <c r="G2316" s="6">
        <v>180</v>
      </c>
      <c r="H2316" s="6">
        <v>200</v>
      </c>
      <c r="K2316" s="7">
        <v>44006487</v>
      </c>
      <c r="L2316" s="6" t="str">
        <f t="shared" si="236"/>
        <v>YT BEGONYA + YATAK 180x200</v>
      </c>
      <c r="M2316" s="12">
        <v>0.1</v>
      </c>
      <c r="N2316" s="12">
        <v>0.1</v>
      </c>
      <c r="O2316" s="8">
        <v>7650</v>
      </c>
      <c r="P2316" s="8">
        <f t="shared" si="230"/>
        <v>6885</v>
      </c>
      <c r="Q2316" s="12">
        <f t="shared" si="231"/>
        <v>14458.5</v>
      </c>
      <c r="R2316" s="31">
        <f t="shared" si="232"/>
        <v>14400</v>
      </c>
      <c r="T2316" s="8">
        <v>21675</v>
      </c>
      <c r="V2316" s="8">
        <f t="shared" si="234"/>
        <v>19507.5</v>
      </c>
      <c r="W2316" s="8">
        <f t="shared" si="235"/>
        <v>48768.75</v>
      </c>
    </row>
    <row r="2317" spans="1:23" ht="21.95" customHeight="1" x14ac:dyDescent="0.2">
      <c r="A2317" s="6" t="s">
        <v>943</v>
      </c>
      <c r="B2317" s="6" t="s">
        <v>1596</v>
      </c>
      <c r="C2317" s="6" t="s">
        <v>979</v>
      </c>
      <c r="D2317" s="6" t="s">
        <v>953</v>
      </c>
      <c r="E2317" s="6"/>
      <c r="G2317" s="6">
        <v>200</v>
      </c>
      <c r="H2317" s="6">
        <v>200</v>
      </c>
      <c r="K2317" s="7">
        <v>44006488</v>
      </c>
      <c r="L2317" s="6" t="str">
        <f t="shared" si="236"/>
        <v>YT BEGONYA + YATAK 200x200</v>
      </c>
      <c r="M2317" s="12">
        <v>0.1</v>
      </c>
      <c r="N2317" s="12">
        <v>0.1</v>
      </c>
      <c r="O2317" s="8">
        <v>8550</v>
      </c>
      <c r="P2317" s="8">
        <f t="shared" si="230"/>
        <v>7695</v>
      </c>
      <c r="Q2317" s="12">
        <f t="shared" si="231"/>
        <v>16159.5</v>
      </c>
      <c r="R2317" s="31">
        <f t="shared" si="232"/>
        <v>16100</v>
      </c>
      <c r="T2317" s="8">
        <v>26275</v>
      </c>
      <c r="V2317" s="8">
        <f t="shared" si="234"/>
        <v>23647.5</v>
      </c>
      <c r="W2317" s="8">
        <f t="shared" si="235"/>
        <v>59118.75</v>
      </c>
    </row>
    <row r="2318" spans="1:23" ht="21.95" customHeight="1" x14ac:dyDescent="0.2">
      <c r="A2318" s="6" t="s">
        <v>943</v>
      </c>
      <c r="B2318" s="6" t="s">
        <v>1596</v>
      </c>
      <c r="C2318" s="6" t="s">
        <v>107</v>
      </c>
      <c r="D2318" s="6" t="s">
        <v>945</v>
      </c>
      <c r="E2318" s="6"/>
      <c r="G2318" s="6">
        <v>150</v>
      </c>
      <c r="H2318" s="6">
        <v>200</v>
      </c>
      <c r="K2318" s="7">
        <v>44006489</v>
      </c>
      <c r="L2318" s="6" t="str">
        <f t="shared" si="236"/>
        <v>YT LOTUS BAZA 150x200</v>
      </c>
      <c r="M2318" s="12">
        <v>0.1</v>
      </c>
      <c r="N2318" s="12">
        <v>0.1</v>
      </c>
      <c r="O2318" s="8">
        <v>10770</v>
      </c>
      <c r="P2318" s="8">
        <f t="shared" ref="P2318:P2381" si="237">O2318*(1-N2318)</f>
        <v>9693</v>
      </c>
      <c r="Q2318" s="12">
        <f t="shared" ref="Q2318:Q2381" si="238">O2318*(1-N2318)*2.1</f>
        <v>20355.3</v>
      </c>
      <c r="R2318" s="31">
        <f t="shared" ref="R2318:R2381" si="239">ROUNDDOWN(Q2318,-2)</f>
        <v>20300</v>
      </c>
      <c r="T2318" s="8">
        <v>28775</v>
      </c>
      <c r="V2318" s="8">
        <f t="shared" si="234"/>
        <v>25897.5</v>
      </c>
      <c r="W2318" s="8">
        <f t="shared" si="235"/>
        <v>64743.75</v>
      </c>
    </row>
    <row r="2319" spans="1:23" ht="21.95" customHeight="1" x14ac:dyDescent="0.2">
      <c r="A2319" s="6" t="s">
        <v>943</v>
      </c>
      <c r="B2319" s="6" t="s">
        <v>1596</v>
      </c>
      <c r="C2319" s="6" t="s">
        <v>107</v>
      </c>
      <c r="D2319" s="6" t="s">
        <v>945</v>
      </c>
      <c r="E2319" s="6"/>
      <c r="G2319" s="6">
        <v>160</v>
      </c>
      <c r="H2319" s="6">
        <v>200</v>
      </c>
      <c r="K2319" s="7">
        <v>44006490</v>
      </c>
      <c r="L2319" s="6" t="str">
        <f t="shared" si="236"/>
        <v>YT LOTUS BAZA 160x200</v>
      </c>
      <c r="M2319" s="12">
        <v>0.1</v>
      </c>
      <c r="N2319" s="12">
        <v>0.1</v>
      </c>
      <c r="O2319" s="8">
        <v>11200</v>
      </c>
      <c r="P2319" s="8">
        <f t="shared" si="237"/>
        <v>10080</v>
      </c>
      <c r="Q2319" s="12">
        <f t="shared" si="238"/>
        <v>21168</v>
      </c>
      <c r="R2319" s="31">
        <f t="shared" si="239"/>
        <v>21100</v>
      </c>
      <c r="T2319" s="8">
        <v>24175</v>
      </c>
      <c r="V2319" s="8">
        <f t="shared" si="234"/>
        <v>21757.5</v>
      </c>
      <c r="W2319" s="8">
        <f t="shared" si="235"/>
        <v>54393.75</v>
      </c>
    </row>
    <row r="2320" spans="1:23" ht="21.95" customHeight="1" x14ac:dyDescent="0.2">
      <c r="A2320" s="6" t="s">
        <v>943</v>
      </c>
      <c r="B2320" s="6" t="s">
        <v>1596</v>
      </c>
      <c r="C2320" s="6" t="s">
        <v>107</v>
      </c>
      <c r="D2320" s="6" t="s">
        <v>945</v>
      </c>
      <c r="E2320" s="6"/>
      <c r="G2320" s="6">
        <v>180</v>
      </c>
      <c r="H2320" s="6">
        <v>200</v>
      </c>
      <c r="K2320" s="7">
        <v>44006491</v>
      </c>
      <c r="L2320" s="6" t="str">
        <f t="shared" si="236"/>
        <v>YT LOTUS BAZA 180x200</v>
      </c>
      <c r="M2320" s="12">
        <v>0.1</v>
      </c>
      <c r="N2320" s="12">
        <v>0.1</v>
      </c>
      <c r="O2320" s="8">
        <v>12080</v>
      </c>
      <c r="P2320" s="8">
        <f t="shared" si="237"/>
        <v>10872</v>
      </c>
      <c r="Q2320" s="12">
        <f t="shared" si="238"/>
        <v>22831.200000000001</v>
      </c>
      <c r="R2320" s="31">
        <f t="shared" si="239"/>
        <v>22800</v>
      </c>
      <c r="T2320" s="8">
        <v>8245</v>
      </c>
      <c r="V2320" s="8">
        <f t="shared" si="234"/>
        <v>7420.5</v>
      </c>
      <c r="W2320" s="8">
        <f t="shared" si="235"/>
        <v>18551.25</v>
      </c>
    </row>
    <row r="2321" spans="1:23" ht="21.95" customHeight="1" x14ac:dyDescent="0.2">
      <c r="A2321" s="6" t="s">
        <v>943</v>
      </c>
      <c r="B2321" s="6" t="s">
        <v>1596</v>
      </c>
      <c r="C2321" s="6" t="s">
        <v>107</v>
      </c>
      <c r="D2321" s="6" t="s">
        <v>945</v>
      </c>
      <c r="E2321" s="6"/>
      <c r="G2321" s="6">
        <v>200</v>
      </c>
      <c r="H2321" s="6">
        <v>200</v>
      </c>
      <c r="K2321" s="7">
        <v>44006492</v>
      </c>
      <c r="L2321" s="6" t="str">
        <f t="shared" si="236"/>
        <v>YT LOTUS BAZA 200x200</v>
      </c>
      <c r="M2321" s="12">
        <v>0.1</v>
      </c>
      <c r="N2321" s="12">
        <v>0.1</v>
      </c>
      <c r="O2321" s="8">
        <v>12960</v>
      </c>
      <c r="P2321" s="8">
        <f t="shared" si="237"/>
        <v>11664</v>
      </c>
      <c r="Q2321" s="12">
        <f t="shared" si="238"/>
        <v>24494.400000000001</v>
      </c>
      <c r="R2321" s="31">
        <f t="shared" si="239"/>
        <v>24400</v>
      </c>
      <c r="T2321" s="8">
        <v>49310</v>
      </c>
      <c r="V2321" s="8">
        <f t="shared" si="234"/>
        <v>44379</v>
      </c>
      <c r="W2321" s="8">
        <f t="shared" si="235"/>
        <v>110947.5</v>
      </c>
    </row>
    <row r="2322" spans="1:23" ht="21.95" customHeight="1" x14ac:dyDescent="0.2">
      <c r="A2322" s="6" t="s">
        <v>943</v>
      </c>
      <c r="B2322" s="6" t="s">
        <v>1596</v>
      </c>
      <c r="C2322" s="6" t="s">
        <v>107</v>
      </c>
      <c r="D2322" s="6" t="s">
        <v>950</v>
      </c>
      <c r="E2322" s="6"/>
      <c r="G2322" s="6">
        <v>150</v>
      </c>
      <c r="H2322" s="6">
        <v>200</v>
      </c>
      <c r="K2322" s="7">
        <v>44006493</v>
      </c>
      <c r="L2322" s="6" t="str">
        <f t="shared" si="236"/>
        <v>YT LOTUS BAŞLIK 150x200</v>
      </c>
      <c r="M2322" s="12">
        <v>0.1</v>
      </c>
      <c r="N2322" s="12">
        <v>0.1</v>
      </c>
      <c r="O2322" s="8">
        <v>8110</v>
      </c>
      <c r="P2322" s="8">
        <f t="shared" si="237"/>
        <v>7299</v>
      </c>
      <c r="Q2322" s="12">
        <f t="shared" si="238"/>
        <v>15327.900000000001</v>
      </c>
      <c r="R2322" s="31">
        <f t="shared" si="239"/>
        <v>15300</v>
      </c>
      <c r="T2322" s="8">
        <v>20495</v>
      </c>
      <c r="V2322" s="8">
        <f t="shared" si="234"/>
        <v>18445.5</v>
      </c>
      <c r="W2322" s="8">
        <f t="shared" si="235"/>
        <v>46113.75</v>
      </c>
    </row>
    <row r="2323" spans="1:23" ht="21.95" customHeight="1" x14ac:dyDescent="0.2">
      <c r="A2323" s="6" t="s">
        <v>943</v>
      </c>
      <c r="B2323" s="6" t="s">
        <v>1596</v>
      </c>
      <c r="C2323" s="6" t="s">
        <v>107</v>
      </c>
      <c r="D2323" s="6" t="s">
        <v>950</v>
      </c>
      <c r="E2323" s="6"/>
      <c r="G2323" s="6">
        <v>160</v>
      </c>
      <c r="H2323" s="6">
        <v>200</v>
      </c>
      <c r="K2323" s="7">
        <v>44006494</v>
      </c>
      <c r="L2323" s="6" t="str">
        <f t="shared" si="236"/>
        <v>YT LOTUS BAŞLIK 160x200</v>
      </c>
      <c r="M2323" s="12">
        <v>0.1</v>
      </c>
      <c r="N2323" s="12">
        <v>0.1</v>
      </c>
      <c r="O2323" s="8">
        <v>8400</v>
      </c>
      <c r="P2323" s="8">
        <f t="shared" si="237"/>
        <v>7560</v>
      </c>
      <c r="Q2323" s="12">
        <f t="shared" si="238"/>
        <v>15876</v>
      </c>
      <c r="R2323" s="31">
        <f t="shared" si="239"/>
        <v>15800</v>
      </c>
      <c r="T2323" s="8">
        <v>13345</v>
      </c>
      <c r="V2323" s="8">
        <f t="shared" si="234"/>
        <v>12010.5</v>
      </c>
      <c r="W2323" s="8">
        <f t="shared" si="235"/>
        <v>30026.25</v>
      </c>
    </row>
    <row r="2324" spans="1:23" ht="21.95" customHeight="1" x14ac:dyDescent="0.2">
      <c r="A2324" s="6" t="s">
        <v>943</v>
      </c>
      <c r="B2324" s="6" t="s">
        <v>1596</v>
      </c>
      <c r="C2324" s="6" t="s">
        <v>107</v>
      </c>
      <c r="D2324" s="6" t="s">
        <v>950</v>
      </c>
      <c r="E2324" s="6"/>
      <c r="G2324" s="6">
        <v>180</v>
      </c>
      <c r="H2324" s="6">
        <v>200</v>
      </c>
      <c r="K2324" s="7">
        <v>44006495</v>
      </c>
      <c r="L2324" s="6" t="str">
        <f t="shared" si="236"/>
        <v>YT LOTUS BAŞLIK 180x200</v>
      </c>
      <c r="M2324" s="12">
        <v>0.1</v>
      </c>
      <c r="N2324" s="12">
        <v>0.1</v>
      </c>
      <c r="O2324" s="8">
        <v>9900</v>
      </c>
      <c r="P2324" s="8">
        <f t="shared" si="237"/>
        <v>8910</v>
      </c>
      <c r="Q2324" s="12">
        <f t="shared" si="238"/>
        <v>18711</v>
      </c>
      <c r="R2324" s="31">
        <f t="shared" si="239"/>
        <v>18700</v>
      </c>
      <c r="T2324" s="8">
        <v>4775</v>
      </c>
      <c r="V2324" s="8">
        <f t="shared" si="234"/>
        <v>4297.5</v>
      </c>
      <c r="W2324" s="8">
        <f t="shared" si="235"/>
        <v>10743.75</v>
      </c>
    </row>
    <row r="2325" spans="1:23" ht="21.95" customHeight="1" x14ac:dyDescent="0.2">
      <c r="A2325" s="6" t="s">
        <v>943</v>
      </c>
      <c r="B2325" s="6" t="s">
        <v>1596</v>
      </c>
      <c r="C2325" s="6" t="s">
        <v>107</v>
      </c>
      <c r="D2325" s="6" t="s">
        <v>950</v>
      </c>
      <c r="E2325" s="6"/>
      <c r="G2325" s="6">
        <v>200</v>
      </c>
      <c r="H2325" s="6">
        <v>200</v>
      </c>
      <c r="K2325" s="7">
        <v>44006496</v>
      </c>
      <c r="L2325" s="6" t="str">
        <f t="shared" si="236"/>
        <v>YT LOTUS BAŞLIK 200x200</v>
      </c>
      <c r="M2325" s="12">
        <v>0.1</v>
      </c>
      <c r="N2325" s="12">
        <v>0.1</v>
      </c>
      <c r="O2325" s="8">
        <v>10980</v>
      </c>
      <c r="P2325" s="8">
        <f t="shared" si="237"/>
        <v>9882</v>
      </c>
      <c r="Q2325" s="12">
        <f t="shared" si="238"/>
        <v>20752.2</v>
      </c>
      <c r="R2325" s="31">
        <f t="shared" si="239"/>
        <v>20700</v>
      </c>
      <c r="T2325" s="8">
        <v>3170</v>
      </c>
      <c r="V2325" s="8">
        <f t="shared" si="234"/>
        <v>2853</v>
      </c>
      <c r="W2325" s="8">
        <f t="shared" si="235"/>
        <v>7132.5</v>
      </c>
    </row>
    <row r="2326" spans="1:23" ht="21.95" customHeight="1" x14ac:dyDescent="0.2">
      <c r="A2326" s="6" t="s">
        <v>943</v>
      </c>
      <c r="B2326" s="6" t="s">
        <v>1596</v>
      </c>
      <c r="C2326" s="6" t="s">
        <v>107</v>
      </c>
      <c r="D2326" s="6" t="s">
        <v>959</v>
      </c>
      <c r="E2326" s="6"/>
      <c r="G2326" s="6">
        <v>45</v>
      </c>
      <c r="H2326" s="6">
        <v>50</v>
      </c>
      <c r="I2326" s="7">
        <v>57</v>
      </c>
      <c r="K2326" s="7">
        <v>44006497</v>
      </c>
      <c r="L2326" s="6" t="str">
        <f t="shared" si="236"/>
        <v>YT LOTUS KOMİDİN  45x50</v>
      </c>
      <c r="M2326" s="12">
        <v>0.1</v>
      </c>
      <c r="N2326" s="12">
        <v>0.1</v>
      </c>
      <c r="O2326" s="8">
        <v>4970</v>
      </c>
      <c r="P2326" s="8">
        <f t="shared" si="237"/>
        <v>4473</v>
      </c>
      <c r="Q2326" s="12">
        <f t="shared" si="238"/>
        <v>9393.3000000000011</v>
      </c>
      <c r="R2326" s="31">
        <f t="shared" si="239"/>
        <v>9300</v>
      </c>
      <c r="T2326" s="8">
        <v>15405</v>
      </c>
      <c r="V2326" s="8">
        <f t="shared" si="234"/>
        <v>13864.5</v>
      </c>
      <c r="W2326" s="8">
        <f t="shared" si="235"/>
        <v>34661.25</v>
      </c>
    </row>
    <row r="2327" spans="1:23" ht="21.95" customHeight="1" x14ac:dyDescent="0.2">
      <c r="A2327" s="6" t="s">
        <v>943</v>
      </c>
      <c r="B2327" s="6" t="s">
        <v>1596</v>
      </c>
      <c r="C2327" s="6" t="s">
        <v>107</v>
      </c>
      <c r="D2327" s="6" t="s">
        <v>951</v>
      </c>
      <c r="E2327" s="6"/>
      <c r="G2327" s="6">
        <v>44</v>
      </c>
      <c r="H2327" s="6">
        <v>143</v>
      </c>
      <c r="I2327" s="7">
        <v>49</v>
      </c>
      <c r="K2327" s="7">
        <v>44006498</v>
      </c>
      <c r="L2327" s="6" t="str">
        <f t="shared" si="236"/>
        <v>YT LOTUS MARKİZ 44x143</v>
      </c>
      <c r="M2327" s="12">
        <v>0.1</v>
      </c>
      <c r="N2327" s="12">
        <v>0.1</v>
      </c>
      <c r="O2327" s="8">
        <v>8330</v>
      </c>
      <c r="P2327" s="8">
        <f t="shared" si="237"/>
        <v>7497</v>
      </c>
      <c r="Q2327" s="12">
        <f t="shared" si="238"/>
        <v>15743.7</v>
      </c>
      <c r="R2327" s="31">
        <f t="shared" si="239"/>
        <v>15700</v>
      </c>
      <c r="T2327" s="8">
        <v>27515</v>
      </c>
      <c r="V2327" s="8">
        <f t="shared" si="234"/>
        <v>24763.5</v>
      </c>
      <c r="W2327" s="8">
        <f t="shared" si="235"/>
        <v>61908.75</v>
      </c>
    </row>
    <row r="2328" spans="1:23" ht="21.95" customHeight="1" x14ac:dyDescent="0.2">
      <c r="A2328" s="6" t="s">
        <v>943</v>
      </c>
      <c r="B2328" s="6" t="s">
        <v>1596</v>
      </c>
      <c r="C2328" s="6" t="s">
        <v>980</v>
      </c>
      <c r="D2328" s="6" t="s">
        <v>953</v>
      </c>
      <c r="E2328" s="6"/>
      <c r="G2328" s="6">
        <v>150</v>
      </c>
      <c r="H2328" s="6">
        <v>200</v>
      </c>
      <c r="K2328" s="7">
        <v>44006499</v>
      </c>
      <c r="L2328" s="6" t="str">
        <f t="shared" si="236"/>
        <v>YT KİNG MATRESS  YATAK 150x200</v>
      </c>
      <c r="M2328" s="12">
        <v>0.1</v>
      </c>
      <c r="N2328" s="12">
        <v>0.1</v>
      </c>
      <c r="O2328" s="8">
        <v>9260</v>
      </c>
      <c r="P2328" s="8">
        <f t="shared" si="237"/>
        <v>8334</v>
      </c>
      <c r="Q2328" s="12">
        <f t="shared" si="238"/>
        <v>17501.400000000001</v>
      </c>
      <c r="R2328" s="31">
        <f t="shared" si="239"/>
        <v>17500</v>
      </c>
      <c r="T2328" s="8">
        <v>4760</v>
      </c>
      <c r="V2328" s="8">
        <f t="shared" si="234"/>
        <v>4284</v>
      </c>
      <c r="W2328" s="8">
        <f t="shared" si="235"/>
        <v>10710</v>
      </c>
    </row>
    <row r="2329" spans="1:23" ht="21.95" customHeight="1" x14ac:dyDescent="0.2">
      <c r="A2329" s="6" t="s">
        <v>943</v>
      </c>
      <c r="B2329" s="6" t="s">
        <v>1596</v>
      </c>
      <c r="C2329" s="6" t="s">
        <v>980</v>
      </c>
      <c r="D2329" s="6" t="s">
        <v>953</v>
      </c>
      <c r="E2329" s="6"/>
      <c r="G2329" s="6">
        <v>160</v>
      </c>
      <c r="H2329" s="6">
        <v>200</v>
      </c>
      <c r="K2329" s="7">
        <v>44006500</v>
      </c>
      <c r="L2329" s="6" t="str">
        <f t="shared" si="236"/>
        <v>YT KİNG MATRESS  YATAK 160x200</v>
      </c>
      <c r="M2329" s="12">
        <v>0.1</v>
      </c>
      <c r="N2329" s="12">
        <v>0.1</v>
      </c>
      <c r="O2329" s="8">
        <v>9910</v>
      </c>
      <c r="P2329" s="8">
        <f t="shared" si="237"/>
        <v>8919</v>
      </c>
      <c r="Q2329" s="12">
        <f t="shared" si="238"/>
        <v>18729.900000000001</v>
      </c>
      <c r="R2329" s="31">
        <f t="shared" si="239"/>
        <v>18700</v>
      </c>
      <c r="T2329" s="8">
        <v>4985</v>
      </c>
      <c r="V2329" s="8">
        <f t="shared" si="234"/>
        <v>4486.5</v>
      </c>
      <c r="W2329" s="8">
        <f t="shared" si="235"/>
        <v>11216.25</v>
      </c>
    </row>
    <row r="2330" spans="1:23" ht="21.95" customHeight="1" x14ac:dyDescent="0.2">
      <c r="A2330" s="6" t="s">
        <v>943</v>
      </c>
      <c r="B2330" s="6" t="s">
        <v>1596</v>
      </c>
      <c r="C2330" s="6" t="s">
        <v>980</v>
      </c>
      <c r="D2330" s="6" t="s">
        <v>953</v>
      </c>
      <c r="E2330" s="6"/>
      <c r="G2330" s="6">
        <v>180</v>
      </c>
      <c r="H2330" s="6">
        <v>200</v>
      </c>
      <c r="K2330" s="7">
        <v>44006501</v>
      </c>
      <c r="L2330" s="6" t="str">
        <f t="shared" si="236"/>
        <v>YT KİNG MATRESS  YATAK 180x200</v>
      </c>
      <c r="M2330" s="12">
        <v>0.1</v>
      </c>
      <c r="N2330" s="12">
        <v>0.1</v>
      </c>
      <c r="O2330" s="8">
        <v>10670</v>
      </c>
      <c r="P2330" s="8">
        <f t="shared" si="237"/>
        <v>9603</v>
      </c>
      <c r="Q2330" s="12">
        <f t="shared" si="238"/>
        <v>20166.3</v>
      </c>
      <c r="R2330" s="31">
        <f t="shared" si="239"/>
        <v>20100</v>
      </c>
      <c r="T2330" s="8">
        <v>20000</v>
      </c>
      <c r="V2330" s="8">
        <f t="shared" si="234"/>
        <v>18000</v>
      </c>
      <c r="W2330" s="8">
        <f t="shared" si="235"/>
        <v>45000</v>
      </c>
    </row>
    <row r="2331" spans="1:23" ht="21.95" customHeight="1" x14ac:dyDescent="0.2">
      <c r="A2331" s="6" t="s">
        <v>943</v>
      </c>
      <c r="B2331" s="6" t="s">
        <v>1596</v>
      </c>
      <c r="C2331" s="6" t="s">
        <v>980</v>
      </c>
      <c r="D2331" s="6" t="s">
        <v>953</v>
      </c>
      <c r="E2331" s="6"/>
      <c r="G2331" s="6">
        <v>200</v>
      </c>
      <c r="H2331" s="6">
        <v>200</v>
      </c>
      <c r="K2331" s="7">
        <v>44006502</v>
      </c>
      <c r="L2331" s="6" t="str">
        <f t="shared" si="236"/>
        <v>YT KİNG MATRESS  YATAK 200x200</v>
      </c>
      <c r="M2331" s="12">
        <v>0.1</v>
      </c>
      <c r="N2331" s="12">
        <v>0.1</v>
      </c>
      <c r="O2331" s="8">
        <v>12250</v>
      </c>
      <c r="P2331" s="8">
        <f t="shared" si="237"/>
        <v>11025</v>
      </c>
      <c r="Q2331" s="12">
        <f t="shared" si="238"/>
        <v>23152.5</v>
      </c>
      <c r="R2331" s="31">
        <f t="shared" si="239"/>
        <v>23100</v>
      </c>
      <c r="T2331" s="8">
        <v>20000</v>
      </c>
      <c r="V2331" s="8">
        <f t="shared" si="234"/>
        <v>18000</v>
      </c>
      <c r="W2331" s="8">
        <f t="shared" si="235"/>
        <v>45000</v>
      </c>
    </row>
    <row r="2332" spans="1:23" ht="21.95" customHeight="1" x14ac:dyDescent="0.2">
      <c r="A2332" s="6" t="s">
        <v>943</v>
      </c>
      <c r="B2332" s="6" t="s">
        <v>1596</v>
      </c>
      <c r="C2332" s="6" t="s">
        <v>981</v>
      </c>
      <c r="D2332" s="6" t="s">
        <v>945</v>
      </c>
      <c r="E2332" s="6"/>
      <c r="G2332" s="6">
        <v>150</v>
      </c>
      <c r="H2332" s="6">
        <v>200</v>
      </c>
      <c r="K2332" s="7">
        <v>44006503</v>
      </c>
      <c r="L2332" s="6" t="str">
        <f t="shared" si="236"/>
        <v>YT LORENZA BAZA 150x200</v>
      </c>
      <c r="M2332" s="12">
        <v>0.1</v>
      </c>
      <c r="N2332" s="12">
        <v>0.1</v>
      </c>
      <c r="O2332" s="8">
        <v>10770</v>
      </c>
      <c r="P2332" s="8">
        <f t="shared" si="237"/>
        <v>9693</v>
      </c>
      <c r="Q2332" s="12">
        <f t="shared" si="238"/>
        <v>20355.3</v>
      </c>
      <c r="R2332" s="31">
        <f t="shared" si="239"/>
        <v>20300</v>
      </c>
      <c r="T2332" s="8">
        <v>20000</v>
      </c>
      <c r="V2332" s="8">
        <f t="shared" si="234"/>
        <v>18000</v>
      </c>
      <c r="W2332" s="8">
        <f t="shared" si="235"/>
        <v>45000</v>
      </c>
    </row>
    <row r="2333" spans="1:23" ht="21.95" customHeight="1" x14ac:dyDescent="0.2">
      <c r="A2333" s="6" t="s">
        <v>943</v>
      </c>
      <c r="B2333" s="6" t="s">
        <v>1596</v>
      </c>
      <c r="C2333" s="6" t="s">
        <v>981</v>
      </c>
      <c r="D2333" s="6" t="s">
        <v>945</v>
      </c>
      <c r="E2333" s="6"/>
      <c r="G2333" s="6">
        <v>160</v>
      </c>
      <c r="H2333" s="6">
        <v>200</v>
      </c>
      <c r="K2333" s="7">
        <v>44006504</v>
      </c>
      <c r="L2333" s="6" t="str">
        <f t="shared" si="236"/>
        <v>YT LORENZA BAZA 160x200</v>
      </c>
      <c r="M2333" s="12">
        <v>0.1</v>
      </c>
      <c r="N2333" s="12">
        <v>0.1</v>
      </c>
      <c r="O2333" s="8">
        <v>11200</v>
      </c>
      <c r="P2333" s="8">
        <f t="shared" si="237"/>
        <v>10080</v>
      </c>
      <c r="Q2333" s="12">
        <f t="shared" si="238"/>
        <v>21168</v>
      </c>
      <c r="R2333" s="31">
        <f t="shared" si="239"/>
        <v>21100</v>
      </c>
      <c r="T2333" s="8">
        <v>17350</v>
      </c>
      <c r="V2333" s="8">
        <f t="shared" si="234"/>
        <v>15615</v>
      </c>
      <c r="W2333" s="8">
        <f t="shared" si="235"/>
        <v>39037.5</v>
      </c>
    </row>
    <row r="2334" spans="1:23" ht="21.95" customHeight="1" x14ac:dyDescent="0.2">
      <c r="A2334" s="6" t="s">
        <v>943</v>
      </c>
      <c r="B2334" s="6" t="s">
        <v>1596</v>
      </c>
      <c r="C2334" s="6" t="s">
        <v>981</v>
      </c>
      <c r="D2334" s="6" t="s">
        <v>945</v>
      </c>
      <c r="E2334" s="6"/>
      <c r="G2334" s="6">
        <v>180</v>
      </c>
      <c r="H2334" s="6">
        <v>200</v>
      </c>
      <c r="K2334" s="7">
        <v>44006505</v>
      </c>
      <c r="L2334" s="6" t="str">
        <f t="shared" si="236"/>
        <v>YT LORENZA BAZA 180x200</v>
      </c>
      <c r="M2334" s="12">
        <v>0.1</v>
      </c>
      <c r="N2334" s="12">
        <v>0.1</v>
      </c>
      <c r="O2334" s="8">
        <v>12080</v>
      </c>
      <c r="P2334" s="8">
        <f t="shared" si="237"/>
        <v>10872</v>
      </c>
      <c r="Q2334" s="12">
        <f t="shared" si="238"/>
        <v>22831.200000000001</v>
      </c>
      <c r="R2334" s="31">
        <f t="shared" si="239"/>
        <v>22800</v>
      </c>
      <c r="T2334" s="8">
        <v>17350</v>
      </c>
      <c r="V2334" s="8">
        <f t="shared" si="234"/>
        <v>15615</v>
      </c>
      <c r="W2334" s="8">
        <f t="shared" si="235"/>
        <v>39037.5</v>
      </c>
    </row>
    <row r="2335" spans="1:23" ht="21.95" customHeight="1" x14ac:dyDescent="0.2">
      <c r="A2335" s="6" t="s">
        <v>943</v>
      </c>
      <c r="B2335" s="6" t="s">
        <v>1596</v>
      </c>
      <c r="C2335" s="6" t="s">
        <v>981</v>
      </c>
      <c r="D2335" s="6" t="s">
        <v>945</v>
      </c>
      <c r="E2335" s="6"/>
      <c r="G2335" s="6">
        <v>200</v>
      </c>
      <c r="H2335" s="6">
        <v>200</v>
      </c>
      <c r="K2335" s="7">
        <v>44006506</v>
      </c>
      <c r="L2335" s="6" t="str">
        <f t="shared" si="236"/>
        <v>YT LORENZA BAZA 200x200</v>
      </c>
      <c r="M2335" s="12">
        <v>0.1</v>
      </c>
      <c r="N2335" s="12">
        <v>0.1</v>
      </c>
      <c r="O2335" s="8">
        <v>12960</v>
      </c>
      <c r="P2335" s="8">
        <f t="shared" si="237"/>
        <v>11664</v>
      </c>
      <c r="Q2335" s="12">
        <f t="shared" si="238"/>
        <v>24494.400000000001</v>
      </c>
      <c r="R2335" s="31">
        <f t="shared" si="239"/>
        <v>24400</v>
      </c>
      <c r="T2335" s="8">
        <v>17350</v>
      </c>
      <c r="V2335" s="8">
        <f t="shared" si="234"/>
        <v>15615</v>
      </c>
      <c r="W2335" s="8">
        <f t="shared" si="235"/>
        <v>39037.5</v>
      </c>
    </row>
    <row r="2336" spans="1:23" ht="21.95" customHeight="1" x14ac:dyDescent="0.2">
      <c r="A2336" s="6" t="s">
        <v>943</v>
      </c>
      <c r="B2336" s="6" t="s">
        <v>1596</v>
      </c>
      <c r="C2336" s="6" t="s">
        <v>982</v>
      </c>
      <c r="D2336" s="6" t="s">
        <v>950</v>
      </c>
      <c r="E2336" s="6"/>
      <c r="G2336" s="6">
        <v>150</v>
      </c>
      <c r="H2336" s="6">
        <v>200</v>
      </c>
      <c r="K2336" s="7">
        <v>44006507</v>
      </c>
      <c r="L2336" s="6" t="str">
        <f t="shared" si="236"/>
        <v>YT LORENZA  BAŞLIK 150x200</v>
      </c>
      <c r="M2336" s="12">
        <v>0.1</v>
      </c>
      <c r="N2336" s="12">
        <v>0.1</v>
      </c>
      <c r="O2336" s="8">
        <v>10340</v>
      </c>
      <c r="P2336" s="8">
        <f t="shared" si="237"/>
        <v>9306</v>
      </c>
      <c r="Q2336" s="12">
        <f t="shared" si="238"/>
        <v>19542.600000000002</v>
      </c>
      <c r="R2336" s="31">
        <f t="shared" si="239"/>
        <v>19500</v>
      </c>
      <c r="T2336" s="8">
        <v>20960</v>
      </c>
      <c r="V2336" s="8">
        <f t="shared" si="234"/>
        <v>18864</v>
      </c>
      <c r="W2336" s="8">
        <f t="shared" si="235"/>
        <v>47160</v>
      </c>
    </row>
    <row r="2337" spans="1:23" ht="21.95" customHeight="1" x14ac:dyDescent="0.2">
      <c r="A2337" s="6" t="s">
        <v>943</v>
      </c>
      <c r="B2337" s="6" t="s">
        <v>1596</v>
      </c>
      <c r="C2337" s="6" t="s">
        <v>982</v>
      </c>
      <c r="D2337" s="6" t="s">
        <v>950</v>
      </c>
      <c r="E2337" s="6"/>
      <c r="G2337" s="6">
        <v>160</v>
      </c>
      <c r="H2337" s="6">
        <v>200</v>
      </c>
      <c r="K2337" s="7">
        <v>44006508</v>
      </c>
      <c r="L2337" s="6" t="str">
        <f t="shared" si="236"/>
        <v>YT LORENZA  BAŞLIK 160x200</v>
      </c>
      <c r="M2337" s="12">
        <v>0.1</v>
      </c>
      <c r="N2337" s="12">
        <v>0.1</v>
      </c>
      <c r="O2337" s="8">
        <v>10700</v>
      </c>
      <c r="P2337" s="8">
        <f t="shared" si="237"/>
        <v>9630</v>
      </c>
      <c r="Q2337" s="12">
        <f t="shared" si="238"/>
        <v>20223</v>
      </c>
      <c r="R2337" s="31">
        <f t="shared" si="239"/>
        <v>20200</v>
      </c>
      <c r="T2337" s="8">
        <v>7770</v>
      </c>
      <c r="V2337" s="8">
        <f t="shared" si="234"/>
        <v>6993</v>
      </c>
      <c r="W2337" s="8">
        <f t="shared" si="235"/>
        <v>17482.5</v>
      </c>
    </row>
    <row r="2338" spans="1:23" ht="21.95" customHeight="1" x14ac:dyDescent="0.2">
      <c r="A2338" s="6" t="s">
        <v>943</v>
      </c>
      <c r="B2338" s="6" t="s">
        <v>1596</v>
      </c>
      <c r="C2338" s="6" t="s">
        <v>982</v>
      </c>
      <c r="D2338" s="6" t="s">
        <v>950</v>
      </c>
      <c r="E2338" s="6"/>
      <c r="G2338" s="6">
        <v>180</v>
      </c>
      <c r="H2338" s="6">
        <v>200</v>
      </c>
      <c r="K2338" s="7">
        <v>44006509</v>
      </c>
      <c r="L2338" s="6" t="str">
        <f t="shared" si="236"/>
        <v>YT LORENZA  BAŞLIK 180x200</v>
      </c>
      <c r="M2338" s="12">
        <v>0.1</v>
      </c>
      <c r="N2338" s="12">
        <v>0.1</v>
      </c>
      <c r="O2338" s="8">
        <v>12630</v>
      </c>
      <c r="P2338" s="8">
        <f t="shared" si="237"/>
        <v>11367</v>
      </c>
      <c r="Q2338" s="12">
        <f t="shared" si="238"/>
        <v>23870.7</v>
      </c>
      <c r="R2338" s="31">
        <f t="shared" si="239"/>
        <v>23800</v>
      </c>
      <c r="T2338" s="8">
        <v>4820</v>
      </c>
      <c r="V2338" s="8">
        <f t="shared" si="234"/>
        <v>4338</v>
      </c>
      <c r="W2338" s="8">
        <f t="shared" si="235"/>
        <v>10845</v>
      </c>
    </row>
    <row r="2339" spans="1:23" ht="21.95" customHeight="1" x14ac:dyDescent="0.2">
      <c r="A2339" s="6" t="s">
        <v>943</v>
      </c>
      <c r="B2339" s="6" t="s">
        <v>1596</v>
      </c>
      <c r="C2339" s="6" t="s">
        <v>982</v>
      </c>
      <c r="D2339" s="6" t="s">
        <v>950</v>
      </c>
      <c r="E2339" s="6"/>
      <c r="G2339" s="6">
        <v>200</v>
      </c>
      <c r="H2339" s="6">
        <v>200</v>
      </c>
      <c r="K2339" s="7">
        <v>44006510</v>
      </c>
      <c r="L2339" s="6" t="str">
        <f t="shared" si="236"/>
        <v>YT LORENZA  BAŞLIK 200x200</v>
      </c>
      <c r="M2339" s="12">
        <v>0.1</v>
      </c>
      <c r="N2339" s="12">
        <v>0.1</v>
      </c>
      <c r="O2339" s="8">
        <v>14020</v>
      </c>
      <c r="P2339" s="8">
        <f t="shared" si="237"/>
        <v>12618</v>
      </c>
      <c r="Q2339" s="12">
        <f t="shared" si="238"/>
        <v>26497.800000000003</v>
      </c>
      <c r="R2339" s="31">
        <f t="shared" si="239"/>
        <v>26400</v>
      </c>
      <c r="T2339" s="8">
        <v>5875</v>
      </c>
      <c r="V2339" s="8">
        <f t="shared" si="234"/>
        <v>5287.5</v>
      </c>
      <c r="W2339" s="8">
        <f t="shared" si="235"/>
        <v>13218.75</v>
      </c>
    </row>
    <row r="2340" spans="1:23" ht="21.95" customHeight="1" x14ac:dyDescent="0.2">
      <c r="A2340" s="6" t="s">
        <v>943</v>
      </c>
      <c r="B2340" s="6" t="s">
        <v>1596</v>
      </c>
      <c r="C2340" s="6" t="s">
        <v>982</v>
      </c>
      <c r="D2340" s="6" t="s">
        <v>948</v>
      </c>
      <c r="E2340" s="6"/>
      <c r="G2340" s="6">
        <v>45</v>
      </c>
      <c r="H2340" s="6">
        <v>56</v>
      </c>
      <c r="I2340" s="7">
        <v>61</v>
      </c>
      <c r="K2340" s="7">
        <v>44006511</v>
      </c>
      <c r="L2340" s="6" t="str">
        <f t="shared" si="236"/>
        <v>YT LORENZA  KOMİDİN 45x56</v>
      </c>
      <c r="M2340" s="12">
        <v>0.1</v>
      </c>
      <c r="N2340" s="12">
        <v>0.1</v>
      </c>
      <c r="O2340" s="8">
        <v>5080</v>
      </c>
      <c r="P2340" s="8">
        <f t="shared" si="237"/>
        <v>4572</v>
      </c>
      <c r="Q2340" s="12">
        <f t="shared" si="238"/>
        <v>9601.2000000000007</v>
      </c>
      <c r="R2340" s="31">
        <f t="shared" si="239"/>
        <v>9600</v>
      </c>
      <c r="T2340" s="8">
        <v>6855</v>
      </c>
      <c r="V2340" s="8">
        <f t="shared" si="234"/>
        <v>6169.5</v>
      </c>
      <c r="W2340" s="8">
        <f t="shared" si="235"/>
        <v>15423.75</v>
      </c>
    </row>
    <row r="2341" spans="1:23" ht="21.95" customHeight="1" x14ac:dyDescent="0.2">
      <c r="A2341" s="6" t="s">
        <v>943</v>
      </c>
      <c r="B2341" s="6" t="s">
        <v>1596</v>
      </c>
      <c r="C2341" s="6" t="s">
        <v>982</v>
      </c>
      <c r="D2341" s="6" t="s">
        <v>951</v>
      </c>
      <c r="E2341" s="6"/>
      <c r="G2341" s="6">
        <v>45</v>
      </c>
      <c r="H2341" s="6">
        <v>81</v>
      </c>
      <c r="I2341" s="7">
        <v>37</v>
      </c>
      <c r="K2341" s="7">
        <v>44006512</v>
      </c>
      <c r="L2341" s="6" t="str">
        <f t="shared" si="236"/>
        <v>YT LORENZA  MARKİZ 45x81</v>
      </c>
      <c r="M2341" s="12">
        <v>0.1</v>
      </c>
      <c r="N2341" s="12">
        <v>0.1</v>
      </c>
      <c r="O2341" s="8">
        <v>5120</v>
      </c>
      <c r="P2341" s="8">
        <f t="shared" si="237"/>
        <v>4608</v>
      </c>
      <c r="Q2341" s="12">
        <f t="shared" si="238"/>
        <v>9676.8000000000011</v>
      </c>
      <c r="R2341" s="31">
        <f t="shared" si="239"/>
        <v>9600</v>
      </c>
      <c r="T2341" s="8">
        <v>29905</v>
      </c>
      <c r="V2341" s="8">
        <f t="shared" si="234"/>
        <v>26914.5</v>
      </c>
      <c r="W2341" s="8">
        <f t="shared" si="235"/>
        <v>67286.25</v>
      </c>
    </row>
    <row r="2342" spans="1:23" ht="21.95" customHeight="1" x14ac:dyDescent="0.2">
      <c r="A2342" s="6" t="s">
        <v>943</v>
      </c>
      <c r="B2342" s="6" t="s">
        <v>1596</v>
      </c>
      <c r="C2342" s="6" t="s">
        <v>982</v>
      </c>
      <c r="D2342" s="6" t="s">
        <v>78</v>
      </c>
      <c r="E2342" s="6"/>
      <c r="G2342" s="6">
        <v>46</v>
      </c>
      <c r="H2342" s="6">
        <v>101</v>
      </c>
      <c r="I2342" s="7">
        <v>92</v>
      </c>
      <c r="K2342" s="7">
        <v>44006513</v>
      </c>
      <c r="L2342" s="6" t="str">
        <f t="shared" si="236"/>
        <v>YT LORENZA  ŞİFONYER 46x101</v>
      </c>
      <c r="M2342" s="12">
        <v>0.1</v>
      </c>
      <c r="N2342" s="12">
        <v>0.1</v>
      </c>
      <c r="O2342" s="8">
        <v>10440</v>
      </c>
      <c r="P2342" s="8">
        <f t="shared" si="237"/>
        <v>9396</v>
      </c>
      <c r="Q2342" s="12">
        <f t="shared" si="238"/>
        <v>19731.600000000002</v>
      </c>
      <c r="R2342" s="31">
        <f t="shared" si="239"/>
        <v>19700</v>
      </c>
      <c r="T2342" s="8">
        <v>32575</v>
      </c>
      <c r="V2342" s="8">
        <f t="shared" si="234"/>
        <v>29317.5</v>
      </c>
      <c r="W2342" s="8">
        <f t="shared" si="235"/>
        <v>73293.75</v>
      </c>
    </row>
    <row r="2343" spans="1:23" ht="21.95" customHeight="1" x14ac:dyDescent="0.2">
      <c r="A2343" s="6" t="s">
        <v>943</v>
      </c>
      <c r="B2343" s="6" t="s">
        <v>1596</v>
      </c>
      <c r="C2343" s="6" t="s">
        <v>983</v>
      </c>
      <c r="D2343" s="6" t="s">
        <v>953</v>
      </c>
      <c r="E2343" s="6"/>
      <c r="G2343" s="6">
        <v>150</v>
      </c>
      <c r="H2343" s="6">
        <v>200</v>
      </c>
      <c r="K2343" s="7">
        <v>44006514</v>
      </c>
      <c r="L2343" s="6" t="str">
        <f t="shared" si="236"/>
        <v>YT BERGAMA YATAK 150x200</v>
      </c>
      <c r="M2343" s="12">
        <v>0.1</v>
      </c>
      <c r="N2343" s="12">
        <v>0.1</v>
      </c>
      <c r="O2343" s="8">
        <v>11280</v>
      </c>
      <c r="P2343" s="8">
        <f t="shared" si="237"/>
        <v>10152</v>
      </c>
      <c r="Q2343" s="12">
        <f t="shared" si="238"/>
        <v>21319.200000000001</v>
      </c>
      <c r="R2343" s="31">
        <f t="shared" si="239"/>
        <v>21300</v>
      </c>
      <c r="T2343" s="8">
        <v>23565</v>
      </c>
      <c r="V2343" s="8">
        <f t="shared" si="234"/>
        <v>21208.5</v>
      </c>
      <c r="W2343" s="8">
        <f t="shared" si="235"/>
        <v>53021.25</v>
      </c>
    </row>
    <row r="2344" spans="1:23" ht="21.95" customHeight="1" x14ac:dyDescent="0.2">
      <c r="A2344" s="6" t="s">
        <v>943</v>
      </c>
      <c r="B2344" s="6" t="s">
        <v>1596</v>
      </c>
      <c r="C2344" s="6" t="s">
        <v>983</v>
      </c>
      <c r="D2344" s="6" t="s">
        <v>953</v>
      </c>
      <c r="E2344" s="6"/>
      <c r="G2344" s="6">
        <v>160</v>
      </c>
      <c r="H2344" s="6">
        <v>200</v>
      </c>
      <c r="K2344" s="7">
        <v>44006515</v>
      </c>
      <c r="L2344" s="6" t="str">
        <f t="shared" si="236"/>
        <v>YT BERGAMA YATAK 160x200</v>
      </c>
      <c r="M2344" s="12">
        <v>0.1</v>
      </c>
      <c r="N2344" s="12">
        <v>0.1</v>
      </c>
      <c r="O2344" s="8">
        <v>12090</v>
      </c>
      <c r="P2344" s="8">
        <f t="shared" si="237"/>
        <v>10881</v>
      </c>
      <c r="Q2344" s="12">
        <f t="shared" si="238"/>
        <v>22850.100000000002</v>
      </c>
      <c r="R2344" s="31">
        <f t="shared" si="239"/>
        <v>22800</v>
      </c>
      <c r="T2344" s="8">
        <v>14940</v>
      </c>
      <c r="V2344" s="8">
        <f t="shared" si="234"/>
        <v>13446</v>
      </c>
      <c r="W2344" s="8">
        <f t="shared" si="235"/>
        <v>33615</v>
      </c>
    </row>
    <row r="2345" spans="1:23" ht="21.95" customHeight="1" x14ac:dyDescent="0.2">
      <c r="A2345" s="6" t="s">
        <v>943</v>
      </c>
      <c r="B2345" s="6" t="s">
        <v>1596</v>
      </c>
      <c r="C2345" s="6" t="s">
        <v>983</v>
      </c>
      <c r="D2345" s="6" t="s">
        <v>953</v>
      </c>
      <c r="E2345" s="6"/>
      <c r="G2345" s="6">
        <v>180</v>
      </c>
      <c r="H2345" s="6">
        <v>200</v>
      </c>
      <c r="K2345" s="7">
        <v>44006516</v>
      </c>
      <c r="L2345" s="6" t="str">
        <f t="shared" si="236"/>
        <v>YT BERGAMA YATAK 180x200</v>
      </c>
      <c r="M2345" s="12">
        <v>0.1</v>
      </c>
      <c r="N2345" s="12">
        <v>0.1</v>
      </c>
      <c r="O2345" s="8">
        <v>13020</v>
      </c>
      <c r="P2345" s="8">
        <f t="shared" si="237"/>
        <v>11718</v>
      </c>
      <c r="Q2345" s="12">
        <f t="shared" si="238"/>
        <v>24607.8</v>
      </c>
      <c r="R2345" s="31">
        <f t="shared" si="239"/>
        <v>24600</v>
      </c>
      <c r="T2345" s="8">
        <v>17665</v>
      </c>
      <c r="V2345" s="8">
        <f t="shared" si="234"/>
        <v>15898.5</v>
      </c>
      <c r="W2345" s="8">
        <f t="shared" si="235"/>
        <v>39746.25</v>
      </c>
    </row>
    <row r="2346" spans="1:23" ht="21.95" customHeight="1" x14ac:dyDescent="0.2">
      <c r="A2346" s="6" t="s">
        <v>943</v>
      </c>
      <c r="B2346" s="6" t="s">
        <v>1596</v>
      </c>
      <c r="C2346" s="6" t="s">
        <v>983</v>
      </c>
      <c r="D2346" s="6" t="s">
        <v>953</v>
      </c>
      <c r="E2346" s="6"/>
      <c r="G2346" s="6">
        <v>200</v>
      </c>
      <c r="H2346" s="6">
        <v>200</v>
      </c>
      <c r="K2346" s="7">
        <v>44006517</v>
      </c>
      <c r="L2346" s="6" t="str">
        <f t="shared" si="236"/>
        <v>YT BERGAMA YATAK 200x200</v>
      </c>
      <c r="M2346" s="12">
        <v>0.1</v>
      </c>
      <c r="N2346" s="12">
        <v>0.1</v>
      </c>
      <c r="O2346" s="8">
        <v>14930</v>
      </c>
      <c r="P2346" s="8">
        <f t="shared" si="237"/>
        <v>13437</v>
      </c>
      <c r="Q2346" s="12">
        <f t="shared" si="238"/>
        <v>28217.7</v>
      </c>
      <c r="R2346" s="31">
        <f t="shared" si="239"/>
        <v>28200</v>
      </c>
      <c r="T2346" s="8">
        <v>11090</v>
      </c>
      <c r="V2346" s="8">
        <f t="shared" si="234"/>
        <v>9981</v>
      </c>
      <c r="W2346" s="8">
        <f t="shared" si="235"/>
        <v>24952.5</v>
      </c>
    </row>
    <row r="2347" spans="1:23" ht="21.95" customHeight="1" x14ac:dyDescent="0.2">
      <c r="A2347" s="6" t="s">
        <v>943</v>
      </c>
      <c r="B2347" s="6" t="s">
        <v>1596</v>
      </c>
      <c r="C2347" s="6" t="s">
        <v>965</v>
      </c>
      <c r="D2347" s="6" t="s">
        <v>152</v>
      </c>
      <c r="E2347" s="6"/>
      <c r="K2347" s="7">
        <v>44006518</v>
      </c>
      <c r="L2347" s="6" t="str">
        <f>B2347&amp;" "&amp;C2347&amp;" "&amp;D2347&amp;" "</f>
        <v xml:space="preserve">YT LEDLİ AYNA AYNA </v>
      </c>
      <c r="M2347" s="12">
        <v>0.1</v>
      </c>
      <c r="N2347" s="12">
        <v>0.1</v>
      </c>
      <c r="O2347" s="8">
        <v>8020</v>
      </c>
      <c r="P2347" s="8">
        <f t="shared" si="237"/>
        <v>7218</v>
      </c>
      <c r="Q2347" s="12">
        <f t="shared" si="238"/>
        <v>15157.800000000001</v>
      </c>
      <c r="R2347" s="31">
        <f t="shared" si="239"/>
        <v>15100</v>
      </c>
      <c r="T2347" s="8">
        <v>9325</v>
      </c>
      <c r="V2347" s="8">
        <f t="shared" si="234"/>
        <v>8392.5</v>
      </c>
      <c r="W2347" s="8">
        <f t="shared" si="235"/>
        <v>20981.25</v>
      </c>
    </row>
    <row r="2348" spans="1:23" ht="21.95" customHeight="1" x14ac:dyDescent="0.2">
      <c r="A2348" s="6" t="s">
        <v>943</v>
      </c>
      <c r="B2348" s="6" t="s">
        <v>1596</v>
      </c>
      <c r="C2348" s="6" t="s">
        <v>984</v>
      </c>
      <c r="D2348" s="6" t="s">
        <v>945</v>
      </c>
      <c r="E2348" s="6"/>
      <c r="G2348" s="6">
        <v>150</v>
      </c>
      <c r="H2348" s="6">
        <v>200</v>
      </c>
      <c r="K2348" s="7">
        <v>44006519</v>
      </c>
      <c r="L2348" s="6" t="str">
        <f t="shared" ref="L2348:L2362" si="240">B2348&amp;" "&amp;C2348&amp;" "&amp;D2348&amp;" "&amp;G2348&amp;"x"&amp;H2348</f>
        <v>YT NİRVANA BAZA 150x200</v>
      </c>
      <c r="M2348" s="12">
        <v>0.1</v>
      </c>
      <c r="N2348" s="12">
        <v>0.1</v>
      </c>
      <c r="O2348" s="8">
        <v>10710</v>
      </c>
      <c r="P2348" s="8">
        <f t="shared" si="237"/>
        <v>9639</v>
      </c>
      <c r="Q2348" s="12">
        <f t="shared" si="238"/>
        <v>20241.900000000001</v>
      </c>
      <c r="R2348" s="31">
        <f t="shared" si="239"/>
        <v>20200</v>
      </c>
      <c r="T2348" s="8">
        <v>9465</v>
      </c>
      <c r="V2348" s="8">
        <f t="shared" si="234"/>
        <v>8518.5</v>
      </c>
      <c r="W2348" s="8">
        <f t="shared" si="235"/>
        <v>21296.25</v>
      </c>
    </row>
    <row r="2349" spans="1:23" ht="21.95" customHeight="1" x14ac:dyDescent="0.2">
      <c r="A2349" s="6" t="s">
        <v>943</v>
      </c>
      <c r="B2349" s="6" t="s">
        <v>1596</v>
      </c>
      <c r="C2349" s="6" t="s">
        <v>984</v>
      </c>
      <c r="D2349" s="6" t="s">
        <v>945</v>
      </c>
      <c r="E2349" s="6"/>
      <c r="G2349" s="6">
        <v>160</v>
      </c>
      <c r="H2349" s="6">
        <v>200</v>
      </c>
      <c r="K2349" s="7">
        <v>44006520</v>
      </c>
      <c r="L2349" s="6" t="str">
        <f t="shared" si="240"/>
        <v>YT NİRVANA BAZA 160x200</v>
      </c>
      <c r="M2349" s="12">
        <v>0.1</v>
      </c>
      <c r="N2349" s="12">
        <v>0.1</v>
      </c>
      <c r="O2349" s="8">
        <v>11250</v>
      </c>
      <c r="P2349" s="8">
        <f t="shared" si="237"/>
        <v>10125</v>
      </c>
      <c r="Q2349" s="12">
        <f t="shared" si="238"/>
        <v>21262.5</v>
      </c>
      <c r="R2349" s="31">
        <f t="shared" si="239"/>
        <v>21200</v>
      </c>
      <c r="T2349" s="8">
        <v>17050</v>
      </c>
      <c r="V2349" s="8">
        <f t="shared" si="234"/>
        <v>15345</v>
      </c>
      <c r="W2349" s="8">
        <f t="shared" si="235"/>
        <v>38362.5</v>
      </c>
    </row>
    <row r="2350" spans="1:23" ht="21.95" customHeight="1" x14ac:dyDescent="0.2">
      <c r="A2350" s="6" t="s">
        <v>943</v>
      </c>
      <c r="B2350" s="6" t="s">
        <v>1596</v>
      </c>
      <c r="C2350" s="6" t="s">
        <v>984</v>
      </c>
      <c r="D2350" s="6" t="s">
        <v>945</v>
      </c>
      <c r="E2350" s="6"/>
      <c r="G2350" s="6">
        <v>180</v>
      </c>
      <c r="H2350" s="6">
        <v>200</v>
      </c>
      <c r="K2350" s="7">
        <v>44006521</v>
      </c>
      <c r="L2350" s="6" t="str">
        <f t="shared" si="240"/>
        <v>YT NİRVANA BAZA 180x200</v>
      </c>
      <c r="M2350" s="12">
        <v>0.1</v>
      </c>
      <c r="N2350" s="12">
        <v>0.1</v>
      </c>
      <c r="O2350" s="8">
        <v>12260</v>
      </c>
      <c r="P2350" s="8">
        <f t="shared" si="237"/>
        <v>11034</v>
      </c>
      <c r="Q2350" s="12">
        <f t="shared" si="238"/>
        <v>23171.4</v>
      </c>
      <c r="R2350" s="31">
        <f t="shared" si="239"/>
        <v>23100</v>
      </c>
      <c r="T2350" s="8">
        <v>8985</v>
      </c>
      <c r="V2350" s="8">
        <f t="shared" si="234"/>
        <v>8086.5</v>
      </c>
      <c r="W2350" s="8">
        <f t="shared" si="235"/>
        <v>20216.25</v>
      </c>
    </row>
    <row r="2351" spans="1:23" ht="21.95" customHeight="1" x14ac:dyDescent="0.2">
      <c r="A2351" s="6" t="s">
        <v>943</v>
      </c>
      <c r="B2351" s="6" t="s">
        <v>1596</v>
      </c>
      <c r="C2351" s="6" t="s">
        <v>984</v>
      </c>
      <c r="D2351" s="6" t="s">
        <v>945</v>
      </c>
      <c r="E2351" s="6"/>
      <c r="G2351" s="6">
        <v>200</v>
      </c>
      <c r="H2351" s="6">
        <v>200</v>
      </c>
      <c r="K2351" s="7">
        <v>44006522</v>
      </c>
      <c r="L2351" s="6" t="str">
        <f t="shared" si="240"/>
        <v>YT NİRVANA BAZA 200x200</v>
      </c>
      <c r="M2351" s="12">
        <v>0.1</v>
      </c>
      <c r="N2351" s="12">
        <v>0.1</v>
      </c>
      <c r="O2351" s="8">
        <v>13200</v>
      </c>
      <c r="P2351" s="8">
        <f t="shared" si="237"/>
        <v>11880</v>
      </c>
      <c r="Q2351" s="12">
        <f t="shared" si="238"/>
        <v>24948</v>
      </c>
      <c r="R2351" s="31">
        <f t="shared" si="239"/>
        <v>24900</v>
      </c>
      <c r="T2351" s="8">
        <v>18275</v>
      </c>
      <c r="V2351" s="8">
        <f t="shared" si="234"/>
        <v>16447.5</v>
      </c>
      <c r="W2351" s="8">
        <f t="shared" si="235"/>
        <v>41118.75</v>
      </c>
    </row>
    <row r="2352" spans="1:23" ht="21.95" customHeight="1" x14ac:dyDescent="0.2">
      <c r="A2352" s="6" t="s">
        <v>943</v>
      </c>
      <c r="B2352" s="6" t="s">
        <v>1596</v>
      </c>
      <c r="C2352" s="6" t="s">
        <v>984</v>
      </c>
      <c r="D2352" s="6" t="s">
        <v>950</v>
      </c>
      <c r="E2352" s="6"/>
      <c r="G2352" s="6">
        <v>150</v>
      </c>
      <c r="H2352" s="6">
        <v>200</v>
      </c>
      <c r="K2352" s="7">
        <v>44006523</v>
      </c>
      <c r="L2352" s="6" t="str">
        <f t="shared" si="240"/>
        <v>YT NİRVANA BAŞLIK 150x200</v>
      </c>
      <c r="M2352" s="12">
        <v>0.1</v>
      </c>
      <c r="N2352" s="12">
        <v>0.1</v>
      </c>
      <c r="O2352" s="8">
        <v>6170</v>
      </c>
      <c r="P2352" s="8">
        <f t="shared" si="237"/>
        <v>5553</v>
      </c>
      <c r="Q2352" s="12">
        <f t="shared" si="238"/>
        <v>11661.300000000001</v>
      </c>
      <c r="R2352" s="31">
        <f t="shared" si="239"/>
        <v>11600</v>
      </c>
      <c r="T2352" s="8">
        <v>16845</v>
      </c>
      <c r="V2352" s="8">
        <f t="shared" si="234"/>
        <v>15160.5</v>
      </c>
      <c r="W2352" s="8">
        <f t="shared" si="235"/>
        <v>37901.25</v>
      </c>
    </row>
    <row r="2353" spans="1:23" ht="21.95" customHeight="1" x14ac:dyDescent="0.2">
      <c r="A2353" s="6" t="s">
        <v>943</v>
      </c>
      <c r="B2353" s="6" t="s">
        <v>1596</v>
      </c>
      <c r="C2353" s="6" t="s">
        <v>984</v>
      </c>
      <c r="D2353" s="6" t="s">
        <v>950</v>
      </c>
      <c r="E2353" s="6"/>
      <c r="G2353" s="6">
        <v>160</v>
      </c>
      <c r="H2353" s="6">
        <v>200</v>
      </c>
      <c r="K2353" s="7">
        <v>44006524</v>
      </c>
      <c r="L2353" s="6" t="str">
        <f t="shared" si="240"/>
        <v>YT NİRVANA BAŞLIK 160x200</v>
      </c>
      <c r="M2353" s="12">
        <v>0.1</v>
      </c>
      <c r="N2353" s="12">
        <v>0.1</v>
      </c>
      <c r="O2353" s="8">
        <v>6420</v>
      </c>
      <c r="P2353" s="8">
        <f t="shared" si="237"/>
        <v>5778</v>
      </c>
      <c r="Q2353" s="12">
        <f t="shared" si="238"/>
        <v>12133.800000000001</v>
      </c>
      <c r="R2353" s="31">
        <f t="shared" si="239"/>
        <v>12100</v>
      </c>
      <c r="T2353" s="8">
        <v>12295</v>
      </c>
      <c r="V2353" s="8">
        <f t="shared" si="234"/>
        <v>11065.5</v>
      </c>
      <c r="W2353" s="8">
        <f t="shared" si="235"/>
        <v>27663.75</v>
      </c>
    </row>
    <row r="2354" spans="1:23" ht="21.95" customHeight="1" x14ac:dyDescent="0.2">
      <c r="A2354" s="6" t="s">
        <v>943</v>
      </c>
      <c r="B2354" s="6" t="s">
        <v>1596</v>
      </c>
      <c r="C2354" s="6" t="s">
        <v>984</v>
      </c>
      <c r="D2354" s="6" t="s">
        <v>950</v>
      </c>
      <c r="E2354" s="6"/>
      <c r="G2354" s="6">
        <v>180</v>
      </c>
      <c r="H2354" s="6">
        <v>200</v>
      </c>
      <c r="K2354" s="7">
        <v>44006525</v>
      </c>
      <c r="L2354" s="6" t="str">
        <f t="shared" si="240"/>
        <v>YT NİRVANA BAŞLIK 180x200</v>
      </c>
      <c r="M2354" s="12">
        <v>0.1</v>
      </c>
      <c r="N2354" s="12">
        <v>0.1</v>
      </c>
      <c r="O2354" s="8">
        <v>7500</v>
      </c>
      <c r="P2354" s="8">
        <f t="shared" si="237"/>
        <v>6750</v>
      </c>
      <c r="Q2354" s="12">
        <f t="shared" si="238"/>
        <v>14175</v>
      </c>
      <c r="R2354" s="31">
        <f t="shared" si="239"/>
        <v>14100</v>
      </c>
      <c r="T2354" s="8">
        <v>15265</v>
      </c>
      <c r="V2354" s="8">
        <f t="shared" si="234"/>
        <v>13738.5</v>
      </c>
      <c r="W2354" s="8">
        <f t="shared" si="235"/>
        <v>34346.25</v>
      </c>
    </row>
    <row r="2355" spans="1:23" ht="21.95" customHeight="1" x14ac:dyDescent="0.2">
      <c r="A2355" s="6" t="s">
        <v>943</v>
      </c>
      <c r="B2355" s="6" t="s">
        <v>1596</v>
      </c>
      <c r="C2355" s="6" t="s">
        <v>984</v>
      </c>
      <c r="D2355" s="6" t="s">
        <v>950</v>
      </c>
      <c r="E2355" s="6"/>
      <c r="G2355" s="6">
        <v>200</v>
      </c>
      <c r="H2355" s="6">
        <v>200</v>
      </c>
      <c r="K2355" s="7">
        <v>44006526</v>
      </c>
      <c r="L2355" s="6" t="str">
        <f t="shared" si="240"/>
        <v>YT NİRVANA BAŞLIK 200x200</v>
      </c>
      <c r="M2355" s="12">
        <v>0.1</v>
      </c>
      <c r="N2355" s="12">
        <v>0.1</v>
      </c>
      <c r="O2355" s="8">
        <v>8640</v>
      </c>
      <c r="P2355" s="8">
        <f t="shared" si="237"/>
        <v>7776</v>
      </c>
      <c r="Q2355" s="12">
        <f t="shared" si="238"/>
        <v>16329.6</v>
      </c>
      <c r="R2355" s="31">
        <f t="shared" si="239"/>
        <v>16300</v>
      </c>
      <c r="T2355" s="8">
        <v>15725</v>
      </c>
      <c r="V2355" s="8">
        <f t="shared" si="234"/>
        <v>14152.5</v>
      </c>
      <c r="W2355" s="8">
        <f t="shared" si="235"/>
        <v>35381.25</v>
      </c>
    </row>
    <row r="2356" spans="1:23" ht="21.95" customHeight="1" x14ac:dyDescent="0.2">
      <c r="A2356" s="6" t="s">
        <v>943</v>
      </c>
      <c r="B2356" s="6" t="s">
        <v>1596</v>
      </c>
      <c r="C2356" s="6" t="s">
        <v>984</v>
      </c>
      <c r="D2356" s="6" t="s">
        <v>948</v>
      </c>
      <c r="E2356" s="6"/>
      <c r="G2356" s="6">
        <v>45</v>
      </c>
      <c r="H2356" s="6">
        <v>50</v>
      </c>
      <c r="I2356" s="7">
        <v>62</v>
      </c>
      <c r="K2356" s="7">
        <v>44006527</v>
      </c>
      <c r="L2356" s="6" t="str">
        <f t="shared" si="240"/>
        <v>YT NİRVANA KOMİDİN 45x50</v>
      </c>
      <c r="M2356" s="12">
        <v>0.1</v>
      </c>
      <c r="N2356" s="12">
        <v>0.1</v>
      </c>
      <c r="O2356" s="8">
        <v>4890</v>
      </c>
      <c r="P2356" s="8">
        <f t="shared" si="237"/>
        <v>4401</v>
      </c>
      <c r="Q2356" s="12">
        <f t="shared" si="238"/>
        <v>9242.1</v>
      </c>
      <c r="R2356" s="31">
        <f t="shared" si="239"/>
        <v>9200</v>
      </c>
      <c r="T2356" s="8">
        <v>15110</v>
      </c>
      <c r="V2356" s="8">
        <f t="shared" ref="V2356:V2443" si="241">T2356*0.9</f>
        <v>13599</v>
      </c>
      <c r="W2356" s="8">
        <f t="shared" ref="W2356:W2443" si="242">V2356*2.5</f>
        <v>33997.5</v>
      </c>
    </row>
    <row r="2357" spans="1:23" ht="21.95" customHeight="1" x14ac:dyDescent="0.2">
      <c r="A2357" s="6" t="s">
        <v>943</v>
      </c>
      <c r="B2357" s="6" t="s">
        <v>1596</v>
      </c>
      <c r="C2357" s="6" t="s">
        <v>984</v>
      </c>
      <c r="D2357" s="6" t="s">
        <v>951</v>
      </c>
      <c r="E2357" s="6"/>
      <c r="G2357" s="6">
        <v>41</v>
      </c>
      <c r="H2357" s="6">
        <v>101</v>
      </c>
      <c r="I2357" s="7">
        <v>48</v>
      </c>
      <c r="K2357" s="7">
        <v>44006528</v>
      </c>
      <c r="L2357" s="6" t="str">
        <f t="shared" si="240"/>
        <v>YT NİRVANA MARKİZ 41x101</v>
      </c>
      <c r="M2357" s="12">
        <v>0.1</v>
      </c>
      <c r="N2357" s="12">
        <v>0.1</v>
      </c>
      <c r="O2357" s="8">
        <v>4410</v>
      </c>
      <c r="P2357" s="8">
        <f t="shared" si="237"/>
        <v>3969</v>
      </c>
      <c r="Q2357" s="12">
        <f t="shared" si="238"/>
        <v>8334.9</v>
      </c>
      <c r="R2357" s="31">
        <f t="shared" si="239"/>
        <v>8300</v>
      </c>
      <c r="T2357" s="8">
        <v>17655</v>
      </c>
      <c r="V2357" s="8">
        <f t="shared" si="241"/>
        <v>15889.5</v>
      </c>
      <c r="W2357" s="8">
        <f t="shared" si="242"/>
        <v>39723.75</v>
      </c>
    </row>
    <row r="2358" spans="1:23" ht="21.95" customHeight="1" x14ac:dyDescent="0.2">
      <c r="A2358" s="6" t="s">
        <v>943</v>
      </c>
      <c r="B2358" s="6" t="s">
        <v>1596</v>
      </c>
      <c r="C2358" s="6" t="s">
        <v>984</v>
      </c>
      <c r="D2358" s="6" t="s">
        <v>78</v>
      </c>
      <c r="E2358" s="6"/>
      <c r="G2358" s="6">
        <v>46</v>
      </c>
      <c r="H2358" s="6">
        <v>96</v>
      </c>
      <c r="I2358" s="7">
        <v>81</v>
      </c>
      <c r="K2358" s="7">
        <v>44006529</v>
      </c>
      <c r="L2358" s="6" t="str">
        <f t="shared" si="240"/>
        <v>YT NİRVANA ŞİFONYER 46x96</v>
      </c>
      <c r="M2358" s="12">
        <v>0.1</v>
      </c>
      <c r="N2358" s="12">
        <v>0.1</v>
      </c>
      <c r="O2358" s="8">
        <v>10240</v>
      </c>
      <c r="P2358" s="8">
        <f t="shared" si="237"/>
        <v>9216</v>
      </c>
      <c r="Q2358" s="12">
        <f t="shared" si="238"/>
        <v>19353.600000000002</v>
      </c>
      <c r="R2358" s="31">
        <f t="shared" si="239"/>
        <v>19300</v>
      </c>
      <c r="T2358" s="8">
        <v>14260</v>
      </c>
      <c r="V2358" s="8">
        <f t="shared" si="241"/>
        <v>12834</v>
      </c>
      <c r="W2358" s="8">
        <f t="shared" si="242"/>
        <v>32085</v>
      </c>
    </row>
    <row r="2359" spans="1:23" ht="21.95" customHeight="1" x14ac:dyDescent="0.2">
      <c r="A2359" s="6" t="s">
        <v>943</v>
      </c>
      <c r="B2359" s="6" t="s">
        <v>1596</v>
      </c>
      <c r="C2359" s="6" t="s">
        <v>952</v>
      </c>
      <c r="D2359" s="6" t="s">
        <v>943</v>
      </c>
      <c r="E2359" s="6"/>
      <c r="G2359" s="6">
        <v>150</v>
      </c>
      <c r="H2359" s="6">
        <v>200</v>
      </c>
      <c r="K2359" s="7">
        <v>44006530</v>
      </c>
      <c r="L2359" s="6" t="str">
        <f t="shared" si="240"/>
        <v>YT KİNG MATRESS + YATAK  150x200</v>
      </c>
      <c r="M2359" s="12">
        <v>0.1</v>
      </c>
      <c r="N2359" s="12">
        <v>0.1</v>
      </c>
      <c r="O2359" s="8">
        <v>10050</v>
      </c>
      <c r="P2359" s="8">
        <f t="shared" si="237"/>
        <v>9045</v>
      </c>
      <c r="Q2359" s="12">
        <f t="shared" si="238"/>
        <v>18994.5</v>
      </c>
      <c r="R2359" s="31">
        <f t="shared" si="239"/>
        <v>18900</v>
      </c>
      <c r="T2359" s="8">
        <v>12755</v>
      </c>
      <c r="V2359" s="8">
        <f t="shared" si="241"/>
        <v>11479.5</v>
      </c>
      <c r="W2359" s="8">
        <f t="shared" si="242"/>
        <v>28698.75</v>
      </c>
    </row>
    <row r="2360" spans="1:23" ht="21.95" customHeight="1" x14ac:dyDescent="0.2">
      <c r="A2360" s="6" t="s">
        <v>943</v>
      </c>
      <c r="B2360" s="6" t="s">
        <v>1596</v>
      </c>
      <c r="C2360" s="6" t="s">
        <v>952</v>
      </c>
      <c r="D2360" s="6" t="s">
        <v>943</v>
      </c>
      <c r="E2360" s="6"/>
      <c r="G2360" s="6">
        <v>160</v>
      </c>
      <c r="H2360" s="6">
        <v>200</v>
      </c>
      <c r="K2360" s="7">
        <v>44006531</v>
      </c>
      <c r="L2360" s="6" t="str">
        <f t="shared" si="240"/>
        <v>YT KİNG MATRESS + YATAK  160x200</v>
      </c>
      <c r="M2360" s="12">
        <v>0.1</v>
      </c>
      <c r="N2360" s="12">
        <v>0.1</v>
      </c>
      <c r="O2360" s="8">
        <v>10770</v>
      </c>
      <c r="P2360" s="8">
        <f t="shared" si="237"/>
        <v>9693</v>
      </c>
      <c r="Q2360" s="12">
        <f t="shared" si="238"/>
        <v>20355.3</v>
      </c>
      <c r="R2360" s="31">
        <f t="shared" si="239"/>
        <v>20300</v>
      </c>
      <c r="T2360" s="8">
        <v>16185</v>
      </c>
      <c r="V2360" s="8">
        <f t="shared" si="241"/>
        <v>14566.5</v>
      </c>
      <c r="W2360" s="8">
        <f t="shared" si="242"/>
        <v>36416.25</v>
      </c>
    </row>
    <row r="2361" spans="1:23" ht="21.95" customHeight="1" x14ac:dyDescent="0.2">
      <c r="A2361" s="6" t="s">
        <v>943</v>
      </c>
      <c r="B2361" s="6" t="s">
        <v>1596</v>
      </c>
      <c r="C2361" s="6" t="s">
        <v>952</v>
      </c>
      <c r="D2361" s="6" t="s">
        <v>943</v>
      </c>
      <c r="E2361" s="6"/>
      <c r="G2361" s="6">
        <v>180</v>
      </c>
      <c r="H2361" s="6">
        <v>200</v>
      </c>
      <c r="K2361" s="7">
        <v>44006532</v>
      </c>
      <c r="L2361" s="6" t="str">
        <f t="shared" si="240"/>
        <v>YT KİNG MATRESS + YATAK  180x200</v>
      </c>
      <c r="M2361" s="12">
        <v>0.1</v>
      </c>
      <c r="N2361" s="12">
        <v>0.1</v>
      </c>
      <c r="O2361" s="8">
        <v>11580</v>
      </c>
      <c r="P2361" s="8">
        <f t="shared" si="237"/>
        <v>10422</v>
      </c>
      <c r="Q2361" s="12">
        <f t="shared" si="238"/>
        <v>21886.2</v>
      </c>
      <c r="R2361" s="31">
        <f t="shared" si="239"/>
        <v>21800</v>
      </c>
      <c r="T2361" s="8">
        <v>15725</v>
      </c>
      <c r="V2361" s="8">
        <f t="shared" si="241"/>
        <v>14152.5</v>
      </c>
      <c r="W2361" s="8">
        <f t="shared" si="242"/>
        <v>35381.25</v>
      </c>
    </row>
    <row r="2362" spans="1:23" ht="21.95" customHeight="1" x14ac:dyDescent="0.2">
      <c r="A2362" s="6" t="s">
        <v>943</v>
      </c>
      <c r="B2362" s="6" t="s">
        <v>1596</v>
      </c>
      <c r="C2362" s="6" t="s">
        <v>952</v>
      </c>
      <c r="D2362" s="6" t="s">
        <v>943</v>
      </c>
      <c r="E2362" s="6"/>
      <c r="G2362" s="6">
        <v>200</v>
      </c>
      <c r="H2362" s="6">
        <v>200</v>
      </c>
      <c r="K2362" s="7">
        <v>44006533</v>
      </c>
      <c r="L2362" s="6" t="str">
        <f t="shared" si="240"/>
        <v>YT KİNG MATRESS + YATAK  200x200</v>
      </c>
      <c r="M2362" s="12">
        <v>0.1</v>
      </c>
      <c r="N2362" s="12">
        <v>0.1</v>
      </c>
      <c r="O2362" s="8">
        <v>13290</v>
      </c>
      <c r="P2362" s="8">
        <f t="shared" si="237"/>
        <v>11961</v>
      </c>
      <c r="Q2362" s="12">
        <f t="shared" si="238"/>
        <v>25118.100000000002</v>
      </c>
      <c r="R2362" s="31">
        <f t="shared" si="239"/>
        <v>25100</v>
      </c>
      <c r="T2362" s="8">
        <v>15570</v>
      </c>
      <c r="V2362" s="8">
        <f t="shared" si="241"/>
        <v>14013</v>
      </c>
      <c r="W2362" s="8">
        <f t="shared" si="242"/>
        <v>35032.5</v>
      </c>
    </row>
    <row r="2363" spans="1:23" ht="21.95" customHeight="1" x14ac:dyDescent="0.2">
      <c r="A2363" s="6" t="s">
        <v>943</v>
      </c>
      <c r="B2363" s="6" t="s">
        <v>1596</v>
      </c>
      <c r="C2363" s="6" t="s">
        <v>965</v>
      </c>
      <c r="D2363" s="6" t="s">
        <v>152</v>
      </c>
      <c r="E2363" s="6"/>
      <c r="K2363" s="7">
        <v>44006534</v>
      </c>
      <c r="L2363" s="6" t="str">
        <f>B2363&amp;" "&amp;C2363&amp;" "&amp;D2363&amp;" "</f>
        <v xml:space="preserve">YT LEDLİ AYNA AYNA </v>
      </c>
      <c r="M2363" s="12">
        <v>0.1</v>
      </c>
      <c r="N2363" s="12">
        <v>0.1</v>
      </c>
      <c r="O2363" s="8">
        <v>8020</v>
      </c>
      <c r="P2363" s="8">
        <f t="shared" si="237"/>
        <v>7218</v>
      </c>
      <c r="Q2363" s="12">
        <f t="shared" si="238"/>
        <v>15157.800000000001</v>
      </c>
      <c r="R2363" s="31">
        <f t="shared" si="239"/>
        <v>15100</v>
      </c>
      <c r="T2363" s="8">
        <v>18115</v>
      </c>
      <c r="V2363" s="8">
        <f t="shared" si="241"/>
        <v>16303.5</v>
      </c>
      <c r="W2363" s="8">
        <f t="shared" si="242"/>
        <v>40758.75</v>
      </c>
    </row>
    <row r="2364" spans="1:23" ht="21.95" customHeight="1" x14ac:dyDescent="0.2">
      <c r="A2364" s="6" t="s">
        <v>943</v>
      </c>
      <c r="B2364" s="6" t="s">
        <v>1596</v>
      </c>
      <c r="C2364" s="6" t="s">
        <v>985</v>
      </c>
      <c r="D2364" s="6" t="s">
        <v>945</v>
      </c>
      <c r="E2364" s="6"/>
      <c r="G2364" s="6">
        <v>150</v>
      </c>
      <c r="H2364" s="6">
        <v>200</v>
      </c>
      <c r="K2364" s="7">
        <v>44006535</v>
      </c>
      <c r="L2364" s="6" t="str">
        <f t="shared" ref="L2364:L2395" si="243">B2364&amp;" "&amp;C2364&amp;" "&amp;D2364&amp;" "&amp;G2364&amp;"x"&amp;H2364</f>
        <v>YT ORİENT  BAZA 150x200</v>
      </c>
      <c r="M2364" s="12">
        <v>0.1</v>
      </c>
      <c r="N2364" s="12">
        <v>0.1</v>
      </c>
      <c r="O2364" s="8">
        <v>10480</v>
      </c>
      <c r="P2364" s="8">
        <f t="shared" si="237"/>
        <v>9432</v>
      </c>
      <c r="Q2364" s="12">
        <f t="shared" si="238"/>
        <v>19807.2</v>
      </c>
      <c r="R2364" s="31">
        <f t="shared" si="239"/>
        <v>19800</v>
      </c>
      <c r="T2364" s="8">
        <v>14720</v>
      </c>
      <c r="V2364" s="8">
        <f t="shared" si="241"/>
        <v>13248</v>
      </c>
      <c r="W2364" s="8">
        <f t="shared" si="242"/>
        <v>33120</v>
      </c>
    </row>
    <row r="2365" spans="1:23" ht="21.95" customHeight="1" x14ac:dyDescent="0.2">
      <c r="A2365" s="6" t="s">
        <v>943</v>
      </c>
      <c r="B2365" s="6" t="s">
        <v>1596</v>
      </c>
      <c r="C2365" s="6" t="s">
        <v>985</v>
      </c>
      <c r="D2365" s="6" t="s">
        <v>945</v>
      </c>
      <c r="E2365" s="6"/>
      <c r="G2365" s="6">
        <v>160</v>
      </c>
      <c r="H2365" s="6">
        <v>200</v>
      </c>
      <c r="K2365" s="7">
        <v>44006536</v>
      </c>
      <c r="L2365" s="6" t="str">
        <f t="shared" si="243"/>
        <v>YT ORİENT  BAZA 160x200</v>
      </c>
      <c r="M2365" s="12">
        <v>0.1</v>
      </c>
      <c r="N2365" s="12">
        <v>0.1</v>
      </c>
      <c r="O2365" s="8">
        <v>10910</v>
      </c>
      <c r="P2365" s="8">
        <f t="shared" si="237"/>
        <v>9819</v>
      </c>
      <c r="Q2365" s="12">
        <f t="shared" si="238"/>
        <v>20619.900000000001</v>
      </c>
      <c r="R2365" s="31">
        <f t="shared" si="239"/>
        <v>20600</v>
      </c>
      <c r="T2365" s="8">
        <v>12140</v>
      </c>
      <c r="V2365" s="8">
        <f t="shared" si="241"/>
        <v>10926</v>
      </c>
      <c r="W2365" s="8">
        <f t="shared" si="242"/>
        <v>27315</v>
      </c>
    </row>
    <row r="2366" spans="1:23" ht="21.95" customHeight="1" x14ac:dyDescent="0.2">
      <c r="A2366" s="6" t="s">
        <v>943</v>
      </c>
      <c r="B2366" s="6" t="s">
        <v>1596</v>
      </c>
      <c r="C2366" s="6" t="s">
        <v>985</v>
      </c>
      <c r="D2366" s="6" t="s">
        <v>945</v>
      </c>
      <c r="E2366" s="6"/>
      <c r="G2366" s="6">
        <v>180</v>
      </c>
      <c r="H2366" s="6">
        <v>200</v>
      </c>
      <c r="K2366" s="7">
        <v>44006537</v>
      </c>
      <c r="L2366" s="6" t="str">
        <f t="shared" si="243"/>
        <v>YT ORİENT  BAZA 180x200</v>
      </c>
      <c r="M2366" s="12">
        <v>0.1</v>
      </c>
      <c r="N2366" s="12">
        <v>0.1</v>
      </c>
      <c r="O2366" s="8">
        <v>11760</v>
      </c>
      <c r="P2366" s="8">
        <f t="shared" si="237"/>
        <v>10584</v>
      </c>
      <c r="Q2366" s="12">
        <f t="shared" si="238"/>
        <v>22226.400000000001</v>
      </c>
      <c r="R2366" s="31">
        <f t="shared" si="239"/>
        <v>22200</v>
      </c>
      <c r="T2366" s="8">
        <v>14955</v>
      </c>
      <c r="V2366" s="8">
        <f t="shared" si="241"/>
        <v>13459.5</v>
      </c>
      <c r="W2366" s="8">
        <f t="shared" si="242"/>
        <v>33648.75</v>
      </c>
    </row>
    <row r="2367" spans="1:23" ht="21.95" customHeight="1" x14ac:dyDescent="0.2">
      <c r="A2367" s="6" t="s">
        <v>943</v>
      </c>
      <c r="B2367" s="6" t="s">
        <v>1596</v>
      </c>
      <c r="C2367" s="6" t="s">
        <v>985</v>
      </c>
      <c r="D2367" s="6" t="s">
        <v>945</v>
      </c>
      <c r="E2367" s="6"/>
      <c r="G2367" s="6">
        <v>200</v>
      </c>
      <c r="H2367" s="6">
        <v>200</v>
      </c>
      <c r="K2367" s="7">
        <v>44006538</v>
      </c>
      <c r="L2367" s="6" t="str">
        <f t="shared" si="243"/>
        <v>YT ORİENT  BAZA 200x200</v>
      </c>
      <c r="M2367" s="12">
        <v>0.1</v>
      </c>
      <c r="N2367" s="12">
        <v>0.1</v>
      </c>
      <c r="O2367" s="8">
        <v>12630</v>
      </c>
      <c r="P2367" s="8">
        <f t="shared" si="237"/>
        <v>11367</v>
      </c>
      <c r="Q2367" s="12">
        <f t="shared" si="238"/>
        <v>23870.7</v>
      </c>
      <c r="R2367" s="31">
        <f t="shared" si="239"/>
        <v>23800</v>
      </c>
      <c r="T2367" s="8">
        <v>15110</v>
      </c>
      <c r="V2367" s="8">
        <f t="shared" si="241"/>
        <v>13599</v>
      </c>
      <c r="W2367" s="8">
        <f t="shared" si="242"/>
        <v>33997.5</v>
      </c>
    </row>
    <row r="2368" spans="1:23" ht="21.95" customHeight="1" x14ac:dyDescent="0.2">
      <c r="A2368" s="6" t="s">
        <v>943</v>
      </c>
      <c r="B2368" s="6" t="s">
        <v>1596</v>
      </c>
      <c r="C2368" s="6" t="s">
        <v>985</v>
      </c>
      <c r="D2368" s="6" t="s">
        <v>950</v>
      </c>
      <c r="E2368" s="6"/>
      <c r="G2368" s="6">
        <v>150</v>
      </c>
      <c r="H2368" s="6">
        <v>200</v>
      </c>
      <c r="K2368" s="7">
        <v>44006539</v>
      </c>
      <c r="L2368" s="6" t="str">
        <f t="shared" si="243"/>
        <v>YT ORİENT  BAŞLIK 150x200</v>
      </c>
      <c r="M2368" s="12">
        <v>0.1</v>
      </c>
      <c r="N2368" s="12">
        <v>0.1</v>
      </c>
      <c r="O2368" s="8">
        <v>5440</v>
      </c>
      <c r="P2368" s="8">
        <f t="shared" si="237"/>
        <v>4896</v>
      </c>
      <c r="Q2368" s="12">
        <f t="shared" si="238"/>
        <v>10281.6</v>
      </c>
      <c r="R2368" s="31">
        <f t="shared" si="239"/>
        <v>10200</v>
      </c>
      <c r="T2368" s="8">
        <v>15570</v>
      </c>
      <c r="V2368" s="8">
        <f t="shared" si="241"/>
        <v>14013</v>
      </c>
      <c r="W2368" s="8">
        <f t="shared" si="242"/>
        <v>35032.5</v>
      </c>
    </row>
    <row r="2369" spans="1:23" ht="21.95" customHeight="1" x14ac:dyDescent="0.2">
      <c r="A2369" s="6" t="s">
        <v>943</v>
      </c>
      <c r="B2369" s="6" t="s">
        <v>1596</v>
      </c>
      <c r="C2369" s="6" t="s">
        <v>985</v>
      </c>
      <c r="D2369" s="6" t="s">
        <v>950</v>
      </c>
      <c r="E2369" s="6"/>
      <c r="G2369" s="6">
        <v>160</v>
      </c>
      <c r="H2369" s="6">
        <v>200</v>
      </c>
      <c r="K2369" s="7">
        <v>44006540</v>
      </c>
      <c r="L2369" s="6" t="str">
        <f t="shared" si="243"/>
        <v>YT ORİENT  BAŞLIK 160x200</v>
      </c>
      <c r="M2369" s="12">
        <v>0.1</v>
      </c>
      <c r="N2369" s="12">
        <v>0.1</v>
      </c>
      <c r="O2369" s="8">
        <v>5640</v>
      </c>
      <c r="P2369" s="8">
        <f t="shared" si="237"/>
        <v>5076</v>
      </c>
      <c r="Q2369" s="12">
        <f t="shared" si="238"/>
        <v>10659.6</v>
      </c>
      <c r="R2369" s="31">
        <f t="shared" si="239"/>
        <v>10600</v>
      </c>
      <c r="T2369" s="8">
        <v>17500</v>
      </c>
      <c r="V2369" s="8">
        <f t="shared" si="241"/>
        <v>15750</v>
      </c>
      <c r="W2369" s="8">
        <f t="shared" si="242"/>
        <v>39375</v>
      </c>
    </row>
    <row r="2370" spans="1:23" ht="21.95" customHeight="1" x14ac:dyDescent="0.2">
      <c r="A2370" s="6" t="s">
        <v>943</v>
      </c>
      <c r="B2370" s="6" t="s">
        <v>1596</v>
      </c>
      <c r="C2370" s="6" t="s">
        <v>985</v>
      </c>
      <c r="D2370" s="6" t="s">
        <v>950</v>
      </c>
      <c r="E2370" s="6"/>
      <c r="G2370" s="6">
        <v>180</v>
      </c>
      <c r="H2370" s="6">
        <v>200</v>
      </c>
      <c r="K2370" s="7">
        <v>44006541</v>
      </c>
      <c r="L2370" s="6" t="str">
        <f t="shared" si="243"/>
        <v>YT ORİENT  BAŞLIK 180x200</v>
      </c>
      <c r="M2370" s="12">
        <v>0.1</v>
      </c>
      <c r="N2370" s="12">
        <v>0.1</v>
      </c>
      <c r="O2370" s="8">
        <v>6640</v>
      </c>
      <c r="P2370" s="8">
        <f t="shared" si="237"/>
        <v>5976</v>
      </c>
      <c r="Q2370" s="12">
        <f t="shared" si="238"/>
        <v>12549.6</v>
      </c>
      <c r="R2370" s="31">
        <f t="shared" si="239"/>
        <v>12500</v>
      </c>
      <c r="T2370" s="8">
        <v>14105</v>
      </c>
      <c r="V2370" s="8">
        <f t="shared" si="241"/>
        <v>12694.5</v>
      </c>
      <c r="W2370" s="8">
        <f t="shared" si="242"/>
        <v>31736.25</v>
      </c>
    </row>
    <row r="2371" spans="1:23" ht="21.95" customHeight="1" x14ac:dyDescent="0.2">
      <c r="A2371" s="6" t="s">
        <v>943</v>
      </c>
      <c r="B2371" s="6" t="s">
        <v>1596</v>
      </c>
      <c r="C2371" s="6" t="s">
        <v>985</v>
      </c>
      <c r="D2371" s="6" t="s">
        <v>950</v>
      </c>
      <c r="E2371" s="6"/>
      <c r="G2371" s="6">
        <v>200</v>
      </c>
      <c r="H2371" s="6">
        <v>200</v>
      </c>
      <c r="K2371" s="7">
        <v>44006542</v>
      </c>
      <c r="L2371" s="6" t="str">
        <f t="shared" si="243"/>
        <v>YT ORİENT  BAŞLIK 200x200</v>
      </c>
      <c r="M2371" s="12">
        <v>0.1</v>
      </c>
      <c r="N2371" s="12">
        <v>0.1</v>
      </c>
      <c r="O2371" s="8">
        <v>7370</v>
      </c>
      <c r="P2371" s="8">
        <f t="shared" si="237"/>
        <v>6633</v>
      </c>
      <c r="Q2371" s="12">
        <f t="shared" si="238"/>
        <v>13929.300000000001</v>
      </c>
      <c r="R2371" s="31">
        <f t="shared" si="239"/>
        <v>13900</v>
      </c>
      <c r="T2371" s="8">
        <v>2970</v>
      </c>
      <c r="V2371" s="8">
        <f t="shared" si="241"/>
        <v>2673</v>
      </c>
      <c r="W2371" s="8">
        <f t="shared" si="242"/>
        <v>6682.5</v>
      </c>
    </row>
    <row r="2372" spans="1:23" ht="21.95" customHeight="1" x14ac:dyDescent="0.2">
      <c r="A2372" s="6" t="s">
        <v>943</v>
      </c>
      <c r="B2372" s="6" t="s">
        <v>1596</v>
      </c>
      <c r="C2372" s="6" t="s">
        <v>985</v>
      </c>
      <c r="D2372" s="6" t="s">
        <v>948</v>
      </c>
      <c r="E2372" s="6"/>
      <c r="G2372" s="6">
        <v>45</v>
      </c>
      <c r="H2372" s="6">
        <v>50</v>
      </c>
      <c r="I2372" s="7">
        <v>54</v>
      </c>
      <c r="K2372" s="7">
        <v>44006543</v>
      </c>
      <c r="L2372" s="6" t="str">
        <f t="shared" si="243"/>
        <v>YT ORİENT  KOMİDİN 45x50</v>
      </c>
      <c r="M2372" s="12">
        <v>0.1</v>
      </c>
      <c r="N2372" s="12">
        <v>0.1</v>
      </c>
      <c r="O2372" s="8">
        <v>4700</v>
      </c>
      <c r="P2372" s="8">
        <f t="shared" si="237"/>
        <v>4230</v>
      </c>
      <c r="Q2372" s="12">
        <f t="shared" si="238"/>
        <v>8883</v>
      </c>
      <c r="R2372" s="31">
        <f t="shared" si="239"/>
        <v>8800</v>
      </c>
      <c r="T2372" s="8">
        <v>3430</v>
      </c>
      <c r="V2372" s="8">
        <f t="shared" si="241"/>
        <v>3087</v>
      </c>
      <c r="W2372" s="8">
        <f t="shared" si="242"/>
        <v>7717.5</v>
      </c>
    </row>
    <row r="2373" spans="1:23" ht="21.95" customHeight="1" x14ac:dyDescent="0.2">
      <c r="A2373" s="6" t="s">
        <v>943</v>
      </c>
      <c r="B2373" s="6" t="s">
        <v>1596</v>
      </c>
      <c r="C2373" s="6" t="s">
        <v>985</v>
      </c>
      <c r="D2373" s="6" t="s">
        <v>951</v>
      </c>
      <c r="E2373" s="6"/>
      <c r="G2373" s="6">
        <v>46</v>
      </c>
      <c r="H2373" s="6">
        <v>122</v>
      </c>
      <c r="I2373" s="7">
        <v>45</v>
      </c>
      <c r="K2373" s="7">
        <v>44006544</v>
      </c>
      <c r="L2373" s="6" t="str">
        <f t="shared" si="243"/>
        <v>YT ORİENT  MARKİZ 46x122</v>
      </c>
      <c r="M2373" s="12">
        <v>0.1</v>
      </c>
      <c r="N2373" s="12">
        <v>0.1</v>
      </c>
      <c r="O2373" s="8">
        <v>6300</v>
      </c>
      <c r="P2373" s="8">
        <f t="shared" si="237"/>
        <v>5670</v>
      </c>
      <c r="Q2373" s="12">
        <f t="shared" si="238"/>
        <v>11907</v>
      </c>
      <c r="R2373" s="31">
        <f t="shared" si="239"/>
        <v>11900</v>
      </c>
      <c r="T2373" s="8">
        <v>2815</v>
      </c>
      <c r="V2373" s="8">
        <f t="shared" si="241"/>
        <v>2533.5</v>
      </c>
      <c r="W2373" s="8">
        <f t="shared" si="242"/>
        <v>6333.75</v>
      </c>
    </row>
    <row r="2374" spans="1:23" ht="21.95" customHeight="1" x14ac:dyDescent="0.2">
      <c r="A2374" s="6" t="s">
        <v>943</v>
      </c>
      <c r="B2374" s="6" t="s">
        <v>1596</v>
      </c>
      <c r="C2374" s="6" t="s">
        <v>986</v>
      </c>
      <c r="D2374" s="6" t="s">
        <v>953</v>
      </c>
      <c r="E2374" s="6"/>
      <c r="G2374" s="6">
        <v>150</v>
      </c>
      <c r="H2374" s="6">
        <v>200</v>
      </c>
      <c r="K2374" s="7">
        <v>44006545</v>
      </c>
      <c r="L2374" s="6" t="str">
        <f t="shared" si="243"/>
        <v>YT ATLANTİS YATAK 150x200</v>
      </c>
      <c r="M2374" s="12">
        <v>0.1</v>
      </c>
      <c r="N2374" s="12">
        <v>0.1</v>
      </c>
      <c r="O2374" s="8">
        <v>17830</v>
      </c>
      <c r="P2374" s="8">
        <f t="shared" si="237"/>
        <v>16047</v>
      </c>
      <c r="Q2374" s="12">
        <f t="shared" si="238"/>
        <v>33698.700000000004</v>
      </c>
      <c r="R2374" s="31">
        <f t="shared" si="239"/>
        <v>33600</v>
      </c>
      <c r="T2374" s="8">
        <v>5360</v>
      </c>
      <c r="V2374" s="8">
        <f t="shared" si="241"/>
        <v>4824</v>
      </c>
      <c r="W2374" s="8">
        <f t="shared" si="242"/>
        <v>12060</v>
      </c>
    </row>
    <row r="2375" spans="1:23" ht="21.95" customHeight="1" x14ac:dyDescent="0.2">
      <c r="A2375" s="6" t="s">
        <v>943</v>
      </c>
      <c r="B2375" s="6" t="s">
        <v>1596</v>
      </c>
      <c r="C2375" s="6" t="s">
        <v>986</v>
      </c>
      <c r="D2375" s="6" t="s">
        <v>953</v>
      </c>
      <c r="E2375" s="6"/>
      <c r="G2375" s="6">
        <v>160</v>
      </c>
      <c r="H2375" s="6">
        <v>200</v>
      </c>
      <c r="K2375" s="7">
        <v>44006546</v>
      </c>
      <c r="L2375" s="6" t="str">
        <f t="shared" si="243"/>
        <v>YT ATLANTİS YATAK 160x200</v>
      </c>
      <c r="M2375" s="12">
        <v>0.1</v>
      </c>
      <c r="N2375" s="12">
        <v>0.1</v>
      </c>
      <c r="O2375" s="8">
        <v>19060</v>
      </c>
      <c r="P2375" s="8">
        <f t="shared" si="237"/>
        <v>17154</v>
      </c>
      <c r="Q2375" s="12">
        <f t="shared" si="238"/>
        <v>36023.4</v>
      </c>
      <c r="R2375" s="31">
        <f t="shared" si="239"/>
        <v>36000</v>
      </c>
      <c r="T2375" s="8">
        <v>1965</v>
      </c>
      <c r="V2375" s="8">
        <f t="shared" si="241"/>
        <v>1768.5</v>
      </c>
      <c r="W2375" s="8">
        <f t="shared" si="242"/>
        <v>4421.25</v>
      </c>
    </row>
    <row r="2376" spans="1:23" ht="21.95" customHeight="1" x14ac:dyDescent="0.2">
      <c r="A2376" s="6" t="s">
        <v>943</v>
      </c>
      <c r="B2376" s="6" t="s">
        <v>1596</v>
      </c>
      <c r="C2376" s="6" t="s">
        <v>986</v>
      </c>
      <c r="D2376" s="6" t="s">
        <v>953</v>
      </c>
      <c r="E2376" s="6"/>
      <c r="G2376" s="6">
        <v>180</v>
      </c>
      <c r="H2376" s="6">
        <v>200</v>
      </c>
      <c r="K2376" s="7">
        <v>44006547</v>
      </c>
      <c r="L2376" s="6" t="str">
        <f t="shared" si="243"/>
        <v>YT ATLANTİS YATAK 180x200</v>
      </c>
      <c r="M2376" s="12">
        <v>0.1</v>
      </c>
      <c r="N2376" s="12">
        <v>0.1</v>
      </c>
      <c r="O2376" s="8">
        <v>21370</v>
      </c>
      <c r="P2376" s="8">
        <f t="shared" si="237"/>
        <v>19233</v>
      </c>
      <c r="Q2376" s="12">
        <f t="shared" si="238"/>
        <v>40389.300000000003</v>
      </c>
      <c r="R2376" s="31">
        <f t="shared" si="239"/>
        <v>40300</v>
      </c>
      <c r="T2376" s="8">
        <v>4395</v>
      </c>
      <c r="V2376" s="8">
        <f t="shared" si="241"/>
        <v>3955.5</v>
      </c>
      <c r="W2376" s="8">
        <f t="shared" si="242"/>
        <v>9888.75</v>
      </c>
    </row>
    <row r="2377" spans="1:23" ht="21.95" customHeight="1" x14ac:dyDescent="0.2">
      <c r="A2377" s="6" t="s">
        <v>943</v>
      </c>
      <c r="B2377" s="6" t="s">
        <v>1596</v>
      </c>
      <c r="C2377" s="6" t="s">
        <v>986</v>
      </c>
      <c r="D2377" s="6" t="s">
        <v>953</v>
      </c>
      <c r="E2377" s="6"/>
      <c r="G2377" s="6">
        <v>200</v>
      </c>
      <c r="H2377" s="6">
        <v>200</v>
      </c>
      <c r="K2377" s="7">
        <v>44006548</v>
      </c>
      <c r="L2377" s="6" t="str">
        <f t="shared" si="243"/>
        <v>YT ATLANTİS YATAK 200x200</v>
      </c>
      <c r="M2377" s="12">
        <v>0.1</v>
      </c>
      <c r="N2377" s="12">
        <v>0.1</v>
      </c>
      <c r="O2377" s="8">
        <v>23770</v>
      </c>
      <c r="P2377" s="8">
        <f t="shared" si="237"/>
        <v>21393</v>
      </c>
      <c r="Q2377" s="12">
        <f t="shared" si="238"/>
        <v>44925.3</v>
      </c>
      <c r="R2377" s="31">
        <f t="shared" si="239"/>
        <v>44900</v>
      </c>
      <c r="T2377" s="8">
        <v>4395</v>
      </c>
      <c r="V2377" s="8">
        <f t="shared" si="241"/>
        <v>3955.5</v>
      </c>
      <c r="W2377" s="8">
        <f t="shared" si="242"/>
        <v>9888.75</v>
      </c>
    </row>
    <row r="2378" spans="1:23" ht="21.95" customHeight="1" x14ac:dyDescent="0.2">
      <c r="A2378" s="6" t="s">
        <v>943</v>
      </c>
      <c r="B2378" s="6" t="s">
        <v>1596</v>
      </c>
      <c r="C2378" s="6" t="s">
        <v>961</v>
      </c>
      <c r="D2378" s="6" t="s">
        <v>945</v>
      </c>
      <c r="E2378" s="6"/>
      <c r="G2378" s="6">
        <v>150</v>
      </c>
      <c r="H2378" s="6">
        <v>200</v>
      </c>
      <c r="K2378" s="7">
        <v>44006549</v>
      </c>
      <c r="L2378" s="6" t="str">
        <f t="shared" si="243"/>
        <v>YT DORMEO BAZA 150x200</v>
      </c>
      <c r="M2378" s="12">
        <v>0.1</v>
      </c>
      <c r="N2378" s="12">
        <v>0.1</v>
      </c>
      <c r="O2378" s="8">
        <v>11280</v>
      </c>
      <c r="P2378" s="8">
        <f t="shared" si="237"/>
        <v>10152</v>
      </c>
      <c r="Q2378" s="12">
        <f t="shared" si="238"/>
        <v>21319.200000000001</v>
      </c>
      <c r="R2378" s="31">
        <f t="shared" si="239"/>
        <v>21300</v>
      </c>
      <c r="T2378" s="8">
        <v>4395</v>
      </c>
      <c r="V2378" s="8">
        <f t="shared" si="241"/>
        <v>3955.5</v>
      </c>
      <c r="W2378" s="8">
        <f t="shared" si="242"/>
        <v>9888.75</v>
      </c>
    </row>
    <row r="2379" spans="1:23" ht="21.95" customHeight="1" x14ac:dyDescent="0.2">
      <c r="A2379" s="6" t="s">
        <v>943</v>
      </c>
      <c r="B2379" s="6" t="s">
        <v>1596</v>
      </c>
      <c r="C2379" s="6" t="s">
        <v>961</v>
      </c>
      <c r="D2379" s="6" t="s">
        <v>945</v>
      </c>
      <c r="E2379" s="6"/>
      <c r="G2379" s="6">
        <v>200</v>
      </c>
      <c r="H2379" s="6">
        <v>200</v>
      </c>
      <c r="K2379" s="7">
        <v>44006550</v>
      </c>
      <c r="L2379" s="6" t="str">
        <f t="shared" si="243"/>
        <v>YT DORMEO BAZA 200x200</v>
      </c>
      <c r="M2379" s="12">
        <v>0.1</v>
      </c>
      <c r="N2379" s="12">
        <v>0.1</v>
      </c>
      <c r="O2379" s="8">
        <v>13600</v>
      </c>
      <c r="P2379" s="8">
        <f t="shared" si="237"/>
        <v>12240</v>
      </c>
      <c r="Q2379" s="12">
        <f t="shared" si="238"/>
        <v>25704</v>
      </c>
      <c r="R2379" s="31">
        <f t="shared" si="239"/>
        <v>25700</v>
      </c>
      <c r="T2379" s="8">
        <v>8230</v>
      </c>
      <c r="V2379" s="8">
        <f t="shared" si="241"/>
        <v>7407</v>
      </c>
      <c r="W2379" s="8">
        <f t="shared" si="242"/>
        <v>18517.5</v>
      </c>
    </row>
    <row r="2380" spans="1:23" ht="21.95" customHeight="1" x14ac:dyDescent="0.2">
      <c r="A2380" s="6" t="s">
        <v>943</v>
      </c>
      <c r="B2380" s="6" t="s">
        <v>1596</v>
      </c>
      <c r="C2380" s="6" t="s">
        <v>987</v>
      </c>
      <c r="D2380" s="6" t="s">
        <v>950</v>
      </c>
      <c r="E2380" s="6"/>
      <c r="G2380" s="6">
        <v>150</v>
      </c>
      <c r="H2380" s="6">
        <v>200</v>
      </c>
      <c r="K2380" s="7">
        <v>44006551</v>
      </c>
      <c r="L2380" s="6" t="str">
        <f t="shared" si="243"/>
        <v>YT POLARİS  BAŞLIK 150x200</v>
      </c>
      <c r="M2380" s="12">
        <v>0.1</v>
      </c>
      <c r="N2380" s="12">
        <v>0.1</v>
      </c>
      <c r="O2380" s="8">
        <v>8360</v>
      </c>
      <c r="P2380" s="8">
        <f t="shared" si="237"/>
        <v>7524</v>
      </c>
      <c r="Q2380" s="12">
        <f t="shared" si="238"/>
        <v>15800.400000000001</v>
      </c>
      <c r="R2380" s="31">
        <f t="shared" si="239"/>
        <v>15800</v>
      </c>
      <c r="T2380" s="8">
        <v>8230</v>
      </c>
      <c r="V2380" s="8">
        <f t="shared" si="241"/>
        <v>7407</v>
      </c>
      <c r="W2380" s="8">
        <f t="shared" si="242"/>
        <v>18517.5</v>
      </c>
    </row>
    <row r="2381" spans="1:23" ht="21.95" customHeight="1" x14ac:dyDescent="0.2">
      <c r="A2381" s="6" t="s">
        <v>943</v>
      </c>
      <c r="B2381" s="6" t="s">
        <v>1596</v>
      </c>
      <c r="C2381" s="6" t="s">
        <v>987</v>
      </c>
      <c r="D2381" s="6" t="s">
        <v>950</v>
      </c>
      <c r="E2381" s="6"/>
      <c r="G2381" s="6">
        <v>160</v>
      </c>
      <c r="H2381" s="6">
        <v>200</v>
      </c>
      <c r="K2381" s="7">
        <v>44006552</v>
      </c>
      <c r="L2381" s="6" t="str">
        <f t="shared" si="243"/>
        <v>YT POLARİS  BAŞLIK 160x200</v>
      </c>
      <c r="M2381" s="12">
        <v>0.1</v>
      </c>
      <c r="N2381" s="12">
        <v>0.1</v>
      </c>
      <c r="O2381" s="8">
        <v>8640</v>
      </c>
      <c r="P2381" s="8">
        <f t="shared" si="237"/>
        <v>7776</v>
      </c>
      <c r="Q2381" s="12">
        <f t="shared" si="238"/>
        <v>16329.6</v>
      </c>
      <c r="R2381" s="31">
        <f t="shared" si="239"/>
        <v>16300</v>
      </c>
      <c r="T2381" s="8">
        <v>8230</v>
      </c>
      <c r="V2381" s="8">
        <f t="shared" si="241"/>
        <v>7407</v>
      </c>
      <c r="W2381" s="8">
        <f t="shared" si="242"/>
        <v>18517.5</v>
      </c>
    </row>
    <row r="2382" spans="1:23" ht="21.95" customHeight="1" x14ac:dyDescent="0.2">
      <c r="A2382" s="6" t="s">
        <v>943</v>
      </c>
      <c r="B2382" s="6" t="s">
        <v>1596</v>
      </c>
      <c r="C2382" s="6" t="s">
        <v>987</v>
      </c>
      <c r="D2382" s="6" t="s">
        <v>950</v>
      </c>
      <c r="E2382" s="6"/>
      <c r="G2382" s="6">
        <v>180</v>
      </c>
      <c r="H2382" s="6">
        <v>200</v>
      </c>
      <c r="K2382" s="7">
        <v>44006553</v>
      </c>
      <c r="L2382" s="6" t="str">
        <f t="shared" si="243"/>
        <v>YT POLARİS  BAŞLIK 180x200</v>
      </c>
      <c r="M2382" s="12">
        <v>0.1</v>
      </c>
      <c r="N2382" s="12">
        <v>0.1</v>
      </c>
      <c r="O2382" s="8">
        <v>10200</v>
      </c>
      <c r="P2382" s="8">
        <f t="shared" ref="P2382:P2445" si="244">O2382*(1-N2382)</f>
        <v>9180</v>
      </c>
      <c r="Q2382" s="12">
        <f t="shared" ref="Q2382:Q2445" si="245">O2382*(1-N2382)*2.1</f>
        <v>19278</v>
      </c>
      <c r="R2382" s="31">
        <f t="shared" ref="R2382:R2445" si="246">ROUNDDOWN(Q2382,-2)</f>
        <v>19200</v>
      </c>
      <c r="T2382" s="8">
        <v>16215</v>
      </c>
      <c r="V2382" s="8">
        <f t="shared" si="241"/>
        <v>14593.5</v>
      </c>
      <c r="W2382" s="8">
        <f t="shared" si="242"/>
        <v>36483.75</v>
      </c>
    </row>
    <row r="2383" spans="1:23" ht="21.95" customHeight="1" x14ac:dyDescent="0.2">
      <c r="A2383" s="6" t="s">
        <v>943</v>
      </c>
      <c r="B2383" s="6" t="s">
        <v>1596</v>
      </c>
      <c r="C2383" s="6" t="s">
        <v>987</v>
      </c>
      <c r="D2383" s="6" t="s">
        <v>950</v>
      </c>
      <c r="E2383" s="6"/>
      <c r="G2383" s="6">
        <v>200</v>
      </c>
      <c r="H2383" s="6">
        <v>200</v>
      </c>
      <c r="K2383" s="7">
        <v>44006554</v>
      </c>
      <c r="L2383" s="6" t="str">
        <f t="shared" si="243"/>
        <v>YT POLARİS  BAŞLIK 200x200</v>
      </c>
      <c r="M2383" s="12">
        <v>0.1</v>
      </c>
      <c r="N2383" s="12">
        <v>0.1</v>
      </c>
      <c r="O2383" s="8">
        <v>11240</v>
      </c>
      <c r="P2383" s="8">
        <f t="shared" si="244"/>
        <v>10116</v>
      </c>
      <c r="Q2383" s="12">
        <f t="shared" si="245"/>
        <v>21243.600000000002</v>
      </c>
      <c r="R2383" s="31">
        <f t="shared" si="246"/>
        <v>21200</v>
      </c>
      <c r="T2383" s="8">
        <v>16215</v>
      </c>
      <c r="V2383" s="8">
        <f t="shared" si="241"/>
        <v>14593.5</v>
      </c>
      <c r="W2383" s="8">
        <f t="shared" si="242"/>
        <v>36483.75</v>
      </c>
    </row>
    <row r="2384" spans="1:23" ht="21.95" customHeight="1" x14ac:dyDescent="0.2">
      <c r="A2384" s="6" t="s">
        <v>943</v>
      </c>
      <c r="B2384" s="6" t="s">
        <v>1596</v>
      </c>
      <c r="C2384" s="6" t="s">
        <v>987</v>
      </c>
      <c r="D2384" s="6" t="s">
        <v>959</v>
      </c>
      <c r="E2384" s="6"/>
      <c r="G2384" s="6">
        <v>45</v>
      </c>
      <c r="H2384" s="6">
        <v>56</v>
      </c>
      <c r="I2384" s="7">
        <v>65</v>
      </c>
      <c r="K2384" s="7">
        <v>44006555</v>
      </c>
      <c r="L2384" s="6" t="str">
        <f t="shared" si="243"/>
        <v>YT POLARİS  KOMİDİN  45x56</v>
      </c>
      <c r="M2384" s="12">
        <v>0.1</v>
      </c>
      <c r="N2384" s="12">
        <v>0.1</v>
      </c>
      <c r="O2384" s="8">
        <v>5280</v>
      </c>
      <c r="P2384" s="8">
        <f t="shared" si="244"/>
        <v>4752</v>
      </c>
      <c r="Q2384" s="12">
        <f t="shared" si="245"/>
        <v>9979.2000000000007</v>
      </c>
      <c r="R2384" s="31">
        <f t="shared" si="246"/>
        <v>9900</v>
      </c>
      <c r="T2384" s="8">
        <v>16215</v>
      </c>
      <c r="V2384" s="8">
        <f t="shared" si="241"/>
        <v>14593.5</v>
      </c>
      <c r="W2384" s="8">
        <f t="shared" si="242"/>
        <v>36483.75</v>
      </c>
    </row>
    <row r="2385" spans="1:23" ht="21.95" customHeight="1" x14ac:dyDescent="0.2">
      <c r="A2385" s="6" t="s">
        <v>943</v>
      </c>
      <c r="B2385" s="6" t="s">
        <v>1596</v>
      </c>
      <c r="C2385" s="6" t="s">
        <v>987</v>
      </c>
      <c r="D2385" s="6" t="s">
        <v>951</v>
      </c>
      <c r="E2385" s="6"/>
      <c r="G2385" s="6">
        <v>41</v>
      </c>
      <c r="H2385" s="6">
        <v>101</v>
      </c>
      <c r="I2385" s="7">
        <v>49</v>
      </c>
      <c r="K2385" s="7">
        <v>44006556</v>
      </c>
      <c r="L2385" s="6" t="str">
        <f t="shared" si="243"/>
        <v>YT POLARİS  MARKİZ 41x101</v>
      </c>
      <c r="M2385" s="12">
        <v>0.1</v>
      </c>
      <c r="N2385" s="12">
        <v>0.1</v>
      </c>
      <c r="O2385" s="8">
        <v>5510</v>
      </c>
      <c r="P2385" s="8">
        <f t="shared" si="244"/>
        <v>4959</v>
      </c>
      <c r="Q2385" s="12">
        <f t="shared" si="245"/>
        <v>10413.9</v>
      </c>
      <c r="R2385" s="31">
        <f t="shared" si="246"/>
        <v>10400</v>
      </c>
      <c r="T2385" s="8">
        <v>15790</v>
      </c>
      <c r="V2385" s="8">
        <f t="shared" si="241"/>
        <v>14211</v>
      </c>
      <c r="W2385" s="8">
        <f t="shared" si="242"/>
        <v>35527.5</v>
      </c>
    </row>
    <row r="2386" spans="1:23" ht="21.95" customHeight="1" x14ac:dyDescent="0.2">
      <c r="A2386" s="6" t="s">
        <v>943</v>
      </c>
      <c r="B2386" s="6" t="s">
        <v>1596</v>
      </c>
      <c r="C2386" s="6" t="s">
        <v>988</v>
      </c>
      <c r="D2386" s="6" t="s">
        <v>989</v>
      </c>
      <c r="E2386" s="6"/>
      <c r="G2386" s="6">
        <v>150</v>
      </c>
      <c r="H2386" s="6">
        <v>200</v>
      </c>
      <c r="K2386" s="7">
        <v>44006557</v>
      </c>
      <c r="L2386" s="6" t="str">
        <f t="shared" si="243"/>
        <v>YT ARYA  BAZA  150x200</v>
      </c>
      <c r="M2386" s="12">
        <v>0.1</v>
      </c>
      <c r="N2386" s="12">
        <v>0.1</v>
      </c>
      <c r="O2386" s="8">
        <v>12450</v>
      </c>
      <c r="P2386" s="8">
        <f t="shared" si="244"/>
        <v>11205</v>
      </c>
      <c r="Q2386" s="12">
        <f t="shared" si="245"/>
        <v>23530.5</v>
      </c>
      <c r="R2386" s="31">
        <f t="shared" si="246"/>
        <v>23500</v>
      </c>
      <c r="T2386" s="8">
        <v>15790</v>
      </c>
      <c r="V2386" s="8">
        <f t="shared" si="241"/>
        <v>14211</v>
      </c>
      <c r="W2386" s="8">
        <f t="shared" si="242"/>
        <v>35527.5</v>
      </c>
    </row>
    <row r="2387" spans="1:23" ht="21.95" customHeight="1" x14ac:dyDescent="0.2">
      <c r="A2387" s="6" t="s">
        <v>943</v>
      </c>
      <c r="B2387" s="6" t="s">
        <v>1596</v>
      </c>
      <c r="C2387" s="6" t="s">
        <v>988</v>
      </c>
      <c r="D2387" s="6" t="s">
        <v>989</v>
      </c>
      <c r="E2387" s="6"/>
      <c r="G2387" s="6">
        <v>160</v>
      </c>
      <c r="H2387" s="6">
        <v>200</v>
      </c>
      <c r="K2387" s="7">
        <v>44006558</v>
      </c>
      <c r="L2387" s="6" t="str">
        <f t="shared" si="243"/>
        <v>YT ARYA  BAZA  160x200</v>
      </c>
      <c r="M2387" s="12">
        <v>0.1</v>
      </c>
      <c r="N2387" s="12">
        <v>0.1</v>
      </c>
      <c r="O2387" s="8">
        <v>12880</v>
      </c>
      <c r="P2387" s="8">
        <f t="shared" si="244"/>
        <v>11592</v>
      </c>
      <c r="Q2387" s="12">
        <f t="shared" si="245"/>
        <v>24343.200000000001</v>
      </c>
      <c r="R2387" s="31">
        <f t="shared" si="246"/>
        <v>24300</v>
      </c>
      <c r="T2387" s="8">
        <v>15790</v>
      </c>
      <c r="V2387" s="8">
        <f t="shared" si="241"/>
        <v>14211</v>
      </c>
      <c r="W2387" s="8">
        <f t="shared" si="242"/>
        <v>35527.5</v>
      </c>
    </row>
    <row r="2388" spans="1:23" ht="21.95" customHeight="1" x14ac:dyDescent="0.2">
      <c r="A2388" s="6" t="s">
        <v>943</v>
      </c>
      <c r="B2388" s="6" t="s">
        <v>1596</v>
      </c>
      <c r="C2388" s="6" t="s">
        <v>988</v>
      </c>
      <c r="D2388" s="6" t="s">
        <v>989</v>
      </c>
      <c r="E2388" s="6"/>
      <c r="G2388" s="6">
        <v>180</v>
      </c>
      <c r="H2388" s="6">
        <v>200</v>
      </c>
      <c r="K2388" s="7">
        <v>44006559</v>
      </c>
      <c r="L2388" s="6" t="str">
        <f t="shared" si="243"/>
        <v>YT ARYA  BAZA  180x200</v>
      </c>
      <c r="M2388" s="12">
        <v>0.1</v>
      </c>
      <c r="N2388" s="12">
        <v>0.1</v>
      </c>
      <c r="O2388" s="8">
        <v>13710</v>
      </c>
      <c r="P2388" s="8">
        <f t="shared" si="244"/>
        <v>12339</v>
      </c>
      <c r="Q2388" s="12">
        <f t="shared" si="245"/>
        <v>25911.9</v>
      </c>
      <c r="R2388" s="31">
        <f t="shared" si="246"/>
        <v>25900</v>
      </c>
      <c r="T2388" s="8">
        <v>8205</v>
      </c>
      <c r="V2388" s="8">
        <f t="shared" si="241"/>
        <v>7384.5</v>
      </c>
      <c r="W2388" s="8">
        <f t="shared" si="242"/>
        <v>18461.25</v>
      </c>
    </row>
    <row r="2389" spans="1:23" ht="21.95" customHeight="1" x14ac:dyDescent="0.2">
      <c r="A2389" s="6" t="s">
        <v>943</v>
      </c>
      <c r="B2389" s="6" t="s">
        <v>1596</v>
      </c>
      <c r="C2389" s="6" t="s">
        <v>988</v>
      </c>
      <c r="D2389" s="6" t="s">
        <v>989</v>
      </c>
      <c r="E2389" s="6"/>
      <c r="G2389" s="6">
        <v>200</v>
      </c>
      <c r="H2389" s="6">
        <v>200</v>
      </c>
      <c r="K2389" s="7">
        <v>44006560</v>
      </c>
      <c r="L2389" s="6" t="str">
        <f t="shared" si="243"/>
        <v>YT ARYA  BAZA  200x200</v>
      </c>
      <c r="M2389" s="12">
        <v>0.1</v>
      </c>
      <c r="N2389" s="12">
        <v>0.1</v>
      </c>
      <c r="O2389" s="8">
        <v>14560</v>
      </c>
      <c r="P2389" s="8">
        <f t="shared" si="244"/>
        <v>13104</v>
      </c>
      <c r="Q2389" s="12">
        <f t="shared" si="245"/>
        <v>27518.400000000001</v>
      </c>
      <c r="R2389" s="31">
        <f t="shared" si="246"/>
        <v>27500</v>
      </c>
      <c r="T2389" s="8">
        <v>8205</v>
      </c>
      <c r="V2389" s="8">
        <f t="shared" si="241"/>
        <v>7384.5</v>
      </c>
      <c r="W2389" s="8">
        <f t="shared" si="242"/>
        <v>18461.25</v>
      </c>
    </row>
    <row r="2390" spans="1:23" ht="21.95" customHeight="1" x14ac:dyDescent="0.2">
      <c r="A2390" s="6" t="s">
        <v>943</v>
      </c>
      <c r="B2390" s="6" t="s">
        <v>1596</v>
      </c>
      <c r="C2390" s="6" t="s">
        <v>988</v>
      </c>
      <c r="D2390" s="6" t="s">
        <v>950</v>
      </c>
      <c r="E2390" s="6"/>
      <c r="G2390" s="6">
        <v>150</v>
      </c>
      <c r="H2390" s="6">
        <v>200</v>
      </c>
      <c r="K2390" s="7">
        <v>44006561</v>
      </c>
      <c r="L2390" s="6" t="str">
        <f t="shared" si="243"/>
        <v>YT ARYA  BAŞLIK 150x200</v>
      </c>
      <c r="M2390" s="12">
        <v>0.1</v>
      </c>
      <c r="N2390" s="12">
        <v>0.1</v>
      </c>
      <c r="O2390" s="8">
        <v>5160</v>
      </c>
      <c r="P2390" s="8">
        <f t="shared" si="244"/>
        <v>4644</v>
      </c>
      <c r="Q2390" s="12">
        <f t="shared" si="245"/>
        <v>9752.4</v>
      </c>
      <c r="R2390" s="31">
        <f t="shared" si="246"/>
        <v>9700</v>
      </c>
      <c r="T2390" s="8">
        <v>8205</v>
      </c>
      <c r="V2390" s="8">
        <f t="shared" si="241"/>
        <v>7384.5</v>
      </c>
      <c r="W2390" s="8">
        <f t="shared" si="242"/>
        <v>18461.25</v>
      </c>
    </row>
    <row r="2391" spans="1:23" ht="21.95" customHeight="1" x14ac:dyDescent="0.2">
      <c r="A2391" s="6" t="s">
        <v>943</v>
      </c>
      <c r="B2391" s="6" t="s">
        <v>1596</v>
      </c>
      <c r="C2391" s="6" t="s">
        <v>988</v>
      </c>
      <c r="D2391" s="6" t="s">
        <v>950</v>
      </c>
      <c r="E2391" s="6"/>
      <c r="G2391" s="6">
        <v>160</v>
      </c>
      <c r="H2391" s="6">
        <v>200</v>
      </c>
      <c r="K2391" s="7">
        <v>44006562</v>
      </c>
      <c r="L2391" s="6" t="str">
        <f t="shared" si="243"/>
        <v>YT ARYA  BAŞLIK 160x200</v>
      </c>
      <c r="M2391" s="12">
        <v>0.1</v>
      </c>
      <c r="N2391" s="12">
        <v>0.1</v>
      </c>
      <c r="O2391" s="8">
        <v>5450</v>
      </c>
      <c r="P2391" s="8">
        <f t="shared" si="244"/>
        <v>4905</v>
      </c>
      <c r="Q2391" s="12">
        <f t="shared" si="245"/>
        <v>10300.5</v>
      </c>
      <c r="R2391" s="31">
        <f t="shared" si="246"/>
        <v>10300</v>
      </c>
      <c r="T2391" s="8">
        <v>4900</v>
      </c>
      <c r="V2391" s="8">
        <f t="shared" si="241"/>
        <v>4410</v>
      </c>
      <c r="W2391" s="8">
        <f t="shared" si="242"/>
        <v>11025</v>
      </c>
    </row>
    <row r="2392" spans="1:23" ht="21.95" customHeight="1" x14ac:dyDescent="0.2">
      <c r="A2392" s="6" t="s">
        <v>943</v>
      </c>
      <c r="B2392" s="6" t="s">
        <v>1596</v>
      </c>
      <c r="C2392" s="6" t="s">
        <v>988</v>
      </c>
      <c r="D2392" s="6" t="s">
        <v>950</v>
      </c>
      <c r="E2392" s="6"/>
      <c r="G2392" s="6">
        <v>180</v>
      </c>
      <c r="H2392" s="6">
        <v>200</v>
      </c>
      <c r="K2392" s="7">
        <v>44006563</v>
      </c>
      <c r="L2392" s="6" t="str">
        <f t="shared" si="243"/>
        <v>YT ARYA  BAŞLIK 180x200</v>
      </c>
      <c r="M2392" s="12">
        <v>0.1</v>
      </c>
      <c r="N2392" s="12">
        <v>0.1</v>
      </c>
      <c r="O2392" s="8">
        <v>6020</v>
      </c>
      <c r="P2392" s="8">
        <f t="shared" si="244"/>
        <v>5418</v>
      </c>
      <c r="Q2392" s="12">
        <f t="shared" si="245"/>
        <v>11377.800000000001</v>
      </c>
      <c r="R2392" s="31">
        <f t="shared" si="246"/>
        <v>11300</v>
      </c>
      <c r="T2392" s="8">
        <v>4900</v>
      </c>
      <c r="V2392" s="8">
        <f t="shared" si="241"/>
        <v>4410</v>
      </c>
      <c r="W2392" s="8">
        <f t="shared" si="242"/>
        <v>11025</v>
      </c>
    </row>
    <row r="2393" spans="1:23" ht="21.95" customHeight="1" x14ac:dyDescent="0.2">
      <c r="A2393" s="6" t="s">
        <v>943</v>
      </c>
      <c r="B2393" s="6" t="s">
        <v>1596</v>
      </c>
      <c r="C2393" s="6" t="s">
        <v>988</v>
      </c>
      <c r="D2393" s="6" t="s">
        <v>950</v>
      </c>
      <c r="E2393" s="6"/>
      <c r="G2393" s="6">
        <v>200</v>
      </c>
      <c r="H2393" s="6">
        <v>200</v>
      </c>
      <c r="K2393" s="7">
        <v>44006564</v>
      </c>
      <c r="L2393" s="6" t="str">
        <f t="shared" si="243"/>
        <v>YT ARYA  BAŞLIK 200x200</v>
      </c>
      <c r="M2393" s="12">
        <v>0.1</v>
      </c>
      <c r="N2393" s="12">
        <v>0.1</v>
      </c>
      <c r="O2393" s="8">
        <v>6660</v>
      </c>
      <c r="P2393" s="8">
        <f t="shared" si="244"/>
        <v>5994</v>
      </c>
      <c r="Q2393" s="12">
        <f t="shared" si="245"/>
        <v>12587.4</v>
      </c>
      <c r="R2393" s="31">
        <f t="shared" si="246"/>
        <v>12500</v>
      </c>
      <c r="T2393" s="8">
        <v>4900</v>
      </c>
      <c r="V2393" s="8">
        <f t="shared" si="241"/>
        <v>4410</v>
      </c>
      <c r="W2393" s="8">
        <f t="shared" si="242"/>
        <v>11025</v>
      </c>
    </row>
    <row r="2394" spans="1:23" ht="21.95" customHeight="1" x14ac:dyDescent="0.2">
      <c r="A2394" s="6" t="s">
        <v>943</v>
      </c>
      <c r="B2394" s="6" t="s">
        <v>1596</v>
      </c>
      <c r="C2394" s="6" t="s">
        <v>988</v>
      </c>
      <c r="D2394" s="6" t="s">
        <v>948</v>
      </c>
      <c r="E2394" s="6"/>
      <c r="G2394" s="6">
        <v>45</v>
      </c>
      <c r="H2394" s="6">
        <v>56</v>
      </c>
      <c r="I2394" s="7">
        <v>61</v>
      </c>
      <c r="K2394" s="7">
        <v>44006565</v>
      </c>
      <c r="L2394" s="6" t="str">
        <f t="shared" si="243"/>
        <v>YT ARYA  KOMİDİN 45x56</v>
      </c>
      <c r="M2394" s="12">
        <v>0.1</v>
      </c>
      <c r="N2394" s="12">
        <v>0.1</v>
      </c>
      <c r="O2394" s="8">
        <v>5680</v>
      </c>
      <c r="P2394" s="8">
        <f t="shared" si="244"/>
        <v>5112</v>
      </c>
      <c r="Q2394" s="12">
        <f t="shared" si="245"/>
        <v>10735.2</v>
      </c>
      <c r="R2394" s="31">
        <f t="shared" si="246"/>
        <v>10700</v>
      </c>
      <c r="T2394" s="8">
        <v>4900</v>
      </c>
      <c r="V2394" s="8">
        <f t="shared" si="241"/>
        <v>4410</v>
      </c>
      <c r="W2394" s="8">
        <f t="shared" si="242"/>
        <v>11025</v>
      </c>
    </row>
    <row r="2395" spans="1:23" ht="21.95" customHeight="1" x14ac:dyDescent="0.2">
      <c r="A2395" s="6" t="s">
        <v>943</v>
      </c>
      <c r="B2395" s="6" t="s">
        <v>1596</v>
      </c>
      <c r="C2395" s="6" t="s">
        <v>988</v>
      </c>
      <c r="D2395" s="6" t="s">
        <v>951</v>
      </c>
      <c r="E2395" s="6"/>
      <c r="G2395" s="6">
        <v>51</v>
      </c>
      <c r="H2395" s="6">
        <v>101</v>
      </c>
      <c r="I2395" s="7">
        <v>46</v>
      </c>
      <c r="K2395" s="7">
        <v>44006566</v>
      </c>
      <c r="L2395" s="6" t="str">
        <f t="shared" si="243"/>
        <v>YT ARYA  MARKİZ 51x101</v>
      </c>
      <c r="M2395" s="12">
        <v>0.1</v>
      </c>
      <c r="N2395" s="12">
        <v>0.1</v>
      </c>
      <c r="O2395" s="8">
        <v>5390</v>
      </c>
      <c r="P2395" s="8">
        <f t="shared" si="244"/>
        <v>4851</v>
      </c>
      <c r="Q2395" s="12">
        <f t="shared" si="245"/>
        <v>10187.1</v>
      </c>
      <c r="R2395" s="31">
        <f t="shared" si="246"/>
        <v>10100</v>
      </c>
      <c r="T2395" s="8">
        <v>4900</v>
      </c>
      <c r="V2395" s="8">
        <f t="shared" si="241"/>
        <v>4410</v>
      </c>
      <c r="W2395" s="8">
        <f t="shared" si="242"/>
        <v>11025</v>
      </c>
    </row>
    <row r="2396" spans="1:23" ht="21.95" customHeight="1" x14ac:dyDescent="0.2">
      <c r="A2396" s="6" t="s">
        <v>943</v>
      </c>
      <c r="B2396" s="6" t="s">
        <v>1596</v>
      </c>
      <c r="C2396" s="6" t="s">
        <v>990</v>
      </c>
      <c r="D2396" s="6" t="s">
        <v>945</v>
      </c>
      <c r="E2396" s="6"/>
      <c r="G2396" s="6">
        <v>150</v>
      </c>
      <c r="H2396" s="6">
        <v>200</v>
      </c>
      <c r="K2396" s="7">
        <v>44006567</v>
      </c>
      <c r="L2396" s="6" t="str">
        <f t="shared" ref="L2396:L2430" si="247">B2396&amp;" "&amp;C2396&amp;" "&amp;D2396&amp;" "&amp;G2396&amp;"x"&amp;H2396</f>
        <v>YT DOĞA  BAZA 150x200</v>
      </c>
      <c r="M2396" s="12">
        <v>0.1</v>
      </c>
      <c r="N2396" s="12">
        <v>0.1</v>
      </c>
      <c r="O2396" s="8">
        <v>10660</v>
      </c>
      <c r="P2396" s="8">
        <f t="shared" si="244"/>
        <v>9594</v>
      </c>
      <c r="Q2396" s="12">
        <f t="shared" si="245"/>
        <v>20147.400000000001</v>
      </c>
      <c r="R2396" s="31">
        <f t="shared" si="246"/>
        <v>20100</v>
      </c>
      <c r="T2396" s="8">
        <v>4900</v>
      </c>
      <c r="V2396" s="8">
        <f t="shared" si="241"/>
        <v>4410</v>
      </c>
      <c r="W2396" s="8">
        <f t="shared" si="242"/>
        <v>11025</v>
      </c>
    </row>
    <row r="2397" spans="1:23" ht="21.95" customHeight="1" x14ac:dyDescent="0.2">
      <c r="A2397" s="6" t="s">
        <v>943</v>
      </c>
      <c r="B2397" s="6" t="s">
        <v>1596</v>
      </c>
      <c r="C2397" s="6" t="s">
        <v>990</v>
      </c>
      <c r="D2397" s="6" t="s">
        <v>945</v>
      </c>
      <c r="E2397" s="6"/>
      <c r="G2397" s="6">
        <v>160</v>
      </c>
      <c r="H2397" s="6">
        <v>200</v>
      </c>
      <c r="K2397" s="7">
        <v>44006568</v>
      </c>
      <c r="L2397" s="6" t="str">
        <f t="shared" si="247"/>
        <v>YT DOĞA  BAZA 160x200</v>
      </c>
      <c r="M2397" s="12">
        <v>0.1</v>
      </c>
      <c r="N2397" s="12">
        <v>0.1</v>
      </c>
      <c r="O2397" s="8">
        <v>11460</v>
      </c>
      <c r="P2397" s="8">
        <f t="shared" si="244"/>
        <v>10314</v>
      </c>
      <c r="Q2397" s="12">
        <f t="shared" si="245"/>
        <v>21659.4</v>
      </c>
      <c r="R2397" s="31">
        <f t="shared" si="246"/>
        <v>21600</v>
      </c>
      <c r="T2397" s="8">
        <v>9935</v>
      </c>
      <c r="V2397" s="8">
        <f t="shared" si="241"/>
        <v>8941.5</v>
      </c>
      <c r="W2397" s="8">
        <f t="shared" si="242"/>
        <v>22353.75</v>
      </c>
    </row>
    <row r="2398" spans="1:23" ht="21.95" customHeight="1" x14ac:dyDescent="0.2">
      <c r="A2398" s="6" t="s">
        <v>943</v>
      </c>
      <c r="B2398" s="6" t="s">
        <v>1596</v>
      </c>
      <c r="C2398" s="6" t="s">
        <v>990</v>
      </c>
      <c r="D2398" s="6" t="s">
        <v>945</v>
      </c>
      <c r="E2398" s="6"/>
      <c r="G2398" s="6">
        <v>180</v>
      </c>
      <c r="H2398" s="6">
        <v>200</v>
      </c>
      <c r="K2398" s="7">
        <v>44006569</v>
      </c>
      <c r="L2398" s="6" t="str">
        <f t="shared" si="247"/>
        <v>YT DOĞA  BAZA 180x200</v>
      </c>
      <c r="M2398" s="12">
        <v>0.1</v>
      </c>
      <c r="N2398" s="12">
        <v>0.1</v>
      </c>
      <c r="O2398" s="8">
        <v>12520</v>
      </c>
      <c r="P2398" s="8">
        <f t="shared" si="244"/>
        <v>11268</v>
      </c>
      <c r="Q2398" s="12">
        <f t="shared" si="245"/>
        <v>23662.799999999999</v>
      </c>
      <c r="R2398" s="31">
        <f t="shared" si="246"/>
        <v>23600</v>
      </c>
      <c r="T2398" s="8">
        <v>9935</v>
      </c>
      <c r="V2398" s="8">
        <f t="shared" si="241"/>
        <v>8941.5</v>
      </c>
      <c r="W2398" s="8">
        <f t="shared" si="242"/>
        <v>22353.75</v>
      </c>
    </row>
    <row r="2399" spans="1:23" ht="21.95" customHeight="1" x14ac:dyDescent="0.2">
      <c r="A2399" s="6" t="s">
        <v>943</v>
      </c>
      <c r="B2399" s="6" t="s">
        <v>1596</v>
      </c>
      <c r="C2399" s="6" t="s">
        <v>990</v>
      </c>
      <c r="D2399" s="6" t="s">
        <v>950</v>
      </c>
      <c r="E2399" s="6"/>
      <c r="G2399" s="6">
        <v>150</v>
      </c>
      <c r="H2399" s="6">
        <v>200</v>
      </c>
      <c r="K2399" s="7">
        <v>44006570</v>
      </c>
      <c r="L2399" s="6" t="str">
        <f t="shared" si="247"/>
        <v>YT DOĞA  BAŞLIK 150x200</v>
      </c>
      <c r="M2399" s="12">
        <v>0.1</v>
      </c>
      <c r="N2399" s="12">
        <v>0.1</v>
      </c>
      <c r="O2399" s="8">
        <v>7510</v>
      </c>
      <c r="P2399" s="8">
        <f t="shared" si="244"/>
        <v>6759</v>
      </c>
      <c r="Q2399" s="12">
        <f t="shared" si="245"/>
        <v>14193.900000000001</v>
      </c>
      <c r="R2399" s="31">
        <f t="shared" si="246"/>
        <v>14100</v>
      </c>
      <c r="T2399" s="8">
        <v>9935</v>
      </c>
      <c r="V2399" s="8">
        <f t="shared" si="241"/>
        <v>8941.5</v>
      </c>
      <c r="W2399" s="8">
        <f t="shared" si="242"/>
        <v>22353.75</v>
      </c>
    </row>
    <row r="2400" spans="1:23" ht="21.95" customHeight="1" x14ac:dyDescent="0.2">
      <c r="A2400" s="6" t="s">
        <v>943</v>
      </c>
      <c r="B2400" s="6" t="s">
        <v>1596</v>
      </c>
      <c r="C2400" s="6" t="s">
        <v>990</v>
      </c>
      <c r="D2400" s="6" t="s">
        <v>950</v>
      </c>
      <c r="E2400" s="6"/>
      <c r="G2400" s="6">
        <v>160</v>
      </c>
      <c r="H2400" s="6">
        <v>200</v>
      </c>
      <c r="K2400" s="7">
        <v>44006571</v>
      </c>
      <c r="L2400" s="6" t="str">
        <f t="shared" si="247"/>
        <v>YT DOĞA  BAŞLIK 160x200</v>
      </c>
      <c r="M2400" s="12">
        <v>0.1</v>
      </c>
      <c r="N2400" s="12">
        <v>0.1</v>
      </c>
      <c r="O2400" s="8">
        <v>8080</v>
      </c>
      <c r="P2400" s="8">
        <f t="shared" si="244"/>
        <v>7272</v>
      </c>
      <c r="Q2400" s="12">
        <f t="shared" si="245"/>
        <v>15271.2</v>
      </c>
      <c r="R2400" s="31">
        <f t="shared" si="246"/>
        <v>15200</v>
      </c>
      <c r="T2400" s="8">
        <v>8230</v>
      </c>
      <c r="V2400" s="8">
        <f t="shared" si="241"/>
        <v>7407</v>
      </c>
      <c r="W2400" s="8">
        <f t="shared" si="242"/>
        <v>18517.5</v>
      </c>
    </row>
    <row r="2401" spans="1:23" ht="21.95" customHeight="1" x14ac:dyDescent="0.2">
      <c r="A2401" s="6" t="s">
        <v>943</v>
      </c>
      <c r="B2401" s="6" t="s">
        <v>1596</v>
      </c>
      <c r="C2401" s="6" t="s">
        <v>990</v>
      </c>
      <c r="D2401" s="6" t="s">
        <v>950</v>
      </c>
      <c r="E2401" s="6"/>
      <c r="G2401" s="6">
        <v>180</v>
      </c>
      <c r="H2401" s="6">
        <v>200</v>
      </c>
      <c r="K2401" s="7">
        <v>44006572</v>
      </c>
      <c r="L2401" s="6" t="str">
        <f t="shared" si="247"/>
        <v>YT DOĞA  BAŞLIK 180x200</v>
      </c>
      <c r="M2401" s="12">
        <v>0.1</v>
      </c>
      <c r="N2401" s="12">
        <v>0.1</v>
      </c>
      <c r="O2401" s="8">
        <v>10030</v>
      </c>
      <c r="P2401" s="8">
        <f t="shared" si="244"/>
        <v>9027</v>
      </c>
      <c r="Q2401" s="12">
        <f t="shared" si="245"/>
        <v>18956.7</v>
      </c>
      <c r="R2401" s="31">
        <f t="shared" si="246"/>
        <v>18900</v>
      </c>
      <c r="T2401" s="8">
        <v>8230</v>
      </c>
      <c r="V2401" s="8">
        <f t="shared" si="241"/>
        <v>7407</v>
      </c>
      <c r="W2401" s="8">
        <f t="shared" si="242"/>
        <v>18517.5</v>
      </c>
    </row>
    <row r="2402" spans="1:23" ht="21.95" customHeight="1" x14ac:dyDescent="0.2">
      <c r="A2402" s="6" t="s">
        <v>943</v>
      </c>
      <c r="B2402" s="6" t="s">
        <v>1596</v>
      </c>
      <c r="C2402" s="6" t="s">
        <v>990</v>
      </c>
      <c r="D2402" s="6" t="s">
        <v>948</v>
      </c>
      <c r="E2402" s="6"/>
      <c r="G2402" s="6">
        <v>45</v>
      </c>
      <c r="H2402" s="6">
        <v>50</v>
      </c>
      <c r="I2402" s="7">
        <v>60</v>
      </c>
      <c r="K2402" s="7">
        <v>44006573</v>
      </c>
      <c r="L2402" s="6" t="str">
        <f t="shared" si="247"/>
        <v>YT DOĞA  KOMİDİN 45x50</v>
      </c>
      <c r="M2402" s="12">
        <v>0.1</v>
      </c>
      <c r="N2402" s="12">
        <v>0.1</v>
      </c>
      <c r="O2402" s="8">
        <v>4970</v>
      </c>
      <c r="P2402" s="8">
        <f t="shared" si="244"/>
        <v>4473</v>
      </c>
      <c r="Q2402" s="12">
        <f t="shared" si="245"/>
        <v>9393.3000000000011</v>
      </c>
      <c r="R2402" s="31">
        <f t="shared" si="246"/>
        <v>9300</v>
      </c>
      <c r="T2402" s="8">
        <v>8230</v>
      </c>
      <c r="V2402" s="8">
        <f t="shared" si="241"/>
        <v>7407</v>
      </c>
      <c r="W2402" s="8">
        <f t="shared" si="242"/>
        <v>18517.5</v>
      </c>
    </row>
    <row r="2403" spans="1:23" ht="21.95" customHeight="1" x14ac:dyDescent="0.2">
      <c r="A2403" s="6" t="s">
        <v>943</v>
      </c>
      <c r="B2403" s="6" t="s">
        <v>1596</v>
      </c>
      <c r="C2403" s="6" t="s">
        <v>990</v>
      </c>
      <c r="D2403" s="6" t="s">
        <v>951</v>
      </c>
      <c r="E2403" s="6"/>
      <c r="G2403" s="6">
        <v>60</v>
      </c>
      <c r="H2403" s="6">
        <v>60</v>
      </c>
      <c r="I2403" s="7">
        <v>43</v>
      </c>
      <c r="K2403" s="7">
        <v>44006574</v>
      </c>
      <c r="L2403" s="6" t="str">
        <f t="shared" si="247"/>
        <v>YT DOĞA  MARKİZ 60x60</v>
      </c>
      <c r="M2403" s="12">
        <v>0.1</v>
      </c>
      <c r="N2403" s="12">
        <v>0.1</v>
      </c>
      <c r="O2403" s="8">
        <v>4350</v>
      </c>
      <c r="P2403" s="8">
        <f t="shared" si="244"/>
        <v>3915</v>
      </c>
      <c r="Q2403" s="12">
        <f t="shared" si="245"/>
        <v>8221.5</v>
      </c>
      <c r="R2403" s="31">
        <f t="shared" si="246"/>
        <v>8200</v>
      </c>
      <c r="T2403" s="8">
        <v>4395</v>
      </c>
      <c r="V2403" s="8">
        <f t="shared" si="241"/>
        <v>3955.5</v>
      </c>
      <c r="W2403" s="8">
        <f t="shared" si="242"/>
        <v>9888.75</v>
      </c>
    </row>
    <row r="2404" spans="1:23" ht="21.95" customHeight="1" x14ac:dyDescent="0.2">
      <c r="A2404" s="6" t="s">
        <v>943</v>
      </c>
      <c r="B2404" s="6" t="s">
        <v>1596</v>
      </c>
      <c r="C2404" s="6" t="s">
        <v>556</v>
      </c>
      <c r="D2404" s="6" t="s">
        <v>943</v>
      </c>
      <c r="E2404" s="6"/>
      <c r="G2404" s="6">
        <v>150</v>
      </c>
      <c r="H2404" s="6">
        <v>200</v>
      </c>
      <c r="K2404" s="7">
        <v>44006575</v>
      </c>
      <c r="L2404" s="6" t="str">
        <f t="shared" si="247"/>
        <v>YT CROWN YATAK  150x200</v>
      </c>
      <c r="M2404" s="12">
        <v>0.1</v>
      </c>
      <c r="N2404" s="12">
        <v>0.1</v>
      </c>
      <c r="O2404" s="8">
        <v>11650</v>
      </c>
      <c r="P2404" s="8">
        <f t="shared" si="244"/>
        <v>10485</v>
      </c>
      <c r="Q2404" s="12">
        <f t="shared" si="245"/>
        <v>22018.5</v>
      </c>
      <c r="R2404" s="31">
        <f t="shared" si="246"/>
        <v>22000</v>
      </c>
      <c r="T2404" s="8">
        <v>4395</v>
      </c>
      <c r="V2404" s="8">
        <f t="shared" si="241"/>
        <v>3955.5</v>
      </c>
      <c r="W2404" s="8">
        <f t="shared" si="242"/>
        <v>9888.75</v>
      </c>
    </row>
    <row r="2405" spans="1:23" ht="21.95" customHeight="1" x14ac:dyDescent="0.2">
      <c r="A2405" s="6" t="s">
        <v>943</v>
      </c>
      <c r="B2405" s="6" t="s">
        <v>1596</v>
      </c>
      <c r="C2405" s="6" t="s">
        <v>556</v>
      </c>
      <c r="D2405" s="6" t="s">
        <v>943</v>
      </c>
      <c r="E2405" s="6"/>
      <c r="G2405" s="6">
        <v>160</v>
      </c>
      <c r="H2405" s="6">
        <v>200</v>
      </c>
      <c r="K2405" s="7">
        <v>44006576</v>
      </c>
      <c r="L2405" s="6" t="str">
        <f t="shared" si="247"/>
        <v>YT CROWN YATAK  160x200</v>
      </c>
      <c r="M2405" s="12">
        <v>0.1</v>
      </c>
      <c r="N2405" s="12">
        <v>0.1</v>
      </c>
      <c r="O2405" s="8">
        <v>12480</v>
      </c>
      <c r="P2405" s="8">
        <f t="shared" si="244"/>
        <v>11232</v>
      </c>
      <c r="Q2405" s="12">
        <f t="shared" si="245"/>
        <v>23587.200000000001</v>
      </c>
      <c r="R2405" s="31">
        <f t="shared" si="246"/>
        <v>23500</v>
      </c>
      <c r="T2405" s="8">
        <v>4395</v>
      </c>
      <c r="V2405" s="8">
        <f t="shared" si="241"/>
        <v>3955.5</v>
      </c>
      <c r="W2405" s="8">
        <f t="shared" si="242"/>
        <v>9888.75</v>
      </c>
    </row>
    <row r="2406" spans="1:23" ht="21.95" customHeight="1" x14ac:dyDescent="0.2">
      <c r="A2406" s="6" t="s">
        <v>943</v>
      </c>
      <c r="B2406" s="6" t="s">
        <v>1596</v>
      </c>
      <c r="C2406" s="6" t="s">
        <v>556</v>
      </c>
      <c r="D2406" s="6" t="s">
        <v>943</v>
      </c>
      <c r="E2406" s="6"/>
      <c r="G2406" s="6">
        <v>180</v>
      </c>
      <c r="H2406" s="6">
        <v>200</v>
      </c>
      <c r="K2406" s="7">
        <v>44006577</v>
      </c>
      <c r="L2406" s="6" t="str">
        <f t="shared" si="247"/>
        <v>YT CROWN YATAK  180x200</v>
      </c>
      <c r="M2406" s="12">
        <v>0.1</v>
      </c>
      <c r="N2406" s="12">
        <v>0.1</v>
      </c>
      <c r="O2406" s="8">
        <v>13430</v>
      </c>
      <c r="P2406" s="8">
        <f t="shared" si="244"/>
        <v>12087</v>
      </c>
      <c r="Q2406" s="12">
        <f t="shared" si="245"/>
        <v>25382.7</v>
      </c>
      <c r="R2406" s="31">
        <f t="shared" si="246"/>
        <v>25300</v>
      </c>
      <c r="T2406" s="8">
        <v>2790</v>
      </c>
      <c r="V2406" s="8">
        <f t="shared" si="241"/>
        <v>2511</v>
      </c>
      <c r="W2406" s="8">
        <f t="shared" si="242"/>
        <v>6277.5</v>
      </c>
    </row>
    <row r="2407" spans="1:23" ht="21.95" customHeight="1" x14ac:dyDescent="0.2">
      <c r="A2407" s="6" t="s">
        <v>943</v>
      </c>
      <c r="B2407" s="6" t="s">
        <v>1596</v>
      </c>
      <c r="C2407" s="6" t="s">
        <v>991</v>
      </c>
      <c r="D2407" s="6" t="s">
        <v>989</v>
      </c>
      <c r="E2407" s="6"/>
      <c r="G2407" s="6">
        <v>150</v>
      </c>
      <c r="H2407" s="6">
        <v>200</v>
      </c>
      <c r="K2407" s="7">
        <v>44006578</v>
      </c>
      <c r="L2407" s="6" t="str">
        <f t="shared" si="247"/>
        <v>YT DİANA  BAZA  150x200</v>
      </c>
      <c r="M2407" s="12">
        <v>0.1</v>
      </c>
      <c r="N2407" s="12">
        <v>0.1</v>
      </c>
      <c r="O2407" s="8">
        <v>9530</v>
      </c>
      <c r="P2407" s="8">
        <f t="shared" si="244"/>
        <v>8577</v>
      </c>
      <c r="Q2407" s="12">
        <f t="shared" si="245"/>
        <v>18011.7</v>
      </c>
      <c r="R2407" s="31">
        <f t="shared" si="246"/>
        <v>18000</v>
      </c>
      <c r="T2407" s="8">
        <v>1750</v>
      </c>
      <c r="V2407" s="8">
        <f t="shared" si="241"/>
        <v>1575</v>
      </c>
      <c r="W2407" s="8">
        <f t="shared" si="242"/>
        <v>3937.5</v>
      </c>
    </row>
    <row r="2408" spans="1:23" ht="21.95" customHeight="1" x14ac:dyDescent="0.2">
      <c r="A2408" s="6" t="s">
        <v>943</v>
      </c>
      <c r="B2408" s="6" t="s">
        <v>1596</v>
      </c>
      <c r="C2408" s="6" t="s">
        <v>991</v>
      </c>
      <c r="D2408" s="6" t="s">
        <v>989</v>
      </c>
      <c r="E2408" s="6"/>
      <c r="G2408" s="6">
        <v>160</v>
      </c>
      <c r="H2408" s="6">
        <v>200</v>
      </c>
      <c r="K2408" s="7">
        <v>44006579</v>
      </c>
      <c r="L2408" s="6" t="str">
        <f t="shared" si="247"/>
        <v>YT DİANA  BAZA  160x200</v>
      </c>
      <c r="M2408" s="12">
        <v>0.1</v>
      </c>
      <c r="N2408" s="12">
        <v>0.1</v>
      </c>
      <c r="O2408" s="8">
        <v>9950</v>
      </c>
      <c r="P2408" s="8">
        <f t="shared" si="244"/>
        <v>8955</v>
      </c>
      <c r="Q2408" s="12">
        <f t="shared" si="245"/>
        <v>18805.5</v>
      </c>
      <c r="R2408" s="31">
        <f t="shared" si="246"/>
        <v>18800</v>
      </c>
      <c r="T2408" s="8">
        <v>1750</v>
      </c>
      <c r="V2408" s="8">
        <f t="shared" si="241"/>
        <v>1575</v>
      </c>
      <c r="W2408" s="8">
        <f t="shared" si="242"/>
        <v>3937.5</v>
      </c>
    </row>
    <row r="2409" spans="1:23" ht="21.95" customHeight="1" x14ac:dyDescent="0.2">
      <c r="A2409" s="6" t="s">
        <v>943</v>
      </c>
      <c r="B2409" s="6" t="s">
        <v>1596</v>
      </c>
      <c r="C2409" s="6" t="s">
        <v>991</v>
      </c>
      <c r="D2409" s="6" t="s">
        <v>989</v>
      </c>
      <c r="E2409" s="6"/>
      <c r="G2409" s="6">
        <v>180</v>
      </c>
      <c r="H2409" s="6">
        <v>200</v>
      </c>
      <c r="K2409" s="7">
        <v>44006580</v>
      </c>
      <c r="L2409" s="6" t="str">
        <f t="shared" si="247"/>
        <v>YT DİANA  BAZA  180x200</v>
      </c>
      <c r="M2409" s="12">
        <v>0.1</v>
      </c>
      <c r="N2409" s="12">
        <v>0.1</v>
      </c>
      <c r="O2409" s="8">
        <v>10760</v>
      </c>
      <c r="P2409" s="8">
        <f t="shared" si="244"/>
        <v>9684</v>
      </c>
      <c r="Q2409" s="12">
        <f t="shared" si="245"/>
        <v>20336.400000000001</v>
      </c>
      <c r="R2409" s="31">
        <f t="shared" si="246"/>
        <v>20300</v>
      </c>
      <c r="T2409" s="8">
        <v>10440</v>
      </c>
      <c r="V2409" s="8">
        <f t="shared" si="241"/>
        <v>9396</v>
      </c>
      <c r="W2409" s="8">
        <f t="shared" si="242"/>
        <v>23490</v>
      </c>
    </row>
    <row r="2410" spans="1:23" ht="21.95" customHeight="1" x14ac:dyDescent="0.2">
      <c r="A2410" s="6" t="s">
        <v>943</v>
      </c>
      <c r="B2410" s="6" t="s">
        <v>1596</v>
      </c>
      <c r="C2410" s="6" t="s">
        <v>991</v>
      </c>
      <c r="D2410" s="6" t="s">
        <v>989</v>
      </c>
      <c r="E2410" s="6"/>
      <c r="G2410" s="6">
        <v>200</v>
      </c>
      <c r="H2410" s="6">
        <v>200</v>
      </c>
      <c r="K2410" s="7">
        <v>44006581</v>
      </c>
      <c r="L2410" s="6" t="str">
        <f t="shared" si="247"/>
        <v>YT DİANA  BAZA  200x200</v>
      </c>
      <c r="M2410" s="12">
        <v>0.1</v>
      </c>
      <c r="N2410" s="12">
        <v>0.1</v>
      </c>
      <c r="O2410" s="8">
        <v>11560</v>
      </c>
      <c r="P2410" s="8">
        <f t="shared" si="244"/>
        <v>10404</v>
      </c>
      <c r="Q2410" s="12">
        <f t="shared" si="245"/>
        <v>21848.400000000001</v>
      </c>
      <c r="R2410" s="31">
        <f t="shared" si="246"/>
        <v>21800</v>
      </c>
      <c r="T2410" s="8">
        <v>5790</v>
      </c>
      <c r="V2410" s="8">
        <f t="shared" si="241"/>
        <v>5211</v>
      </c>
      <c r="W2410" s="8">
        <f t="shared" si="242"/>
        <v>13027.5</v>
      </c>
    </row>
    <row r="2411" spans="1:23" ht="21.95" customHeight="1" x14ac:dyDescent="0.2">
      <c r="A2411" s="6" t="s">
        <v>943</v>
      </c>
      <c r="B2411" s="6" t="s">
        <v>1596</v>
      </c>
      <c r="C2411" s="6" t="s">
        <v>991</v>
      </c>
      <c r="D2411" s="6" t="s">
        <v>950</v>
      </c>
      <c r="E2411" s="6"/>
      <c r="G2411" s="6">
        <v>150</v>
      </c>
      <c r="H2411" s="6">
        <v>200</v>
      </c>
      <c r="K2411" s="7">
        <v>44006582</v>
      </c>
      <c r="L2411" s="6" t="str">
        <f t="shared" si="247"/>
        <v>YT DİANA  BAŞLIK 150x200</v>
      </c>
      <c r="M2411" s="12">
        <v>0.1</v>
      </c>
      <c r="N2411" s="12">
        <v>0.1</v>
      </c>
      <c r="O2411" s="8">
        <v>6410</v>
      </c>
      <c r="P2411" s="8">
        <f t="shared" si="244"/>
        <v>5769</v>
      </c>
      <c r="Q2411" s="12">
        <f t="shared" si="245"/>
        <v>12114.9</v>
      </c>
      <c r="R2411" s="31">
        <f t="shared" si="246"/>
        <v>12100</v>
      </c>
      <c r="T2411" s="8">
        <v>5790</v>
      </c>
      <c r="V2411" s="8">
        <f t="shared" si="241"/>
        <v>5211</v>
      </c>
      <c r="W2411" s="8">
        <f t="shared" si="242"/>
        <v>13027.5</v>
      </c>
    </row>
    <row r="2412" spans="1:23" ht="21.95" customHeight="1" x14ac:dyDescent="0.2">
      <c r="A2412" s="6" t="s">
        <v>943</v>
      </c>
      <c r="B2412" s="6" t="s">
        <v>1596</v>
      </c>
      <c r="C2412" s="6" t="s">
        <v>991</v>
      </c>
      <c r="D2412" s="6" t="s">
        <v>950</v>
      </c>
      <c r="E2412" s="6"/>
      <c r="G2412" s="6">
        <v>160</v>
      </c>
      <c r="H2412" s="6">
        <v>200</v>
      </c>
      <c r="K2412" s="7">
        <v>44006583</v>
      </c>
      <c r="L2412" s="6" t="str">
        <f t="shared" si="247"/>
        <v>YT DİANA  BAŞLIK 160x200</v>
      </c>
      <c r="M2412" s="12">
        <v>0.1</v>
      </c>
      <c r="N2412" s="12">
        <v>0.1</v>
      </c>
      <c r="O2412" s="8">
        <v>6780</v>
      </c>
      <c r="P2412" s="8">
        <f t="shared" si="244"/>
        <v>6102</v>
      </c>
      <c r="Q2412" s="12">
        <f t="shared" si="245"/>
        <v>12814.2</v>
      </c>
      <c r="R2412" s="31">
        <f t="shared" si="246"/>
        <v>12800</v>
      </c>
      <c r="T2412" s="8">
        <v>1750</v>
      </c>
      <c r="V2412" s="8">
        <f t="shared" si="241"/>
        <v>1575</v>
      </c>
      <c r="W2412" s="8">
        <f t="shared" si="242"/>
        <v>3937.5</v>
      </c>
    </row>
    <row r="2413" spans="1:23" ht="21.95" customHeight="1" x14ac:dyDescent="0.2">
      <c r="A2413" s="6" t="s">
        <v>943</v>
      </c>
      <c r="B2413" s="6" t="s">
        <v>1596</v>
      </c>
      <c r="C2413" s="6" t="s">
        <v>991</v>
      </c>
      <c r="D2413" s="6" t="s">
        <v>950</v>
      </c>
      <c r="E2413" s="6"/>
      <c r="G2413" s="6">
        <v>180</v>
      </c>
      <c r="H2413" s="6">
        <v>200</v>
      </c>
      <c r="K2413" s="7">
        <v>44006584</v>
      </c>
      <c r="L2413" s="6" t="str">
        <f t="shared" si="247"/>
        <v>YT DİANA  BAŞLIK 180x200</v>
      </c>
      <c r="M2413" s="12">
        <v>0.1</v>
      </c>
      <c r="N2413" s="12">
        <v>0.1</v>
      </c>
      <c r="O2413" s="8">
        <v>7310</v>
      </c>
      <c r="P2413" s="8">
        <f t="shared" si="244"/>
        <v>6579</v>
      </c>
      <c r="Q2413" s="12">
        <f t="shared" si="245"/>
        <v>13815.900000000001</v>
      </c>
      <c r="R2413" s="31">
        <f t="shared" si="246"/>
        <v>13800</v>
      </c>
      <c r="T2413" s="8">
        <v>1750</v>
      </c>
      <c r="V2413" s="8">
        <f t="shared" si="241"/>
        <v>1575</v>
      </c>
      <c r="W2413" s="8">
        <f t="shared" si="242"/>
        <v>3937.5</v>
      </c>
    </row>
    <row r="2414" spans="1:23" ht="21.95" customHeight="1" x14ac:dyDescent="0.2">
      <c r="A2414" s="6" t="s">
        <v>943</v>
      </c>
      <c r="B2414" s="6" t="s">
        <v>1596</v>
      </c>
      <c r="C2414" s="6" t="s">
        <v>991</v>
      </c>
      <c r="D2414" s="6" t="s">
        <v>950</v>
      </c>
      <c r="E2414" s="6"/>
      <c r="G2414" s="6">
        <v>200</v>
      </c>
      <c r="H2414" s="6">
        <v>200</v>
      </c>
      <c r="K2414" s="7">
        <v>44006585</v>
      </c>
      <c r="L2414" s="6" t="str">
        <f t="shared" si="247"/>
        <v>YT DİANA  BAŞLIK 200x200</v>
      </c>
      <c r="M2414" s="12">
        <v>0.1</v>
      </c>
      <c r="N2414" s="12">
        <v>0.1</v>
      </c>
      <c r="O2414" s="8">
        <v>8080</v>
      </c>
      <c r="P2414" s="8">
        <f t="shared" si="244"/>
        <v>7272</v>
      </c>
      <c r="Q2414" s="12">
        <f t="shared" si="245"/>
        <v>15271.2</v>
      </c>
      <c r="R2414" s="31">
        <f t="shared" si="246"/>
        <v>15200</v>
      </c>
      <c r="T2414" s="8">
        <v>1750</v>
      </c>
      <c r="V2414" s="8">
        <f t="shared" si="241"/>
        <v>1575</v>
      </c>
      <c r="W2414" s="8">
        <f t="shared" si="242"/>
        <v>3937.5</v>
      </c>
    </row>
    <row r="2415" spans="1:23" ht="21.95" customHeight="1" x14ac:dyDescent="0.2">
      <c r="A2415" s="6" t="s">
        <v>943</v>
      </c>
      <c r="B2415" s="6" t="s">
        <v>1596</v>
      </c>
      <c r="C2415" s="6" t="s">
        <v>991</v>
      </c>
      <c r="D2415" s="6" t="s">
        <v>978</v>
      </c>
      <c r="E2415" s="6"/>
      <c r="G2415" s="6">
        <v>150</v>
      </c>
      <c r="H2415" s="6">
        <v>200</v>
      </c>
      <c r="K2415" s="7">
        <v>44006586</v>
      </c>
      <c r="L2415" s="6" t="str">
        <f t="shared" si="247"/>
        <v>YT DİANA  AYAK UCU 150x200</v>
      </c>
      <c r="M2415" s="12">
        <v>0.1</v>
      </c>
      <c r="N2415" s="12">
        <v>0.1</v>
      </c>
      <c r="O2415" s="8">
        <v>4530</v>
      </c>
      <c r="P2415" s="8">
        <f t="shared" si="244"/>
        <v>4077</v>
      </c>
      <c r="Q2415" s="12">
        <f t="shared" si="245"/>
        <v>8561.7000000000007</v>
      </c>
      <c r="R2415" s="31">
        <f t="shared" si="246"/>
        <v>8500</v>
      </c>
      <c r="T2415" s="8">
        <v>1750</v>
      </c>
      <c r="V2415" s="8">
        <f t="shared" si="241"/>
        <v>1575</v>
      </c>
      <c r="W2415" s="8">
        <f t="shared" si="242"/>
        <v>3937.5</v>
      </c>
    </row>
    <row r="2416" spans="1:23" ht="21.95" customHeight="1" x14ac:dyDescent="0.2">
      <c r="A2416" s="6" t="s">
        <v>943</v>
      </c>
      <c r="B2416" s="6" t="s">
        <v>1596</v>
      </c>
      <c r="C2416" s="6" t="s">
        <v>991</v>
      </c>
      <c r="D2416" s="6" t="s">
        <v>978</v>
      </c>
      <c r="E2416" s="6"/>
      <c r="G2416" s="6">
        <v>160</v>
      </c>
      <c r="H2416" s="6">
        <v>200</v>
      </c>
      <c r="K2416" s="7">
        <v>44006587</v>
      </c>
      <c r="L2416" s="6" t="str">
        <f t="shared" si="247"/>
        <v>YT DİANA  AYAK UCU 160x200</v>
      </c>
      <c r="M2416" s="12">
        <v>0.1</v>
      </c>
      <c r="N2416" s="12">
        <v>0.1</v>
      </c>
      <c r="O2416" s="8">
        <v>4790</v>
      </c>
      <c r="P2416" s="8">
        <f t="shared" si="244"/>
        <v>4311</v>
      </c>
      <c r="Q2416" s="12">
        <f t="shared" si="245"/>
        <v>9053.1</v>
      </c>
      <c r="R2416" s="31">
        <f t="shared" si="246"/>
        <v>9000</v>
      </c>
      <c r="T2416" s="8">
        <v>3255</v>
      </c>
      <c r="V2416" s="8">
        <f t="shared" si="241"/>
        <v>2929.5</v>
      </c>
      <c r="W2416" s="8">
        <f t="shared" si="242"/>
        <v>7323.75</v>
      </c>
    </row>
    <row r="2417" spans="1:23" ht="21.95" customHeight="1" x14ac:dyDescent="0.2">
      <c r="A2417" s="6" t="s">
        <v>943</v>
      </c>
      <c r="B2417" s="6" t="s">
        <v>1596</v>
      </c>
      <c r="C2417" s="6" t="s">
        <v>991</v>
      </c>
      <c r="D2417" s="6" t="s">
        <v>978</v>
      </c>
      <c r="E2417" s="6"/>
      <c r="G2417" s="6">
        <v>180</v>
      </c>
      <c r="H2417" s="6">
        <v>200</v>
      </c>
      <c r="K2417" s="7">
        <v>44006588</v>
      </c>
      <c r="L2417" s="6" t="str">
        <f t="shared" si="247"/>
        <v>YT DİANA  AYAK UCU 180x200</v>
      </c>
      <c r="M2417" s="12">
        <v>0.1</v>
      </c>
      <c r="N2417" s="12">
        <v>0.1</v>
      </c>
      <c r="O2417" s="8">
        <v>5170</v>
      </c>
      <c r="P2417" s="8">
        <f t="shared" si="244"/>
        <v>4653</v>
      </c>
      <c r="Q2417" s="12">
        <f t="shared" si="245"/>
        <v>9771.3000000000011</v>
      </c>
      <c r="R2417" s="31">
        <f t="shared" si="246"/>
        <v>9700</v>
      </c>
      <c r="T2417" s="8">
        <v>1900</v>
      </c>
      <c r="V2417" s="8">
        <f t="shared" si="241"/>
        <v>1710</v>
      </c>
      <c r="W2417" s="8">
        <f t="shared" si="242"/>
        <v>4275</v>
      </c>
    </row>
    <row r="2418" spans="1:23" ht="21.95" customHeight="1" x14ac:dyDescent="0.2">
      <c r="A2418" s="6" t="s">
        <v>943</v>
      </c>
      <c r="B2418" s="6" t="s">
        <v>1596</v>
      </c>
      <c r="C2418" s="6" t="s">
        <v>991</v>
      </c>
      <c r="D2418" s="6" t="s">
        <v>978</v>
      </c>
      <c r="E2418" s="6"/>
      <c r="G2418" s="6">
        <v>200</v>
      </c>
      <c r="H2418" s="6">
        <v>200</v>
      </c>
      <c r="K2418" s="7">
        <v>44006589</v>
      </c>
      <c r="L2418" s="6" t="str">
        <f t="shared" si="247"/>
        <v>YT DİANA  AYAK UCU 200x200</v>
      </c>
      <c r="M2418" s="12">
        <v>0.1</v>
      </c>
      <c r="N2418" s="12">
        <v>0.1</v>
      </c>
      <c r="O2418" s="8">
        <v>5720</v>
      </c>
      <c r="P2418" s="8">
        <f t="shared" si="244"/>
        <v>5148</v>
      </c>
      <c r="Q2418" s="12">
        <f t="shared" si="245"/>
        <v>10810.800000000001</v>
      </c>
      <c r="R2418" s="31">
        <f t="shared" si="246"/>
        <v>10800</v>
      </c>
    </row>
    <row r="2419" spans="1:23" ht="21.95" customHeight="1" x14ac:dyDescent="0.2">
      <c r="A2419" s="6" t="s">
        <v>943</v>
      </c>
      <c r="B2419" s="6" t="s">
        <v>1596</v>
      </c>
      <c r="C2419" s="6" t="s">
        <v>991</v>
      </c>
      <c r="D2419" s="6" t="s">
        <v>948</v>
      </c>
      <c r="E2419" s="6"/>
      <c r="G2419" s="6">
        <v>46</v>
      </c>
      <c r="H2419" s="6">
        <v>56</v>
      </c>
      <c r="I2419" s="7">
        <v>61</v>
      </c>
      <c r="K2419" s="7">
        <v>44006590</v>
      </c>
      <c r="L2419" s="6" t="str">
        <f t="shared" si="247"/>
        <v>YT DİANA  KOMİDİN 46x56</v>
      </c>
      <c r="M2419" s="12">
        <v>0.1</v>
      </c>
      <c r="N2419" s="12">
        <v>0.1</v>
      </c>
      <c r="O2419" s="8">
        <v>5080</v>
      </c>
      <c r="P2419" s="8">
        <f t="shared" si="244"/>
        <v>4572</v>
      </c>
      <c r="Q2419" s="12">
        <f t="shared" si="245"/>
        <v>9601.2000000000007</v>
      </c>
      <c r="R2419" s="31">
        <f t="shared" si="246"/>
        <v>9600</v>
      </c>
    </row>
    <row r="2420" spans="1:23" ht="21.95" customHeight="1" x14ac:dyDescent="0.2">
      <c r="A2420" s="6" t="s">
        <v>943</v>
      </c>
      <c r="B2420" s="6" t="s">
        <v>1596</v>
      </c>
      <c r="C2420" s="6" t="s">
        <v>977</v>
      </c>
      <c r="D2420" s="6" t="s">
        <v>959</v>
      </c>
      <c r="E2420" s="6"/>
      <c r="G2420" s="6">
        <v>45</v>
      </c>
      <c r="H2420" s="6">
        <v>50</v>
      </c>
      <c r="I2420" s="7">
        <v>60</v>
      </c>
      <c r="K2420" s="7">
        <v>44006591</v>
      </c>
      <c r="L2420" s="6" t="str">
        <f t="shared" si="247"/>
        <v>YT POLO  KOMİDİN  45x50</v>
      </c>
      <c r="M2420" s="12">
        <v>0.1</v>
      </c>
      <c r="N2420" s="12">
        <v>0.1</v>
      </c>
      <c r="O2420" s="8">
        <v>4700</v>
      </c>
      <c r="P2420" s="8">
        <f t="shared" si="244"/>
        <v>4230</v>
      </c>
      <c r="Q2420" s="12">
        <f t="shared" si="245"/>
        <v>8883</v>
      </c>
      <c r="R2420" s="31">
        <f t="shared" si="246"/>
        <v>8800</v>
      </c>
    </row>
    <row r="2421" spans="1:23" ht="21.95" customHeight="1" x14ac:dyDescent="0.2">
      <c r="A2421" s="6" t="s">
        <v>943</v>
      </c>
      <c r="B2421" s="6" t="s">
        <v>1596</v>
      </c>
      <c r="C2421" s="6" t="s">
        <v>977</v>
      </c>
      <c r="D2421" s="6" t="s">
        <v>951</v>
      </c>
      <c r="E2421" s="6"/>
      <c r="G2421" s="6">
        <v>50</v>
      </c>
      <c r="H2421" s="6">
        <v>101</v>
      </c>
      <c r="I2421" s="7">
        <v>36</v>
      </c>
      <c r="K2421" s="7">
        <v>44006592</v>
      </c>
      <c r="L2421" s="6" t="str">
        <f t="shared" si="247"/>
        <v>YT POLO  MARKİZ 50x101</v>
      </c>
      <c r="M2421" s="12">
        <v>0.1</v>
      </c>
      <c r="N2421" s="12">
        <v>0.1</v>
      </c>
      <c r="O2421" s="8">
        <v>5370</v>
      </c>
      <c r="P2421" s="8">
        <f t="shared" si="244"/>
        <v>4833</v>
      </c>
      <c r="Q2421" s="12">
        <f t="shared" si="245"/>
        <v>10149.300000000001</v>
      </c>
      <c r="R2421" s="31">
        <f t="shared" si="246"/>
        <v>10100</v>
      </c>
    </row>
    <row r="2422" spans="1:23" ht="21.95" customHeight="1" x14ac:dyDescent="0.2">
      <c r="A2422" s="6" t="s">
        <v>943</v>
      </c>
      <c r="B2422" s="6" t="s">
        <v>1596</v>
      </c>
      <c r="C2422" s="6" t="s">
        <v>992</v>
      </c>
      <c r="D2422" s="6" t="s">
        <v>945</v>
      </c>
      <c r="E2422" s="6"/>
      <c r="F2422" s="6"/>
      <c r="G2422" s="6">
        <v>150</v>
      </c>
      <c r="H2422" s="5">
        <v>200</v>
      </c>
      <c r="K2422" s="7">
        <v>44006593</v>
      </c>
      <c r="L2422" s="6" t="str">
        <f t="shared" si="247"/>
        <v>YT AVONNİ BAZA 150x200</v>
      </c>
      <c r="M2422" s="12">
        <v>0.1</v>
      </c>
      <c r="N2422" s="12">
        <v>0.1</v>
      </c>
      <c r="O2422" s="8">
        <v>10620</v>
      </c>
      <c r="P2422" s="8">
        <f t="shared" si="244"/>
        <v>9558</v>
      </c>
      <c r="Q2422" s="12">
        <f t="shared" si="245"/>
        <v>20071.8</v>
      </c>
      <c r="R2422" s="31">
        <f t="shared" si="246"/>
        <v>20000</v>
      </c>
    </row>
    <row r="2423" spans="1:23" ht="21.95" customHeight="1" x14ac:dyDescent="0.2">
      <c r="A2423" s="6" t="s">
        <v>943</v>
      </c>
      <c r="B2423" s="6" t="s">
        <v>1596</v>
      </c>
      <c r="C2423" s="6" t="s">
        <v>992</v>
      </c>
      <c r="D2423" s="6" t="s">
        <v>945</v>
      </c>
      <c r="E2423" s="6"/>
      <c r="F2423" s="6"/>
      <c r="G2423" s="6">
        <v>160</v>
      </c>
      <c r="H2423" s="5">
        <v>200</v>
      </c>
      <c r="K2423" s="7">
        <v>44006594</v>
      </c>
      <c r="L2423" s="6" t="str">
        <f t="shared" si="247"/>
        <v>YT AVONNİ BAZA 160x200</v>
      </c>
      <c r="M2423" s="12">
        <v>0.1</v>
      </c>
      <c r="N2423" s="12">
        <v>0.1</v>
      </c>
      <c r="O2423" s="8">
        <v>10980</v>
      </c>
      <c r="P2423" s="8">
        <f t="shared" si="244"/>
        <v>9882</v>
      </c>
      <c r="Q2423" s="12">
        <f t="shared" si="245"/>
        <v>20752.2</v>
      </c>
      <c r="R2423" s="31">
        <f t="shared" si="246"/>
        <v>20700</v>
      </c>
    </row>
    <row r="2424" spans="1:23" ht="21.95" customHeight="1" x14ac:dyDescent="0.2">
      <c r="A2424" s="6" t="s">
        <v>943</v>
      </c>
      <c r="B2424" s="6" t="s">
        <v>1596</v>
      </c>
      <c r="C2424" s="6" t="s">
        <v>992</v>
      </c>
      <c r="D2424" s="6" t="s">
        <v>945</v>
      </c>
      <c r="E2424" s="6"/>
      <c r="F2424" s="6"/>
      <c r="G2424" s="6">
        <v>180</v>
      </c>
      <c r="H2424" s="5">
        <v>200</v>
      </c>
      <c r="K2424" s="7">
        <v>44006595</v>
      </c>
      <c r="L2424" s="6" t="str">
        <f t="shared" si="247"/>
        <v>YT AVONNİ BAZA 180x200</v>
      </c>
      <c r="M2424" s="12">
        <v>0.1</v>
      </c>
      <c r="N2424" s="12">
        <v>0.1</v>
      </c>
      <c r="O2424" s="8">
        <v>12540</v>
      </c>
      <c r="P2424" s="8">
        <f t="shared" si="244"/>
        <v>11286</v>
      </c>
      <c r="Q2424" s="12">
        <f t="shared" si="245"/>
        <v>23700.600000000002</v>
      </c>
      <c r="R2424" s="31">
        <f t="shared" si="246"/>
        <v>23700</v>
      </c>
    </row>
    <row r="2425" spans="1:23" ht="21.95" customHeight="1" x14ac:dyDescent="0.2">
      <c r="A2425" s="6" t="s">
        <v>943</v>
      </c>
      <c r="B2425" s="6" t="s">
        <v>1596</v>
      </c>
      <c r="C2425" s="6" t="s">
        <v>992</v>
      </c>
      <c r="D2425" s="6" t="s">
        <v>945</v>
      </c>
      <c r="E2425" s="6"/>
      <c r="F2425" s="6"/>
      <c r="G2425" s="6">
        <v>200</v>
      </c>
      <c r="H2425" s="5">
        <v>200</v>
      </c>
      <c r="K2425" s="7">
        <v>44006596</v>
      </c>
      <c r="L2425" s="6" t="str">
        <f t="shared" si="247"/>
        <v>YT AVONNİ BAZA 200x200</v>
      </c>
      <c r="M2425" s="12">
        <v>0.1</v>
      </c>
      <c r="N2425" s="12">
        <v>0.1</v>
      </c>
      <c r="O2425" s="8">
        <v>13270</v>
      </c>
      <c r="P2425" s="8">
        <f t="shared" si="244"/>
        <v>11943</v>
      </c>
      <c r="Q2425" s="12">
        <f t="shared" si="245"/>
        <v>25080.3</v>
      </c>
      <c r="R2425" s="31">
        <f t="shared" si="246"/>
        <v>25000</v>
      </c>
    </row>
    <row r="2426" spans="1:23" ht="21.95" customHeight="1" x14ac:dyDescent="0.2">
      <c r="A2426" s="6" t="s">
        <v>943</v>
      </c>
      <c r="B2426" s="6" t="s">
        <v>1596</v>
      </c>
      <c r="C2426" s="6" t="s">
        <v>993</v>
      </c>
      <c r="D2426" s="6" t="s">
        <v>950</v>
      </c>
      <c r="E2426" s="6"/>
      <c r="F2426" s="6"/>
      <c r="G2426" s="6">
        <v>150</v>
      </c>
      <c r="H2426" s="5">
        <v>200</v>
      </c>
      <c r="K2426" s="7">
        <v>44006597</v>
      </c>
      <c r="L2426" s="6" t="str">
        <f t="shared" si="247"/>
        <v>YT KARİZMA BAŞLIK 150x200</v>
      </c>
      <c r="M2426" s="12">
        <v>0.1</v>
      </c>
      <c r="N2426" s="12">
        <v>0.1</v>
      </c>
      <c r="O2426" s="8">
        <v>6380</v>
      </c>
      <c r="P2426" s="8">
        <f t="shared" si="244"/>
        <v>5742</v>
      </c>
      <c r="Q2426" s="12">
        <f t="shared" si="245"/>
        <v>12058.2</v>
      </c>
      <c r="R2426" s="31">
        <f t="shared" si="246"/>
        <v>12000</v>
      </c>
    </row>
    <row r="2427" spans="1:23" ht="21.95" customHeight="1" x14ac:dyDescent="0.2">
      <c r="A2427" s="6" t="s">
        <v>943</v>
      </c>
      <c r="B2427" s="6" t="s">
        <v>1596</v>
      </c>
      <c r="C2427" s="6" t="s">
        <v>993</v>
      </c>
      <c r="D2427" s="6" t="s">
        <v>950</v>
      </c>
      <c r="E2427" s="6"/>
      <c r="G2427" s="6">
        <v>160</v>
      </c>
      <c r="H2427" s="5">
        <v>200</v>
      </c>
      <c r="K2427" s="7">
        <v>44006598</v>
      </c>
      <c r="L2427" s="6" t="str">
        <f t="shared" si="247"/>
        <v>YT KARİZMA BAŞLIK 160x200</v>
      </c>
      <c r="M2427" s="12">
        <v>0.1</v>
      </c>
      <c r="N2427" s="12">
        <v>0.1</v>
      </c>
      <c r="O2427" s="8">
        <v>6740</v>
      </c>
      <c r="P2427" s="8">
        <f t="shared" si="244"/>
        <v>6066</v>
      </c>
      <c r="Q2427" s="12">
        <f t="shared" si="245"/>
        <v>12738.6</v>
      </c>
      <c r="R2427" s="31">
        <f t="shared" si="246"/>
        <v>12700</v>
      </c>
    </row>
    <row r="2428" spans="1:23" ht="21.95" customHeight="1" x14ac:dyDescent="0.2">
      <c r="A2428" s="6" t="s">
        <v>943</v>
      </c>
      <c r="B2428" s="6" t="s">
        <v>1596</v>
      </c>
      <c r="C2428" s="6" t="s">
        <v>993</v>
      </c>
      <c r="D2428" s="6" t="s">
        <v>950</v>
      </c>
      <c r="E2428" s="6"/>
      <c r="G2428" s="6">
        <v>180</v>
      </c>
      <c r="H2428" s="5">
        <v>200</v>
      </c>
      <c r="K2428" s="7">
        <v>44006599</v>
      </c>
      <c r="L2428" s="6" t="str">
        <f t="shared" si="247"/>
        <v>YT KARİZMA BAŞLIK 180x200</v>
      </c>
      <c r="M2428" s="12">
        <v>0.1</v>
      </c>
      <c r="N2428" s="12">
        <v>0.1</v>
      </c>
      <c r="O2428" s="8">
        <v>7260</v>
      </c>
      <c r="P2428" s="8">
        <f t="shared" si="244"/>
        <v>6534</v>
      </c>
      <c r="Q2428" s="12">
        <f t="shared" si="245"/>
        <v>13721.400000000001</v>
      </c>
      <c r="R2428" s="31">
        <f t="shared" si="246"/>
        <v>13700</v>
      </c>
    </row>
    <row r="2429" spans="1:23" ht="21.95" customHeight="1" x14ac:dyDescent="0.2">
      <c r="A2429" s="6" t="s">
        <v>943</v>
      </c>
      <c r="B2429" s="6" t="s">
        <v>1596</v>
      </c>
      <c r="C2429" s="6" t="s">
        <v>993</v>
      </c>
      <c r="D2429" s="6" t="s">
        <v>950</v>
      </c>
      <c r="E2429" s="6"/>
      <c r="G2429" s="6">
        <v>200</v>
      </c>
      <c r="H2429" s="6">
        <v>200</v>
      </c>
      <c r="K2429" s="7">
        <v>44006600</v>
      </c>
      <c r="L2429" s="6" t="str">
        <f t="shared" si="247"/>
        <v>YT KARİZMA BAŞLIK 200x200</v>
      </c>
      <c r="M2429" s="12">
        <v>0.1</v>
      </c>
      <c r="N2429" s="12">
        <v>0.1</v>
      </c>
      <c r="O2429" s="8">
        <v>8050</v>
      </c>
      <c r="P2429" s="8">
        <f t="shared" si="244"/>
        <v>7245</v>
      </c>
      <c r="Q2429" s="12">
        <f t="shared" si="245"/>
        <v>15214.5</v>
      </c>
      <c r="R2429" s="31">
        <f t="shared" si="246"/>
        <v>15200</v>
      </c>
    </row>
    <row r="2430" spans="1:23" ht="21.95" customHeight="1" x14ac:dyDescent="0.2">
      <c r="A2430" s="6" t="s">
        <v>943</v>
      </c>
      <c r="B2430" s="6" t="s">
        <v>1596</v>
      </c>
      <c r="C2430" s="6" t="s">
        <v>993</v>
      </c>
      <c r="D2430" s="6" t="s">
        <v>948</v>
      </c>
      <c r="E2430" s="6"/>
      <c r="G2430" s="6">
        <v>45</v>
      </c>
      <c r="H2430" s="6">
        <v>50</v>
      </c>
      <c r="I2430" s="7">
        <v>65</v>
      </c>
      <c r="K2430" s="7">
        <v>44006601</v>
      </c>
      <c r="L2430" s="6" t="str">
        <f t="shared" si="247"/>
        <v>YT KARİZMA KOMİDİN 45x50</v>
      </c>
      <c r="M2430" s="12">
        <v>0.1</v>
      </c>
      <c r="N2430" s="12">
        <v>0.1</v>
      </c>
      <c r="O2430" s="8">
        <v>6230</v>
      </c>
      <c r="P2430" s="8">
        <f t="shared" si="244"/>
        <v>5607</v>
      </c>
      <c r="Q2430" s="12">
        <f t="shared" si="245"/>
        <v>11774.7</v>
      </c>
      <c r="R2430" s="31">
        <f t="shared" si="246"/>
        <v>11700</v>
      </c>
    </row>
    <row r="2431" spans="1:23" ht="21.95" customHeight="1" x14ac:dyDescent="0.2">
      <c r="A2431" s="6" t="s">
        <v>943</v>
      </c>
      <c r="B2431" s="6" t="s">
        <v>1596</v>
      </c>
      <c r="C2431" s="6" t="s">
        <v>993</v>
      </c>
      <c r="D2431" s="6" t="s">
        <v>951</v>
      </c>
      <c r="E2431" s="6"/>
      <c r="K2431" s="7">
        <v>44006602</v>
      </c>
      <c r="L2431" s="6" t="str">
        <f>B2431&amp;" "&amp;C2431&amp;" "&amp;D2431&amp;" "</f>
        <v xml:space="preserve">YT KARİZMA MARKİZ </v>
      </c>
      <c r="M2431" s="12">
        <v>0.1</v>
      </c>
      <c r="N2431" s="12">
        <v>0.1</v>
      </c>
      <c r="O2431" s="8">
        <v>8520</v>
      </c>
      <c r="P2431" s="8">
        <f t="shared" si="244"/>
        <v>7668</v>
      </c>
      <c r="Q2431" s="12">
        <f t="shared" si="245"/>
        <v>16102.800000000001</v>
      </c>
      <c r="R2431" s="31">
        <f t="shared" si="246"/>
        <v>16100</v>
      </c>
    </row>
    <row r="2432" spans="1:23" ht="21.95" customHeight="1" x14ac:dyDescent="0.2">
      <c r="A2432" s="6" t="s">
        <v>943</v>
      </c>
      <c r="B2432" s="6" t="s">
        <v>1596</v>
      </c>
      <c r="C2432" s="6" t="s">
        <v>922</v>
      </c>
      <c r="D2432" s="6" t="s">
        <v>945</v>
      </c>
      <c r="E2432" s="6"/>
      <c r="G2432" s="6">
        <v>150</v>
      </c>
      <c r="H2432" s="6">
        <v>200</v>
      </c>
      <c r="K2432" s="7">
        <v>44006603</v>
      </c>
      <c r="L2432" s="6" t="str">
        <f t="shared" ref="L2432:L2463" si="248">B2432&amp;" "&amp;C2432&amp;" "&amp;D2432&amp;" "&amp;G2432&amp;"x"&amp;H2432</f>
        <v>YT MABEL BAZA 150x200</v>
      </c>
      <c r="M2432" s="12">
        <v>0.1</v>
      </c>
      <c r="N2432" s="12">
        <v>0.1</v>
      </c>
      <c r="O2432" s="8">
        <v>10370</v>
      </c>
      <c r="P2432" s="8">
        <f t="shared" si="244"/>
        <v>9333</v>
      </c>
      <c r="Q2432" s="12">
        <f t="shared" si="245"/>
        <v>19599.3</v>
      </c>
      <c r="R2432" s="31">
        <f t="shared" si="246"/>
        <v>19500</v>
      </c>
    </row>
    <row r="2433" spans="1:23" ht="21.95" customHeight="1" x14ac:dyDescent="0.2">
      <c r="A2433" s="6" t="s">
        <v>943</v>
      </c>
      <c r="B2433" s="6" t="s">
        <v>1596</v>
      </c>
      <c r="C2433" s="6" t="s">
        <v>922</v>
      </c>
      <c r="D2433" s="6" t="s">
        <v>945</v>
      </c>
      <c r="E2433" s="6"/>
      <c r="G2433" s="6">
        <v>160</v>
      </c>
      <c r="H2433" s="6">
        <v>200</v>
      </c>
      <c r="K2433" s="7">
        <v>44006604</v>
      </c>
      <c r="L2433" s="6" t="str">
        <f t="shared" si="248"/>
        <v>YT MABEL BAZA 160x200</v>
      </c>
      <c r="M2433" s="12">
        <v>0.1</v>
      </c>
      <c r="N2433" s="12">
        <v>0.1</v>
      </c>
      <c r="O2433" s="8">
        <v>10790</v>
      </c>
      <c r="P2433" s="8">
        <f t="shared" si="244"/>
        <v>9711</v>
      </c>
      <c r="Q2433" s="12">
        <f t="shared" si="245"/>
        <v>20393.100000000002</v>
      </c>
      <c r="R2433" s="31">
        <f t="shared" si="246"/>
        <v>20300</v>
      </c>
    </row>
    <row r="2434" spans="1:23" ht="21.95" customHeight="1" x14ac:dyDescent="0.2">
      <c r="A2434" s="6" t="s">
        <v>943</v>
      </c>
      <c r="B2434" s="6" t="s">
        <v>1596</v>
      </c>
      <c r="C2434" s="6" t="s">
        <v>922</v>
      </c>
      <c r="D2434" s="6" t="s">
        <v>945</v>
      </c>
      <c r="E2434" s="6"/>
      <c r="G2434" s="6">
        <v>180</v>
      </c>
      <c r="H2434" s="6">
        <v>200</v>
      </c>
      <c r="K2434" s="7">
        <v>44006605</v>
      </c>
      <c r="L2434" s="6" t="str">
        <f t="shared" si="248"/>
        <v>YT MABEL BAZA 180x200</v>
      </c>
      <c r="M2434" s="12">
        <v>0.1</v>
      </c>
      <c r="N2434" s="12">
        <v>0.1</v>
      </c>
      <c r="O2434" s="8">
        <v>11650</v>
      </c>
      <c r="P2434" s="8">
        <f t="shared" si="244"/>
        <v>10485</v>
      </c>
      <c r="Q2434" s="12">
        <f t="shared" si="245"/>
        <v>22018.5</v>
      </c>
      <c r="R2434" s="31">
        <f t="shared" si="246"/>
        <v>22000</v>
      </c>
    </row>
    <row r="2435" spans="1:23" ht="21.95" customHeight="1" x14ac:dyDescent="0.2">
      <c r="A2435" s="6" t="s">
        <v>943</v>
      </c>
      <c r="B2435" s="6" t="s">
        <v>1596</v>
      </c>
      <c r="C2435" s="6" t="s">
        <v>922</v>
      </c>
      <c r="D2435" s="6" t="s">
        <v>945</v>
      </c>
      <c r="E2435" s="6"/>
      <c r="G2435" s="6">
        <v>200</v>
      </c>
      <c r="H2435" s="6">
        <v>200</v>
      </c>
      <c r="K2435" s="7">
        <v>44006606</v>
      </c>
      <c r="L2435" s="6" t="str">
        <f t="shared" si="248"/>
        <v>YT MABEL BAZA 200x200</v>
      </c>
      <c r="M2435" s="12">
        <v>0.1</v>
      </c>
      <c r="N2435" s="12">
        <v>0.1</v>
      </c>
      <c r="O2435" s="8">
        <v>12500</v>
      </c>
      <c r="P2435" s="8">
        <f t="shared" si="244"/>
        <v>11250</v>
      </c>
      <c r="Q2435" s="12">
        <f t="shared" si="245"/>
        <v>23625</v>
      </c>
      <c r="R2435" s="31">
        <f t="shared" si="246"/>
        <v>23600</v>
      </c>
    </row>
    <row r="2436" spans="1:23" ht="21.95" customHeight="1" x14ac:dyDescent="0.2">
      <c r="A2436" s="6" t="s">
        <v>943</v>
      </c>
      <c r="B2436" s="6" t="s">
        <v>1596</v>
      </c>
      <c r="C2436" s="6" t="s">
        <v>994</v>
      </c>
      <c r="D2436" s="6" t="s">
        <v>950</v>
      </c>
      <c r="E2436" s="6"/>
      <c r="G2436" s="6">
        <v>150</v>
      </c>
      <c r="H2436" s="6">
        <v>200</v>
      </c>
      <c r="K2436" s="7">
        <v>44006607</v>
      </c>
      <c r="L2436" s="6" t="str">
        <f t="shared" si="248"/>
        <v>YT MABEL  BAŞLIK 150x200</v>
      </c>
      <c r="M2436" s="12">
        <v>0.1</v>
      </c>
      <c r="N2436" s="12">
        <v>0.1</v>
      </c>
      <c r="O2436" s="8">
        <v>6700</v>
      </c>
      <c r="P2436" s="8">
        <f t="shared" si="244"/>
        <v>6030</v>
      </c>
      <c r="Q2436" s="12">
        <f t="shared" si="245"/>
        <v>12663</v>
      </c>
      <c r="R2436" s="31">
        <f t="shared" si="246"/>
        <v>12600</v>
      </c>
    </row>
    <row r="2437" spans="1:23" ht="21.95" customHeight="1" x14ac:dyDescent="0.2">
      <c r="A2437" s="6" t="s">
        <v>943</v>
      </c>
      <c r="B2437" s="6" t="s">
        <v>1596</v>
      </c>
      <c r="C2437" s="6" t="s">
        <v>922</v>
      </c>
      <c r="D2437" s="6" t="s">
        <v>950</v>
      </c>
      <c r="E2437" s="6"/>
      <c r="G2437" s="6">
        <v>160</v>
      </c>
      <c r="H2437" s="6">
        <v>200</v>
      </c>
      <c r="K2437" s="7">
        <v>44006608</v>
      </c>
      <c r="L2437" s="6" t="str">
        <f t="shared" si="248"/>
        <v>YT MABEL BAŞLIK 160x200</v>
      </c>
      <c r="M2437" s="12">
        <v>0.1</v>
      </c>
      <c r="N2437" s="12">
        <v>0.1</v>
      </c>
      <c r="O2437" s="8">
        <v>6930</v>
      </c>
      <c r="P2437" s="8">
        <f t="shared" si="244"/>
        <v>6237</v>
      </c>
      <c r="Q2437" s="12">
        <f t="shared" si="245"/>
        <v>13097.7</v>
      </c>
      <c r="R2437" s="31">
        <f t="shared" si="246"/>
        <v>13000</v>
      </c>
    </row>
    <row r="2438" spans="1:23" ht="21.95" customHeight="1" x14ac:dyDescent="0.2">
      <c r="A2438" s="6" t="s">
        <v>943</v>
      </c>
      <c r="B2438" s="6" t="s">
        <v>1596</v>
      </c>
      <c r="C2438" s="6" t="s">
        <v>922</v>
      </c>
      <c r="D2438" s="6" t="s">
        <v>950</v>
      </c>
      <c r="E2438" s="6"/>
      <c r="G2438" s="6">
        <v>180</v>
      </c>
      <c r="H2438" s="6">
        <v>200</v>
      </c>
      <c r="K2438" s="7">
        <v>44006609</v>
      </c>
      <c r="L2438" s="6" t="str">
        <f t="shared" si="248"/>
        <v>YT MABEL BAŞLIK 180x200</v>
      </c>
      <c r="M2438" s="12">
        <v>0.1</v>
      </c>
      <c r="N2438" s="12">
        <v>0.1</v>
      </c>
      <c r="O2438" s="8">
        <v>8170</v>
      </c>
      <c r="P2438" s="8">
        <f t="shared" si="244"/>
        <v>7353</v>
      </c>
      <c r="Q2438" s="12">
        <f t="shared" si="245"/>
        <v>15441.300000000001</v>
      </c>
      <c r="R2438" s="31">
        <f t="shared" si="246"/>
        <v>15400</v>
      </c>
    </row>
    <row r="2439" spans="1:23" ht="21.95" customHeight="1" x14ac:dyDescent="0.2">
      <c r="A2439" s="6" t="s">
        <v>943</v>
      </c>
      <c r="B2439" s="6" t="s">
        <v>1596</v>
      </c>
      <c r="C2439" s="6" t="s">
        <v>922</v>
      </c>
      <c r="D2439" s="6" t="s">
        <v>950</v>
      </c>
      <c r="E2439" s="6"/>
      <c r="G2439" s="6">
        <v>200</v>
      </c>
      <c r="H2439" s="6">
        <v>200</v>
      </c>
      <c r="K2439" s="7">
        <v>44006610</v>
      </c>
      <c r="L2439" s="6" t="str">
        <f t="shared" si="248"/>
        <v>YT MABEL BAŞLIK 200x200</v>
      </c>
      <c r="M2439" s="12">
        <v>0.1</v>
      </c>
      <c r="N2439" s="12">
        <v>0.1</v>
      </c>
      <c r="O2439" s="8">
        <v>9070</v>
      </c>
      <c r="P2439" s="8">
        <f t="shared" si="244"/>
        <v>8163</v>
      </c>
      <c r="Q2439" s="12">
        <f t="shared" si="245"/>
        <v>17142.3</v>
      </c>
      <c r="R2439" s="31">
        <f t="shared" si="246"/>
        <v>17100</v>
      </c>
    </row>
    <row r="2440" spans="1:23" ht="21.95" customHeight="1" x14ac:dyDescent="0.2">
      <c r="A2440" s="6" t="s">
        <v>943</v>
      </c>
      <c r="B2440" s="6" t="s">
        <v>1596</v>
      </c>
      <c r="C2440" s="6" t="s">
        <v>922</v>
      </c>
      <c r="D2440" s="6" t="s">
        <v>948</v>
      </c>
      <c r="E2440" s="6"/>
      <c r="G2440" s="6">
        <v>45</v>
      </c>
      <c r="H2440" s="6">
        <v>50</v>
      </c>
      <c r="I2440" s="7">
        <v>56</v>
      </c>
      <c r="K2440" s="7">
        <v>44006611</v>
      </c>
      <c r="L2440" s="6" t="str">
        <f t="shared" si="248"/>
        <v>YT MABEL KOMİDİN 45x50</v>
      </c>
      <c r="M2440" s="12">
        <v>0.1</v>
      </c>
      <c r="N2440" s="12">
        <v>0.1</v>
      </c>
      <c r="O2440" s="8">
        <v>4520</v>
      </c>
      <c r="P2440" s="8">
        <f t="shared" si="244"/>
        <v>4068</v>
      </c>
      <c r="Q2440" s="12">
        <f t="shared" si="245"/>
        <v>8542.8000000000011</v>
      </c>
      <c r="R2440" s="31">
        <f t="shared" si="246"/>
        <v>8500</v>
      </c>
    </row>
    <row r="2441" spans="1:23" ht="21.95" customHeight="1" x14ac:dyDescent="0.2">
      <c r="A2441" s="6" t="s">
        <v>943</v>
      </c>
      <c r="B2441" s="6" t="s">
        <v>1596</v>
      </c>
      <c r="C2441" s="6" t="s">
        <v>922</v>
      </c>
      <c r="D2441" s="6" t="s">
        <v>951</v>
      </c>
      <c r="E2441" s="6"/>
      <c r="G2441" s="6">
        <v>54</v>
      </c>
      <c r="H2441" s="6">
        <v>146</v>
      </c>
      <c r="I2441" s="7">
        <v>48</v>
      </c>
      <c r="K2441" s="7">
        <v>44006612</v>
      </c>
      <c r="L2441" s="6" t="str">
        <f t="shared" si="248"/>
        <v>YT MABEL MARKİZ 54x146</v>
      </c>
      <c r="M2441" s="12">
        <v>0.1</v>
      </c>
      <c r="N2441" s="12">
        <v>0.1</v>
      </c>
      <c r="O2441" s="8">
        <v>10020</v>
      </c>
      <c r="P2441" s="8">
        <f t="shared" si="244"/>
        <v>9018</v>
      </c>
      <c r="Q2441" s="12">
        <f t="shared" si="245"/>
        <v>18937.8</v>
      </c>
      <c r="R2441" s="31">
        <f t="shared" si="246"/>
        <v>18900</v>
      </c>
    </row>
    <row r="2442" spans="1:23" ht="21.95" customHeight="1" x14ac:dyDescent="0.2">
      <c r="A2442" s="6" t="s">
        <v>943</v>
      </c>
      <c r="B2442" s="6" t="s">
        <v>1596</v>
      </c>
      <c r="C2442" s="6" t="s">
        <v>995</v>
      </c>
      <c r="D2442" s="6" t="s">
        <v>953</v>
      </c>
      <c r="E2442" s="6"/>
      <c r="G2442" s="6">
        <v>150</v>
      </c>
      <c r="H2442" s="6">
        <v>200</v>
      </c>
      <c r="K2442" s="7">
        <v>44006613</v>
      </c>
      <c r="L2442" s="6" t="str">
        <f t="shared" si="248"/>
        <v>YT MİRAY YATAK 150x200</v>
      </c>
      <c r="M2442" s="12">
        <v>0.1</v>
      </c>
      <c r="N2442" s="12">
        <v>0.1</v>
      </c>
      <c r="O2442" s="8">
        <v>6630</v>
      </c>
      <c r="P2442" s="8">
        <f t="shared" si="244"/>
        <v>5967</v>
      </c>
      <c r="Q2442" s="12">
        <f t="shared" si="245"/>
        <v>12530.7</v>
      </c>
      <c r="R2442" s="31">
        <f t="shared" si="246"/>
        <v>12500</v>
      </c>
    </row>
    <row r="2443" spans="1:23" ht="21.95" customHeight="1" x14ac:dyDescent="0.2">
      <c r="A2443" s="6" t="s">
        <v>943</v>
      </c>
      <c r="B2443" s="6" t="s">
        <v>1596</v>
      </c>
      <c r="C2443" s="6" t="s">
        <v>995</v>
      </c>
      <c r="D2443" s="6" t="s">
        <v>953</v>
      </c>
      <c r="E2443" s="6"/>
      <c r="G2443" s="6">
        <v>160</v>
      </c>
      <c r="H2443" s="6">
        <v>200</v>
      </c>
      <c r="K2443" s="7">
        <v>44006614</v>
      </c>
      <c r="L2443" s="6" t="str">
        <f t="shared" si="248"/>
        <v>YT MİRAY YATAK 160x200</v>
      </c>
      <c r="M2443" s="12">
        <v>0.1</v>
      </c>
      <c r="N2443" s="12">
        <v>0.1</v>
      </c>
      <c r="O2443" s="8">
        <v>6950</v>
      </c>
      <c r="P2443" s="8">
        <f t="shared" si="244"/>
        <v>6255</v>
      </c>
      <c r="Q2443" s="12">
        <f t="shared" si="245"/>
        <v>13135.5</v>
      </c>
      <c r="R2443" s="31">
        <f t="shared" si="246"/>
        <v>13100</v>
      </c>
      <c r="T2443" s="8">
        <v>1900</v>
      </c>
      <c r="V2443" s="8">
        <f t="shared" si="241"/>
        <v>1710</v>
      </c>
      <c r="W2443" s="8">
        <f t="shared" si="242"/>
        <v>4275</v>
      </c>
    </row>
    <row r="2444" spans="1:23" ht="21.95" customHeight="1" x14ac:dyDescent="0.2">
      <c r="A2444" s="6" t="s">
        <v>943</v>
      </c>
      <c r="B2444" s="6" t="s">
        <v>1596</v>
      </c>
      <c r="C2444" s="6" t="s">
        <v>995</v>
      </c>
      <c r="D2444" s="6" t="s">
        <v>953</v>
      </c>
      <c r="E2444" s="6"/>
      <c r="G2444" s="6">
        <v>180</v>
      </c>
      <c r="H2444" s="6">
        <v>200</v>
      </c>
      <c r="K2444" s="7">
        <v>44006615</v>
      </c>
      <c r="L2444" s="6" t="str">
        <f t="shared" si="248"/>
        <v>YT MİRAY YATAK 180x200</v>
      </c>
      <c r="M2444" s="12">
        <v>0.1</v>
      </c>
      <c r="N2444" s="12">
        <v>0.1</v>
      </c>
      <c r="O2444" s="8">
        <v>7820</v>
      </c>
      <c r="P2444" s="8">
        <f t="shared" si="244"/>
        <v>7038</v>
      </c>
      <c r="Q2444" s="12">
        <f t="shared" si="245"/>
        <v>14779.800000000001</v>
      </c>
      <c r="R2444" s="31">
        <f t="shared" si="246"/>
        <v>14700</v>
      </c>
    </row>
    <row r="2445" spans="1:23" ht="21.95" customHeight="1" x14ac:dyDescent="0.2">
      <c r="A2445" s="6" t="s">
        <v>943</v>
      </c>
      <c r="B2445" s="6" t="s">
        <v>1596</v>
      </c>
      <c r="C2445" s="6" t="s">
        <v>995</v>
      </c>
      <c r="D2445" s="6" t="s">
        <v>953</v>
      </c>
      <c r="E2445" s="6"/>
      <c r="G2445" s="6">
        <v>200</v>
      </c>
      <c r="H2445" s="6">
        <v>200</v>
      </c>
      <c r="K2445" s="7">
        <v>44006616</v>
      </c>
      <c r="L2445" s="6" t="str">
        <f t="shared" si="248"/>
        <v>YT MİRAY YATAK 200x200</v>
      </c>
      <c r="M2445" s="12">
        <v>0.1</v>
      </c>
      <c r="N2445" s="12">
        <v>0.1</v>
      </c>
      <c r="O2445" s="8">
        <v>8710</v>
      </c>
      <c r="P2445" s="8">
        <f t="shared" si="244"/>
        <v>7839</v>
      </c>
      <c r="Q2445" s="12">
        <f t="shared" si="245"/>
        <v>16461.900000000001</v>
      </c>
      <c r="R2445" s="31">
        <f t="shared" si="246"/>
        <v>16400</v>
      </c>
    </row>
    <row r="2446" spans="1:23" ht="21.95" customHeight="1" x14ac:dyDescent="0.2">
      <c r="A2446" s="6" t="s">
        <v>943</v>
      </c>
      <c r="B2446" s="6" t="s">
        <v>1596</v>
      </c>
      <c r="C2446" s="6" t="s">
        <v>996</v>
      </c>
      <c r="D2446" s="6" t="s">
        <v>945</v>
      </c>
      <c r="E2446" s="6"/>
      <c r="G2446" s="6">
        <v>150</v>
      </c>
      <c r="H2446" s="6">
        <v>200</v>
      </c>
      <c r="K2446" s="7">
        <v>44006617</v>
      </c>
      <c r="L2446" s="6" t="str">
        <f t="shared" si="248"/>
        <v>YT SİERRA BAZA 150x200</v>
      </c>
      <c r="M2446" s="12">
        <v>0.1</v>
      </c>
      <c r="N2446" s="12">
        <v>0.1</v>
      </c>
      <c r="O2446" s="8">
        <v>10340</v>
      </c>
      <c r="P2446" s="8">
        <f t="shared" ref="P2446:P2509" si="249">O2446*(1-N2446)</f>
        <v>9306</v>
      </c>
      <c r="Q2446" s="12">
        <f t="shared" ref="Q2446:Q2509" si="250">O2446*(1-N2446)*2.1</f>
        <v>19542.600000000002</v>
      </c>
      <c r="R2446" s="31">
        <f t="shared" ref="R2446:R2509" si="251">ROUNDDOWN(Q2446,-2)</f>
        <v>19500</v>
      </c>
    </row>
    <row r="2447" spans="1:23" ht="21.95" customHeight="1" x14ac:dyDescent="0.2">
      <c r="A2447" s="6" t="s">
        <v>943</v>
      </c>
      <c r="B2447" s="6" t="s">
        <v>1596</v>
      </c>
      <c r="C2447" s="6" t="s">
        <v>996</v>
      </c>
      <c r="D2447" s="6" t="s">
        <v>945</v>
      </c>
      <c r="E2447" s="6"/>
      <c r="G2447" s="6">
        <v>160</v>
      </c>
      <c r="H2447" s="6">
        <v>200</v>
      </c>
      <c r="K2447" s="7">
        <v>44006618</v>
      </c>
      <c r="L2447" s="6" t="str">
        <f t="shared" si="248"/>
        <v>YT SİERRA BAZA 160x200</v>
      </c>
      <c r="M2447" s="12">
        <v>0.1</v>
      </c>
      <c r="N2447" s="12">
        <v>0.1</v>
      </c>
      <c r="O2447" s="8">
        <v>10760</v>
      </c>
      <c r="P2447" s="8">
        <f t="shared" si="249"/>
        <v>9684</v>
      </c>
      <c r="Q2447" s="12">
        <f t="shared" si="250"/>
        <v>20336.400000000001</v>
      </c>
      <c r="R2447" s="31">
        <f t="shared" si="251"/>
        <v>20300</v>
      </c>
    </row>
    <row r="2448" spans="1:23" ht="21.95" customHeight="1" x14ac:dyDescent="0.2">
      <c r="A2448" s="6" t="s">
        <v>943</v>
      </c>
      <c r="B2448" s="6" t="s">
        <v>1596</v>
      </c>
      <c r="C2448" s="6" t="s">
        <v>996</v>
      </c>
      <c r="D2448" s="6" t="s">
        <v>945</v>
      </c>
      <c r="E2448" s="6"/>
      <c r="G2448" s="6">
        <v>180</v>
      </c>
      <c r="H2448" s="6">
        <v>200</v>
      </c>
      <c r="K2448" s="7">
        <v>44006619</v>
      </c>
      <c r="L2448" s="6" t="str">
        <f t="shared" si="248"/>
        <v>YT SİERRA BAZA 180x200</v>
      </c>
      <c r="M2448" s="12">
        <v>0.1</v>
      </c>
      <c r="N2448" s="12">
        <v>0.1</v>
      </c>
      <c r="O2448" s="8">
        <v>11610</v>
      </c>
      <c r="P2448" s="8">
        <f t="shared" si="249"/>
        <v>10449</v>
      </c>
      <c r="Q2448" s="12">
        <f t="shared" si="250"/>
        <v>21942.9</v>
      </c>
      <c r="R2448" s="31">
        <f t="shared" si="251"/>
        <v>21900</v>
      </c>
    </row>
    <row r="2449" spans="1:18" ht="21.95" customHeight="1" x14ac:dyDescent="0.2">
      <c r="A2449" s="6" t="s">
        <v>943</v>
      </c>
      <c r="B2449" s="6" t="s">
        <v>1596</v>
      </c>
      <c r="C2449" s="6" t="s">
        <v>996</v>
      </c>
      <c r="D2449" s="6" t="s">
        <v>945</v>
      </c>
      <c r="E2449" s="6"/>
      <c r="G2449" s="6">
        <v>200</v>
      </c>
      <c r="H2449" s="6">
        <v>200</v>
      </c>
      <c r="K2449" s="7">
        <v>44006620</v>
      </c>
      <c r="L2449" s="6" t="str">
        <f t="shared" si="248"/>
        <v>YT SİERRA BAZA 200x200</v>
      </c>
      <c r="M2449" s="12">
        <v>0.1</v>
      </c>
      <c r="N2449" s="12">
        <v>0.1</v>
      </c>
      <c r="O2449" s="8">
        <v>12470</v>
      </c>
      <c r="P2449" s="8">
        <f t="shared" si="249"/>
        <v>11223</v>
      </c>
      <c r="Q2449" s="12">
        <f t="shared" si="250"/>
        <v>23568.3</v>
      </c>
      <c r="R2449" s="31">
        <f t="shared" si="251"/>
        <v>23500</v>
      </c>
    </row>
    <row r="2450" spans="1:18" ht="21.95" customHeight="1" x14ac:dyDescent="0.2">
      <c r="A2450" s="6" t="s">
        <v>943</v>
      </c>
      <c r="B2450" s="6" t="s">
        <v>1596</v>
      </c>
      <c r="C2450" s="6" t="s">
        <v>996</v>
      </c>
      <c r="D2450" s="6" t="s">
        <v>950</v>
      </c>
      <c r="E2450" s="6"/>
      <c r="G2450" s="6">
        <v>150</v>
      </c>
      <c r="H2450" s="6">
        <v>200</v>
      </c>
      <c r="K2450" s="7">
        <v>44006621</v>
      </c>
      <c r="L2450" s="6" t="str">
        <f t="shared" si="248"/>
        <v>YT SİERRA BAŞLIK 150x200</v>
      </c>
      <c r="M2450" s="12">
        <v>0.1</v>
      </c>
      <c r="N2450" s="12">
        <v>0.1</v>
      </c>
      <c r="O2450" s="8">
        <v>6800</v>
      </c>
      <c r="P2450" s="8">
        <f t="shared" si="249"/>
        <v>6120</v>
      </c>
      <c r="Q2450" s="12">
        <f t="shared" si="250"/>
        <v>12852</v>
      </c>
      <c r="R2450" s="31">
        <f t="shared" si="251"/>
        <v>12800</v>
      </c>
    </row>
    <row r="2451" spans="1:18" ht="21.95" customHeight="1" x14ac:dyDescent="0.2">
      <c r="A2451" s="6" t="s">
        <v>943</v>
      </c>
      <c r="B2451" s="6" t="s">
        <v>1596</v>
      </c>
      <c r="C2451" s="6" t="s">
        <v>996</v>
      </c>
      <c r="D2451" s="6" t="s">
        <v>950</v>
      </c>
      <c r="E2451" s="6"/>
      <c r="G2451" s="6">
        <v>160</v>
      </c>
      <c r="H2451" s="6">
        <v>200</v>
      </c>
      <c r="K2451" s="7">
        <v>44006622</v>
      </c>
      <c r="L2451" s="6" t="str">
        <f t="shared" si="248"/>
        <v>YT SİERRA BAŞLIK 160x200</v>
      </c>
      <c r="M2451" s="12">
        <v>0.1</v>
      </c>
      <c r="N2451" s="12">
        <v>0.1</v>
      </c>
      <c r="O2451" s="8">
        <v>7050</v>
      </c>
      <c r="P2451" s="8">
        <f t="shared" si="249"/>
        <v>6345</v>
      </c>
      <c r="Q2451" s="12">
        <f t="shared" si="250"/>
        <v>13324.5</v>
      </c>
      <c r="R2451" s="31">
        <f t="shared" si="251"/>
        <v>13300</v>
      </c>
    </row>
    <row r="2452" spans="1:18" ht="21.95" customHeight="1" x14ac:dyDescent="0.2">
      <c r="A2452" s="6" t="s">
        <v>943</v>
      </c>
      <c r="B2452" s="6" t="s">
        <v>1596</v>
      </c>
      <c r="C2452" s="6" t="s">
        <v>996</v>
      </c>
      <c r="D2452" s="6" t="s">
        <v>950</v>
      </c>
      <c r="E2452" s="6"/>
      <c r="G2452" s="6">
        <v>180</v>
      </c>
      <c r="H2452" s="6">
        <v>200</v>
      </c>
      <c r="K2452" s="7">
        <v>44006623</v>
      </c>
      <c r="L2452" s="6" t="str">
        <f t="shared" si="248"/>
        <v>YT SİERRA BAŞLIK 180x200</v>
      </c>
      <c r="M2452" s="12">
        <v>0.1</v>
      </c>
      <c r="N2452" s="12">
        <v>0.1</v>
      </c>
      <c r="O2452" s="8">
        <v>8300</v>
      </c>
      <c r="P2452" s="8">
        <f t="shared" si="249"/>
        <v>7470</v>
      </c>
      <c r="Q2452" s="12">
        <f t="shared" si="250"/>
        <v>15687</v>
      </c>
      <c r="R2452" s="31">
        <f t="shared" si="251"/>
        <v>15600</v>
      </c>
    </row>
    <row r="2453" spans="1:18" ht="21.95" customHeight="1" x14ac:dyDescent="0.2">
      <c r="A2453" s="6" t="s">
        <v>943</v>
      </c>
      <c r="B2453" s="6" t="s">
        <v>1596</v>
      </c>
      <c r="C2453" s="6" t="s">
        <v>996</v>
      </c>
      <c r="D2453" s="6" t="s">
        <v>950</v>
      </c>
      <c r="E2453" s="6"/>
      <c r="G2453" s="6">
        <v>200</v>
      </c>
      <c r="H2453" s="6">
        <v>200</v>
      </c>
      <c r="K2453" s="7">
        <v>44006624</v>
      </c>
      <c r="L2453" s="6" t="str">
        <f t="shared" si="248"/>
        <v>YT SİERRA BAŞLIK 200x200</v>
      </c>
      <c r="M2453" s="12">
        <v>0.1</v>
      </c>
      <c r="N2453" s="12">
        <v>0.1</v>
      </c>
      <c r="O2453" s="8">
        <v>9210</v>
      </c>
      <c r="P2453" s="8">
        <f t="shared" si="249"/>
        <v>8289</v>
      </c>
      <c r="Q2453" s="12">
        <f t="shared" si="250"/>
        <v>17406.900000000001</v>
      </c>
      <c r="R2453" s="31">
        <f t="shared" si="251"/>
        <v>17400</v>
      </c>
    </row>
    <row r="2454" spans="1:18" ht="21.95" customHeight="1" x14ac:dyDescent="0.2">
      <c r="A2454" s="6" t="s">
        <v>943</v>
      </c>
      <c r="B2454" s="6" t="s">
        <v>1596</v>
      </c>
      <c r="C2454" s="6" t="s">
        <v>996</v>
      </c>
      <c r="D2454" s="6" t="s">
        <v>948</v>
      </c>
      <c r="E2454" s="6"/>
      <c r="G2454" s="6">
        <v>45</v>
      </c>
      <c r="H2454" s="6">
        <v>50</v>
      </c>
      <c r="I2454" s="7">
        <v>51</v>
      </c>
      <c r="K2454" s="7">
        <v>44006625</v>
      </c>
      <c r="L2454" s="6" t="str">
        <f t="shared" si="248"/>
        <v>YT SİERRA KOMİDİN 45x50</v>
      </c>
      <c r="M2454" s="12">
        <v>0.1</v>
      </c>
      <c r="N2454" s="12">
        <v>0.1</v>
      </c>
      <c r="O2454" s="8">
        <v>6480</v>
      </c>
      <c r="P2454" s="8">
        <f t="shared" si="249"/>
        <v>5832</v>
      </c>
      <c r="Q2454" s="12">
        <f t="shared" si="250"/>
        <v>12247.2</v>
      </c>
      <c r="R2454" s="31">
        <f t="shared" si="251"/>
        <v>12200</v>
      </c>
    </row>
    <row r="2455" spans="1:18" ht="21.95" customHeight="1" x14ac:dyDescent="0.2">
      <c r="A2455" s="6" t="s">
        <v>943</v>
      </c>
      <c r="B2455" s="6" t="s">
        <v>1596</v>
      </c>
      <c r="C2455" s="6" t="s">
        <v>996</v>
      </c>
      <c r="D2455" s="6" t="s">
        <v>951</v>
      </c>
      <c r="E2455" s="6"/>
      <c r="G2455" s="6">
        <v>45</v>
      </c>
      <c r="H2455" s="6">
        <v>160</v>
      </c>
      <c r="I2455" s="7">
        <v>45</v>
      </c>
      <c r="K2455" s="7">
        <v>44006626</v>
      </c>
      <c r="L2455" s="6" t="str">
        <f t="shared" si="248"/>
        <v>YT SİERRA MARKİZ 45x160</v>
      </c>
      <c r="M2455" s="12">
        <v>0.1</v>
      </c>
      <c r="N2455" s="12">
        <v>0.1</v>
      </c>
      <c r="O2455" s="8">
        <v>10290</v>
      </c>
      <c r="P2455" s="8">
        <f t="shared" si="249"/>
        <v>9261</v>
      </c>
      <c r="Q2455" s="12">
        <f t="shared" si="250"/>
        <v>19448.100000000002</v>
      </c>
      <c r="R2455" s="31">
        <f t="shared" si="251"/>
        <v>19400</v>
      </c>
    </row>
    <row r="2456" spans="1:18" ht="21.95" customHeight="1" x14ac:dyDescent="0.2">
      <c r="A2456" s="6" t="s">
        <v>943</v>
      </c>
      <c r="B2456" s="6" t="s">
        <v>1596</v>
      </c>
      <c r="C2456" s="6" t="s">
        <v>997</v>
      </c>
      <c r="D2456" s="6" t="s">
        <v>953</v>
      </c>
      <c r="E2456" s="6"/>
      <c r="G2456" s="6">
        <v>150</v>
      </c>
      <c r="H2456" s="6">
        <v>200</v>
      </c>
      <c r="K2456" s="7">
        <v>44006627</v>
      </c>
      <c r="L2456" s="6" t="str">
        <f t="shared" si="248"/>
        <v>YT FİRUZE+ YATAK 150x200</v>
      </c>
      <c r="M2456" s="12">
        <v>0.1</v>
      </c>
      <c r="N2456" s="12">
        <v>0.1</v>
      </c>
      <c r="O2456" s="8">
        <v>7900</v>
      </c>
      <c r="P2456" s="8">
        <f t="shared" si="249"/>
        <v>7110</v>
      </c>
      <c r="Q2456" s="12">
        <f t="shared" si="250"/>
        <v>14931</v>
      </c>
      <c r="R2456" s="31">
        <f t="shared" si="251"/>
        <v>14900</v>
      </c>
    </row>
    <row r="2457" spans="1:18" ht="21.95" customHeight="1" x14ac:dyDescent="0.2">
      <c r="A2457" s="6" t="s">
        <v>943</v>
      </c>
      <c r="B2457" s="6" t="s">
        <v>1596</v>
      </c>
      <c r="C2457" s="6" t="s">
        <v>997</v>
      </c>
      <c r="D2457" s="6" t="s">
        <v>953</v>
      </c>
      <c r="E2457" s="6"/>
      <c r="G2457" s="6">
        <v>160</v>
      </c>
      <c r="H2457" s="6">
        <v>200</v>
      </c>
      <c r="K2457" s="7">
        <v>44006628</v>
      </c>
      <c r="L2457" s="6" t="str">
        <f t="shared" si="248"/>
        <v>YT FİRUZE+ YATAK 160x200</v>
      </c>
      <c r="M2457" s="12">
        <v>0.1</v>
      </c>
      <c r="N2457" s="12">
        <v>0.1</v>
      </c>
      <c r="O2457" s="8">
        <v>8170</v>
      </c>
      <c r="P2457" s="8">
        <f t="shared" si="249"/>
        <v>7353</v>
      </c>
      <c r="Q2457" s="12">
        <f t="shared" si="250"/>
        <v>15441.300000000001</v>
      </c>
      <c r="R2457" s="31">
        <f t="shared" si="251"/>
        <v>15400</v>
      </c>
    </row>
    <row r="2458" spans="1:18" ht="21.95" customHeight="1" x14ac:dyDescent="0.2">
      <c r="A2458" s="6" t="s">
        <v>943</v>
      </c>
      <c r="B2458" s="6" t="s">
        <v>1596</v>
      </c>
      <c r="C2458" s="6" t="s">
        <v>997</v>
      </c>
      <c r="D2458" s="6" t="s">
        <v>953</v>
      </c>
      <c r="E2458" s="6"/>
      <c r="G2458" s="6">
        <v>180</v>
      </c>
      <c r="H2458" s="6">
        <v>200</v>
      </c>
      <c r="K2458" s="7">
        <v>44006629</v>
      </c>
      <c r="L2458" s="6" t="str">
        <f t="shared" si="248"/>
        <v>YT FİRUZE+ YATAK 180x200</v>
      </c>
      <c r="M2458" s="12">
        <v>0.1</v>
      </c>
      <c r="N2458" s="12">
        <v>0.1</v>
      </c>
      <c r="O2458" s="8">
        <v>9320</v>
      </c>
      <c r="P2458" s="8">
        <f t="shared" si="249"/>
        <v>8388</v>
      </c>
      <c r="Q2458" s="12">
        <f t="shared" si="250"/>
        <v>17614.8</v>
      </c>
      <c r="R2458" s="31">
        <f t="shared" si="251"/>
        <v>17600</v>
      </c>
    </row>
    <row r="2459" spans="1:18" ht="21.95" customHeight="1" x14ac:dyDescent="0.2">
      <c r="A2459" s="6" t="s">
        <v>943</v>
      </c>
      <c r="B2459" s="6" t="s">
        <v>1596</v>
      </c>
      <c r="C2459" s="6" t="s">
        <v>997</v>
      </c>
      <c r="D2459" s="6" t="s">
        <v>953</v>
      </c>
      <c r="E2459" s="6"/>
      <c r="G2459" s="6">
        <v>200</v>
      </c>
      <c r="H2459" s="6">
        <v>200</v>
      </c>
      <c r="K2459" s="7">
        <v>44006630</v>
      </c>
      <c r="L2459" s="6" t="str">
        <f t="shared" si="248"/>
        <v>YT FİRUZE+ YATAK 200x200</v>
      </c>
      <c r="M2459" s="12">
        <v>0.1</v>
      </c>
      <c r="N2459" s="12">
        <v>0.1</v>
      </c>
      <c r="O2459" s="8">
        <v>10380</v>
      </c>
      <c r="P2459" s="8">
        <f t="shared" si="249"/>
        <v>9342</v>
      </c>
      <c r="Q2459" s="12">
        <f t="shared" si="250"/>
        <v>19618.2</v>
      </c>
      <c r="R2459" s="31">
        <f t="shared" si="251"/>
        <v>19600</v>
      </c>
    </row>
    <row r="2460" spans="1:18" ht="21.95" customHeight="1" x14ac:dyDescent="0.2">
      <c r="A2460" s="6" t="s">
        <v>943</v>
      </c>
      <c r="B2460" s="6" t="s">
        <v>1596</v>
      </c>
      <c r="C2460" s="6" t="s">
        <v>998</v>
      </c>
      <c r="D2460" s="6" t="s">
        <v>945</v>
      </c>
      <c r="E2460" s="6"/>
      <c r="G2460" s="6">
        <v>150</v>
      </c>
      <c r="H2460" s="6">
        <v>200</v>
      </c>
      <c r="K2460" s="7">
        <v>44006631</v>
      </c>
      <c r="L2460" s="6" t="str">
        <f t="shared" si="248"/>
        <v>YT VİOLA  BAZA 150x200</v>
      </c>
      <c r="M2460" s="12">
        <v>0.1</v>
      </c>
      <c r="N2460" s="12">
        <v>0.1</v>
      </c>
      <c r="O2460" s="8">
        <v>10340</v>
      </c>
      <c r="P2460" s="8">
        <f t="shared" si="249"/>
        <v>9306</v>
      </c>
      <c r="Q2460" s="12">
        <f t="shared" si="250"/>
        <v>19542.600000000002</v>
      </c>
      <c r="R2460" s="31">
        <f t="shared" si="251"/>
        <v>19500</v>
      </c>
    </row>
    <row r="2461" spans="1:18" ht="21.95" customHeight="1" x14ac:dyDescent="0.2">
      <c r="A2461" s="6" t="s">
        <v>943</v>
      </c>
      <c r="B2461" s="6" t="s">
        <v>1596</v>
      </c>
      <c r="C2461" s="6" t="s">
        <v>998</v>
      </c>
      <c r="D2461" s="6" t="s">
        <v>945</v>
      </c>
      <c r="E2461" s="6"/>
      <c r="G2461" s="6">
        <v>160</v>
      </c>
      <c r="H2461" s="6">
        <v>200</v>
      </c>
      <c r="K2461" s="7">
        <v>44006632</v>
      </c>
      <c r="L2461" s="6" t="str">
        <f t="shared" si="248"/>
        <v>YT VİOLA  BAZA 160x200</v>
      </c>
      <c r="M2461" s="12">
        <v>0.1</v>
      </c>
      <c r="N2461" s="12">
        <v>0.1</v>
      </c>
      <c r="O2461" s="8">
        <v>10760</v>
      </c>
      <c r="P2461" s="8">
        <f t="shared" si="249"/>
        <v>9684</v>
      </c>
      <c r="Q2461" s="12">
        <f t="shared" si="250"/>
        <v>20336.400000000001</v>
      </c>
      <c r="R2461" s="31">
        <f t="shared" si="251"/>
        <v>20300</v>
      </c>
    </row>
    <row r="2462" spans="1:18" ht="21.95" customHeight="1" x14ac:dyDescent="0.2">
      <c r="A2462" s="6" t="s">
        <v>943</v>
      </c>
      <c r="B2462" s="6" t="s">
        <v>1596</v>
      </c>
      <c r="C2462" s="6" t="s">
        <v>998</v>
      </c>
      <c r="D2462" s="6" t="s">
        <v>945</v>
      </c>
      <c r="E2462" s="6"/>
      <c r="G2462" s="6">
        <v>180</v>
      </c>
      <c r="H2462" s="6">
        <v>200</v>
      </c>
      <c r="K2462" s="7">
        <v>44006633</v>
      </c>
      <c r="L2462" s="6" t="str">
        <f t="shared" si="248"/>
        <v>YT VİOLA  BAZA 180x200</v>
      </c>
      <c r="M2462" s="12">
        <v>0.1</v>
      </c>
      <c r="N2462" s="12">
        <v>0.1</v>
      </c>
      <c r="O2462" s="8">
        <v>11610</v>
      </c>
      <c r="P2462" s="8">
        <f t="shared" si="249"/>
        <v>10449</v>
      </c>
      <c r="Q2462" s="12">
        <f t="shared" si="250"/>
        <v>21942.9</v>
      </c>
      <c r="R2462" s="31">
        <f t="shared" si="251"/>
        <v>21900</v>
      </c>
    </row>
    <row r="2463" spans="1:18" ht="21.95" customHeight="1" x14ac:dyDescent="0.2">
      <c r="A2463" s="6" t="s">
        <v>943</v>
      </c>
      <c r="B2463" s="6" t="s">
        <v>1596</v>
      </c>
      <c r="C2463" s="6" t="s">
        <v>998</v>
      </c>
      <c r="D2463" s="6" t="s">
        <v>945</v>
      </c>
      <c r="E2463" s="6"/>
      <c r="G2463" s="6">
        <v>200</v>
      </c>
      <c r="H2463" s="6">
        <v>200</v>
      </c>
      <c r="K2463" s="7">
        <v>44006634</v>
      </c>
      <c r="L2463" s="6" t="str">
        <f t="shared" si="248"/>
        <v>YT VİOLA  BAZA 200x200</v>
      </c>
      <c r="M2463" s="12">
        <v>0.1</v>
      </c>
      <c r="N2463" s="12">
        <v>0.1</v>
      </c>
      <c r="O2463" s="8">
        <v>12470</v>
      </c>
      <c r="P2463" s="8">
        <f t="shared" si="249"/>
        <v>11223</v>
      </c>
      <c r="Q2463" s="12">
        <f t="shared" si="250"/>
        <v>23568.3</v>
      </c>
      <c r="R2463" s="31">
        <f t="shared" si="251"/>
        <v>23500</v>
      </c>
    </row>
    <row r="2464" spans="1:18" ht="21.95" customHeight="1" x14ac:dyDescent="0.2">
      <c r="A2464" s="6" t="s">
        <v>943</v>
      </c>
      <c r="B2464" s="6" t="s">
        <v>1596</v>
      </c>
      <c r="C2464" s="6" t="s">
        <v>998</v>
      </c>
      <c r="D2464" s="6" t="s">
        <v>950</v>
      </c>
      <c r="E2464" s="6"/>
      <c r="G2464" s="6">
        <v>150</v>
      </c>
      <c r="H2464" s="6">
        <v>200</v>
      </c>
      <c r="K2464" s="7">
        <v>44006635</v>
      </c>
      <c r="L2464" s="6" t="str">
        <f t="shared" ref="L2464:L2493" si="252">B2464&amp;" "&amp;C2464&amp;" "&amp;D2464&amp;" "&amp;G2464&amp;"x"&amp;H2464</f>
        <v>YT VİOLA  BAŞLIK 150x200</v>
      </c>
      <c r="M2464" s="12">
        <v>0.1</v>
      </c>
      <c r="N2464" s="12">
        <v>0.1</v>
      </c>
      <c r="O2464" s="8">
        <v>6660</v>
      </c>
      <c r="P2464" s="8">
        <f t="shared" si="249"/>
        <v>5994</v>
      </c>
      <c r="Q2464" s="12">
        <f t="shared" si="250"/>
        <v>12587.4</v>
      </c>
      <c r="R2464" s="31">
        <f t="shared" si="251"/>
        <v>12500</v>
      </c>
    </row>
    <row r="2465" spans="1:18" ht="21.95" customHeight="1" x14ac:dyDescent="0.2">
      <c r="A2465" s="6" t="s">
        <v>943</v>
      </c>
      <c r="B2465" s="6" t="s">
        <v>1596</v>
      </c>
      <c r="C2465" s="6" t="s">
        <v>998</v>
      </c>
      <c r="D2465" s="6" t="s">
        <v>950</v>
      </c>
      <c r="E2465" s="6"/>
      <c r="G2465" s="6">
        <v>160</v>
      </c>
      <c r="H2465" s="6">
        <v>200</v>
      </c>
      <c r="K2465" s="7">
        <v>44006636</v>
      </c>
      <c r="L2465" s="6" t="str">
        <f t="shared" si="252"/>
        <v>YT VİOLA  BAŞLIK 160x200</v>
      </c>
      <c r="M2465" s="12">
        <v>0.1</v>
      </c>
      <c r="N2465" s="12">
        <v>0.1</v>
      </c>
      <c r="O2465" s="8">
        <v>6900</v>
      </c>
      <c r="P2465" s="8">
        <f t="shared" si="249"/>
        <v>6210</v>
      </c>
      <c r="Q2465" s="12">
        <f t="shared" si="250"/>
        <v>13041</v>
      </c>
      <c r="R2465" s="31">
        <f t="shared" si="251"/>
        <v>13000</v>
      </c>
    </row>
    <row r="2466" spans="1:18" ht="21.95" customHeight="1" x14ac:dyDescent="0.2">
      <c r="A2466" s="6" t="s">
        <v>943</v>
      </c>
      <c r="B2466" s="6" t="s">
        <v>1596</v>
      </c>
      <c r="C2466" s="6" t="s">
        <v>998</v>
      </c>
      <c r="D2466" s="6" t="s">
        <v>950</v>
      </c>
      <c r="E2466" s="6"/>
      <c r="G2466" s="6">
        <v>180</v>
      </c>
      <c r="H2466" s="6">
        <v>200</v>
      </c>
      <c r="K2466" s="7">
        <v>44006637</v>
      </c>
      <c r="L2466" s="6" t="str">
        <f t="shared" si="252"/>
        <v>YT VİOLA  BAŞLIK 180x200</v>
      </c>
      <c r="M2466" s="12">
        <v>0.1</v>
      </c>
      <c r="N2466" s="12">
        <v>0.1</v>
      </c>
      <c r="O2466" s="8">
        <v>8130</v>
      </c>
      <c r="P2466" s="8">
        <f t="shared" si="249"/>
        <v>7317</v>
      </c>
      <c r="Q2466" s="12">
        <f t="shared" si="250"/>
        <v>15365.7</v>
      </c>
      <c r="R2466" s="31">
        <f t="shared" si="251"/>
        <v>15300</v>
      </c>
    </row>
    <row r="2467" spans="1:18" ht="21.95" customHeight="1" x14ac:dyDescent="0.2">
      <c r="A2467" s="6" t="s">
        <v>943</v>
      </c>
      <c r="B2467" s="6" t="s">
        <v>1596</v>
      </c>
      <c r="C2467" s="6" t="s">
        <v>998</v>
      </c>
      <c r="D2467" s="6" t="s">
        <v>950</v>
      </c>
      <c r="E2467" s="6"/>
      <c r="G2467" s="6">
        <v>200</v>
      </c>
      <c r="H2467" s="6">
        <v>200</v>
      </c>
      <c r="K2467" s="7">
        <v>44006638</v>
      </c>
      <c r="L2467" s="6" t="str">
        <f t="shared" si="252"/>
        <v>YT VİOLA  BAŞLIK 200x200</v>
      </c>
      <c r="M2467" s="12">
        <v>0.1</v>
      </c>
      <c r="N2467" s="12">
        <v>0.1</v>
      </c>
      <c r="O2467" s="8">
        <v>9020</v>
      </c>
      <c r="P2467" s="8">
        <f t="shared" si="249"/>
        <v>8118</v>
      </c>
      <c r="Q2467" s="12">
        <f t="shared" si="250"/>
        <v>17047.8</v>
      </c>
      <c r="R2467" s="31">
        <f t="shared" si="251"/>
        <v>17000</v>
      </c>
    </row>
    <row r="2468" spans="1:18" ht="21.95" customHeight="1" x14ac:dyDescent="0.2">
      <c r="A2468" s="6" t="s">
        <v>943</v>
      </c>
      <c r="B2468" s="6" t="s">
        <v>1596</v>
      </c>
      <c r="C2468" s="6" t="s">
        <v>998</v>
      </c>
      <c r="D2468" s="6" t="s">
        <v>959</v>
      </c>
      <c r="E2468" s="6"/>
      <c r="G2468" s="6">
        <v>45</v>
      </c>
      <c r="H2468" s="6">
        <v>52</v>
      </c>
      <c r="I2468" s="7">
        <v>48</v>
      </c>
      <c r="K2468" s="7">
        <v>44006639</v>
      </c>
      <c r="L2468" s="6" t="str">
        <f t="shared" si="252"/>
        <v>YT VİOLA  KOMİDİN  45x52</v>
      </c>
      <c r="M2468" s="12">
        <v>0.1</v>
      </c>
      <c r="N2468" s="12">
        <v>0.1</v>
      </c>
      <c r="O2468" s="8">
        <v>5080</v>
      </c>
      <c r="P2468" s="8">
        <f t="shared" si="249"/>
        <v>4572</v>
      </c>
      <c r="Q2468" s="12">
        <f t="shared" si="250"/>
        <v>9601.2000000000007</v>
      </c>
      <c r="R2468" s="31">
        <f t="shared" si="251"/>
        <v>9600</v>
      </c>
    </row>
    <row r="2469" spans="1:18" ht="21.95" customHeight="1" x14ac:dyDescent="0.2">
      <c r="A2469" s="6" t="s">
        <v>943</v>
      </c>
      <c r="B2469" s="6" t="s">
        <v>1596</v>
      </c>
      <c r="C2469" s="6" t="s">
        <v>998</v>
      </c>
      <c r="D2469" s="6" t="s">
        <v>951</v>
      </c>
      <c r="E2469" s="6"/>
      <c r="G2469" s="6">
        <v>47</v>
      </c>
      <c r="H2469" s="6">
        <v>98</v>
      </c>
      <c r="I2469" s="7">
        <v>48</v>
      </c>
      <c r="K2469" s="7">
        <v>44006640</v>
      </c>
      <c r="L2469" s="6" t="str">
        <f t="shared" si="252"/>
        <v>YT VİOLA  MARKİZ 47x98</v>
      </c>
      <c r="M2469" s="12">
        <v>0.1</v>
      </c>
      <c r="N2469" s="12">
        <v>0.1</v>
      </c>
      <c r="O2469" s="8">
        <v>7430</v>
      </c>
      <c r="P2469" s="8">
        <f t="shared" si="249"/>
        <v>6687</v>
      </c>
      <c r="Q2469" s="12">
        <f t="shared" si="250"/>
        <v>14042.7</v>
      </c>
      <c r="R2469" s="31">
        <f t="shared" si="251"/>
        <v>14000</v>
      </c>
    </row>
    <row r="2470" spans="1:18" ht="21.95" customHeight="1" x14ac:dyDescent="0.2">
      <c r="A2470" s="6" t="s">
        <v>943</v>
      </c>
      <c r="B2470" s="6" t="s">
        <v>1596</v>
      </c>
      <c r="C2470" s="6" t="s">
        <v>486</v>
      </c>
      <c r="D2470" s="6" t="s">
        <v>953</v>
      </c>
      <c r="E2470" s="6"/>
      <c r="G2470" s="6">
        <v>150</v>
      </c>
      <c r="H2470" s="6">
        <v>200</v>
      </c>
      <c r="K2470" s="7">
        <v>44006641</v>
      </c>
      <c r="L2470" s="6" t="str">
        <f t="shared" si="252"/>
        <v>YT NOVA YATAK 150x200</v>
      </c>
      <c r="M2470" s="12">
        <v>0.1</v>
      </c>
      <c r="N2470" s="12">
        <v>0.1</v>
      </c>
      <c r="O2470" s="8">
        <v>8920</v>
      </c>
      <c r="P2470" s="8">
        <f t="shared" si="249"/>
        <v>8028</v>
      </c>
      <c r="Q2470" s="12">
        <f t="shared" si="250"/>
        <v>16858.8</v>
      </c>
      <c r="R2470" s="31">
        <f t="shared" si="251"/>
        <v>16800</v>
      </c>
    </row>
    <row r="2471" spans="1:18" ht="21.95" customHeight="1" x14ac:dyDescent="0.2">
      <c r="A2471" s="6" t="s">
        <v>943</v>
      </c>
      <c r="B2471" s="6" t="s">
        <v>1596</v>
      </c>
      <c r="C2471" s="6" t="s">
        <v>486</v>
      </c>
      <c r="D2471" s="6" t="s">
        <v>953</v>
      </c>
      <c r="E2471" s="6"/>
      <c r="G2471" s="6">
        <v>160</v>
      </c>
      <c r="H2471" s="6">
        <v>200</v>
      </c>
      <c r="K2471" s="7">
        <v>44006642</v>
      </c>
      <c r="L2471" s="6" t="str">
        <f t="shared" si="252"/>
        <v>YT NOVA YATAK 160x200</v>
      </c>
      <c r="M2471" s="12">
        <v>0.1</v>
      </c>
      <c r="N2471" s="12">
        <v>0.1</v>
      </c>
      <c r="O2471" s="8">
        <v>9540</v>
      </c>
      <c r="P2471" s="8">
        <f t="shared" si="249"/>
        <v>8586</v>
      </c>
      <c r="Q2471" s="12">
        <f t="shared" si="250"/>
        <v>18030.600000000002</v>
      </c>
      <c r="R2471" s="31">
        <f t="shared" si="251"/>
        <v>18000</v>
      </c>
    </row>
    <row r="2472" spans="1:18" ht="21.95" customHeight="1" x14ac:dyDescent="0.2">
      <c r="A2472" s="6" t="s">
        <v>943</v>
      </c>
      <c r="B2472" s="6" t="s">
        <v>1596</v>
      </c>
      <c r="C2472" s="6" t="s">
        <v>486</v>
      </c>
      <c r="D2472" s="6" t="s">
        <v>953</v>
      </c>
      <c r="E2472" s="6"/>
      <c r="G2472" s="6">
        <v>180</v>
      </c>
      <c r="H2472" s="6">
        <v>200</v>
      </c>
      <c r="K2472" s="7">
        <v>44006643</v>
      </c>
      <c r="L2472" s="6" t="str">
        <f t="shared" si="252"/>
        <v>YT NOVA YATAK 180x200</v>
      </c>
      <c r="M2472" s="12">
        <v>0.1</v>
      </c>
      <c r="N2472" s="12">
        <v>0.1</v>
      </c>
      <c r="O2472" s="8">
        <v>10700</v>
      </c>
      <c r="P2472" s="8">
        <f t="shared" si="249"/>
        <v>9630</v>
      </c>
      <c r="Q2472" s="12">
        <f t="shared" si="250"/>
        <v>20223</v>
      </c>
      <c r="R2472" s="31">
        <f t="shared" si="251"/>
        <v>20200</v>
      </c>
    </row>
    <row r="2473" spans="1:18" ht="21.95" customHeight="1" x14ac:dyDescent="0.2">
      <c r="A2473" s="6" t="s">
        <v>943</v>
      </c>
      <c r="B2473" s="6" t="s">
        <v>1596</v>
      </c>
      <c r="C2473" s="6" t="s">
        <v>486</v>
      </c>
      <c r="D2473" s="6" t="s">
        <v>953</v>
      </c>
      <c r="E2473" s="6"/>
      <c r="G2473" s="6">
        <v>200</v>
      </c>
      <c r="H2473" s="6">
        <v>200</v>
      </c>
      <c r="K2473" s="7">
        <v>44006644</v>
      </c>
      <c r="L2473" s="6" t="str">
        <f t="shared" si="252"/>
        <v>YT NOVA YATAK 200x200</v>
      </c>
      <c r="M2473" s="12">
        <v>0.1</v>
      </c>
      <c r="N2473" s="12">
        <v>0.1</v>
      </c>
      <c r="O2473" s="8">
        <v>11900</v>
      </c>
      <c r="P2473" s="8">
        <f t="shared" si="249"/>
        <v>10710</v>
      </c>
      <c r="Q2473" s="12">
        <f t="shared" si="250"/>
        <v>22491</v>
      </c>
      <c r="R2473" s="31">
        <f t="shared" si="251"/>
        <v>22400</v>
      </c>
    </row>
    <row r="2474" spans="1:18" ht="21.95" customHeight="1" x14ac:dyDescent="0.2">
      <c r="A2474" s="6" t="s">
        <v>943</v>
      </c>
      <c r="B2474" s="6" t="s">
        <v>1596</v>
      </c>
      <c r="C2474" s="6" t="s">
        <v>999</v>
      </c>
      <c r="D2474" s="6" t="s">
        <v>945</v>
      </c>
      <c r="E2474" s="6"/>
      <c r="G2474" s="6">
        <v>150</v>
      </c>
      <c r="H2474" s="6">
        <v>200</v>
      </c>
      <c r="K2474" s="7">
        <v>44006645</v>
      </c>
      <c r="L2474" s="6" t="str">
        <f t="shared" si="252"/>
        <v>YT PRİZMA BAZA 150x200</v>
      </c>
      <c r="M2474" s="12">
        <v>0.1</v>
      </c>
      <c r="N2474" s="12">
        <v>0.1</v>
      </c>
      <c r="O2474" s="8">
        <v>8850</v>
      </c>
      <c r="P2474" s="8">
        <f t="shared" si="249"/>
        <v>7965</v>
      </c>
      <c r="Q2474" s="12">
        <f t="shared" si="250"/>
        <v>16726.5</v>
      </c>
      <c r="R2474" s="31">
        <f t="shared" si="251"/>
        <v>16700</v>
      </c>
    </row>
    <row r="2475" spans="1:18" ht="21.95" customHeight="1" x14ac:dyDescent="0.2">
      <c r="A2475" s="6" t="s">
        <v>943</v>
      </c>
      <c r="B2475" s="6" t="s">
        <v>1596</v>
      </c>
      <c r="C2475" s="6" t="s">
        <v>999</v>
      </c>
      <c r="D2475" s="6" t="s">
        <v>945</v>
      </c>
      <c r="E2475" s="6"/>
      <c r="G2475" s="6">
        <v>160</v>
      </c>
      <c r="H2475" s="6">
        <v>200</v>
      </c>
      <c r="K2475" s="7">
        <v>44006646</v>
      </c>
      <c r="L2475" s="6" t="str">
        <f t="shared" si="252"/>
        <v>YT PRİZMA BAZA 160x200</v>
      </c>
      <c r="M2475" s="12">
        <v>0.1</v>
      </c>
      <c r="N2475" s="12">
        <v>0.1</v>
      </c>
      <c r="O2475" s="8">
        <v>9210</v>
      </c>
      <c r="P2475" s="8">
        <f t="shared" si="249"/>
        <v>8289</v>
      </c>
      <c r="Q2475" s="12">
        <f t="shared" si="250"/>
        <v>17406.900000000001</v>
      </c>
      <c r="R2475" s="31">
        <f t="shared" si="251"/>
        <v>17400</v>
      </c>
    </row>
    <row r="2476" spans="1:18" ht="21.95" customHeight="1" x14ac:dyDescent="0.2">
      <c r="A2476" s="6" t="s">
        <v>943</v>
      </c>
      <c r="B2476" s="6" t="s">
        <v>1596</v>
      </c>
      <c r="C2476" s="6" t="s">
        <v>999</v>
      </c>
      <c r="D2476" s="6" t="s">
        <v>945</v>
      </c>
      <c r="E2476" s="6"/>
      <c r="G2476" s="6">
        <v>180</v>
      </c>
      <c r="H2476" s="6">
        <v>200</v>
      </c>
      <c r="K2476" s="7">
        <v>44006647</v>
      </c>
      <c r="L2476" s="6" t="str">
        <f t="shared" si="252"/>
        <v>YT PRİZMA BAZA 180x200</v>
      </c>
      <c r="M2476" s="12">
        <v>0.1</v>
      </c>
      <c r="N2476" s="12">
        <v>0.1</v>
      </c>
      <c r="O2476" s="8">
        <v>9940</v>
      </c>
      <c r="P2476" s="8">
        <f t="shared" si="249"/>
        <v>8946</v>
      </c>
      <c r="Q2476" s="12">
        <f t="shared" si="250"/>
        <v>18786.600000000002</v>
      </c>
      <c r="R2476" s="31">
        <f t="shared" si="251"/>
        <v>18700</v>
      </c>
    </row>
    <row r="2477" spans="1:18" ht="21.95" customHeight="1" x14ac:dyDescent="0.2">
      <c r="A2477" s="6" t="s">
        <v>943</v>
      </c>
      <c r="B2477" s="6" t="s">
        <v>1596</v>
      </c>
      <c r="C2477" s="6" t="s">
        <v>999</v>
      </c>
      <c r="D2477" s="6" t="s">
        <v>945</v>
      </c>
      <c r="E2477" s="6"/>
      <c r="G2477" s="6">
        <v>200</v>
      </c>
      <c r="H2477" s="6">
        <v>200</v>
      </c>
      <c r="K2477" s="7">
        <v>44006648</v>
      </c>
      <c r="L2477" s="6" t="str">
        <f t="shared" si="252"/>
        <v>YT PRİZMA BAZA 200x200</v>
      </c>
      <c r="M2477" s="12">
        <v>0.1</v>
      </c>
      <c r="N2477" s="12">
        <v>0.1</v>
      </c>
      <c r="O2477" s="8">
        <v>10670</v>
      </c>
      <c r="P2477" s="8">
        <f t="shared" si="249"/>
        <v>9603</v>
      </c>
      <c r="Q2477" s="12">
        <f t="shared" si="250"/>
        <v>20166.3</v>
      </c>
      <c r="R2477" s="31">
        <f t="shared" si="251"/>
        <v>20100</v>
      </c>
    </row>
    <row r="2478" spans="1:18" ht="21.95" customHeight="1" x14ac:dyDescent="0.2">
      <c r="A2478" s="6" t="s">
        <v>943</v>
      </c>
      <c r="B2478" s="6" t="s">
        <v>1596</v>
      </c>
      <c r="C2478" s="6" t="s">
        <v>999</v>
      </c>
      <c r="D2478" s="6" t="s">
        <v>950</v>
      </c>
      <c r="E2478" s="6"/>
      <c r="G2478" s="6">
        <v>150</v>
      </c>
      <c r="H2478" s="6">
        <v>200</v>
      </c>
      <c r="K2478" s="7">
        <v>44006649</v>
      </c>
      <c r="L2478" s="6" t="str">
        <f t="shared" si="252"/>
        <v>YT PRİZMA BAŞLIK 150x200</v>
      </c>
      <c r="M2478" s="12">
        <v>0.1</v>
      </c>
      <c r="N2478" s="12">
        <v>0.1</v>
      </c>
      <c r="O2478" s="8">
        <v>5070</v>
      </c>
      <c r="P2478" s="8">
        <f t="shared" si="249"/>
        <v>4563</v>
      </c>
      <c r="Q2478" s="12">
        <f t="shared" si="250"/>
        <v>9582.3000000000011</v>
      </c>
      <c r="R2478" s="31">
        <f t="shared" si="251"/>
        <v>9500</v>
      </c>
    </row>
    <row r="2479" spans="1:18" ht="21.95" customHeight="1" x14ac:dyDescent="0.2">
      <c r="A2479" s="6" t="s">
        <v>943</v>
      </c>
      <c r="B2479" s="6" t="s">
        <v>1596</v>
      </c>
      <c r="C2479" s="6" t="s">
        <v>999</v>
      </c>
      <c r="D2479" s="6" t="s">
        <v>950</v>
      </c>
      <c r="E2479" s="6"/>
      <c r="G2479" s="6">
        <v>160</v>
      </c>
      <c r="H2479" s="6">
        <v>200</v>
      </c>
      <c r="K2479" s="7">
        <v>44006650</v>
      </c>
      <c r="L2479" s="6" t="str">
        <f t="shared" si="252"/>
        <v>YT PRİZMA BAŞLIK 160x200</v>
      </c>
      <c r="M2479" s="12">
        <v>0.1</v>
      </c>
      <c r="N2479" s="12">
        <v>0.1</v>
      </c>
      <c r="O2479" s="8">
        <v>5290</v>
      </c>
      <c r="P2479" s="8">
        <f t="shared" si="249"/>
        <v>4761</v>
      </c>
      <c r="Q2479" s="12">
        <f t="shared" si="250"/>
        <v>9998.1</v>
      </c>
      <c r="R2479" s="31">
        <f t="shared" si="251"/>
        <v>9900</v>
      </c>
    </row>
    <row r="2480" spans="1:18" ht="21.95" customHeight="1" x14ac:dyDescent="0.2">
      <c r="A2480" s="6" t="s">
        <v>943</v>
      </c>
      <c r="B2480" s="6" t="s">
        <v>1596</v>
      </c>
      <c r="C2480" s="6" t="s">
        <v>999</v>
      </c>
      <c r="D2480" s="6" t="s">
        <v>950</v>
      </c>
      <c r="E2480" s="6"/>
      <c r="G2480" s="6">
        <v>180</v>
      </c>
      <c r="H2480" s="6">
        <v>200</v>
      </c>
      <c r="K2480" s="7">
        <v>44006651</v>
      </c>
      <c r="L2480" s="6" t="str">
        <f t="shared" si="252"/>
        <v>YT PRİZMA BAŞLIK 180x200</v>
      </c>
      <c r="M2480" s="12">
        <v>0.1</v>
      </c>
      <c r="N2480" s="12">
        <v>0.1</v>
      </c>
      <c r="O2480" s="8">
        <v>5710</v>
      </c>
      <c r="P2480" s="8">
        <f t="shared" si="249"/>
        <v>5139</v>
      </c>
      <c r="Q2480" s="12">
        <f t="shared" si="250"/>
        <v>10791.9</v>
      </c>
      <c r="R2480" s="31">
        <f t="shared" si="251"/>
        <v>10700</v>
      </c>
    </row>
    <row r="2481" spans="1:18" ht="21.95" customHeight="1" x14ac:dyDescent="0.2">
      <c r="A2481" s="6" t="s">
        <v>943</v>
      </c>
      <c r="B2481" s="6" t="s">
        <v>1596</v>
      </c>
      <c r="C2481" s="6" t="s">
        <v>999</v>
      </c>
      <c r="D2481" s="6" t="s">
        <v>950</v>
      </c>
      <c r="E2481" s="6"/>
      <c r="G2481" s="6">
        <v>200</v>
      </c>
      <c r="H2481" s="6">
        <v>200</v>
      </c>
      <c r="K2481" s="7">
        <v>44006652</v>
      </c>
      <c r="L2481" s="6" t="str">
        <f t="shared" si="252"/>
        <v>YT PRİZMA BAŞLIK 200x200</v>
      </c>
      <c r="M2481" s="12">
        <v>0.1</v>
      </c>
      <c r="N2481" s="12">
        <v>0.1</v>
      </c>
      <c r="O2481" s="8">
        <v>6180</v>
      </c>
      <c r="P2481" s="8">
        <f t="shared" si="249"/>
        <v>5562</v>
      </c>
      <c r="Q2481" s="12">
        <f t="shared" si="250"/>
        <v>11680.2</v>
      </c>
      <c r="R2481" s="31">
        <f t="shared" si="251"/>
        <v>11600</v>
      </c>
    </row>
    <row r="2482" spans="1:18" ht="21.95" customHeight="1" x14ac:dyDescent="0.2">
      <c r="A2482" s="6" t="s">
        <v>943</v>
      </c>
      <c r="B2482" s="6" t="s">
        <v>1596</v>
      </c>
      <c r="C2482" s="6" t="s">
        <v>999</v>
      </c>
      <c r="D2482" s="6" t="s">
        <v>948</v>
      </c>
      <c r="E2482" s="6"/>
      <c r="G2482" s="6">
        <v>45</v>
      </c>
      <c r="H2482" s="6">
        <v>56</v>
      </c>
      <c r="I2482" s="7">
        <v>56</v>
      </c>
      <c r="K2482" s="7">
        <v>44006653</v>
      </c>
      <c r="L2482" s="6" t="str">
        <f t="shared" si="252"/>
        <v>YT PRİZMA KOMİDİN 45x56</v>
      </c>
      <c r="M2482" s="12">
        <v>0.1</v>
      </c>
      <c r="N2482" s="12">
        <v>0.1</v>
      </c>
      <c r="O2482" s="8">
        <v>6310</v>
      </c>
      <c r="P2482" s="8">
        <f t="shared" si="249"/>
        <v>5679</v>
      </c>
      <c r="Q2482" s="12">
        <f t="shared" si="250"/>
        <v>11925.9</v>
      </c>
      <c r="R2482" s="31">
        <f t="shared" si="251"/>
        <v>11900</v>
      </c>
    </row>
    <row r="2483" spans="1:18" ht="21.95" customHeight="1" x14ac:dyDescent="0.2">
      <c r="A2483" s="6" t="s">
        <v>943</v>
      </c>
      <c r="B2483" s="6" t="s">
        <v>1596</v>
      </c>
      <c r="C2483" s="6" t="s">
        <v>999</v>
      </c>
      <c r="D2483" s="6" t="s">
        <v>951</v>
      </c>
      <c r="E2483" s="6"/>
      <c r="G2483" s="6">
        <v>46</v>
      </c>
      <c r="H2483" s="6">
        <v>126</v>
      </c>
      <c r="I2483" s="7">
        <v>48</v>
      </c>
      <c r="K2483" s="7">
        <v>44006654</v>
      </c>
      <c r="L2483" s="6" t="str">
        <f t="shared" si="252"/>
        <v>YT PRİZMA MARKİZ 46x126</v>
      </c>
      <c r="M2483" s="12">
        <v>0.1</v>
      </c>
      <c r="N2483" s="12">
        <v>0.1</v>
      </c>
      <c r="O2483" s="8">
        <v>6280</v>
      </c>
      <c r="P2483" s="8">
        <f t="shared" si="249"/>
        <v>5652</v>
      </c>
      <c r="Q2483" s="12">
        <f t="shared" si="250"/>
        <v>11869.2</v>
      </c>
      <c r="R2483" s="31">
        <f t="shared" si="251"/>
        <v>11800</v>
      </c>
    </row>
    <row r="2484" spans="1:18" ht="21.95" customHeight="1" x14ac:dyDescent="0.2">
      <c r="A2484" s="6" t="s">
        <v>943</v>
      </c>
      <c r="B2484" s="6" t="s">
        <v>1596</v>
      </c>
      <c r="C2484" s="6" t="s">
        <v>999</v>
      </c>
      <c r="D2484" s="6" t="s">
        <v>78</v>
      </c>
      <c r="E2484" s="6"/>
      <c r="G2484" s="6">
        <v>45</v>
      </c>
      <c r="H2484" s="6">
        <v>95</v>
      </c>
      <c r="I2484" s="7">
        <v>89</v>
      </c>
      <c r="K2484" s="7">
        <v>44006655</v>
      </c>
      <c r="L2484" s="6" t="str">
        <f t="shared" si="252"/>
        <v>YT PRİZMA ŞİFONYER 45x95</v>
      </c>
      <c r="M2484" s="12">
        <v>0.1</v>
      </c>
      <c r="N2484" s="12">
        <v>0.1</v>
      </c>
      <c r="O2484" s="8">
        <v>10240</v>
      </c>
      <c r="P2484" s="8">
        <f t="shared" si="249"/>
        <v>9216</v>
      </c>
      <c r="Q2484" s="12">
        <f t="shared" si="250"/>
        <v>19353.600000000002</v>
      </c>
      <c r="R2484" s="31">
        <f t="shared" si="251"/>
        <v>19300</v>
      </c>
    </row>
    <row r="2485" spans="1:18" ht="21.95" customHeight="1" x14ac:dyDescent="0.2">
      <c r="A2485" s="6" t="s">
        <v>943</v>
      </c>
      <c r="B2485" s="6" t="s">
        <v>1596</v>
      </c>
      <c r="C2485" s="6" t="s">
        <v>429</v>
      </c>
      <c r="D2485" s="6" t="s">
        <v>945</v>
      </c>
      <c r="E2485" s="6"/>
      <c r="G2485" s="6">
        <v>150</v>
      </c>
      <c r="H2485" s="6">
        <v>200</v>
      </c>
      <c r="K2485" s="7">
        <v>44006656</v>
      </c>
      <c r="L2485" s="6" t="str">
        <f t="shared" si="252"/>
        <v>YT LİNA BAZA 150x200</v>
      </c>
      <c r="M2485" s="12">
        <v>0.1</v>
      </c>
      <c r="N2485" s="12">
        <v>0.1</v>
      </c>
      <c r="O2485" s="8">
        <v>11140</v>
      </c>
      <c r="P2485" s="8">
        <f t="shared" si="249"/>
        <v>10026</v>
      </c>
      <c r="Q2485" s="12">
        <f t="shared" si="250"/>
        <v>21054.600000000002</v>
      </c>
      <c r="R2485" s="31">
        <f t="shared" si="251"/>
        <v>21000</v>
      </c>
    </row>
    <row r="2486" spans="1:18" ht="21.95" customHeight="1" x14ac:dyDescent="0.2">
      <c r="A2486" s="6" t="s">
        <v>943</v>
      </c>
      <c r="B2486" s="6" t="s">
        <v>1596</v>
      </c>
      <c r="C2486" s="6" t="s">
        <v>429</v>
      </c>
      <c r="D2486" s="6" t="s">
        <v>945</v>
      </c>
      <c r="E2486" s="6"/>
      <c r="G2486" s="6">
        <v>160</v>
      </c>
      <c r="H2486" s="6">
        <v>200</v>
      </c>
      <c r="K2486" s="7">
        <v>44006657</v>
      </c>
      <c r="L2486" s="6" t="str">
        <f t="shared" si="252"/>
        <v>YT LİNA BAZA 160x200</v>
      </c>
      <c r="M2486" s="12">
        <v>0.1</v>
      </c>
      <c r="N2486" s="12">
        <v>0.1</v>
      </c>
      <c r="O2486" s="8">
        <v>11510</v>
      </c>
      <c r="P2486" s="8">
        <f t="shared" si="249"/>
        <v>10359</v>
      </c>
      <c r="Q2486" s="12">
        <f t="shared" si="250"/>
        <v>21753.9</v>
      </c>
      <c r="R2486" s="31">
        <f t="shared" si="251"/>
        <v>21700</v>
      </c>
    </row>
    <row r="2487" spans="1:18" ht="21.95" customHeight="1" x14ac:dyDescent="0.2">
      <c r="A2487" s="6" t="s">
        <v>943</v>
      </c>
      <c r="B2487" s="6" t="s">
        <v>1596</v>
      </c>
      <c r="C2487" s="6" t="s">
        <v>429</v>
      </c>
      <c r="D2487" s="6" t="s">
        <v>945</v>
      </c>
      <c r="E2487" s="6"/>
      <c r="G2487" s="6">
        <v>180</v>
      </c>
      <c r="H2487" s="6">
        <v>200</v>
      </c>
      <c r="K2487" s="7">
        <v>44006658</v>
      </c>
      <c r="L2487" s="6" t="str">
        <f t="shared" si="252"/>
        <v>YT LİNA BAZA 180x200</v>
      </c>
      <c r="M2487" s="12">
        <v>0.1</v>
      </c>
      <c r="N2487" s="12">
        <v>0.1</v>
      </c>
      <c r="O2487" s="8">
        <v>13140</v>
      </c>
      <c r="P2487" s="8">
        <f t="shared" si="249"/>
        <v>11826</v>
      </c>
      <c r="Q2487" s="12">
        <f t="shared" si="250"/>
        <v>24834.600000000002</v>
      </c>
      <c r="R2487" s="31">
        <f t="shared" si="251"/>
        <v>24800</v>
      </c>
    </row>
    <row r="2488" spans="1:18" ht="21.95" customHeight="1" x14ac:dyDescent="0.2">
      <c r="A2488" s="6" t="s">
        <v>943</v>
      </c>
      <c r="B2488" s="6" t="s">
        <v>1596</v>
      </c>
      <c r="C2488" s="6" t="s">
        <v>429</v>
      </c>
      <c r="D2488" s="6" t="s">
        <v>945</v>
      </c>
      <c r="E2488" s="6"/>
      <c r="G2488" s="6">
        <v>200</v>
      </c>
      <c r="H2488" s="6">
        <v>200</v>
      </c>
      <c r="K2488" s="7">
        <v>44006659</v>
      </c>
      <c r="L2488" s="6" t="str">
        <f t="shared" si="252"/>
        <v>YT LİNA BAZA 200x200</v>
      </c>
      <c r="M2488" s="12">
        <v>0.1</v>
      </c>
      <c r="N2488" s="12">
        <v>0.1</v>
      </c>
      <c r="O2488" s="8">
        <v>13920</v>
      </c>
      <c r="P2488" s="8">
        <f t="shared" si="249"/>
        <v>12528</v>
      </c>
      <c r="Q2488" s="12">
        <f t="shared" si="250"/>
        <v>26308.800000000003</v>
      </c>
      <c r="R2488" s="31">
        <f t="shared" si="251"/>
        <v>26300</v>
      </c>
    </row>
    <row r="2489" spans="1:18" ht="21.95" customHeight="1" x14ac:dyDescent="0.2">
      <c r="A2489" s="6" t="s">
        <v>943</v>
      </c>
      <c r="B2489" s="6" t="s">
        <v>1596</v>
      </c>
      <c r="C2489" s="6" t="s">
        <v>429</v>
      </c>
      <c r="D2489" s="6" t="s">
        <v>950</v>
      </c>
      <c r="E2489" s="6"/>
      <c r="G2489" s="6">
        <v>150</v>
      </c>
      <c r="H2489" s="6">
        <v>200</v>
      </c>
      <c r="K2489" s="7">
        <v>44006660</v>
      </c>
      <c r="L2489" s="6" t="str">
        <f t="shared" si="252"/>
        <v>YT LİNA BAŞLIK 150x200</v>
      </c>
      <c r="M2489" s="12">
        <v>0.1</v>
      </c>
      <c r="N2489" s="12">
        <v>0.1</v>
      </c>
      <c r="O2489" s="8">
        <v>6380</v>
      </c>
      <c r="P2489" s="8">
        <f t="shared" si="249"/>
        <v>5742</v>
      </c>
      <c r="Q2489" s="12">
        <f t="shared" si="250"/>
        <v>12058.2</v>
      </c>
      <c r="R2489" s="31">
        <f t="shared" si="251"/>
        <v>12000</v>
      </c>
    </row>
    <row r="2490" spans="1:18" ht="21.95" customHeight="1" x14ac:dyDescent="0.2">
      <c r="A2490" s="6" t="s">
        <v>943</v>
      </c>
      <c r="B2490" s="6" t="s">
        <v>1596</v>
      </c>
      <c r="C2490" s="6" t="s">
        <v>429</v>
      </c>
      <c r="D2490" s="6" t="s">
        <v>950</v>
      </c>
      <c r="E2490" s="6"/>
      <c r="G2490" s="6">
        <v>160</v>
      </c>
      <c r="H2490" s="6">
        <v>200</v>
      </c>
      <c r="K2490" s="7">
        <v>44006661</v>
      </c>
      <c r="L2490" s="6" t="str">
        <f t="shared" si="252"/>
        <v>YT LİNA BAŞLIK 160x200</v>
      </c>
      <c r="M2490" s="12">
        <v>0.1</v>
      </c>
      <c r="N2490" s="12">
        <v>0.1</v>
      </c>
      <c r="O2490" s="8">
        <v>6740</v>
      </c>
      <c r="P2490" s="8">
        <f t="shared" si="249"/>
        <v>6066</v>
      </c>
      <c r="Q2490" s="12">
        <f t="shared" si="250"/>
        <v>12738.6</v>
      </c>
      <c r="R2490" s="31">
        <f t="shared" si="251"/>
        <v>12700</v>
      </c>
    </row>
    <row r="2491" spans="1:18" ht="21.95" customHeight="1" x14ac:dyDescent="0.2">
      <c r="A2491" s="6" t="s">
        <v>943</v>
      </c>
      <c r="B2491" s="6" t="s">
        <v>1596</v>
      </c>
      <c r="C2491" s="6" t="s">
        <v>429</v>
      </c>
      <c r="D2491" s="6" t="s">
        <v>950</v>
      </c>
      <c r="E2491" s="6"/>
      <c r="G2491" s="6">
        <v>180</v>
      </c>
      <c r="H2491" s="6">
        <v>200</v>
      </c>
      <c r="K2491" s="7">
        <v>44006662</v>
      </c>
      <c r="L2491" s="6" t="str">
        <f t="shared" si="252"/>
        <v>YT LİNA BAŞLIK 180x200</v>
      </c>
      <c r="M2491" s="12">
        <v>0.1</v>
      </c>
      <c r="N2491" s="12">
        <v>0.1</v>
      </c>
      <c r="O2491" s="8">
        <v>7550</v>
      </c>
      <c r="P2491" s="8">
        <f t="shared" si="249"/>
        <v>6795</v>
      </c>
      <c r="Q2491" s="12">
        <f t="shared" si="250"/>
        <v>14269.5</v>
      </c>
      <c r="R2491" s="31">
        <f t="shared" si="251"/>
        <v>14200</v>
      </c>
    </row>
    <row r="2492" spans="1:18" ht="21.95" customHeight="1" x14ac:dyDescent="0.2">
      <c r="A2492" s="6" t="s">
        <v>943</v>
      </c>
      <c r="B2492" s="6" t="s">
        <v>1596</v>
      </c>
      <c r="C2492" s="6" t="s">
        <v>429</v>
      </c>
      <c r="D2492" s="6" t="s">
        <v>950</v>
      </c>
      <c r="E2492" s="6"/>
      <c r="G2492" s="6">
        <v>200</v>
      </c>
      <c r="H2492" s="6">
        <v>200</v>
      </c>
      <c r="K2492" s="7">
        <v>44006663</v>
      </c>
      <c r="L2492" s="6" t="str">
        <f t="shared" si="252"/>
        <v>YT LİNA BAŞLIK 200x200</v>
      </c>
      <c r="M2492" s="12">
        <v>0.1</v>
      </c>
      <c r="N2492" s="12">
        <v>0.1</v>
      </c>
      <c r="O2492" s="8">
        <v>8410</v>
      </c>
      <c r="P2492" s="8">
        <f t="shared" si="249"/>
        <v>7569</v>
      </c>
      <c r="Q2492" s="12">
        <f t="shared" si="250"/>
        <v>15894.900000000001</v>
      </c>
      <c r="R2492" s="31">
        <f t="shared" si="251"/>
        <v>15800</v>
      </c>
    </row>
    <row r="2493" spans="1:18" ht="21.95" customHeight="1" x14ac:dyDescent="0.2">
      <c r="A2493" s="6" t="s">
        <v>943</v>
      </c>
      <c r="B2493" s="6" t="s">
        <v>1596</v>
      </c>
      <c r="C2493" s="6" t="s">
        <v>429</v>
      </c>
      <c r="D2493" s="6" t="s">
        <v>948</v>
      </c>
      <c r="E2493" s="6"/>
      <c r="G2493" s="6">
        <v>45</v>
      </c>
      <c r="H2493" s="6">
        <v>50</v>
      </c>
      <c r="I2493" s="7">
        <v>45</v>
      </c>
      <c r="K2493" s="7">
        <v>44006664</v>
      </c>
      <c r="L2493" s="6" t="str">
        <f t="shared" si="252"/>
        <v>YT LİNA KOMİDİN 45x50</v>
      </c>
      <c r="M2493" s="12">
        <v>0.1</v>
      </c>
      <c r="N2493" s="12">
        <v>0.1</v>
      </c>
      <c r="O2493" s="8">
        <v>5290</v>
      </c>
      <c r="P2493" s="8">
        <f t="shared" si="249"/>
        <v>4761</v>
      </c>
      <c r="Q2493" s="12">
        <f t="shared" si="250"/>
        <v>9998.1</v>
      </c>
      <c r="R2493" s="31">
        <f t="shared" si="251"/>
        <v>9900</v>
      </c>
    </row>
    <row r="2494" spans="1:18" ht="21.95" customHeight="1" x14ac:dyDescent="0.2">
      <c r="A2494" s="6" t="s">
        <v>943</v>
      </c>
      <c r="B2494" s="6" t="s">
        <v>1596</v>
      </c>
      <c r="C2494" s="6" t="s">
        <v>429</v>
      </c>
      <c r="D2494" s="6" t="s">
        <v>951</v>
      </c>
      <c r="E2494" s="6"/>
      <c r="K2494" s="7">
        <v>44006665</v>
      </c>
      <c r="L2494" s="6" t="str">
        <f>B2494&amp;" "&amp;C2494&amp;" "&amp;D2494&amp;" "</f>
        <v xml:space="preserve">YT LİNA MARKİZ </v>
      </c>
      <c r="M2494" s="12">
        <v>0.1</v>
      </c>
      <c r="N2494" s="12">
        <v>0.1</v>
      </c>
      <c r="O2494" s="8">
        <v>4700</v>
      </c>
      <c r="P2494" s="8">
        <f t="shared" si="249"/>
        <v>4230</v>
      </c>
      <c r="Q2494" s="12">
        <f t="shared" si="250"/>
        <v>8883</v>
      </c>
      <c r="R2494" s="31">
        <f t="shared" si="251"/>
        <v>8800</v>
      </c>
    </row>
    <row r="2495" spans="1:18" ht="21.95" customHeight="1" x14ac:dyDescent="0.2">
      <c r="A2495" s="6" t="s">
        <v>943</v>
      </c>
      <c r="B2495" s="6" t="s">
        <v>1596</v>
      </c>
      <c r="C2495" s="6" t="s">
        <v>1000</v>
      </c>
      <c r="D2495" s="6" t="s">
        <v>945</v>
      </c>
      <c r="E2495" s="6"/>
      <c r="G2495" s="6">
        <v>150</v>
      </c>
      <c r="H2495" s="6">
        <v>200</v>
      </c>
      <c r="K2495" s="7">
        <v>44006666</v>
      </c>
      <c r="L2495" s="6" t="str">
        <f t="shared" ref="L2495:L2526" si="253">B2495&amp;" "&amp;C2495&amp;" "&amp;D2495&amp;" "&amp;G2495&amp;"x"&amp;H2495</f>
        <v>YT LEYDİ BAZA 150x200</v>
      </c>
      <c r="M2495" s="12">
        <v>0.1</v>
      </c>
      <c r="N2495" s="12">
        <v>0.1</v>
      </c>
      <c r="O2495" s="8">
        <v>10770</v>
      </c>
      <c r="P2495" s="8">
        <f t="shared" si="249"/>
        <v>9693</v>
      </c>
      <c r="Q2495" s="12">
        <f t="shared" si="250"/>
        <v>20355.3</v>
      </c>
      <c r="R2495" s="31">
        <f t="shared" si="251"/>
        <v>20300</v>
      </c>
    </row>
    <row r="2496" spans="1:18" ht="21.95" customHeight="1" x14ac:dyDescent="0.2">
      <c r="A2496" s="6" t="s">
        <v>943</v>
      </c>
      <c r="B2496" s="6" t="s">
        <v>1596</v>
      </c>
      <c r="C2496" s="6" t="s">
        <v>1000</v>
      </c>
      <c r="D2496" s="6" t="s">
        <v>945</v>
      </c>
      <c r="E2496" s="6"/>
      <c r="G2496" s="6">
        <v>160</v>
      </c>
      <c r="H2496" s="6">
        <v>200</v>
      </c>
      <c r="K2496" s="7">
        <v>44006667</v>
      </c>
      <c r="L2496" s="6" t="str">
        <f t="shared" si="253"/>
        <v>YT LEYDİ BAZA 160x200</v>
      </c>
      <c r="M2496" s="12">
        <v>0.1</v>
      </c>
      <c r="N2496" s="12">
        <v>0.1</v>
      </c>
      <c r="O2496" s="8">
        <v>11200</v>
      </c>
      <c r="P2496" s="8">
        <f t="shared" si="249"/>
        <v>10080</v>
      </c>
      <c r="Q2496" s="12">
        <f t="shared" si="250"/>
        <v>21168</v>
      </c>
      <c r="R2496" s="31">
        <f t="shared" si="251"/>
        <v>21100</v>
      </c>
    </row>
    <row r="2497" spans="1:18" ht="21.95" customHeight="1" x14ac:dyDescent="0.2">
      <c r="A2497" s="6" t="s">
        <v>943</v>
      </c>
      <c r="B2497" s="6" t="s">
        <v>1596</v>
      </c>
      <c r="C2497" s="6" t="s">
        <v>1000</v>
      </c>
      <c r="D2497" s="6" t="s">
        <v>945</v>
      </c>
      <c r="E2497" s="6"/>
      <c r="G2497" s="6">
        <v>180</v>
      </c>
      <c r="H2497" s="6">
        <v>200</v>
      </c>
      <c r="K2497" s="7">
        <v>44006668</v>
      </c>
      <c r="L2497" s="6" t="str">
        <f t="shared" si="253"/>
        <v>YT LEYDİ BAZA 180x200</v>
      </c>
      <c r="M2497" s="12">
        <v>0.1</v>
      </c>
      <c r="N2497" s="12">
        <v>0.1</v>
      </c>
      <c r="O2497" s="8">
        <v>12080</v>
      </c>
      <c r="P2497" s="8">
        <f t="shared" si="249"/>
        <v>10872</v>
      </c>
      <c r="Q2497" s="12">
        <f t="shared" si="250"/>
        <v>22831.200000000001</v>
      </c>
      <c r="R2497" s="31">
        <f t="shared" si="251"/>
        <v>22800</v>
      </c>
    </row>
    <row r="2498" spans="1:18" ht="21.95" customHeight="1" x14ac:dyDescent="0.2">
      <c r="A2498" s="6" t="s">
        <v>943</v>
      </c>
      <c r="B2498" s="6" t="s">
        <v>1596</v>
      </c>
      <c r="C2498" s="6" t="s">
        <v>1000</v>
      </c>
      <c r="D2498" s="6" t="s">
        <v>945</v>
      </c>
      <c r="E2498" s="6"/>
      <c r="G2498" s="6">
        <v>200</v>
      </c>
      <c r="H2498" s="6">
        <v>200</v>
      </c>
      <c r="K2498" s="7">
        <v>44006669</v>
      </c>
      <c r="L2498" s="6" t="str">
        <f t="shared" si="253"/>
        <v>YT LEYDİ BAZA 200x200</v>
      </c>
      <c r="M2498" s="12">
        <v>0.1</v>
      </c>
      <c r="N2498" s="12">
        <v>0.1</v>
      </c>
      <c r="O2498" s="8">
        <v>12960</v>
      </c>
      <c r="P2498" s="8">
        <f t="shared" si="249"/>
        <v>11664</v>
      </c>
      <c r="Q2498" s="12">
        <f t="shared" si="250"/>
        <v>24494.400000000001</v>
      </c>
      <c r="R2498" s="31">
        <f t="shared" si="251"/>
        <v>24400</v>
      </c>
    </row>
    <row r="2499" spans="1:18" ht="21.95" customHeight="1" x14ac:dyDescent="0.2">
      <c r="A2499" s="6" t="s">
        <v>943</v>
      </c>
      <c r="B2499" s="6" t="s">
        <v>1596</v>
      </c>
      <c r="C2499" s="6" t="s">
        <v>1000</v>
      </c>
      <c r="D2499" s="6" t="s">
        <v>950</v>
      </c>
      <c r="E2499" s="6"/>
      <c r="G2499" s="6">
        <v>150</v>
      </c>
      <c r="H2499" s="6">
        <v>200</v>
      </c>
      <c r="K2499" s="7">
        <v>44006670</v>
      </c>
      <c r="L2499" s="6" t="str">
        <f t="shared" si="253"/>
        <v>YT LEYDİ BAŞLIK 150x200</v>
      </c>
      <c r="M2499" s="12">
        <v>0.1</v>
      </c>
      <c r="N2499" s="12">
        <v>0.1</v>
      </c>
      <c r="O2499" s="8">
        <v>6700</v>
      </c>
      <c r="P2499" s="8">
        <f t="shared" si="249"/>
        <v>6030</v>
      </c>
      <c r="Q2499" s="12">
        <f t="shared" si="250"/>
        <v>12663</v>
      </c>
      <c r="R2499" s="31">
        <f t="shared" si="251"/>
        <v>12600</v>
      </c>
    </row>
    <row r="2500" spans="1:18" ht="21.95" customHeight="1" x14ac:dyDescent="0.2">
      <c r="A2500" s="6" t="s">
        <v>943</v>
      </c>
      <c r="B2500" s="6" t="s">
        <v>1596</v>
      </c>
      <c r="C2500" s="6" t="s">
        <v>1000</v>
      </c>
      <c r="D2500" s="6" t="s">
        <v>950</v>
      </c>
      <c r="E2500" s="6"/>
      <c r="G2500" s="6">
        <v>160</v>
      </c>
      <c r="H2500" s="6">
        <v>200</v>
      </c>
      <c r="K2500" s="7">
        <v>44006671</v>
      </c>
      <c r="L2500" s="6" t="str">
        <f t="shared" si="253"/>
        <v>YT LEYDİ BAŞLIK 160x200</v>
      </c>
      <c r="M2500" s="12">
        <v>0.1</v>
      </c>
      <c r="N2500" s="12">
        <v>0.1</v>
      </c>
      <c r="O2500" s="8">
        <v>7080</v>
      </c>
      <c r="P2500" s="8">
        <f t="shared" si="249"/>
        <v>6372</v>
      </c>
      <c r="Q2500" s="12">
        <f t="shared" si="250"/>
        <v>13381.2</v>
      </c>
      <c r="R2500" s="31">
        <f t="shared" si="251"/>
        <v>13300</v>
      </c>
    </row>
    <row r="2501" spans="1:18" ht="21.95" customHeight="1" x14ac:dyDescent="0.2">
      <c r="A2501" s="6" t="s">
        <v>943</v>
      </c>
      <c r="B2501" s="6" t="s">
        <v>1596</v>
      </c>
      <c r="C2501" s="6" t="s">
        <v>1000</v>
      </c>
      <c r="D2501" s="6" t="s">
        <v>950</v>
      </c>
      <c r="E2501" s="6"/>
      <c r="G2501" s="6">
        <v>180</v>
      </c>
      <c r="H2501" s="6">
        <v>200</v>
      </c>
      <c r="K2501" s="7">
        <v>44006672</v>
      </c>
      <c r="L2501" s="6" t="str">
        <f t="shared" si="253"/>
        <v>YT LEYDİ BAŞLIK 180x200</v>
      </c>
      <c r="M2501" s="12">
        <v>0.1</v>
      </c>
      <c r="N2501" s="12">
        <v>0.1</v>
      </c>
      <c r="O2501" s="8">
        <v>7640</v>
      </c>
      <c r="P2501" s="8">
        <f t="shared" si="249"/>
        <v>6876</v>
      </c>
      <c r="Q2501" s="12">
        <f t="shared" si="250"/>
        <v>14439.6</v>
      </c>
      <c r="R2501" s="31">
        <f t="shared" si="251"/>
        <v>14400</v>
      </c>
    </row>
    <row r="2502" spans="1:18" ht="21.95" customHeight="1" x14ac:dyDescent="0.2">
      <c r="A2502" s="6" t="s">
        <v>943</v>
      </c>
      <c r="B2502" s="6" t="s">
        <v>1596</v>
      </c>
      <c r="C2502" s="6" t="s">
        <v>1000</v>
      </c>
      <c r="D2502" s="6" t="s">
        <v>950</v>
      </c>
      <c r="E2502" s="6"/>
      <c r="G2502" s="6">
        <v>200</v>
      </c>
      <c r="H2502" s="6">
        <v>200</v>
      </c>
      <c r="K2502" s="7">
        <v>44006673</v>
      </c>
      <c r="L2502" s="6" t="str">
        <f t="shared" si="253"/>
        <v>YT LEYDİ BAŞLIK 200x200</v>
      </c>
      <c r="M2502" s="12">
        <v>0.1</v>
      </c>
      <c r="N2502" s="12">
        <v>0.1</v>
      </c>
      <c r="O2502" s="8">
        <v>8440</v>
      </c>
      <c r="P2502" s="8">
        <f t="shared" si="249"/>
        <v>7596</v>
      </c>
      <c r="Q2502" s="12">
        <f t="shared" si="250"/>
        <v>15951.6</v>
      </c>
      <c r="R2502" s="31">
        <f t="shared" si="251"/>
        <v>15900</v>
      </c>
    </row>
    <row r="2503" spans="1:18" ht="21.95" customHeight="1" x14ac:dyDescent="0.2">
      <c r="A2503" s="6" t="s">
        <v>943</v>
      </c>
      <c r="B2503" s="6" t="s">
        <v>1596</v>
      </c>
      <c r="C2503" s="6" t="s">
        <v>1000</v>
      </c>
      <c r="D2503" s="6" t="s">
        <v>948</v>
      </c>
      <c r="E2503" s="6"/>
      <c r="G2503" s="6">
        <v>45</v>
      </c>
      <c r="H2503" s="6">
        <v>45</v>
      </c>
      <c r="I2503" s="7">
        <v>50</v>
      </c>
      <c r="K2503" s="7">
        <v>44006674</v>
      </c>
      <c r="L2503" s="6" t="str">
        <f t="shared" si="253"/>
        <v>YT LEYDİ KOMİDİN 45x45</v>
      </c>
      <c r="M2503" s="12">
        <v>0.1</v>
      </c>
      <c r="N2503" s="12">
        <v>0.1</v>
      </c>
      <c r="O2503" s="8">
        <v>6310</v>
      </c>
      <c r="P2503" s="8">
        <f t="shared" si="249"/>
        <v>5679</v>
      </c>
      <c r="Q2503" s="12">
        <f t="shared" si="250"/>
        <v>11925.9</v>
      </c>
      <c r="R2503" s="31">
        <f t="shared" si="251"/>
        <v>11900</v>
      </c>
    </row>
    <row r="2504" spans="1:18" ht="21.95" customHeight="1" x14ac:dyDescent="0.2">
      <c r="A2504" s="6" t="s">
        <v>943</v>
      </c>
      <c r="B2504" s="6" t="s">
        <v>1596</v>
      </c>
      <c r="C2504" s="6" t="s">
        <v>1000</v>
      </c>
      <c r="D2504" s="6" t="s">
        <v>951</v>
      </c>
      <c r="E2504" s="6"/>
      <c r="G2504" s="6">
        <v>50</v>
      </c>
      <c r="H2504" s="6">
        <v>50</v>
      </c>
      <c r="I2504" s="7">
        <v>44</v>
      </c>
      <c r="K2504" s="7">
        <v>44006675</v>
      </c>
      <c r="L2504" s="6" t="str">
        <f t="shared" si="253"/>
        <v>YT LEYDİ MARKİZ 50x50</v>
      </c>
      <c r="M2504" s="12">
        <v>0.1</v>
      </c>
      <c r="N2504" s="12">
        <v>0.1</v>
      </c>
      <c r="O2504" s="8">
        <v>4350</v>
      </c>
      <c r="P2504" s="8">
        <f t="shared" si="249"/>
        <v>3915</v>
      </c>
      <c r="Q2504" s="12">
        <f t="shared" si="250"/>
        <v>8221.5</v>
      </c>
      <c r="R2504" s="31">
        <f t="shared" si="251"/>
        <v>8200</v>
      </c>
    </row>
    <row r="2505" spans="1:18" ht="21.95" customHeight="1" x14ac:dyDescent="0.2">
      <c r="A2505" s="6" t="s">
        <v>943</v>
      </c>
      <c r="B2505" s="6" t="s">
        <v>1596</v>
      </c>
      <c r="C2505" s="6" t="s">
        <v>1001</v>
      </c>
      <c r="D2505" s="6" t="s">
        <v>953</v>
      </c>
      <c r="E2505" s="6"/>
      <c r="G2505" s="6">
        <v>150</v>
      </c>
      <c r="H2505" s="6">
        <v>200</v>
      </c>
      <c r="K2505" s="7">
        <v>44006676</v>
      </c>
      <c r="L2505" s="6" t="str">
        <f t="shared" si="253"/>
        <v>YT ARMADA  YATAK 150x200</v>
      </c>
      <c r="M2505" s="12">
        <v>0.1</v>
      </c>
      <c r="N2505" s="12">
        <v>0.1</v>
      </c>
      <c r="O2505" s="8">
        <v>12990</v>
      </c>
      <c r="P2505" s="8">
        <f t="shared" si="249"/>
        <v>11691</v>
      </c>
      <c r="Q2505" s="12">
        <f t="shared" si="250"/>
        <v>24551.100000000002</v>
      </c>
      <c r="R2505" s="31">
        <f t="shared" si="251"/>
        <v>24500</v>
      </c>
    </row>
    <row r="2506" spans="1:18" ht="21.95" customHeight="1" x14ac:dyDescent="0.2">
      <c r="A2506" s="6" t="s">
        <v>943</v>
      </c>
      <c r="B2506" s="6" t="s">
        <v>1596</v>
      </c>
      <c r="C2506" s="6" t="s">
        <v>1001</v>
      </c>
      <c r="D2506" s="6" t="s">
        <v>953</v>
      </c>
      <c r="E2506" s="6"/>
      <c r="G2506" s="6">
        <v>160</v>
      </c>
      <c r="H2506" s="6">
        <v>200</v>
      </c>
      <c r="K2506" s="7">
        <v>44006677</v>
      </c>
      <c r="L2506" s="6" t="str">
        <f t="shared" si="253"/>
        <v>YT ARMADA  YATAK 160x200</v>
      </c>
      <c r="M2506" s="12">
        <v>0.1</v>
      </c>
      <c r="N2506" s="12">
        <v>0.1</v>
      </c>
      <c r="O2506" s="8">
        <v>13890</v>
      </c>
      <c r="P2506" s="8">
        <f t="shared" si="249"/>
        <v>12501</v>
      </c>
      <c r="Q2506" s="12">
        <f t="shared" si="250"/>
        <v>26252.100000000002</v>
      </c>
      <c r="R2506" s="31">
        <f t="shared" si="251"/>
        <v>26200</v>
      </c>
    </row>
    <row r="2507" spans="1:18" ht="21.95" customHeight="1" x14ac:dyDescent="0.2">
      <c r="A2507" s="6" t="s">
        <v>943</v>
      </c>
      <c r="B2507" s="6" t="s">
        <v>1596</v>
      </c>
      <c r="C2507" s="6" t="s">
        <v>1001</v>
      </c>
      <c r="D2507" s="6" t="s">
        <v>953</v>
      </c>
      <c r="E2507" s="6"/>
      <c r="G2507" s="6">
        <v>180</v>
      </c>
      <c r="H2507" s="6">
        <v>200</v>
      </c>
      <c r="K2507" s="7">
        <v>44006678</v>
      </c>
      <c r="L2507" s="6" t="str">
        <f t="shared" si="253"/>
        <v>YT ARMADA  YATAK 180x200</v>
      </c>
      <c r="M2507" s="12">
        <v>0.1</v>
      </c>
      <c r="N2507" s="12">
        <v>0.1</v>
      </c>
      <c r="O2507" s="8">
        <v>15570</v>
      </c>
      <c r="P2507" s="8">
        <f t="shared" si="249"/>
        <v>14013</v>
      </c>
      <c r="Q2507" s="12">
        <f t="shared" si="250"/>
        <v>29427.300000000003</v>
      </c>
      <c r="R2507" s="31">
        <f t="shared" si="251"/>
        <v>29400</v>
      </c>
    </row>
    <row r="2508" spans="1:18" ht="21.95" customHeight="1" x14ac:dyDescent="0.2">
      <c r="A2508" s="6" t="s">
        <v>943</v>
      </c>
      <c r="B2508" s="6" t="s">
        <v>1596</v>
      </c>
      <c r="C2508" s="6" t="s">
        <v>1001</v>
      </c>
      <c r="D2508" s="6" t="s">
        <v>953</v>
      </c>
      <c r="E2508" s="6"/>
      <c r="G2508" s="6">
        <v>200</v>
      </c>
      <c r="H2508" s="6">
        <v>200</v>
      </c>
      <c r="K2508" s="7">
        <v>44006679</v>
      </c>
      <c r="L2508" s="6" t="str">
        <f t="shared" si="253"/>
        <v>YT ARMADA  YATAK 200x200</v>
      </c>
      <c r="M2508" s="12">
        <v>0.1</v>
      </c>
      <c r="N2508" s="12">
        <v>0.1</v>
      </c>
      <c r="O2508" s="8">
        <v>17320</v>
      </c>
      <c r="P2508" s="8">
        <f t="shared" si="249"/>
        <v>15588</v>
      </c>
      <c r="Q2508" s="12">
        <f t="shared" si="250"/>
        <v>32734.800000000003</v>
      </c>
      <c r="R2508" s="31">
        <f t="shared" si="251"/>
        <v>32700</v>
      </c>
    </row>
    <row r="2509" spans="1:18" ht="21.95" customHeight="1" x14ac:dyDescent="0.2">
      <c r="A2509" s="6" t="s">
        <v>943</v>
      </c>
      <c r="B2509" s="6" t="s">
        <v>1596</v>
      </c>
      <c r="C2509" s="6" t="s">
        <v>1002</v>
      </c>
      <c r="D2509" s="6" t="s">
        <v>989</v>
      </c>
      <c r="E2509" s="6"/>
      <c r="G2509" s="6">
        <v>150</v>
      </c>
      <c r="H2509" s="6">
        <v>200</v>
      </c>
      <c r="K2509" s="7">
        <v>44006680</v>
      </c>
      <c r="L2509" s="6" t="str">
        <f t="shared" si="253"/>
        <v>YT OTTOMAN  BAZA  150x200</v>
      </c>
      <c r="M2509" s="12">
        <v>0.1</v>
      </c>
      <c r="N2509" s="12">
        <v>0.1</v>
      </c>
      <c r="O2509" s="8">
        <v>8510</v>
      </c>
      <c r="P2509" s="8">
        <f t="shared" si="249"/>
        <v>7659</v>
      </c>
      <c r="Q2509" s="12">
        <f t="shared" si="250"/>
        <v>16083.900000000001</v>
      </c>
      <c r="R2509" s="31">
        <f t="shared" si="251"/>
        <v>16000</v>
      </c>
    </row>
    <row r="2510" spans="1:18" ht="21.95" customHeight="1" x14ac:dyDescent="0.2">
      <c r="A2510" s="6" t="s">
        <v>943</v>
      </c>
      <c r="B2510" s="6" t="s">
        <v>1596</v>
      </c>
      <c r="C2510" s="6" t="s">
        <v>1002</v>
      </c>
      <c r="D2510" s="6" t="s">
        <v>989</v>
      </c>
      <c r="E2510" s="6"/>
      <c r="G2510" s="6">
        <v>160</v>
      </c>
      <c r="H2510" s="6">
        <v>200</v>
      </c>
      <c r="K2510" s="7">
        <v>44006681</v>
      </c>
      <c r="L2510" s="6" t="str">
        <f t="shared" si="253"/>
        <v>YT OTTOMAN  BAZA  160x200</v>
      </c>
      <c r="M2510" s="12">
        <v>0.1</v>
      </c>
      <c r="N2510" s="12">
        <v>0.1</v>
      </c>
      <c r="O2510" s="8">
        <v>8860</v>
      </c>
      <c r="P2510" s="8">
        <f t="shared" ref="P2510:P2573" si="254">O2510*(1-N2510)</f>
        <v>7974</v>
      </c>
      <c r="Q2510" s="12">
        <f t="shared" ref="Q2510:Q2573" si="255">O2510*(1-N2510)*2.1</f>
        <v>16745.400000000001</v>
      </c>
      <c r="R2510" s="31">
        <f t="shared" ref="R2510:R2573" si="256">ROUNDDOWN(Q2510,-2)</f>
        <v>16700</v>
      </c>
    </row>
    <row r="2511" spans="1:18" ht="21.95" customHeight="1" x14ac:dyDescent="0.2">
      <c r="A2511" s="6" t="s">
        <v>943</v>
      </c>
      <c r="B2511" s="6" t="s">
        <v>1596</v>
      </c>
      <c r="C2511" s="6" t="s">
        <v>1002</v>
      </c>
      <c r="D2511" s="6" t="s">
        <v>989</v>
      </c>
      <c r="E2511" s="6"/>
      <c r="G2511" s="6">
        <v>180</v>
      </c>
      <c r="H2511" s="6">
        <v>200</v>
      </c>
      <c r="K2511" s="7">
        <v>44006682</v>
      </c>
      <c r="L2511" s="6" t="str">
        <f t="shared" si="253"/>
        <v>YT OTTOMAN  BAZA  180x200</v>
      </c>
      <c r="M2511" s="12">
        <v>0.1</v>
      </c>
      <c r="N2511" s="12">
        <v>0.1</v>
      </c>
      <c r="O2511" s="8">
        <v>9570</v>
      </c>
      <c r="P2511" s="8">
        <f t="shared" si="254"/>
        <v>8613</v>
      </c>
      <c r="Q2511" s="12">
        <f t="shared" si="255"/>
        <v>18087.3</v>
      </c>
      <c r="R2511" s="31">
        <f t="shared" si="256"/>
        <v>18000</v>
      </c>
    </row>
    <row r="2512" spans="1:18" ht="21.95" customHeight="1" x14ac:dyDescent="0.2">
      <c r="A2512" s="6" t="s">
        <v>943</v>
      </c>
      <c r="B2512" s="6" t="s">
        <v>1596</v>
      </c>
      <c r="C2512" s="6" t="s">
        <v>1002</v>
      </c>
      <c r="D2512" s="6" t="s">
        <v>989</v>
      </c>
      <c r="E2512" s="6"/>
      <c r="G2512" s="6">
        <v>200</v>
      </c>
      <c r="H2512" s="6">
        <v>200</v>
      </c>
      <c r="K2512" s="7">
        <v>44006683</v>
      </c>
      <c r="L2512" s="6" t="str">
        <f t="shared" si="253"/>
        <v>YT OTTOMAN  BAZA  200x200</v>
      </c>
      <c r="M2512" s="12">
        <v>0.1</v>
      </c>
      <c r="N2512" s="12">
        <v>0.1</v>
      </c>
      <c r="O2512" s="8">
        <v>10260</v>
      </c>
      <c r="P2512" s="8">
        <f t="shared" si="254"/>
        <v>9234</v>
      </c>
      <c r="Q2512" s="12">
        <f t="shared" si="255"/>
        <v>19391.400000000001</v>
      </c>
      <c r="R2512" s="31">
        <f t="shared" si="256"/>
        <v>19300</v>
      </c>
    </row>
    <row r="2513" spans="1:18" ht="21.95" customHeight="1" x14ac:dyDescent="0.2">
      <c r="A2513" s="6" t="s">
        <v>943</v>
      </c>
      <c r="B2513" s="6" t="s">
        <v>1596</v>
      </c>
      <c r="C2513" s="6" t="s">
        <v>1002</v>
      </c>
      <c r="D2513" s="6" t="s">
        <v>1003</v>
      </c>
      <c r="E2513" s="6"/>
      <c r="G2513" s="6">
        <v>150</v>
      </c>
      <c r="H2513" s="6">
        <v>200</v>
      </c>
      <c r="K2513" s="7">
        <v>44006684</v>
      </c>
      <c r="L2513" s="6" t="str">
        <f t="shared" si="253"/>
        <v>YT OTTOMAN  BAŞLIK  150x200</v>
      </c>
      <c r="M2513" s="12">
        <v>0.1</v>
      </c>
      <c r="N2513" s="12">
        <v>0.1</v>
      </c>
      <c r="O2513" s="8">
        <v>5170</v>
      </c>
      <c r="P2513" s="8">
        <f t="shared" si="254"/>
        <v>4653</v>
      </c>
      <c r="Q2513" s="12">
        <f t="shared" si="255"/>
        <v>9771.3000000000011</v>
      </c>
      <c r="R2513" s="31">
        <f t="shared" si="256"/>
        <v>9700</v>
      </c>
    </row>
    <row r="2514" spans="1:18" ht="21.95" customHeight="1" x14ac:dyDescent="0.2">
      <c r="A2514" s="6" t="s">
        <v>943</v>
      </c>
      <c r="B2514" s="6" t="s">
        <v>1596</v>
      </c>
      <c r="C2514" s="6" t="s">
        <v>1002</v>
      </c>
      <c r="D2514" s="6" t="s">
        <v>1003</v>
      </c>
      <c r="E2514" s="6"/>
      <c r="G2514" s="6">
        <v>160</v>
      </c>
      <c r="H2514" s="6">
        <v>200</v>
      </c>
      <c r="K2514" s="7">
        <v>44006685</v>
      </c>
      <c r="L2514" s="6" t="str">
        <f t="shared" si="253"/>
        <v>YT OTTOMAN  BAŞLIK  160x200</v>
      </c>
      <c r="M2514" s="12">
        <v>0.1</v>
      </c>
      <c r="N2514" s="12">
        <v>0.1</v>
      </c>
      <c r="O2514" s="8">
        <v>5350</v>
      </c>
      <c r="P2514" s="8">
        <f t="shared" si="254"/>
        <v>4815</v>
      </c>
      <c r="Q2514" s="12">
        <f t="shared" si="255"/>
        <v>10111.5</v>
      </c>
      <c r="R2514" s="31">
        <f t="shared" si="256"/>
        <v>10100</v>
      </c>
    </row>
    <row r="2515" spans="1:18" ht="21.95" customHeight="1" x14ac:dyDescent="0.2">
      <c r="A2515" s="6" t="s">
        <v>943</v>
      </c>
      <c r="B2515" s="6" t="s">
        <v>1596</v>
      </c>
      <c r="C2515" s="6" t="s">
        <v>1002</v>
      </c>
      <c r="D2515" s="6" t="s">
        <v>1003</v>
      </c>
      <c r="E2515" s="6"/>
      <c r="G2515" s="6">
        <v>180</v>
      </c>
      <c r="H2515" s="6">
        <v>200</v>
      </c>
      <c r="K2515" s="7">
        <v>44006686</v>
      </c>
      <c r="L2515" s="6" t="str">
        <f t="shared" si="253"/>
        <v>YT OTTOMAN  BAŞLIK  180x200</v>
      </c>
      <c r="M2515" s="12">
        <v>0.1</v>
      </c>
      <c r="N2515" s="12">
        <v>0.1</v>
      </c>
      <c r="O2515" s="8">
        <v>6310</v>
      </c>
      <c r="P2515" s="8">
        <f t="shared" si="254"/>
        <v>5679</v>
      </c>
      <c r="Q2515" s="12">
        <f t="shared" si="255"/>
        <v>11925.9</v>
      </c>
      <c r="R2515" s="31">
        <f t="shared" si="256"/>
        <v>11900</v>
      </c>
    </row>
    <row r="2516" spans="1:18" ht="21.95" customHeight="1" x14ac:dyDescent="0.2">
      <c r="A2516" s="6" t="s">
        <v>943</v>
      </c>
      <c r="B2516" s="6" t="s">
        <v>1596</v>
      </c>
      <c r="C2516" s="6" t="s">
        <v>1002</v>
      </c>
      <c r="D2516" s="6" t="s">
        <v>1003</v>
      </c>
      <c r="E2516" s="6"/>
      <c r="G2516" s="6">
        <v>200</v>
      </c>
      <c r="H2516" s="6">
        <v>200</v>
      </c>
      <c r="K2516" s="7">
        <v>44006687</v>
      </c>
      <c r="L2516" s="6" t="str">
        <f t="shared" si="253"/>
        <v>YT OTTOMAN  BAŞLIK  200x200</v>
      </c>
      <c r="M2516" s="12">
        <v>0.1</v>
      </c>
      <c r="N2516" s="12">
        <v>0.1</v>
      </c>
      <c r="O2516" s="8">
        <v>7000</v>
      </c>
      <c r="P2516" s="8">
        <f t="shared" si="254"/>
        <v>6300</v>
      </c>
      <c r="Q2516" s="12">
        <f t="shared" si="255"/>
        <v>13230</v>
      </c>
      <c r="R2516" s="31">
        <f t="shared" si="256"/>
        <v>13200</v>
      </c>
    </row>
    <row r="2517" spans="1:18" ht="21.95" customHeight="1" x14ac:dyDescent="0.2">
      <c r="A2517" s="6" t="s">
        <v>943</v>
      </c>
      <c r="B2517" s="6" t="s">
        <v>1596</v>
      </c>
      <c r="C2517" s="6" t="s">
        <v>1002</v>
      </c>
      <c r="D2517" s="6" t="s">
        <v>948</v>
      </c>
      <c r="E2517" s="6"/>
      <c r="G2517" s="6">
        <v>45</v>
      </c>
      <c r="H2517" s="6">
        <v>50</v>
      </c>
      <c r="I2517" s="7">
        <v>50</v>
      </c>
      <c r="K2517" s="7">
        <v>44006688</v>
      </c>
      <c r="L2517" s="6" t="str">
        <f t="shared" si="253"/>
        <v>YT OTTOMAN  KOMİDİN 45x50</v>
      </c>
      <c r="M2517" s="12">
        <v>0.1</v>
      </c>
      <c r="N2517" s="12">
        <v>0.1</v>
      </c>
      <c r="O2517" s="8">
        <v>4280</v>
      </c>
      <c r="P2517" s="8">
        <f t="shared" si="254"/>
        <v>3852</v>
      </c>
      <c r="Q2517" s="12">
        <f t="shared" si="255"/>
        <v>8089.2000000000007</v>
      </c>
      <c r="R2517" s="31">
        <f t="shared" si="256"/>
        <v>8000</v>
      </c>
    </row>
    <row r="2518" spans="1:18" ht="21.95" customHeight="1" x14ac:dyDescent="0.2">
      <c r="A2518" s="6" t="s">
        <v>943</v>
      </c>
      <c r="B2518" s="6" t="s">
        <v>1596</v>
      </c>
      <c r="C2518" s="6" t="s">
        <v>1002</v>
      </c>
      <c r="D2518" s="6" t="s">
        <v>951</v>
      </c>
      <c r="E2518" s="6"/>
      <c r="G2518" s="6">
        <v>47</v>
      </c>
      <c r="H2518" s="6">
        <v>100</v>
      </c>
      <c r="I2518" s="7">
        <v>39</v>
      </c>
      <c r="K2518" s="7">
        <v>44006689</v>
      </c>
      <c r="L2518" s="6" t="str">
        <f t="shared" si="253"/>
        <v>YT OTTOMAN  MARKİZ 47x100</v>
      </c>
      <c r="M2518" s="12">
        <v>0.1</v>
      </c>
      <c r="N2518" s="12">
        <v>0.1</v>
      </c>
      <c r="O2518" s="8">
        <v>5070</v>
      </c>
      <c r="P2518" s="8">
        <f t="shared" si="254"/>
        <v>4563</v>
      </c>
      <c r="Q2518" s="12">
        <f t="shared" si="255"/>
        <v>9582.3000000000011</v>
      </c>
      <c r="R2518" s="31">
        <f t="shared" si="256"/>
        <v>9500</v>
      </c>
    </row>
    <row r="2519" spans="1:18" ht="21.95" customHeight="1" x14ac:dyDescent="0.2">
      <c r="A2519" s="6" t="s">
        <v>943</v>
      </c>
      <c r="B2519" s="6" t="s">
        <v>1596</v>
      </c>
      <c r="C2519" s="6" t="s">
        <v>1004</v>
      </c>
      <c r="D2519" s="6" t="s">
        <v>945</v>
      </c>
      <c r="E2519" s="6"/>
      <c r="G2519" s="6">
        <v>150</v>
      </c>
      <c r="H2519" s="6">
        <v>200</v>
      </c>
      <c r="K2519" s="7">
        <v>44006690</v>
      </c>
      <c r="L2519" s="6" t="str">
        <f t="shared" si="253"/>
        <v>YT TERRA  BAZA 150x200</v>
      </c>
      <c r="M2519" s="12">
        <v>0.1</v>
      </c>
      <c r="N2519" s="12">
        <v>0.1</v>
      </c>
      <c r="O2519" s="8">
        <v>11090</v>
      </c>
      <c r="P2519" s="8">
        <f t="shared" si="254"/>
        <v>9981</v>
      </c>
      <c r="Q2519" s="12">
        <f t="shared" si="255"/>
        <v>20960.100000000002</v>
      </c>
      <c r="R2519" s="31">
        <f t="shared" si="256"/>
        <v>20900</v>
      </c>
    </row>
    <row r="2520" spans="1:18" ht="21.95" customHeight="1" x14ac:dyDescent="0.2">
      <c r="A2520" s="6" t="s">
        <v>943</v>
      </c>
      <c r="B2520" s="6" t="s">
        <v>1596</v>
      </c>
      <c r="C2520" s="6" t="s">
        <v>1004</v>
      </c>
      <c r="D2520" s="6" t="s">
        <v>945</v>
      </c>
      <c r="E2520" s="6"/>
      <c r="G2520" s="6">
        <v>160</v>
      </c>
      <c r="H2520" s="6">
        <v>200</v>
      </c>
      <c r="K2520" s="7">
        <v>44006691</v>
      </c>
      <c r="L2520" s="6" t="str">
        <f t="shared" si="253"/>
        <v>YT TERRA  BAZA 160x200</v>
      </c>
      <c r="M2520" s="12">
        <v>0.1</v>
      </c>
      <c r="N2520" s="12">
        <v>0.1</v>
      </c>
      <c r="O2520" s="8">
        <v>11540</v>
      </c>
      <c r="P2520" s="8">
        <f t="shared" si="254"/>
        <v>10386</v>
      </c>
      <c r="Q2520" s="12">
        <f t="shared" si="255"/>
        <v>21810.600000000002</v>
      </c>
      <c r="R2520" s="31">
        <f t="shared" si="256"/>
        <v>21800</v>
      </c>
    </row>
    <row r="2521" spans="1:18" ht="21.95" customHeight="1" x14ac:dyDescent="0.2">
      <c r="A2521" s="6" t="s">
        <v>943</v>
      </c>
      <c r="B2521" s="6" t="s">
        <v>1596</v>
      </c>
      <c r="C2521" s="6" t="s">
        <v>1004</v>
      </c>
      <c r="D2521" s="6" t="s">
        <v>945</v>
      </c>
      <c r="E2521" s="6"/>
      <c r="G2521" s="6">
        <v>180</v>
      </c>
      <c r="H2521" s="6">
        <v>200</v>
      </c>
      <c r="K2521" s="7">
        <v>44006692</v>
      </c>
      <c r="L2521" s="6" t="str">
        <f t="shared" si="253"/>
        <v>YT TERRA  BAZA 180x200</v>
      </c>
      <c r="M2521" s="12">
        <v>0.1</v>
      </c>
      <c r="N2521" s="12">
        <v>0.1</v>
      </c>
      <c r="O2521" s="8">
        <v>12460</v>
      </c>
      <c r="P2521" s="8">
        <f t="shared" si="254"/>
        <v>11214</v>
      </c>
      <c r="Q2521" s="12">
        <f t="shared" si="255"/>
        <v>23549.4</v>
      </c>
      <c r="R2521" s="31">
        <f t="shared" si="256"/>
        <v>23500</v>
      </c>
    </row>
    <row r="2522" spans="1:18" ht="21.95" customHeight="1" x14ac:dyDescent="0.2">
      <c r="A2522" s="6" t="s">
        <v>943</v>
      </c>
      <c r="B2522" s="6" t="s">
        <v>1596</v>
      </c>
      <c r="C2522" s="6" t="s">
        <v>1004</v>
      </c>
      <c r="D2522" s="6" t="s">
        <v>945</v>
      </c>
      <c r="E2522" s="6"/>
      <c r="G2522" s="6">
        <v>200</v>
      </c>
      <c r="H2522" s="6">
        <v>200</v>
      </c>
      <c r="K2522" s="7">
        <v>44006693</v>
      </c>
      <c r="L2522" s="6" t="str">
        <f t="shared" si="253"/>
        <v>YT TERRA  BAZA 200x200</v>
      </c>
      <c r="M2522" s="12">
        <v>0.1</v>
      </c>
      <c r="N2522" s="12">
        <v>0.1</v>
      </c>
      <c r="O2522" s="8">
        <v>13370</v>
      </c>
      <c r="P2522" s="8">
        <f t="shared" si="254"/>
        <v>12033</v>
      </c>
      <c r="Q2522" s="12">
        <f t="shared" si="255"/>
        <v>25269.3</v>
      </c>
      <c r="R2522" s="31">
        <f t="shared" si="256"/>
        <v>25200</v>
      </c>
    </row>
    <row r="2523" spans="1:18" ht="21.95" customHeight="1" x14ac:dyDescent="0.2">
      <c r="A2523" s="6" t="s">
        <v>943</v>
      </c>
      <c r="B2523" s="6" t="s">
        <v>1596</v>
      </c>
      <c r="C2523" s="6" t="s">
        <v>1004</v>
      </c>
      <c r="D2523" s="6" t="s">
        <v>1003</v>
      </c>
      <c r="E2523" s="6"/>
      <c r="G2523" s="6">
        <v>150</v>
      </c>
      <c r="H2523" s="6">
        <v>200</v>
      </c>
      <c r="K2523" s="7">
        <v>44006694</v>
      </c>
      <c r="L2523" s="6" t="str">
        <f t="shared" si="253"/>
        <v>YT TERRA  BAŞLIK  150x200</v>
      </c>
      <c r="M2523" s="12">
        <v>0.1</v>
      </c>
      <c r="N2523" s="12">
        <v>0.1</v>
      </c>
      <c r="O2523" s="8">
        <v>5690</v>
      </c>
      <c r="P2523" s="8">
        <f t="shared" si="254"/>
        <v>5121</v>
      </c>
      <c r="Q2523" s="12">
        <f t="shared" si="255"/>
        <v>10754.1</v>
      </c>
      <c r="R2523" s="31">
        <f t="shared" si="256"/>
        <v>10700</v>
      </c>
    </row>
    <row r="2524" spans="1:18" ht="21.95" customHeight="1" x14ac:dyDescent="0.2">
      <c r="A2524" s="6" t="s">
        <v>943</v>
      </c>
      <c r="B2524" s="6" t="s">
        <v>1596</v>
      </c>
      <c r="C2524" s="6" t="s">
        <v>1004</v>
      </c>
      <c r="D2524" s="6" t="s">
        <v>1003</v>
      </c>
      <c r="E2524" s="6"/>
      <c r="G2524" s="6">
        <v>160</v>
      </c>
      <c r="H2524" s="6">
        <v>200</v>
      </c>
      <c r="K2524" s="7">
        <v>44006695</v>
      </c>
      <c r="L2524" s="6" t="str">
        <f t="shared" si="253"/>
        <v>YT TERRA  BAŞLIK  160x200</v>
      </c>
      <c r="M2524" s="12">
        <v>0.1</v>
      </c>
      <c r="N2524" s="12">
        <v>0.1</v>
      </c>
      <c r="O2524" s="8">
        <v>6070</v>
      </c>
      <c r="P2524" s="8">
        <f t="shared" si="254"/>
        <v>5463</v>
      </c>
      <c r="Q2524" s="12">
        <f t="shared" si="255"/>
        <v>11472.300000000001</v>
      </c>
      <c r="R2524" s="31">
        <f t="shared" si="256"/>
        <v>11400</v>
      </c>
    </row>
    <row r="2525" spans="1:18" ht="21.95" customHeight="1" x14ac:dyDescent="0.2">
      <c r="A2525" s="6" t="s">
        <v>943</v>
      </c>
      <c r="B2525" s="6" t="s">
        <v>1596</v>
      </c>
      <c r="C2525" s="6" t="s">
        <v>1004</v>
      </c>
      <c r="D2525" s="6" t="s">
        <v>1003</v>
      </c>
      <c r="E2525" s="6"/>
      <c r="G2525" s="6">
        <v>180</v>
      </c>
      <c r="H2525" s="6">
        <v>200</v>
      </c>
      <c r="K2525" s="7">
        <v>44006696</v>
      </c>
      <c r="L2525" s="6" t="str">
        <f t="shared" si="253"/>
        <v>YT TERRA  BAŞLIK  180x200</v>
      </c>
      <c r="M2525" s="12">
        <v>0.1</v>
      </c>
      <c r="N2525" s="12">
        <v>0.1</v>
      </c>
      <c r="O2525" s="8">
        <v>7150</v>
      </c>
      <c r="P2525" s="8">
        <f t="shared" si="254"/>
        <v>6435</v>
      </c>
      <c r="Q2525" s="12">
        <f t="shared" si="255"/>
        <v>13513.5</v>
      </c>
      <c r="R2525" s="31">
        <f t="shared" si="256"/>
        <v>13500</v>
      </c>
    </row>
    <row r="2526" spans="1:18" ht="21.95" customHeight="1" x14ac:dyDescent="0.2">
      <c r="A2526" s="6" t="s">
        <v>943</v>
      </c>
      <c r="B2526" s="6" t="s">
        <v>1596</v>
      </c>
      <c r="C2526" s="6" t="s">
        <v>1004</v>
      </c>
      <c r="D2526" s="6" t="s">
        <v>1003</v>
      </c>
      <c r="E2526" s="6"/>
      <c r="G2526" s="6">
        <v>200</v>
      </c>
      <c r="H2526" s="6">
        <v>200</v>
      </c>
      <c r="K2526" s="7">
        <v>44006697</v>
      </c>
      <c r="L2526" s="6" t="str">
        <f t="shared" si="253"/>
        <v>YT TERRA  BAŞLIK  200x200</v>
      </c>
      <c r="M2526" s="12">
        <v>0.1</v>
      </c>
      <c r="N2526" s="12">
        <v>0.1</v>
      </c>
      <c r="O2526" s="8">
        <v>7880</v>
      </c>
      <c r="P2526" s="8">
        <f t="shared" si="254"/>
        <v>7092</v>
      </c>
      <c r="Q2526" s="12">
        <f t="shared" si="255"/>
        <v>14893.2</v>
      </c>
      <c r="R2526" s="31">
        <f t="shared" si="256"/>
        <v>14800</v>
      </c>
    </row>
    <row r="2527" spans="1:18" ht="21.95" customHeight="1" x14ac:dyDescent="0.2">
      <c r="A2527" s="6" t="s">
        <v>943</v>
      </c>
      <c r="B2527" s="6" t="s">
        <v>1596</v>
      </c>
      <c r="C2527" s="6" t="s">
        <v>1004</v>
      </c>
      <c r="D2527" s="6" t="s">
        <v>959</v>
      </c>
      <c r="E2527" s="6"/>
      <c r="G2527" s="6">
        <v>45</v>
      </c>
      <c r="H2527" s="6">
        <v>56</v>
      </c>
      <c r="I2527" s="7">
        <v>60</v>
      </c>
      <c r="K2527" s="7">
        <v>44006698</v>
      </c>
      <c r="L2527" s="6" t="str">
        <f t="shared" ref="L2527:L2548" si="257">B2527&amp;" "&amp;C2527&amp;" "&amp;D2527&amp;" "&amp;G2527&amp;"x"&amp;H2527</f>
        <v>YT TERRA  KOMİDİN  45x56</v>
      </c>
      <c r="M2527" s="12">
        <v>0.1</v>
      </c>
      <c r="N2527" s="12">
        <v>0.1</v>
      </c>
      <c r="O2527" s="8">
        <v>5180</v>
      </c>
      <c r="P2527" s="8">
        <f t="shared" si="254"/>
        <v>4662</v>
      </c>
      <c r="Q2527" s="12">
        <f t="shared" si="255"/>
        <v>9790.2000000000007</v>
      </c>
      <c r="R2527" s="31">
        <f t="shared" si="256"/>
        <v>9700</v>
      </c>
    </row>
    <row r="2528" spans="1:18" ht="21.95" customHeight="1" x14ac:dyDescent="0.2">
      <c r="A2528" s="6" t="s">
        <v>943</v>
      </c>
      <c r="B2528" s="6" t="s">
        <v>1596</v>
      </c>
      <c r="C2528" s="6" t="s">
        <v>1004</v>
      </c>
      <c r="D2528" s="6" t="s">
        <v>951</v>
      </c>
      <c r="E2528" s="6"/>
      <c r="G2528" s="6">
        <v>47</v>
      </c>
      <c r="H2528" s="6">
        <v>120</v>
      </c>
      <c r="I2528" s="7">
        <v>42</v>
      </c>
      <c r="K2528" s="7">
        <v>44006699</v>
      </c>
      <c r="L2528" s="6" t="str">
        <f t="shared" si="257"/>
        <v>YT TERRA  MARKİZ 47x120</v>
      </c>
      <c r="M2528" s="12">
        <v>0.1</v>
      </c>
      <c r="N2528" s="12">
        <v>0.1</v>
      </c>
      <c r="O2528" s="8">
        <v>6740</v>
      </c>
      <c r="P2528" s="8">
        <f t="shared" si="254"/>
        <v>6066</v>
      </c>
      <c r="Q2528" s="12">
        <f t="shared" si="255"/>
        <v>12738.6</v>
      </c>
      <c r="R2528" s="31">
        <f t="shared" si="256"/>
        <v>12700</v>
      </c>
    </row>
    <row r="2529" spans="1:18" ht="21.95" customHeight="1" x14ac:dyDescent="0.2">
      <c r="A2529" s="6" t="s">
        <v>943</v>
      </c>
      <c r="B2529" s="6" t="s">
        <v>1596</v>
      </c>
      <c r="C2529" s="6" t="s">
        <v>1005</v>
      </c>
      <c r="D2529" s="6" t="s">
        <v>989</v>
      </c>
      <c r="E2529" s="6"/>
      <c r="G2529" s="6">
        <v>150</v>
      </c>
      <c r="H2529" s="6">
        <v>200</v>
      </c>
      <c r="K2529" s="7">
        <v>44006700</v>
      </c>
      <c r="L2529" s="6" t="str">
        <f t="shared" si="257"/>
        <v>YT HİLDA  BAZA  150x200</v>
      </c>
      <c r="M2529" s="12">
        <v>0.1</v>
      </c>
      <c r="N2529" s="12">
        <v>0.1</v>
      </c>
      <c r="O2529" s="8">
        <v>9390</v>
      </c>
      <c r="P2529" s="8">
        <f t="shared" si="254"/>
        <v>8451</v>
      </c>
      <c r="Q2529" s="12">
        <f t="shared" si="255"/>
        <v>17747.100000000002</v>
      </c>
      <c r="R2529" s="31">
        <f t="shared" si="256"/>
        <v>17700</v>
      </c>
    </row>
    <row r="2530" spans="1:18" ht="21.95" customHeight="1" x14ac:dyDescent="0.2">
      <c r="A2530" s="6" t="s">
        <v>943</v>
      </c>
      <c r="B2530" s="6" t="s">
        <v>1596</v>
      </c>
      <c r="C2530" s="6" t="s">
        <v>1005</v>
      </c>
      <c r="D2530" s="6" t="s">
        <v>989</v>
      </c>
      <c r="E2530" s="6"/>
      <c r="G2530" s="6">
        <v>160</v>
      </c>
      <c r="H2530" s="6">
        <v>200</v>
      </c>
      <c r="K2530" s="7">
        <v>44006701</v>
      </c>
      <c r="L2530" s="6" t="str">
        <f t="shared" si="257"/>
        <v>YT HİLDA  BAZA  160x200</v>
      </c>
      <c r="M2530" s="12">
        <v>0.1</v>
      </c>
      <c r="N2530" s="12">
        <v>0.1</v>
      </c>
      <c r="O2530" s="8">
        <v>9760</v>
      </c>
      <c r="P2530" s="8">
        <f t="shared" si="254"/>
        <v>8784</v>
      </c>
      <c r="Q2530" s="12">
        <f t="shared" si="255"/>
        <v>18446.400000000001</v>
      </c>
      <c r="R2530" s="31">
        <f t="shared" si="256"/>
        <v>18400</v>
      </c>
    </row>
    <row r="2531" spans="1:18" ht="21.95" customHeight="1" x14ac:dyDescent="0.2">
      <c r="A2531" s="6" t="s">
        <v>943</v>
      </c>
      <c r="B2531" s="6" t="s">
        <v>1596</v>
      </c>
      <c r="C2531" s="6" t="s">
        <v>1005</v>
      </c>
      <c r="D2531" s="6" t="s">
        <v>989</v>
      </c>
      <c r="E2531" s="6"/>
      <c r="G2531" s="6">
        <v>180</v>
      </c>
      <c r="H2531" s="6">
        <v>200</v>
      </c>
      <c r="K2531" s="7">
        <v>44006702</v>
      </c>
      <c r="L2531" s="6" t="str">
        <f t="shared" si="257"/>
        <v>YT HİLDA  BAZA  180x200</v>
      </c>
      <c r="M2531" s="12">
        <v>0.1</v>
      </c>
      <c r="N2531" s="12">
        <v>0.1</v>
      </c>
      <c r="O2531" s="8">
        <v>10530</v>
      </c>
      <c r="P2531" s="8">
        <f t="shared" si="254"/>
        <v>9477</v>
      </c>
      <c r="Q2531" s="12">
        <f t="shared" si="255"/>
        <v>19901.7</v>
      </c>
      <c r="R2531" s="31">
        <f t="shared" si="256"/>
        <v>19900</v>
      </c>
    </row>
    <row r="2532" spans="1:18" ht="21.95" customHeight="1" x14ac:dyDescent="0.2">
      <c r="A2532" s="6" t="s">
        <v>943</v>
      </c>
      <c r="B2532" s="6" t="s">
        <v>1596</v>
      </c>
      <c r="C2532" s="6" t="s">
        <v>1005</v>
      </c>
      <c r="D2532" s="6" t="s">
        <v>989</v>
      </c>
      <c r="E2532" s="6"/>
      <c r="G2532" s="6">
        <v>200</v>
      </c>
      <c r="H2532" s="6">
        <v>200</v>
      </c>
      <c r="K2532" s="7">
        <v>44006703</v>
      </c>
      <c r="L2532" s="6" t="str">
        <f t="shared" si="257"/>
        <v>YT HİLDA  BAZA  200x200</v>
      </c>
      <c r="M2532" s="12">
        <v>0.1</v>
      </c>
      <c r="N2532" s="12">
        <v>0.1</v>
      </c>
      <c r="O2532" s="8">
        <v>11310</v>
      </c>
      <c r="P2532" s="8">
        <f t="shared" si="254"/>
        <v>10179</v>
      </c>
      <c r="Q2532" s="12">
        <f t="shared" si="255"/>
        <v>21375.9</v>
      </c>
      <c r="R2532" s="31">
        <f t="shared" si="256"/>
        <v>21300</v>
      </c>
    </row>
    <row r="2533" spans="1:18" ht="21.95" customHeight="1" x14ac:dyDescent="0.2">
      <c r="A2533" s="6" t="s">
        <v>943</v>
      </c>
      <c r="B2533" s="6" t="s">
        <v>1596</v>
      </c>
      <c r="C2533" s="6" t="s">
        <v>1005</v>
      </c>
      <c r="D2533" s="6" t="s">
        <v>1003</v>
      </c>
      <c r="E2533" s="6"/>
      <c r="G2533" s="6">
        <v>150</v>
      </c>
      <c r="H2533" s="6">
        <v>200</v>
      </c>
      <c r="K2533" s="7">
        <v>44006704</v>
      </c>
      <c r="L2533" s="6" t="str">
        <f t="shared" si="257"/>
        <v>YT HİLDA  BAŞLIK  150x200</v>
      </c>
      <c r="M2533" s="12">
        <v>0.1</v>
      </c>
      <c r="N2533" s="12">
        <v>0.1</v>
      </c>
      <c r="O2533" s="8">
        <v>6310</v>
      </c>
      <c r="P2533" s="8">
        <f t="shared" si="254"/>
        <v>5679</v>
      </c>
      <c r="Q2533" s="12">
        <f t="shared" si="255"/>
        <v>11925.9</v>
      </c>
      <c r="R2533" s="31">
        <f t="shared" si="256"/>
        <v>11900</v>
      </c>
    </row>
    <row r="2534" spans="1:18" ht="21.95" customHeight="1" x14ac:dyDescent="0.2">
      <c r="A2534" s="6" t="s">
        <v>943</v>
      </c>
      <c r="B2534" s="6" t="s">
        <v>1596</v>
      </c>
      <c r="C2534" s="6" t="s">
        <v>1005</v>
      </c>
      <c r="D2534" s="6" t="s">
        <v>1003</v>
      </c>
      <c r="E2534" s="6"/>
      <c r="G2534" s="6">
        <v>160</v>
      </c>
      <c r="H2534" s="6">
        <v>200</v>
      </c>
      <c r="K2534" s="7">
        <v>44006705</v>
      </c>
      <c r="L2534" s="6" t="str">
        <f t="shared" si="257"/>
        <v>YT HİLDA  BAŞLIK  160x200</v>
      </c>
      <c r="M2534" s="12">
        <v>0.1</v>
      </c>
      <c r="N2534" s="12">
        <v>0.1</v>
      </c>
      <c r="O2534" s="8">
        <v>6530</v>
      </c>
      <c r="P2534" s="8">
        <f t="shared" si="254"/>
        <v>5877</v>
      </c>
      <c r="Q2534" s="12">
        <f t="shared" si="255"/>
        <v>12341.7</v>
      </c>
      <c r="R2534" s="31">
        <f t="shared" si="256"/>
        <v>12300</v>
      </c>
    </row>
    <row r="2535" spans="1:18" ht="21.95" customHeight="1" x14ac:dyDescent="0.2">
      <c r="A2535" s="6" t="s">
        <v>943</v>
      </c>
      <c r="B2535" s="6" t="s">
        <v>1596</v>
      </c>
      <c r="C2535" s="6" t="s">
        <v>1005</v>
      </c>
      <c r="D2535" s="6" t="s">
        <v>1003</v>
      </c>
      <c r="E2535" s="6"/>
      <c r="G2535" s="6">
        <v>180</v>
      </c>
      <c r="H2535" s="6">
        <v>200</v>
      </c>
      <c r="K2535" s="7">
        <v>44006706</v>
      </c>
      <c r="L2535" s="6" t="str">
        <f t="shared" si="257"/>
        <v>YT HİLDA  BAŞLIK  180x200</v>
      </c>
      <c r="M2535" s="12">
        <v>0.1</v>
      </c>
      <c r="N2535" s="12">
        <v>0.1</v>
      </c>
      <c r="O2535" s="8">
        <v>7690</v>
      </c>
      <c r="P2535" s="8">
        <f t="shared" si="254"/>
        <v>6921</v>
      </c>
      <c r="Q2535" s="12">
        <f t="shared" si="255"/>
        <v>14534.1</v>
      </c>
      <c r="R2535" s="31">
        <f t="shared" si="256"/>
        <v>14500</v>
      </c>
    </row>
    <row r="2536" spans="1:18" ht="21.95" customHeight="1" x14ac:dyDescent="0.2">
      <c r="A2536" s="6" t="s">
        <v>943</v>
      </c>
      <c r="B2536" s="6" t="s">
        <v>1596</v>
      </c>
      <c r="C2536" s="6" t="s">
        <v>1005</v>
      </c>
      <c r="D2536" s="6" t="s">
        <v>1003</v>
      </c>
      <c r="E2536" s="6"/>
      <c r="G2536" s="6">
        <v>200</v>
      </c>
      <c r="H2536" s="6">
        <v>200</v>
      </c>
      <c r="K2536" s="7">
        <v>44006707</v>
      </c>
      <c r="L2536" s="6" t="str">
        <f t="shared" si="257"/>
        <v>YT HİLDA  BAŞLIK  200x200</v>
      </c>
      <c r="M2536" s="12">
        <v>0.1</v>
      </c>
      <c r="N2536" s="12">
        <v>0.1</v>
      </c>
      <c r="O2536" s="8">
        <v>8540</v>
      </c>
      <c r="P2536" s="8">
        <f t="shared" si="254"/>
        <v>7686</v>
      </c>
      <c r="Q2536" s="12">
        <f t="shared" si="255"/>
        <v>16140.6</v>
      </c>
      <c r="R2536" s="31">
        <f t="shared" si="256"/>
        <v>16100</v>
      </c>
    </row>
    <row r="2537" spans="1:18" ht="21.95" customHeight="1" x14ac:dyDescent="0.2">
      <c r="A2537" s="6" t="s">
        <v>943</v>
      </c>
      <c r="B2537" s="6" t="s">
        <v>1596</v>
      </c>
      <c r="C2537" s="6" t="s">
        <v>1005</v>
      </c>
      <c r="D2537" s="6" t="s">
        <v>959</v>
      </c>
      <c r="E2537" s="6"/>
      <c r="G2537" s="6">
        <v>45</v>
      </c>
      <c r="H2537" s="6">
        <v>52</v>
      </c>
      <c r="I2537" s="7">
        <v>60</v>
      </c>
      <c r="K2537" s="7">
        <v>44006708</v>
      </c>
      <c r="L2537" s="6" t="str">
        <f t="shared" si="257"/>
        <v>YT HİLDA  KOMİDİN  45x52</v>
      </c>
      <c r="M2537" s="12">
        <v>0.1</v>
      </c>
      <c r="N2537" s="12">
        <v>0.1</v>
      </c>
      <c r="O2537" s="8">
        <v>4700</v>
      </c>
      <c r="P2537" s="8">
        <f t="shared" si="254"/>
        <v>4230</v>
      </c>
      <c r="Q2537" s="12">
        <f t="shared" si="255"/>
        <v>8883</v>
      </c>
      <c r="R2537" s="31">
        <f t="shared" si="256"/>
        <v>8800</v>
      </c>
    </row>
    <row r="2538" spans="1:18" ht="21.95" customHeight="1" x14ac:dyDescent="0.2">
      <c r="A2538" s="6" t="s">
        <v>943</v>
      </c>
      <c r="B2538" s="6" t="s">
        <v>1596</v>
      </c>
      <c r="C2538" s="6" t="s">
        <v>1006</v>
      </c>
      <c r="D2538" s="6" t="s">
        <v>989</v>
      </c>
      <c r="E2538" s="6"/>
      <c r="G2538" s="6">
        <v>150</v>
      </c>
      <c r="H2538" s="6">
        <v>200</v>
      </c>
      <c r="K2538" s="7">
        <v>44006709</v>
      </c>
      <c r="L2538" s="6" t="str">
        <f t="shared" si="257"/>
        <v>YT ZARA  BAZA  150x200</v>
      </c>
      <c r="M2538" s="12">
        <v>0.1</v>
      </c>
      <c r="N2538" s="12">
        <v>0.1</v>
      </c>
      <c r="O2538" s="8">
        <v>10690</v>
      </c>
      <c r="P2538" s="8">
        <f t="shared" si="254"/>
        <v>9621</v>
      </c>
      <c r="Q2538" s="12">
        <f t="shared" si="255"/>
        <v>20204.100000000002</v>
      </c>
      <c r="R2538" s="31">
        <f t="shared" si="256"/>
        <v>20200</v>
      </c>
    </row>
    <row r="2539" spans="1:18" ht="21.95" customHeight="1" x14ac:dyDescent="0.2">
      <c r="A2539" s="6" t="s">
        <v>943</v>
      </c>
      <c r="B2539" s="6" t="s">
        <v>1596</v>
      </c>
      <c r="C2539" s="6" t="s">
        <v>1006</v>
      </c>
      <c r="D2539" s="6" t="s">
        <v>989</v>
      </c>
      <c r="E2539" s="6"/>
      <c r="G2539" s="6">
        <v>160</v>
      </c>
      <c r="H2539" s="6">
        <v>200</v>
      </c>
      <c r="K2539" s="7">
        <v>44006710</v>
      </c>
      <c r="L2539" s="6" t="str">
        <f t="shared" si="257"/>
        <v>YT ZARA  BAZA  160x200</v>
      </c>
      <c r="M2539" s="12">
        <v>0.1</v>
      </c>
      <c r="N2539" s="12">
        <v>0.1</v>
      </c>
      <c r="O2539" s="8">
        <v>11140</v>
      </c>
      <c r="P2539" s="8">
        <f t="shared" si="254"/>
        <v>10026</v>
      </c>
      <c r="Q2539" s="12">
        <f t="shared" si="255"/>
        <v>21054.600000000002</v>
      </c>
      <c r="R2539" s="31">
        <f t="shared" si="256"/>
        <v>21000</v>
      </c>
    </row>
    <row r="2540" spans="1:18" ht="21.95" customHeight="1" x14ac:dyDescent="0.2">
      <c r="A2540" s="6" t="s">
        <v>943</v>
      </c>
      <c r="B2540" s="6" t="s">
        <v>1596</v>
      </c>
      <c r="C2540" s="6" t="s">
        <v>1006</v>
      </c>
      <c r="D2540" s="6" t="s">
        <v>989</v>
      </c>
      <c r="E2540" s="6"/>
      <c r="G2540" s="6">
        <v>180</v>
      </c>
      <c r="H2540" s="6">
        <v>200</v>
      </c>
      <c r="K2540" s="7">
        <v>44006711</v>
      </c>
      <c r="L2540" s="6" t="str">
        <f t="shared" si="257"/>
        <v>YT ZARA  BAZA  180x200</v>
      </c>
      <c r="M2540" s="12">
        <v>0.1</v>
      </c>
      <c r="N2540" s="12">
        <v>0.1</v>
      </c>
      <c r="O2540" s="8">
        <v>12010</v>
      </c>
      <c r="P2540" s="8">
        <f t="shared" si="254"/>
        <v>10809</v>
      </c>
      <c r="Q2540" s="12">
        <f t="shared" si="255"/>
        <v>22698.9</v>
      </c>
      <c r="R2540" s="31">
        <f t="shared" si="256"/>
        <v>22600</v>
      </c>
    </row>
    <row r="2541" spans="1:18" ht="21.95" customHeight="1" x14ac:dyDescent="0.2">
      <c r="A2541" s="6" t="s">
        <v>943</v>
      </c>
      <c r="B2541" s="6" t="s">
        <v>1596</v>
      </c>
      <c r="C2541" s="6" t="s">
        <v>1006</v>
      </c>
      <c r="D2541" s="6" t="s">
        <v>989</v>
      </c>
      <c r="E2541" s="6"/>
      <c r="G2541" s="6">
        <v>200</v>
      </c>
      <c r="H2541" s="6">
        <v>200</v>
      </c>
      <c r="K2541" s="7">
        <v>44006712</v>
      </c>
      <c r="L2541" s="6" t="str">
        <f t="shared" si="257"/>
        <v>YT ZARA  BAZA  200x200</v>
      </c>
      <c r="M2541" s="12">
        <v>0.1</v>
      </c>
      <c r="N2541" s="12">
        <v>0.1</v>
      </c>
      <c r="O2541" s="8">
        <v>12890</v>
      </c>
      <c r="P2541" s="8">
        <f t="shared" si="254"/>
        <v>11601</v>
      </c>
      <c r="Q2541" s="12">
        <f t="shared" si="255"/>
        <v>24362.100000000002</v>
      </c>
      <c r="R2541" s="31">
        <f t="shared" si="256"/>
        <v>24300</v>
      </c>
    </row>
    <row r="2542" spans="1:18" ht="21.95" customHeight="1" x14ac:dyDescent="0.2">
      <c r="A2542" s="6" t="s">
        <v>943</v>
      </c>
      <c r="B2542" s="6" t="s">
        <v>1596</v>
      </c>
      <c r="C2542" s="6" t="s">
        <v>1006</v>
      </c>
      <c r="D2542" s="6" t="s">
        <v>1003</v>
      </c>
      <c r="E2542" s="6"/>
      <c r="G2542" s="6">
        <v>150</v>
      </c>
      <c r="H2542" s="6">
        <v>200</v>
      </c>
      <c r="K2542" s="7">
        <v>44006713</v>
      </c>
      <c r="L2542" s="6" t="str">
        <f t="shared" si="257"/>
        <v>YT ZARA  BAŞLIK  150x200</v>
      </c>
      <c r="M2542" s="12">
        <v>0.1</v>
      </c>
      <c r="N2542" s="12">
        <v>0.1</v>
      </c>
      <c r="O2542" s="8">
        <v>5040</v>
      </c>
      <c r="P2542" s="8">
        <f t="shared" si="254"/>
        <v>4536</v>
      </c>
      <c r="Q2542" s="12">
        <f t="shared" si="255"/>
        <v>9525.6</v>
      </c>
      <c r="R2542" s="31">
        <f t="shared" si="256"/>
        <v>9500</v>
      </c>
    </row>
    <row r="2543" spans="1:18" ht="21.95" customHeight="1" x14ac:dyDescent="0.2">
      <c r="A2543" s="6" t="s">
        <v>943</v>
      </c>
      <c r="B2543" s="6" t="s">
        <v>1596</v>
      </c>
      <c r="C2543" s="6" t="s">
        <v>1006</v>
      </c>
      <c r="D2543" s="6" t="s">
        <v>1003</v>
      </c>
      <c r="E2543" s="6"/>
      <c r="G2543" s="6">
        <v>160</v>
      </c>
      <c r="H2543" s="6">
        <v>200</v>
      </c>
      <c r="K2543" s="7">
        <v>44006714</v>
      </c>
      <c r="L2543" s="6" t="str">
        <f t="shared" si="257"/>
        <v>YT ZARA  BAŞLIK  160x200</v>
      </c>
      <c r="M2543" s="12">
        <v>0.1</v>
      </c>
      <c r="N2543" s="12">
        <v>0.1</v>
      </c>
      <c r="O2543" s="8">
        <v>5400</v>
      </c>
      <c r="P2543" s="8">
        <f t="shared" si="254"/>
        <v>4860</v>
      </c>
      <c r="Q2543" s="12">
        <f t="shared" si="255"/>
        <v>10206</v>
      </c>
      <c r="R2543" s="31">
        <f t="shared" si="256"/>
        <v>10200</v>
      </c>
    </row>
    <row r="2544" spans="1:18" ht="21.95" customHeight="1" x14ac:dyDescent="0.2">
      <c r="A2544" s="6" t="s">
        <v>943</v>
      </c>
      <c r="B2544" s="6" t="s">
        <v>1596</v>
      </c>
      <c r="C2544" s="6" t="s">
        <v>1006</v>
      </c>
      <c r="D2544" s="6" t="s">
        <v>950</v>
      </c>
      <c r="E2544" s="6"/>
      <c r="G2544" s="6">
        <v>180</v>
      </c>
      <c r="H2544" s="6">
        <v>200</v>
      </c>
      <c r="K2544" s="7">
        <v>44006715</v>
      </c>
      <c r="L2544" s="6" t="str">
        <f t="shared" si="257"/>
        <v>YT ZARA  BAŞLIK 180x200</v>
      </c>
      <c r="M2544" s="12">
        <v>0.1</v>
      </c>
      <c r="N2544" s="12">
        <v>0.1</v>
      </c>
      <c r="O2544" s="8">
        <v>5640</v>
      </c>
      <c r="P2544" s="8">
        <f t="shared" si="254"/>
        <v>5076</v>
      </c>
      <c r="Q2544" s="12">
        <f t="shared" si="255"/>
        <v>10659.6</v>
      </c>
      <c r="R2544" s="31">
        <f t="shared" si="256"/>
        <v>10600</v>
      </c>
    </row>
    <row r="2545" spans="1:18" ht="21.95" customHeight="1" x14ac:dyDescent="0.2">
      <c r="A2545" s="6" t="s">
        <v>943</v>
      </c>
      <c r="B2545" s="6" t="s">
        <v>1596</v>
      </c>
      <c r="C2545" s="6" t="s">
        <v>1006</v>
      </c>
      <c r="D2545" s="6" t="s">
        <v>1003</v>
      </c>
      <c r="E2545" s="6"/>
      <c r="G2545" s="6">
        <v>200</v>
      </c>
      <c r="H2545" s="6">
        <v>200</v>
      </c>
      <c r="K2545" s="7">
        <v>44006716</v>
      </c>
      <c r="L2545" s="6" t="str">
        <f t="shared" si="257"/>
        <v>YT ZARA  BAŞLIK  200x200</v>
      </c>
      <c r="M2545" s="12">
        <v>0.1</v>
      </c>
      <c r="N2545" s="12">
        <v>0.1</v>
      </c>
      <c r="O2545" s="8">
        <v>5970</v>
      </c>
      <c r="P2545" s="8">
        <f t="shared" si="254"/>
        <v>5373</v>
      </c>
      <c r="Q2545" s="12">
        <f t="shared" si="255"/>
        <v>11283.300000000001</v>
      </c>
      <c r="R2545" s="31">
        <f t="shared" si="256"/>
        <v>11200</v>
      </c>
    </row>
    <row r="2546" spans="1:18" ht="21.95" customHeight="1" x14ac:dyDescent="0.2">
      <c r="A2546" s="6" t="s">
        <v>943</v>
      </c>
      <c r="B2546" s="6" t="s">
        <v>1596</v>
      </c>
      <c r="C2546" s="6" t="s">
        <v>1006</v>
      </c>
      <c r="D2546" s="6" t="s">
        <v>948</v>
      </c>
      <c r="E2546" s="6"/>
      <c r="G2546" s="6">
        <v>45</v>
      </c>
      <c r="H2546" s="6">
        <v>50</v>
      </c>
      <c r="I2546" s="7">
        <v>45</v>
      </c>
      <c r="K2546" s="7">
        <v>44006717</v>
      </c>
      <c r="L2546" s="6" t="str">
        <f t="shared" si="257"/>
        <v>YT ZARA  KOMİDİN 45x50</v>
      </c>
      <c r="M2546" s="12">
        <v>0.1</v>
      </c>
      <c r="N2546" s="12">
        <v>0.1</v>
      </c>
      <c r="O2546" s="8">
        <v>4700</v>
      </c>
      <c r="P2546" s="8">
        <f t="shared" si="254"/>
        <v>4230</v>
      </c>
      <c r="Q2546" s="12">
        <f t="shared" si="255"/>
        <v>8883</v>
      </c>
      <c r="R2546" s="31">
        <f t="shared" si="256"/>
        <v>8800</v>
      </c>
    </row>
    <row r="2547" spans="1:18" ht="21.95" customHeight="1" x14ac:dyDescent="0.2">
      <c r="A2547" s="6" t="s">
        <v>943</v>
      </c>
      <c r="B2547" s="6" t="s">
        <v>1596</v>
      </c>
      <c r="C2547" s="6" t="s">
        <v>1007</v>
      </c>
      <c r="D2547" s="6" t="s">
        <v>951</v>
      </c>
      <c r="E2547" s="6"/>
      <c r="G2547" s="6">
        <v>60</v>
      </c>
      <c r="H2547" s="6">
        <v>130</v>
      </c>
      <c r="I2547" s="7">
        <v>46</v>
      </c>
      <c r="K2547" s="7">
        <v>44006718</v>
      </c>
      <c r="L2547" s="6" t="str">
        <f t="shared" si="257"/>
        <v>YT ZARA MARKİZ 60x130</v>
      </c>
      <c r="M2547" s="12">
        <v>0.1</v>
      </c>
      <c r="N2547" s="12">
        <v>0.1</v>
      </c>
      <c r="O2547" s="8">
        <v>6680</v>
      </c>
      <c r="P2547" s="8">
        <f t="shared" si="254"/>
        <v>6012</v>
      </c>
      <c r="Q2547" s="12">
        <f t="shared" si="255"/>
        <v>12625.2</v>
      </c>
      <c r="R2547" s="31">
        <f t="shared" si="256"/>
        <v>12600</v>
      </c>
    </row>
    <row r="2548" spans="1:18" ht="21.95" customHeight="1" x14ac:dyDescent="0.2">
      <c r="A2548" s="6" t="s">
        <v>943</v>
      </c>
      <c r="B2548" s="6" t="s">
        <v>1596</v>
      </c>
      <c r="C2548" s="6" t="s">
        <v>1007</v>
      </c>
      <c r="D2548" s="6" t="s">
        <v>78</v>
      </c>
      <c r="E2548" s="6"/>
      <c r="G2548" s="6">
        <v>45</v>
      </c>
      <c r="H2548" s="6">
        <v>96</v>
      </c>
      <c r="I2548" s="7">
        <v>79</v>
      </c>
      <c r="K2548" s="7">
        <v>44006719</v>
      </c>
      <c r="L2548" s="6" t="str">
        <f t="shared" si="257"/>
        <v>YT ZARA ŞİFONYER 45x96</v>
      </c>
      <c r="M2548" s="12">
        <v>0.1</v>
      </c>
      <c r="N2548" s="12">
        <v>0.1</v>
      </c>
      <c r="O2548" s="8">
        <v>9580</v>
      </c>
      <c r="P2548" s="8">
        <f t="shared" si="254"/>
        <v>8622</v>
      </c>
      <c r="Q2548" s="12">
        <f t="shared" si="255"/>
        <v>18106.2</v>
      </c>
      <c r="R2548" s="31">
        <f t="shared" si="256"/>
        <v>18100</v>
      </c>
    </row>
    <row r="2549" spans="1:18" ht="21.95" customHeight="1" x14ac:dyDescent="0.2">
      <c r="A2549" s="6" t="s">
        <v>943</v>
      </c>
      <c r="B2549" s="6" t="s">
        <v>1596</v>
      </c>
      <c r="C2549" s="6" t="s">
        <v>965</v>
      </c>
      <c r="D2549" s="6" t="s">
        <v>152</v>
      </c>
      <c r="E2549" s="6"/>
      <c r="K2549" s="7">
        <v>44006720</v>
      </c>
      <c r="L2549" s="6" t="str">
        <f>B2549&amp;" "&amp;C2549&amp;" "&amp;D2549&amp;" "</f>
        <v xml:space="preserve">YT LEDLİ AYNA AYNA </v>
      </c>
      <c r="M2549" s="12">
        <v>0.1</v>
      </c>
      <c r="N2549" s="12">
        <v>0.1</v>
      </c>
      <c r="O2549" s="8">
        <v>8020</v>
      </c>
      <c r="P2549" s="8">
        <f t="shared" si="254"/>
        <v>7218</v>
      </c>
      <c r="Q2549" s="12">
        <f t="shared" si="255"/>
        <v>15157.800000000001</v>
      </c>
      <c r="R2549" s="31">
        <f t="shared" si="256"/>
        <v>15100</v>
      </c>
    </row>
    <row r="2550" spans="1:18" ht="21.95" customHeight="1" x14ac:dyDescent="0.2">
      <c r="A2550" s="6" t="s">
        <v>943</v>
      </c>
      <c r="B2550" s="6" t="s">
        <v>1596</v>
      </c>
      <c r="C2550" s="6" t="s">
        <v>1008</v>
      </c>
      <c r="D2550" s="6" t="s">
        <v>989</v>
      </c>
      <c r="E2550" s="6"/>
      <c r="G2550" s="6">
        <v>150</v>
      </c>
      <c r="H2550" s="6">
        <v>200</v>
      </c>
      <c r="K2550" s="7">
        <v>44006721</v>
      </c>
      <c r="L2550" s="6" t="str">
        <f t="shared" ref="L2550:L2566" si="258">B2550&amp;" "&amp;C2550&amp;" "&amp;D2550&amp;" "&amp;G2550&amp;"x"&amp;H2550</f>
        <v>YT SARAY  BAZA  150x200</v>
      </c>
      <c r="M2550" s="12">
        <v>0.1</v>
      </c>
      <c r="N2550" s="12">
        <v>0.1</v>
      </c>
      <c r="O2550" s="8">
        <v>10050</v>
      </c>
      <c r="P2550" s="8">
        <f t="shared" si="254"/>
        <v>9045</v>
      </c>
      <c r="Q2550" s="12">
        <f t="shared" si="255"/>
        <v>18994.5</v>
      </c>
      <c r="R2550" s="31">
        <f t="shared" si="256"/>
        <v>18900</v>
      </c>
    </row>
    <row r="2551" spans="1:18" ht="21.95" customHeight="1" x14ac:dyDescent="0.2">
      <c r="A2551" s="6" t="s">
        <v>943</v>
      </c>
      <c r="B2551" s="6" t="s">
        <v>1596</v>
      </c>
      <c r="C2551" s="6" t="s">
        <v>1008</v>
      </c>
      <c r="D2551" s="6" t="s">
        <v>989</v>
      </c>
      <c r="E2551" s="6"/>
      <c r="G2551" s="6">
        <v>160</v>
      </c>
      <c r="H2551" s="6">
        <v>200</v>
      </c>
      <c r="K2551" s="7">
        <v>44006722</v>
      </c>
      <c r="L2551" s="6" t="str">
        <f t="shared" si="258"/>
        <v>YT SARAY  BAZA  160x200</v>
      </c>
      <c r="M2551" s="12">
        <v>0.1</v>
      </c>
      <c r="N2551" s="12">
        <v>0.1</v>
      </c>
      <c r="O2551" s="8">
        <v>10470</v>
      </c>
      <c r="P2551" s="8">
        <f t="shared" si="254"/>
        <v>9423</v>
      </c>
      <c r="Q2551" s="12">
        <f t="shared" si="255"/>
        <v>19788.3</v>
      </c>
      <c r="R2551" s="31">
        <f t="shared" si="256"/>
        <v>19700</v>
      </c>
    </row>
    <row r="2552" spans="1:18" ht="21.95" customHeight="1" x14ac:dyDescent="0.2">
      <c r="A2552" s="6" t="s">
        <v>943</v>
      </c>
      <c r="B2552" s="6" t="s">
        <v>1596</v>
      </c>
      <c r="C2552" s="6" t="s">
        <v>1008</v>
      </c>
      <c r="D2552" s="6" t="s">
        <v>989</v>
      </c>
      <c r="E2552" s="6"/>
      <c r="G2552" s="6">
        <v>180</v>
      </c>
      <c r="H2552" s="6">
        <v>200</v>
      </c>
      <c r="K2552" s="7">
        <v>44006723</v>
      </c>
      <c r="L2552" s="6" t="str">
        <f t="shared" si="258"/>
        <v>YT SARAY  BAZA  180x200</v>
      </c>
      <c r="M2552" s="12">
        <v>0.1</v>
      </c>
      <c r="N2552" s="12">
        <v>0.1</v>
      </c>
      <c r="O2552" s="8">
        <v>11280</v>
      </c>
      <c r="P2552" s="8">
        <f t="shared" si="254"/>
        <v>10152</v>
      </c>
      <c r="Q2552" s="12">
        <f t="shared" si="255"/>
        <v>21319.200000000001</v>
      </c>
      <c r="R2552" s="31">
        <f t="shared" si="256"/>
        <v>21300</v>
      </c>
    </row>
    <row r="2553" spans="1:18" ht="21.95" customHeight="1" x14ac:dyDescent="0.2">
      <c r="A2553" s="6" t="s">
        <v>943</v>
      </c>
      <c r="B2553" s="6" t="s">
        <v>1596</v>
      </c>
      <c r="C2553" s="6" t="s">
        <v>1008</v>
      </c>
      <c r="D2553" s="6" t="s">
        <v>989</v>
      </c>
      <c r="E2553" s="6"/>
      <c r="G2553" s="6">
        <v>200</v>
      </c>
      <c r="H2553" s="6">
        <v>200</v>
      </c>
      <c r="K2553" s="7">
        <v>44006724</v>
      </c>
      <c r="L2553" s="6" t="str">
        <f t="shared" si="258"/>
        <v>YT SARAY  BAZA  200x200</v>
      </c>
      <c r="M2553" s="12">
        <v>0.1</v>
      </c>
      <c r="N2553" s="12">
        <v>0.1</v>
      </c>
      <c r="O2553" s="8">
        <v>12120</v>
      </c>
      <c r="P2553" s="8">
        <f t="shared" si="254"/>
        <v>10908</v>
      </c>
      <c r="Q2553" s="12">
        <f t="shared" si="255"/>
        <v>22906.799999999999</v>
      </c>
      <c r="R2553" s="31">
        <f t="shared" si="256"/>
        <v>22900</v>
      </c>
    </row>
    <row r="2554" spans="1:18" ht="21.95" customHeight="1" x14ac:dyDescent="0.2">
      <c r="A2554" s="6" t="s">
        <v>943</v>
      </c>
      <c r="B2554" s="6" t="s">
        <v>1596</v>
      </c>
      <c r="C2554" s="6" t="s">
        <v>1009</v>
      </c>
      <c r="D2554" s="6" t="s">
        <v>1003</v>
      </c>
      <c r="E2554" s="6"/>
      <c r="G2554" s="6">
        <v>150</v>
      </c>
      <c r="H2554" s="6">
        <v>200</v>
      </c>
      <c r="K2554" s="7">
        <v>44006725</v>
      </c>
      <c r="L2554" s="6" t="str">
        <f t="shared" si="258"/>
        <v>YT PETEK  BAŞLIK  150x200</v>
      </c>
      <c r="M2554" s="12">
        <v>0.1</v>
      </c>
      <c r="N2554" s="12">
        <v>0.1</v>
      </c>
      <c r="O2554" s="8">
        <v>7340</v>
      </c>
      <c r="P2554" s="8">
        <f t="shared" si="254"/>
        <v>6606</v>
      </c>
      <c r="Q2554" s="12">
        <f t="shared" si="255"/>
        <v>13872.6</v>
      </c>
      <c r="R2554" s="31">
        <f t="shared" si="256"/>
        <v>13800</v>
      </c>
    </row>
    <row r="2555" spans="1:18" ht="21.95" customHeight="1" x14ac:dyDescent="0.2">
      <c r="A2555" s="6" t="s">
        <v>943</v>
      </c>
      <c r="B2555" s="6" t="s">
        <v>1596</v>
      </c>
      <c r="C2555" s="6" t="s">
        <v>1009</v>
      </c>
      <c r="D2555" s="6" t="s">
        <v>1003</v>
      </c>
      <c r="E2555" s="6"/>
      <c r="G2555" s="6">
        <v>160</v>
      </c>
      <c r="H2555" s="6">
        <v>200</v>
      </c>
      <c r="K2555" s="7">
        <v>44006726</v>
      </c>
      <c r="L2555" s="6" t="str">
        <f t="shared" si="258"/>
        <v>YT PETEK  BAŞLIK  160x200</v>
      </c>
      <c r="M2555" s="12">
        <v>0.1</v>
      </c>
      <c r="N2555" s="12">
        <v>0.1</v>
      </c>
      <c r="O2555" s="8">
        <v>7850</v>
      </c>
      <c r="P2555" s="8">
        <f t="shared" si="254"/>
        <v>7065</v>
      </c>
      <c r="Q2555" s="12">
        <f t="shared" si="255"/>
        <v>14836.5</v>
      </c>
      <c r="R2555" s="31">
        <f t="shared" si="256"/>
        <v>14800</v>
      </c>
    </row>
    <row r="2556" spans="1:18" ht="21.95" customHeight="1" x14ac:dyDescent="0.2">
      <c r="A2556" s="6" t="s">
        <v>943</v>
      </c>
      <c r="B2556" s="6" t="s">
        <v>1596</v>
      </c>
      <c r="C2556" s="6" t="s">
        <v>1009</v>
      </c>
      <c r="D2556" s="6" t="s">
        <v>1003</v>
      </c>
      <c r="E2556" s="6"/>
      <c r="G2556" s="6">
        <v>180</v>
      </c>
      <c r="H2556" s="6">
        <v>200</v>
      </c>
      <c r="K2556" s="7">
        <v>44006727</v>
      </c>
      <c r="L2556" s="6" t="str">
        <f t="shared" si="258"/>
        <v>YT PETEK  BAŞLIK  180x200</v>
      </c>
      <c r="M2556" s="12">
        <v>0.1</v>
      </c>
      <c r="N2556" s="12">
        <v>0.1</v>
      </c>
      <c r="O2556" s="8">
        <v>8610</v>
      </c>
      <c r="P2556" s="8">
        <f t="shared" si="254"/>
        <v>7749</v>
      </c>
      <c r="Q2556" s="12">
        <f t="shared" si="255"/>
        <v>16272.900000000001</v>
      </c>
      <c r="R2556" s="31">
        <f t="shared" si="256"/>
        <v>16200</v>
      </c>
    </row>
    <row r="2557" spans="1:18" ht="21.95" customHeight="1" x14ac:dyDescent="0.2">
      <c r="A2557" s="6" t="s">
        <v>943</v>
      </c>
      <c r="B2557" s="6" t="s">
        <v>1596</v>
      </c>
      <c r="C2557" s="6" t="s">
        <v>1009</v>
      </c>
      <c r="D2557" s="6" t="s">
        <v>1003</v>
      </c>
      <c r="E2557" s="6"/>
      <c r="G2557" s="6">
        <v>200</v>
      </c>
      <c r="H2557" s="6">
        <v>200</v>
      </c>
      <c r="K2557" s="7">
        <v>44006728</v>
      </c>
      <c r="L2557" s="6" t="str">
        <f t="shared" si="258"/>
        <v>YT PETEK  BAŞLIK  200x200</v>
      </c>
      <c r="M2557" s="12">
        <v>0.1</v>
      </c>
      <c r="N2557" s="12">
        <v>0.1</v>
      </c>
      <c r="O2557" s="8">
        <v>9350</v>
      </c>
      <c r="P2557" s="8">
        <f t="shared" si="254"/>
        <v>8415</v>
      </c>
      <c r="Q2557" s="12">
        <f t="shared" si="255"/>
        <v>17671.5</v>
      </c>
      <c r="R2557" s="31">
        <f t="shared" si="256"/>
        <v>17600</v>
      </c>
    </row>
    <row r="2558" spans="1:18" ht="21.95" customHeight="1" x14ac:dyDescent="0.2">
      <c r="A2558" s="6" t="s">
        <v>943</v>
      </c>
      <c r="B2558" s="6" t="s">
        <v>1596</v>
      </c>
      <c r="C2558" s="6" t="s">
        <v>961</v>
      </c>
      <c r="D2558" s="6" t="s">
        <v>78</v>
      </c>
      <c r="E2558" s="6"/>
      <c r="G2558" s="6">
        <v>46</v>
      </c>
      <c r="H2558" s="6">
        <v>101</v>
      </c>
      <c r="I2558" s="7">
        <v>90</v>
      </c>
      <c r="K2558" s="7">
        <v>44006729</v>
      </c>
      <c r="L2558" s="6" t="str">
        <f t="shared" si="258"/>
        <v>YT DORMEO ŞİFONYER 46x101</v>
      </c>
      <c r="M2558" s="12">
        <v>0.1</v>
      </c>
      <c r="N2558" s="12">
        <v>0.1</v>
      </c>
      <c r="O2558" s="8">
        <v>10080</v>
      </c>
      <c r="P2558" s="8">
        <f t="shared" si="254"/>
        <v>9072</v>
      </c>
      <c r="Q2558" s="12">
        <f t="shared" si="255"/>
        <v>19051.2</v>
      </c>
      <c r="R2558" s="31">
        <f t="shared" si="256"/>
        <v>19000</v>
      </c>
    </row>
    <row r="2559" spans="1:18" ht="21.95" customHeight="1" x14ac:dyDescent="0.2">
      <c r="A2559" s="6" t="s">
        <v>943</v>
      </c>
      <c r="B2559" s="6" t="s">
        <v>1596</v>
      </c>
      <c r="C2559" s="6" t="s">
        <v>1010</v>
      </c>
      <c r="D2559" s="6" t="s">
        <v>989</v>
      </c>
      <c r="E2559" s="6"/>
      <c r="G2559" s="6">
        <v>150</v>
      </c>
      <c r="H2559" s="6">
        <v>200</v>
      </c>
      <c r="K2559" s="7">
        <v>44006730</v>
      </c>
      <c r="L2559" s="6" t="str">
        <f t="shared" si="258"/>
        <v>YT HİLAL  BAZA  150x200</v>
      </c>
      <c r="M2559" s="12">
        <v>0.1</v>
      </c>
      <c r="N2559" s="12">
        <v>0.1</v>
      </c>
      <c r="O2559" s="8">
        <v>10980</v>
      </c>
      <c r="P2559" s="8">
        <f t="shared" si="254"/>
        <v>9882</v>
      </c>
      <c r="Q2559" s="12">
        <f t="shared" si="255"/>
        <v>20752.2</v>
      </c>
      <c r="R2559" s="31">
        <f t="shared" si="256"/>
        <v>20700</v>
      </c>
    </row>
    <row r="2560" spans="1:18" ht="21.95" customHeight="1" x14ac:dyDescent="0.2">
      <c r="A2560" s="6" t="s">
        <v>943</v>
      </c>
      <c r="B2560" s="6" t="s">
        <v>1596</v>
      </c>
      <c r="C2560" s="6" t="s">
        <v>1010</v>
      </c>
      <c r="D2560" s="6" t="s">
        <v>989</v>
      </c>
      <c r="E2560" s="6"/>
      <c r="G2560" s="6">
        <v>160</v>
      </c>
      <c r="H2560" s="6">
        <v>200</v>
      </c>
      <c r="K2560" s="7">
        <v>44006731</v>
      </c>
      <c r="L2560" s="6" t="str">
        <f t="shared" si="258"/>
        <v>YT HİLAL  BAZA  160x200</v>
      </c>
      <c r="M2560" s="12">
        <v>0.1</v>
      </c>
      <c r="N2560" s="12">
        <v>0.1</v>
      </c>
      <c r="O2560" s="8">
        <v>11430</v>
      </c>
      <c r="P2560" s="8">
        <f t="shared" si="254"/>
        <v>10287</v>
      </c>
      <c r="Q2560" s="12">
        <f t="shared" si="255"/>
        <v>21602.7</v>
      </c>
      <c r="R2560" s="31">
        <f t="shared" si="256"/>
        <v>21600</v>
      </c>
    </row>
    <row r="2561" spans="1:18" ht="21.95" customHeight="1" x14ac:dyDescent="0.2">
      <c r="A2561" s="6" t="s">
        <v>943</v>
      </c>
      <c r="B2561" s="6" t="s">
        <v>1596</v>
      </c>
      <c r="C2561" s="6" t="s">
        <v>1010</v>
      </c>
      <c r="D2561" s="6" t="s">
        <v>989</v>
      </c>
      <c r="E2561" s="6"/>
      <c r="G2561" s="6">
        <v>180</v>
      </c>
      <c r="H2561" s="6">
        <v>200</v>
      </c>
      <c r="K2561" s="7">
        <v>44006732</v>
      </c>
      <c r="L2561" s="6" t="str">
        <f t="shared" si="258"/>
        <v>YT HİLAL  BAZA  180x200</v>
      </c>
      <c r="M2561" s="12">
        <v>0.1</v>
      </c>
      <c r="N2561" s="12">
        <v>0.1</v>
      </c>
      <c r="O2561" s="8">
        <v>12340</v>
      </c>
      <c r="P2561" s="8">
        <f t="shared" si="254"/>
        <v>11106</v>
      </c>
      <c r="Q2561" s="12">
        <f t="shared" si="255"/>
        <v>23322.600000000002</v>
      </c>
      <c r="R2561" s="31">
        <f t="shared" si="256"/>
        <v>23300</v>
      </c>
    </row>
    <row r="2562" spans="1:18" ht="21.95" customHeight="1" x14ac:dyDescent="0.2">
      <c r="A2562" s="6" t="s">
        <v>943</v>
      </c>
      <c r="B2562" s="6" t="s">
        <v>1596</v>
      </c>
      <c r="C2562" s="6" t="s">
        <v>1010</v>
      </c>
      <c r="D2562" s="6" t="s">
        <v>989</v>
      </c>
      <c r="E2562" s="6"/>
      <c r="G2562" s="6">
        <v>200</v>
      </c>
      <c r="H2562" s="6">
        <v>200</v>
      </c>
      <c r="K2562" s="7">
        <v>44006733</v>
      </c>
      <c r="L2562" s="6" t="str">
        <f t="shared" si="258"/>
        <v>YT HİLAL  BAZA  200x200</v>
      </c>
      <c r="M2562" s="12">
        <v>0.1</v>
      </c>
      <c r="N2562" s="12">
        <v>0.1</v>
      </c>
      <c r="O2562" s="8">
        <v>13240</v>
      </c>
      <c r="P2562" s="8">
        <f t="shared" si="254"/>
        <v>11916</v>
      </c>
      <c r="Q2562" s="12">
        <f t="shared" si="255"/>
        <v>25023.600000000002</v>
      </c>
      <c r="R2562" s="31">
        <f t="shared" si="256"/>
        <v>25000</v>
      </c>
    </row>
    <row r="2563" spans="1:18" ht="21.95" customHeight="1" x14ac:dyDescent="0.2">
      <c r="A2563" s="6" t="s">
        <v>943</v>
      </c>
      <c r="B2563" s="6" t="s">
        <v>1596</v>
      </c>
      <c r="C2563" s="6" t="s">
        <v>1010</v>
      </c>
      <c r="D2563" s="6" t="s">
        <v>950</v>
      </c>
      <c r="E2563" s="6"/>
      <c r="G2563" s="6">
        <v>150</v>
      </c>
      <c r="H2563" s="6">
        <v>200</v>
      </c>
      <c r="K2563" s="7">
        <v>44006734</v>
      </c>
      <c r="L2563" s="6" t="str">
        <f t="shared" si="258"/>
        <v>YT HİLAL  BAŞLIK 150x200</v>
      </c>
      <c r="M2563" s="12">
        <v>0.1</v>
      </c>
      <c r="N2563" s="12">
        <v>0.1</v>
      </c>
      <c r="O2563" s="8">
        <v>7310</v>
      </c>
      <c r="P2563" s="8">
        <f t="shared" si="254"/>
        <v>6579</v>
      </c>
      <c r="Q2563" s="12">
        <f t="shared" si="255"/>
        <v>13815.900000000001</v>
      </c>
      <c r="R2563" s="31">
        <f t="shared" si="256"/>
        <v>13800</v>
      </c>
    </row>
    <row r="2564" spans="1:18" ht="21.95" customHeight="1" x14ac:dyDescent="0.2">
      <c r="A2564" s="6" t="s">
        <v>943</v>
      </c>
      <c r="B2564" s="6" t="s">
        <v>1596</v>
      </c>
      <c r="C2564" s="6" t="s">
        <v>1010</v>
      </c>
      <c r="D2564" s="6" t="s">
        <v>950</v>
      </c>
      <c r="E2564" s="6"/>
      <c r="G2564" s="6">
        <v>160</v>
      </c>
      <c r="H2564" s="6">
        <v>200</v>
      </c>
      <c r="K2564" s="7">
        <v>44006735</v>
      </c>
      <c r="L2564" s="6" t="str">
        <f t="shared" si="258"/>
        <v>YT HİLAL  BAŞLIK 160x200</v>
      </c>
      <c r="M2564" s="12">
        <v>0.1</v>
      </c>
      <c r="N2564" s="12">
        <v>0.1</v>
      </c>
      <c r="O2564" s="8">
        <v>7720</v>
      </c>
      <c r="P2564" s="8">
        <f t="shared" si="254"/>
        <v>6948</v>
      </c>
      <c r="Q2564" s="12">
        <f t="shared" si="255"/>
        <v>14590.800000000001</v>
      </c>
      <c r="R2564" s="31">
        <f t="shared" si="256"/>
        <v>14500</v>
      </c>
    </row>
    <row r="2565" spans="1:18" ht="21.95" customHeight="1" x14ac:dyDescent="0.2">
      <c r="A2565" s="6" t="s">
        <v>943</v>
      </c>
      <c r="B2565" s="6" t="s">
        <v>1596</v>
      </c>
      <c r="C2565" s="6" t="s">
        <v>1010</v>
      </c>
      <c r="D2565" s="6" t="s">
        <v>950</v>
      </c>
      <c r="E2565" s="6"/>
      <c r="G2565" s="6">
        <v>180</v>
      </c>
      <c r="H2565" s="6">
        <v>200</v>
      </c>
      <c r="K2565" s="7">
        <v>44006736</v>
      </c>
      <c r="L2565" s="6" t="str">
        <f t="shared" si="258"/>
        <v>YT HİLAL  BAŞLIK 180x200</v>
      </c>
      <c r="M2565" s="12">
        <v>0.1</v>
      </c>
      <c r="N2565" s="12">
        <v>0.1</v>
      </c>
      <c r="O2565" s="8">
        <v>8330</v>
      </c>
      <c r="P2565" s="8">
        <f t="shared" si="254"/>
        <v>7497</v>
      </c>
      <c r="Q2565" s="12">
        <f t="shared" si="255"/>
        <v>15743.7</v>
      </c>
      <c r="R2565" s="31">
        <f t="shared" si="256"/>
        <v>15700</v>
      </c>
    </row>
    <row r="2566" spans="1:18" ht="21.95" customHeight="1" x14ac:dyDescent="0.2">
      <c r="A2566" s="6" t="s">
        <v>943</v>
      </c>
      <c r="B2566" s="6" t="s">
        <v>1596</v>
      </c>
      <c r="C2566" s="6" t="s">
        <v>1010</v>
      </c>
      <c r="D2566" s="6" t="s">
        <v>950</v>
      </c>
      <c r="E2566" s="6"/>
      <c r="G2566" s="6">
        <v>200</v>
      </c>
      <c r="H2566" s="6">
        <v>200</v>
      </c>
      <c r="K2566" s="7">
        <v>44006737</v>
      </c>
      <c r="L2566" s="6" t="str">
        <f t="shared" si="258"/>
        <v>YT HİLAL  BAŞLIK 200x200</v>
      </c>
      <c r="M2566" s="12">
        <v>0.1</v>
      </c>
      <c r="N2566" s="12">
        <v>0.1</v>
      </c>
      <c r="O2566" s="8">
        <v>9220</v>
      </c>
      <c r="P2566" s="8">
        <f t="shared" si="254"/>
        <v>8298</v>
      </c>
      <c r="Q2566" s="12">
        <f t="shared" si="255"/>
        <v>17425.8</v>
      </c>
      <c r="R2566" s="31">
        <f t="shared" si="256"/>
        <v>17400</v>
      </c>
    </row>
    <row r="2567" spans="1:18" ht="21.95" customHeight="1" x14ac:dyDescent="0.2">
      <c r="A2567" s="6" t="s">
        <v>943</v>
      </c>
      <c r="B2567" s="6" t="s">
        <v>1596</v>
      </c>
      <c r="C2567" s="6" t="s">
        <v>1011</v>
      </c>
      <c r="D2567" s="6" t="s">
        <v>948</v>
      </c>
      <c r="E2567" s="6"/>
      <c r="K2567" s="7">
        <v>44006738</v>
      </c>
      <c r="L2567" s="6" t="str">
        <f>B2567&amp;" "&amp;C2567&amp;" "&amp;D2567&amp;" "</f>
        <v xml:space="preserve">YT KRİSTAL  KOMİDİN </v>
      </c>
      <c r="M2567" s="12">
        <v>0.1</v>
      </c>
      <c r="N2567" s="12">
        <v>0.1</v>
      </c>
      <c r="O2567" s="8">
        <v>5000</v>
      </c>
      <c r="P2567" s="8">
        <f t="shared" si="254"/>
        <v>4500</v>
      </c>
      <c r="Q2567" s="12">
        <f t="shared" si="255"/>
        <v>9450</v>
      </c>
      <c r="R2567" s="31">
        <f t="shared" si="256"/>
        <v>9400</v>
      </c>
    </row>
    <row r="2568" spans="1:18" ht="21.95" customHeight="1" x14ac:dyDescent="0.2">
      <c r="A2568" s="6" t="s">
        <v>943</v>
      </c>
      <c r="B2568" s="6" t="s">
        <v>1596</v>
      </c>
      <c r="C2568" s="6" t="s">
        <v>1009</v>
      </c>
      <c r="D2568" s="6" t="s">
        <v>951</v>
      </c>
      <c r="E2568" s="6"/>
      <c r="G2568" s="6">
        <v>42</v>
      </c>
      <c r="H2568" s="6">
        <v>102</v>
      </c>
      <c r="I2568" s="7">
        <v>43</v>
      </c>
      <c r="K2568" s="7">
        <v>44006739</v>
      </c>
      <c r="L2568" s="6" t="str">
        <f t="shared" ref="L2568:L2604" si="259">B2568&amp;" "&amp;C2568&amp;" "&amp;D2568&amp;" "&amp;G2568&amp;"x"&amp;H2568</f>
        <v>YT PETEK  MARKİZ 42x102</v>
      </c>
      <c r="M2568" s="12">
        <v>0.1</v>
      </c>
      <c r="N2568" s="12">
        <v>0.1</v>
      </c>
      <c r="O2568" s="8">
        <v>4600</v>
      </c>
      <c r="P2568" s="8">
        <f t="shared" si="254"/>
        <v>4140</v>
      </c>
      <c r="Q2568" s="12">
        <f t="shared" si="255"/>
        <v>8694</v>
      </c>
      <c r="R2568" s="31">
        <f t="shared" si="256"/>
        <v>8600</v>
      </c>
    </row>
    <row r="2569" spans="1:18" ht="21.95" customHeight="1" x14ac:dyDescent="0.2">
      <c r="A2569" s="6" t="s">
        <v>943</v>
      </c>
      <c r="B2569" s="6" t="s">
        <v>1596</v>
      </c>
      <c r="C2569" s="6" t="s">
        <v>1012</v>
      </c>
      <c r="D2569" s="6" t="s">
        <v>1003</v>
      </c>
      <c r="E2569" s="6"/>
      <c r="G2569" s="6">
        <v>150</v>
      </c>
      <c r="H2569" s="6">
        <v>200</v>
      </c>
      <c r="K2569" s="7">
        <v>44006740</v>
      </c>
      <c r="L2569" s="6" t="str">
        <f t="shared" si="259"/>
        <v>YT LOVE BAŞLIK  150x200</v>
      </c>
      <c r="M2569" s="12">
        <v>0.1</v>
      </c>
      <c r="N2569" s="12">
        <v>0.1</v>
      </c>
      <c r="O2569" s="8">
        <v>7060</v>
      </c>
      <c r="P2569" s="8">
        <f t="shared" si="254"/>
        <v>6354</v>
      </c>
      <c r="Q2569" s="12">
        <f t="shared" si="255"/>
        <v>13343.400000000001</v>
      </c>
      <c r="R2569" s="31">
        <f t="shared" si="256"/>
        <v>13300</v>
      </c>
    </row>
    <row r="2570" spans="1:18" ht="21.95" customHeight="1" x14ac:dyDescent="0.2">
      <c r="A2570" s="6" t="s">
        <v>943</v>
      </c>
      <c r="B2570" s="6" t="s">
        <v>1596</v>
      </c>
      <c r="C2570" s="6" t="s">
        <v>1012</v>
      </c>
      <c r="D2570" s="6" t="s">
        <v>1003</v>
      </c>
      <c r="E2570" s="6"/>
      <c r="G2570" s="6">
        <v>160</v>
      </c>
      <c r="H2570" s="6">
        <v>200</v>
      </c>
      <c r="K2570" s="7">
        <v>44006741</v>
      </c>
      <c r="L2570" s="6" t="str">
        <f t="shared" si="259"/>
        <v>YT LOVE BAŞLIK  160x200</v>
      </c>
      <c r="M2570" s="12">
        <v>0.1</v>
      </c>
      <c r="N2570" s="12">
        <v>0.1</v>
      </c>
      <c r="O2570" s="8">
        <v>7060</v>
      </c>
      <c r="P2570" s="8">
        <f t="shared" si="254"/>
        <v>6354</v>
      </c>
      <c r="Q2570" s="12">
        <f t="shared" si="255"/>
        <v>13343.400000000001</v>
      </c>
      <c r="R2570" s="31">
        <f t="shared" si="256"/>
        <v>13300</v>
      </c>
    </row>
    <row r="2571" spans="1:18" ht="21.95" customHeight="1" x14ac:dyDescent="0.2">
      <c r="A2571" s="6" t="s">
        <v>943</v>
      </c>
      <c r="B2571" s="6" t="s">
        <v>1596</v>
      </c>
      <c r="C2571" s="6" t="s">
        <v>1012</v>
      </c>
      <c r="D2571" s="6" t="s">
        <v>1003</v>
      </c>
      <c r="E2571" s="6"/>
      <c r="G2571" s="6">
        <v>180</v>
      </c>
      <c r="H2571" s="6">
        <v>200</v>
      </c>
      <c r="K2571" s="7">
        <v>44006742</v>
      </c>
      <c r="L2571" s="6" t="str">
        <f t="shared" si="259"/>
        <v>YT LOVE BAŞLIK  180x200</v>
      </c>
      <c r="M2571" s="12">
        <v>0.1</v>
      </c>
      <c r="N2571" s="12">
        <v>0.1</v>
      </c>
      <c r="O2571" s="8">
        <v>7600</v>
      </c>
      <c r="P2571" s="8">
        <f t="shared" si="254"/>
        <v>6840</v>
      </c>
      <c r="Q2571" s="12">
        <f t="shared" si="255"/>
        <v>14364</v>
      </c>
      <c r="R2571" s="31">
        <f t="shared" si="256"/>
        <v>14300</v>
      </c>
    </row>
    <row r="2572" spans="1:18" ht="21.95" customHeight="1" x14ac:dyDescent="0.2">
      <c r="A2572" s="6" t="s">
        <v>943</v>
      </c>
      <c r="B2572" s="6" t="s">
        <v>1596</v>
      </c>
      <c r="C2572" s="6" t="s">
        <v>1012</v>
      </c>
      <c r="D2572" s="6" t="s">
        <v>1003</v>
      </c>
      <c r="E2572" s="6"/>
      <c r="G2572" s="6">
        <v>200</v>
      </c>
      <c r="H2572" s="6">
        <v>200</v>
      </c>
      <c r="K2572" s="7">
        <v>44006743</v>
      </c>
      <c r="L2572" s="6" t="str">
        <f t="shared" si="259"/>
        <v>YT LOVE BAŞLIK  200x200</v>
      </c>
      <c r="M2572" s="12">
        <v>0.1</v>
      </c>
      <c r="N2572" s="12">
        <v>0.1</v>
      </c>
      <c r="O2572" s="8">
        <v>8490</v>
      </c>
      <c r="P2572" s="8">
        <f t="shared" si="254"/>
        <v>7641</v>
      </c>
      <c r="Q2572" s="12">
        <f t="shared" si="255"/>
        <v>16046.1</v>
      </c>
      <c r="R2572" s="31">
        <f t="shared" si="256"/>
        <v>16000</v>
      </c>
    </row>
    <row r="2573" spans="1:18" ht="21.95" customHeight="1" x14ac:dyDescent="0.2">
      <c r="A2573" s="6" t="s">
        <v>943</v>
      </c>
      <c r="B2573" s="6" t="s">
        <v>1596</v>
      </c>
      <c r="C2573" s="6" t="s">
        <v>1013</v>
      </c>
      <c r="D2573" s="6" t="s">
        <v>943</v>
      </c>
      <c r="E2573" s="6"/>
      <c r="G2573" s="6">
        <v>150</v>
      </c>
      <c r="H2573" s="6">
        <v>200</v>
      </c>
      <c r="K2573" s="7">
        <v>44006744</v>
      </c>
      <c r="L2573" s="6" t="str">
        <f t="shared" si="259"/>
        <v>YT KİNG MEDİCAL YATAK  150x200</v>
      </c>
      <c r="M2573" s="12">
        <v>0.1</v>
      </c>
      <c r="N2573" s="12">
        <v>0.1</v>
      </c>
      <c r="O2573" s="8">
        <v>9530</v>
      </c>
      <c r="P2573" s="8">
        <f t="shared" si="254"/>
        <v>8577</v>
      </c>
      <c r="Q2573" s="12">
        <f t="shared" si="255"/>
        <v>18011.7</v>
      </c>
      <c r="R2573" s="31">
        <f t="shared" si="256"/>
        <v>18000</v>
      </c>
    </row>
    <row r="2574" spans="1:18" ht="21.95" customHeight="1" x14ac:dyDescent="0.2">
      <c r="A2574" s="6" t="s">
        <v>943</v>
      </c>
      <c r="B2574" s="6" t="s">
        <v>1596</v>
      </c>
      <c r="C2574" s="6" t="s">
        <v>1013</v>
      </c>
      <c r="D2574" s="6" t="s">
        <v>943</v>
      </c>
      <c r="E2574" s="6"/>
      <c r="G2574" s="6">
        <v>160</v>
      </c>
      <c r="H2574" s="6">
        <v>200</v>
      </c>
      <c r="K2574" s="7">
        <v>44006745</v>
      </c>
      <c r="L2574" s="6" t="str">
        <f t="shared" si="259"/>
        <v>YT KİNG MEDİCAL YATAK  160x200</v>
      </c>
      <c r="M2574" s="12">
        <v>0.1</v>
      </c>
      <c r="N2574" s="12">
        <v>0.1</v>
      </c>
      <c r="O2574" s="8">
        <v>9910</v>
      </c>
      <c r="P2574" s="8">
        <f t="shared" ref="P2574:P2637" si="260">O2574*(1-N2574)</f>
        <v>8919</v>
      </c>
      <c r="Q2574" s="12">
        <f t="shared" ref="Q2574:Q2637" si="261">O2574*(1-N2574)*2.1</f>
        <v>18729.900000000001</v>
      </c>
      <c r="R2574" s="31">
        <f t="shared" ref="R2574:R2637" si="262">ROUNDDOWN(Q2574,-2)</f>
        <v>18700</v>
      </c>
    </row>
    <row r="2575" spans="1:18" ht="21.95" customHeight="1" x14ac:dyDescent="0.2">
      <c r="A2575" s="6" t="s">
        <v>943</v>
      </c>
      <c r="B2575" s="6" t="s">
        <v>1596</v>
      </c>
      <c r="C2575" s="6" t="s">
        <v>1013</v>
      </c>
      <c r="D2575" s="6" t="s">
        <v>943</v>
      </c>
      <c r="E2575" s="6"/>
      <c r="G2575" s="6">
        <v>180</v>
      </c>
      <c r="H2575" s="6">
        <v>200</v>
      </c>
      <c r="K2575" s="7">
        <v>44006746</v>
      </c>
      <c r="L2575" s="6" t="str">
        <f t="shared" si="259"/>
        <v>YT KİNG MEDİCAL YATAK  180x200</v>
      </c>
      <c r="M2575" s="12">
        <v>0.1</v>
      </c>
      <c r="N2575" s="12">
        <v>0.1</v>
      </c>
      <c r="O2575" s="8">
        <v>10870</v>
      </c>
      <c r="P2575" s="8">
        <f t="shared" si="260"/>
        <v>9783</v>
      </c>
      <c r="Q2575" s="12">
        <f t="shared" si="261"/>
        <v>20544.3</v>
      </c>
      <c r="R2575" s="31">
        <f t="shared" si="262"/>
        <v>20500</v>
      </c>
    </row>
    <row r="2576" spans="1:18" ht="21.95" customHeight="1" x14ac:dyDescent="0.2">
      <c r="A2576" s="6" t="s">
        <v>943</v>
      </c>
      <c r="B2576" s="6" t="s">
        <v>1596</v>
      </c>
      <c r="C2576" s="6" t="s">
        <v>1013</v>
      </c>
      <c r="D2576" s="6" t="s">
        <v>943</v>
      </c>
      <c r="E2576" s="6"/>
      <c r="G2576" s="6">
        <v>200</v>
      </c>
      <c r="H2576" s="6">
        <v>200</v>
      </c>
      <c r="K2576" s="7">
        <v>44006747</v>
      </c>
      <c r="L2576" s="6" t="str">
        <f t="shared" si="259"/>
        <v>YT KİNG MEDİCAL YATAK  200x200</v>
      </c>
      <c r="M2576" s="12">
        <v>0.1</v>
      </c>
      <c r="N2576" s="12">
        <v>0.1</v>
      </c>
      <c r="O2576" s="8">
        <v>12270</v>
      </c>
      <c r="P2576" s="8">
        <f t="shared" si="260"/>
        <v>11043</v>
      </c>
      <c r="Q2576" s="12">
        <f t="shared" si="261"/>
        <v>23190.3</v>
      </c>
      <c r="R2576" s="31">
        <f t="shared" si="262"/>
        <v>23100</v>
      </c>
    </row>
    <row r="2577" spans="1:18" ht="21.95" customHeight="1" x14ac:dyDescent="0.2">
      <c r="A2577" s="6" t="s">
        <v>943</v>
      </c>
      <c r="B2577" s="6" t="s">
        <v>1596</v>
      </c>
      <c r="C2577" s="6" t="s">
        <v>1014</v>
      </c>
      <c r="D2577" s="6" t="s">
        <v>989</v>
      </c>
      <c r="E2577" s="6"/>
      <c r="G2577" s="6">
        <v>150</v>
      </c>
      <c r="H2577" s="6">
        <v>200</v>
      </c>
      <c r="K2577" s="7">
        <v>44006748</v>
      </c>
      <c r="L2577" s="6" t="str">
        <f t="shared" si="259"/>
        <v>YT AZADE  BAZA  150x200</v>
      </c>
      <c r="M2577" s="12">
        <v>0.1</v>
      </c>
      <c r="N2577" s="12">
        <v>0.1</v>
      </c>
      <c r="O2577" s="8">
        <v>10740</v>
      </c>
      <c r="P2577" s="8">
        <f t="shared" si="260"/>
        <v>9666</v>
      </c>
      <c r="Q2577" s="12">
        <f t="shared" si="261"/>
        <v>20298.600000000002</v>
      </c>
      <c r="R2577" s="31">
        <f t="shared" si="262"/>
        <v>20200</v>
      </c>
    </row>
    <row r="2578" spans="1:18" ht="21.95" customHeight="1" x14ac:dyDescent="0.2">
      <c r="A2578" s="6" t="s">
        <v>943</v>
      </c>
      <c r="B2578" s="6" t="s">
        <v>1596</v>
      </c>
      <c r="C2578" s="6" t="s">
        <v>1014</v>
      </c>
      <c r="D2578" s="6" t="s">
        <v>989</v>
      </c>
      <c r="E2578" s="6"/>
      <c r="G2578" s="6">
        <v>160</v>
      </c>
      <c r="H2578" s="6">
        <v>200</v>
      </c>
      <c r="K2578" s="7">
        <v>44006749</v>
      </c>
      <c r="L2578" s="6" t="str">
        <f t="shared" si="259"/>
        <v>YT AZADE  BAZA  160x200</v>
      </c>
      <c r="M2578" s="12">
        <v>0.1</v>
      </c>
      <c r="N2578" s="12">
        <v>0.1</v>
      </c>
      <c r="O2578" s="8">
        <v>11280</v>
      </c>
      <c r="P2578" s="8">
        <f t="shared" si="260"/>
        <v>10152</v>
      </c>
      <c r="Q2578" s="12">
        <f t="shared" si="261"/>
        <v>21319.200000000001</v>
      </c>
      <c r="R2578" s="31">
        <f t="shared" si="262"/>
        <v>21300</v>
      </c>
    </row>
    <row r="2579" spans="1:18" ht="21.95" customHeight="1" x14ac:dyDescent="0.2">
      <c r="A2579" s="6" t="s">
        <v>943</v>
      </c>
      <c r="B2579" s="6" t="s">
        <v>1596</v>
      </c>
      <c r="C2579" s="6" t="s">
        <v>1014</v>
      </c>
      <c r="D2579" s="6" t="s">
        <v>989</v>
      </c>
      <c r="E2579" s="6"/>
      <c r="G2579" s="6">
        <v>180</v>
      </c>
      <c r="H2579" s="6">
        <v>200</v>
      </c>
      <c r="K2579" s="7">
        <v>44006750</v>
      </c>
      <c r="L2579" s="6" t="str">
        <f t="shared" si="259"/>
        <v>YT AZADE  BAZA  180x200</v>
      </c>
      <c r="M2579" s="12">
        <v>0.1</v>
      </c>
      <c r="N2579" s="12">
        <v>0.1</v>
      </c>
      <c r="O2579" s="8">
        <v>12290</v>
      </c>
      <c r="P2579" s="8">
        <f t="shared" si="260"/>
        <v>11061</v>
      </c>
      <c r="Q2579" s="12">
        <f t="shared" si="261"/>
        <v>23228.100000000002</v>
      </c>
      <c r="R2579" s="31">
        <f t="shared" si="262"/>
        <v>23200</v>
      </c>
    </row>
    <row r="2580" spans="1:18" ht="21.95" customHeight="1" x14ac:dyDescent="0.2">
      <c r="A2580" s="6" t="s">
        <v>943</v>
      </c>
      <c r="B2580" s="6" t="s">
        <v>1596</v>
      </c>
      <c r="C2580" s="6" t="s">
        <v>1014</v>
      </c>
      <c r="D2580" s="6" t="s">
        <v>989</v>
      </c>
      <c r="E2580" s="6"/>
      <c r="G2580" s="6">
        <v>200</v>
      </c>
      <c r="H2580" s="6">
        <v>200</v>
      </c>
      <c r="K2580" s="7">
        <v>44006751</v>
      </c>
      <c r="L2580" s="6" t="str">
        <f t="shared" si="259"/>
        <v>YT AZADE  BAZA  200x200</v>
      </c>
      <c r="M2580" s="12">
        <v>0.1</v>
      </c>
      <c r="N2580" s="12">
        <v>0.1</v>
      </c>
      <c r="O2580" s="8">
        <v>13230</v>
      </c>
      <c r="P2580" s="8">
        <f t="shared" si="260"/>
        <v>11907</v>
      </c>
      <c r="Q2580" s="12">
        <f t="shared" si="261"/>
        <v>25004.7</v>
      </c>
      <c r="R2580" s="31">
        <f t="shared" si="262"/>
        <v>25000</v>
      </c>
    </row>
    <row r="2581" spans="1:18" ht="21.95" customHeight="1" x14ac:dyDescent="0.2">
      <c r="A2581" s="6" t="s">
        <v>943</v>
      </c>
      <c r="B2581" s="6" t="s">
        <v>1596</v>
      </c>
      <c r="C2581" s="6" t="s">
        <v>1014</v>
      </c>
      <c r="D2581" s="6" t="s">
        <v>950</v>
      </c>
      <c r="E2581" s="6"/>
      <c r="G2581" s="6">
        <v>150</v>
      </c>
      <c r="H2581" s="6">
        <v>200</v>
      </c>
      <c r="K2581" s="7">
        <v>44006752</v>
      </c>
      <c r="L2581" s="6" t="str">
        <f t="shared" si="259"/>
        <v>YT AZADE  BAŞLIK 150x200</v>
      </c>
      <c r="M2581" s="12">
        <v>0.1</v>
      </c>
      <c r="N2581" s="12">
        <v>0.1</v>
      </c>
      <c r="O2581" s="8">
        <v>6150</v>
      </c>
      <c r="P2581" s="8">
        <f t="shared" si="260"/>
        <v>5535</v>
      </c>
      <c r="Q2581" s="12">
        <f t="shared" si="261"/>
        <v>11623.5</v>
      </c>
      <c r="R2581" s="31">
        <f t="shared" si="262"/>
        <v>11600</v>
      </c>
    </row>
    <row r="2582" spans="1:18" ht="21.95" customHeight="1" x14ac:dyDescent="0.2">
      <c r="A2582" s="6" t="s">
        <v>943</v>
      </c>
      <c r="B2582" s="6" t="s">
        <v>1596</v>
      </c>
      <c r="C2582" s="6" t="s">
        <v>1014</v>
      </c>
      <c r="D2582" s="6" t="s">
        <v>950</v>
      </c>
      <c r="E2582" s="6"/>
      <c r="G2582" s="6">
        <v>160</v>
      </c>
      <c r="H2582" s="6">
        <v>200</v>
      </c>
      <c r="K2582" s="7">
        <v>44006753</v>
      </c>
      <c r="L2582" s="6" t="str">
        <f t="shared" si="259"/>
        <v>YT AZADE  BAŞLIK 160x200</v>
      </c>
      <c r="M2582" s="12">
        <v>0.1</v>
      </c>
      <c r="N2582" s="12">
        <v>0.1</v>
      </c>
      <c r="O2582" s="8">
        <v>6400</v>
      </c>
      <c r="P2582" s="8">
        <f t="shared" si="260"/>
        <v>5760</v>
      </c>
      <c r="Q2582" s="12">
        <f t="shared" si="261"/>
        <v>12096</v>
      </c>
      <c r="R2582" s="31">
        <f t="shared" si="262"/>
        <v>12000</v>
      </c>
    </row>
    <row r="2583" spans="1:18" ht="21.95" customHeight="1" x14ac:dyDescent="0.2">
      <c r="A2583" s="6" t="s">
        <v>943</v>
      </c>
      <c r="B2583" s="6" t="s">
        <v>1596</v>
      </c>
      <c r="C2583" s="6" t="s">
        <v>1014</v>
      </c>
      <c r="D2583" s="6" t="s">
        <v>950</v>
      </c>
      <c r="E2583" s="6"/>
      <c r="G2583" s="6">
        <v>180</v>
      </c>
      <c r="H2583" s="6">
        <v>200</v>
      </c>
      <c r="K2583" s="7">
        <v>44006754</v>
      </c>
      <c r="L2583" s="6" t="str">
        <f t="shared" si="259"/>
        <v>YT AZADE  BAŞLIK 180x200</v>
      </c>
      <c r="M2583" s="12">
        <v>0.1</v>
      </c>
      <c r="N2583" s="12">
        <v>0.1</v>
      </c>
      <c r="O2583" s="8">
        <v>7460</v>
      </c>
      <c r="P2583" s="8">
        <f t="shared" si="260"/>
        <v>6714</v>
      </c>
      <c r="Q2583" s="12">
        <f t="shared" si="261"/>
        <v>14099.400000000001</v>
      </c>
      <c r="R2583" s="31">
        <f t="shared" si="262"/>
        <v>14000</v>
      </c>
    </row>
    <row r="2584" spans="1:18" ht="21.95" customHeight="1" x14ac:dyDescent="0.2">
      <c r="A2584" s="6" t="s">
        <v>943</v>
      </c>
      <c r="B2584" s="6" t="s">
        <v>1596</v>
      </c>
      <c r="C2584" s="6" t="s">
        <v>1014</v>
      </c>
      <c r="D2584" s="6" t="s">
        <v>950</v>
      </c>
      <c r="E2584" s="6"/>
      <c r="G2584" s="6">
        <v>200</v>
      </c>
      <c r="H2584" s="6">
        <v>200</v>
      </c>
      <c r="K2584" s="7">
        <v>44006755</v>
      </c>
      <c r="L2584" s="6" t="str">
        <f t="shared" si="259"/>
        <v>YT AZADE  BAŞLIK 200x200</v>
      </c>
      <c r="M2584" s="12">
        <v>0.1</v>
      </c>
      <c r="N2584" s="12">
        <v>0.1</v>
      </c>
      <c r="O2584" s="8">
        <v>8600</v>
      </c>
      <c r="P2584" s="8">
        <f t="shared" si="260"/>
        <v>7740</v>
      </c>
      <c r="Q2584" s="12">
        <f t="shared" si="261"/>
        <v>16254</v>
      </c>
      <c r="R2584" s="31">
        <f t="shared" si="262"/>
        <v>16200</v>
      </c>
    </row>
    <row r="2585" spans="1:18" ht="21.95" customHeight="1" x14ac:dyDescent="0.2">
      <c r="A2585" s="6" t="s">
        <v>943</v>
      </c>
      <c r="B2585" s="6" t="s">
        <v>1596</v>
      </c>
      <c r="C2585" s="6" t="s">
        <v>1014</v>
      </c>
      <c r="D2585" s="6" t="s">
        <v>948</v>
      </c>
      <c r="E2585" s="6"/>
      <c r="G2585" s="6">
        <v>46</v>
      </c>
      <c r="H2585" s="6">
        <v>56</v>
      </c>
      <c r="I2585" s="7">
        <v>57</v>
      </c>
      <c r="K2585" s="7">
        <v>44006756</v>
      </c>
      <c r="L2585" s="6" t="str">
        <f t="shared" si="259"/>
        <v>YT AZADE  KOMİDİN 46x56</v>
      </c>
      <c r="M2585" s="12">
        <v>0.1</v>
      </c>
      <c r="N2585" s="12">
        <v>0.1</v>
      </c>
      <c r="O2585" s="8">
        <v>5000</v>
      </c>
      <c r="P2585" s="8">
        <f t="shared" si="260"/>
        <v>4500</v>
      </c>
      <c r="Q2585" s="12">
        <f t="shared" si="261"/>
        <v>9450</v>
      </c>
      <c r="R2585" s="31">
        <f t="shared" si="262"/>
        <v>9400</v>
      </c>
    </row>
    <row r="2586" spans="1:18" ht="21.95" customHeight="1" x14ac:dyDescent="0.2">
      <c r="A2586" s="6" t="s">
        <v>943</v>
      </c>
      <c r="B2586" s="6" t="s">
        <v>1596</v>
      </c>
      <c r="C2586" s="6" t="s">
        <v>1014</v>
      </c>
      <c r="D2586" s="6" t="s">
        <v>951</v>
      </c>
      <c r="E2586" s="6"/>
      <c r="G2586" s="6">
        <v>50</v>
      </c>
      <c r="H2586" s="6">
        <v>101</v>
      </c>
      <c r="I2586" s="7">
        <v>36</v>
      </c>
      <c r="K2586" s="7">
        <v>44006757</v>
      </c>
      <c r="L2586" s="6" t="str">
        <f t="shared" si="259"/>
        <v>YT AZADE  MARKİZ 50x101</v>
      </c>
      <c r="M2586" s="12">
        <v>0.1</v>
      </c>
      <c r="N2586" s="12">
        <v>0.1</v>
      </c>
      <c r="O2586" s="8">
        <v>4380</v>
      </c>
      <c r="P2586" s="8">
        <f t="shared" si="260"/>
        <v>3942</v>
      </c>
      <c r="Q2586" s="12">
        <f t="shared" si="261"/>
        <v>8278.2000000000007</v>
      </c>
      <c r="R2586" s="31">
        <f t="shared" si="262"/>
        <v>8200</v>
      </c>
    </row>
    <row r="2587" spans="1:18" ht="21.95" customHeight="1" x14ac:dyDescent="0.2">
      <c r="A2587" s="6" t="s">
        <v>943</v>
      </c>
      <c r="B2587" s="6" t="s">
        <v>1596</v>
      </c>
      <c r="C2587" s="6" t="s">
        <v>1014</v>
      </c>
      <c r="D2587" s="6" t="s">
        <v>78</v>
      </c>
      <c r="E2587" s="6"/>
      <c r="G2587" s="6">
        <v>46</v>
      </c>
      <c r="H2587" s="6">
        <v>101</v>
      </c>
      <c r="I2587" s="7">
        <v>100</v>
      </c>
      <c r="K2587" s="7">
        <v>44006758</v>
      </c>
      <c r="L2587" s="6" t="str">
        <f t="shared" si="259"/>
        <v>YT AZADE  ŞİFONYER 46x101</v>
      </c>
      <c r="M2587" s="12">
        <v>0.1</v>
      </c>
      <c r="N2587" s="12">
        <v>0.1</v>
      </c>
      <c r="O2587" s="8">
        <v>9970</v>
      </c>
      <c r="P2587" s="8">
        <f t="shared" si="260"/>
        <v>8973</v>
      </c>
      <c r="Q2587" s="12">
        <f t="shared" si="261"/>
        <v>18843.3</v>
      </c>
      <c r="R2587" s="31">
        <f t="shared" si="262"/>
        <v>18800</v>
      </c>
    </row>
    <row r="2588" spans="1:18" ht="21.95" customHeight="1" x14ac:dyDescent="0.2">
      <c r="A2588" s="6" t="s">
        <v>943</v>
      </c>
      <c r="B2588" s="6" t="s">
        <v>1596</v>
      </c>
      <c r="C2588" s="6" t="s">
        <v>1015</v>
      </c>
      <c r="D2588" s="6" t="s">
        <v>989</v>
      </c>
      <c r="E2588" s="6"/>
      <c r="G2588" s="6">
        <v>150</v>
      </c>
      <c r="H2588" s="6">
        <v>200</v>
      </c>
      <c r="K2588" s="7">
        <v>44006759</v>
      </c>
      <c r="L2588" s="6" t="str">
        <f t="shared" si="259"/>
        <v>YT TOPKAPI  BAZA  150x200</v>
      </c>
      <c r="M2588" s="12">
        <v>0.1</v>
      </c>
      <c r="N2588" s="12">
        <v>0.1</v>
      </c>
      <c r="O2588" s="8">
        <v>12080</v>
      </c>
      <c r="P2588" s="8">
        <f t="shared" si="260"/>
        <v>10872</v>
      </c>
      <c r="Q2588" s="12">
        <f t="shared" si="261"/>
        <v>22831.200000000001</v>
      </c>
      <c r="R2588" s="31">
        <f t="shared" si="262"/>
        <v>22800</v>
      </c>
    </row>
    <row r="2589" spans="1:18" ht="21.95" customHeight="1" x14ac:dyDescent="0.2">
      <c r="A2589" s="6" t="s">
        <v>943</v>
      </c>
      <c r="B2589" s="6" t="s">
        <v>1596</v>
      </c>
      <c r="C2589" s="6" t="s">
        <v>1015</v>
      </c>
      <c r="D2589" s="6" t="s">
        <v>989</v>
      </c>
      <c r="E2589" s="6"/>
      <c r="G2589" s="6">
        <v>160</v>
      </c>
      <c r="H2589" s="6">
        <v>200</v>
      </c>
      <c r="K2589" s="7">
        <v>44006760</v>
      </c>
      <c r="L2589" s="6" t="str">
        <f t="shared" si="259"/>
        <v>YT TOPKAPI  BAZA  160x200</v>
      </c>
      <c r="M2589" s="12">
        <v>0.1</v>
      </c>
      <c r="N2589" s="12">
        <v>0.1</v>
      </c>
      <c r="O2589" s="8">
        <v>12520</v>
      </c>
      <c r="P2589" s="8">
        <f t="shared" si="260"/>
        <v>11268</v>
      </c>
      <c r="Q2589" s="12">
        <f t="shared" si="261"/>
        <v>23662.799999999999</v>
      </c>
      <c r="R2589" s="31">
        <f t="shared" si="262"/>
        <v>23600</v>
      </c>
    </row>
    <row r="2590" spans="1:18" ht="21.95" customHeight="1" x14ac:dyDescent="0.2">
      <c r="A2590" s="6" t="s">
        <v>943</v>
      </c>
      <c r="B2590" s="6" t="s">
        <v>1596</v>
      </c>
      <c r="C2590" s="6" t="s">
        <v>1015</v>
      </c>
      <c r="D2590" s="6" t="s">
        <v>989</v>
      </c>
      <c r="E2590" s="6"/>
      <c r="G2590" s="6">
        <v>180</v>
      </c>
      <c r="H2590" s="6">
        <v>200</v>
      </c>
      <c r="K2590" s="7">
        <v>44006761</v>
      </c>
      <c r="L2590" s="6" t="str">
        <f t="shared" si="259"/>
        <v>YT TOPKAPI  BAZA  180x200</v>
      </c>
      <c r="M2590" s="12">
        <v>0.1</v>
      </c>
      <c r="N2590" s="12">
        <v>0.1</v>
      </c>
      <c r="O2590" s="8">
        <v>13380</v>
      </c>
      <c r="P2590" s="8">
        <f t="shared" si="260"/>
        <v>12042</v>
      </c>
      <c r="Q2590" s="12">
        <f t="shared" si="261"/>
        <v>25288.2</v>
      </c>
      <c r="R2590" s="31">
        <f t="shared" si="262"/>
        <v>25200</v>
      </c>
    </row>
    <row r="2591" spans="1:18" ht="21.95" customHeight="1" x14ac:dyDescent="0.2">
      <c r="A2591" s="6" t="s">
        <v>943</v>
      </c>
      <c r="B2591" s="6" t="s">
        <v>1596</v>
      </c>
      <c r="C2591" s="6" t="s">
        <v>1015</v>
      </c>
      <c r="D2591" s="6" t="s">
        <v>989</v>
      </c>
      <c r="E2591" s="6"/>
      <c r="G2591" s="6">
        <v>200</v>
      </c>
      <c r="H2591" s="6">
        <v>200</v>
      </c>
      <c r="K2591" s="7">
        <v>44006762</v>
      </c>
      <c r="L2591" s="6" t="str">
        <f t="shared" si="259"/>
        <v>YT TOPKAPI  BAZA  200x200</v>
      </c>
      <c r="M2591" s="12">
        <v>0.1</v>
      </c>
      <c r="N2591" s="12">
        <v>0.1</v>
      </c>
      <c r="O2591" s="8">
        <v>14140</v>
      </c>
      <c r="P2591" s="8">
        <f t="shared" si="260"/>
        <v>12726</v>
      </c>
      <c r="Q2591" s="12">
        <f t="shared" si="261"/>
        <v>26724.600000000002</v>
      </c>
      <c r="R2591" s="31">
        <f t="shared" si="262"/>
        <v>26700</v>
      </c>
    </row>
    <row r="2592" spans="1:18" ht="21.95" customHeight="1" x14ac:dyDescent="0.2">
      <c r="A2592" s="6" t="s">
        <v>943</v>
      </c>
      <c r="B2592" s="6" t="s">
        <v>1596</v>
      </c>
      <c r="C2592" s="6" t="s">
        <v>1015</v>
      </c>
      <c r="D2592" s="6" t="s">
        <v>950</v>
      </c>
      <c r="E2592" s="6"/>
      <c r="G2592" s="6">
        <v>150</v>
      </c>
      <c r="H2592" s="6">
        <v>200</v>
      </c>
      <c r="K2592" s="7">
        <v>44006763</v>
      </c>
      <c r="L2592" s="6" t="str">
        <f t="shared" si="259"/>
        <v>YT TOPKAPI  BAŞLIK 150x200</v>
      </c>
      <c r="M2592" s="12">
        <v>0.1</v>
      </c>
      <c r="N2592" s="12">
        <v>0.1</v>
      </c>
      <c r="O2592" s="8">
        <v>5980</v>
      </c>
      <c r="P2592" s="8">
        <f t="shared" si="260"/>
        <v>5382</v>
      </c>
      <c r="Q2592" s="12">
        <f t="shared" si="261"/>
        <v>11302.2</v>
      </c>
      <c r="R2592" s="31">
        <f t="shared" si="262"/>
        <v>11300</v>
      </c>
    </row>
    <row r="2593" spans="1:18" ht="21.95" customHeight="1" x14ac:dyDescent="0.2">
      <c r="A2593" s="6" t="s">
        <v>943</v>
      </c>
      <c r="B2593" s="6" t="s">
        <v>1596</v>
      </c>
      <c r="C2593" s="6" t="s">
        <v>1015</v>
      </c>
      <c r="D2593" s="6" t="s">
        <v>950</v>
      </c>
      <c r="E2593" s="6"/>
      <c r="G2593" s="6">
        <v>160</v>
      </c>
      <c r="H2593" s="6">
        <v>200</v>
      </c>
      <c r="K2593" s="7">
        <v>44006764</v>
      </c>
      <c r="L2593" s="6" t="str">
        <f t="shared" si="259"/>
        <v>YT TOPKAPI  BAŞLIK 160x200</v>
      </c>
      <c r="M2593" s="12">
        <v>0.1</v>
      </c>
      <c r="N2593" s="12">
        <v>0.1</v>
      </c>
      <c r="O2593" s="8">
        <v>6330</v>
      </c>
      <c r="P2593" s="8">
        <f t="shared" si="260"/>
        <v>5697</v>
      </c>
      <c r="Q2593" s="12">
        <f t="shared" si="261"/>
        <v>11963.7</v>
      </c>
      <c r="R2593" s="31">
        <f t="shared" si="262"/>
        <v>11900</v>
      </c>
    </row>
    <row r="2594" spans="1:18" ht="21.95" customHeight="1" x14ac:dyDescent="0.2">
      <c r="A2594" s="6" t="s">
        <v>943</v>
      </c>
      <c r="B2594" s="6" t="s">
        <v>1596</v>
      </c>
      <c r="C2594" s="6" t="s">
        <v>1015</v>
      </c>
      <c r="D2594" s="6" t="s">
        <v>950</v>
      </c>
      <c r="E2594" s="6"/>
      <c r="G2594" s="6">
        <v>180</v>
      </c>
      <c r="H2594" s="6">
        <v>200</v>
      </c>
      <c r="K2594" s="7">
        <v>44006765</v>
      </c>
      <c r="L2594" s="6" t="str">
        <f t="shared" si="259"/>
        <v>YT TOPKAPI  BAŞLIK 180x200</v>
      </c>
      <c r="M2594" s="12">
        <v>0.1</v>
      </c>
      <c r="N2594" s="12">
        <v>0.1</v>
      </c>
      <c r="O2594" s="8">
        <v>6790</v>
      </c>
      <c r="P2594" s="8">
        <f t="shared" si="260"/>
        <v>6111</v>
      </c>
      <c r="Q2594" s="12">
        <f t="shared" si="261"/>
        <v>12833.1</v>
      </c>
      <c r="R2594" s="31">
        <f t="shared" si="262"/>
        <v>12800</v>
      </c>
    </row>
    <row r="2595" spans="1:18" ht="21.95" customHeight="1" x14ac:dyDescent="0.2">
      <c r="A2595" s="6" t="s">
        <v>943</v>
      </c>
      <c r="B2595" s="6" t="s">
        <v>1596</v>
      </c>
      <c r="C2595" s="6" t="s">
        <v>1015</v>
      </c>
      <c r="D2595" s="6" t="s">
        <v>950</v>
      </c>
      <c r="E2595" s="6"/>
      <c r="G2595" s="6">
        <v>200</v>
      </c>
      <c r="H2595" s="6">
        <v>200</v>
      </c>
      <c r="K2595" s="7">
        <v>44006766</v>
      </c>
      <c r="L2595" s="6" t="str">
        <f t="shared" si="259"/>
        <v>YT TOPKAPI  BAŞLIK 200x200</v>
      </c>
      <c r="M2595" s="12">
        <v>0.1</v>
      </c>
      <c r="N2595" s="12">
        <v>0.1</v>
      </c>
      <c r="O2595" s="8">
        <v>7250</v>
      </c>
      <c r="P2595" s="8">
        <f t="shared" si="260"/>
        <v>6525</v>
      </c>
      <c r="Q2595" s="12">
        <f t="shared" si="261"/>
        <v>13702.5</v>
      </c>
      <c r="R2595" s="31">
        <f t="shared" si="262"/>
        <v>13700</v>
      </c>
    </row>
    <row r="2596" spans="1:18" ht="21.95" customHeight="1" x14ac:dyDescent="0.2">
      <c r="A2596" s="6" t="s">
        <v>943</v>
      </c>
      <c r="B2596" s="6" t="s">
        <v>1596</v>
      </c>
      <c r="C2596" s="6" t="s">
        <v>1016</v>
      </c>
      <c r="D2596" s="6" t="s">
        <v>989</v>
      </c>
      <c r="E2596" s="6"/>
      <c r="G2596" s="6">
        <v>150</v>
      </c>
      <c r="H2596" s="6">
        <v>200</v>
      </c>
      <c r="K2596" s="7">
        <v>44006767</v>
      </c>
      <c r="L2596" s="6" t="str">
        <f t="shared" si="259"/>
        <v>YT KARDELEN  BAZA  150x200</v>
      </c>
      <c r="M2596" s="12">
        <v>0.1</v>
      </c>
      <c r="N2596" s="12">
        <v>0.1</v>
      </c>
      <c r="O2596" s="8">
        <v>10530</v>
      </c>
      <c r="P2596" s="8">
        <f t="shared" si="260"/>
        <v>9477</v>
      </c>
      <c r="Q2596" s="12">
        <f t="shared" si="261"/>
        <v>19901.7</v>
      </c>
      <c r="R2596" s="31">
        <f t="shared" si="262"/>
        <v>19900</v>
      </c>
    </row>
    <row r="2597" spans="1:18" ht="21.95" customHeight="1" x14ac:dyDescent="0.2">
      <c r="A2597" s="6" t="s">
        <v>943</v>
      </c>
      <c r="B2597" s="6" t="s">
        <v>1596</v>
      </c>
      <c r="C2597" s="6" t="s">
        <v>1016</v>
      </c>
      <c r="D2597" s="6" t="s">
        <v>989</v>
      </c>
      <c r="E2597" s="6"/>
      <c r="G2597" s="6">
        <v>160</v>
      </c>
      <c r="H2597" s="6">
        <v>200</v>
      </c>
      <c r="K2597" s="7">
        <v>44006768</v>
      </c>
      <c r="L2597" s="6" t="str">
        <f t="shared" si="259"/>
        <v>YT KARDELEN  BAZA  160x200</v>
      </c>
      <c r="M2597" s="12">
        <v>0.1</v>
      </c>
      <c r="N2597" s="12">
        <v>0.1</v>
      </c>
      <c r="O2597" s="8">
        <v>10960</v>
      </c>
      <c r="P2597" s="8">
        <f t="shared" si="260"/>
        <v>9864</v>
      </c>
      <c r="Q2597" s="12">
        <f t="shared" si="261"/>
        <v>20714.400000000001</v>
      </c>
      <c r="R2597" s="31">
        <f t="shared" si="262"/>
        <v>20700</v>
      </c>
    </row>
    <row r="2598" spans="1:18" ht="21.95" customHeight="1" x14ac:dyDescent="0.2">
      <c r="A2598" s="6" t="s">
        <v>943</v>
      </c>
      <c r="B2598" s="6" t="s">
        <v>1596</v>
      </c>
      <c r="C2598" s="6" t="s">
        <v>1016</v>
      </c>
      <c r="D2598" s="6" t="s">
        <v>989</v>
      </c>
      <c r="E2598" s="6"/>
      <c r="G2598" s="6">
        <v>180</v>
      </c>
      <c r="H2598" s="6">
        <v>200</v>
      </c>
      <c r="K2598" s="7">
        <v>44006769</v>
      </c>
      <c r="L2598" s="6" t="str">
        <f t="shared" si="259"/>
        <v>YT KARDELEN  BAZA  180x200</v>
      </c>
      <c r="M2598" s="12">
        <v>0.1</v>
      </c>
      <c r="N2598" s="12">
        <v>0.1</v>
      </c>
      <c r="O2598" s="8">
        <v>11830</v>
      </c>
      <c r="P2598" s="8">
        <f t="shared" si="260"/>
        <v>10647</v>
      </c>
      <c r="Q2598" s="12">
        <f t="shared" si="261"/>
        <v>22358.7</v>
      </c>
      <c r="R2598" s="31">
        <f t="shared" si="262"/>
        <v>22300</v>
      </c>
    </row>
    <row r="2599" spans="1:18" ht="21.95" customHeight="1" x14ac:dyDescent="0.2">
      <c r="A2599" s="6" t="s">
        <v>943</v>
      </c>
      <c r="B2599" s="6" t="s">
        <v>1596</v>
      </c>
      <c r="C2599" s="6" t="s">
        <v>1016</v>
      </c>
      <c r="D2599" s="6" t="s">
        <v>989</v>
      </c>
      <c r="E2599" s="6"/>
      <c r="G2599" s="6">
        <v>200</v>
      </c>
      <c r="H2599" s="6">
        <v>200</v>
      </c>
      <c r="K2599" s="7">
        <v>44006770</v>
      </c>
      <c r="L2599" s="6" t="str">
        <f t="shared" si="259"/>
        <v>YT KARDELEN  BAZA  200x200</v>
      </c>
      <c r="M2599" s="12">
        <v>0.1</v>
      </c>
      <c r="N2599" s="12">
        <v>0.1</v>
      </c>
      <c r="O2599" s="8">
        <v>12690</v>
      </c>
      <c r="P2599" s="8">
        <f t="shared" si="260"/>
        <v>11421</v>
      </c>
      <c r="Q2599" s="12">
        <f t="shared" si="261"/>
        <v>23984.100000000002</v>
      </c>
      <c r="R2599" s="31">
        <f t="shared" si="262"/>
        <v>23900</v>
      </c>
    </row>
    <row r="2600" spans="1:18" ht="21.95" customHeight="1" x14ac:dyDescent="0.2">
      <c r="A2600" s="6" t="s">
        <v>943</v>
      </c>
      <c r="B2600" s="6" t="s">
        <v>1596</v>
      </c>
      <c r="C2600" s="6" t="s">
        <v>1016</v>
      </c>
      <c r="D2600" s="6" t="s">
        <v>1003</v>
      </c>
      <c r="E2600" s="6"/>
      <c r="G2600" s="6">
        <v>150</v>
      </c>
      <c r="H2600" s="6">
        <v>200</v>
      </c>
      <c r="K2600" s="7">
        <v>44006771</v>
      </c>
      <c r="L2600" s="6" t="str">
        <f t="shared" si="259"/>
        <v>YT KARDELEN  BAŞLIK  150x200</v>
      </c>
      <c r="M2600" s="12">
        <v>0.1</v>
      </c>
      <c r="N2600" s="12">
        <v>0.1</v>
      </c>
      <c r="O2600" s="8">
        <v>4410</v>
      </c>
      <c r="P2600" s="8">
        <f t="shared" si="260"/>
        <v>3969</v>
      </c>
      <c r="Q2600" s="12">
        <f t="shared" si="261"/>
        <v>8334.9</v>
      </c>
      <c r="R2600" s="31">
        <f t="shared" si="262"/>
        <v>8300</v>
      </c>
    </row>
    <row r="2601" spans="1:18" ht="21.95" customHeight="1" x14ac:dyDescent="0.2">
      <c r="A2601" s="6" t="s">
        <v>943</v>
      </c>
      <c r="B2601" s="6" t="s">
        <v>1596</v>
      </c>
      <c r="C2601" s="6" t="s">
        <v>1016</v>
      </c>
      <c r="D2601" s="6" t="s">
        <v>1003</v>
      </c>
      <c r="E2601" s="6"/>
      <c r="G2601" s="6">
        <v>160</v>
      </c>
      <c r="H2601" s="6">
        <v>200</v>
      </c>
      <c r="K2601" s="7">
        <v>44006772</v>
      </c>
      <c r="L2601" s="6" t="str">
        <f t="shared" si="259"/>
        <v>YT KARDELEN  BAŞLIK  160x200</v>
      </c>
      <c r="M2601" s="12">
        <v>0.1</v>
      </c>
      <c r="N2601" s="12">
        <v>0.1</v>
      </c>
      <c r="O2601" s="8">
        <v>4800</v>
      </c>
      <c r="P2601" s="8">
        <f t="shared" si="260"/>
        <v>4320</v>
      </c>
      <c r="Q2601" s="12">
        <f t="shared" si="261"/>
        <v>9072</v>
      </c>
      <c r="R2601" s="31">
        <f t="shared" si="262"/>
        <v>9000</v>
      </c>
    </row>
    <row r="2602" spans="1:18" ht="21.95" customHeight="1" x14ac:dyDescent="0.2">
      <c r="A2602" s="6" t="s">
        <v>943</v>
      </c>
      <c r="B2602" s="6" t="s">
        <v>1596</v>
      </c>
      <c r="C2602" s="6" t="s">
        <v>1016</v>
      </c>
      <c r="D2602" s="6" t="s">
        <v>1003</v>
      </c>
      <c r="E2602" s="6"/>
      <c r="G2602" s="6">
        <v>180</v>
      </c>
      <c r="H2602" s="6">
        <v>200</v>
      </c>
      <c r="K2602" s="7">
        <v>44006773</v>
      </c>
      <c r="L2602" s="6" t="str">
        <f t="shared" si="259"/>
        <v>YT KARDELEN  BAŞLIK  180x200</v>
      </c>
      <c r="M2602" s="12">
        <v>0.1</v>
      </c>
      <c r="N2602" s="12">
        <v>0.1</v>
      </c>
      <c r="O2602" s="8">
        <v>5230</v>
      </c>
      <c r="P2602" s="8">
        <f t="shared" si="260"/>
        <v>4707</v>
      </c>
      <c r="Q2602" s="12">
        <f t="shared" si="261"/>
        <v>9884.7000000000007</v>
      </c>
      <c r="R2602" s="31">
        <f t="shared" si="262"/>
        <v>9800</v>
      </c>
    </row>
    <row r="2603" spans="1:18" ht="21.95" customHeight="1" x14ac:dyDescent="0.2">
      <c r="A2603" s="6" t="s">
        <v>943</v>
      </c>
      <c r="B2603" s="6" t="s">
        <v>1596</v>
      </c>
      <c r="C2603" s="6" t="s">
        <v>1016</v>
      </c>
      <c r="D2603" s="6" t="s">
        <v>1003</v>
      </c>
      <c r="E2603" s="6"/>
      <c r="G2603" s="6">
        <v>200</v>
      </c>
      <c r="H2603" s="6">
        <v>200</v>
      </c>
      <c r="K2603" s="7">
        <v>44006774</v>
      </c>
      <c r="L2603" s="6" t="str">
        <f t="shared" si="259"/>
        <v>YT KARDELEN  BAŞLIK  200x200</v>
      </c>
      <c r="M2603" s="12">
        <v>0.1</v>
      </c>
      <c r="N2603" s="12">
        <v>0.1</v>
      </c>
      <c r="O2603" s="8">
        <v>6050</v>
      </c>
      <c r="P2603" s="8">
        <f t="shared" si="260"/>
        <v>5445</v>
      </c>
      <c r="Q2603" s="12">
        <f t="shared" si="261"/>
        <v>11434.5</v>
      </c>
      <c r="R2603" s="31">
        <f t="shared" si="262"/>
        <v>11400</v>
      </c>
    </row>
    <row r="2604" spans="1:18" ht="21.95" customHeight="1" x14ac:dyDescent="0.2">
      <c r="A2604" s="6" t="s">
        <v>943</v>
      </c>
      <c r="B2604" s="6" t="s">
        <v>1596</v>
      </c>
      <c r="C2604" s="6" t="s">
        <v>1016</v>
      </c>
      <c r="D2604" s="6" t="s">
        <v>959</v>
      </c>
      <c r="E2604" s="6"/>
      <c r="G2604" s="6">
        <v>45</v>
      </c>
      <c r="H2604" s="6">
        <v>53</v>
      </c>
      <c r="I2604" s="7">
        <v>45</v>
      </c>
      <c r="K2604" s="7">
        <v>44006775</v>
      </c>
      <c r="L2604" s="6" t="str">
        <f t="shared" si="259"/>
        <v>YT KARDELEN  KOMİDİN  45x53</v>
      </c>
      <c r="M2604" s="12">
        <v>0.1</v>
      </c>
      <c r="N2604" s="12">
        <v>0.1</v>
      </c>
      <c r="O2604" s="8">
        <v>5330</v>
      </c>
      <c r="P2604" s="8">
        <f t="shared" si="260"/>
        <v>4797</v>
      </c>
      <c r="Q2604" s="12">
        <f t="shared" si="261"/>
        <v>10073.700000000001</v>
      </c>
      <c r="R2604" s="31">
        <f t="shared" si="262"/>
        <v>10000</v>
      </c>
    </row>
    <row r="2605" spans="1:18" ht="21.95" customHeight="1" x14ac:dyDescent="0.2">
      <c r="A2605" s="6" t="s">
        <v>943</v>
      </c>
      <c r="B2605" s="6" t="s">
        <v>1596</v>
      </c>
      <c r="C2605" s="6" t="s">
        <v>1016</v>
      </c>
      <c r="D2605" s="6" t="s">
        <v>951</v>
      </c>
      <c r="E2605" s="6"/>
      <c r="K2605" s="7">
        <v>44006776</v>
      </c>
      <c r="L2605" s="6" t="str">
        <f>B2605&amp;" "&amp;C2605&amp;" "&amp;D2605&amp;" "</f>
        <v xml:space="preserve">YT KARDELEN  MARKİZ </v>
      </c>
      <c r="M2605" s="12">
        <v>0.1</v>
      </c>
      <c r="N2605" s="12">
        <v>0.1</v>
      </c>
      <c r="O2605" s="8">
        <v>4350</v>
      </c>
      <c r="P2605" s="8">
        <f t="shared" si="260"/>
        <v>3915</v>
      </c>
      <c r="Q2605" s="12">
        <f t="shared" si="261"/>
        <v>8221.5</v>
      </c>
      <c r="R2605" s="31">
        <f t="shared" si="262"/>
        <v>8200</v>
      </c>
    </row>
    <row r="2606" spans="1:18" ht="21.95" customHeight="1" x14ac:dyDescent="0.2">
      <c r="A2606" s="6" t="s">
        <v>943</v>
      </c>
      <c r="B2606" s="6" t="s">
        <v>1596</v>
      </c>
      <c r="C2606" s="6" t="s">
        <v>1017</v>
      </c>
      <c r="D2606" s="6" t="s">
        <v>943</v>
      </c>
      <c r="E2606" s="6"/>
      <c r="G2606" s="6">
        <v>150</v>
      </c>
      <c r="H2606" s="6">
        <v>200</v>
      </c>
      <c r="K2606" s="7">
        <v>44006777</v>
      </c>
      <c r="L2606" s="6" t="str">
        <f t="shared" ref="L2606:L2634" si="263">B2606&amp;" "&amp;C2606&amp;" "&amp;D2606&amp;" "&amp;G2606&amp;"x"&amp;H2606</f>
        <v>YT DREAM  YATAK  150x200</v>
      </c>
      <c r="M2606" s="12">
        <v>0.1</v>
      </c>
      <c r="N2606" s="12">
        <v>0.1</v>
      </c>
      <c r="O2606" s="8">
        <v>10090</v>
      </c>
      <c r="P2606" s="8">
        <f t="shared" si="260"/>
        <v>9081</v>
      </c>
      <c r="Q2606" s="12">
        <f t="shared" si="261"/>
        <v>19070.100000000002</v>
      </c>
      <c r="R2606" s="31">
        <f t="shared" si="262"/>
        <v>19000</v>
      </c>
    </row>
    <row r="2607" spans="1:18" ht="21.95" customHeight="1" x14ac:dyDescent="0.2">
      <c r="A2607" s="6" t="s">
        <v>943</v>
      </c>
      <c r="B2607" s="6" t="s">
        <v>1596</v>
      </c>
      <c r="C2607" s="6" t="s">
        <v>1017</v>
      </c>
      <c r="D2607" s="6" t="s">
        <v>943</v>
      </c>
      <c r="E2607" s="6"/>
      <c r="G2607" s="6">
        <v>160</v>
      </c>
      <c r="H2607" s="6">
        <v>200</v>
      </c>
      <c r="K2607" s="7">
        <v>44006778</v>
      </c>
      <c r="L2607" s="6" t="str">
        <f t="shared" si="263"/>
        <v>YT DREAM  YATAK  160x200</v>
      </c>
      <c r="M2607" s="12">
        <v>0.1</v>
      </c>
      <c r="N2607" s="12">
        <v>0.1</v>
      </c>
      <c r="O2607" s="8">
        <v>12870</v>
      </c>
      <c r="P2607" s="8">
        <f t="shared" si="260"/>
        <v>11583</v>
      </c>
      <c r="Q2607" s="12">
        <f t="shared" si="261"/>
        <v>24324.3</v>
      </c>
      <c r="R2607" s="31">
        <f t="shared" si="262"/>
        <v>24300</v>
      </c>
    </row>
    <row r="2608" spans="1:18" ht="21.95" customHeight="1" x14ac:dyDescent="0.2">
      <c r="A2608" s="6" t="s">
        <v>943</v>
      </c>
      <c r="B2608" s="6" t="s">
        <v>1596</v>
      </c>
      <c r="C2608" s="6" t="s">
        <v>1017</v>
      </c>
      <c r="D2608" s="6" t="s">
        <v>943</v>
      </c>
      <c r="E2608" s="6"/>
      <c r="G2608" s="6">
        <v>180</v>
      </c>
      <c r="H2608" s="6">
        <v>200</v>
      </c>
      <c r="K2608" s="7">
        <v>44006779</v>
      </c>
      <c r="L2608" s="6" t="str">
        <f t="shared" si="263"/>
        <v>YT DREAM  YATAK  180x200</v>
      </c>
      <c r="M2608" s="12">
        <v>0.1</v>
      </c>
      <c r="N2608" s="12">
        <v>0.1</v>
      </c>
      <c r="O2608" s="8">
        <v>13860</v>
      </c>
      <c r="P2608" s="8">
        <f t="shared" si="260"/>
        <v>12474</v>
      </c>
      <c r="Q2608" s="12">
        <f t="shared" si="261"/>
        <v>26195.4</v>
      </c>
      <c r="R2608" s="31">
        <f t="shared" si="262"/>
        <v>26100</v>
      </c>
    </row>
    <row r="2609" spans="1:18" ht="21.95" customHeight="1" x14ac:dyDescent="0.2">
      <c r="A2609" s="6" t="s">
        <v>943</v>
      </c>
      <c r="B2609" s="6" t="s">
        <v>1596</v>
      </c>
      <c r="C2609" s="6" t="s">
        <v>1017</v>
      </c>
      <c r="D2609" s="6" t="s">
        <v>943</v>
      </c>
      <c r="E2609" s="6"/>
      <c r="G2609" s="6">
        <v>200</v>
      </c>
      <c r="H2609" s="6">
        <v>200</v>
      </c>
      <c r="K2609" s="7">
        <v>44006780</v>
      </c>
      <c r="L2609" s="6" t="str">
        <f t="shared" si="263"/>
        <v>YT DREAM  YATAK  200x200</v>
      </c>
      <c r="M2609" s="12">
        <v>0.1</v>
      </c>
      <c r="N2609" s="12">
        <v>0.1</v>
      </c>
      <c r="O2609" s="8">
        <v>15890</v>
      </c>
      <c r="P2609" s="8">
        <f t="shared" si="260"/>
        <v>14301</v>
      </c>
      <c r="Q2609" s="12">
        <f t="shared" si="261"/>
        <v>30032.100000000002</v>
      </c>
      <c r="R2609" s="31">
        <f t="shared" si="262"/>
        <v>30000</v>
      </c>
    </row>
    <row r="2610" spans="1:18" ht="21.95" customHeight="1" x14ac:dyDescent="0.2">
      <c r="A2610" s="6" t="s">
        <v>943</v>
      </c>
      <c r="B2610" s="6" t="s">
        <v>1596</v>
      </c>
      <c r="C2610" s="6" t="s">
        <v>1008</v>
      </c>
      <c r="D2610" s="6" t="s">
        <v>1003</v>
      </c>
      <c r="E2610" s="6"/>
      <c r="G2610" s="6">
        <v>150</v>
      </c>
      <c r="H2610" s="6">
        <v>200</v>
      </c>
      <c r="K2610" s="7">
        <v>44006781</v>
      </c>
      <c r="L2610" s="6" t="str">
        <f t="shared" si="263"/>
        <v>YT SARAY  BAŞLIK  150x200</v>
      </c>
      <c r="M2610" s="12">
        <v>0.1</v>
      </c>
      <c r="N2610" s="12">
        <v>0.1</v>
      </c>
      <c r="O2610" s="8">
        <v>5560</v>
      </c>
      <c r="P2610" s="8">
        <f t="shared" si="260"/>
        <v>5004</v>
      </c>
      <c r="Q2610" s="12">
        <f t="shared" si="261"/>
        <v>10508.4</v>
      </c>
      <c r="R2610" s="31">
        <f t="shared" si="262"/>
        <v>10500</v>
      </c>
    </row>
    <row r="2611" spans="1:18" ht="21.95" customHeight="1" x14ac:dyDescent="0.2">
      <c r="A2611" s="6" t="s">
        <v>943</v>
      </c>
      <c r="B2611" s="6" t="s">
        <v>1596</v>
      </c>
      <c r="C2611" s="6" t="s">
        <v>1008</v>
      </c>
      <c r="D2611" s="6" t="s">
        <v>1003</v>
      </c>
      <c r="E2611" s="6"/>
      <c r="G2611" s="6">
        <v>160</v>
      </c>
      <c r="H2611" s="6">
        <v>200</v>
      </c>
      <c r="K2611" s="7">
        <v>44006782</v>
      </c>
      <c r="L2611" s="6" t="str">
        <f t="shared" si="263"/>
        <v>YT SARAY  BAŞLIK  160x200</v>
      </c>
      <c r="M2611" s="12">
        <v>0.1</v>
      </c>
      <c r="N2611" s="12">
        <v>0.1</v>
      </c>
      <c r="O2611" s="8">
        <v>6010</v>
      </c>
      <c r="P2611" s="8">
        <f t="shared" si="260"/>
        <v>5409</v>
      </c>
      <c r="Q2611" s="12">
        <f t="shared" si="261"/>
        <v>11358.9</v>
      </c>
      <c r="R2611" s="31">
        <f t="shared" si="262"/>
        <v>11300</v>
      </c>
    </row>
    <row r="2612" spans="1:18" ht="21.95" customHeight="1" x14ac:dyDescent="0.2">
      <c r="A2612" s="6" t="s">
        <v>943</v>
      </c>
      <c r="B2612" s="6" t="s">
        <v>1596</v>
      </c>
      <c r="C2612" s="6" t="s">
        <v>1008</v>
      </c>
      <c r="D2612" s="6" t="s">
        <v>1003</v>
      </c>
      <c r="E2612" s="6"/>
      <c r="G2612" s="6">
        <v>180</v>
      </c>
      <c r="H2612" s="6">
        <v>200</v>
      </c>
      <c r="K2612" s="7">
        <v>44006783</v>
      </c>
      <c r="L2612" s="6" t="str">
        <f t="shared" si="263"/>
        <v>YT SARAY  BAŞLIK  180x200</v>
      </c>
      <c r="M2612" s="12">
        <v>0.1</v>
      </c>
      <c r="N2612" s="12">
        <v>0.1</v>
      </c>
      <c r="O2612" s="8">
        <v>6570</v>
      </c>
      <c r="P2612" s="8">
        <f t="shared" si="260"/>
        <v>5913</v>
      </c>
      <c r="Q2612" s="12">
        <f t="shared" si="261"/>
        <v>12417.300000000001</v>
      </c>
      <c r="R2612" s="31">
        <f t="shared" si="262"/>
        <v>12400</v>
      </c>
    </row>
    <row r="2613" spans="1:18" ht="21.95" customHeight="1" x14ac:dyDescent="0.2">
      <c r="A2613" s="6" t="s">
        <v>943</v>
      </c>
      <c r="B2613" s="6" t="s">
        <v>1596</v>
      </c>
      <c r="C2613" s="6" t="s">
        <v>1008</v>
      </c>
      <c r="D2613" s="6" t="s">
        <v>1003</v>
      </c>
      <c r="E2613" s="6"/>
      <c r="G2613" s="6">
        <v>200</v>
      </c>
      <c r="H2613" s="6">
        <v>200</v>
      </c>
      <c r="K2613" s="7">
        <v>44006784</v>
      </c>
      <c r="L2613" s="6" t="str">
        <f t="shared" si="263"/>
        <v>YT SARAY  BAŞLIK  200x200</v>
      </c>
      <c r="M2613" s="12">
        <v>0.1</v>
      </c>
      <c r="N2613" s="12">
        <v>0.1</v>
      </c>
      <c r="O2613" s="8">
        <v>7460</v>
      </c>
      <c r="P2613" s="8">
        <f t="shared" si="260"/>
        <v>6714</v>
      </c>
      <c r="Q2613" s="12">
        <f t="shared" si="261"/>
        <v>14099.400000000001</v>
      </c>
      <c r="R2613" s="31">
        <f t="shared" si="262"/>
        <v>14000</v>
      </c>
    </row>
    <row r="2614" spans="1:18" ht="21.95" customHeight="1" x14ac:dyDescent="0.2">
      <c r="A2614" s="6" t="s">
        <v>943</v>
      </c>
      <c r="B2614" s="6" t="s">
        <v>1596</v>
      </c>
      <c r="C2614" s="6" t="s">
        <v>1008</v>
      </c>
      <c r="D2614" s="6" t="s">
        <v>959</v>
      </c>
      <c r="E2614" s="6"/>
      <c r="G2614" s="6">
        <v>48</v>
      </c>
      <c r="H2614" s="6">
        <v>51</v>
      </c>
      <c r="I2614" s="7">
        <v>51</v>
      </c>
      <c r="K2614" s="7">
        <v>44006785</v>
      </c>
      <c r="L2614" s="6" t="str">
        <f t="shared" si="263"/>
        <v>YT SARAY  KOMİDİN  48x51</v>
      </c>
      <c r="M2614" s="12">
        <v>0.1</v>
      </c>
      <c r="N2614" s="12">
        <v>0.1</v>
      </c>
      <c r="O2614" s="8">
        <v>4420</v>
      </c>
      <c r="P2614" s="8">
        <f t="shared" si="260"/>
        <v>3978</v>
      </c>
      <c r="Q2614" s="12">
        <f t="shared" si="261"/>
        <v>8353.8000000000011</v>
      </c>
      <c r="R2614" s="31">
        <f t="shared" si="262"/>
        <v>8300</v>
      </c>
    </row>
    <row r="2615" spans="1:18" ht="21.95" customHeight="1" x14ac:dyDescent="0.2">
      <c r="A2615" s="6" t="s">
        <v>943</v>
      </c>
      <c r="B2615" s="6" t="s">
        <v>1596</v>
      </c>
      <c r="C2615" s="6" t="s">
        <v>1008</v>
      </c>
      <c r="D2615" s="6" t="s">
        <v>78</v>
      </c>
      <c r="E2615" s="6"/>
      <c r="G2615" s="6">
        <v>46</v>
      </c>
      <c r="H2615" s="6">
        <v>96</v>
      </c>
      <c r="I2615" s="7">
        <v>100</v>
      </c>
      <c r="K2615" s="7">
        <v>44006786</v>
      </c>
      <c r="L2615" s="6" t="str">
        <f t="shared" si="263"/>
        <v>YT SARAY  ŞİFONYER 46x96</v>
      </c>
      <c r="M2615" s="12">
        <v>0.1</v>
      </c>
      <c r="N2615" s="12">
        <v>0.1</v>
      </c>
      <c r="O2615" s="8">
        <v>9320</v>
      </c>
      <c r="P2615" s="8">
        <f t="shared" si="260"/>
        <v>8388</v>
      </c>
      <c r="Q2615" s="12">
        <f t="shared" si="261"/>
        <v>17614.8</v>
      </c>
      <c r="R2615" s="31">
        <f t="shared" si="262"/>
        <v>17600</v>
      </c>
    </row>
    <row r="2616" spans="1:18" ht="21.95" customHeight="1" x14ac:dyDescent="0.2">
      <c r="A2616" s="6" t="s">
        <v>943</v>
      </c>
      <c r="B2616" s="6" t="s">
        <v>1596</v>
      </c>
      <c r="C2616" s="6" t="s">
        <v>1018</v>
      </c>
      <c r="D2616" s="6" t="s">
        <v>943</v>
      </c>
      <c r="E2616" s="6"/>
      <c r="G2616" s="6">
        <v>150</v>
      </c>
      <c r="H2616" s="6">
        <v>200</v>
      </c>
      <c r="K2616" s="7">
        <v>44006787</v>
      </c>
      <c r="L2616" s="6" t="str">
        <f t="shared" si="263"/>
        <v>YT BEGONYA YATAK  150x200</v>
      </c>
      <c r="M2616" s="12">
        <v>0.1</v>
      </c>
      <c r="N2616" s="12">
        <v>0.1</v>
      </c>
      <c r="O2616" s="8">
        <v>5750</v>
      </c>
      <c r="P2616" s="8">
        <f t="shared" si="260"/>
        <v>5175</v>
      </c>
      <c r="Q2616" s="12">
        <f t="shared" si="261"/>
        <v>10867.5</v>
      </c>
      <c r="R2616" s="31">
        <f t="shared" si="262"/>
        <v>10800</v>
      </c>
    </row>
    <row r="2617" spans="1:18" ht="21.95" customHeight="1" x14ac:dyDescent="0.2">
      <c r="A2617" s="6" t="s">
        <v>943</v>
      </c>
      <c r="B2617" s="6" t="s">
        <v>1596</v>
      </c>
      <c r="C2617" s="6" t="s">
        <v>1018</v>
      </c>
      <c r="D2617" s="6" t="s">
        <v>943</v>
      </c>
      <c r="E2617" s="6"/>
      <c r="G2617" s="6">
        <v>160</v>
      </c>
      <c r="H2617" s="6">
        <v>200</v>
      </c>
      <c r="K2617" s="7">
        <v>44006788</v>
      </c>
      <c r="L2617" s="6" t="str">
        <f t="shared" si="263"/>
        <v>YT BEGONYA YATAK  160x200</v>
      </c>
      <c r="M2617" s="12">
        <v>0.1</v>
      </c>
      <c r="N2617" s="12">
        <v>0.1</v>
      </c>
      <c r="O2617" s="8">
        <v>6020</v>
      </c>
      <c r="P2617" s="8">
        <f t="shared" si="260"/>
        <v>5418</v>
      </c>
      <c r="Q2617" s="12">
        <f t="shared" si="261"/>
        <v>11377.800000000001</v>
      </c>
      <c r="R2617" s="31">
        <f t="shared" si="262"/>
        <v>11300</v>
      </c>
    </row>
    <row r="2618" spans="1:18" ht="21.95" customHeight="1" x14ac:dyDescent="0.2">
      <c r="A2618" s="6" t="s">
        <v>943</v>
      </c>
      <c r="B2618" s="6" t="s">
        <v>1596</v>
      </c>
      <c r="C2618" s="6" t="s">
        <v>1018</v>
      </c>
      <c r="D2618" s="6" t="s">
        <v>943</v>
      </c>
      <c r="E2618" s="6"/>
      <c r="G2618" s="6">
        <v>180</v>
      </c>
      <c r="H2618" s="6">
        <v>200</v>
      </c>
      <c r="K2618" s="7">
        <v>44006789</v>
      </c>
      <c r="L2618" s="6" t="str">
        <f t="shared" si="263"/>
        <v>YT BEGONYA YATAK  180x200</v>
      </c>
      <c r="M2618" s="12">
        <v>0.1</v>
      </c>
      <c r="N2618" s="12">
        <v>0.1</v>
      </c>
      <c r="O2618" s="8">
        <v>6840</v>
      </c>
      <c r="P2618" s="8">
        <f t="shared" si="260"/>
        <v>6156</v>
      </c>
      <c r="Q2618" s="12">
        <f t="shared" si="261"/>
        <v>12927.6</v>
      </c>
      <c r="R2618" s="31">
        <f t="shared" si="262"/>
        <v>12900</v>
      </c>
    </row>
    <row r="2619" spans="1:18" ht="21.95" customHeight="1" x14ac:dyDescent="0.2">
      <c r="A2619" s="6" t="s">
        <v>943</v>
      </c>
      <c r="B2619" s="6" t="s">
        <v>1596</v>
      </c>
      <c r="C2619" s="6" t="s">
        <v>1018</v>
      </c>
      <c r="D2619" s="6" t="s">
        <v>943</v>
      </c>
      <c r="E2619" s="6"/>
      <c r="G2619" s="6">
        <v>200</v>
      </c>
      <c r="H2619" s="6">
        <v>200</v>
      </c>
      <c r="K2619" s="7">
        <v>44006790</v>
      </c>
      <c r="L2619" s="6" t="str">
        <f t="shared" si="263"/>
        <v>YT BEGONYA YATAK  200x200</v>
      </c>
      <c r="M2619" s="12">
        <v>0.1</v>
      </c>
      <c r="N2619" s="12">
        <v>0.1</v>
      </c>
      <c r="O2619" s="8">
        <v>7750</v>
      </c>
      <c r="P2619" s="8">
        <f t="shared" si="260"/>
        <v>6975</v>
      </c>
      <c r="Q2619" s="12">
        <f t="shared" si="261"/>
        <v>14647.5</v>
      </c>
      <c r="R2619" s="31">
        <f t="shared" si="262"/>
        <v>14600</v>
      </c>
    </row>
    <row r="2620" spans="1:18" ht="21.95" customHeight="1" x14ac:dyDescent="0.2">
      <c r="A2620" s="6" t="s">
        <v>943</v>
      </c>
      <c r="B2620" s="6" t="s">
        <v>1596</v>
      </c>
      <c r="C2620" s="6" t="s">
        <v>1019</v>
      </c>
      <c r="D2620" s="6" t="s">
        <v>950</v>
      </c>
      <c r="E2620" s="6"/>
      <c r="G2620" s="6">
        <v>150</v>
      </c>
      <c r="H2620" s="6">
        <v>200</v>
      </c>
      <c r="K2620" s="7">
        <v>44006791</v>
      </c>
      <c r="L2620" s="6" t="str">
        <f t="shared" si="263"/>
        <v>YT ŞATO BAŞLIK 150x200</v>
      </c>
      <c r="M2620" s="12">
        <v>0.1</v>
      </c>
      <c r="N2620" s="12">
        <v>0.1</v>
      </c>
      <c r="O2620" s="8">
        <v>5400</v>
      </c>
      <c r="P2620" s="8">
        <f t="shared" si="260"/>
        <v>4860</v>
      </c>
      <c r="Q2620" s="12">
        <f t="shared" si="261"/>
        <v>10206</v>
      </c>
      <c r="R2620" s="31">
        <f t="shared" si="262"/>
        <v>10200</v>
      </c>
    </row>
    <row r="2621" spans="1:18" ht="21.95" customHeight="1" x14ac:dyDescent="0.2">
      <c r="A2621" s="6" t="s">
        <v>943</v>
      </c>
      <c r="B2621" s="6" t="s">
        <v>1596</v>
      </c>
      <c r="C2621" s="6" t="s">
        <v>1019</v>
      </c>
      <c r="D2621" s="6" t="s">
        <v>950</v>
      </c>
      <c r="E2621" s="6"/>
      <c r="G2621" s="6">
        <v>160</v>
      </c>
      <c r="H2621" s="6">
        <v>200</v>
      </c>
      <c r="K2621" s="7">
        <v>44006792</v>
      </c>
      <c r="L2621" s="6" t="str">
        <f t="shared" si="263"/>
        <v>YT ŞATO BAŞLIK 160x200</v>
      </c>
      <c r="M2621" s="12">
        <v>0.1</v>
      </c>
      <c r="N2621" s="12">
        <v>0.1</v>
      </c>
      <c r="O2621" s="8">
        <v>5610</v>
      </c>
      <c r="P2621" s="8">
        <f t="shared" si="260"/>
        <v>5049</v>
      </c>
      <c r="Q2621" s="12">
        <f t="shared" si="261"/>
        <v>10602.9</v>
      </c>
      <c r="R2621" s="31">
        <f t="shared" si="262"/>
        <v>10600</v>
      </c>
    </row>
    <row r="2622" spans="1:18" ht="21.95" customHeight="1" x14ac:dyDescent="0.2">
      <c r="A2622" s="6" t="s">
        <v>943</v>
      </c>
      <c r="B2622" s="6" t="s">
        <v>1596</v>
      </c>
      <c r="C2622" s="6" t="s">
        <v>1019</v>
      </c>
      <c r="D2622" s="6" t="s">
        <v>950</v>
      </c>
      <c r="E2622" s="6"/>
      <c r="G2622" s="6">
        <v>180</v>
      </c>
      <c r="H2622" s="6">
        <v>200</v>
      </c>
      <c r="K2622" s="7">
        <v>44006793</v>
      </c>
      <c r="L2622" s="6" t="str">
        <f t="shared" si="263"/>
        <v>YT ŞATO BAŞLIK 180x200</v>
      </c>
      <c r="M2622" s="12">
        <v>0.1</v>
      </c>
      <c r="N2622" s="12">
        <v>0.1</v>
      </c>
      <c r="O2622" s="8">
        <v>6180</v>
      </c>
      <c r="P2622" s="8">
        <f t="shared" si="260"/>
        <v>5562</v>
      </c>
      <c r="Q2622" s="12">
        <f t="shared" si="261"/>
        <v>11680.2</v>
      </c>
      <c r="R2622" s="31">
        <f t="shared" si="262"/>
        <v>11600</v>
      </c>
    </row>
    <row r="2623" spans="1:18" ht="21.95" customHeight="1" x14ac:dyDescent="0.2">
      <c r="A2623" s="6" t="s">
        <v>943</v>
      </c>
      <c r="B2623" s="6" t="s">
        <v>1596</v>
      </c>
      <c r="C2623" s="6" t="s">
        <v>1019</v>
      </c>
      <c r="D2623" s="6" t="s">
        <v>950</v>
      </c>
      <c r="E2623" s="6"/>
      <c r="G2623" s="6">
        <v>200</v>
      </c>
      <c r="H2623" s="6">
        <v>200</v>
      </c>
      <c r="K2623" s="7">
        <v>44006794</v>
      </c>
      <c r="L2623" s="6" t="str">
        <f t="shared" si="263"/>
        <v>YT ŞATO BAŞLIK 200x200</v>
      </c>
      <c r="M2623" s="12">
        <v>0.1</v>
      </c>
      <c r="N2623" s="12">
        <v>0.1</v>
      </c>
      <c r="O2623" s="8">
        <v>6730</v>
      </c>
      <c r="P2623" s="8">
        <f t="shared" si="260"/>
        <v>6057</v>
      </c>
      <c r="Q2623" s="12">
        <f t="shared" si="261"/>
        <v>12719.7</v>
      </c>
      <c r="R2623" s="31">
        <f t="shared" si="262"/>
        <v>12700</v>
      </c>
    </row>
    <row r="2624" spans="1:18" ht="21.95" customHeight="1" x14ac:dyDescent="0.2">
      <c r="A2624" s="6" t="s">
        <v>943</v>
      </c>
      <c r="B2624" s="6" t="s">
        <v>1596</v>
      </c>
      <c r="C2624" s="6" t="s">
        <v>1019</v>
      </c>
      <c r="D2624" s="6" t="s">
        <v>959</v>
      </c>
      <c r="E2624" s="6"/>
      <c r="G2624" s="6">
        <v>45</v>
      </c>
      <c r="H2624" s="6">
        <v>50</v>
      </c>
      <c r="I2624" s="7">
        <v>54</v>
      </c>
      <c r="K2624" s="7">
        <v>44006795</v>
      </c>
      <c r="L2624" s="6" t="str">
        <f t="shared" si="263"/>
        <v>YT ŞATO KOMİDİN  45x50</v>
      </c>
      <c r="M2624" s="12">
        <v>0.1</v>
      </c>
      <c r="N2624" s="12">
        <v>0.1</v>
      </c>
      <c r="O2624" s="8">
        <v>4610</v>
      </c>
      <c r="P2624" s="8">
        <f t="shared" si="260"/>
        <v>4149</v>
      </c>
      <c r="Q2624" s="12">
        <f t="shared" si="261"/>
        <v>8712.9</v>
      </c>
      <c r="R2624" s="31">
        <f t="shared" si="262"/>
        <v>8700</v>
      </c>
    </row>
    <row r="2625" spans="1:18" ht="21.95" customHeight="1" x14ac:dyDescent="0.2">
      <c r="A2625" s="6" t="s">
        <v>943</v>
      </c>
      <c r="B2625" s="6" t="s">
        <v>1596</v>
      </c>
      <c r="C2625" s="6" t="s">
        <v>1019</v>
      </c>
      <c r="D2625" s="6" t="s">
        <v>951</v>
      </c>
      <c r="E2625" s="6"/>
      <c r="G2625" s="6">
        <v>45</v>
      </c>
      <c r="H2625" s="6">
        <v>113</v>
      </c>
      <c r="I2625" s="7">
        <v>47</v>
      </c>
      <c r="K2625" s="7">
        <v>44006796</v>
      </c>
      <c r="L2625" s="6" t="str">
        <f t="shared" si="263"/>
        <v>YT ŞATO MARKİZ 45x113</v>
      </c>
      <c r="M2625" s="12">
        <v>0.1</v>
      </c>
      <c r="N2625" s="12">
        <v>0.1</v>
      </c>
      <c r="O2625" s="8">
        <v>5590</v>
      </c>
      <c r="P2625" s="8">
        <f t="shared" si="260"/>
        <v>5031</v>
      </c>
      <c r="Q2625" s="12">
        <f t="shared" si="261"/>
        <v>10565.1</v>
      </c>
      <c r="R2625" s="31">
        <f t="shared" si="262"/>
        <v>10500</v>
      </c>
    </row>
    <row r="2626" spans="1:18" ht="21.95" customHeight="1" x14ac:dyDescent="0.2">
      <c r="A2626" s="6" t="s">
        <v>943</v>
      </c>
      <c r="B2626" s="6" t="s">
        <v>1596</v>
      </c>
      <c r="C2626" s="6" t="s">
        <v>1019</v>
      </c>
      <c r="D2626" s="6" t="s">
        <v>78</v>
      </c>
      <c r="E2626" s="6"/>
      <c r="G2626" s="6">
        <v>45</v>
      </c>
      <c r="H2626" s="6">
        <v>96</v>
      </c>
      <c r="I2626" s="7">
        <v>87</v>
      </c>
      <c r="K2626" s="7">
        <v>44006797</v>
      </c>
      <c r="L2626" s="6" t="str">
        <f t="shared" si="263"/>
        <v>YT ŞATO ŞİFONYER 45x96</v>
      </c>
      <c r="M2626" s="12">
        <v>0.1</v>
      </c>
      <c r="N2626" s="12">
        <v>0.1</v>
      </c>
      <c r="O2626" s="8">
        <v>9510</v>
      </c>
      <c r="P2626" s="8">
        <f t="shared" si="260"/>
        <v>8559</v>
      </c>
      <c r="Q2626" s="12">
        <f t="shared" si="261"/>
        <v>17973.900000000001</v>
      </c>
      <c r="R2626" s="31">
        <f t="shared" si="262"/>
        <v>17900</v>
      </c>
    </row>
    <row r="2627" spans="1:18" ht="21.95" customHeight="1" x14ac:dyDescent="0.2">
      <c r="A2627" s="6" t="s">
        <v>943</v>
      </c>
      <c r="B2627" s="6" t="s">
        <v>1596</v>
      </c>
      <c r="C2627" s="6" t="s">
        <v>1020</v>
      </c>
      <c r="D2627" s="6" t="s">
        <v>945</v>
      </c>
      <c r="E2627" s="6"/>
      <c r="G2627" s="6">
        <v>150</v>
      </c>
      <c r="H2627" s="6">
        <v>200</v>
      </c>
      <c r="K2627" s="7">
        <v>44006798</v>
      </c>
      <c r="L2627" s="6" t="str">
        <f t="shared" si="263"/>
        <v>YT JAGUAR + BAZA 150x200</v>
      </c>
      <c r="M2627" s="12">
        <v>0.1</v>
      </c>
      <c r="N2627" s="12">
        <v>0.1</v>
      </c>
      <c r="O2627" s="8">
        <v>8460</v>
      </c>
      <c r="P2627" s="8">
        <f t="shared" si="260"/>
        <v>7614</v>
      </c>
      <c r="Q2627" s="12">
        <f t="shared" si="261"/>
        <v>15989.400000000001</v>
      </c>
      <c r="R2627" s="31">
        <f t="shared" si="262"/>
        <v>15900</v>
      </c>
    </row>
    <row r="2628" spans="1:18" ht="21.95" customHeight="1" x14ac:dyDescent="0.2">
      <c r="A2628" s="6" t="s">
        <v>943</v>
      </c>
      <c r="B2628" s="6" t="s">
        <v>1596</v>
      </c>
      <c r="C2628" s="6" t="s">
        <v>1020</v>
      </c>
      <c r="D2628" s="6" t="s">
        <v>945</v>
      </c>
      <c r="E2628" s="6"/>
      <c r="G2628" s="6">
        <v>160</v>
      </c>
      <c r="H2628" s="6">
        <v>200</v>
      </c>
      <c r="K2628" s="7">
        <v>44006799</v>
      </c>
      <c r="L2628" s="6" t="str">
        <f t="shared" si="263"/>
        <v>YT JAGUAR + BAZA 160x200</v>
      </c>
      <c r="M2628" s="12">
        <v>0.1</v>
      </c>
      <c r="N2628" s="12">
        <v>0.1</v>
      </c>
      <c r="O2628" s="8">
        <v>8810</v>
      </c>
      <c r="P2628" s="8">
        <f t="shared" si="260"/>
        <v>7929</v>
      </c>
      <c r="Q2628" s="12">
        <f t="shared" si="261"/>
        <v>16650.900000000001</v>
      </c>
      <c r="R2628" s="31">
        <f t="shared" si="262"/>
        <v>16600</v>
      </c>
    </row>
    <row r="2629" spans="1:18" ht="21.95" customHeight="1" x14ac:dyDescent="0.2">
      <c r="A2629" s="6" t="s">
        <v>943</v>
      </c>
      <c r="B2629" s="6" t="s">
        <v>1596</v>
      </c>
      <c r="C2629" s="6" t="s">
        <v>1020</v>
      </c>
      <c r="D2629" s="6" t="s">
        <v>945</v>
      </c>
      <c r="E2629" s="6"/>
      <c r="G2629" s="6">
        <v>180</v>
      </c>
      <c r="H2629" s="6">
        <v>200</v>
      </c>
      <c r="K2629" s="7">
        <v>44006800</v>
      </c>
      <c r="L2629" s="6" t="str">
        <f t="shared" si="263"/>
        <v>YT JAGUAR + BAZA 180x200</v>
      </c>
      <c r="M2629" s="12">
        <v>0.1</v>
      </c>
      <c r="N2629" s="12">
        <v>0.1</v>
      </c>
      <c r="O2629" s="8">
        <v>9510</v>
      </c>
      <c r="P2629" s="8">
        <f t="shared" si="260"/>
        <v>8559</v>
      </c>
      <c r="Q2629" s="12">
        <f t="shared" si="261"/>
        <v>17973.900000000001</v>
      </c>
      <c r="R2629" s="31">
        <f t="shared" si="262"/>
        <v>17900</v>
      </c>
    </row>
    <row r="2630" spans="1:18" ht="21.95" customHeight="1" x14ac:dyDescent="0.2">
      <c r="A2630" s="6" t="s">
        <v>943</v>
      </c>
      <c r="B2630" s="6" t="s">
        <v>1596</v>
      </c>
      <c r="C2630" s="6" t="s">
        <v>1020</v>
      </c>
      <c r="D2630" s="6" t="s">
        <v>945</v>
      </c>
      <c r="E2630" s="6"/>
      <c r="G2630" s="6">
        <v>200</v>
      </c>
      <c r="H2630" s="6">
        <v>200</v>
      </c>
      <c r="K2630" s="7">
        <v>44006801</v>
      </c>
      <c r="L2630" s="6" t="str">
        <f t="shared" si="263"/>
        <v>YT JAGUAR + BAZA 200x200</v>
      </c>
      <c r="M2630" s="12">
        <v>0.1</v>
      </c>
      <c r="N2630" s="12">
        <v>0.1</v>
      </c>
      <c r="O2630" s="8">
        <v>10200</v>
      </c>
      <c r="P2630" s="8">
        <f t="shared" si="260"/>
        <v>9180</v>
      </c>
      <c r="Q2630" s="12">
        <f t="shared" si="261"/>
        <v>19278</v>
      </c>
      <c r="R2630" s="31">
        <f t="shared" si="262"/>
        <v>19200</v>
      </c>
    </row>
    <row r="2631" spans="1:18" ht="21.95" customHeight="1" x14ac:dyDescent="0.2">
      <c r="A2631" s="6" t="s">
        <v>943</v>
      </c>
      <c r="B2631" s="6" t="s">
        <v>1596</v>
      </c>
      <c r="C2631" s="6" t="s">
        <v>1021</v>
      </c>
      <c r="D2631" s="6" t="s">
        <v>950</v>
      </c>
      <c r="E2631" s="6"/>
      <c r="G2631" s="6">
        <v>150</v>
      </c>
      <c r="H2631" s="6">
        <v>200</v>
      </c>
      <c r="K2631" s="7">
        <v>44006802</v>
      </c>
      <c r="L2631" s="6" t="str">
        <f t="shared" si="263"/>
        <v>YT AYSİMA  BAŞLIK 150x200</v>
      </c>
      <c r="M2631" s="12">
        <v>0.1</v>
      </c>
      <c r="N2631" s="12">
        <v>0.1</v>
      </c>
      <c r="O2631" s="8">
        <v>4540</v>
      </c>
      <c r="P2631" s="8">
        <f t="shared" si="260"/>
        <v>4086</v>
      </c>
      <c r="Q2631" s="12">
        <f t="shared" si="261"/>
        <v>8580.6</v>
      </c>
      <c r="R2631" s="31">
        <f t="shared" si="262"/>
        <v>8500</v>
      </c>
    </row>
    <row r="2632" spans="1:18" ht="21.95" customHeight="1" x14ac:dyDescent="0.2">
      <c r="A2632" s="6" t="s">
        <v>943</v>
      </c>
      <c r="B2632" s="6" t="s">
        <v>1596</v>
      </c>
      <c r="C2632" s="6" t="s">
        <v>1021</v>
      </c>
      <c r="D2632" s="6" t="s">
        <v>950</v>
      </c>
      <c r="E2632" s="6"/>
      <c r="G2632" s="6">
        <v>160</v>
      </c>
      <c r="H2632" s="6">
        <v>200</v>
      </c>
      <c r="K2632" s="7">
        <v>44006803</v>
      </c>
      <c r="L2632" s="6" t="str">
        <f t="shared" si="263"/>
        <v>YT AYSİMA  BAŞLIK 160x200</v>
      </c>
      <c r="M2632" s="12">
        <v>0.1</v>
      </c>
      <c r="N2632" s="12">
        <v>0.1</v>
      </c>
      <c r="O2632" s="8">
        <v>4840</v>
      </c>
      <c r="P2632" s="8">
        <f t="shared" si="260"/>
        <v>4356</v>
      </c>
      <c r="Q2632" s="12">
        <f t="shared" si="261"/>
        <v>9147.6</v>
      </c>
      <c r="R2632" s="31">
        <f t="shared" si="262"/>
        <v>9100</v>
      </c>
    </row>
    <row r="2633" spans="1:18" ht="21.95" customHeight="1" x14ac:dyDescent="0.2">
      <c r="A2633" s="6" t="s">
        <v>943</v>
      </c>
      <c r="B2633" s="6" t="s">
        <v>1596</v>
      </c>
      <c r="C2633" s="6" t="s">
        <v>1021</v>
      </c>
      <c r="D2633" s="6" t="s">
        <v>950</v>
      </c>
      <c r="E2633" s="6"/>
      <c r="G2633" s="6">
        <v>180</v>
      </c>
      <c r="H2633" s="6">
        <v>200</v>
      </c>
      <c r="K2633" s="7">
        <v>44006804</v>
      </c>
      <c r="L2633" s="6" t="str">
        <f t="shared" si="263"/>
        <v>YT AYSİMA  BAŞLIK 180x200</v>
      </c>
      <c r="M2633" s="12">
        <v>0.1</v>
      </c>
      <c r="N2633" s="12">
        <v>0.1</v>
      </c>
      <c r="O2633" s="8">
        <v>5450</v>
      </c>
      <c r="P2633" s="8">
        <f t="shared" si="260"/>
        <v>4905</v>
      </c>
      <c r="Q2633" s="12">
        <f t="shared" si="261"/>
        <v>10300.5</v>
      </c>
      <c r="R2633" s="31">
        <f t="shared" si="262"/>
        <v>10300</v>
      </c>
    </row>
    <row r="2634" spans="1:18" ht="21.95" customHeight="1" x14ac:dyDescent="0.2">
      <c r="A2634" s="6" t="s">
        <v>943</v>
      </c>
      <c r="B2634" s="6" t="s">
        <v>1596</v>
      </c>
      <c r="C2634" s="6" t="s">
        <v>1021</v>
      </c>
      <c r="D2634" s="6" t="s">
        <v>950</v>
      </c>
      <c r="E2634" s="6"/>
      <c r="G2634" s="6">
        <v>200</v>
      </c>
      <c r="H2634" s="6">
        <v>200</v>
      </c>
      <c r="K2634" s="7">
        <v>44006805</v>
      </c>
      <c r="L2634" s="6" t="str">
        <f t="shared" si="263"/>
        <v>YT AYSİMA  BAŞLIK 200x200</v>
      </c>
      <c r="M2634" s="12">
        <v>0.1</v>
      </c>
      <c r="N2634" s="12">
        <v>0.1</v>
      </c>
      <c r="O2634" s="8">
        <v>6110</v>
      </c>
      <c r="P2634" s="8">
        <f t="shared" si="260"/>
        <v>5499</v>
      </c>
      <c r="Q2634" s="12">
        <f t="shared" si="261"/>
        <v>11547.9</v>
      </c>
      <c r="R2634" s="31">
        <f t="shared" si="262"/>
        <v>11500</v>
      </c>
    </row>
    <row r="2635" spans="1:18" ht="21.95" customHeight="1" x14ac:dyDescent="0.2">
      <c r="A2635" s="6" t="s">
        <v>943</v>
      </c>
      <c r="B2635" s="6" t="s">
        <v>1596</v>
      </c>
      <c r="C2635" s="6" t="s">
        <v>969</v>
      </c>
      <c r="D2635" s="6" t="s">
        <v>78</v>
      </c>
      <c r="E2635" s="6"/>
      <c r="K2635" s="7">
        <v>44006806</v>
      </c>
      <c r="L2635" s="6" t="str">
        <f>B2635&amp;" "&amp;C2635&amp;" "&amp;D2635&amp;" "</f>
        <v xml:space="preserve">YT SAFRAN ŞİFONYER </v>
      </c>
      <c r="M2635" s="12">
        <v>0.1</v>
      </c>
      <c r="N2635" s="12">
        <v>0.1</v>
      </c>
      <c r="O2635" s="8">
        <v>9510</v>
      </c>
      <c r="P2635" s="8">
        <f t="shared" si="260"/>
        <v>8559</v>
      </c>
      <c r="Q2635" s="12">
        <f t="shared" si="261"/>
        <v>17973.900000000001</v>
      </c>
      <c r="R2635" s="31">
        <f t="shared" si="262"/>
        <v>17900</v>
      </c>
    </row>
    <row r="2636" spans="1:18" ht="21.95" customHeight="1" x14ac:dyDescent="0.2">
      <c r="A2636" s="6" t="s">
        <v>943</v>
      </c>
      <c r="B2636" s="6" t="s">
        <v>1596</v>
      </c>
      <c r="C2636" s="6" t="s">
        <v>1021</v>
      </c>
      <c r="D2636" s="6" t="s">
        <v>1022</v>
      </c>
      <c r="E2636" s="6"/>
      <c r="G2636" s="6">
        <v>49</v>
      </c>
      <c r="H2636" s="6">
        <v>101</v>
      </c>
      <c r="I2636" s="7">
        <v>61</v>
      </c>
      <c r="K2636" s="7">
        <v>44006807</v>
      </c>
      <c r="L2636" s="6" t="str">
        <f t="shared" ref="L2636:L2662" si="264">B2636&amp;" "&amp;C2636&amp;" "&amp;D2636&amp;" "&amp;G2636&amp;"x"&amp;H2636</f>
        <v>YT AYSİMA  MARKİZ  49x101</v>
      </c>
      <c r="M2636" s="12">
        <v>0.1</v>
      </c>
      <c r="N2636" s="12">
        <v>0.1</v>
      </c>
      <c r="O2636" s="8">
        <v>5640</v>
      </c>
      <c r="P2636" s="8">
        <f t="shared" si="260"/>
        <v>5076</v>
      </c>
      <c r="Q2636" s="12">
        <f t="shared" si="261"/>
        <v>10659.6</v>
      </c>
      <c r="R2636" s="31">
        <f t="shared" si="262"/>
        <v>10600</v>
      </c>
    </row>
    <row r="2637" spans="1:18" ht="21.95" customHeight="1" x14ac:dyDescent="0.2">
      <c r="A2637" s="6" t="s">
        <v>943</v>
      </c>
      <c r="B2637" s="6" t="s">
        <v>1596</v>
      </c>
      <c r="C2637" s="6" t="s">
        <v>1023</v>
      </c>
      <c r="D2637" s="6" t="s">
        <v>989</v>
      </c>
      <c r="E2637" s="6"/>
      <c r="G2637" s="6">
        <v>150</v>
      </c>
      <c r="H2637" s="6">
        <v>200</v>
      </c>
      <c r="K2637" s="7">
        <v>44006808</v>
      </c>
      <c r="L2637" s="6" t="str">
        <f t="shared" si="264"/>
        <v>YT LEATHER BAZA  150x200</v>
      </c>
      <c r="M2637" s="12">
        <v>0.1</v>
      </c>
      <c r="N2637" s="12">
        <v>0.1</v>
      </c>
      <c r="O2637" s="8">
        <v>8220</v>
      </c>
      <c r="P2637" s="8">
        <f t="shared" si="260"/>
        <v>7398</v>
      </c>
      <c r="Q2637" s="12">
        <f t="shared" si="261"/>
        <v>15535.800000000001</v>
      </c>
      <c r="R2637" s="31">
        <f t="shared" si="262"/>
        <v>15500</v>
      </c>
    </row>
    <row r="2638" spans="1:18" ht="21.95" customHeight="1" x14ac:dyDescent="0.2">
      <c r="A2638" s="6" t="s">
        <v>943</v>
      </c>
      <c r="B2638" s="6" t="s">
        <v>1596</v>
      </c>
      <c r="C2638" s="6" t="s">
        <v>1023</v>
      </c>
      <c r="D2638" s="6" t="s">
        <v>989</v>
      </c>
      <c r="E2638" s="6"/>
      <c r="G2638" s="6">
        <v>160</v>
      </c>
      <c r="H2638" s="6">
        <v>200</v>
      </c>
      <c r="K2638" s="7">
        <v>44006809</v>
      </c>
      <c r="L2638" s="6" t="str">
        <f t="shared" si="264"/>
        <v>YT LEATHER BAZA  160x200</v>
      </c>
      <c r="M2638" s="12">
        <v>0.1</v>
      </c>
      <c r="N2638" s="12">
        <v>0.1</v>
      </c>
      <c r="O2638" s="8">
        <v>8530</v>
      </c>
      <c r="P2638" s="8">
        <f t="shared" ref="P2638:P2701" si="265">O2638*(1-N2638)</f>
        <v>7677</v>
      </c>
      <c r="Q2638" s="12">
        <f t="shared" ref="Q2638:Q2701" si="266">O2638*(1-N2638)*2.1</f>
        <v>16121.7</v>
      </c>
      <c r="R2638" s="31">
        <f t="shared" ref="R2638:R2701" si="267">ROUNDDOWN(Q2638,-2)</f>
        <v>16100</v>
      </c>
    </row>
    <row r="2639" spans="1:18" ht="21.95" customHeight="1" x14ac:dyDescent="0.2">
      <c r="A2639" s="6" t="s">
        <v>943</v>
      </c>
      <c r="B2639" s="6" t="s">
        <v>1596</v>
      </c>
      <c r="C2639" s="6" t="s">
        <v>1023</v>
      </c>
      <c r="D2639" s="6" t="s">
        <v>989</v>
      </c>
      <c r="E2639" s="6"/>
      <c r="G2639" s="6">
        <v>180</v>
      </c>
      <c r="H2639" s="6">
        <v>200</v>
      </c>
      <c r="K2639" s="7">
        <v>44006810</v>
      </c>
      <c r="L2639" s="6" t="str">
        <f t="shared" si="264"/>
        <v>YT LEATHER BAZA  180x200</v>
      </c>
      <c r="M2639" s="12">
        <v>0.1</v>
      </c>
      <c r="N2639" s="12">
        <v>0.1</v>
      </c>
      <c r="O2639" s="8">
        <v>9430</v>
      </c>
      <c r="P2639" s="8">
        <f t="shared" si="265"/>
        <v>8487</v>
      </c>
      <c r="Q2639" s="12">
        <f t="shared" si="266"/>
        <v>17822.7</v>
      </c>
      <c r="R2639" s="31">
        <f t="shared" si="267"/>
        <v>17800</v>
      </c>
    </row>
    <row r="2640" spans="1:18" ht="21.95" customHeight="1" x14ac:dyDescent="0.2">
      <c r="A2640" s="6" t="s">
        <v>943</v>
      </c>
      <c r="B2640" s="6" t="s">
        <v>1596</v>
      </c>
      <c r="C2640" s="6" t="s">
        <v>1023</v>
      </c>
      <c r="D2640" s="6" t="s">
        <v>989</v>
      </c>
      <c r="E2640" s="6"/>
      <c r="G2640" s="6">
        <v>200</v>
      </c>
      <c r="H2640" s="6">
        <v>200</v>
      </c>
      <c r="K2640" s="7">
        <v>44006811</v>
      </c>
      <c r="L2640" s="6" t="str">
        <f t="shared" si="264"/>
        <v>YT LEATHER BAZA  200x200</v>
      </c>
      <c r="M2640" s="12">
        <v>0.1</v>
      </c>
      <c r="N2640" s="12">
        <v>0.1</v>
      </c>
      <c r="O2640" s="8">
        <v>10080</v>
      </c>
      <c r="P2640" s="8">
        <f t="shared" si="265"/>
        <v>9072</v>
      </c>
      <c r="Q2640" s="12">
        <f t="shared" si="266"/>
        <v>19051.2</v>
      </c>
      <c r="R2640" s="31">
        <f t="shared" si="267"/>
        <v>19000</v>
      </c>
    </row>
    <row r="2641" spans="1:18" ht="21.95" customHeight="1" x14ac:dyDescent="0.2">
      <c r="A2641" s="6" t="s">
        <v>943</v>
      </c>
      <c r="B2641" s="6" t="s">
        <v>1596</v>
      </c>
      <c r="C2641" s="6" t="s">
        <v>1024</v>
      </c>
      <c r="D2641" s="6" t="s">
        <v>1003</v>
      </c>
      <c r="E2641" s="6"/>
      <c r="G2641" s="6">
        <v>150</v>
      </c>
      <c r="H2641" s="6">
        <v>200</v>
      </c>
      <c r="K2641" s="7">
        <v>44006812</v>
      </c>
      <c r="L2641" s="6" t="str">
        <f t="shared" si="264"/>
        <v>YT NİLÜFER  BAŞLIK  150x200</v>
      </c>
      <c r="M2641" s="12">
        <v>0.1</v>
      </c>
      <c r="N2641" s="12">
        <v>0.1</v>
      </c>
      <c r="O2641" s="8">
        <v>3890</v>
      </c>
      <c r="P2641" s="8">
        <f t="shared" si="265"/>
        <v>3501</v>
      </c>
      <c r="Q2641" s="12">
        <f t="shared" si="266"/>
        <v>7352.1</v>
      </c>
      <c r="R2641" s="31">
        <f t="shared" si="267"/>
        <v>7300</v>
      </c>
    </row>
    <row r="2642" spans="1:18" ht="21.95" customHeight="1" x14ac:dyDescent="0.2">
      <c r="A2642" s="6" t="s">
        <v>943</v>
      </c>
      <c r="B2642" s="6" t="s">
        <v>1596</v>
      </c>
      <c r="C2642" s="6" t="s">
        <v>1024</v>
      </c>
      <c r="D2642" s="6" t="s">
        <v>1003</v>
      </c>
      <c r="E2642" s="6"/>
      <c r="G2642" s="6">
        <v>160</v>
      </c>
      <c r="H2642" s="6">
        <v>200</v>
      </c>
      <c r="K2642" s="7">
        <v>44006813</v>
      </c>
      <c r="L2642" s="6" t="str">
        <f t="shared" si="264"/>
        <v>YT NİLÜFER  BAŞLIK  160x200</v>
      </c>
      <c r="M2642" s="12">
        <v>0.1</v>
      </c>
      <c r="N2642" s="12">
        <v>0.1</v>
      </c>
      <c r="O2642" s="8">
        <v>4250</v>
      </c>
      <c r="P2642" s="8">
        <f t="shared" si="265"/>
        <v>3825</v>
      </c>
      <c r="Q2642" s="12">
        <f t="shared" si="266"/>
        <v>8032.5</v>
      </c>
      <c r="R2642" s="31">
        <f t="shared" si="267"/>
        <v>8000</v>
      </c>
    </row>
    <row r="2643" spans="1:18" ht="21.95" customHeight="1" x14ac:dyDescent="0.2">
      <c r="A2643" s="6" t="s">
        <v>943</v>
      </c>
      <c r="B2643" s="6" t="s">
        <v>1596</v>
      </c>
      <c r="C2643" s="6" t="s">
        <v>1024</v>
      </c>
      <c r="D2643" s="6" t="s">
        <v>1003</v>
      </c>
      <c r="E2643" s="6"/>
      <c r="G2643" s="6">
        <v>180</v>
      </c>
      <c r="H2643" s="6">
        <v>200</v>
      </c>
      <c r="K2643" s="7">
        <v>44006814</v>
      </c>
      <c r="L2643" s="6" t="str">
        <f t="shared" si="264"/>
        <v>YT NİLÜFER  BAŞLIK  180x200</v>
      </c>
      <c r="M2643" s="12">
        <v>0.1</v>
      </c>
      <c r="N2643" s="12">
        <v>0.1</v>
      </c>
      <c r="O2643" s="8">
        <v>4450</v>
      </c>
      <c r="P2643" s="8">
        <f t="shared" si="265"/>
        <v>4005</v>
      </c>
      <c r="Q2643" s="12">
        <f t="shared" si="266"/>
        <v>8410.5</v>
      </c>
      <c r="R2643" s="31">
        <f t="shared" si="267"/>
        <v>8400</v>
      </c>
    </row>
    <row r="2644" spans="1:18" ht="21.95" customHeight="1" x14ac:dyDescent="0.2">
      <c r="A2644" s="6" t="s">
        <v>943</v>
      </c>
      <c r="B2644" s="6" t="s">
        <v>1596</v>
      </c>
      <c r="C2644" s="6" t="s">
        <v>1024</v>
      </c>
      <c r="D2644" s="6" t="s">
        <v>1003</v>
      </c>
      <c r="E2644" s="6"/>
      <c r="G2644" s="6">
        <v>200</v>
      </c>
      <c r="H2644" s="6">
        <v>200</v>
      </c>
      <c r="K2644" s="7">
        <v>44006815</v>
      </c>
      <c r="L2644" s="6" t="str">
        <f t="shared" si="264"/>
        <v>YT NİLÜFER  BAŞLIK  200x200</v>
      </c>
      <c r="M2644" s="12">
        <v>0.1</v>
      </c>
      <c r="N2644" s="12">
        <v>0.1</v>
      </c>
      <c r="O2644" s="8">
        <v>4890</v>
      </c>
      <c r="P2644" s="8">
        <f t="shared" si="265"/>
        <v>4401</v>
      </c>
      <c r="Q2644" s="12">
        <f t="shared" si="266"/>
        <v>9242.1</v>
      </c>
      <c r="R2644" s="31">
        <f t="shared" si="267"/>
        <v>9200</v>
      </c>
    </row>
    <row r="2645" spans="1:18" ht="21.95" customHeight="1" x14ac:dyDescent="0.2">
      <c r="A2645" s="6" t="s">
        <v>943</v>
      </c>
      <c r="B2645" s="6" t="s">
        <v>1596</v>
      </c>
      <c r="C2645" s="6" t="s">
        <v>1025</v>
      </c>
      <c r="D2645" s="6" t="s">
        <v>945</v>
      </c>
      <c r="E2645" s="6"/>
      <c r="G2645" s="6">
        <v>150</v>
      </c>
      <c r="H2645" s="6">
        <v>200</v>
      </c>
      <c r="K2645" s="7">
        <v>44006816</v>
      </c>
      <c r="L2645" s="6" t="str">
        <f t="shared" si="264"/>
        <v>YT KUMRU  BAZA 150x200</v>
      </c>
      <c r="M2645" s="12">
        <v>0.1</v>
      </c>
      <c r="N2645" s="12">
        <v>0.1</v>
      </c>
      <c r="O2645" s="8">
        <v>10660</v>
      </c>
      <c r="P2645" s="8">
        <f t="shared" si="265"/>
        <v>9594</v>
      </c>
      <c r="Q2645" s="12">
        <f t="shared" si="266"/>
        <v>20147.400000000001</v>
      </c>
      <c r="R2645" s="31">
        <f t="shared" si="267"/>
        <v>20100</v>
      </c>
    </row>
    <row r="2646" spans="1:18" ht="21.95" customHeight="1" x14ac:dyDescent="0.2">
      <c r="A2646" s="6" t="s">
        <v>943</v>
      </c>
      <c r="B2646" s="6" t="s">
        <v>1596</v>
      </c>
      <c r="C2646" s="6" t="s">
        <v>1025</v>
      </c>
      <c r="D2646" s="6" t="s">
        <v>945</v>
      </c>
      <c r="E2646" s="6"/>
      <c r="G2646" s="6">
        <v>160</v>
      </c>
      <c r="H2646" s="6">
        <v>200</v>
      </c>
      <c r="K2646" s="7">
        <v>44006817</v>
      </c>
      <c r="L2646" s="6" t="str">
        <f t="shared" si="264"/>
        <v>YT KUMRU  BAZA 160x200</v>
      </c>
      <c r="M2646" s="12">
        <v>0.1</v>
      </c>
      <c r="N2646" s="12">
        <v>0.1</v>
      </c>
      <c r="O2646" s="8">
        <v>11100</v>
      </c>
      <c r="P2646" s="8">
        <f t="shared" si="265"/>
        <v>9990</v>
      </c>
      <c r="Q2646" s="12">
        <f t="shared" si="266"/>
        <v>20979</v>
      </c>
      <c r="R2646" s="31">
        <f t="shared" si="267"/>
        <v>20900</v>
      </c>
    </row>
    <row r="2647" spans="1:18" ht="21.95" customHeight="1" x14ac:dyDescent="0.2">
      <c r="A2647" s="6" t="s">
        <v>943</v>
      </c>
      <c r="B2647" s="6" t="s">
        <v>1596</v>
      </c>
      <c r="C2647" s="6" t="s">
        <v>1025</v>
      </c>
      <c r="D2647" s="6" t="s">
        <v>945</v>
      </c>
      <c r="E2647" s="6"/>
      <c r="G2647" s="6">
        <v>180</v>
      </c>
      <c r="H2647" s="6">
        <v>200</v>
      </c>
      <c r="K2647" s="7">
        <v>44006818</v>
      </c>
      <c r="L2647" s="6" t="str">
        <f t="shared" si="264"/>
        <v>YT KUMRU  BAZA 180x200</v>
      </c>
      <c r="M2647" s="12">
        <v>0.1</v>
      </c>
      <c r="N2647" s="12">
        <v>0.1</v>
      </c>
      <c r="O2647" s="8">
        <v>11970</v>
      </c>
      <c r="P2647" s="8">
        <f t="shared" si="265"/>
        <v>10773</v>
      </c>
      <c r="Q2647" s="12">
        <f t="shared" si="266"/>
        <v>22623.3</v>
      </c>
      <c r="R2647" s="31">
        <f t="shared" si="267"/>
        <v>22600</v>
      </c>
    </row>
    <row r="2648" spans="1:18" ht="21.95" customHeight="1" x14ac:dyDescent="0.2">
      <c r="A2648" s="6" t="s">
        <v>943</v>
      </c>
      <c r="B2648" s="6" t="s">
        <v>1596</v>
      </c>
      <c r="C2648" s="6" t="s">
        <v>1025</v>
      </c>
      <c r="D2648" s="6" t="s">
        <v>945</v>
      </c>
      <c r="E2648" s="6"/>
      <c r="G2648" s="6">
        <v>200</v>
      </c>
      <c r="H2648" s="6">
        <v>200</v>
      </c>
      <c r="K2648" s="7">
        <v>44006819</v>
      </c>
      <c r="L2648" s="6" t="str">
        <f t="shared" si="264"/>
        <v>YT KUMRU  BAZA 200x200</v>
      </c>
      <c r="M2648" s="12">
        <v>0.1</v>
      </c>
      <c r="N2648" s="12">
        <v>0.1</v>
      </c>
      <c r="O2648" s="8">
        <v>12850</v>
      </c>
      <c r="P2648" s="8">
        <f t="shared" si="265"/>
        <v>11565</v>
      </c>
      <c r="Q2648" s="12">
        <f t="shared" si="266"/>
        <v>24286.5</v>
      </c>
      <c r="R2648" s="31">
        <f t="shared" si="267"/>
        <v>24200</v>
      </c>
    </row>
    <row r="2649" spans="1:18" ht="21.95" customHeight="1" x14ac:dyDescent="0.2">
      <c r="A2649" s="6" t="s">
        <v>943</v>
      </c>
      <c r="B2649" s="6" t="s">
        <v>1596</v>
      </c>
      <c r="C2649" s="6" t="s">
        <v>1025</v>
      </c>
      <c r="D2649" s="6" t="s">
        <v>950</v>
      </c>
      <c r="E2649" s="6"/>
      <c r="G2649" s="6">
        <v>150</v>
      </c>
      <c r="H2649" s="6">
        <v>200</v>
      </c>
      <c r="K2649" s="7">
        <v>44006820</v>
      </c>
      <c r="L2649" s="6" t="str">
        <f t="shared" si="264"/>
        <v>YT KUMRU  BAŞLIK 150x200</v>
      </c>
      <c r="M2649" s="12">
        <v>0.1</v>
      </c>
      <c r="N2649" s="12">
        <v>0.1</v>
      </c>
      <c r="O2649" s="8">
        <v>4130</v>
      </c>
      <c r="P2649" s="8">
        <f t="shared" si="265"/>
        <v>3717</v>
      </c>
      <c r="Q2649" s="12">
        <f t="shared" si="266"/>
        <v>7805.7000000000007</v>
      </c>
      <c r="R2649" s="31">
        <f t="shared" si="267"/>
        <v>7800</v>
      </c>
    </row>
    <row r="2650" spans="1:18" ht="21.95" customHeight="1" x14ac:dyDescent="0.2">
      <c r="A2650" s="6" t="s">
        <v>943</v>
      </c>
      <c r="B2650" s="6" t="s">
        <v>1596</v>
      </c>
      <c r="C2650" s="6" t="s">
        <v>1025</v>
      </c>
      <c r="D2650" s="6" t="s">
        <v>950</v>
      </c>
      <c r="E2650" s="6"/>
      <c r="G2650" s="6">
        <v>160</v>
      </c>
      <c r="H2650" s="6">
        <v>200</v>
      </c>
      <c r="K2650" s="7">
        <v>44006821</v>
      </c>
      <c r="L2650" s="6" t="str">
        <f t="shared" si="264"/>
        <v>YT KUMRU  BAŞLIK 160x200</v>
      </c>
      <c r="M2650" s="12">
        <v>0.1</v>
      </c>
      <c r="N2650" s="12">
        <v>0.1</v>
      </c>
      <c r="O2650" s="8">
        <v>4370</v>
      </c>
      <c r="P2650" s="8">
        <f t="shared" si="265"/>
        <v>3933</v>
      </c>
      <c r="Q2650" s="12">
        <f t="shared" si="266"/>
        <v>8259.3000000000011</v>
      </c>
      <c r="R2650" s="31">
        <f t="shared" si="267"/>
        <v>8200</v>
      </c>
    </row>
    <row r="2651" spans="1:18" ht="21.95" customHeight="1" x14ac:dyDescent="0.2">
      <c r="A2651" s="6" t="s">
        <v>943</v>
      </c>
      <c r="B2651" s="6" t="s">
        <v>1596</v>
      </c>
      <c r="C2651" s="6" t="s">
        <v>1025</v>
      </c>
      <c r="D2651" s="6" t="s">
        <v>950</v>
      </c>
      <c r="E2651" s="6"/>
      <c r="G2651" s="6">
        <v>180</v>
      </c>
      <c r="H2651" s="6">
        <v>200</v>
      </c>
      <c r="K2651" s="7">
        <v>44006822</v>
      </c>
      <c r="L2651" s="6" t="str">
        <f t="shared" si="264"/>
        <v>YT KUMRU  BAŞLIK 180x200</v>
      </c>
      <c r="M2651" s="12">
        <v>0.1</v>
      </c>
      <c r="N2651" s="12">
        <v>0.1</v>
      </c>
      <c r="O2651" s="8">
        <v>4630</v>
      </c>
      <c r="P2651" s="8">
        <f t="shared" si="265"/>
        <v>4167</v>
      </c>
      <c r="Q2651" s="12">
        <f t="shared" si="266"/>
        <v>8750.7000000000007</v>
      </c>
      <c r="R2651" s="31">
        <f t="shared" si="267"/>
        <v>8700</v>
      </c>
    </row>
    <row r="2652" spans="1:18" ht="21.95" customHeight="1" x14ac:dyDescent="0.2">
      <c r="A2652" s="6" t="s">
        <v>943</v>
      </c>
      <c r="B2652" s="6" t="s">
        <v>1596</v>
      </c>
      <c r="C2652" s="6" t="s">
        <v>1025</v>
      </c>
      <c r="D2652" s="6" t="s">
        <v>950</v>
      </c>
      <c r="E2652" s="6"/>
      <c r="G2652" s="6">
        <v>200</v>
      </c>
      <c r="H2652" s="6">
        <v>200</v>
      </c>
      <c r="K2652" s="7">
        <v>44006823</v>
      </c>
      <c r="L2652" s="6" t="str">
        <f t="shared" si="264"/>
        <v>YT KUMRU  BAŞLIK 200x200</v>
      </c>
      <c r="M2652" s="12">
        <v>0.1</v>
      </c>
      <c r="N2652" s="12">
        <v>0.1</v>
      </c>
      <c r="O2652" s="8">
        <v>5060</v>
      </c>
      <c r="P2652" s="8">
        <f t="shared" si="265"/>
        <v>4554</v>
      </c>
      <c r="Q2652" s="12">
        <f t="shared" si="266"/>
        <v>9563.4</v>
      </c>
      <c r="R2652" s="31">
        <f t="shared" si="267"/>
        <v>9500</v>
      </c>
    </row>
    <row r="2653" spans="1:18" ht="21.95" customHeight="1" x14ac:dyDescent="0.2">
      <c r="A2653" s="6" t="s">
        <v>943</v>
      </c>
      <c r="B2653" s="6" t="s">
        <v>1596</v>
      </c>
      <c r="C2653" s="6" t="s">
        <v>1025</v>
      </c>
      <c r="D2653" s="6" t="s">
        <v>959</v>
      </c>
      <c r="E2653" s="6"/>
      <c r="G2653" s="6">
        <v>45</v>
      </c>
      <c r="H2653" s="6">
        <v>50</v>
      </c>
      <c r="I2653" s="7">
        <v>56</v>
      </c>
      <c r="K2653" s="7">
        <v>44006824</v>
      </c>
      <c r="L2653" s="6" t="str">
        <f t="shared" si="264"/>
        <v>YT KUMRU  KOMİDİN  45x50</v>
      </c>
      <c r="M2653" s="12">
        <v>0.1</v>
      </c>
      <c r="N2653" s="12">
        <v>0.1</v>
      </c>
      <c r="O2653" s="8">
        <v>4530</v>
      </c>
      <c r="P2653" s="8">
        <f t="shared" si="265"/>
        <v>4077</v>
      </c>
      <c r="Q2653" s="12">
        <f t="shared" si="266"/>
        <v>8561.7000000000007</v>
      </c>
      <c r="R2653" s="31">
        <f t="shared" si="267"/>
        <v>8500</v>
      </c>
    </row>
    <row r="2654" spans="1:18" ht="21.95" customHeight="1" x14ac:dyDescent="0.2">
      <c r="A2654" s="6" t="s">
        <v>943</v>
      </c>
      <c r="B2654" s="6" t="s">
        <v>1596</v>
      </c>
      <c r="C2654" s="6" t="s">
        <v>1025</v>
      </c>
      <c r="D2654" s="6" t="s">
        <v>951</v>
      </c>
      <c r="E2654" s="6"/>
      <c r="G2654" s="6">
        <v>45</v>
      </c>
      <c r="H2654" s="6">
        <v>121</v>
      </c>
      <c r="I2654" s="7">
        <v>48</v>
      </c>
      <c r="K2654" s="7">
        <v>44006825</v>
      </c>
      <c r="L2654" s="6" t="str">
        <f t="shared" si="264"/>
        <v>YT KUMRU  MARKİZ 45x121</v>
      </c>
      <c r="M2654" s="12">
        <v>0.1</v>
      </c>
      <c r="N2654" s="12">
        <v>0.1</v>
      </c>
      <c r="O2654" s="8">
        <v>5900</v>
      </c>
      <c r="P2654" s="8">
        <f t="shared" si="265"/>
        <v>5310</v>
      </c>
      <c r="Q2654" s="12">
        <f t="shared" si="266"/>
        <v>11151</v>
      </c>
      <c r="R2654" s="31">
        <f t="shared" si="267"/>
        <v>11100</v>
      </c>
    </row>
    <row r="2655" spans="1:18" ht="21.95" customHeight="1" x14ac:dyDescent="0.2">
      <c r="A2655" s="6" t="s">
        <v>943</v>
      </c>
      <c r="B2655" s="6" t="s">
        <v>1596</v>
      </c>
      <c r="C2655" s="6" t="s">
        <v>964</v>
      </c>
      <c r="D2655" s="6" t="s">
        <v>950</v>
      </c>
      <c r="E2655" s="6"/>
      <c r="G2655" s="6">
        <v>150</v>
      </c>
      <c r="H2655" s="6">
        <v>200</v>
      </c>
      <c r="K2655" s="7">
        <v>44006826</v>
      </c>
      <c r="L2655" s="6" t="str">
        <f t="shared" si="264"/>
        <v>YT DORMEO  BAŞLIK 150x200</v>
      </c>
      <c r="M2655" s="12">
        <v>0.1</v>
      </c>
      <c r="N2655" s="12">
        <v>0.1</v>
      </c>
      <c r="O2655" s="8">
        <v>4710</v>
      </c>
      <c r="P2655" s="8">
        <f t="shared" si="265"/>
        <v>4239</v>
      </c>
      <c r="Q2655" s="12">
        <f t="shared" si="266"/>
        <v>8901.9</v>
      </c>
      <c r="R2655" s="31">
        <f t="shared" si="267"/>
        <v>8900</v>
      </c>
    </row>
    <row r="2656" spans="1:18" ht="21.95" customHeight="1" x14ac:dyDescent="0.2">
      <c r="A2656" s="6" t="s">
        <v>943</v>
      </c>
      <c r="B2656" s="6" t="s">
        <v>1596</v>
      </c>
      <c r="C2656" s="6" t="s">
        <v>964</v>
      </c>
      <c r="D2656" s="6" t="s">
        <v>950</v>
      </c>
      <c r="E2656" s="6"/>
      <c r="G2656" s="6">
        <v>160</v>
      </c>
      <c r="H2656" s="6">
        <v>200</v>
      </c>
      <c r="K2656" s="7">
        <v>44006827</v>
      </c>
      <c r="L2656" s="6" t="str">
        <f t="shared" si="264"/>
        <v>YT DORMEO  BAŞLIK 160x200</v>
      </c>
      <c r="M2656" s="12">
        <v>0.1</v>
      </c>
      <c r="N2656" s="12">
        <v>0.1</v>
      </c>
      <c r="O2656" s="8">
        <v>5150</v>
      </c>
      <c r="P2656" s="8">
        <f t="shared" si="265"/>
        <v>4635</v>
      </c>
      <c r="Q2656" s="12">
        <f t="shared" si="266"/>
        <v>9733.5</v>
      </c>
      <c r="R2656" s="31">
        <f t="shared" si="267"/>
        <v>9700</v>
      </c>
    </row>
    <row r="2657" spans="1:18" ht="21.95" customHeight="1" x14ac:dyDescent="0.2">
      <c r="A2657" s="6" t="s">
        <v>943</v>
      </c>
      <c r="B2657" s="6" t="s">
        <v>1596</v>
      </c>
      <c r="C2657" s="6" t="s">
        <v>964</v>
      </c>
      <c r="D2657" s="6" t="s">
        <v>950</v>
      </c>
      <c r="E2657" s="6"/>
      <c r="G2657" s="6">
        <v>180</v>
      </c>
      <c r="H2657" s="6">
        <v>200</v>
      </c>
      <c r="K2657" s="7">
        <v>44006828</v>
      </c>
      <c r="L2657" s="6" t="str">
        <f t="shared" si="264"/>
        <v>YT DORMEO  BAŞLIK 180x200</v>
      </c>
      <c r="M2657" s="12">
        <v>0.1</v>
      </c>
      <c r="N2657" s="12">
        <v>0.1</v>
      </c>
      <c r="O2657" s="8">
        <v>6000</v>
      </c>
      <c r="P2657" s="8">
        <f t="shared" si="265"/>
        <v>5400</v>
      </c>
      <c r="Q2657" s="12">
        <f t="shared" si="266"/>
        <v>11340</v>
      </c>
      <c r="R2657" s="31">
        <f t="shared" si="267"/>
        <v>11300</v>
      </c>
    </row>
    <row r="2658" spans="1:18" ht="21.95" customHeight="1" x14ac:dyDescent="0.2">
      <c r="A2658" s="6" t="s">
        <v>943</v>
      </c>
      <c r="B2658" s="6" t="s">
        <v>1596</v>
      </c>
      <c r="C2658" s="6" t="s">
        <v>964</v>
      </c>
      <c r="D2658" s="6" t="s">
        <v>950</v>
      </c>
      <c r="E2658" s="6"/>
      <c r="G2658" s="6">
        <v>200</v>
      </c>
      <c r="H2658" s="6">
        <v>200</v>
      </c>
      <c r="K2658" s="7">
        <v>44006829</v>
      </c>
      <c r="L2658" s="6" t="str">
        <f t="shared" si="264"/>
        <v>YT DORMEO  BAŞLIK 200x200</v>
      </c>
      <c r="M2658" s="12">
        <v>0.1</v>
      </c>
      <c r="N2658" s="12">
        <v>0.1</v>
      </c>
      <c r="O2658" s="8">
        <v>6770</v>
      </c>
      <c r="P2658" s="8">
        <f t="shared" si="265"/>
        <v>6093</v>
      </c>
      <c r="Q2658" s="12">
        <f t="shared" si="266"/>
        <v>12795.300000000001</v>
      </c>
      <c r="R2658" s="31">
        <f t="shared" si="267"/>
        <v>12700</v>
      </c>
    </row>
    <row r="2659" spans="1:18" ht="21.95" customHeight="1" x14ac:dyDescent="0.2">
      <c r="A2659" s="6" t="s">
        <v>943</v>
      </c>
      <c r="B2659" s="6" t="s">
        <v>1596</v>
      </c>
      <c r="C2659" s="6" t="s">
        <v>1026</v>
      </c>
      <c r="D2659" s="6" t="s">
        <v>950</v>
      </c>
      <c r="E2659" s="6"/>
      <c r="G2659" s="6">
        <v>150</v>
      </c>
      <c r="H2659" s="6">
        <v>200</v>
      </c>
      <c r="K2659" s="7">
        <v>44006830</v>
      </c>
      <c r="L2659" s="6" t="str">
        <f t="shared" si="264"/>
        <v>YT MODA  BAŞLIK 150x200</v>
      </c>
      <c r="M2659" s="12">
        <v>0.1</v>
      </c>
      <c r="N2659" s="12">
        <v>0.1</v>
      </c>
      <c r="O2659" s="8">
        <v>4370</v>
      </c>
      <c r="P2659" s="8">
        <f t="shared" si="265"/>
        <v>3933</v>
      </c>
      <c r="Q2659" s="12">
        <f t="shared" si="266"/>
        <v>8259.3000000000011</v>
      </c>
      <c r="R2659" s="31">
        <f t="shared" si="267"/>
        <v>8200</v>
      </c>
    </row>
    <row r="2660" spans="1:18" ht="21.95" customHeight="1" x14ac:dyDescent="0.2">
      <c r="A2660" s="6" t="s">
        <v>943</v>
      </c>
      <c r="B2660" s="6" t="s">
        <v>1596</v>
      </c>
      <c r="C2660" s="6" t="s">
        <v>1026</v>
      </c>
      <c r="D2660" s="6" t="s">
        <v>950</v>
      </c>
      <c r="E2660" s="6"/>
      <c r="G2660" s="6">
        <v>160</v>
      </c>
      <c r="H2660" s="6">
        <v>200</v>
      </c>
      <c r="K2660" s="7">
        <v>44006831</v>
      </c>
      <c r="L2660" s="6" t="str">
        <f t="shared" si="264"/>
        <v>YT MODA  BAŞLIK 160x200</v>
      </c>
      <c r="M2660" s="12">
        <v>0.1</v>
      </c>
      <c r="N2660" s="12">
        <v>0.1</v>
      </c>
      <c r="O2660" s="8">
        <v>4730</v>
      </c>
      <c r="P2660" s="8">
        <f t="shared" si="265"/>
        <v>4257</v>
      </c>
      <c r="Q2660" s="12">
        <f t="shared" si="266"/>
        <v>8939.7000000000007</v>
      </c>
      <c r="R2660" s="31">
        <f t="shared" si="267"/>
        <v>8900</v>
      </c>
    </row>
    <row r="2661" spans="1:18" ht="21.95" customHeight="1" x14ac:dyDescent="0.2">
      <c r="A2661" s="6" t="s">
        <v>943</v>
      </c>
      <c r="B2661" s="6" t="s">
        <v>1596</v>
      </c>
      <c r="C2661" s="6" t="s">
        <v>1026</v>
      </c>
      <c r="D2661" s="6" t="s">
        <v>950</v>
      </c>
      <c r="E2661" s="6"/>
      <c r="G2661" s="6">
        <v>180</v>
      </c>
      <c r="H2661" s="6">
        <v>200</v>
      </c>
      <c r="K2661" s="7">
        <v>44006832</v>
      </c>
      <c r="L2661" s="6" t="str">
        <f t="shared" si="264"/>
        <v>YT MODA  BAŞLIK 180x200</v>
      </c>
      <c r="M2661" s="12">
        <v>0.1</v>
      </c>
      <c r="N2661" s="12">
        <v>0.1</v>
      </c>
      <c r="O2661" s="8">
        <v>5230</v>
      </c>
      <c r="P2661" s="8">
        <f t="shared" si="265"/>
        <v>4707</v>
      </c>
      <c r="Q2661" s="12">
        <f t="shared" si="266"/>
        <v>9884.7000000000007</v>
      </c>
      <c r="R2661" s="31">
        <f t="shared" si="267"/>
        <v>9800</v>
      </c>
    </row>
    <row r="2662" spans="1:18" ht="21.95" customHeight="1" x14ac:dyDescent="0.2">
      <c r="A2662" s="6" t="s">
        <v>943</v>
      </c>
      <c r="B2662" s="6" t="s">
        <v>1596</v>
      </c>
      <c r="C2662" s="6" t="s">
        <v>1026</v>
      </c>
      <c r="D2662" s="6" t="s">
        <v>950</v>
      </c>
      <c r="E2662" s="6"/>
      <c r="G2662" s="6">
        <v>200</v>
      </c>
      <c r="H2662" s="6">
        <v>200</v>
      </c>
      <c r="K2662" s="7">
        <v>44006833</v>
      </c>
      <c r="L2662" s="6" t="str">
        <f t="shared" si="264"/>
        <v>YT MODA  BAŞLIK 200x200</v>
      </c>
      <c r="M2662" s="12">
        <v>0.1</v>
      </c>
      <c r="N2662" s="12">
        <v>0.1</v>
      </c>
      <c r="O2662" s="8">
        <v>5690</v>
      </c>
      <c r="P2662" s="8">
        <f t="shared" si="265"/>
        <v>5121</v>
      </c>
      <c r="Q2662" s="12">
        <f t="shared" si="266"/>
        <v>10754.1</v>
      </c>
      <c r="R2662" s="31">
        <f t="shared" si="267"/>
        <v>10700</v>
      </c>
    </row>
    <row r="2663" spans="1:18" ht="21.95" customHeight="1" x14ac:dyDescent="0.2">
      <c r="A2663" s="6" t="s">
        <v>943</v>
      </c>
      <c r="B2663" s="6" t="s">
        <v>1596</v>
      </c>
      <c r="C2663" s="6" t="s">
        <v>1027</v>
      </c>
      <c r="D2663" s="6" t="s">
        <v>951</v>
      </c>
      <c r="E2663" s="6"/>
      <c r="K2663" s="7">
        <v>44006834</v>
      </c>
      <c r="L2663" s="6" t="str">
        <f>B2663&amp;" "&amp;C2663&amp;" "&amp;D2663&amp;" "</f>
        <v xml:space="preserve">YT BOĞAZİÇİ MARKİZ </v>
      </c>
      <c r="M2663" s="12">
        <v>0.1</v>
      </c>
      <c r="N2663" s="12">
        <v>0.1</v>
      </c>
      <c r="O2663" s="8">
        <v>4200</v>
      </c>
      <c r="P2663" s="8">
        <f t="shared" si="265"/>
        <v>3780</v>
      </c>
      <c r="Q2663" s="12">
        <f t="shared" si="266"/>
        <v>7938</v>
      </c>
      <c r="R2663" s="31">
        <f t="shared" si="267"/>
        <v>7900</v>
      </c>
    </row>
    <row r="2664" spans="1:18" ht="21.95" customHeight="1" x14ac:dyDescent="0.2">
      <c r="A2664" s="6" t="s">
        <v>943</v>
      </c>
      <c r="B2664" s="6" t="s">
        <v>1596</v>
      </c>
      <c r="C2664" s="6" t="s">
        <v>1028</v>
      </c>
      <c r="D2664" s="6" t="s">
        <v>1003</v>
      </c>
      <c r="E2664" s="6"/>
      <c r="G2664" s="6">
        <v>150</v>
      </c>
      <c r="H2664" s="6">
        <v>200</v>
      </c>
      <c r="K2664" s="7">
        <v>44006835</v>
      </c>
      <c r="L2664" s="6" t="str">
        <f>B2664&amp;" "&amp;C2664&amp;" "&amp;D2664&amp;" "&amp;G2664&amp;"x"&amp;H2664</f>
        <v>YT PİRAMİT  BAŞLIK  150x200</v>
      </c>
      <c r="M2664" s="12">
        <v>0.1</v>
      </c>
      <c r="N2664" s="12">
        <v>0.1</v>
      </c>
      <c r="O2664" s="8">
        <v>4810</v>
      </c>
      <c r="P2664" s="8">
        <f t="shared" si="265"/>
        <v>4329</v>
      </c>
      <c r="Q2664" s="12">
        <f t="shared" si="266"/>
        <v>9090.9</v>
      </c>
      <c r="R2664" s="31">
        <f t="shared" si="267"/>
        <v>9000</v>
      </c>
    </row>
    <row r="2665" spans="1:18" ht="21.95" customHeight="1" x14ac:dyDescent="0.2">
      <c r="A2665" s="6" t="s">
        <v>943</v>
      </c>
      <c r="B2665" s="6" t="s">
        <v>1596</v>
      </c>
      <c r="C2665" s="6" t="s">
        <v>1028</v>
      </c>
      <c r="D2665" s="6" t="s">
        <v>1003</v>
      </c>
      <c r="E2665" s="6"/>
      <c r="G2665" s="6">
        <v>160</v>
      </c>
      <c r="H2665" s="6">
        <v>200</v>
      </c>
      <c r="K2665" s="7">
        <v>44006836</v>
      </c>
      <c r="L2665" s="6" t="str">
        <f>B2665&amp;" "&amp;C2665&amp;" "&amp;D2665&amp;" "&amp;G2665&amp;"x"&amp;H2665</f>
        <v>YT PİRAMİT  BAŞLIK  160x200</v>
      </c>
      <c r="M2665" s="12">
        <v>0.1</v>
      </c>
      <c r="N2665" s="12">
        <v>0.1</v>
      </c>
      <c r="O2665" s="8">
        <v>4840</v>
      </c>
      <c r="P2665" s="8">
        <f t="shared" si="265"/>
        <v>4356</v>
      </c>
      <c r="Q2665" s="12">
        <f t="shared" si="266"/>
        <v>9147.6</v>
      </c>
      <c r="R2665" s="31">
        <f t="shared" si="267"/>
        <v>9100</v>
      </c>
    </row>
    <row r="2666" spans="1:18" ht="21.95" customHeight="1" x14ac:dyDescent="0.2">
      <c r="A2666" s="6" t="s">
        <v>943</v>
      </c>
      <c r="B2666" s="6" t="s">
        <v>1596</v>
      </c>
      <c r="C2666" s="6" t="s">
        <v>1028</v>
      </c>
      <c r="D2666" s="6" t="s">
        <v>1003</v>
      </c>
      <c r="E2666" s="6"/>
      <c r="G2666" s="6">
        <v>180</v>
      </c>
      <c r="H2666" s="6">
        <v>200</v>
      </c>
      <c r="K2666" s="7">
        <v>44006837</v>
      </c>
      <c r="L2666" s="6" t="str">
        <f>B2666&amp;" "&amp;C2666&amp;" "&amp;D2666&amp;" "&amp;G2666&amp;"x"&amp;H2666</f>
        <v>YT PİRAMİT  BAŞLIK  180x200</v>
      </c>
      <c r="M2666" s="12">
        <v>0.1</v>
      </c>
      <c r="N2666" s="12">
        <v>0.1</v>
      </c>
      <c r="O2666" s="8">
        <v>5070</v>
      </c>
      <c r="P2666" s="8">
        <f t="shared" si="265"/>
        <v>4563</v>
      </c>
      <c r="Q2666" s="12">
        <f t="shared" si="266"/>
        <v>9582.3000000000011</v>
      </c>
      <c r="R2666" s="31">
        <f t="shared" si="267"/>
        <v>9500</v>
      </c>
    </row>
    <row r="2667" spans="1:18" ht="21.95" customHeight="1" x14ac:dyDescent="0.2">
      <c r="A2667" s="6" t="s">
        <v>943</v>
      </c>
      <c r="B2667" s="6" t="s">
        <v>1596</v>
      </c>
      <c r="C2667" s="6" t="s">
        <v>1028</v>
      </c>
      <c r="D2667" s="6" t="s">
        <v>1003</v>
      </c>
      <c r="E2667" s="6"/>
      <c r="G2667" s="6">
        <v>200</v>
      </c>
      <c r="H2667" s="6">
        <v>200</v>
      </c>
      <c r="K2667" s="7">
        <v>44006838</v>
      </c>
      <c r="L2667" s="6" t="str">
        <f>B2667&amp;" "&amp;C2667&amp;" "&amp;D2667&amp;" "&amp;G2667&amp;"x"&amp;H2667</f>
        <v>YT PİRAMİT  BAŞLIK  200x200</v>
      </c>
      <c r="M2667" s="12">
        <v>0.1</v>
      </c>
      <c r="N2667" s="12">
        <v>0.1</v>
      </c>
      <c r="O2667" s="8">
        <v>5430</v>
      </c>
      <c r="P2667" s="8">
        <f t="shared" si="265"/>
        <v>4887</v>
      </c>
      <c r="Q2667" s="12">
        <f t="shared" si="266"/>
        <v>10262.700000000001</v>
      </c>
      <c r="R2667" s="31">
        <f t="shared" si="267"/>
        <v>10200</v>
      </c>
    </row>
    <row r="2668" spans="1:18" ht="21.95" customHeight="1" x14ac:dyDescent="0.2">
      <c r="A2668" s="6" t="s">
        <v>943</v>
      </c>
      <c r="B2668" s="6" t="s">
        <v>1596</v>
      </c>
      <c r="C2668" s="6" t="s">
        <v>958</v>
      </c>
      <c r="D2668" s="6" t="s">
        <v>78</v>
      </c>
      <c r="E2668" s="6"/>
      <c r="K2668" s="7">
        <v>44006839</v>
      </c>
      <c r="L2668" s="6" t="str">
        <f>B2668&amp;" "&amp;C2668&amp;" "&amp;D2668&amp;" "</f>
        <v xml:space="preserve">YT ZÜMRÜT ŞİFONYER </v>
      </c>
      <c r="M2668" s="12">
        <v>0.1</v>
      </c>
      <c r="N2668" s="12">
        <v>0.1</v>
      </c>
      <c r="O2668" s="8">
        <v>9320</v>
      </c>
      <c r="P2668" s="8">
        <f t="shared" si="265"/>
        <v>8388</v>
      </c>
      <c r="Q2668" s="12">
        <f t="shared" si="266"/>
        <v>17614.8</v>
      </c>
      <c r="R2668" s="31">
        <f t="shared" si="267"/>
        <v>17600</v>
      </c>
    </row>
    <row r="2669" spans="1:18" ht="21.95" customHeight="1" x14ac:dyDescent="0.2">
      <c r="A2669" s="6" t="s">
        <v>943</v>
      </c>
      <c r="B2669" s="6" t="s">
        <v>1596</v>
      </c>
      <c r="C2669" s="6" t="s">
        <v>1029</v>
      </c>
      <c r="D2669" s="6" t="s">
        <v>989</v>
      </c>
      <c r="E2669" s="6"/>
      <c r="G2669" s="6">
        <v>150</v>
      </c>
      <c r="H2669" s="6">
        <v>200</v>
      </c>
      <c r="K2669" s="7">
        <v>44006840</v>
      </c>
      <c r="L2669" s="6" t="str">
        <f t="shared" ref="L2669:L2688" si="268">B2669&amp;" "&amp;C2669&amp;" "&amp;D2669&amp;" "&amp;G2669&amp;"x"&amp;H2669</f>
        <v>YT JAGUAR  BAZA  150x200</v>
      </c>
      <c r="M2669" s="12">
        <v>0.1</v>
      </c>
      <c r="N2669" s="12">
        <v>0.1</v>
      </c>
      <c r="O2669" s="8">
        <v>7940</v>
      </c>
      <c r="P2669" s="8">
        <f t="shared" si="265"/>
        <v>7146</v>
      </c>
      <c r="Q2669" s="12">
        <f t="shared" si="266"/>
        <v>15006.6</v>
      </c>
      <c r="R2669" s="31">
        <f t="shared" si="267"/>
        <v>15000</v>
      </c>
    </row>
    <row r="2670" spans="1:18" ht="21.95" customHeight="1" x14ac:dyDescent="0.2">
      <c r="A2670" s="6" t="s">
        <v>943</v>
      </c>
      <c r="B2670" s="6" t="s">
        <v>1596</v>
      </c>
      <c r="C2670" s="6" t="s">
        <v>1029</v>
      </c>
      <c r="D2670" s="6" t="s">
        <v>989</v>
      </c>
      <c r="E2670" s="6"/>
      <c r="G2670" s="6">
        <v>160</v>
      </c>
      <c r="H2670" s="6">
        <v>200</v>
      </c>
      <c r="K2670" s="7">
        <v>44006841</v>
      </c>
      <c r="L2670" s="6" t="str">
        <f t="shared" si="268"/>
        <v>YT JAGUAR  BAZA  160x200</v>
      </c>
      <c r="M2670" s="12">
        <v>0.1</v>
      </c>
      <c r="N2670" s="12">
        <v>0.1</v>
      </c>
      <c r="O2670" s="8">
        <v>8260</v>
      </c>
      <c r="P2670" s="8">
        <f t="shared" si="265"/>
        <v>7434</v>
      </c>
      <c r="Q2670" s="12">
        <f t="shared" si="266"/>
        <v>15611.400000000001</v>
      </c>
      <c r="R2670" s="31">
        <f t="shared" si="267"/>
        <v>15600</v>
      </c>
    </row>
    <row r="2671" spans="1:18" ht="21.95" customHeight="1" x14ac:dyDescent="0.2">
      <c r="A2671" s="6" t="s">
        <v>943</v>
      </c>
      <c r="B2671" s="6" t="s">
        <v>1596</v>
      </c>
      <c r="C2671" s="6" t="s">
        <v>1029</v>
      </c>
      <c r="D2671" s="6" t="s">
        <v>989</v>
      </c>
      <c r="E2671" s="6"/>
      <c r="G2671" s="6">
        <v>180</v>
      </c>
      <c r="H2671" s="6">
        <v>200</v>
      </c>
      <c r="K2671" s="7">
        <v>44006842</v>
      </c>
      <c r="L2671" s="6" t="str">
        <f t="shared" si="268"/>
        <v>YT JAGUAR  BAZA  180x200</v>
      </c>
      <c r="M2671" s="12">
        <v>0.1</v>
      </c>
      <c r="N2671" s="12">
        <v>0.1</v>
      </c>
      <c r="O2671" s="8">
        <v>8920</v>
      </c>
      <c r="P2671" s="8">
        <f t="shared" si="265"/>
        <v>8028</v>
      </c>
      <c r="Q2671" s="12">
        <f t="shared" si="266"/>
        <v>16858.8</v>
      </c>
      <c r="R2671" s="31">
        <f t="shared" si="267"/>
        <v>16800</v>
      </c>
    </row>
    <row r="2672" spans="1:18" ht="21.95" customHeight="1" x14ac:dyDescent="0.2">
      <c r="A2672" s="6" t="s">
        <v>943</v>
      </c>
      <c r="B2672" s="6" t="s">
        <v>1596</v>
      </c>
      <c r="C2672" s="6" t="s">
        <v>1029</v>
      </c>
      <c r="D2672" s="6" t="s">
        <v>989</v>
      </c>
      <c r="E2672" s="6"/>
      <c r="G2672" s="6">
        <v>200</v>
      </c>
      <c r="H2672" s="6">
        <v>200</v>
      </c>
      <c r="K2672" s="7">
        <v>44006843</v>
      </c>
      <c r="L2672" s="6" t="str">
        <f t="shared" si="268"/>
        <v>YT JAGUAR  BAZA  200x200</v>
      </c>
      <c r="M2672" s="12">
        <v>0.1</v>
      </c>
      <c r="N2672" s="12">
        <v>0.1</v>
      </c>
      <c r="O2672" s="8">
        <v>9570</v>
      </c>
      <c r="P2672" s="8">
        <f t="shared" si="265"/>
        <v>8613</v>
      </c>
      <c r="Q2672" s="12">
        <f t="shared" si="266"/>
        <v>18087.3</v>
      </c>
      <c r="R2672" s="31">
        <f t="shared" si="267"/>
        <v>18000</v>
      </c>
    </row>
    <row r="2673" spans="1:18" ht="21.95" customHeight="1" x14ac:dyDescent="0.2">
      <c r="A2673" s="6" t="s">
        <v>943</v>
      </c>
      <c r="B2673" s="6" t="s">
        <v>1596</v>
      </c>
      <c r="C2673" s="6" t="s">
        <v>1030</v>
      </c>
      <c r="D2673" s="6" t="s">
        <v>950</v>
      </c>
      <c r="E2673" s="6"/>
      <c r="G2673" s="6">
        <v>150</v>
      </c>
      <c r="H2673" s="6">
        <v>200</v>
      </c>
      <c r="K2673" s="7">
        <v>44006844</v>
      </c>
      <c r="L2673" s="6" t="str">
        <f t="shared" si="268"/>
        <v>YT HÜMA  BAŞLIK 150x200</v>
      </c>
      <c r="M2673" s="12">
        <v>0.1</v>
      </c>
      <c r="N2673" s="12">
        <v>0.1</v>
      </c>
      <c r="O2673" s="8">
        <v>4320</v>
      </c>
      <c r="P2673" s="8">
        <f t="shared" si="265"/>
        <v>3888</v>
      </c>
      <c r="Q2673" s="12">
        <f t="shared" si="266"/>
        <v>8164.8</v>
      </c>
      <c r="R2673" s="31">
        <f t="shared" si="267"/>
        <v>8100</v>
      </c>
    </row>
    <row r="2674" spans="1:18" ht="21.95" customHeight="1" x14ac:dyDescent="0.2">
      <c r="A2674" s="6" t="s">
        <v>943</v>
      </c>
      <c r="B2674" s="6" t="s">
        <v>1596</v>
      </c>
      <c r="C2674" s="6" t="s">
        <v>1030</v>
      </c>
      <c r="D2674" s="6" t="s">
        <v>950</v>
      </c>
      <c r="E2674" s="6"/>
      <c r="G2674" s="6">
        <v>160</v>
      </c>
      <c r="H2674" s="6">
        <v>200</v>
      </c>
      <c r="K2674" s="7">
        <v>44006845</v>
      </c>
      <c r="L2674" s="6" t="str">
        <f t="shared" si="268"/>
        <v>YT HÜMA  BAŞLIK 160x200</v>
      </c>
      <c r="M2674" s="12">
        <v>0.1</v>
      </c>
      <c r="N2674" s="12">
        <v>0.1</v>
      </c>
      <c r="O2674" s="8">
        <v>4710</v>
      </c>
      <c r="P2674" s="8">
        <f t="shared" si="265"/>
        <v>4239</v>
      </c>
      <c r="Q2674" s="12">
        <f t="shared" si="266"/>
        <v>8901.9</v>
      </c>
      <c r="R2674" s="31">
        <f t="shared" si="267"/>
        <v>8900</v>
      </c>
    </row>
    <row r="2675" spans="1:18" ht="21.95" customHeight="1" x14ac:dyDescent="0.2">
      <c r="A2675" s="6" t="s">
        <v>943</v>
      </c>
      <c r="B2675" s="6" t="s">
        <v>1596</v>
      </c>
      <c r="C2675" s="6" t="s">
        <v>1030</v>
      </c>
      <c r="D2675" s="6" t="s">
        <v>950</v>
      </c>
      <c r="E2675" s="6"/>
      <c r="G2675" s="6">
        <v>180</v>
      </c>
      <c r="H2675" s="6">
        <v>200</v>
      </c>
      <c r="K2675" s="7">
        <v>44006846</v>
      </c>
      <c r="L2675" s="6" t="str">
        <f t="shared" si="268"/>
        <v>YT HÜMA  BAŞLIK 180x200</v>
      </c>
      <c r="M2675" s="12">
        <v>0.1</v>
      </c>
      <c r="N2675" s="12">
        <v>0.1</v>
      </c>
      <c r="O2675" s="8">
        <v>4960</v>
      </c>
      <c r="P2675" s="8">
        <f t="shared" si="265"/>
        <v>4464</v>
      </c>
      <c r="Q2675" s="12">
        <f t="shared" si="266"/>
        <v>9374.4</v>
      </c>
      <c r="R2675" s="31">
        <f t="shared" si="267"/>
        <v>9300</v>
      </c>
    </row>
    <row r="2676" spans="1:18" ht="21.95" customHeight="1" x14ac:dyDescent="0.2">
      <c r="A2676" s="6" t="s">
        <v>943</v>
      </c>
      <c r="B2676" s="6" t="s">
        <v>1596</v>
      </c>
      <c r="C2676" s="6" t="s">
        <v>1030</v>
      </c>
      <c r="D2676" s="6" t="s">
        <v>950</v>
      </c>
      <c r="E2676" s="6"/>
      <c r="G2676" s="6">
        <v>200</v>
      </c>
      <c r="H2676" s="6">
        <v>200</v>
      </c>
      <c r="K2676" s="7">
        <v>44006847</v>
      </c>
      <c r="L2676" s="6" t="str">
        <f t="shared" si="268"/>
        <v>YT HÜMA  BAŞLIK 200x200</v>
      </c>
      <c r="M2676" s="12">
        <v>0.1</v>
      </c>
      <c r="N2676" s="12">
        <v>0.1</v>
      </c>
      <c r="O2676" s="8">
        <v>5400</v>
      </c>
      <c r="P2676" s="8">
        <f t="shared" si="265"/>
        <v>4860</v>
      </c>
      <c r="Q2676" s="12">
        <f t="shared" si="266"/>
        <v>10206</v>
      </c>
      <c r="R2676" s="31">
        <f t="shared" si="267"/>
        <v>10200</v>
      </c>
    </row>
    <row r="2677" spans="1:18" ht="21.95" customHeight="1" x14ac:dyDescent="0.2">
      <c r="A2677" s="6" t="s">
        <v>943</v>
      </c>
      <c r="B2677" s="6" t="s">
        <v>1596</v>
      </c>
      <c r="C2677" s="6" t="s">
        <v>1031</v>
      </c>
      <c r="D2677" s="6" t="s">
        <v>943</v>
      </c>
      <c r="E2677" s="6"/>
      <c r="G2677" s="6">
        <v>150</v>
      </c>
      <c r="H2677" s="6">
        <v>200</v>
      </c>
      <c r="K2677" s="7">
        <v>44006848</v>
      </c>
      <c r="L2677" s="6" t="str">
        <f t="shared" si="268"/>
        <v>YT KLİMAX VİSİON YATAK  150x200</v>
      </c>
      <c r="M2677" s="12">
        <v>0.1</v>
      </c>
      <c r="N2677" s="12">
        <v>0.1</v>
      </c>
      <c r="O2677" s="8">
        <v>13020</v>
      </c>
      <c r="P2677" s="8">
        <f t="shared" si="265"/>
        <v>11718</v>
      </c>
      <c r="Q2677" s="12">
        <f t="shared" si="266"/>
        <v>24607.8</v>
      </c>
      <c r="R2677" s="31">
        <f t="shared" si="267"/>
        <v>24600</v>
      </c>
    </row>
    <row r="2678" spans="1:18" ht="21.95" customHeight="1" x14ac:dyDescent="0.2">
      <c r="A2678" s="6" t="s">
        <v>943</v>
      </c>
      <c r="B2678" s="6" t="s">
        <v>1596</v>
      </c>
      <c r="C2678" s="6" t="s">
        <v>1031</v>
      </c>
      <c r="D2678" s="6" t="s">
        <v>943</v>
      </c>
      <c r="E2678" s="6"/>
      <c r="G2678" s="6">
        <v>160</v>
      </c>
      <c r="H2678" s="6">
        <v>200</v>
      </c>
      <c r="K2678" s="7">
        <v>44006849</v>
      </c>
      <c r="L2678" s="6" t="str">
        <f t="shared" si="268"/>
        <v>YT KLİMAX VİSİON YATAK  160x200</v>
      </c>
      <c r="M2678" s="12">
        <v>0.1</v>
      </c>
      <c r="N2678" s="12">
        <v>0.1</v>
      </c>
      <c r="O2678" s="8">
        <v>14150</v>
      </c>
      <c r="P2678" s="8">
        <f t="shared" si="265"/>
        <v>12735</v>
      </c>
      <c r="Q2678" s="12">
        <f t="shared" si="266"/>
        <v>26743.5</v>
      </c>
      <c r="R2678" s="31">
        <f t="shared" si="267"/>
        <v>26700</v>
      </c>
    </row>
    <row r="2679" spans="1:18" ht="21.95" customHeight="1" x14ac:dyDescent="0.2">
      <c r="A2679" s="6" t="s">
        <v>943</v>
      </c>
      <c r="B2679" s="6" t="s">
        <v>1596</v>
      </c>
      <c r="C2679" s="6" t="s">
        <v>1031</v>
      </c>
      <c r="D2679" s="6" t="s">
        <v>943</v>
      </c>
      <c r="E2679" s="6"/>
      <c r="G2679" s="6">
        <v>180</v>
      </c>
      <c r="H2679" s="6">
        <v>200</v>
      </c>
      <c r="K2679" s="7">
        <v>44006850</v>
      </c>
      <c r="L2679" s="6" t="str">
        <f t="shared" si="268"/>
        <v>YT KLİMAX VİSİON YATAK  180x200</v>
      </c>
      <c r="M2679" s="12">
        <v>0.1</v>
      </c>
      <c r="N2679" s="12">
        <v>0.1</v>
      </c>
      <c r="O2679" s="8">
        <v>15760</v>
      </c>
      <c r="P2679" s="8">
        <f t="shared" si="265"/>
        <v>14184</v>
      </c>
      <c r="Q2679" s="12">
        <f t="shared" si="266"/>
        <v>29786.400000000001</v>
      </c>
      <c r="R2679" s="31">
        <f t="shared" si="267"/>
        <v>29700</v>
      </c>
    </row>
    <row r="2680" spans="1:18" ht="21.95" customHeight="1" x14ac:dyDescent="0.2">
      <c r="A2680" s="6" t="s">
        <v>943</v>
      </c>
      <c r="B2680" s="6" t="s">
        <v>1596</v>
      </c>
      <c r="C2680" s="6" t="s">
        <v>1031</v>
      </c>
      <c r="D2680" s="6" t="s">
        <v>943</v>
      </c>
      <c r="E2680" s="6"/>
      <c r="G2680" s="6">
        <v>200</v>
      </c>
      <c r="H2680" s="6">
        <v>200</v>
      </c>
      <c r="K2680" s="7">
        <v>44006851</v>
      </c>
      <c r="L2680" s="6" t="str">
        <f t="shared" si="268"/>
        <v>YT KLİMAX VİSİON YATAK  200x200</v>
      </c>
      <c r="M2680" s="12">
        <v>0.1</v>
      </c>
      <c r="N2680" s="12">
        <v>0.1</v>
      </c>
      <c r="O2680" s="8">
        <v>17670</v>
      </c>
      <c r="P2680" s="8">
        <f t="shared" si="265"/>
        <v>15903</v>
      </c>
      <c r="Q2680" s="12">
        <f t="shared" si="266"/>
        <v>33396.300000000003</v>
      </c>
      <c r="R2680" s="31">
        <f t="shared" si="267"/>
        <v>33300</v>
      </c>
    </row>
    <row r="2681" spans="1:18" ht="21.95" customHeight="1" x14ac:dyDescent="0.2">
      <c r="A2681" s="6" t="s">
        <v>943</v>
      </c>
      <c r="B2681" s="6" t="s">
        <v>1596</v>
      </c>
      <c r="C2681" s="6" t="s">
        <v>1032</v>
      </c>
      <c r="D2681" s="6" t="s">
        <v>945</v>
      </c>
      <c r="E2681" s="6"/>
      <c r="G2681" s="6">
        <v>150</v>
      </c>
      <c r="H2681" s="6">
        <v>200</v>
      </c>
      <c r="K2681" s="7">
        <v>44006852</v>
      </c>
      <c r="L2681" s="6" t="str">
        <f t="shared" si="268"/>
        <v>YT PLANET BAZA 150x200</v>
      </c>
      <c r="M2681" s="12">
        <v>0.1</v>
      </c>
      <c r="N2681" s="12">
        <v>0.1</v>
      </c>
      <c r="O2681" s="8">
        <v>9680</v>
      </c>
      <c r="P2681" s="8">
        <f t="shared" si="265"/>
        <v>8712</v>
      </c>
      <c r="Q2681" s="12">
        <f t="shared" si="266"/>
        <v>18295.2</v>
      </c>
      <c r="R2681" s="31">
        <f t="shared" si="267"/>
        <v>18200</v>
      </c>
    </row>
    <row r="2682" spans="1:18" ht="21.95" customHeight="1" x14ac:dyDescent="0.2">
      <c r="A2682" s="6" t="s">
        <v>943</v>
      </c>
      <c r="B2682" s="6" t="s">
        <v>1596</v>
      </c>
      <c r="C2682" s="6" t="s">
        <v>1032</v>
      </c>
      <c r="D2682" s="6" t="s">
        <v>945</v>
      </c>
      <c r="E2682" s="6"/>
      <c r="G2682" s="6">
        <v>160</v>
      </c>
      <c r="H2682" s="6">
        <v>200</v>
      </c>
      <c r="K2682" s="7">
        <v>44006853</v>
      </c>
      <c r="L2682" s="6" t="str">
        <f t="shared" si="268"/>
        <v>YT PLANET BAZA 160x200</v>
      </c>
      <c r="M2682" s="12">
        <v>0.1</v>
      </c>
      <c r="N2682" s="12">
        <v>0.1</v>
      </c>
      <c r="O2682" s="8">
        <v>9990</v>
      </c>
      <c r="P2682" s="8">
        <f t="shared" si="265"/>
        <v>8991</v>
      </c>
      <c r="Q2682" s="12">
        <f t="shared" si="266"/>
        <v>18881.100000000002</v>
      </c>
      <c r="R2682" s="31">
        <f t="shared" si="267"/>
        <v>18800</v>
      </c>
    </row>
    <row r="2683" spans="1:18" ht="21.95" customHeight="1" x14ac:dyDescent="0.2">
      <c r="A2683" s="6" t="s">
        <v>943</v>
      </c>
      <c r="B2683" s="6" t="s">
        <v>1596</v>
      </c>
      <c r="C2683" s="6" t="s">
        <v>1032</v>
      </c>
      <c r="D2683" s="6" t="s">
        <v>945</v>
      </c>
      <c r="E2683" s="6"/>
      <c r="G2683" s="6">
        <v>180</v>
      </c>
      <c r="H2683" s="6">
        <v>200</v>
      </c>
      <c r="K2683" s="7">
        <v>44006854</v>
      </c>
      <c r="L2683" s="6" t="str">
        <f t="shared" si="268"/>
        <v>YT PLANET BAZA 180x200</v>
      </c>
      <c r="M2683" s="12">
        <v>0.1</v>
      </c>
      <c r="N2683" s="12">
        <v>0.1</v>
      </c>
      <c r="O2683" s="8">
        <v>11410</v>
      </c>
      <c r="P2683" s="8">
        <f t="shared" si="265"/>
        <v>10269</v>
      </c>
      <c r="Q2683" s="12">
        <f t="shared" si="266"/>
        <v>21564.9</v>
      </c>
      <c r="R2683" s="31">
        <f t="shared" si="267"/>
        <v>21500</v>
      </c>
    </row>
    <row r="2684" spans="1:18" ht="21.95" customHeight="1" x14ac:dyDescent="0.2">
      <c r="A2684" s="6" t="s">
        <v>943</v>
      </c>
      <c r="B2684" s="6" t="s">
        <v>1596</v>
      </c>
      <c r="C2684" s="6" t="s">
        <v>1032</v>
      </c>
      <c r="D2684" s="6" t="s">
        <v>945</v>
      </c>
      <c r="E2684" s="6"/>
      <c r="G2684" s="6">
        <v>200</v>
      </c>
      <c r="H2684" s="6">
        <v>200</v>
      </c>
      <c r="K2684" s="7">
        <v>44006855</v>
      </c>
      <c r="L2684" s="6" t="str">
        <f t="shared" si="268"/>
        <v>YT PLANET BAZA 200x200</v>
      </c>
      <c r="M2684" s="12">
        <v>0.1</v>
      </c>
      <c r="N2684" s="12">
        <v>0.1</v>
      </c>
      <c r="O2684" s="8">
        <v>12070</v>
      </c>
      <c r="P2684" s="8">
        <f t="shared" si="265"/>
        <v>10863</v>
      </c>
      <c r="Q2684" s="12">
        <f t="shared" si="266"/>
        <v>22812.3</v>
      </c>
      <c r="R2684" s="31">
        <f t="shared" si="267"/>
        <v>22800</v>
      </c>
    </row>
    <row r="2685" spans="1:18" ht="21.95" customHeight="1" x14ac:dyDescent="0.2">
      <c r="A2685" s="6" t="s">
        <v>943</v>
      </c>
      <c r="B2685" s="6" t="s">
        <v>1596</v>
      </c>
      <c r="C2685" s="6" t="s">
        <v>1033</v>
      </c>
      <c r="D2685" s="6" t="s">
        <v>950</v>
      </c>
      <c r="E2685" s="6"/>
      <c r="G2685" s="6">
        <v>150</v>
      </c>
      <c r="H2685" s="6">
        <v>200</v>
      </c>
      <c r="K2685" s="7">
        <v>44006856</v>
      </c>
      <c r="L2685" s="6" t="str">
        <f t="shared" si="268"/>
        <v>YT ATLAS  BAŞLIK 150x200</v>
      </c>
      <c r="M2685" s="12">
        <v>0.1</v>
      </c>
      <c r="N2685" s="12">
        <v>0.1</v>
      </c>
      <c r="O2685" s="8">
        <v>2550</v>
      </c>
      <c r="P2685" s="8">
        <f t="shared" si="265"/>
        <v>2295</v>
      </c>
      <c r="Q2685" s="12">
        <f t="shared" si="266"/>
        <v>4819.5</v>
      </c>
      <c r="R2685" s="31">
        <f t="shared" si="267"/>
        <v>4800</v>
      </c>
    </row>
    <row r="2686" spans="1:18" ht="21.95" customHeight="1" x14ac:dyDescent="0.2">
      <c r="A2686" s="6" t="s">
        <v>943</v>
      </c>
      <c r="B2686" s="6" t="s">
        <v>1596</v>
      </c>
      <c r="C2686" s="6" t="s">
        <v>1033</v>
      </c>
      <c r="D2686" s="6" t="s">
        <v>950</v>
      </c>
      <c r="E2686" s="6"/>
      <c r="G2686" s="6">
        <v>160</v>
      </c>
      <c r="H2686" s="6">
        <v>200</v>
      </c>
      <c r="K2686" s="7">
        <v>44006857</v>
      </c>
      <c r="L2686" s="6" t="str">
        <f t="shared" si="268"/>
        <v>YT ATLAS  BAŞLIK 160x200</v>
      </c>
      <c r="M2686" s="12">
        <v>0.1</v>
      </c>
      <c r="N2686" s="12">
        <v>0.1</v>
      </c>
      <c r="O2686" s="8">
        <v>2680</v>
      </c>
      <c r="P2686" s="8">
        <f t="shared" si="265"/>
        <v>2412</v>
      </c>
      <c r="Q2686" s="12">
        <f t="shared" si="266"/>
        <v>5065.2</v>
      </c>
      <c r="R2686" s="31">
        <f t="shared" si="267"/>
        <v>5000</v>
      </c>
    </row>
    <row r="2687" spans="1:18" ht="21.95" customHeight="1" x14ac:dyDescent="0.2">
      <c r="A2687" s="6" t="s">
        <v>943</v>
      </c>
      <c r="B2687" s="6" t="s">
        <v>1596</v>
      </c>
      <c r="C2687" s="6" t="s">
        <v>1033</v>
      </c>
      <c r="D2687" s="6" t="s">
        <v>950</v>
      </c>
      <c r="E2687" s="6"/>
      <c r="G2687" s="6">
        <v>180</v>
      </c>
      <c r="H2687" s="6">
        <v>200</v>
      </c>
      <c r="K2687" s="7">
        <v>44006858</v>
      </c>
      <c r="L2687" s="6" t="str">
        <f t="shared" si="268"/>
        <v>YT ATLAS  BAŞLIK 180x200</v>
      </c>
      <c r="M2687" s="12">
        <v>0.1</v>
      </c>
      <c r="N2687" s="12">
        <v>0.1</v>
      </c>
      <c r="O2687" s="8">
        <v>2960</v>
      </c>
      <c r="P2687" s="8">
        <f t="shared" si="265"/>
        <v>2664</v>
      </c>
      <c r="Q2687" s="12">
        <f t="shared" si="266"/>
        <v>5594.4000000000005</v>
      </c>
      <c r="R2687" s="31">
        <f t="shared" si="267"/>
        <v>5500</v>
      </c>
    </row>
    <row r="2688" spans="1:18" ht="21.95" customHeight="1" x14ac:dyDescent="0.2">
      <c r="A2688" s="6" t="s">
        <v>943</v>
      </c>
      <c r="B2688" s="6" t="s">
        <v>1596</v>
      </c>
      <c r="C2688" s="6" t="s">
        <v>1033</v>
      </c>
      <c r="D2688" s="6" t="s">
        <v>950</v>
      </c>
      <c r="E2688" s="6"/>
      <c r="G2688" s="6">
        <v>200</v>
      </c>
      <c r="H2688" s="6">
        <v>200</v>
      </c>
      <c r="K2688" s="7">
        <v>44006859</v>
      </c>
      <c r="L2688" s="6" t="str">
        <f t="shared" si="268"/>
        <v>YT ATLAS  BAŞLIK 200x200</v>
      </c>
      <c r="M2688" s="12">
        <v>0.1</v>
      </c>
      <c r="N2688" s="12">
        <v>0.1</v>
      </c>
      <c r="O2688" s="8">
        <v>3350</v>
      </c>
      <c r="P2688" s="8">
        <f t="shared" si="265"/>
        <v>3015</v>
      </c>
      <c r="Q2688" s="12">
        <f t="shared" si="266"/>
        <v>6331.5</v>
      </c>
      <c r="R2688" s="31">
        <f t="shared" si="267"/>
        <v>6300</v>
      </c>
    </row>
    <row r="2689" spans="1:18" ht="21.95" customHeight="1" x14ac:dyDescent="0.2">
      <c r="A2689" s="6" t="s">
        <v>943</v>
      </c>
      <c r="B2689" s="6" t="s">
        <v>1596</v>
      </c>
      <c r="C2689" s="6" t="s">
        <v>1034</v>
      </c>
      <c r="D2689" s="6" t="s">
        <v>951</v>
      </c>
      <c r="E2689" s="6"/>
      <c r="K2689" s="7">
        <v>44006860</v>
      </c>
      <c r="L2689" s="6" t="str">
        <f>B2689&amp;" "&amp;C2689&amp;" "&amp;D2689&amp;" "</f>
        <v xml:space="preserve">YT OMEGA  MARKİZ </v>
      </c>
      <c r="M2689" s="12">
        <v>0.1</v>
      </c>
      <c r="N2689" s="12">
        <v>0.1</v>
      </c>
      <c r="O2689" s="8">
        <v>4340</v>
      </c>
      <c r="P2689" s="8">
        <f t="shared" si="265"/>
        <v>3906</v>
      </c>
      <c r="Q2689" s="12">
        <f t="shared" si="266"/>
        <v>8202.6</v>
      </c>
      <c r="R2689" s="31">
        <f t="shared" si="267"/>
        <v>8200</v>
      </c>
    </row>
    <row r="2690" spans="1:18" ht="21.95" customHeight="1" x14ac:dyDescent="0.2">
      <c r="A2690" s="6" t="s">
        <v>943</v>
      </c>
      <c r="B2690" s="6" t="s">
        <v>1596</v>
      </c>
      <c r="C2690" s="6" t="s">
        <v>1035</v>
      </c>
      <c r="D2690" s="6" t="s">
        <v>943</v>
      </c>
      <c r="E2690" s="6"/>
      <c r="G2690" s="6">
        <v>150</v>
      </c>
      <c r="H2690" s="6">
        <v>200</v>
      </c>
      <c r="K2690" s="7">
        <v>44006861</v>
      </c>
      <c r="L2690" s="6" t="str">
        <f t="shared" ref="L2690:L2721" si="269">B2690&amp;" "&amp;C2690&amp;" "&amp;D2690&amp;" "&amp;G2690&amp;"x"&amp;H2690</f>
        <v>YT AÇELYA  YATAK  150x200</v>
      </c>
      <c r="M2690" s="12">
        <v>0.1</v>
      </c>
      <c r="N2690" s="12">
        <v>0.1</v>
      </c>
      <c r="O2690" s="8">
        <v>4770</v>
      </c>
      <c r="P2690" s="8">
        <f t="shared" si="265"/>
        <v>4293</v>
      </c>
      <c r="Q2690" s="12">
        <f t="shared" si="266"/>
        <v>9015.3000000000011</v>
      </c>
      <c r="R2690" s="31">
        <f t="shared" si="267"/>
        <v>9000</v>
      </c>
    </row>
    <row r="2691" spans="1:18" ht="21.95" customHeight="1" x14ac:dyDescent="0.2">
      <c r="A2691" s="6" t="s">
        <v>943</v>
      </c>
      <c r="B2691" s="6" t="s">
        <v>1596</v>
      </c>
      <c r="C2691" s="6" t="s">
        <v>1035</v>
      </c>
      <c r="D2691" s="6" t="s">
        <v>943</v>
      </c>
      <c r="E2691" s="6"/>
      <c r="G2691" s="6">
        <v>160</v>
      </c>
      <c r="H2691" s="6">
        <v>200</v>
      </c>
      <c r="K2691" s="7">
        <v>44006862</v>
      </c>
      <c r="L2691" s="6" t="str">
        <f t="shared" si="269"/>
        <v>YT AÇELYA  YATAK  160x200</v>
      </c>
      <c r="M2691" s="12">
        <v>0.1</v>
      </c>
      <c r="N2691" s="12">
        <v>0.1</v>
      </c>
      <c r="O2691" s="8">
        <v>5040</v>
      </c>
      <c r="P2691" s="8">
        <f t="shared" si="265"/>
        <v>4536</v>
      </c>
      <c r="Q2691" s="12">
        <f t="shared" si="266"/>
        <v>9525.6</v>
      </c>
      <c r="R2691" s="31">
        <f t="shared" si="267"/>
        <v>9500</v>
      </c>
    </row>
    <row r="2692" spans="1:18" ht="21.95" customHeight="1" x14ac:dyDescent="0.2">
      <c r="A2692" s="6" t="s">
        <v>943</v>
      </c>
      <c r="B2692" s="6" t="s">
        <v>1596</v>
      </c>
      <c r="C2692" s="6" t="s">
        <v>1035</v>
      </c>
      <c r="D2692" s="6" t="s">
        <v>943</v>
      </c>
      <c r="E2692" s="6"/>
      <c r="G2692" s="5">
        <v>180</v>
      </c>
      <c r="H2692" s="6">
        <v>200</v>
      </c>
      <c r="K2692" s="7">
        <v>44006863</v>
      </c>
      <c r="L2692" s="6" t="str">
        <f t="shared" si="269"/>
        <v>YT AÇELYA  YATAK  180x200</v>
      </c>
      <c r="M2692" s="12">
        <v>0.1</v>
      </c>
      <c r="N2692" s="12">
        <v>0.1</v>
      </c>
      <c r="O2692" s="8">
        <v>5730</v>
      </c>
      <c r="P2692" s="8">
        <f t="shared" si="265"/>
        <v>5157</v>
      </c>
      <c r="Q2692" s="12">
        <f t="shared" si="266"/>
        <v>10829.7</v>
      </c>
      <c r="R2692" s="31">
        <f t="shared" si="267"/>
        <v>10800</v>
      </c>
    </row>
    <row r="2693" spans="1:18" ht="21.95" customHeight="1" x14ac:dyDescent="0.2">
      <c r="A2693" s="6" t="s">
        <v>943</v>
      </c>
      <c r="B2693" s="6" t="s">
        <v>1596</v>
      </c>
      <c r="C2693" s="6" t="s">
        <v>1035</v>
      </c>
      <c r="D2693" s="6" t="s">
        <v>943</v>
      </c>
      <c r="E2693" s="6"/>
      <c r="G2693" s="6">
        <v>200</v>
      </c>
      <c r="H2693" s="6">
        <v>200</v>
      </c>
      <c r="K2693" s="7">
        <v>44006864</v>
      </c>
      <c r="L2693" s="6" t="str">
        <f t="shared" si="269"/>
        <v>YT AÇELYA  YATAK  200x200</v>
      </c>
      <c r="M2693" s="12">
        <v>0.1</v>
      </c>
      <c r="N2693" s="12">
        <v>0.1</v>
      </c>
      <c r="O2693" s="8">
        <v>6490</v>
      </c>
      <c r="P2693" s="8">
        <f t="shared" si="265"/>
        <v>5841</v>
      </c>
      <c r="Q2693" s="12">
        <f t="shared" si="266"/>
        <v>12266.1</v>
      </c>
      <c r="R2693" s="31">
        <f t="shared" si="267"/>
        <v>12200</v>
      </c>
    </row>
    <row r="2694" spans="1:18" ht="21.95" customHeight="1" x14ac:dyDescent="0.2">
      <c r="A2694" s="6" t="s">
        <v>943</v>
      </c>
      <c r="B2694" s="6" t="s">
        <v>1596</v>
      </c>
      <c r="C2694" s="6" t="s">
        <v>1036</v>
      </c>
      <c r="D2694" s="6" t="s">
        <v>950</v>
      </c>
      <c r="E2694" s="6"/>
      <c r="G2694" s="6">
        <v>150</v>
      </c>
      <c r="H2694" s="6">
        <v>200</v>
      </c>
      <c r="K2694" s="7">
        <v>44006865</v>
      </c>
      <c r="L2694" s="6" t="str">
        <f t="shared" si="269"/>
        <v>YT İNDİGO  BAŞLIK 150x200</v>
      </c>
      <c r="M2694" s="12">
        <v>0.1</v>
      </c>
      <c r="N2694" s="12">
        <v>0.1</v>
      </c>
      <c r="O2694" s="8">
        <v>2270</v>
      </c>
      <c r="P2694" s="8">
        <f t="shared" si="265"/>
        <v>2043</v>
      </c>
      <c r="Q2694" s="12">
        <f t="shared" si="266"/>
        <v>4290.3</v>
      </c>
      <c r="R2694" s="31">
        <f t="shared" si="267"/>
        <v>4200</v>
      </c>
    </row>
    <row r="2695" spans="1:18" ht="21.95" customHeight="1" x14ac:dyDescent="0.2">
      <c r="A2695" s="6" t="s">
        <v>943</v>
      </c>
      <c r="B2695" s="6" t="s">
        <v>1596</v>
      </c>
      <c r="C2695" s="6" t="s">
        <v>1036</v>
      </c>
      <c r="D2695" s="6" t="s">
        <v>950</v>
      </c>
      <c r="E2695" s="6"/>
      <c r="G2695" s="6">
        <v>160</v>
      </c>
      <c r="H2695" s="6">
        <v>200</v>
      </c>
      <c r="K2695" s="7">
        <v>44006866</v>
      </c>
      <c r="L2695" s="6" t="str">
        <f t="shared" si="269"/>
        <v>YT İNDİGO  BAŞLIK 160x200</v>
      </c>
      <c r="M2695" s="12">
        <v>0.1</v>
      </c>
      <c r="N2695" s="12">
        <v>0.1</v>
      </c>
      <c r="O2695" s="8">
        <v>2420</v>
      </c>
      <c r="P2695" s="8">
        <f t="shared" si="265"/>
        <v>2178</v>
      </c>
      <c r="Q2695" s="12">
        <f t="shared" si="266"/>
        <v>4573.8</v>
      </c>
      <c r="R2695" s="31">
        <f t="shared" si="267"/>
        <v>4500</v>
      </c>
    </row>
    <row r="2696" spans="1:18" ht="21.95" customHeight="1" x14ac:dyDescent="0.2">
      <c r="A2696" s="6" t="s">
        <v>943</v>
      </c>
      <c r="B2696" s="6" t="s">
        <v>1596</v>
      </c>
      <c r="C2696" s="6" t="s">
        <v>1036</v>
      </c>
      <c r="D2696" s="6" t="s">
        <v>950</v>
      </c>
      <c r="E2696" s="6"/>
      <c r="G2696" s="6">
        <v>180</v>
      </c>
      <c r="H2696" s="6">
        <v>200</v>
      </c>
      <c r="K2696" s="7">
        <v>44006867</v>
      </c>
      <c r="L2696" s="6" t="str">
        <f t="shared" si="269"/>
        <v>YT İNDİGO  BAŞLIK 180x200</v>
      </c>
      <c r="M2696" s="12">
        <v>0.1</v>
      </c>
      <c r="N2696" s="12">
        <v>0.1</v>
      </c>
      <c r="O2696" s="8">
        <v>2680</v>
      </c>
      <c r="P2696" s="8">
        <f t="shared" si="265"/>
        <v>2412</v>
      </c>
      <c r="Q2696" s="12">
        <f t="shared" si="266"/>
        <v>5065.2</v>
      </c>
      <c r="R2696" s="31">
        <f t="shared" si="267"/>
        <v>5000</v>
      </c>
    </row>
    <row r="2697" spans="1:18" ht="21.95" customHeight="1" x14ac:dyDescent="0.2">
      <c r="A2697" s="6" t="s">
        <v>943</v>
      </c>
      <c r="B2697" s="6" t="s">
        <v>1596</v>
      </c>
      <c r="C2697" s="6" t="s">
        <v>1036</v>
      </c>
      <c r="D2697" s="6" t="s">
        <v>950</v>
      </c>
      <c r="E2697" s="6"/>
      <c r="G2697" s="6">
        <v>200</v>
      </c>
      <c r="H2697" s="6">
        <v>200</v>
      </c>
      <c r="K2697" s="7">
        <v>44006868</v>
      </c>
      <c r="L2697" s="6" t="str">
        <f t="shared" si="269"/>
        <v>YT İNDİGO  BAŞLIK 200x200</v>
      </c>
      <c r="M2697" s="12">
        <v>0.1</v>
      </c>
      <c r="N2697" s="12">
        <v>0.1</v>
      </c>
      <c r="O2697" s="8">
        <v>3070</v>
      </c>
      <c r="P2697" s="8">
        <f t="shared" si="265"/>
        <v>2763</v>
      </c>
      <c r="Q2697" s="12">
        <f t="shared" si="266"/>
        <v>5802.3</v>
      </c>
      <c r="R2697" s="31">
        <f t="shared" si="267"/>
        <v>5800</v>
      </c>
    </row>
    <row r="2698" spans="1:18" ht="21.95" customHeight="1" x14ac:dyDescent="0.2">
      <c r="A2698" s="6" t="s">
        <v>943</v>
      </c>
      <c r="B2698" s="6" t="s">
        <v>1596</v>
      </c>
      <c r="C2698" s="6" t="s">
        <v>1037</v>
      </c>
      <c r="D2698" s="6" t="s">
        <v>989</v>
      </c>
      <c r="E2698" s="6"/>
      <c r="G2698" s="6">
        <v>150</v>
      </c>
      <c r="H2698" s="6">
        <v>200</v>
      </c>
      <c r="K2698" s="7">
        <v>44006869</v>
      </c>
      <c r="L2698" s="6" t="str">
        <f t="shared" si="269"/>
        <v>YT İN İREM BAZA  150x200</v>
      </c>
      <c r="M2698" s="12">
        <v>0.1</v>
      </c>
      <c r="N2698" s="12">
        <v>0.1</v>
      </c>
      <c r="O2698" s="8">
        <v>7370</v>
      </c>
      <c r="P2698" s="8">
        <f t="shared" si="265"/>
        <v>6633</v>
      </c>
      <c r="Q2698" s="12">
        <f t="shared" si="266"/>
        <v>13929.300000000001</v>
      </c>
      <c r="R2698" s="31">
        <f t="shared" si="267"/>
        <v>13900</v>
      </c>
    </row>
    <row r="2699" spans="1:18" ht="21.95" customHeight="1" x14ac:dyDescent="0.2">
      <c r="A2699" s="6" t="s">
        <v>943</v>
      </c>
      <c r="B2699" s="6" t="s">
        <v>1596</v>
      </c>
      <c r="C2699" s="6" t="s">
        <v>1037</v>
      </c>
      <c r="D2699" s="6" t="s">
        <v>989</v>
      </c>
      <c r="E2699" s="6"/>
      <c r="G2699" s="6">
        <v>160</v>
      </c>
      <c r="H2699" s="6">
        <v>200</v>
      </c>
      <c r="K2699" s="7">
        <v>44006870</v>
      </c>
      <c r="L2699" s="6" t="str">
        <f t="shared" si="269"/>
        <v>YT İN İREM BAZA  160x200</v>
      </c>
      <c r="M2699" s="12">
        <v>0.1</v>
      </c>
      <c r="N2699" s="12">
        <v>0.1</v>
      </c>
      <c r="O2699" s="8">
        <v>7680</v>
      </c>
      <c r="P2699" s="8">
        <f t="shared" si="265"/>
        <v>6912</v>
      </c>
      <c r="Q2699" s="12">
        <f t="shared" si="266"/>
        <v>14515.2</v>
      </c>
      <c r="R2699" s="31">
        <f t="shared" si="267"/>
        <v>14500</v>
      </c>
    </row>
    <row r="2700" spans="1:18" ht="21.95" customHeight="1" x14ac:dyDescent="0.2">
      <c r="A2700" s="6" t="s">
        <v>943</v>
      </c>
      <c r="B2700" s="6" t="s">
        <v>1596</v>
      </c>
      <c r="C2700" s="6" t="s">
        <v>1037</v>
      </c>
      <c r="D2700" s="6" t="s">
        <v>989</v>
      </c>
      <c r="E2700" s="6"/>
      <c r="G2700" s="6">
        <v>180</v>
      </c>
      <c r="H2700" s="6">
        <v>200</v>
      </c>
      <c r="K2700" s="7">
        <v>44006871</v>
      </c>
      <c r="L2700" s="6" t="str">
        <f t="shared" si="269"/>
        <v>YT İN İREM BAZA  180x200</v>
      </c>
      <c r="M2700" s="12">
        <v>0.1</v>
      </c>
      <c r="N2700" s="12">
        <v>0.1</v>
      </c>
      <c r="O2700" s="8">
        <v>8270</v>
      </c>
      <c r="P2700" s="8">
        <f t="shared" si="265"/>
        <v>7443</v>
      </c>
      <c r="Q2700" s="12">
        <f t="shared" si="266"/>
        <v>15630.300000000001</v>
      </c>
      <c r="R2700" s="31">
        <f t="shared" si="267"/>
        <v>15600</v>
      </c>
    </row>
    <row r="2701" spans="1:18" ht="21.95" customHeight="1" x14ac:dyDescent="0.2">
      <c r="A2701" s="6" t="s">
        <v>943</v>
      </c>
      <c r="B2701" s="6" t="s">
        <v>1596</v>
      </c>
      <c r="C2701" s="6" t="s">
        <v>1037</v>
      </c>
      <c r="D2701" s="6" t="s">
        <v>989</v>
      </c>
      <c r="E2701" s="6"/>
      <c r="G2701" s="6">
        <v>200</v>
      </c>
      <c r="H2701" s="6">
        <v>200</v>
      </c>
      <c r="K2701" s="7">
        <v>44006872</v>
      </c>
      <c r="L2701" s="6" t="str">
        <f t="shared" si="269"/>
        <v>YT İN İREM BAZA  200x200</v>
      </c>
      <c r="M2701" s="12">
        <v>0.1</v>
      </c>
      <c r="N2701" s="12">
        <v>0.1</v>
      </c>
      <c r="O2701" s="8">
        <v>8880</v>
      </c>
      <c r="P2701" s="8">
        <f t="shared" si="265"/>
        <v>7992</v>
      </c>
      <c r="Q2701" s="12">
        <f t="shared" si="266"/>
        <v>16783.2</v>
      </c>
      <c r="R2701" s="31">
        <f t="shared" si="267"/>
        <v>16700</v>
      </c>
    </row>
    <row r="2702" spans="1:18" ht="21.95" customHeight="1" x14ac:dyDescent="0.2">
      <c r="A2702" s="6" t="s">
        <v>943</v>
      </c>
      <c r="B2702" s="6" t="s">
        <v>1596</v>
      </c>
      <c r="C2702" s="6" t="s">
        <v>1038</v>
      </c>
      <c r="D2702" s="6" t="s">
        <v>989</v>
      </c>
      <c r="E2702" s="6"/>
      <c r="G2702" s="6">
        <v>150</v>
      </c>
      <c r="H2702" s="6">
        <v>200</v>
      </c>
      <c r="K2702" s="7">
        <v>44006873</v>
      </c>
      <c r="L2702" s="6" t="str">
        <f t="shared" si="269"/>
        <v>YT RÜYA  BAZA  150x200</v>
      </c>
      <c r="M2702" s="12">
        <v>0.1</v>
      </c>
      <c r="N2702" s="12">
        <v>0.1</v>
      </c>
      <c r="O2702" s="8">
        <v>7190</v>
      </c>
      <c r="P2702" s="8">
        <f t="shared" ref="P2702:P2765" si="270">O2702*(1-N2702)</f>
        <v>6471</v>
      </c>
      <c r="Q2702" s="12">
        <f t="shared" ref="Q2702:Q2765" si="271">O2702*(1-N2702)*2.1</f>
        <v>13589.1</v>
      </c>
      <c r="R2702" s="31">
        <f t="shared" ref="R2702:R2765" si="272">ROUNDDOWN(Q2702,-2)</f>
        <v>13500</v>
      </c>
    </row>
    <row r="2703" spans="1:18" ht="21.95" customHeight="1" x14ac:dyDescent="0.2">
      <c r="A2703" s="6" t="s">
        <v>943</v>
      </c>
      <c r="B2703" s="6" t="s">
        <v>1596</v>
      </c>
      <c r="C2703" s="6" t="s">
        <v>1038</v>
      </c>
      <c r="D2703" s="6" t="s">
        <v>989</v>
      </c>
      <c r="E2703" s="6"/>
      <c r="G2703" s="6">
        <v>150</v>
      </c>
      <c r="H2703" s="6">
        <v>201</v>
      </c>
      <c r="K2703" s="7">
        <v>44006874</v>
      </c>
      <c r="L2703" s="6" t="str">
        <f t="shared" si="269"/>
        <v>YT RÜYA  BAZA  150x201</v>
      </c>
      <c r="M2703" s="12">
        <v>0.1</v>
      </c>
      <c r="N2703" s="12">
        <v>0.1</v>
      </c>
      <c r="O2703" s="8">
        <v>7480</v>
      </c>
      <c r="P2703" s="8">
        <f t="shared" si="270"/>
        <v>6732</v>
      </c>
      <c r="Q2703" s="12">
        <f t="shared" si="271"/>
        <v>14137.2</v>
      </c>
      <c r="R2703" s="31">
        <f t="shared" si="272"/>
        <v>14100</v>
      </c>
    </row>
    <row r="2704" spans="1:18" ht="21.95" customHeight="1" x14ac:dyDescent="0.2">
      <c r="A2704" s="6" t="s">
        <v>943</v>
      </c>
      <c r="B2704" s="6" t="s">
        <v>1596</v>
      </c>
      <c r="C2704" s="6" t="s">
        <v>1038</v>
      </c>
      <c r="D2704" s="6" t="s">
        <v>989</v>
      </c>
      <c r="E2704" s="6"/>
      <c r="G2704" s="6">
        <v>150</v>
      </c>
      <c r="H2704" s="6">
        <v>202</v>
      </c>
      <c r="K2704" s="7">
        <v>44006875</v>
      </c>
      <c r="L2704" s="6" t="str">
        <f t="shared" si="269"/>
        <v>YT RÜYA  BAZA  150x202</v>
      </c>
      <c r="M2704" s="12">
        <v>0.1</v>
      </c>
      <c r="N2704" s="12">
        <v>0.1</v>
      </c>
      <c r="O2704" s="8">
        <v>8280</v>
      </c>
      <c r="P2704" s="8">
        <f t="shared" si="270"/>
        <v>7452</v>
      </c>
      <c r="Q2704" s="12">
        <f t="shared" si="271"/>
        <v>15649.2</v>
      </c>
      <c r="R2704" s="31">
        <f t="shared" si="272"/>
        <v>15600</v>
      </c>
    </row>
    <row r="2705" spans="1:18" ht="21.95" customHeight="1" x14ac:dyDescent="0.2">
      <c r="A2705" s="6" t="s">
        <v>943</v>
      </c>
      <c r="B2705" s="6" t="s">
        <v>1596</v>
      </c>
      <c r="C2705" s="6" t="s">
        <v>1038</v>
      </c>
      <c r="D2705" s="6" t="s">
        <v>989</v>
      </c>
      <c r="E2705" s="6"/>
      <c r="G2705" s="6">
        <v>150</v>
      </c>
      <c r="H2705" s="6">
        <v>203</v>
      </c>
      <c r="K2705" s="7">
        <v>44006876</v>
      </c>
      <c r="L2705" s="6" t="str">
        <f t="shared" si="269"/>
        <v>YT RÜYA  BAZA  150x203</v>
      </c>
      <c r="M2705" s="12">
        <v>0.1</v>
      </c>
      <c r="N2705" s="12">
        <v>0.1</v>
      </c>
      <c r="O2705" s="8">
        <v>8850</v>
      </c>
      <c r="P2705" s="8">
        <f t="shared" si="270"/>
        <v>7965</v>
      </c>
      <c r="Q2705" s="12">
        <f t="shared" si="271"/>
        <v>16726.5</v>
      </c>
      <c r="R2705" s="31">
        <f t="shared" si="272"/>
        <v>16700</v>
      </c>
    </row>
    <row r="2706" spans="1:18" ht="21.95" customHeight="1" x14ac:dyDescent="0.2">
      <c r="A2706" s="6" t="s">
        <v>943</v>
      </c>
      <c r="B2706" s="6" t="s">
        <v>1596</v>
      </c>
      <c r="C2706" s="6" t="s">
        <v>1039</v>
      </c>
      <c r="D2706" s="6" t="s">
        <v>945</v>
      </c>
      <c r="E2706" s="6"/>
      <c r="G2706" s="6">
        <v>150</v>
      </c>
      <c r="H2706" s="6">
        <v>200</v>
      </c>
      <c r="K2706" s="7">
        <v>44006877</v>
      </c>
      <c r="L2706" s="6" t="str">
        <f t="shared" si="269"/>
        <v>YT İREM  BAZA 150x200</v>
      </c>
      <c r="M2706" s="12">
        <v>0.1</v>
      </c>
      <c r="N2706" s="12">
        <v>0.1</v>
      </c>
      <c r="O2706" s="8">
        <v>6960</v>
      </c>
      <c r="P2706" s="8">
        <f t="shared" si="270"/>
        <v>6264</v>
      </c>
      <c r="Q2706" s="12">
        <f t="shared" si="271"/>
        <v>13154.400000000001</v>
      </c>
      <c r="R2706" s="31">
        <f t="shared" si="272"/>
        <v>13100</v>
      </c>
    </row>
    <row r="2707" spans="1:18" ht="21.95" customHeight="1" x14ac:dyDescent="0.2">
      <c r="A2707" s="6" t="s">
        <v>943</v>
      </c>
      <c r="B2707" s="6" t="s">
        <v>1596</v>
      </c>
      <c r="C2707" s="6" t="s">
        <v>1039</v>
      </c>
      <c r="D2707" s="6" t="s">
        <v>945</v>
      </c>
      <c r="E2707" s="6"/>
      <c r="G2707" s="6">
        <v>160</v>
      </c>
      <c r="H2707" s="6">
        <v>200</v>
      </c>
      <c r="K2707" s="7">
        <v>44006878</v>
      </c>
      <c r="L2707" s="6" t="str">
        <f t="shared" si="269"/>
        <v>YT İREM  BAZA 160x200</v>
      </c>
      <c r="M2707" s="12">
        <v>0.1</v>
      </c>
      <c r="N2707" s="12">
        <v>0.1</v>
      </c>
      <c r="O2707" s="8">
        <v>7250</v>
      </c>
      <c r="P2707" s="8">
        <f t="shared" si="270"/>
        <v>6525</v>
      </c>
      <c r="Q2707" s="12">
        <f t="shared" si="271"/>
        <v>13702.5</v>
      </c>
      <c r="R2707" s="31">
        <f t="shared" si="272"/>
        <v>13700</v>
      </c>
    </row>
    <row r="2708" spans="1:18" ht="21.95" customHeight="1" x14ac:dyDescent="0.2">
      <c r="A2708" s="6" t="s">
        <v>943</v>
      </c>
      <c r="B2708" s="6" t="s">
        <v>1596</v>
      </c>
      <c r="C2708" s="6" t="s">
        <v>1039</v>
      </c>
      <c r="D2708" s="6" t="s">
        <v>945</v>
      </c>
      <c r="E2708" s="6"/>
      <c r="G2708" s="6">
        <v>180</v>
      </c>
      <c r="H2708" s="6">
        <v>200</v>
      </c>
      <c r="K2708" s="7">
        <v>44006879</v>
      </c>
      <c r="L2708" s="6" t="str">
        <f t="shared" si="269"/>
        <v>YT İREM  BAZA 180x200</v>
      </c>
      <c r="M2708" s="12">
        <v>0.1</v>
      </c>
      <c r="N2708" s="12">
        <v>0.1</v>
      </c>
      <c r="O2708" s="8">
        <v>7820</v>
      </c>
      <c r="P2708" s="8">
        <f t="shared" si="270"/>
        <v>7038</v>
      </c>
      <c r="Q2708" s="12">
        <f t="shared" si="271"/>
        <v>14779.800000000001</v>
      </c>
      <c r="R2708" s="31">
        <f t="shared" si="272"/>
        <v>14700</v>
      </c>
    </row>
    <row r="2709" spans="1:18" ht="21.95" customHeight="1" x14ac:dyDescent="0.2">
      <c r="A2709" s="6" t="s">
        <v>943</v>
      </c>
      <c r="B2709" s="6" t="s">
        <v>1596</v>
      </c>
      <c r="C2709" s="6" t="s">
        <v>1039</v>
      </c>
      <c r="D2709" s="6" t="s">
        <v>945</v>
      </c>
      <c r="E2709" s="6"/>
      <c r="G2709" s="6">
        <v>200</v>
      </c>
      <c r="H2709" s="6">
        <v>200</v>
      </c>
      <c r="K2709" s="7">
        <v>44006880</v>
      </c>
      <c r="L2709" s="6" t="str">
        <f t="shared" si="269"/>
        <v>YT İREM  BAZA 200x200</v>
      </c>
      <c r="M2709" s="12">
        <v>0.1</v>
      </c>
      <c r="N2709" s="12">
        <v>0.1</v>
      </c>
      <c r="O2709" s="8">
        <v>8400</v>
      </c>
      <c r="P2709" s="8">
        <f t="shared" si="270"/>
        <v>7560</v>
      </c>
      <c r="Q2709" s="12">
        <f t="shared" si="271"/>
        <v>15876</v>
      </c>
      <c r="R2709" s="31">
        <f t="shared" si="272"/>
        <v>15800</v>
      </c>
    </row>
    <row r="2710" spans="1:18" ht="21.95" customHeight="1" x14ac:dyDescent="0.2">
      <c r="A2710" s="6" t="s">
        <v>943</v>
      </c>
      <c r="B2710" s="6" t="s">
        <v>1596</v>
      </c>
      <c r="C2710" s="6" t="s">
        <v>1040</v>
      </c>
      <c r="D2710" s="6" t="s">
        <v>989</v>
      </c>
      <c r="E2710" s="6"/>
      <c r="G2710" s="6">
        <v>90</v>
      </c>
      <c r="H2710" s="6">
        <v>190</v>
      </c>
      <c r="K2710" s="7">
        <v>44006881</v>
      </c>
      <c r="L2710" s="6" t="str">
        <f t="shared" si="269"/>
        <v>YT DORA  BAZA  90x190</v>
      </c>
      <c r="M2710" s="12">
        <v>0.1</v>
      </c>
      <c r="N2710" s="12">
        <v>0.1</v>
      </c>
      <c r="O2710" s="8">
        <v>5390</v>
      </c>
      <c r="P2710" s="8">
        <f t="shared" si="270"/>
        <v>4851</v>
      </c>
      <c r="Q2710" s="12">
        <f t="shared" si="271"/>
        <v>10187.1</v>
      </c>
      <c r="R2710" s="31">
        <f t="shared" si="272"/>
        <v>10100</v>
      </c>
    </row>
    <row r="2711" spans="1:18" ht="21.95" customHeight="1" x14ac:dyDescent="0.2">
      <c r="A2711" s="6" t="s">
        <v>943</v>
      </c>
      <c r="B2711" s="6" t="s">
        <v>1596</v>
      </c>
      <c r="C2711" s="6" t="s">
        <v>1040</v>
      </c>
      <c r="D2711" s="6" t="s">
        <v>989</v>
      </c>
      <c r="E2711" s="6"/>
      <c r="G2711" s="6">
        <v>90</v>
      </c>
      <c r="H2711" s="6">
        <v>200</v>
      </c>
      <c r="K2711" s="7">
        <v>44006882</v>
      </c>
      <c r="L2711" s="6" t="str">
        <f t="shared" si="269"/>
        <v>YT DORA  BAZA  90x200</v>
      </c>
      <c r="M2711" s="12">
        <v>0.1</v>
      </c>
      <c r="N2711" s="12">
        <v>0.1</v>
      </c>
      <c r="O2711" s="8">
        <v>5690</v>
      </c>
      <c r="P2711" s="8">
        <f t="shared" si="270"/>
        <v>5121</v>
      </c>
      <c r="Q2711" s="12">
        <f t="shared" si="271"/>
        <v>10754.1</v>
      </c>
      <c r="R2711" s="31">
        <f t="shared" si="272"/>
        <v>10700</v>
      </c>
    </row>
    <row r="2712" spans="1:18" ht="21.95" customHeight="1" x14ac:dyDescent="0.2">
      <c r="A2712" s="6" t="s">
        <v>943</v>
      </c>
      <c r="B2712" s="6" t="s">
        <v>1596</v>
      </c>
      <c r="C2712" s="6" t="s">
        <v>1040</v>
      </c>
      <c r="D2712" s="6" t="s">
        <v>989</v>
      </c>
      <c r="E2712" s="6"/>
      <c r="G2712" s="6">
        <v>100</v>
      </c>
      <c r="H2712" s="6">
        <v>200</v>
      </c>
      <c r="K2712" s="7">
        <v>44006883</v>
      </c>
      <c r="L2712" s="6" t="str">
        <f t="shared" si="269"/>
        <v>YT DORA  BAZA  100x200</v>
      </c>
      <c r="M2712" s="12">
        <v>0.1</v>
      </c>
      <c r="N2712" s="12">
        <v>0.1</v>
      </c>
      <c r="O2712" s="8">
        <v>6120</v>
      </c>
      <c r="P2712" s="8">
        <f t="shared" si="270"/>
        <v>5508</v>
      </c>
      <c r="Q2712" s="12">
        <f t="shared" si="271"/>
        <v>11566.800000000001</v>
      </c>
      <c r="R2712" s="31">
        <f t="shared" si="272"/>
        <v>11500</v>
      </c>
    </row>
    <row r="2713" spans="1:18" ht="21.95" customHeight="1" x14ac:dyDescent="0.2">
      <c r="A2713" s="6" t="s">
        <v>943</v>
      </c>
      <c r="B2713" s="6" t="s">
        <v>1596</v>
      </c>
      <c r="C2713" s="6" t="s">
        <v>1040</v>
      </c>
      <c r="D2713" s="6" t="s">
        <v>989</v>
      </c>
      <c r="E2713" s="6"/>
      <c r="G2713" s="6">
        <v>120</v>
      </c>
      <c r="H2713" s="6">
        <v>200</v>
      </c>
      <c r="K2713" s="7">
        <v>44006884</v>
      </c>
      <c r="L2713" s="6" t="str">
        <f t="shared" si="269"/>
        <v>YT DORA  BAZA  120x200</v>
      </c>
      <c r="M2713" s="12">
        <v>0.1</v>
      </c>
      <c r="N2713" s="12">
        <v>0.1</v>
      </c>
      <c r="O2713" s="8">
        <v>6810</v>
      </c>
      <c r="P2713" s="8">
        <f t="shared" si="270"/>
        <v>6129</v>
      </c>
      <c r="Q2713" s="12">
        <f t="shared" si="271"/>
        <v>12870.9</v>
      </c>
      <c r="R2713" s="31">
        <f t="shared" si="272"/>
        <v>12800</v>
      </c>
    </row>
    <row r="2714" spans="1:18" ht="21.95" customHeight="1" x14ac:dyDescent="0.2">
      <c r="A2714" s="6" t="s">
        <v>943</v>
      </c>
      <c r="B2714" s="6" t="s">
        <v>1596</v>
      </c>
      <c r="C2714" s="6" t="s">
        <v>1040</v>
      </c>
      <c r="D2714" s="6" t="s">
        <v>1003</v>
      </c>
      <c r="E2714" s="6"/>
      <c r="G2714" s="6">
        <v>90</v>
      </c>
      <c r="H2714" s="6">
        <v>190</v>
      </c>
      <c r="K2714" s="7">
        <v>44006885</v>
      </c>
      <c r="L2714" s="6" t="str">
        <f t="shared" si="269"/>
        <v>YT DORA  BAŞLIK  90x190</v>
      </c>
      <c r="M2714" s="12">
        <v>0.1</v>
      </c>
      <c r="N2714" s="12">
        <v>0.1</v>
      </c>
      <c r="O2714" s="8">
        <v>3190</v>
      </c>
      <c r="P2714" s="8">
        <f t="shared" si="270"/>
        <v>2871</v>
      </c>
      <c r="Q2714" s="12">
        <f t="shared" si="271"/>
        <v>6029.1</v>
      </c>
      <c r="R2714" s="31">
        <f t="shared" si="272"/>
        <v>6000</v>
      </c>
    </row>
    <row r="2715" spans="1:18" ht="21.95" customHeight="1" x14ac:dyDescent="0.2">
      <c r="A2715" s="6" t="s">
        <v>943</v>
      </c>
      <c r="B2715" s="6" t="s">
        <v>1596</v>
      </c>
      <c r="C2715" s="6" t="s">
        <v>1040</v>
      </c>
      <c r="D2715" s="6" t="s">
        <v>1003</v>
      </c>
      <c r="E2715" s="6"/>
      <c r="G2715" s="6">
        <v>90</v>
      </c>
      <c r="H2715" s="6">
        <v>200</v>
      </c>
      <c r="K2715" s="7">
        <v>44006886</v>
      </c>
      <c r="L2715" s="6" t="str">
        <f t="shared" si="269"/>
        <v>YT DORA  BAŞLIK  90x200</v>
      </c>
      <c r="M2715" s="12">
        <v>0.1</v>
      </c>
      <c r="N2715" s="12">
        <v>0.1</v>
      </c>
      <c r="O2715" s="8">
        <v>3190</v>
      </c>
      <c r="P2715" s="8">
        <f t="shared" si="270"/>
        <v>2871</v>
      </c>
      <c r="Q2715" s="12">
        <f t="shared" si="271"/>
        <v>6029.1</v>
      </c>
      <c r="R2715" s="31">
        <f t="shared" si="272"/>
        <v>6000</v>
      </c>
    </row>
    <row r="2716" spans="1:18" ht="21.95" customHeight="1" x14ac:dyDescent="0.2">
      <c r="A2716" s="6" t="s">
        <v>943</v>
      </c>
      <c r="B2716" s="6" t="s">
        <v>1596</v>
      </c>
      <c r="C2716" s="6" t="s">
        <v>1040</v>
      </c>
      <c r="D2716" s="6" t="s">
        <v>1003</v>
      </c>
      <c r="E2716" s="6"/>
      <c r="G2716" s="6">
        <v>100</v>
      </c>
      <c r="H2716" s="6">
        <v>200</v>
      </c>
      <c r="K2716" s="7">
        <v>44006887</v>
      </c>
      <c r="L2716" s="6" t="str">
        <f t="shared" si="269"/>
        <v>YT DORA  BAŞLIK  100x200</v>
      </c>
      <c r="M2716" s="12">
        <v>0.1</v>
      </c>
      <c r="N2716" s="12">
        <v>0.1</v>
      </c>
      <c r="O2716" s="8">
        <v>3400</v>
      </c>
      <c r="P2716" s="8">
        <f t="shared" si="270"/>
        <v>3060</v>
      </c>
      <c r="Q2716" s="12">
        <f t="shared" si="271"/>
        <v>6426</v>
      </c>
      <c r="R2716" s="31">
        <f t="shared" si="272"/>
        <v>6400</v>
      </c>
    </row>
    <row r="2717" spans="1:18" ht="21.95" customHeight="1" x14ac:dyDescent="0.2">
      <c r="A2717" s="6" t="s">
        <v>943</v>
      </c>
      <c r="B2717" s="6" t="s">
        <v>1596</v>
      </c>
      <c r="C2717" s="6" t="s">
        <v>1040</v>
      </c>
      <c r="D2717" s="6" t="s">
        <v>1003</v>
      </c>
      <c r="E2717" s="6"/>
      <c r="G2717" s="6">
        <v>120</v>
      </c>
      <c r="H2717" s="6">
        <v>200</v>
      </c>
      <c r="K2717" s="7">
        <v>44006888</v>
      </c>
      <c r="L2717" s="6" t="str">
        <f t="shared" si="269"/>
        <v>YT DORA  BAŞLIK  120x200</v>
      </c>
      <c r="M2717" s="12">
        <v>0.1</v>
      </c>
      <c r="N2717" s="12">
        <v>0.1</v>
      </c>
      <c r="O2717" s="8">
        <v>3630</v>
      </c>
      <c r="P2717" s="8">
        <f t="shared" si="270"/>
        <v>3267</v>
      </c>
      <c r="Q2717" s="12">
        <f t="shared" si="271"/>
        <v>6860.7000000000007</v>
      </c>
      <c r="R2717" s="31">
        <f t="shared" si="272"/>
        <v>6800</v>
      </c>
    </row>
    <row r="2718" spans="1:18" ht="21.95" customHeight="1" x14ac:dyDescent="0.2">
      <c r="A2718" s="6" t="s">
        <v>943</v>
      </c>
      <c r="B2718" s="6" t="s">
        <v>1596</v>
      </c>
      <c r="C2718" s="6" t="s">
        <v>1018</v>
      </c>
      <c r="D2718" s="6" t="s">
        <v>943</v>
      </c>
      <c r="E2718" s="6"/>
      <c r="G2718" s="6">
        <v>150</v>
      </c>
      <c r="H2718" s="6">
        <v>201</v>
      </c>
      <c r="K2718" s="7">
        <v>44006889</v>
      </c>
      <c r="L2718" s="6" t="str">
        <f t="shared" si="269"/>
        <v>YT BEGONYA YATAK  150x201</v>
      </c>
      <c r="M2718" s="12">
        <v>0.1</v>
      </c>
      <c r="N2718" s="12">
        <v>0.1</v>
      </c>
      <c r="O2718" s="8">
        <v>6020</v>
      </c>
      <c r="P2718" s="8">
        <f t="shared" si="270"/>
        <v>5418</v>
      </c>
      <c r="Q2718" s="12">
        <f t="shared" si="271"/>
        <v>11377.800000000001</v>
      </c>
      <c r="R2718" s="31">
        <f t="shared" si="272"/>
        <v>11300</v>
      </c>
    </row>
    <row r="2719" spans="1:18" ht="21.95" customHeight="1" x14ac:dyDescent="0.2">
      <c r="A2719" s="6" t="s">
        <v>943</v>
      </c>
      <c r="B2719" s="6" t="s">
        <v>1596</v>
      </c>
      <c r="C2719" s="6" t="s">
        <v>1041</v>
      </c>
      <c r="D2719" s="6" t="s">
        <v>943</v>
      </c>
      <c r="E2719" s="6"/>
      <c r="G2719" s="6">
        <v>150</v>
      </c>
      <c r="H2719" s="6">
        <v>202</v>
      </c>
      <c r="K2719" s="7">
        <v>44006890</v>
      </c>
      <c r="L2719" s="6" t="str">
        <f t="shared" si="269"/>
        <v>YT BEGONYA  YATAK  150x202</v>
      </c>
      <c r="M2719" s="12">
        <v>0.1</v>
      </c>
      <c r="N2719" s="12">
        <v>0.1</v>
      </c>
      <c r="O2719" s="8">
        <v>6840</v>
      </c>
      <c r="P2719" s="8">
        <f t="shared" si="270"/>
        <v>6156</v>
      </c>
      <c r="Q2719" s="12">
        <f t="shared" si="271"/>
        <v>12927.6</v>
      </c>
      <c r="R2719" s="31">
        <f t="shared" si="272"/>
        <v>12900</v>
      </c>
    </row>
    <row r="2720" spans="1:18" ht="21.95" customHeight="1" x14ac:dyDescent="0.2">
      <c r="A2720" s="6" t="s">
        <v>943</v>
      </c>
      <c r="B2720" s="6" t="s">
        <v>1596</v>
      </c>
      <c r="C2720" s="6" t="s">
        <v>1041</v>
      </c>
      <c r="D2720" s="6" t="s">
        <v>943</v>
      </c>
      <c r="E2720" s="6"/>
      <c r="G2720" s="6">
        <v>150</v>
      </c>
      <c r="H2720" s="6">
        <v>203</v>
      </c>
      <c r="K2720" s="7">
        <v>44006891</v>
      </c>
      <c r="L2720" s="6" t="str">
        <f t="shared" si="269"/>
        <v>YT BEGONYA  YATAK  150x203</v>
      </c>
      <c r="M2720" s="12">
        <v>0.1</v>
      </c>
      <c r="N2720" s="12">
        <v>0.1</v>
      </c>
      <c r="O2720" s="8">
        <v>7750</v>
      </c>
      <c r="P2720" s="8">
        <f t="shared" si="270"/>
        <v>6975</v>
      </c>
      <c r="Q2720" s="12">
        <f t="shared" si="271"/>
        <v>14647.5</v>
      </c>
      <c r="R2720" s="31">
        <f t="shared" si="272"/>
        <v>14600</v>
      </c>
    </row>
    <row r="2721" spans="1:18" ht="21.95" customHeight="1" x14ac:dyDescent="0.2">
      <c r="A2721" s="6" t="s">
        <v>943</v>
      </c>
      <c r="B2721" s="6" t="s">
        <v>1596</v>
      </c>
      <c r="C2721" s="6" t="s">
        <v>1042</v>
      </c>
      <c r="D2721" s="6" t="s">
        <v>943</v>
      </c>
      <c r="E2721" s="6"/>
      <c r="G2721" s="6">
        <v>90</v>
      </c>
      <c r="H2721" s="6">
        <v>190</v>
      </c>
      <c r="K2721" s="7">
        <v>44006892</v>
      </c>
      <c r="L2721" s="6" t="str">
        <f t="shared" si="269"/>
        <v>YT BEGONYA +  YATAK  90x190</v>
      </c>
      <c r="M2721" s="12">
        <v>0.1</v>
      </c>
      <c r="N2721" s="12">
        <v>0.1</v>
      </c>
      <c r="O2721" s="8">
        <v>4050</v>
      </c>
      <c r="P2721" s="8">
        <f t="shared" si="270"/>
        <v>3645</v>
      </c>
      <c r="Q2721" s="12">
        <f t="shared" si="271"/>
        <v>7654.5</v>
      </c>
      <c r="R2721" s="31">
        <f t="shared" si="272"/>
        <v>7600</v>
      </c>
    </row>
    <row r="2722" spans="1:18" ht="21.95" customHeight="1" x14ac:dyDescent="0.2">
      <c r="A2722" s="6" t="s">
        <v>943</v>
      </c>
      <c r="B2722" s="6" t="s">
        <v>1596</v>
      </c>
      <c r="C2722" s="6" t="s">
        <v>1042</v>
      </c>
      <c r="D2722" s="6" t="s">
        <v>943</v>
      </c>
      <c r="E2722" s="6"/>
      <c r="G2722" s="6">
        <v>90</v>
      </c>
      <c r="H2722" s="6">
        <v>200</v>
      </c>
      <c r="K2722" s="7">
        <v>44006893</v>
      </c>
      <c r="L2722" s="6" t="str">
        <f t="shared" ref="L2722:L2741" si="273">B2722&amp;" "&amp;C2722&amp;" "&amp;D2722&amp;" "&amp;G2722&amp;"x"&amp;H2722</f>
        <v>YT BEGONYA +  YATAK  90x200</v>
      </c>
      <c r="M2722" s="12">
        <v>0.1</v>
      </c>
      <c r="N2722" s="12">
        <v>0.1</v>
      </c>
      <c r="O2722" s="8">
        <v>4240</v>
      </c>
      <c r="P2722" s="8">
        <f t="shared" si="270"/>
        <v>3816</v>
      </c>
      <c r="Q2722" s="12">
        <f t="shared" si="271"/>
        <v>8013.6</v>
      </c>
      <c r="R2722" s="31">
        <f t="shared" si="272"/>
        <v>8000</v>
      </c>
    </row>
    <row r="2723" spans="1:18" ht="21.95" customHeight="1" x14ac:dyDescent="0.2">
      <c r="A2723" s="6" t="s">
        <v>943</v>
      </c>
      <c r="B2723" s="6" t="s">
        <v>1596</v>
      </c>
      <c r="C2723" s="6" t="s">
        <v>1042</v>
      </c>
      <c r="D2723" s="6" t="s">
        <v>943</v>
      </c>
      <c r="E2723" s="6"/>
      <c r="G2723" s="6">
        <v>100</v>
      </c>
      <c r="H2723" s="6">
        <v>200</v>
      </c>
      <c r="K2723" s="7">
        <v>44006894</v>
      </c>
      <c r="L2723" s="6" t="str">
        <f t="shared" si="273"/>
        <v>YT BEGONYA +  YATAK  100x200</v>
      </c>
      <c r="M2723" s="12">
        <v>0.1</v>
      </c>
      <c r="N2723" s="12">
        <v>0.1</v>
      </c>
      <c r="O2723" s="8">
        <v>4450</v>
      </c>
      <c r="P2723" s="8">
        <f t="shared" si="270"/>
        <v>4005</v>
      </c>
      <c r="Q2723" s="12">
        <f t="shared" si="271"/>
        <v>8410.5</v>
      </c>
      <c r="R2723" s="31">
        <f t="shared" si="272"/>
        <v>8400</v>
      </c>
    </row>
    <row r="2724" spans="1:18" ht="21.95" customHeight="1" x14ac:dyDescent="0.2">
      <c r="A2724" s="6" t="s">
        <v>943</v>
      </c>
      <c r="B2724" s="6" t="s">
        <v>1596</v>
      </c>
      <c r="C2724" s="6" t="s">
        <v>1042</v>
      </c>
      <c r="D2724" s="6" t="s">
        <v>943</v>
      </c>
      <c r="E2724" s="6"/>
      <c r="G2724" s="6">
        <v>120</v>
      </c>
      <c r="H2724" s="6">
        <v>200</v>
      </c>
      <c r="K2724" s="7">
        <v>44006895</v>
      </c>
      <c r="L2724" s="6" t="str">
        <f t="shared" si="273"/>
        <v>YT BEGONYA +  YATAK  120x200</v>
      </c>
      <c r="M2724" s="12">
        <v>0.1</v>
      </c>
      <c r="N2724" s="12">
        <v>0.1</v>
      </c>
      <c r="O2724" s="8">
        <v>4930</v>
      </c>
      <c r="P2724" s="8">
        <f t="shared" si="270"/>
        <v>4437</v>
      </c>
      <c r="Q2724" s="12">
        <f t="shared" si="271"/>
        <v>9317.7000000000007</v>
      </c>
      <c r="R2724" s="31">
        <f t="shared" si="272"/>
        <v>9300</v>
      </c>
    </row>
    <row r="2725" spans="1:18" ht="21.95" customHeight="1" x14ac:dyDescent="0.2">
      <c r="A2725" s="6" t="s">
        <v>943</v>
      </c>
      <c r="B2725" s="6" t="s">
        <v>1596</v>
      </c>
      <c r="C2725" s="6" t="s">
        <v>447</v>
      </c>
      <c r="D2725" s="6" t="s">
        <v>989</v>
      </c>
      <c r="E2725" s="6"/>
      <c r="G2725" s="6">
        <v>90</v>
      </c>
      <c r="H2725" s="6">
        <v>190</v>
      </c>
      <c r="K2725" s="7">
        <v>44006896</v>
      </c>
      <c r="L2725" s="6" t="str">
        <f t="shared" si="273"/>
        <v>YT PARİS BAZA  90x190</v>
      </c>
      <c r="M2725" s="12">
        <v>0.1</v>
      </c>
      <c r="N2725" s="12">
        <v>0.1</v>
      </c>
      <c r="O2725" s="8">
        <v>6490</v>
      </c>
      <c r="P2725" s="8">
        <f t="shared" si="270"/>
        <v>5841</v>
      </c>
      <c r="Q2725" s="12">
        <f t="shared" si="271"/>
        <v>12266.1</v>
      </c>
      <c r="R2725" s="31">
        <f t="shared" si="272"/>
        <v>12200</v>
      </c>
    </row>
    <row r="2726" spans="1:18" ht="21.95" customHeight="1" x14ac:dyDescent="0.2">
      <c r="A2726" s="6" t="s">
        <v>943</v>
      </c>
      <c r="B2726" s="6" t="s">
        <v>1596</v>
      </c>
      <c r="C2726" s="6" t="s">
        <v>447</v>
      </c>
      <c r="D2726" s="6" t="s">
        <v>989</v>
      </c>
      <c r="E2726" s="6"/>
      <c r="G2726" s="6">
        <v>90</v>
      </c>
      <c r="H2726" s="6">
        <v>200</v>
      </c>
      <c r="K2726" s="7">
        <v>44006897</v>
      </c>
      <c r="L2726" s="6" t="str">
        <f t="shared" si="273"/>
        <v>YT PARİS BAZA  90x200</v>
      </c>
      <c r="M2726" s="12">
        <v>0.1</v>
      </c>
      <c r="N2726" s="12">
        <v>0.1</v>
      </c>
      <c r="O2726" s="8">
        <v>6850</v>
      </c>
      <c r="P2726" s="8">
        <f t="shared" si="270"/>
        <v>6165</v>
      </c>
      <c r="Q2726" s="12">
        <f t="shared" si="271"/>
        <v>12946.5</v>
      </c>
      <c r="R2726" s="31">
        <f t="shared" si="272"/>
        <v>12900</v>
      </c>
    </row>
    <row r="2727" spans="1:18" ht="21.95" customHeight="1" x14ac:dyDescent="0.2">
      <c r="A2727" s="6" t="s">
        <v>943</v>
      </c>
      <c r="B2727" s="6" t="s">
        <v>1596</v>
      </c>
      <c r="C2727" s="6" t="s">
        <v>447</v>
      </c>
      <c r="D2727" s="6" t="s">
        <v>989</v>
      </c>
      <c r="E2727" s="6"/>
      <c r="G2727" s="6">
        <v>100</v>
      </c>
      <c r="H2727" s="6">
        <v>200</v>
      </c>
      <c r="K2727" s="7">
        <v>44006898</v>
      </c>
      <c r="L2727" s="6" t="str">
        <f t="shared" si="273"/>
        <v>YT PARİS BAZA  100x200</v>
      </c>
      <c r="M2727" s="12">
        <v>0.1</v>
      </c>
      <c r="N2727" s="12">
        <v>0.1</v>
      </c>
      <c r="O2727" s="8">
        <v>7390</v>
      </c>
      <c r="P2727" s="8">
        <f t="shared" si="270"/>
        <v>6651</v>
      </c>
      <c r="Q2727" s="12">
        <f t="shared" si="271"/>
        <v>13967.1</v>
      </c>
      <c r="R2727" s="31">
        <f t="shared" si="272"/>
        <v>13900</v>
      </c>
    </row>
    <row r="2728" spans="1:18" ht="21.95" customHeight="1" x14ac:dyDescent="0.2">
      <c r="A2728" s="6" t="s">
        <v>943</v>
      </c>
      <c r="B2728" s="6" t="s">
        <v>1596</v>
      </c>
      <c r="C2728" s="6" t="s">
        <v>447</v>
      </c>
      <c r="D2728" s="6" t="s">
        <v>989</v>
      </c>
      <c r="E2728" s="6"/>
      <c r="G2728" s="6">
        <v>120</v>
      </c>
      <c r="H2728" s="6">
        <v>200</v>
      </c>
      <c r="K2728" s="7">
        <v>44006899</v>
      </c>
      <c r="L2728" s="6" t="str">
        <f t="shared" si="273"/>
        <v>YT PARİS BAZA  120x200</v>
      </c>
      <c r="M2728" s="12">
        <v>0.1</v>
      </c>
      <c r="N2728" s="12">
        <v>0.1</v>
      </c>
      <c r="O2728" s="8">
        <v>8200</v>
      </c>
      <c r="P2728" s="8">
        <f t="shared" si="270"/>
        <v>7380</v>
      </c>
      <c r="Q2728" s="12">
        <f t="shared" si="271"/>
        <v>15498</v>
      </c>
      <c r="R2728" s="31">
        <f t="shared" si="272"/>
        <v>15400</v>
      </c>
    </row>
    <row r="2729" spans="1:18" ht="21.95" customHeight="1" x14ac:dyDescent="0.2">
      <c r="A2729" s="6" t="s">
        <v>943</v>
      </c>
      <c r="B2729" s="6" t="s">
        <v>1596</v>
      </c>
      <c r="C2729" s="6" t="s">
        <v>447</v>
      </c>
      <c r="D2729" s="6" t="s">
        <v>1003</v>
      </c>
      <c r="E2729" s="6"/>
      <c r="G2729" s="6">
        <v>90</v>
      </c>
      <c r="H2729" s="6">
        <v>190</v>
      </c>
      <c r="K2729" s="7">
        <v>44006900</v>
      </c>
      <c r="L2729" s="6" t="str">
        <f t="shared" si="273"/>
        <v>YT PARİS BAŞLIK  90x190</v>
      </c>
      <c r="M2729" s="12">
        <v>0.1</v>
      </c>
      <c r="N2729" s="12">
        <v>0.1</v>
      </c>
      <c r="O2729" s="8">
        <v>5380</v>
      </c>
      <c r="P2729" s="8">
        <f t="shared" si="270"/>
        <v>4842</v>
      </c>
      <c r="Q2729" s="12">
        <f t="shared" si="271"/>
        <v>10168.200000000001</v>
      </c>
      <c r="R2729" s="31">
        <f t="shared" si="272"/>
        <v>10100</v>
      </c>
    </row>
    <row r="2730" spans="1:18" ht="21.95" customHeight="1" x14ac:dyDescent="0.2">
      <c r="A2730" s="6" t="s">
        <v>943</v>
      </c>
      <c r="B2730" s="6" t="s">
        <v>1596</v>
      </c>
      <c r="C2730" s="6" t="s">
        <v>447</v>
      </c>
      <c r="D2730" s="6" t="s">
        <v>1003</v>
      </c>
      <c r="E2730" s="6"/>
      <c r="G2730" s="6">
        <v>90</v>
      </c>
      <c r="H2730" s="6">
        <v>200</v>
      </c>
      <c r="K2730" s="7">
        <v>44006901</v>
      </c>
      <c r="L2730" s="6" t="str">
        <f t="shared" si="273"/>
        <v>YT PARİS BAŞLIK  90x200</v>
      </c>
      <c r="M2730" s="12">
        <v>0.1</v>
      </c>
      <c r="N2730" s="12">
        <v>0.1</v>
      </c>
      <c r="O2730" s="8">
        <v>5380</v>
      </c>
      <c r="P2730" s="8">
        <f t="shared" si="270"/>
        <v>4842</v>
      </c>
      <c r="Q2730" s="12">
        <f t="shared" si="271"/>
        <v>10168.200000000001</v>
      </c>
      <c r="R2730" s="31">
        <f t="shared" si="272"/>
        <v>10100</v>
      </c>
    </row>
    <row r="2731" spans="1:18" ht="21.95" customHeight="1" x14ac:dyDescent="0.2">
      <c r="A2731" s="6" t="s">
        <v>943</v>
      </c>
      <c r="B2731" s="6" t="s">
        <v>1596</v>
      </c>
      <c r="C2731" s="6" t="s">
        <v>447</v>
      </c>
      <c r="D2731" s="6" t="s">
        <v>1003</v>
      </c>
      <c r="E2731" s="6"/>
      <c r="G2731" s="6">
        <v>100</v>
      </c>
      <c r="H2731" s="6">
        <v>200</v>
      </c>
      <c r="K2731" s="7">
        <v>44006902</v>
      </c>
      <c r="L2731" s="6" t="str">
        <f t="shared" si="273"/>
        <v>YT PARİS BAŞLIK  100x200</v>
      </c>
      <c r="M2731" s="12">
        <v>0.1</v>
      </c>
      <c r="N2731" s="12">
        <v>0.1</v>
      </c>
      <c r="O2731" s="8">
        <v>5640</v>
      </c>
      <c r="P2731" s="8">
        <f t="shared" si="270"/>
        <v>5076</v>
      </c>
      <c r="Q2731" s="12">
        <f t="shared" si="271"/>
        <v>10659.6</v>
      </c>
      <c r="R2731" s="31">
        <f t="shared" si="272"/>
        <v>10600</v>
      </c>
    </row>
    <row r="2732" spans="1:18" ht="21.95" customHeight="1" x14ac:dyDescent="0.2">
      <c r="A2732" s="6" t="s">
        <v>943</v>
      </c>
      <c r="B2732" s="6" t="s">
        <v>1596</v>
      </c>
      <c r="C2732" s="6" t="s">
        <v>447</v>
      </c>
      <c r="D2732" s="6" t="s">
        <v>1003</v>
      </c>
      <c r="E2732" s="6"/>
      <c r="G2732" s="6">
        <v>120</v>
      </c>
      <c r="H2732" s="6">
        <v>200</v>
      </c>
      <c r="K2732" s="7">
        <v>44006903</v>
      </c>
      <c r="L2732" s="6" t="str">
        <f t="shared" si="273"/>
        <v>YT PARİS BAŞLIK  120x200</v>
      </c>
      <c r="M2732" s="12">
        <v>0.1</v>
      </c>
      <c r="N2732" s="12">
        <v>0.1</v>
      </c>
      <c r="O2732" s="8">
        <v>6070</v>
      </c>
      <c r="P2732" s="8">
        <f t="shared" si="270"/>
        <v>5463</v>
      </c>
      <c r="Q2732" s="12">
        <f t="shared" si="271"/>
        <v>11472.300000000001</v>
      </c>
      <c r="R2732" s="31">
        <f t="shared" si="272"/>
        <v>11400</v>
      </c>
    </row>
    <row r="2733" spans="1:18" ht="21.95" customHeight="1" x14ac:dyDescent="0.2">
      <c r="A2733" s="6" t="s">
        <v>943</v>
      </c>
      <c r="B2733" s="6" t="s">
        <v>1596</v>
      </c>
      <c r="C2733" s="6" t="s">
        <v>1043</v>
      </c>
      <c r="D2733" s="6" t="s">
        <v>959</v>
      </c>
      <c r="E2733" s="6"/>
      <c r="G2733" s="6">
        <v>48</v>
      </c>
      <c r="H2733" s="6">
        <v>51</v>
      </c>
      <c r="I2733" s="7">
        <v>51</v>
      </c>
      <c r="K2733" s="7">
        <v>44006904</v>
      </c>
      <c r="L2733" s="6" t="str">
        <f t="shared" si="273"/>
        <v>YT PARİS  KOMİDİN  48x51</v>
      </c>
      <c r="M2733" s="12">
        <v>0.1</v>
      </c>
      <c r="N2733" s="12">
        <v>0.1</v>
      </c>
      <c r="O2733" s="8">
        <v>4610</v>
      </c>
      <c r="P2733" s="8">
        <f t="shared" si="270"/>
        <v>4149</v>
      </c>
      <c r="Q2733" s="12">
        <f t="shared" si="271"/>
        <v>8712.9</v>
      </c>
      <c r="R2733" s="31">
        <f t="shared" si="272"/>
        <v>8700</v>
      </c>
    </row>
    <row r="2734" spans="1:18" ht="21.95" customHeight="1" x14ac:dyDescent="0.2">
      <c r="A2734" s="6" t="s">
        <v>943</v>
      </c>
      <c r="B2734" s="6" t="s">
        <v>1596</v>
      </c>
      <c r="C2734" s="6" t="s">
        <v>1044</v>
      </c>
      <c r="D2734" s="6" t="s">
        <v>989</v>
      </c>
      <c r="E2734" s="6"/>
      <c r="G2734" s="6">
        <v>90</v>
      </c>
      <c r="H2734" s="6">
        <v>190</v>
      </c>
      <c r="K2734" s="7">
        <v>44006905</v>
      </c>
      <c r="L2734" s="6" t="str">
        <f t="shared" si="273"/>
        <v>YT ALBELLA BAZA  90x190</v>
      </c>
      <c r="M2734" s="12">
        <v>0.1</v>
      </c>
      <c r="N2734" s="12">
        <v>0.1</v>
      </c>
      <c r="O2734" s="8">
        <v>5210</v>
      </c>
      <c r="P2734" s="8">
        <f t="shared" si="270"/>
        <v>4689</v>
      </c>
      <c r="Q2734" s="12">
        <f t="shared" si="271"/>
        <v>9846.9</v>
      </c>
      <c r="R2734" s="31">
        <f t="shared" si="272"/>
        <v>9800</v>
      </c>
    </row>
    <row r="2735" spans="1:18" ht="21.95" customHeight="1" x14ac:dyDescent="0.2">
      <c r="A2735" s="6" t="s">
        <v>943</v>
      </c>
      <c r="B2735" s="6" t="s">
        <v>1596</v>
      </c>
      <c r="C2735" s="6" t="s">
        <v>1044</v>
      </c>
      <c r="D2735" s="6" t="s">
        <v>989</v>
      </c>
      <c r="E2735" s="6"/>
      <c r="G2735" s="6">
        <v>90</v>
      </c>
      <c r="H2735" s="6">
        <v>200</v>
      </c>
      <c r="K2735" s="7">
        <v>44006906</v>
      </c>
      <c r="L2735" s="6" t="str">
        <f t="shared" si="273"/>
        <v>YT ALBELLA BAZA  90x200</v>
      </c>
      <c r="M2735" s="12">
        <v>0.1</v>
      </c>
      <c r="N2735" s="12">
        <v>0.1</v>
      </c>
      <c r="O2735" s="8">
        <v>5500</v>
      </c>
      <c r="P2735" s="8">
        <f t="shared" si="270"/>
        <v>4950</v>
      </c>
      <c r="Q2735" s="12">
        <f t="shared" si="271"/>
        <v>10395</v>
      </c>
      <c r="R2735" s="31">
        <f t="shared" si="272"/>
        <v>10300</v>
      </c>
    </row>
    <row r="2736" spans="1:18" ht="21.95" customHeight="1" x14ac:dyDescent="0.2">
      <c r="A2736" s="6" t="s">
        <v>943</v>
      </c>
      <c r="B2736" s="6" t="s">
        <v>1596</v>
      </c>
      <c r="C2736" s="6" t="s">
        <v>1044</v>
      </c>
      <c r="D2736" s="6" t="s">
        <v>989</v>
      </c>
      <c r="E2736" s="6"/>
      <c r="G2736" s="6">
        <v>100</v>
      </c>
      <c r="H2736" s="6">
        <v>200</v>
      </c>
      <c r="K2736" s="7">
        <v>44006907</v>
      </c>
      <c r="L2736" s="6" t="str">
        <f t="shared" si="273"/>
        <v>YT ALBELLA BAZA  100x200</v>
      </c>
      <c r="M2736" s="12">
        <v>0.1</v>
      </c>
      <c r="N2736" s="12">
        <v>0.1</v>
      </c>
      <c r="O2736" s="8">
        <v>5910</v>
      </c>
      <c r="P2736" s="8">
        <f t="shared" si="270"/>
        <v>5319</v>
      </c>
      <c r="Q2736" s="12">
        <f t="shared" si="271"/>
        <v>11169.9</v>
      </c>
      <c r="R2736" s="31">
        <f t="shared" si="272"/>
        <v>11100</v>
      </c>
    </row>
    <row r="2737" spans="1:18" ht="21.95" customHeight="1" x14ac:dyDescent="0.2">
      <c r="A2737" s="6" t="s">
        <v>943</v>
      </c>
      <c r="B2737" s="6" t="s">
        <v>1596</v>
      </c>
      <c r="C2737" s="6" t="s">
        <v>1044</v>
      </c>
      <c r="D2737" s="6" t="s">
        <v>989</v>
      </c>
      <c r="E2737" s="6"/>
      <c r="G2737" s="6">
        <v>120</v>
      </c>
      <c r="H2737" s="6">
        <v>200</v>
      </c>
      <c r="K2737" s="7">
        <v>44006908</v>
      </c>
      <c r="L2737" s="6" t="str">
        <f t="shared" si="273"/>
        <v>YT ALBELLA BAZA  120x200</v>
      </c>
      <c r="M2737" s="12">
        <v>0.1</v>
      </c>
      <c r="N2737" s="12">
        <v>0.1</v>
      </c>
      <c r="O2737" s="8">
        <v>6570</v>
      </c>
      <c r="P2737" s="8">
        <f t="shared" si="270"/>
        <v>5913</v>
      </c>
      <c r="Q2737" s="12">
        <f t="shared" si="271"/>
        <v>12417.300000000001</v>
      </c>
      <c r="R2737" s="31">
        <f t="shared" si="272"/>
        <v>12400</v>
      </c>
    </row>
    <row r="2738" spans="1:18" ht="21.95" customHeight="1" x14ac:dyDescent="0.2">
      <c r="A2738" s="6" t="s">
        <v>943</v>
      </c>
      <c r="B2738" s="6" t="s">
        <v>1596</v>
      </c>
      <c r="C2738" s="6" t="s">
        <v>1044</v>
      </c>
      <c r="D2738" s="6" t="s">
        <v>1003</v>
      </c>
      <c r="E2738" s="6"/>
      <c r="G2738" s="6">
        <v>90</v>
      </c>
      <c r="H2738" s="6">
        <v>190</v>
      </c>
      <c r="K2738" s="7">
        <v>44006909</v>
      </c>
      <c r="L2738" s="6" t="str">
        <f t="shared" si="273"/>
        <v>YT ALBELLA BAŞLIK  90x190</v>
      </c>
      <c r="M2738" s="12">
        <v>0.1</v>
      </c>
      <c r="N2738" s="12">
        <v>0.1</v>
      </c>
      <c r="O2738" s="8">
        <v>3190</v>
      </c>
      <c r="P2738" s="8">
        <f t="shared" si="270"/>
        <v>2871</v>
      </c>
      <c r="Q2738" s="12">
        <f t="shared" si="271"/>
        <v>6029.1</v>
      </c>
      <c r="R2738" s="31">
        <f t="shared" si="272"/>
        <v>6000</v>
      </c>
    </row>
    <row r="2739" spans="1:18" ht="21.95" customHeight="1" x14ac:dyDescent="0.2">
      <c r="A2739" s="6" t="s">
        <v>943</v>
      </c>
      <c r="B2739" s="6" t="s">
        <v>1596</v>
      </c>
      <c r="C2739" s="6" t="s">
        <v>1044</v>
      </c>
      <c r="D2739" s="6" t="s">
        <v>1003</v>
      </c>
      <c r="E2739" s="6"/>
      <c r="G2739" s="6">
        <v>90</v>
      </c>
      <c r="H2739" s="6">
        <v>200</v>
      </c>
      <c r="K2739" s="7">
        <v>44006910</v>
      </c>
      <c r="L2739" s="6" t="str">
        <f t="shared" si="273"/>
        <v>YT ALBELLA BAŞLIK  90x200</v>
      </c>
      <c r="M2739" s="12">
        <v>0.1</v>
      </c>
      <c r="N2739" s="12">
        <v>0.1</v>
      </c>
      <c r="O2739" s="8">
        <v>3190</v>
      </c>
      <c r="P2739" s="8">
        <f t="shared" si="270"/>
        <v>2871</v>
      </c>
      <c r="Q2739" s="12">
        <f t="shared" si="271"/>
        <v>6029.1</v>
      </c>
      <c r="R2739" s="31">
        <f t="shared" si="272"/>
        <v>6000</v>
      </c>
    </row>
    <row r="2740" spans="1:18" ht="21.95" customHeight="1" x14ac:dyDescent="0.2">
      <c r="A2740" s="6" t="s">
        <v>943</v>
      </c>
      <c r="B2740" s="6" t="s">
        <v>1596</v>
      </c>
      <c r="C2740" s="6" t="s">
        <v>1044</v>
      </c>
      <c r="D2740" s="6" t="s">
        <v>1003</v>
      </c>
      <c r="E2740" s="6"/>
      <c r="G2740" s="6">
        <v>100</v>
      </c>
      <c r="H2740" s="6">
        <v>200</v>
      </c>
      <c r="K2740" s="7">
        <v>44006911</v>
      </c>
      <c r="L2740" s="6" t="str">
        <f t="shared" si="273"/>
        <v>YT ALBELLA BAŞLIK  100x200</v>
      </c>
      <c r="M2740" s="12">
        <v>0.1</v>
      </c>
      <c r="N2740" s="12">
        <v>0.1</v>
      </c>
      <c r="O2740" s="8">
        <v>3400</v>
      </c>
      <c r="P2740" s="8">
        <f t="shared" si="270"/>
        <v>3060</v>
      </c>
      <c r="Q2740" s="12">
        <f t="shared" si="271"/>
        <v>6426</v>
      </c>
      <c r="R2740" s="31">
        <f t="shared" si="272"/>
        <v>6400</v>
      </c>
    </row>
    <row r="2741" spans="1:18" ht="21.95" customHeight="1" x14ac:dyDescent="0.2">
      <c r="A2741" s="6" t="s">
        <v>943</v>
      </c>
      <c r="B2741" s="6" t="s">
        <v>1596</v>
      </c>
      <c r="C2741" s="6" t="s">
        <v>1044</v>
      </c>
      <c r="D2741" s="6" t="s">
        <v>1003</v>
      </c>
      <c r="E2741" s="6"/>
      <c r="G2741" s="6">
        <v>120</v>
      </c>
      <c r="H2741" s="6">
        <v>200</v>
      </c>
      <c r="K2741" s="7">
        <v>44006912</v>
      </c>
      <c r="L2741" s="6" t="str">
        <f t="shared" si="273"/>
        <v>YT ALBELLA BAŞLIK  120x200</v>
      </c>
      <c r="M2741" s="12">
        <v>0.1</v>
      </c>
      <c r="N2741" s="12">
        <v>0.1</v>
      </c>
      <c r="O2741" s="8">
        <v>3630</v>
      </c>
      <c r="P2741" s="8">
        <f t="shared" si="270"/>
        <v>3267</v>
      </c>
      <c r="Q2741" s="12">
        <f t="shared" si="271"/>
        <v>6860.7000000000007</v>
      </c>
      <c r="R2741" s="31">
        <f t="shared" si="272"/>
        <v>6800</v>
      </c>
    </row>
    <row r="2742" spans="1:18" ht="21.95" customHeight="1" x14ac:dyDescent="0.2">
      <c r="A2742" s="6" t="s">
        <v>943</v>
      </c>
      <c r="B2742" s="6" t="s">
        <v>1596</v>
      </c>
      <c r="C2742" s="6" t="s">
        <v>1045</v>
      </c>
      <c r="D2742" s="6" t="s">
        <v>96</v>
      </c>
      <c r="E2742" s="6"/>
      <c r="K2742" s="7">
        <v>44006913</v>
      </c>
      <c r="L2742" s="6" t="str">
        <f>B2742&amp;" "&amp;C2742&amp;" "&amp;D2742&amp;" "</f>
        <v xml:space="preserve">YT ALBELLA  ŞİFONYER  </v>
      </c>
      <c r="M2742" s="12">
        <v>0.1</v>
      </c>
      <c r="N2742" s="12">
        <v>0.1</v>
      </c>
      <c r="O2742" s="8">
        <v>7130</v>
      </c>
      <c r="P2742" s="8">
        <f t="shared" si="270"/>
        <v>6417</v>
      </c>
      <c r="Q2742" s="12">
        <f t="shared" si="271"/>
        <v>13475.7</v>
      </c>
      <c r="R2742" s="31">
        <f t="shared" si="272"/>
        <v>13400</v>
      </c>
    </row>
    <row r="2743" spans="1:18" ht="21.95" customHeight="1" x14ac:dyDescent="0.2">
      <c r="A2743" s="6" t="s">
        <v>943</v>
      </c>
      <c r="B2743" s="6" t="s">
        <v>1596</v>
      </c>
      <c r="C2743" s="6" t="s">
        <v>1045</v>
      </c>
      <c r="D2743" s="6" t="s">
        <v>951</v>
      </c>
      <c r="E2743" s="6"/>
      <c r="K2743" s="7">
        <v>44006914</v>
      </c>
      <c r="L2743" s="6" t="str">
        <f>B2743&amp;" "&amp;C2743&amp;" "&amp;D2743&amp;" "</f>
        <v xml:space="preserve">YT ALBELLA  MARKİZ </v>
      </c>
      <c r="M2743" s="12">
        <v>0.1</v>
      </c>
      <c r="N2743" s="12">
        <v>0.1</v>
      </c>
      <c r="O2743" s="8">
        <v>3800</v>
      </c>
      <c r="P2743" s="8">
        <f t="shared" si="270"/>
        <v>3420</v>
      </c>
      <c r="Q2743" s="12">
        <f t="shared" si="271"/>
        <v>7182</v>
      </c>
      <c r="R2743" s="31">
        <f t="shared" si="272"/>
        <v>7100</v>
      </c>
    </row>
    <row r="2744" spans="1:18" ht="21.95" customHeight="1" x14ac:dyDescent="0.2">
      <c r="A2744" s="6" t="s">
        <v>943</v>
      </c>
      <c r="B2744" s="6" t="s">
        <v>1596</v>
      </c>
      <c r="C2744" s="6" t="s">
        <v>964</v>
      </c>
      <c r="D2744" s="6" t="s">
        <v>989</v>
      </c>
      <c r="E2744" s="6"/>
      <c r="G2744" s="6">
        <v>90</v>
      </c>
      <c r="H2744" s="6">
        <v>190</v>
      </c>
      <c r="K2744" s="7">
        <v>44006915</v>
      </c>
      <c r="L2744" s="6" t="str">
        <f t="shared" ref="L2744:L2760" si="274">B2744&amp;" "&amp;C2744&amp;" "&amp;D2744&amp;" "&amp;G2744&amp;"x"&amp;H2744</f>
        <v>YT DORMEO  BAZA  90x190</v>
      </c>
      <c r="M2744" s="12">
        <v>0.1</v>
      </c>
      <c r="N2744" s="12">
        <v>0.1</v>
      </c>
      <c r="O2744" s="8">
        <v>6490</v>
      </c>
      <c r="P2744" s="8">
        <f t="shared" si="270"/>
        <v>5841</v>
      </c>
      <c r="Q2744" s="12">
        <f t="shared" si="271"/>
        <v>12266.1</v>
      </c>
      <c r="R2744" s="31">
        <f t="shared" si="272"/>
        <v>12200</v>
      </c>
    </row>
    <row r="2745" spans="1:18" ht="21.95" customHeight="1" x14ac:dyDescent="0.2">
      <c r="A2745" s="6" t="s">
        <v>943</v>
      </c>
      <c r="B2745" s="6" t="s">
        <v>1596</v>
      </c>
      <c r="C2745" s="6" t="s">
        <v>964</v>
      </c>
      <c r="D2745" s="6" t="s">
        <v>989</v>
      </c>
      <c r="E2745" s="6"/>
      <c r="G2745" s="6">
        <v>90</v>
      </c>
      <c r="H2745" s="6">
        <v>200</v>
      </c>
      <c r="K2745" s="7">
        <v>44006916</v>
      </c>
      <c r="L2745" s="6" t="str">
        <f t="shared" si="274"/>
        <v>YT DORMEO  BAZA  90x200</v>
      </c>
      <c r="M2745" s="12">
        <v>0.1</v>
      </c>
      <c r="N2745" s="12">
        <v>0.1</v>
      </c>
      <c r="O2745" s="8">
        <v>6850</v>
      </c>
      <c r="P2745" s="8">
        <f t="shared" si="270"/>
        <v>6165</v>
      </c>
      <c r="Q2745" s="12">
        <f t="shared" si="271"/>
        <v>12946.5</v>
      </c>
      <c r="R2745" s="31">
        <f t="shared" si="272"/>
        <v>12900</v>
      </c>
    </row>
    <row r="2746" spans="1:18" ht="21.95" customHeight="1" x14ac:dyDescent="0.2">
      <c r="A2746" s="6" t="s">
        <v>943</v>
      </c>
      <c r="B2746" s="6" t="s">
        <v>1596</v>
      </c>
      <c r="C2746" s="6" t="s">
        <v>964</v>
      </c>
      <c r="D2746" s="6" t="s">
        <v>989</v>
      </c>
      <c r="E2746" s="6"/>
      <c r="G2746" s="6">
        <v>100</v>
      </c>
      <c r="H2746" s="6">
        <v>200</v>
      </c>
      <c r="K2746" s="7">
        <v>44006917</v>
      </c>
      <c r="L2746" s="6" t="str">
        <f t="shared" si="274"/>
        <v>YT DORMEO  BAZA  100x200</v>
      </c>
      <c r="M2746" s="12">
        <v>0.1</v>
      </c>
      <c r="N2746" s="12">
        <v>0.1</v>
      </c>
      <c r="O2746" s="8">
        <v>7390</v>
      </c>
      <c r="P2746" s="8">
        <f t="shared" si="270"/>
        <v>6651</v>
      </c>
      <c r="Q2746" s="12">
        <f t="shared" si="271"/>
        <v>13967.1</v>
      </c>
      <c r="R2746" s="31">
        <f t="shared" si="272"/>
        <v>13900</v>
      </c>
    </row>
    <row r="2747" spans="1:18" ht="21.95" customHeight="1" x14ac:dyDescent="0.2">
      <c r="A2747" s="6" t="s">
        <v>943</v>
      </c>
      <c r="B2747" s="6" t="s">
        <v>1596</v>
      </c>
      <c r="C2747" s="6" t="s">
        <v>964</v>
      </c>
      <c r="D2747" s="6" t="s">
        <v>989</v>
      </c>
      <c r="E2747" s="6"/>
      <c r="G2747" s="6">
        <v>120</v>
      </c>
      <c r="H2747" s="6">
        <v>200</v>
      </c>
      <c r="K2747" s="7">
        <v>44006918</v>
      </c>
      <c r="L2747" s="6" t="str">
        <f t="shared" si="274"/>
        <v>YT DORMEO  BAZA  120x200</v>
      </c>
      <c r="M2747" s="12">
        <v>0.1</v>
      </c>
      <c r="N2747" s="12">
        <v>0.1</v>
      </c>
      <c r="O2747" s="8">
        <v>8200</v>
      </c>
      <c r="P2747" s="8">
        <f t="shared" si="270"/>
        <v>7380</v>
      </c>
      <c r="Q2747" s="12">
        <f t="shared" si="271"/>
        <v>15498</v>
      </c>
      <c r="R2747" s="31">
        <f t="shared" si="272"/>
        <v>15400</v>
      </c>
    </row>
    <row r="2748" spans="1:18" ht="21.95" customHeight="1" x14ac:dyDescent="0.2">
      <c r="A2748" s="6" t="s">
        <v>943</v>
      </c>
      <c r="B2748" s="6" t="s">
        <v>1596</v>
      </c>
      <c r="C2748" s="6" t="s">
        <v>1046</v>
      </c>
      <c r="D2748" s="6" t="s">
        <v>1003</v>
      </c>
      <c r="E2748" s="6"/>
      <c r="G2748" s="6">
        <v>90</v>
      </c>
      <c r="H2748" s="6">
        <v>190</v>
      </c>
      <c r="K2748" s="7">
        <v>44006919</v>
      </c>
      <c r="L2748" s="6" t="str">
        <f t="shared" si="274"/>
        <v>YT LOVE  BAŞLIK  90x190</v>
      </c>
      <c r="M2748" s="12">
        <v>0.1</v>
      </c>
      <c r="N2748" s="12">
        <v>0.1</v>
      </c>
      <c r="O2748" s="8">
        <v>5060</v>
      </c>
      <c r="P2748" s="8">
        <f t="shared" si="270"/>
        <v>4554</v>
      </c>
      <c r="Q2748" s="12">
        <f t="shared" si="271"/>
        <v>9563.4</v>
      </c>
      <c r="R2748" s="31">
        <f t="shared" si="272"/>
        <v>9500</v>
      </c>
    </row>
    <row r="2749" spans="1:18" ht="21.95" customHeight="1" x14ac:dyDescent="0.2">
      <c r="A2749" s="6" t="s">
        <v>943</v>
      </c>
      <c r="B2749" s="6" t="s">
        <v>1596</v>
      </c>
      <c r="C2749" s="6" t="s">
        <v>1046</v>
      </c>
      <c r="D2749" s="6" t="s">
        <v>1003</v>
      </c>
      <c r="E2749" s="6"/>
      <c r="G2749" s="6">
        <v>90</v>
      </c>
      <c r="H2749" s="6">
        <v>200</v>
      </c>
      <c r="K2749" s="7">
        <v>44006920</v>
      </c>
      <c r="L2749" s="6" t="str">
        <f t="shared" si="274"/>
        <v>YT LOVE  BAŞLIK  90x200</v>
      </c>
      <c r="M2749" s="12">
        <v>0.1</v>
      </c>
      <c r="N2749" s="12">
        <v>0.1</v>
      </c>
      <c r="O2749" s="8">
        <v>5060</v>
      </c>
      <c r="P2749" s="8">
        <f t="shared" si="270"/>
        <v>4554</v>
      </c>
      <c r="Q2749" s="12">
        <f t="shared" si="271"/>
        <v>9563.4</v>
      </c>
      <c r="R2749" s="31">
        <f t="shared" si="272"/>
        <v>9500</v>
      </c>
    </row>
    <row r="2750" spans="1:18" ht="21.95" customHeight="1" x14ac:dyDescent="0.2">
      <c r="A2750" s="6" t="s">
        <v>943</v>
      </c>
      <c r="B2750" s="6" t="s">
        <v>1596</v>
      </c>
      <c r="C2750" s="6" t="s">
        <v>1046</v>
      </c>
      <c r="D2750" s="6" t="s">
        <v>1003</v>
      </c>
      <c r="E2750" s="6"/>
      <c r="G2750" s="6">
        <v>100</v>
      </c>
      <c r="H2750" s="6">
        <v>200</v>
      </c>
      <c r="K2750" s="7">
        <v>44006921</v>
      </c>
      <c r="L2750" s="6" t="str">
        <f t="shared" si="274"/>
        <v>YT LOVE  BAŞLIK  100x200</v>
      </c>
      <c r="M2750" s="12">
        <v>0.1</v>
      </c>
      <c r="N2750" s="12">
        <v>0.1</v>
      </c>
      <c r="O2750" s="8">
        <v>5060</v>
      </c>
      <c r="P2750" s="8">
        <f t="shared" si="270"/>
        <v>4554</v>
      </c>
      <c r="Q2750" s="12">
        <f t="shared" si="271"/>
        <v>9563.4</v>
      </c>
      <c r="R2750" s="31">
        <f t="shared" si="272"/>
        <v>9500</v>
      </c>
    </row>
    <row r="2751" spans="1:18" ht="21.95" customHeight="1" x14ac:dyDescent="0.2">
      <c r="A2751" s="6" t="s">
        <v>943</v>
      </c>
      <c r="B2751" s="6" t="s">
        <v>1596</v>
      </c>
      <c r="C2751" s="6" t="s">
        <v>1046</v>
      </c>
      <c r="D2751" s="6" t="s">
        <v>1003</v>
      </c>
      <c r="E2751" s="6"/>
      <c r="G2751" s="6">
        <v>120</v>
      </c>
      <c r="H2751" s="6">
        <v>200</v>
      </c>
      <c r="K2751" s="7">
        <v>44006922</v>
      </c>
      <c r="L2751" s="6" t="str">
        <f t="shared" si="274"/>
        <v>YT LOVE  BAŞLIK  120x200</v>
      </c>
      <c r="M2751" s="12">
        <v>0.1</v>
      </c>
      <c r="N2751" s="12">
        <v>0.1</v>
      </c>
      <c r="O2751" s="8">
        <v>5710</v>
      </c>
      <c r="P2751" s="8">
        <f t="shared" si="270"/>
        <v>5139</v>
      </c>
      <c r="Q2751" s="12">
        <f t="shared" si="271"/>
        <v>10791.9</v>
      </c>
      <c r="R2751" s="31">
        <f t="shared" si="272"/>
        <v>10700</v>
      </c>
    </row>
    <row r="2752" spans="1:18" ht="21.95" customHeight="1" x14ac:dyDescent="0.2">
      <c r="A2752" s="6" t="s">
        <v>943</v>
      </c>
      <c r="B2752" s="6" t="s">
        <v>1596</v>
      </c>
      <c r="C2752" s="6" t="s">
        <v>1047</v>
      </c>
      <c r="D2752" s="6" t="s">
        <v>951</v>
      </c>
      <c r="E2752" s="6"/>
      <c r="G2752" s="6">
        <v>100</v>
      </c>
      <c r="H2752" s="6">
        <v>100</v>
      </c>
      <c r="I2752" s="7">
        <v>30</v>
      </c>
      <c r="K2752" s="7">
        <v>44006923</v>
      </c>
      <c r="L2752" s="6" t="str">
        <f t="shared" si="274"/>
        <v>YT KİDS  MARKİZ 100x100</v>
      </c>
      <c r="M2752" s="12">
        <v>0.1</v>
      </c>
      <c r="N2752" s="12">
        <v>0.1</v>
      </c>
      <c r="O2752" s="8">
        <v>6130</v>
      </c>
      <c r="P2752" s="8">
        <f t="shared" si="270"/>
        <v>5517</v>
      </c>
      <c r="Q2752" s="12">
        <f t="shared" si="271"/>
        <v>11585.7</v>
      </c>
      <c r="R2752" s="31">
        <f t="shared" si="272"/>
        <v>11500</v>
      </c>
    </row>
    <row r="2753" spans="1:18" ht="21.95" customHeight="1" x14ac:dyDescent="0.2">
      <c r="A2753" s="6" t="s">
        <v>943</v>
      </c>
      <c r="B2753" s="6" t="s">
        <v>1596</v>
      </c>
      <c r="C2753" s="6" t="s">
        <v>1048</v>
      </c>
      <c r="D2753" s="6" t="s">
        <v>989</v>
      </c>
      <c r="E2753" s="6"/>
      <c r="G2753" s="6">
        <v>90</v>
      </c>
      <c r="H2753" s="6">
        <v>190</v>
      </c>
      <c r="K2753" s="7">
        <v>44006924</v>
      </c>
      <c r="L2753" s="6" t="str">
        <f t="shared" si="274"/>
        <v>YT LOFT  BAZA  90x190</v>
      </c>
      <c r="M2753" s="12">
        <v>0.1</v>
      </c>
      <c r="N2753" s="12">
        <v>0.1</v>
      </c>
      <c r="O2753" s="8">
        <v>5980</v>
      </c>
      <c r="P2753" s="8">
        <f t="shared" si="270"/>
        <v>5382</v>
      </c>
      <c r="Q2753" s="12">
        <f t="shared" si="271"/>
        <v>11302.2</v>
      </c>
      <c r="R2753" s="31">
        <f t="shared" si="272"/>
        <v>11300</v>
      </c>
    </row>
    <row r="2754" spans="1:18" ht="21.95" customHeight="1" x14ac:dyDescent="0.2">
      <c r="A2754" s="6" t="s">
        <v>943</v>
      </c>
      <c r="B2754" s="6" t="s">
        <v>1596</v>
      </c>
      <c r="C2754" s="6" t="s">
        <v>1048</v>
      </c>
      <c r="D2754" s="6" t="s">
        <v>989</v>
      </c>
      <c r="E2754" s="6"/>
      <c r="G2754" s="6">
        <v>90</v>
      </c>
      <c r="H2754" s="6">
        <v>200</v>
      </c>
      <c r="K2754" s="7">
        <v>44006925</v>
      </c>
      <c r="L2754" s="6" t="str">
        <f t="shared" si="274"/>
        <v>YT LOFT  BAZA  90x200</v>
      </c>
      <c r="M2754" s="12">
        <v>0.1</v>
      </c>
      <c r="N2754" s="12">
        <v>0.1</v>
      </c>
      <c r="O2754" s="8">
        <v>6310</v>
      </c>
      <c r="P2754" s="8">
        <f t="shared" si="270"/>
        <v>5679</v>
      </c>
      <c r="Q2754" s="12">
        <f t="shared" si="271"/>
        <v>11925.9</v>
      </c>
      <c r="R2754" s="31">
        <f t="shared" si="272"/>
        <v>11900</v>
      </c>
    </row>
    <row r="2755" spans="1:18" ht="21.95" customHeight="1" x14ac:dyDescent="0.2">
      <c r="A2755" s="6" t="s">
        <v>943</v>
      </c>
      <c r="B2755" s="6" t="s">
        <v>1596</v>
      </c>
      <c r="C2755" s="6" t="s">
        <v>1048</v>
      </c>
      <c r="D2755" s="6" t="s">
        <v>989</v>
      </c>
      <c r="E2755" s="6"/>
      <c r="G2755" s="6">
        <v>100</v>
      </c>
      <c r="H2755" s="6">
        <v>200</v>
      </c>
      <c r="K2755" s="7">
        <v>44006926</v>
      </c>
      <c r="L2755" s="6" t="str">
        <f t="shared" si="274"/>
        <v>YT LOFT  BAZA  100x200</v>
      </c>
      <c r="M2755" s="12">
        <v>0.1</v>
      </c>
      <c r="N2755" s="12">
        <v>0.1</v>
      </c>
      <c r="O2755" s="8">
        <v>6790</v>
      </c>
      <c r="P2755" s="8">
        <f t="shared" si="270"/>
        <v>6111</v>
      </c>
      <c r="Q2755" s="12">
        <f t="shared" si="271"/>
        <v>12833.1</v>
      </c>
      <c r="R2755" s="31">
        <f t="shared" si="272"/>
        <v>12800</v>
      </c>
    </row>
    <row r="2756" spans="1:18" ht="21.95" customHeight="1" x14ac:dyDescent="0.2">
      <c r="A2756" s="6" t="s">
        <v>943</v>
      </c>
      <c r="B2756" s="6" t="s">
        <v>1596</v>
      </c>
      <c r="C2756" s="6" t="s">
        <v>1048</v>
      </c>
      <c r="D2756" s="6" t="s">
        <v>989</v>
      </c>
      <c r="E2756" s="6"/>
      <c r="G2756" s="6">
        <v>120</v>
      </c>
      <c r="H2756" s="6">
        <v>200</v>
      </c>
      <c r="K2756" s="7">
        <v>44006927</v>
      </c>
      <c r="L2756" s="6" t="str">
        <f t="shared" si="274"/>
        <v>YT LOFT  BAZA  120x200</v>
      </c>
      <c r="M2756" s="12">
        <v>0.1</v>
      </c>
      <c r="N2756" s="12">
        <v>0.1</v>
      </c>
      <c r="O2756" s="8">
        <v>7540</v>
      </c>
      <c r="P2756" s="8">
        <f t="shared" si="270"/>
        <v>6786</v>
      </c>
      <c r="Q2756" s="12">
        <f t="shared" si="271"/>
        <v>14250.6</v>
      </c>
      <c r="R2756" s="31">
        <f t="shared" si="272"/>
        <v>14200</v>
      </c>
    </row>
    <row r="2757" spans="1:18" ht="21.95" customHeight="1" x14ac:dyDescent="0.2">
      <c r="A2757" s="6" t="s">
        <v>943</v>
      </c>
      <c r="B2757" s="6" t="s">
        <v>1596</v>
      </c>
      <c r="C2757" s="6" t="s">
        <v>1048</v>
      </c>
      <c r="D2757" s="6" t="s">
        <v>1003</v>
      </c>
      <c r="E2757" s="6"/>
      <c r="G2757" s="6">
        <v>90</v>
      </c>
      <c r="H2757" s="6">
        <v>190</v>
      </c>
      <c r="K2757" s="7">
        <v>44006928</v>
      </c>
      <c r="L2757" s="6" t="str">
        <f t="shared" si="274"/>
        <v>YT LOFT  BAŞLIK  90x190</v>
      </c>
      <c r="M2757" s="12">
        <v>0.1</v>
      </c>
      <c r="N2757" s="12">
        <v>0.1</v>
      </c>
      <c r="O2757" s="8">
        <v>3500</v>
      </c>
      <c r="P2757" s="8">
        <f t="shared" si="270"/>
        <v>3150</v>
      </c>
      <c r="Q2757" s="12">
        <f t="shared" si="271"/>
        <v>6615</v>
      </c>
      <c r="R2757" s="31">
        <f t="shared" si="272"/>
        <v>6600</v>
      </c>
    </row>
    <row r="2758" spans="1:18" ht="21.95" customHeight="1" x14ac:dyDescent="0.2">
      <c r="A2758" s="6" t="s">
        <v>943</v>
      </c>
      <c r="B2758" s="6" t="s">
        <v>1596</v>
      </c>
      <c r="C2758" s="6" t="s">
        <v>1048</v>
      </c>
      <c r="D2758" s="6" t="s">
        <v>1003</v>
      </c>
      <c r="E2758" s="6"/>
      <c r="G2758" s="6">
        <v>90</v>
      </c>
      <c r="H2758" s="6">
        <v>200</v>
      </c>
      <c r="K2758" s="7">
        <v>44006929</v>
      </c>
      <c r="L2758" s="6" t="str">
        <f t="shared" si="274"/>
        <v>YT LOFT  BAŞLIK  90x200</v>
      </c>
      <c r="M2758" s="12">
        <v>0.1</v>
      </c>
      <c r="N2758" s="12">
        <v>0.1</v>
      </c>
      <c r="O2758" s="8">
        <v>3500</v>
      </c>
      <c r="P2758" s="8">
        <f t="shared" si="270"/>
        <v>3150</v>
      </c>
      <c r="Q2758" s="12">
        <f t="shared" si="271"/>
        <v>6615</v>
      </c>
      <c r="R2758" s="31">
        <f t="shared" si="272"/>
        <v>6600</v>
      </c>
    </row>
    <row r="2759" spans="1:18" ht="21.95" customHeight="1" x14ac:dyDescent="0.2">
      <c r="A2759" s="6" t="s">
        <v>943</v>
      </c>
      <c r="B2759" s="6" t="s">
        <v>1596</v>
      </c>
      <c r="C2759" s="6" t="s">
        <v>1048</v>
      </c>
      <c r="D2759" s="6" t="s">
        <v>1003</v>
      </c>
      <c r="E2759" s="6"/>
      <c r="G2759" s="6">
        <v>100</v>
      </c>
      <c r="H2759" s="6">
        <v>200</v>
      </c>
      <c r="K2759" s="7">
        <v>44006930</v>
      </c>
      <c r="L2759" s="6" t="str">
        <f t="shared" si="274"/>
        <v>YT LOFT  BAŞLIK  100x200</v>
      </c>
      <c r="M2759" s="12">
        <v>0.1</v>
      </c>
      <c r="N2759" s="12">
        <v>0.1</v>
      </c>
      <c r="O2759" s="8">
        <v>3750</v>
      </c>
      <c r="P2759" s="8">
        <f t="shared" si="270"/>
        <v>3375</v>
      </c>
      <c r="Q2759" s="12">
        <f t="shared" si="271"/>
        <v>7087.5</v>
      </c>
      <c r="R2759" s="31">
        <f t="shared" si="272"/>
        <v>7000</v>
      </c>
    </row>
    <row r="2760" spans="1:18" ht="21.95" customHeight="1" x14ac:dyDescent="0.2">
      <c r="A2760" s="6" t="s">
        <v>943</v>
      </c>
      <c r="B2760" s="6" t="s">
        <v>1596</v>
      </c>
      <c r="C2760" s="6" t="s">
        <v>1048</v>
      </c>
      <c r="D2760" s="6" t="s">
        <v>1003</v>
      </c>
      <c r="E2760" s="6"/>
      <c r="G2760" s="6">
        <v>120</v>
      </c>
      <c r="H2760" s="6">
        <v>200</v>
      </c>
      <c r="K2760" s="7">
        <v>44006931</v>
      </c>
      <c r="L2760" s="6" t="str">
        <f t="shared" si="274"/>
        <v>YT LOFT  BAŞLIK  120x200</v>
      </c>
      <c r="M2760" s="12">
        <v>0.1</v>
      </c>
      <c r="N2760" s="12">
        <v>0.1</v>
      </c>
      <c r="O2760" s="8">
        <v>3990</v>
      </c>
      <c r="P2760" s="8">
        <f t="shared" si="270"/>
        <v>3591</v>
      </c>
      <c r="Q2760" s="12">
        <f t="shared" si="271"/>
        <v>7541.1</v>
      </c>
      <c r="R2760" s="31">
        <f t="shared" si="272"/>
        <v>7500</v>
      </c>
    </row>
    <row r="2761" spans="1:18" ht="21.95" customHeight="1" x14ac:dyDescent="0.2">
      <c r="A2761" s="6" t="s">
        <v>943</v>
      </c>
      <c r="B2761" s="6" t="s">
        <v>1596</v>
      </c>
      <c r="C2761" s="6" t="s">
        <v>1048</v>
      </c>
      <c r="D2761" s="6" t="s">
        <v>96</v>
      </c>
      <c r="E2761" s="6"/>
      <c r="K2761" s="7">
        <v>44006932</v>
      </c>
      <c r="L2761" s="6" t="str">
        <f>B2761&amp;" "&amp;C2761&amp;" "&amp;D2761&amp;" "</f>
        <v xml:space="preserve">YT LOFT  ŞİFONYER  </v>
      </c>
      <c r="M2761" s="12">
        <v>0.1</v>
      </c>
      <c r="N2761" s="12">
        <v>0.1</v>
      </c>
      <c r="O2761" s="8">
        <v>6840</v>
      </c>
      <c r="P2761" s="8">
        <f t="shared" si="270"/>
        <v>6156</v>
      </c>
      <c r="Q2761" s="12">
        <f t="shared" si="271"/>
        <v>12927.6</v>
      </c>
      <c r="R2761" s="31">
        <f t="shared" si="272"/>
        <v>12900</v>
      </c>
    </row>
    <row r="2762" spans="1:18" ht="21.95" customHeight="1" x14ac:dyDescent="0.2">
      <c r="A2762" s="6" t="s">
        <v>943</v>
      </c>
      <c r="B2762" s="6" t="s">
        <v>1596</v>
      </c>
      <c r="C2762" s="6" t="s">
        <v>1048</v>
      </c>
      <c r="D2762" s="6" t="s">
        <v>951</v>
      </c>
      <c r="E2762" s="6"/>
      <c r="G2762" s="6">
        <v>51</v>
      </c>
      <c r="H2762" s="6">
        <v>51</v>
      </c>
      <c r="I2762" s="7">
        <v>44</v>
      </c>
      <c r="K2762" s="7">
        <v>44006933</v>
      </c>
      <c r="L2762" s="6" t="str">
        <f t="shared" ref="L2762:L2793" si="275">B2762&amp;" "&amp;C2762&amp;" "&amp;D2762&amp;" "&amp;G2762&amp;"x"&amp;H2762</f>
        <v>YT LOFT  MARKİZ 51x51</v>
      </c>
      <c r="M2762" s="12">
        <v>0.1</v>
      </c>
      <c r="N2762" s="12">
        <v>0.1</v>
      </c>
      <c r="O2762" s="8">
        <v>4170</v>
      </c>
      <c r="P2762" s="8">
        <f t="shared" si="270"/>
        <v>3753</v>
      </c>
      <c r="Q2762" s="12">
        <f t="shared" si="271"/>
        <v>7881.3</v>
      </c>
      <c r="R2762" s="31">
        <f t="shared" si="272"/>
        <v>7800</v>
      </c>
    </row>
    <row r="2763" spans="1:18" ht="21.95" customHeight="1" x14ac:dyDescent="0.2">
      <c r="A2763" s="6" t="s">
        <v>943</v>
      </c>
      <c r="B2763" s="6" t="s">
        <v>1596</v>
      </c>
      <c r="C2763" s="6" t="s">
        <v>967</v>
      </c>
      <c r="D2763" s="6" t="s">
        <v>953</v>
      </c>
      <c r="E2763" s="6"/>
      <c r="G2763" s="6">
        <v>90</v>
      </c>
      <c r="H2763" s="6">
        <v>190</v>
      </c>
      <c r="K2763" s="7">
        <v>44006934</v>
      </c>
      <c r="L2763" s="6" t="str">
        <f t="shared" si="275"/>
        <v>YT HERMES YATAK 90x190</v>
      </c>
      <c r="M2763" s="12">
        <v>0.1</v>
      </c>
      <c r="N2763" s="12">
        <v>0.1</v>
      </c>
      <c r="O2763" s="8">
        <v>5280</v>
      </c>
      <c r="P2763" s="8">
        <f t="shared" si="270"/>
        <v>4752</v>
      </c>
      <c r="Q2763" s="12">
        <f t="shared" si="271"/>
        <v>9979.2000000000007</v>
      </c>
      <c r="R2763" s="31">
        <f t="shared" si="272"/>
        <v>9900</v>
      </c>
    </row>
    <row r="2764" spans="1:18" ht="21.95" customHeight="1" x14ac:dyDescent="0.2">
      <c r="A2764" s="6" t="s">
        <v>943</v>
      </c>
      <c r="B2764" s="6" t="s">
        <v>1596</v>
      </c>
      <c r="C2764" s="6" t="s">
        <v>967</v>
      </c>
      <c r="D2764" s="6" t="s">
        <v>953</v>
      </c>
      <c r="E2764" s="6"/>
      <c r="G2764" s="6">
        <v>90</v>
      </c>
      <c r="H2764" s="6">
        <v>200</v>
      </c>
      <c r="K2764" s="7">
        <v>44006935</v>
      </c>
      <c r="L2764" s="6" t="str">
        <f t="shared" si="275"/>
        <v>YT HERMES YATAK 90x200</v>
      </c>
      <c r="M2764" s="12">
        <v>0.1</v>
      </c>
      <c r="N2764" s="12">
        <v>0.1</v>
      </c>
      <c r="O2764" s="8">
        <v>5470</v>
      </c>
      <c r="P2764" s="8">
        <f t="shared" si="270"/>
        <v>4923</v>
      </c>
      <c r="Q2764" s="12">
        <f t="shared" si="271"/>
        <v>10338.300000000001</v>
      </c>
      <c r="R2764" s="31">
        <f t="shared" si="272"/>
        <v>10300</v>
      </c>
    </row>
    <row r="2765" spans="1:18" ht="21.95" customHeight="1" x14ac:dyDescent="0.2">
      <c r="A2765" s="6" t="s">
        <v>943</v>
      </c>
      <c r="B2765" s="6" t="s">
        <v>1596</v>
      </c>
      <c r="C2765" s="6" t="s">
        <v>967</v>
      </c>
      <c r="D2765" s="6" t="s">
        <v>953</v>
      </c>
      <c r="E2765" s="6"/>
      <c r="G2765" s="6">
        <v>100</v>
      </c>
      <c r="H2765" s="6">
        <v>200</v>
      </c>
      <c r="K2765" s="7">
        <v>44006936</v>
      </c>
      <c r="L2765" s="6" t="str">
        <f t="shared" si="275"/>
        <v>YT HERMES YATAK 100x200</v>
      </c>
      <c r="M2765" s="12">
        <v>0.1</v>
      </c>
      <c r="N2765" s="12">
        <v>0.1</v>
      </c>
      <c r="O2765" s="8">
        <v>5660</v>
      </c>
      <c r="P2765" s="8">
        <f t="shared" si="270"/>
        <v>5094</v>
      </c>
      <c r="Q2765" s="12">
        <f t="shared" si="271"/>
        <v>10697.4</v>
      </c>
      <c r="R2765" s="31">
        <f t="shared" si="272"/>
        <v>10600</v>
      </c>
    </row>
    <row r="2766" spans="1:18" ht="21.95" customHeight="1" x14ac:dyDescent="0.2">
      <c r="A2766" s="6" t="s">
        <v>943</v>
      </c>
      <c r="B2766" s="6" t="s">
        <v>1596</v>
      </c>
      <c r="C2766" s="6" t="s">
        <v>967</v>
      </c>
      <c r="D2766" s="6" t="s">
        <v>953</v>
      </c>
      <c r="E2766" s="6"/>
      <c r="G2766" s="6">
        <v>120</v>
      </c>
      <c r="H2766" s="6">
        <v>200</v>
      </c>
      <c r="K2766" s="7">
        <v>44006937</v>
      </c>
      <c r="L2766" s="6" t="str">
        <f t="shared" si="275"/>
        <v>YT HERMES YATAK 120x200</v>
      </c>
      <c r="M2766" s="12">
        <v>0.1</v>
      </c>
      <c r="N2766" s="12">
        <v>0.1</v>
      </c>
      <c r="O2766" s="8">
        <v>6880</v>
      </c>
      <c r="P2766" s="8">
        <f t="shared" ref="P2766:P2829" si="276">O2766*(1-N2766)</f>
        <v>6192</v>
      </c>
      <c r="Q2766" s="12">
        <f t="shared" ref="Q2766:Q2829" si="277">O2766*(1-N2766)*2.1</f>
        <v>13003.2</v>
      </c>
      <c r="R2766" s="31">
        <f t="shared" ref="R2766:R2829" si="278">ROUNDDOWN(Q2766,-2)</f>
        <v>13000</v>
      </c>
    </row>
    <row r="2767" spans="1:18" ht="21.95" customHeight="1" x14ac:dyDescent="0.2">
      <c r="A2767" s="6" t="s">
        <v>943</v>
      </c>
      <c r="B2767" s="6" t="s">
        <v>1596</v>
      </c>
      <c r="C2767" s="6" t="s">
        <v>1020</v>
      </c>
      <c r="D2767" s="6" t="s">
        <v>989</v>
      </c>
      <c r="E2767" s="6"/>
      <c r="G2767" s="6">
        <v>90</v>
      </c>
      <c r="H2767" s="6">
        <v>190</v>
      </c>
      <c r="K2767" s="7">
        <v>44006938</v>
      </c>
      <c r="L2767" s="6" t="str">
        <f t="shared" si="275"/>
        <v>YT JAGUAR + BAZA  90x190</v>
      </c>
      <c r="M2767" s="12">
        <v>0.1</v>
      </c>
      <c r="N2767" s="12">
        <v>0.1</v>
      </c>
      <c r="O2767" s="8">
        <v>4860</v>
      </c>
      <c r="P2767" s="8">
        <f t="shared" si="276"/>
        <v>4374</v>
      </c>
      <c r="Q2767" s="12">
        <f t="shared" si="277"/>
        <v>9185.4</v>
      </c>
      <c r="R2767" s="31">
        <f t="shared" si="278"/>
        <v>9100</v>
      </c>
    </row>
    <row r="2768" spans="1:18" ht="21.95" customHeight="1" x14ac:dyDescent="0.2">
      <c r="A2768" s="6" t="s">
        <v>943</v>
      </c>
      <c r="B2768" s="6" t="s">
        <v>1596</v>
      </c>
      <c r="C2768" s="6" t="s">
        <v>1020</v>
      </c>
      <c r="D2768" s="6" t="s">
        <v>989</v>
      </c>
      <c r="E2768" s="6"/>
      <c r="G2768" s="6">
        <v>90</v>
      </c>
      <c r="H2768" s="6">
        <v>200</v>
      </c>
      <c r="K2768" s="7">
        <v>44006939</v>
      </c>
      <c r="L2768" s="6" t="str">
        <f t="shared" si="275"/>
        <v>YT JAGUAR + BAZA  90x200</v>
      </c>
      <c r="M2768" s="12">
        <v>0.1</v>
      </c>
      <c r="N2768" s="12">
        <v>0.1</v>
      </c>
      <c r="O2768" s="8">
        <v>5180</v>
      </c>
      <c r="P2768" s="8">
        <f t="shared" si="276"/>
        <v>4662</v>
      </c>
      <c r="Q2768" s="12">
        <f t="shared" si="277"/>
        <v>9790.2000000000007</v>
      </c>
      <c r="R2768" s="31">
        <f t="shared" si="278"/>
        <v>9700</v>
      </c>
    </row>
    <row r="2769" spans="1:18" ht="21.95" customHeight="1" x14ac:dyDescent="0.2">
      <c r="A2769" s="6" t="s">
        <v>943</v>
      </c>
      <c r="B2769" s="6" t="s">
        <v>1596</v>
      </c>
      <c r="C2769" s="6" t="s">
        <v>1020</v>
      </c>
      <c r="D2769" s="6" t="s">
        <v>989</v>
      </c>
      <c r="E2769" s="6"/>
      <c r="G2769" s="6">
        <v>100</v>
      </c>
      <c r="H2769" s="6">
        <v>200</v>
      </c>
      <c r="K2769" s="7">
        <v>44006940</v>
      </c>
      <c r="L2769" s="6" t="str">
        <f t="shared" si="275"/>
        <v>YT JAGUAR + BAZA  100x200</v>
      </c>
      <c r="M2769" s="12">
        <v>0.1</v>
      </c>
      <c r="N2769" s="12">
        <v>0.1</v>
      </c>
      <c r="O2769" s="8">
        <v>5550</v>
      </c>
      <c r="P2769" s="8">
        <f t="shared" si="276"/>
        <v>4995</v>
      </c>
      <c r="Q2769" s="12">
        <f t="shared" si="277"/>
        <v>10489.5</v>
      </c>
      <c r="R2769" s="31">
        <f t="shared" si="278"/>
        <v>10400</v>
      </c>
    </row>
    <row r="2770" spans="1:18" ht="21.95" customHeight="1" x14ac:dyDescent="0.2">
      <c r="A2770" s="6" t="s">
        <v>943</v>
      </c>
      <c r="B2770" s="6" t="s">
        <v>1596</v>
      </c>
      <c r="C2770" s="6" t="s">
        <v>1020</v>
      </c>
      <c r="D2770" s="6" t="s">
        <v>989</v>
      </c>
      <c r="E2770" s="6"/>
      <c r="G2770" s="6">
        <v>120</v>
      </c>
      <c r="H2770" s="6">
        <v>200</v>
      </c>
      <c r="K2770" s="7">
        <v>44006941</v>
      </c>
      <c r="L2770" s="6" t="str">
        <f t="shared" si="275"/>
        <v>YT JAGUAR + BAZA  120x200</v>
      </c>
      <c r="M2770" s="12">
        <v>0.1</v>
      </c>
      <c r="N2770" s="12">
        <v>0.1</v>
      </c>
      <c r="O2770" s="8">
        <v>6190</v>
      </c>
      <c r="P2770" s="8">
        <f t="shared" si="276"/>
        <v>5571</v>
      </c>
      <c r="Q2770" s="12">
        <f t="shared" si="277"/>
        <v>11699.1</v>
      </c>
      <c r="R2770" s="31">
        <f t="shared" si="278"/>
        <v>11600</v>
      </c>
    </row>
    <row r="2771" spans="1:18" ht="21.95" customHeight="1" x14ac:dyDescent="0.2">
      <c r="A2771" s="6" t="s">
        <v>943</v>
      </c>
      <c r="B2771" s="6" t="s">
        <v>1596</v>
      </c>
      <c r="C2771" s="6" t="s">
        <v>996</v>
      </c>
      <c r="D2771" s="6" t="s">
        <v>1003</v>
      </c>
      <c r="E2771" s="6"/>
      <c r="G2771" s="6">
        <v>90</v>
      </c>
      <c r="H2771" s="6">
        <v>190</v>
      </c>
      <c r="K2771" s="7">
        <v>44006942</v>
      </c>
      <c r="L2771" s="6" t="str">
        <f t="shared" si="275"/>
        <v>YT SİERRA BAŞLIK  90x190</v>
      </c>
      <c r="M2771" s="12">
        <v>0.1</v>
      </c>
      <c r="N2771" s="12">
        <v>0.1</v>
      </c>
      <c r="O2771" s="8">
        <v>5350</v>
      </c>
      <c r="P2771" s="8">
        <f t="shared" si="276"/>
        <v>4815</v>
      </c>
      <c r="Q2771" s="12">
        <f t="shared" si="277"/>
        <v>10111.5</v>
      </c>
      <c r="R2771" s="31">
        <f t="shared" si="278"/>
        <v>10100</v>
      </c>
    </row>
    <row r="2772" spans="1:18" ht="21.95" customHeight="1" x14ac:dyDescent="0.2">
      <c r="A2772" s="6" t="s">
        <v>943</v>
      </c>
      <c r="B2772" s="6" t="s">
        <v>1596</v>
      </c>
      <c r="C2772" s="6" t="s">
        <v>996</v>
      </c>
      <c r="D2772" s="6" t="s">
        <v>1003</v>
      </c>
      <c r="E2772" s="6"/>
      <c r="G2772" s="6">
        <v>90</v>
      </c>
      <c r="H2772" s="6">
        <v>200</v>
      </c>
      <c r="K2772" s="7">
        <v>44006943</v>
      </c>
      <c r="L2772" s="6" t="str">
        <f t="shared" si="275"/>
        <v>YT SİERRA BAŞLIK  90x200</v>
      </c>
      <c r="M2772" s="12">
        <v>0.1</v>
      </c>
      <c r="N2772" s="12">
        <v>0.1</v>
      </c>
      <c r="O2772" s="8">
        <v>5350</v>
      </c>
      <c r="P2772" s="8">
        <f t="shared" si="276"/>
        <v>4815</v>
      </c>
      <c r="Q2772" s="12">
        <f t="shared" si="277"/>
        <v>10111.5</v>
      </c>
      <c r="R2772" s="31">
        <f t="shared" si="278"/>
        <v>10100</v>
      </c>
    </row>
    <row r="2773" spans="1:18" ht="21.95" customHeight="1" x14ac:dyDescent="0.2">
      <c r="A2773" s="6" t="s">
        <v>943</v>
      </c>
      <c r="B2773" s="6" t="s">
        <v>1596</v>
      </c>
      <c r="C2773" s="6" t="s">
        <v>996</v>
      </c>
      <c r="D2773" s="6" t="s">
        <v>1003</v>
      </c>
      <c r="E2773" s="6"/>
      <c r="G2773" s="6">
        <v>100</v>
      </c>
      <c r="H2773" s="6">
        <v>200</v>
      </c>
      <c r="K2773" s="7">
        <v>44006944</v>
      </c>
      <c r="L2773" s="6" t="str">
        <f t="shared" si="275"/>
        <v>YT SİERRA BAŞLIK  100x200</v>
      </c>
      <c r="M2773" s="12">
        <v>0.1</v>
      </c>
      <c r="N2773" s="12">
        <v>0.1</v>
      </c>
      <c r="O2773" s="8">
        <v>5710</v>
      </c>
      <c r="P2773" s="8">
        <f t="shared" si="276"/>
        <v>5139</v>
      </c>
      <c r="Q2773" s="12">
        <f t="shared" si="277"/>
        <v>10791.9</v>
      </c>
      <c r="R2773" s="31">
        <f t="shared" si="278"/>
        <v>10700</v>
      </c>
    </row>
    <row r="2774" spans="1:18" ht="21.95" customHeight="1" x14ac:dyDescent="0.2">
      <c r="A2774" s="6" t="s">
        <v>943</v>
      </c>
      <c r="B2774" s="6" t="s">
        <v>1596</v>
      </c>
      <c r="C2774" s="6" t="s">
        <v>996</v>
      </c>
      <c r="D2774" s="6" t="s">
        <v>1003</v>
      </c>
      <c r="E2774" s="6"/>
      <c r="G2774" s="6">
        <v>120</v>
      </c>
      <c r="H2774" s="6">
        <v>200</v>
      </c>
      <c r="K2774" s="7">
        <v>44006945</v>
      </c>
      <c r="L2774" s="6" t="str">
        <f t="shared" si="275"/>
        <v>YT SİERRA BAŞLIK  120x200</v>
      </c>
      <c r="M2774" s="12">
        <v>0.1</v>
      </c>
      <c r="N2774" s="12">
        <v>0.1</v>
      </c>
      <c r="O2774" s="8">
        <v>6080</v>
      </c>
      <c r="P2774" s="8">
        <f t="shared" si="276"/>
        <v>5472</v>
      </c>
      <c r="Q2774" s="12">
        <f t="shared" si="277"/>
        <v>11491.2</v>
      </c>
      <c r="R2774" s="31">
        <f t="shared" si="278"/>
        <v>11400</v>
      </c>
    </row>
    <row r="2775" spans="1:18" ht="21.95" customHeight="1" x14ac:dyDescent="0.2">
      <c r="A2775" s="6" t="s">
        <v>943</v>
      </c>
      <c r="B2775" s="6" t="s">
        <v>1596</v>
      </c>
      <c r="C2775" s="6" t="s">
        <v>1049</v>
      </c>
      <c r="D2775" s="6" t="s">
        <v>948</v>
      </c>
      <c r="E2775" s="6"/>
      <c r="G2775" s="6">
        <v>45</v>
      </c>
      <c r="H2775" s="6">
        <v>50</v>
      </c>
      <c r="I2775" s="7">
        <v>51</v>
      </c>
      <c r="K2775" s="7">
        <v>44006946</v>
      </c>
      <c r="L2775" s="6" t="str">
        <f t="shared" si="275"/>
        <v>YT SİERRA  KOMİDİN 45x50</v>
      </c>
      <c r="M2775" s="12">
        <v>0.1</v>
      </c>
      <c r="N2775" s="12">
        <v>0.1</v>
      </c>
      <c r="O2775" s="8">
        <v>6480</v>
      </c>
      <c r="P2775" s="8">
        <f t="shared" si="276"/>
        <v>5832</v>
      </c>
      <c r="Q2775" s="12">
        <f t="shared" si="277"/>
        <v>12247.2</v>
      </c>
      <c r="R2775" s="31">
        <f t="shared" si="278"/>
        <v>12200</v>
      </c>
    </row>
    <row r="2776" spans="1:18" ht="21.95" customHeight="1" x14ac:dyDescent="0.2">
      <c r="A2776" s="6" t="s">
        <v>943</v>
      </c>
      <c r="B2776" s="6" t="s">
        <v>1596</v>
      </c>
      <c r="C2776" s="6" t="s">
        <v>1008</v>
      </c>
      <c r="D2776" s="6" t="s">
        <v>945</v>
      </c>
      <c r="E2776" s="6"/>
      <c r="G2776" s="6">
        <v>90</v>
      </c>
      <c r="H2776" s="6">
        <v>190</v>
      </c>
      <c r="K2776" s="7">
        <v>44006947</v>
      </c>
      <c r="L2776" s="6" t="str">
        <f t="shared" si="275"/>
        <v>YT SARAY  BAZA 90x190</v>
      </c>
      <c r="M2776" s="12">
        <v>0.1</v>
      </c>
      <c r="N2776" s="12">
        <v>0.1</v>
      </c>
      <c r="O2776" s="8">
        <v>5810</v>
      </c>
      <c r="P2776" s="8">
        <f t="shared" si="276"/>
        <v>5229</v>
      </c>
      <c r="Q2776" s="12">
        <f t="shared" si="277"/>
        <v>10980.9</v>
      </c>
      <c r="R2776" s="31">
        <f t="shared" si="278"/>
        <v>10900</v>
      </c>
    </row>
    <row r="2777" spans="1:18" ht="21.95" customHeight="1" x14ac:dyDescent="0.2">
      <c r="A2777" s="6" t="s">
        <v>943</v>
      </c>
      <c r="B2777" s="6" t="s">
        <v>1596</v>
      </c>
      <c r="C2777" s="6" t="s">
        <v>1008</v>
      </c>
      <c r="D2777" s="6" t="s">
        <v>945</v>
      </c>
      <c r="E2777" s="6"/>
      <c r="G2777" s="6">
        <v>90</v>
      </c>
      <c r="H2777" s="6">
        <v>200</v>
      </c>
      <c r="K2777" s="7">
        <v>44006948</v>
      </c>
      <c r="L2777" s="6" t="str">
        <f t="shared" si="275"/>
        <v>YT SARAY  BAZA 90x200</v>
      </c>
      <c r="M2777" s="12">
        <v>0.1</v>
      </c>
      <c r="N2777" s="12">
        <v>0.1</v>
      </c>
      <c r="O2777" s="8">
        <v>6120</v>
      </c>
      <c r="P2777" s="8">
        <f t="shared" si="276"/>
        <v>5508</v>
      </c>
      <c r="Q2777" s="12">
        <f t="shared" si="277"/>
        <v>11566.800000000001</v>
      </c>
      <c r="R2777" s="31">
        <f t="shared" si="278"/>
        <v>11500</v>
      </c>
    </row>
    <row r="2778" spans="1:18" ht="21.95" customHeight="1" x14ac:dyDescent="0.2">
      <c r="A2778" s="6" t="s">
        <v>943</v>
      </c>
      <c r="B2778" s="6" t="s">
        <v>1596</v>
      </c>
      <c r="C2778" s="6" t="s">
        <v>1008</v>
      </c>
      <c r="D2778" s="6" t="s">
        <v>945</v>
      </c>
      <c r="E2778" s="6"/>
      <c r="G2778" s="6">
        <v>100</v>
      </c>
      <c r="H2778" s="6">
        <v>200</v>
      </c>
      <c r="K2778" s="7">
        <v>44006949</v>
      </c>
      <c r="L2778" s="6" t="str">
        <f t="shared" si="275"/>
        <v>YT SARAY  BAZA 100x200</v>
      </c>
      <c r="M2778" s="12">
        <v>0.1</v>
      </c>
      <c r="N2778" s="12">
        <v>0.1</v>
      </c>
      <c r="O2778" s="8">
        <v>6590</v>
      </c>
      <c r="P2778" s="8">
        <f t="shared" si="276"/>
        <v>5931</v>
      </c>
      <c r="Q2778" s="12">
        <f t="shared" si="277"/>
        <v>12455.1</v>
      </c>
      <c r="R2778" s="31">
        <f t="shared" si="278"/>
        <v>12400</v>
      </c>
    </row>
    <row r="2779" spans="1:18" ht="21.95" customHeight="1" x14ac:dyDescent="0.2">
      <c r="A2779" s="6" t="s">
        <v>943</v>
      </c>
      <c r="B2779" s="6" t="s">
        <v>1596</v>
      </c>
      <c r="C2779" s="6" t="s">
        <v>1008</v>
      </c>
      <c r="D2779" s="6" t="s">
        <v>945</v>
      </c>
      <c r="E2779" s="6"/>
      <c r="G2779" s="6">
        <v>120</v>
      </c>
      <c r="H2779" s="6">
        <v>200</v>
      </c>
      <c r="K2779" s="7">
        <v>44006950</v>
      </c>
      <c r="L2779" s="6" t="str">
        <f t="shared" si="275"/>
        <v>YT SARAY  BAZA 120x200</v>
      </c>
      <c r="M2779" s="12">
        <v>0.1</v>
      </c>
      <c r="N2779" s="12">
        <v>0.1</v>
      </c>
      <c r="O2779" s="8">
        <v>7330</v>
      </c>
      <c r="P2779" s="8">
        <f t="shared" si="276"/>
        <v>6597</v>
      </c>
      <c r="Q2779" s="12">
        <f t="shared" si="277"/>
        <v>13853.7</v>
      </c>
      <c r="R2779" s="31">
        <f t="shared" si="278"/>
        <v>13800</v>
      </c>
    </row>
    <row r="2780" spans="1:18" ht="21.95" customHeight="1" x14ac:dyDescent="0.2">
      <c r="A2780" s="6" t="s">
        <v>943</v>
      </c>
      <c r="B2780" s="6" t="s">
        <v>1596</v>
      </c>
      <c r="C2780" s="6" t="s">
        <v>1050</v>
      </c>
      <c r="D2780" s="6" t="s">
        <v>1003</v>
      </c>
      <c r="E2780" s="6"/>
      <c r="G2780" s="6">
        <v>90</v>
      </c>
      <c r="H2780" s="6">
        <v>190</v>
      </c>
      <c r="K2780" s="7">
        <v>44006951</v>
      </c>
      <c r="L2780" s="6" t="str">
        <f t="shared" si="275"/>
        <v>YT SELÇUKLU  BAŞLIK  90x190</v>
      </c>
      <c r="M2780" s="12">
        <v>0.1</v>
      </c>
      <c r="N2780" s="12">
        <v>0.1</v>
      </c>
      <c r="O2780" s="8">
        <v>3260</v>
      </c>
      <c r="P2780" s="8">
        <f t="shared" si="276"/>
        <v>2934</v>
      </c>
      <c r="Q2780" s="12">
        <f t="shared" si="277"/>
        <v>6161.4000000000005</v>
      </c>
      <c r="R2780" s="31">
        <f t="shared" si="278"/>
        <v>6100</v>
      </c>
    </row>
    <row r="2781" spans="1:18" ht="21.95" customHeight="1" x14ac:dyDescent="0.2">
      <c r="A2781" s="6" t="s">
        <v>943</v>
      </c>
      <c r="B2781" s="6" t="s">
        <v>1596</v>
      </c>
      <c r="C2781" s="6" t="s">
        <v>1050</v>
      </c>
      <c r="D2781" s="6" t="s">
        <v>1003</v>
      </c>
      <c r="E2781" s="6"/>
      <c r="G2781" s="6">
        <v>90</v>
      </c>
      <c r="H2781" s="6">
        <v>200</v>
      </c>
      <c r="K2781" s="7">
        <v>44006952</v>
      </c>
      <c r="L2781" s="6" t="str">
        <f t="shared" si="275"/>
        <v>YT SELÇUKLU  BAŞLIK  90x200</v>
      </c>
      <c r="M2781" s="12">
        <v>0.1</v>
      </c>
      <c r="N2781" s="12">
        <v>0.1</v>
      </c>
      <c r="O2781" s="8">
        <v>3260</v>
      </c>
      <c r="P2781" s="8">
        <f t="shared" si="276"/>
        <v>2934</v>
      </c>
      <c r="Q2781" s="12">
        <f t="shared" si="277"/>
        <v>6161.4000000000005</v>
      </c>
      <c r="R2781" s="31">
        <f t="shared" si="278"/>
        <v>6100</v>
      </c>
    </row>
    <row r="2782" spans="1:18" ht="21.95" customHeight="1" x14ac:dyDescent="0.2">
      <c r="A2782" s="6" t="s">
        <v>943</v>
      </c>
      <c r="B2782" s="6" t="s">
        <v>1596</v>
      </c>
      <c r="C2782" s="6" t="s">
        <v>1050</v>
      </c>
      <c r="D2782" s="6" t="s">
        <v>1003</v>
      </c>
      <c r="E2782" s="6"/>
      <c r="G2782" s="6">
        <v>100</v>
      </c>
      <c r="H2782" s="6">
        <v>200</v>
      </c>
      <c r="K2782" s="7">
        <v>44006953</v>
      </c>
      <c r="L2782" s="6" t="str">
        <f t="shared" si="275"/>
        <v>YT SELÇUKLU  BAŞLIK  100x200</v>
      </c>
      <c r="M2782" s="12">
        <v>0.1</v>
      </c>
      <c r="N2782" s="12">
        <v>0.1</v>
      </c>
      <c r="O2782" s="8">
        <v>3400</v>
      </c>
      <c r="P2782" s="8">
        <f t="shared" si="276"/>
        <v>3060</v>
      </c>
      <c r="Q2782" s="12">
        <f t="shared" si="277"/>
        <v>6426</v>
      </c>
      <c r="R2782" s="31">
        <f t="shared" si="278"/>
        <v>6400</v>
      </c>
    </row>
    <row r="2783" spans="1:18" ht="21.95" customHeight="1" x14ac:dyDescent="0.2">
      <c r="A2783" s="6" t="s">
        <v>943</v>
      </c>
      <c r="B2783" s="6" t="s">
        <v>1596</v>
      </c>
      <c r="C2783" s="6" t="s">
        <v>1050</v>
      </c>
      <c r="D2783" s="6" t="s">
        <v>1003</v>
      </c>
      <c r="E2783" s="6"/>
      <c r="G2783" s="6">
        <v>120</v>
      </c>
      <c r="H2783" s="6">
        <v>200</v>
      </c>
      <c r="K2783" s="7">
        <v>44006954</v>
      </c>
      <c r="L2783" s="6" t="str">
        <f t="shared" si="275"/>
        <v>YT SELÇUKLU  BAŞLIK  120x200</v>
      </c>
      <c r="M2783" s="12">
        <v>0.1</v>
      </c>
      <c r="N2783" s="12">
        <v>0.1</v>
      </c>
      <c r="O2783" s="8">
        <v>3790</v>
      </c>
      <c r="P2783" s="8">
        <f t="shared" si="276"/>
        <v>3411</v>
      </c>
      <c r="Q2783" s="12">
        <f t="shared" si="277"/>
        <v>7163.1</v>
      </c>
      <c r="R2783" s="31">
        <f t="shared" si="278"/>
        <v>7100</v>
      </c>
    </row>
    <row r="2784" spans="1:18" ht="21.95" customHeight="1" x14ac:dyDescent="0.2">
      <c r="A2784" s="6" t="s">
        <v>943</v>
      </c>
      <c r="B2784" s="6" t="s">
        <v>1596</v>
      </c>
      <c r="C2784" s="6" t="s">
        <v>952</v>
      </c>
      <c r="D2784" s="6" t="s">
        <v>943</v>
      </c>
      <c r="E2784" s="6"/>
      <c r="G2784" s="6">
        <v>90</v>
      </c>
      <c r="H2784" s="6">
        <v>190</v>
      </c>
      <c r="K2784" s="7">
        <v>44006955</v>
      </c>
      <c r="L2784" s="6" t="str">
        <f t="shared" si="275"/>
        <v>YT KİNG MATRESS + YATAK  90x190</v>
      </c>
      <c r="M2784" s="12">
        <v>0.1</v>
      </c>
      <c r="N2784" s="12">
        <v>0.1</v>
      </c>
      <c r="O2784" s="8">
        <v>6100</v>
      </c>
      <c r="P2784" s="8">
        <f t="shared" si="276"/>
        <v>5490</v>
      </c>
      <c r="Q2784" s="12">
        <f t="shared" si="277"/>
        <v>11529</v>
      </c>
      <c r="R2784" s="31">
        <f t="shared" si="278"/>
        <v>11500</v>
      </c>
    </row>
    <row r="2785" spans="1:18" ht="21.95" customHeight="1" x14ac:dyDescent="0.2">
      <c r="A2785" s="6" t="s">
        <v>943</v>
      </c>
      <c r="B2785" s="6" t="s">
        <v>1596</v>
      </c>
      <c r="C2785" s="6" t="s">
        <v>952</v>
      </c>
      <c r="D2785" s="6" t="s">
        <v>943</v>
      </c>
      <c r="E2785" s="6"/>
      <c r="G2785" s="6">
        <v>90</v>
      </c>
      <c r="H2785" s="6">
        <v>200</v>
      </c>
      <c r="K2785" s="7">
        <v>44006956</v>
      </c>
      <c r="L2785" s="6" t="str">
        <f t="shared" si="275"/>
        <v>YT KİNG MATRESS + YATAK  90x200</v>
      </c>
      <c r="M2785" s="12">
        <v>0.1</v>
      </c>
      <c r="N2785" s="12">
        <v>0.1</v>
      </c>
      <c r="O2785" s="8">
        <v>6330</v>
      </c>
      <c r="P2785" s="8">
        <f t="shared" si="276"/>
        <v>5697</v>
      </c>
      <c r="Q2785" s="12">
        <f t="shared" si="277"/>
        <v>11963.7</v>
      </c>
      <c r="R2785" s="31">
        <f t="shared" si="278"/>
        <v>11900</v>
      </c>
    </row>
    <row r="2786" spans="1:18" ht="21.95" customHeight="1" x14ac:dyDescent="0.2">
      <c r="A2786" s="6" t="s">
        <v>943</v>
      </c>
      <c r="B2786" s="6" t="s">
        <v>1596</v>
      </c>
      <c r="C2786" s="6" t="s">
        <v>952</v>
      </c>
      <c r="D2786" s="6" t="s">
        <v>943</v>
      </c>
      <c r="E2786" s="6"/>
      <c r="G2786" s="6">
        <v>100</v>
      </c>
      <c r="H2786" s="6">
        <v>200</v>
      </c>
      <c r="K2786" s="7">
        <v>44006957</v>
      </c>
      <c r="L2786" s="6" t="str">
        <f t="shared" si="275"/>
        <v>YT KİNG MATRESS + YATAK  100x200</v>
      </c>
      <c r="M2786" s="12">
        <v>0.1</v>
      </c>
      <c r="N2786" s="12">
        <v>0.1</v>
      </c>
      <c r="O2786" s="8">
        <v>6560</v>
      </c>
      <c r="P2786" s="8">
        <f t="shared" si="276"/>
        <v>5904</v>
      </c>
      <c r="Q2786" s="12">
        <f t="shared" si="277"/>
        <v>12398.4</v>
      </c>
      <c r="R2786" s="31">
        <f t="shared" si="278"/>
        <v>12300</v>
      </c>
    </row>
    <row r="2787" spans="1:18" ht="21.95" customHeight="1" x14ac:dyDescent="0.2">
      <c r="A2787" s="6" t="s">
        <v>943</v>
      </c>
      <c r="B2787" s="6" t="s">
        <v>1596</v>
      </c>
      <c r="C2787" s="6" t="s">
        <v>952</v>
      </c>
      <c r="D2787" s="6" t="s">
        <v>943</v>
      </c>
      <c r="E2787" s="6"/>
      <c r="G2787" s="6">
        <v>120</v>
      </c>
      <c r="H2787" s="6">
        <v>200</v>
      </c>
      <c r="K2787" s="7">
        <v>44006958</v>
      </c>
      <c r="L2787" s="6" t="str">
        <f t="shared" si="275"/>
        <v>YT KİNG MATRESS + YATAK  120x200</v>
      </c>
      <c r="M2787" s="12">
        <v>0.1</v>
      </c>
      <c r="N2787" s="12">
        <v>0.1</v>
      </c>
      <c r="O2787" s="8">
        <v>7950</v>
      </c>
      <c r="P2787" s="8">
        <f t="shared" si="276"/>
        <v>7155</v>
      </c>
      <c r="Q2787" s="12">
        <f t="shared" si="277"/>
        <v>15025.5</v>
      </c>
      <c r="R2787" s="31">
        <f t="shared" si="278"/>
        <v>15000</v>
      </c>
    </row>
    <row r="2788" spans="1:18" ht="21.95" customHeight="1" x14ac:dyDescent="0.2">
      <c r="A2788" s="6" t="s">
        <v>943</v>
      </c>
      <c r="B2788" s="6" t="s">
        <v>1596</v>
      </c>
      <c r="C2788" s="6" t="s">
        <v>1051</v>
      </c>
      <c r="D2788" s="6" t="s">
        <v>989</v>
      </c>
      <c r="E2788" s="6"/>
      <c r="G2788" s="6">
        <v>90</v>
      </c>
      <c r="H2788" s="6">
        <v>190</v>
      </c>
      <c r="K2788" s="7">
        <v>44006959</v>
      </c>
      <c r="L2788" s="6" t="str">
        <f t="shared" si="275"/>
        <v>YT JAGUAR BAZA  90x190</v>
      </c>
      <c r="M2788" s="12">
        <v>0.1</v>
      </c>
      <c r="N2788" s="12">
        <v>0.1</v>
      </c>
      <c r="O2788" s="8">
        <v>4240</v>
      </c>
      <c r="P2788" s="8">
        <f t="shared" si="276"/>
        <v>3816</v>
      </c>
      <c r="Q2788" s="12">
        <f t="shared" si="277"/>
        <v>8013.6</v>
      </c>
      <c r="R2788" s="31">
        <f t="shared" si="278"/>
        <v>8000</v>
      </c>
    </row>
    <row r="2789" spans="1:18" ht="21.95" customHeight="1" x14ac:dyDescent="0.2">
      <c r="A2789" s="6" t="s">
        <v>943</v>
      </c>
      <c r="B2789" s="6" t="s">
        <v>1596</v>
      </c>
      <c r="C2789" s="6" t="s">
        <v>1051</v>
      </c>
      <c r="D2789" s="6" t="s">
        <v>989</v>
      </c>
      <c r="E2789" s="6"/>
      <c r="G2789" s="6">
        <v>90</v>
      </c>
      <c r="H2789" s="6">
        <v>200</v>
      </c>
      <c r="K2789" s="7">
        <v>44006960</v>
      </c>
      <c r="L2789" s="6" t="str">
        <f t="shared" si="275"/>
        <v>YT JAGUAR BAZA  90x200</v>
      </c>
      <c r="M2789" s="12">
        <v>0.1</v>
      </c>
      <c r="N2789" s="12">
        <v>0.1</v>
      </c>
      <c r="O2789" s="8">
        <v>4460</v>
      </c>
      <c r="P2789" s="8">
        <f t="shared" si="276"/>
        <v>4014</v>
      </c>
      <c r="Q2789" s="12">
        <f t="shared" si="277"/>
        <v>8429.4</v>
      </c>
      <c r="R2789" s="31">
        <f t="shared" si="278"/>
        <v>8400</v>
      </c>
    </row>
    <row r="2790" spans="1:18" ht="21.95" customHeight="1" x14ac:dyDescent="0.2">
      <c r="A2790" s="6" t="s">
        <v>943</v>
      </c>
      <c r="B2790" s="6" t="s">
        <v>1596</v>
      </c>
      <c r="C2790" s="6" t="s">
        <v>1051</v>
      </c>
      <c r="D2790" s="6" t="s">
        <v>989</v>
      </c>
      <c r="E2790" s="6"/>
      <c r="G2790" s="6">
        <v>100</v>
      </c>
      <c r="H2790" s="6">
        <v>200</v>
      </c>
      <c r="K2790" s="7">
        <v>44006961</v>
      </c>
      <c r="L2790" s="6" t="str">
        <f t="shared" si="275"/>
        <v>YT JAGUAR BAZA  100x200</v>
      </c>
      <c r="M2790" s="12">
        <v>0.1</v>
      </c>
      <c r="N2790" s="12">
        <v>0.1</v>
      </c>
      <c r="O2790" s="8">
        <v>4810</v>
      </c>
      <c r="P2790" s="8">
        <f t="shared" si="276"/>
        <v>4329</v>
      </c>
      <c r="Q2790" s="12">
        <f t="shared" si="277"/>
        <v>9090.9</v>
      </c>
      <c r="R2790" s="31">
        <f t="shared" si="278"/>
        <v>9000</v>
      </c>
    </row>
    <row r="2791" spans="1:18" ht="21.95" customHeight="1" x14ac:dyDescent="0.2">
      <c r="A2791" s="6" t="s">
        <v>943</v>
      </c>
      <c r="B2791" s="6" t="s">
        <v>1596</v>
      </c>
      <c r="C2791" s="6" t="s">
        <v>1051</v>
      </c>
      <c r="D2791" s="6" t="s">
        <v>989</v>
      </c>
      <c r="E2791" s="6"/>
      <c r="G2791" s="6">
        <v>120</v>
      </c>
      <c r="H2791" s="6">
        <v>200</v>
      </c>
      <c r="K2791" s="7">
        <v>44006962</v>
      </c>
      <c r="L2791" s="6" t="str">
        <f t="shared" si="275"/>
        <v>YT JAGUAR BAZA  120x200</v>
      </c>
      <c r="M2791" s="12">
        <v>0.1</v>
      </c>
      <c r="N2791" s="12">
        <v>0.1</v>
      </c>
      <c r="O2791" s="8">
        <v>5330</v>
      </c>
      <c r="P2791" s="8">
        <f t="shared" si="276"/>
        <v>4797</v>
      </c>
      <c r="Q2791" s="12">
        <f t="shared" si="277"/>
        <v>10073.700000000001</v>
      </c>
      <c r="R2791" s="31">
        <f t="shared" si="278"/>
        <v>10000</v>
      </c>
    </row>
    <row r="2792" spans="1:18" ht="21.95" customHeight="1" x14ac:dyDescent="0.2">
      <c r="A2792" s="6" t="s">
        <v>943</v>
      </c>
      <c r="B2792" s="6" t="s">
        <v>1596</v>
      </c>
      <c r="C2792" s="6" t="s">
        <v>1009</v>
      </c>
      <c r="D2792" s="6" t="s">
        <v>1003</v>
      </c>
      <c r="E2792" s="6"/>
      <c r="G2792" s="6">
        <v>90</v>
      </c>
      <c r="H2792" s="6">
        <v>190</v>
      </c>
      <c r="K2792" s="7">
        <v>44006963</v>
      </c>
      <c r="L2792" s="6" t="str">
        <f t="shared" si="275"/>
        <v>YT PETEK  BAŞLIK  90x190</v>
      </c>
      <c r="M2792" s="12">
        <v>0.1</v>
      </c>
      <c r="N2792" s="12">
        <v>0.1</v>
      </c>
      <c r="O2792" s="8">
        <v>5600</v>
      </c>
      <c r="P2792" s="8">
        <f t="shared" si="276"/>
        <v>5040</v>
      </c>
      <c r="Q2792" s="12">
        <f t="shared" si="277"/>
        <v>10584</v>
      </c>
      <c r="R2792" s="31">
        <f t="shared" si="278"/>
        <v>10500</v>
      </c>
    </row>
    <row r="2793" spans="1:18" ht="21.95" customHeight="1" x14ac:dyDescent="0.2">
      <c r="A2793" s="6" t="s">
        <v>943</v>
      </c>
      <c r="B2793" s="6" t="s">
        <v>1596</v>
      </c>
      <c r="C2793" s="6" t="s">
        <v>1009</v>
      </c>
      <c r="D2793" s="6" t="s">
        <v>1003</v>
      </c>
      <c r="E2793" s="6"/>
      <c r="G2793" s="6">
        <v>90</v>
      </c>
      <c r="H2793" s="6">
        <v>200</v>
      </c>
      <c r="K2793" s="7">
        <v>44006964</v>
      </c>
      <c r="L2793" s="6" t="str">
        <f t="shared" si="275"/>
        <v>YT PETEK  BAŞLIK  90x200</v>
      </c>
      <c r="M2793" s="12">
        <v>0.1</v>
      </c>
      <c r="N2793" s="12">
        <v>0.1</v>
      </c>
      <c r="O2793" s="8">
        <v>5600</v>
      </c>
      <c r="P2793" s="8">
        <f t="shared" si="276"/>
        <v>5040</v>
      </c>
      <c r="Q2793" s="12">
        <f t="shared" si="277"/>
        <v>10584</v>
      </c>
      <c r="R2793" s="31">
        <f t="shared" si="278"/>
        <v>10500</v>
      </c>
    </row>
    <row r="2794" spans="1:18" ht="21.95" customHeight="1" x14ac:dyDescent="0.2">
      <c r="A2794" s="6" t="s">
        <v>943</v>
      </c>
      <c r="B2794" s="6" t="s">
        <v>1596</v>
      </c>
      <c r="C2794" s="6" t="s">
        <v>1009</v>
      </c>
      <c r="D2794" s="6" t="s">
        <v>1003</v>
      </c>
      <c r="E2794" s="6"/>
      <c r="G2794" s="6">
        <v>100</v>
      </c>
      <c r="H2794" s="6">
        <v>200</v>
      </c>
      <c r="K2794" s="7">
        <v>44006965</v>
      </c>
      <c r="L2794" s="6" t="str">
        <f t="shared" ref="L2794:L2820" si="279">B2794&amp;" "&amp;C2794&amp;" "&amp;D2794&amp;" "&amp;G2794&amp;"x"&amp;H2794</f>
        <v>YT PETEK  BAŞLIK  100x200</v>
      </c>
      <c r="M2794" s="12">
        <v>0.1</v>
      </c>
      <c r="N2794" s="12">
        <v>0.1</v>
      </c>
      <c r="O2794" s="8">
        <v>5930</v>
      </c>
      <c r="P2794" s="8">
        <f t="shared" si="276"/>
        <v>5337</v>
      </c>
      <c r="Q2794" s="12">
        <f t="shared" si="277"/>
        <v>11207.7</v>
      </c>
      <c r="R2794" s="31">
        <f t="shared" si="278"/>
        <v>11200</v>
      </c>
    </row>
    <row r="2795" spans="1:18" ht="21.95" customHeight="1" x14ac:dyDescent="0.2">
      <c r="A2795" s="6" t="s">
        <v>943</v>
      </c>
      <c r="B2795" s="6" t="s">
        <v>1596</v>
      </c>
      <c r="C2795" s="6" t="s">
        <v>1009</v>
      </c>
      <c r="D2795" s="6" t="s">
        <v>1003</v>
      </c>
      <c r="E2795" s="6"/>
      <c r="G2795" s="6">
        <v>120</v>
      </c>
      <c r="H2795" s="6">
        <v>200</v>
      </c>
      <c r="K2795" s="7">
        <v>44006966</v>
      </c>
      <c r="L2795" s="6" t="str">
        <f t="shared" si="279"/>
        <v>YT PETEK  BAŞLIK  120x200</v>
      </c>
      <c r="M2795" s="12">
        <v>0.1</v>
      </c>
      <c r="N2795" s="12">
        <v>0.1</v>
      </c>
      <c r="O2795" s="8">
        <v>6240</v>
      </c>
      <c r="P2795" s="8">
        <f t="shared" si="276"/>
        <v>5616</v>
      </c>
      <c r="Q2795" s="12">
        <f t="shared" si="277"/>
        <v>11793.6</v>
      </c>
      <c r="R2795" s="31">
        <f t="shared" si="278"/>
        <v>11700</v>
      </c>
    </row>
    <row r="2796" spans="1:18" ht="21.95" customHeight="1" x14ac:dyDescent="0.2">
      <c r="A2796" s="6" t="s">
        <v>943</v>
      </c>
      <c r="B2796" s="6" t="s">
        <v>1596</v>
      </c>
      <c r="C2796" s="6" t="s">
        <v>1018</v>
      </c>
      <c r="D2796" s="6" t="s">
        <v>943</v>
      </c>
      <c r="E2796" s="6"/>
      <c r="G2796" s="6">
        <v>90</v>
      </c>
      <c r="H2796" s="6">
        <v>190</v>
      </c>
      <c r="K2796" s="7">
        <v>44006967</v>
      </c>
      <c r="L2796" s="6" t="str">
        <f t="shared" si="279"/>
        <v>YT BEGONYA YATAK  90x190</v>
      </c>
      <c r="M2796" s="12">
        <v>0.1</v>
      </c>
      <c r="N2796" s="12">
        <v>0.1</v>
      </c>
      <c r="O2796" s="8">
        <v>3570</v>
      </c>
      <c r="P2796" s="8">
        <f t="shared" si="276"/>
        <v>3213</v>
      </c>
      <c r="Q2796" s="12">
        <f t="shared" si="277"/>
        <v>6747.3</v>
      </c>
      <c r="R2796" s="31">
        <f t="shared" si="278"/>
        <v>6700</v>
      </c>
    </row>
    <row r="2797" spans="1:18" ht="21.95" customHeight="1" x14ac:dyDescent="0.2">
      <c r="A2797" s="6" t="s">
        <v>943</v>
      </c>
      <c r="B2797" s="6" t="s">
        <v>1596</v>
      </c>
      <c r="C2797" s="6" t="s">
        <v>1018</v>
      </c>
      <c r="D2797" s="6" t="s">
        <v>943</v>
      </c>
      <c r="E2797" s="6"/>
      <c r="G2797" s="6">
        <v>90</v>
      </c>
      <c r="H2797" s="6">
        <v>200</v>
      </c>
      <c r="K2797" s="7">
        <v>44006968</v>
      </c>
      <c r="L2797" s="6" t="str">
        <f t="shared" si="279"/>
        <v>YT BEGONYA YATAK  90x200</v>
      </c>
      <c r="M2797" s="12">
        <v>0.1</v>
      </c>
      <c r="N2797" s="12">
        <v>0.1</v>
      </c>
      <c r="O2797" s="8">
        <v>3770</v>
      </c>
      <c r="P2797" s="8">
        <f t="shared" si="276"/>
        <v>3393</v>
      </c>
      <c r="Q2797" s="12">
        <f t="shared" si="277"/>
        <v>7125.3</v>
      </c>
      <c r="R2797" s="31">
        <f t="shared" si="278"/>
        <v>7100</v>
      </c>
    </row>
    <row r="2798" spans="1:18" ht="21.95" customHeight="1" x14ac:dyDescent="0.2">
      <c r="A2798" s="6" t="s">
        <v>943</v>
      </c>
      <c r="B2798" s="6" t="s">
        <v>1596</v>
      </c>
      <c r="C2798" s="6" t="s">
        <v>1018</v>
      </c>
      <c r="D2798" s="6" t="s">
        <v>943</v>
      </c>
      <c r="E2798" s="6"/>
      <c r="G2798" s="6">
        <v>100</v>
      </c>
      <c r="H2798" s="6">
        <v>200</v>
      </c>
      <c r="K2798" s="7">
        <v>44006969</v>
      </c>
      <c r="L2798" s="6" t="str">
        <f t="shared" si="279"/>
        <v>YT BEGONYA YATAK  100x200</v>
      </c>
      <c r="M2798" s="12">
        <v>0.1</v>
      </c>
      <c r="N2798" s="12">
        <v>0.1</v>
      </c>
      <c r="O2798" s="8">
        <v>3980</v>
      </c>
      <c r="P2798" s="8">
        <f t="shared" si="276"/>
        <v>3582</v>
      </c>
      <c r="Q2798" s="12">
        <f t="shared" si="277"/>
        <v>7522.2000000000007</v>
      </c>
      <c r="R2798" s="31">
        <f t="shared" si="278"/>
        <v>7500</v>
      </c>
    </row>
    <row r="2799" spans="1:18" ht="21.95" customHeight="1" x14ac:dyDescent="0.2">
      <c r="A2799" s="6" t="s">
        <v>943</v>
      </c>
      <c r="B2799" s="6" t="s">
        <v>1596</v>
      </c>
      <c r="C2799" s="6" t="s">
        <v>1018</v>
      </c>
      <c r="D2799" s="6" t="s">
        <v>943</v>
      </c>
      <c r="E2799" s="6"/>
      <c r="G2799" s="6">
        <v>120</v>
      </c>
      <c r="H2799" s="6">
        <v>200</v>
      </c>
      <c r="K2799" s="7">
        <v>44006970</v>
      </c>
      <c r="L2799" s="6" t="str">
        <f t="shared" si="279"/>
        <v>YT BEGONYA YATAK  120x200</v>
      </c>
      <c r="M2799" s="12">
        <v>0.1</v>
      </c>
      <c r="N2799" s="12">
        <v>0.1</v>
      </c>
      <c r="O2799" s="8">
        <v>4370</v>
      </c>
      <c r="P2799" s="8">
        <f t="shared" si="276"/>
        <v>3933</v>
      </c>
      <c r="Q2799" s="12">
        <f t="shared" si="277"/>
        <v>8259.3000000000011</v>
      </c>
      <c r="R2799" s="31">
        <f t="shared" si="278"/>
        <v>8200</v>
      </c>
    </row>
    <row r="2800" spans="1:18" ht="21.95" customHeight="1" x14ac:dyDescent="0.2">
      <c r="A2800" s="6" t="s">
        <v>943</v>
      </c>
      <c r="B2800" s="6" t="s">
        <v>1596</v>
      </c>
      <c r="C2800" s="6" t="s">
        <v>1024</v>
      </c>
      <c r="D2800" s="6" t="s">
        <v>1003</v>
      </c>
      <c r="E2800" s="6"/>
      <c r="G2800" s="6">
        <v>90</v>
      </c>
      <c r="H2800" s="6">
        <v>190</v>
      </c>
      <c r="K2800" s="7">
        <v>44006971</v>
      </c>
      <c r="L2800" s="6" t="str">
        <f t="shared" si="279"/>
        <v>YT NİLÜFER  BAŞLIK  90x190</v>
      </c>
      <c r="M2800" s="12">
        <v>0.1</v>
      </c>
      <c r="N2800" s="12">
        <v>0.1</v>
      </c>
      <c r="O2800" s="8">
        <v>2960</v>
      </c>
      <c r="P2800" s="8">
        <f t="shared" si="276"/>
        <v>2664</v>
      </c>
      <c r="Q2800" s="12">
        <f t="shared" si="277"/>
        <v>5594.4000000000005</v>
      </c>
      <c r="R2800" s="31">
        <f t="shared" si="278"/>
        <v>5500</v>
      </c>
    </row>
    <row r="2801" spans="1:18" ht="21.95" customHeight="1" x14ac:dyDescent="0.2">
      <c r="A2801" s="6" t="s">
        <v>943</v>
      </c>
      <c r="B2801" s="6" t="s">
        <v>1596</v>
      </c>
      <c r="C2801" s="6" t="s">
        <v>1024</v>
      </c>
      <c r="D2801" s="6" t="s">
        <v>1003</v>
      </c>
      <c r="E2801" s="6"/>
      <c r="G2801" s="6">
        <v>90</v>
      </c>
      <c r="H2801" s="6">
        <v>200</v>
      </c>
      <c r="K2801" s="7">
        <v>44006972</v>
      </c>
      <c r="L2801" s="6" t="str">
        <f t="shared" si="279"/>
        <v>YT NİLÜFER  BAŞLIK  90x200</v>
      </c>
      <c r="M2801" s="12">
        <v>0.1</v>
      </c>
      <c r="N2801" s="12">
        <v>0.1</v>
      </c>
      <c r="O2801" s="8">
        <v>2830</v>
      </c>
      <c r="P2801" s="8">
        <f t="shared" si="276"/>
        <v>2547</v>
      </c>
      <c r="Q2801" s="12">
        <f t="shared" si="277"/>
        <v>5348.7</v>
      </c>
      <c r="R2801" s="31">
        <f t="shared" si="278"/>
        <v>5300</v>
      </c>
    </row>
    <row r="2802" spans="1:18" ht="21.95" customHeight="1" x14ac:dyDescent="0.2">
      <c r="A2802" s="6" t="s">
        <v>943</v>
      </c>
      <c r="B2802" s="6" t="s">
        <v>1596</v>
      </c>
      <c r="C2802" s="6" t="s">
        <v>1024</v>
      </c>
      <c r="D2802" s="6" t="s">
        <v>1003</v>
      </c>
      <c r="E2802" s="6"/>
      <c r="G2802" s="6">
        <v>100</v>
      </c>
      <c r="H2802" s="6">
        <v>200</v>
      </c>
      <c r="K2802" s="7">
        <v>44006973</v>
      </c>
      <c r="L2802" s="6" t="str">
        <f t="shared" si="279"/>
        <v>YT NİLÜFER  BAŞLIK  100x200</v>
      </c>
      <c r="M2802" s="12">
        <v>0.1</v>
      </c>
      <c r="N2802" s="12">
        <v>0.1</v>
      </c>
      <c r="O2802" s="8">
        <v>2960</v>
      </c>
      <c r="P2802" s="8">
        <f t="shared" si="276"/>
        <v>2664</v>
      </c>
      <c r="Q2802" s="12">
        <f t="shared" si="277"/>
        <v>5594.4000000000005</v>
      </c>
      <c r="R2802" s="31">
        <f t="shared" si="278"/>
        <v>5500</v>
      </c>
    </row>
    <row r="2803" spans="1:18" ht="21.95" customHeight="1" x14ac:dyDescent="0.2">
      <c r="A2803" s="6" t="s">
        <v>943</v>
      </c>
      <c r="B2803" s="6" t="s">
        <v>1596</v>
      </c>
      <c r="C2803" s="6" t="s">
        <v>1024</v>
      </c>
      <c r="D2803" s="6" t="s">
        <v>1003</v>
      </c>
      <c r="E2803" s="6"/>
      <c r="G2803" s="6">
        <v>120</v>
      </c>
      <c r="H2803" s="6">
        <v>200</v>
      </c>
      <c r="K2803" s="7">
        <v>44006974</v>
      </c>
      <c r="L2803" s="6" t="str">
        <f t="shared" si="279"/>
        <v>YT NİLÜFER  BAŞLIK  120x200</v>
      </c>
      <c r="M2803" s="12">
        <v>0.1</v>
      </c>
      <c r="N2803" s="12">
        <v>0.1</v>
      </c>
      <c r="O2803" s="8">
        <v>3150</v>
      </c>
      <c r="P2803" s="8">
        <f t="shared" si="276"/>
        <v>2835</v>
      </c>
      <c r="Q2803" s="12">
        <f t="shared" si="277"/>
        <v>5953.5</v>
      </c>
      <c r="R2803" s="31">
        <f t="shared" si="278"/>
        <v>5900</v>
      </c>
    </row>
    <row r="2804" spans="1:18" ht="21.95" customHeight="1" x14ac:dyDescent="0.2">
      <c r="A2804" s="6" t="s">
        <v>943</v>
      </c>
      <c r="B2804" s="6" t="s">
        <v>1596</v>
      </c>
      <c r="C2804" s="6" t="s">
        <v>1024</v>
      </c>
      <c r="D2804" s="6" t="s">
        <v>948</v>
      </c>
      <c r="E2804" s="6"/>
      <c r="G2804" s="6">
        <v>45</v>
      </c>
      <c r="H2804" s="6">
        <v>50</v>
      </c>
      <c r="I2804" s="7">
        <v>50</v>
      </c>
      <c r="K2804" s="7">
        <v>44006975</v>
      </c>
      <c r="L2804" s="6" t="str">
        <f t="shared" si="279"/>
        <v>YT NİLÜFER  KOMİDİN 45x50</v>
      </c>
      <c r="M2804" s="12">
        <v>0.1</v>
      </c>
      <c r="N2804" s="12">
        <v>0.1</v>
      </c>
      <c r="O2804" s="8">
        <v>4420</v>
      </c>
      <c r="P2804" s="8">
        <f t="shared" si="276"/>
        <v>3978</v>
      </c>
      <c r="Q2804" s="12">
        <f t="shared" si="277"/>
        <v>8353.8000000000011</v>
      </c>
      <c r="R2804" s="31">
        <f t="shared" si="278"/>
        <v>8300</v>
      </c>
    </row>
    <row r="2805" spans="1:18" ht="21.95" customHeight="1" x14ac:dyDescent="0.2">
      <c r="A2805" s="6" t="s">
        <v>943</v>
      </c>
      <c r="B2805" s="6" t="s">
        <v>1596</v>
      </c>
      <c r="C2805" s="6" t="s">
        <v>1052</v>
      </c>
      <c r="D2805" s="6" t="s">
        <v>1003</v>
      </c>
      <c r="E2805" s="6"/>
      <c r="G2805" s="6">
        <v>90</v>
      </c>
      <c r="H2805" s="6">
        <v>190</v>
      </c>
      <c r="K2805" s="7">
        <v>44006976</v>
      </c>
      <c r="L2805" s="6" t="str">
        <f t="shared" si="279"/>
        <v>YT MİNA BAŞLIK  90x190</v>
      </c>
      <c r="M2805" s="12">
        <v>0.1</v>
      </c>
      <c r="N2805" s="12">
        <v>0.1</v>
      </c>
      <c r="O2805" s="8">
        <v>3720</v>
      </c>
      <c r="P2805" s="8">
        <f t="shared" si="276"/>
        <v>3348</v>
      </c>
      <c r="Q2805" s="12">
        <f t="shared" si="277"/>
        <v>7030.8</v>
      </c>
      <c r="R2805" s="31">
        <f t="shared" si="278"/>
        <v>7000</v>
      </c>
    </row>
    <row r="2806" spans="1:18" ht="21.95" customHeight="1" x14ac:dyDescent="0.2">
      <c r="A2806" s="6" t="s">
        <v>943</v>
      </c>
      <c r="B2806" s="6" t="s">
        <v>1596</v>
      </c>
      <c r="C2806" s="6" t="s">
        <v>1052</v>
      </c>
      <c r="D2806" s="6" t="s">
        <v>1003</v>
      </c>
      <c r="E2806" s="6"/>
      <c r="G2806" s="6">
        <v>90</v>
      </c>
      <c r="H2806" s="6">
        <v>200</v>
      </c>
      <c r="K2806" s="7">
        <v>44006977</v>
      </c>
      <c r="L2806" s="6" t="str">
        <f t="shared" si="279"/>
        <v>YT MİNA BAŞLIK  90x200</v>
      </c>
      <c r="M2806" s="12">
        <v>0.1</v>
      </c>
      <c r="N2806" s="12">
        <v>0.1</v>
      </c>
      <c r="O2806" s="8">
        <v>3720</v>
      </c>
      <c r="P2806" s="8">
        <f t="shared" si="276"/>
        <v>3348</v>
      </c>
      <c r="Q2806" s="12">
        <f t="shared" si="277"/>
        <v>7030.8</v>
      </c>
      <c r="R2806" s="31">
        <f t="shared" si="278"/>
        <v>7000</v>
      </c>
    </row>
    <row r="2807" spans="1:18" ht="21.95" customHeight="1" x14ac:dyDescent="0.2">
      <c r="A2807" s="6" t="s">
        <v>943</v>
      </c>
      <c r="B2807" s="6" t="s">
        <v>1596</v>
      </c>
      <c r="C2807" s="6" t="s">
        <v>1052</v>
      </c>
      <c r="D2807" s="6" t="s">
        <v>1003</v>
      </c>
      <c r="E2807" s="6"/>
      <c r="G2807" s="6">
        <v>100</v>
      </c>
      <c r="H2807" s="6">
        <v>200</v>
      </c>
      <c r="K2807" s="7">
        <v>44006978</v>
      </c>
      <c r="L2807" s="6" t="str">
        <f t="shared" si="279"/>
        <v>YT MİNA BAŞLIK  100x200</v>
      </c>
      <c r="M2807" s="12">
        <v>0.1</v>
      </c>
      <c r="N2807" s="12">
        <v>0.1</v>
      </c>
      <c r="O2807" s="8">
        <v>3980</v>
      </c>
      <c r="P2807" s="8">
        <f t="shared" si="276"/>
        <v>3582</v>
      </c>
      <c r="Q2807" s="12">
        <f t="shared" si="277"/>
        <v>7522.2000000000007</v>
      </c>
      <c r="R2807" s="31">
        <f t="shared" si="278"/>
        <v>7500</v>
      </c>
    </row>
    <row r="2808" spans="1:18" ht="21.95" customHeight="1" x14ac:dyDescent="0.2">
      <c r="A2808" s="6" t="s">
        <v>943</v>
      </c>
      <c r="B2808" s="6" t="s">
        <v>1596</v>
      </c>
      <c r="C2808" s="6" t="s">
        <v>1052</v>
      </c>
      <c r="D2808" s="6" t="s">
        <v>1003</v>
      </c>
      <c r="E2808" s="6"/>
      <c r="G2808" s="6">
        <v>120</v>
      </c>
      <c r="H2808" s="6">
        <v>200</v>
      </c>
      <c r="K2808" s="7">
        <v>44006979</v>
      </c>
      <c r="L2808" s="6" t="str">
        <f t="shared" si="279"/>
        <v>YT MİNA BAŞLIK  120x200</v>
      </c>
      <c r="M2808" s="12">
        <v>0.1</v>
      </c>
      <c r="N2808" s="12">
        <v>0.1</v>
      </c>
      <c r="O2808" s="8">
        <v>4240</v>
      </c>
      <c r="P2808" s="8">
        <f t="shared" si="276"/>
        <v>3816</v>
      </c>
      <c r="Q2808" s="12">
        <f t="shared" si="277"/>
        <v>8013.6</v>
      </c>
      <c r="R2808" s="31">
        <f t="shared" si="278"/>
        <v>8000</v>
      </c>
    </row>
    <row r="2809" spans="1:18" ht="21.95" customHeight="1" x14ac:dyDescent="0.2">
      <c r="A2809" s="6" t="s">
        <v>943</v>
      </c>
      <c r="B2809" s="6" t="s">
        <v>1596</v>
      </c>
      <c r="C2809" s="6" t="s">
        <v>1053</v>
      </c>
      <c r="D2809" s="6" t="s">
        <v>989</v>
      </c>
      <c r="E2809" s="6"/>
      <c r="G2809" s="6">
        <v>90</v>
      </c>
      <c r="H2809" s="6">
        <v>190</v>
      </c>
      <c r="K2809" s="7">
        <v>44006980</v>
      </c>
      <c r="L2809" s="6" t="str">
        <f t="shared" si="279"/>
        <v>YT LEATHER  BAZA  90x190</v>
      </c>
      <c r="M2809" s="12">
        <v>0.1</v>
      </c>
      <c r="N2809" s="12">
        <v>0.1</v>
      </c>
      <c r="O2809" s="8">
        <v>4500</v>
      </c>
      <c r="P2809" s="8">
        <f t="shared" si="276"/>
        <v>4050</v>
      </c>
      <c r="Q2809" s="12">
        <f t="shared" si="277"/>
        <v>8505</v>
      </c>
      <c r="R2809" s="31">
        <f t="shared" si="278"/>
        <v>8500</v>
      </c>
    </row>
    <row r="2810" spans="1:18" ht="21.95" customHeight="1" x14ac:dyDescent="0.2">
      <c r="A2810" s="6" t="s">
        <v>943</v>
      </c>
      <c r="B2810" s="6" t="s">
        <v>1596</v>
      </c>
      <c r="C2810" s="6" t="s">
        <v>1053</v>
      </c>
      <c r="D2810" s="6" t="s">
        <v>989</v>
      </c>
      <c r="E2810" s="6"/>
      <c r="G2810" s="6">
        <v>90</v>
      </c>
      <c r="H2810" s="6">
        <v>200</v>
      </c>
      <c r="K2810" s="7">
        <v>44006981</v>
      </c>
      <c r="L2810" s="6" t="str">
        <f t="shared" si="279"/>
        <v>YT LEATHER  BAZA  90x200</v>
      </c>
      <c r="M2810" s="12">
        <v>0.1</v>
      </c>
      <c r="N2810" s="12">
        <v>0.1</v>
      </c>
      <c r="O2810" s="8">
        <v>4710</v>
      </c>
      <c r="P2810" s="8">
        <f t="shared" si="276"/>
        <v>4239</v>
      </c>
      <c r="Q2810" s="12">
        <f t="shared" si="277"/>
        <v>8901.9</v>
      </c>
      <c r="R2810" s="31">
        <f t="shared" si="278"/>
        <v>8900</v>
      </c>
    </row>
    <row r="2811" spans="1:18" ht="21.95" customHeight="1" x14ac:dyDescent="0.2">
      <c r="A2811" s="6" t="s">
        <v>943</v>
      </c>
      <c r="B2811" s="6" t="s">
        <v>1596</v>
      </c>
      <c r="C2811" s="6" t="s">
        <v>1053</v>
      </c>
      <c r="D2811" s="6" t="s">
        <v>989</v>
      </c>
      <c r="E2811" s="6"/>
      <c r="G2811" s="6">
        <v>100</v>
      </c>
      <c r="H2811" s="6">
        <v>200</v>
      </c>
      <c r="K2811" s="7">
        <v>44006982</v>
      </c>
      <c r="L2811" s="6" t="str">
        <f t="shared" si="279"/>
        <v>YT LEATHER  BAZA  100x200</v>
      </c>
      <c r="M2811" s="12">
        <v>0.1</v>
      </c>
      <c r="N2811" s="12">
        <v>0.1</v>
      </c>
      <c r="O2811" s="8">
        <v>5040</v>
      </c>
      <c r="P2811" s="8">
        <f t="shared" si="276"/>
        <v>4536</v>
      </c>
      <c r="Q2811" s="12">
        <f t="shared" si="277"/>
        <v>9525.6</v>
      </c>
      <c r="R2811" s="31">
        <f t="shared" si="278"/>
        <v>9500</v>
      </c>
    </row>
    <row r="2812" spans="1:18" ht="21.95" customHeight="1" x14ac:dyDescent="0.2">
      <c r="A2812" s="6" t="s">
        <v>943</v>
      </c>
      <c r="B2812" s="6" t="s">
        <v>1596</v>
      </c>
      <c r="C2812" s="6" t="s">
        <v>1053</v>
      </c>
      <c r="D2812" s="6" t="s">
        <v>989</v>
      </c>
      <c r="E2812" s="6"/>
      <c r="G2812" s="6">
        <v>120</v>
      </c>
      <c r="H2812" s="6">
        <v>200</v>
      </c>
      <c r="K2812" s="7">
        <v>44006983</v>
      </c>
      <c r="L2812" s="6" t="str">
        <f t="shared" si="279"/>
        <v>YT LEATHER  BAZA  120x200</v>
      </c>
      <c r="M2812" s="12">
        <v>0.1</v>
      </c>
      <c r="N2812" s="12">
        <v>0.1</v>
      </c>
      <c r="O2812" s="8">
        <v>5580</v>
      </c>
      <c r="P2812" s="8">
        <f t="shared" si="276"/>
        <v>5022</v>
      </c>
      <c r="Q2812" s="12">
        <f t="shared" si="277"/>
        <v>10546.2</v>
      </c>
      <c r="R2812" s="31">
        <f t="shared" si="278"/>
        <v>10500</v>
      </c>
    </row>
    <row r="2813" spans="1:18" ht="21.95" customHeight="1" x14ac:dyDescent="0.2">
      <c r="A2813" s="6" t="s">
        <v>943</v>
      </c>
      <c r="B2813" s="6" t="s">
        <v>1596</v>
      </c>
      <c r="C2813" s="6" t="s">
        <v>1054</v>
      </c>
      <c r="D2813" s="6" t="s">
        <v>1003</v>
      </c>
      <c r="E2813" s="6"/>
      <c r="G2813" s="6">
        <v>90</v>
      </c>
      <c r="H2813" s="6">
        <v>190</v>
      </c>
      <c r="K2813" s="7">
        <v>44006984</v>
      </c>
      <c r="L2813" s="6" t="str">
        <f t="shared" si="279"/>
        <v>YT PRENSES  BAŞLIK  90x190</v>
      </c>
      <c r="M2813" s="12">
        <v>0.1</v>
      </c>
      <c r="N2813" s="12">
        <v>0.1</v>
      </c>
      <c r="O2813" s="8">
        <v>2730</v>
      </c>
      <c r="P2813" s="8">
        <f t="shared" si="276"/>
        <v>2457</v>
      </c>
      <c r="Q2813" s="12">
        <f t="shared" si="277"/>
        <v>5159.7</v>
      </c>
      <c r="R2813" s="31">
        <f t="shared" si="278"/>
        <v>5100</v>
      </c>
    </row>
    <row r="2814" spans="1:18" ht="21.95" customHeight="1" x14ac:dyDescent="0.2">
      <c r="A2814" s="6" t="s">
        <v>943</v>
      </c>
      <c r="B2814" s="6" t="s">
        <v>1596</v>
      </c>
      <c r="C2814" s="6" t="s">
        <v>1054</v>
      </c>
      <c r="D2814" s="6" t="s">
        <v>1003</v>
      </c>
      <c r="E2814" s="6"/>
      <c r="G2814" s="6">
        <v>90</v>
      </c>
      <c r="H2814" s="6">
        <v>200</v>
      </c>
      <c r="K2814" s="7">
        <v>44006985</v>
      </c>
      <c r="L2814" s="6" t="str">
        <f t="shared" si="279"/>
        <v>YT PRENSES  BAŞLIK  90x200</v>
      </c>
      <c r="M2814" s="12">
        <v>0.1</v>
      </c>
      <c r="N2814" s="12">
        <v>0.1</v>
      </c>
      <c r="O2814" s="8">
        <v>2730</v>
      </c>
      <c r="P2814" s="8">
        <f t="shared" si="276"/>
        <v>2457</v>
      </c>
      <c r="Q2814" s="12">
        <f t="shared" si="277"/>
        <v>5159.7</v>
      </c>
      <c r="R2814" s="31">
        <f t="shared" si="278"/>
        <v>5100</v>
      </c>
    </row>
    <row r="2815" spans="1:18" ht="21.95" customHeight="1" x14ac:dyDescent="0.2">
      <c r="A2815" s="6" t="s">
        <v>943</v>
      </c>
      <c r="B2815" s="6" t="s">
        <v>1596</v>
      </c>
      <c r="C2815" s="6" t="s">
        <v>1054</v>
      </c>
      <c r="D2815" s="6" t="s">
        <v>1003</v>
      </c>
      <c r="E2815" s="6"/>
      <c r="G2815" s="6">
        <v>100</v>
      </c>
      <c r="H2815" s="6">
        <v>200</v>
      </c>
      <c r="K2815" s="7">
        <v>44006986</v>
      </c>
      <c r="L2815" s="6" t="str">
        <f t="shared" si="279"/>
        <v>YT PRENSES  BAŞLIK  100x200</v>
      </c>
      <c r="M2815" s="12">
        <v>0.1</v>
      </c>
      <c r="N2815" s="12">
        <v>0.1</v>
      </c>
      <c r="O2815" s="8">
        <v>2880</v>
      </c>
      <c r="P2815" s="8">
        <f t="shared" si="276"/>
        <v>2592</v>
      </c>
      <c r="Q2815" s="12">
        <f t="shared" si="277"/>
        <v>5443.2</v>
      </c>
      <c r="R2815" s="31">
        <f t="shared" si="278"/>
        <v>5400</v>
      </c>
    </row>
    <row r="2816" spans="1:18" ht="21.95" customHeight="1" x14ac:dyDescent="0.2">
      <c r="A2816" s="6" t="s">
        <v>943</v>
      </c>
      <c r="B2816" s="6" t="s">
        <v>1596</v>
      </c>
      <c r="C2816" s="6" t="s">
        <v>1054</v>
      </c>
      <c r="D2816" s="6" t="s">
        <v>1003</v>
      </c>
      <c r="E2816" s="6"/>
      <c r="G2816" s="6">
        <v>120</v>
      </c>
      <c r="H2816" s="6">
        <v>200</v>
      </c>
      <c r="K2816" s="7">
        <v>44006987</v>
      </c>
      <c r="L2816" s="6" t="str">
        <f t="shared" si="279"/>
        <v>YT PRENSES  BAŞLIK  120x200</v>
      </c>
      <c r="M2816" s="12">
        <v>0.1</v>
      </c>
      <c r="N2816" s="12">
        <v>0.1</v>
      </c>
      <c r="O2816" s="8">
        <v>3070</v>
      </c>
      <c r="P2816" s="8">
        <f t="shared" si="276"/>
        <v>2763</v>
      </c>
      <c r="Q2816" s="12">
        <f t="shared" si="277"/>
        <v>5802.3</v>
      </c>
      <c r="R2816" s="31">
        <f t="shared" si="278"/>
        <v>5800</v>
      </c>
    </row>
    <row r="2817" spans="1:18" ht="21.95" customHeight="1" x14ac:dyDescent="0.2">
      <c r="A2817" s="6" t="s">
        <v>943</v>
      </c>
      <c r="B2817" s="6" t="s">
        <v>1596</v>
      </c>
      <c r="C2817" s="6" t="s">
        <v>1055</v>
      </c>
      <c r="D2817" s="6" t="s">
        <v>953</v>
      </c>
      <c r="E2817" s="6"/>
      <c r="G2817" s="6">
        <v>90</v>
      </c>
      <c r="H2817" s="6">
        <v>190</v>
      </c>
      <c r="K2817" s="7">
        <v>44006988</v>
      </c>
      <c r="L2817" s="6" t="str">
        <f t="shared" si="279"/>
        <v>YT FİRUZE  YATAK 90x190</v>
      </c>
      <c r="M2817" s="12">
        <v>0.1</v>
      </c>
      <c r="N2817" s="12">
        <v>0.1</v>
      </c>
      <c r="O2817" s="8">
        <v>4560</v>
      </c>
      <c r="P2817" s="8">
        <f t="shared" si="276"/>
        <v>4104</v>
      </c>
      <c r="Q2817" s="12">
        <f t="shared" si="277"/>
        <v>8618.4</v>
      </c>
      <c r="R2817" s="31">
        <f t="shared" si="278"/>
        <v>8600</v>
      </c>
    </row>
    <row r="2818" spans="1:18" ht="21.95" customHeight="1" x14ac:dyDescent="0.2">
      <c r="A2818" s="6" t="s">
        <v>943</v>
      </c>
      <c r="B2818" s="6" t="s">
        <v>1596</v>
      </c>
      <c r="C2818" s="6" t="s">
        <v>1055</v>
      </c>
      <c r="D2818" s="6" t="s">
        <v>953</v>
      </c>
      <c r="E2818" s="6"/>
      <c r="G2818" s="6">
        <v>90</v>
      </c>
      <c r="H2818" s="6">
        <v>200</v>
      </c>
      <c r="K2818" s="7">
        <v>44006989</v>
      </c>
      <c r="L2818" s="6" t="str">
        <f t="shared" si="279"/>
        <v>YT FİRUZE  YATAK 90x200</v>
      </c>
      <c r="M2818" s="12">
        <v>0.1</v>
      </c>
      <c r="N2818" s="12">
        <v>0.1</v>
      </c>
      <c r="O2818" s="8">
        <v>4930</v>
      </c>
      <c r="P2818" s="8">
        <f t="shared" si="276"/>
        <v>4437</v>
      </c>
      <c r="Q2818" s="12">
        <f t="shared" si="277"/>
        <v>9317.7000000000007</v>
      </c>
      <c r="R2818" s="31">
        <f t="shared" si="278"/>
        <v>9300</v>
      </c>
    </row>
    <row r="2819" spans="1:18" ht="21.95" customHeight="1" x14ac:dyDescent="0.2">
      <c r="A2819" s="6" t="s">
        <v>943</v>
      </c>
      <c r="B2819" s="6" t="s">
        <v>1596</v>
      </c>
      <c r="C2819" s="6" t="s">
        <v>1055</v>
      </c>
      <c r="D2819" s="6" t="s">
        <v>953</v>
      </c>
      <c r="E2819" s="6"/>
      <c r="G2819" s="6">
        <v>100</v>
      </c>
      <c r="H2819" s="6">
        <v>200</v>
      </c>
      <c r="K2819" s="7">
        <v>44006990</v>
      </c>
      <c r="L2819" s="6" t="str">
        <f t="shared" si="279"/>
        <v>YT FİRUZE  YATAK 100x200</v>
      </c>
      <c r="M2819" s="12">
        <v>0.1</v>
      </c>
      <c r="N2819" s="12">
        <v>0.1</v>
      </c>
      <c r="O2819" s="8">
        <v>5410</v>
      </c>
      <c r="P2819" s="8">
        <f t="shared" si="276"/>
        <v>4869</v>
      </c>
      <c r="Q2819" s="12">
        <f t="shared" si="277"/>
        <v>10224.9</v>
      </c>
      <c r="R2819" s="31">
        <f t="shared" si="278"/>
        <v>10200</v>
      </c>
    </row>
    <row r="2820" spans="1:18" ht="21.95" customHeight="1" x14ac:dyDescent="0.2">
      <c r="A2820" s="6" t="s">
        <v>943</v>
      </c>
      <c r="B2820" s="6" t="s">
        <v>1596</v>
      </c>
      <c r="C2820" s="6" t="s">
        <v>1055</v>
      </c>
      <c r="D2820" s="6" t="s">
        <v>953</v>
      </c>
      <c r="E2820" s="6"/>
      <c r="G2820" s="6">
        <v>120</v>
      </c>
      <c r="H2820" s="6">
        <v>200</v>
      </c>
      <c r="K2820" s="7">
        <v>44006991</v>
      </c>
      <c r="L2820" s="6" t="str">
        <f t="shared" si="279"/>
        <v>YT FİRUZE  YATAK 120x200</v>
      </c>
      <c r="M2820" s="12">
        <v>0.1</v>
      </c>
      <c r="N2820" s="12">
        <v>0.1</v>
      </c>
      <c r="O2820" s="8">
        <v>5990</v>
      </c>
      <c r="P2820" s="8">
        <f t="shared" si="276"/>
        <v>5391</v>
      </c>
      <c r="Q2820" s="12">
        <f t="shared" si="277"/>
        <v>11321.1</v>
      </c>
      <c r="R2820" s="31">
        <f t="shared" si="278"/>
        <v>11300</v>
      </c>
    </row>
    <row r="2821" spans="1:18" ht="21.95" customHeight="1" x14ac:dyDescent="0.2">
      <c r="A2821" s="6" t="s">
        <v>943</v>
      </c>
      <c r="B2821" s="6" t="s">
        <v>1596</v>
      </c>
      <c r="C2821" s="6" t="s">
        <v>1056</v>
      </c>
      <c r="D2821" s="6" t="s">
        <v>951</v>
      </c>
      <c r="E2821" s="6"/>
      <c r="K2821" s="7">
        <v>44006992</v>
      </c>
      <c r="L2821" s="6" t="str">
        <f>B2821&amp;" "&amp;C2821&amp;" "&amp;D2821&amp;" "</f>
        <v xml:space="preserve">YT IRMAK MARKİZ </v>
      </c>
      <c r="M2821" s="12">
        <v>0.1</v>
      </c>
      <c r="N2821" s="12">
        <v>0.1</v>
      </c>
      <c r="O2821" s="8">
        <v>4310</v>
      </c>
      <c r="P2821" s="8">
        <f t="shared" si="276"/>
        <v>3879</v>
      </c>
      <c r="Q2821" s="12">
        <f t="shared" si="277"/>
        <v>8145.9000000000005</v>
      </c>
      <c r="R2821" s="31">
        <f t="shared" si="278"/>
        <v>8100</v>
      </c>
    </row>
    <row r="2822" spans="1:18" ht="21.95" customHeight="1" x14ac:dyDescent="0.2">
      <c r="A2822" s="6" t="s">
        <v>943</v>
      </c>
      <c r="B2822" s="6" t="s">
        <v>1596</v>
      </c>
      <c r="C2822" s="6" t="s">
        <v>1015</v>
      </c>
      <c r="D2822" s="6" t="s">
        <v>1003</v>
      </c>
      <c r="E2822" s="6"/>
      <c r="G2822" s="6">
        <v>90</v>
      </c>
      <c r="H2822" s="6">
        <v>190</v>
      </c>
      <c r="K2822" s="7">
        <v>44006993</v>
      </c>
      <c r="L2822" s="6" t="str">
        <f t="shared" ref="L2822:L2849" si="280">B2822&amp;" "&amp;C2822&amp;" "&amp;D2822&amp;" "&amp;G2822&amp;"x"&amp;H2822</f>
        <v>YT TOPKAPI  BAŞLIK  90x190</v>
      </c>
      <c r="M2822" s="12">
        <v>0.1</v>
      </c>
      <c r="N2822" s="12">
        <v>0.1</v>
      </c>
      <c r="O2822" s="8">
        <v>4680</v>
      </c>
      <c r="P2822" s="8">
        <f t="shared" si="276"/>
        <v>4212</v>
      </c>
      <c r="Q2822" s="12">
        <f t="shared" si="277"/>
        <v>8845.2000000000007</v>
      </c>
      <c r="R2822" s="31">
        <f t="shared" si="278"/>
        <v>8800</v>
      </c>
    </row>
    <row r="2823" spans="1:18" ht="21.95" customHeight="1" x14ac:dyDescent="0.2">
      <c r="A2823" s="6" t="s">
        <v>943</v>
      </c>
      <c r="B2823" s="6" t="s">
        <v>1596</v>
      </c>
      <c r="C2823" s="6" t="s">
        <v>1015</v>
      </c>
      <c r="D2823" s="6" t="s">
        <v>1003</v>
      </c>
      <c r="E2823" s="6"/>
      <c r="G2823" s="6">
        <v>90</v>
      </c>
      <c r="H2823" s="6">
        <v>200</v>
      </c>
      <c r="K2823" s="7">
        <v>44006994</v>
      </c>
      <c r="L2823" s="6" t="str">
        <f t="shared" si="280"/>
        <v>YT TOPKAPI  BAŞLIK  90x200</v>
      </c>
      <c r="M2823" s="12">
        <v>0.1</v>
      </c>
      <c r="N2823" s="12">
        <v>0.1</v>
      </c>
      <c r="O2823" s="8">
        <v>4680</v>
      </c>
      <c r="P2823" s="8">
        <f t="shared" si="276"/>
        <v>4212</v>
      </c>
      <c r="Q2823" s="12">
        <f t="shared" si="277"/>
        <v>8845.2000000000007</v>
      </c>
      <c r="R2823" s="31">
        <f t="shared" si="278"/>
        <v>8800</v>
      </c>
    </row>
    <row r="2824" spans="1:18" ht="21.95" customHeight="1" x14ac:dyDescent="0.2">
      <c r="A2824" s="6" t="s">
        <v>943</v>
      </c>
      <c r="B2824" s="6" t="s">
        <v>1596</v>
      </c>
      <c r="C2824" s="6" t="s">
        <v>1015</v>
      </c>
      <c r="D2824" s="6" t="s">
        <v>1003</v>
      </c>
      <c r="E2824" s="6"/>
      <c r="G2824" s="6">
        <v>100</v>
      </c>
      <c r="H2824" s="6">
        <v>200</v>
      </c>
      <c r="K2824" s="7">
        <v>44006995</v>
      </c>
      <c r="L2824" s="6" t="str">
        <f t="shared" si="280"/>
        <v>YT TOPKAPI  BAŞLIK  100x200</v>
      </c>
      <c r="M2824" s="12">
        <v>0.1</v>
      </c>
      <c r="N2824" s="12">
        <v>0.1</v>
      </c>
      <c r="O2824" s="8">
        <v>4900</v>
      </c>
      <c r="P2824" s="8">
        <f t="shared" si="276"/>
        <v>4410</v>
      </c>
      <c r="Q2824" s="12">
        <f t="shared" si="277"/>
        <v>9261</v>
      </c>
      <c r="R2824" s="31">
        <f t="shared" si="278"/>
        <v>9200</v>
      </c>
    </row>
    <row r="2825" spans="1:18" ht="21.95" customHeight="1" x14ac:dyDescent="0.2">
      <c r="A2825" s="6" t="s">
        <v>943</v>
      </c>
      <c r="B2825" s="6" t="s">
        <v>1596</v>
      </c>
      <c r="C2825" s="6" t="s">
        <v>1015</v>
      </c>
      <c r="D2825" s="6" t="s">
        <v>1003</v>
      </c>
      <c r="E2825" s="6"/>
      <c r="G2825" s="6">
        <v>120</v>
      </c>
      <c r="H2825" s="6">
        <v>200</v>
      </c>
      <c r="K2825" s="7">
        <v>44006996</v>
      </c>
      <c r="L2825" s="6" t="str">
        <f t="shared" si="280"/>
        <v>YT TOPKAPI  BAŞLIK  120x200</v>
      </c>
      <c r="M2825" s="12">
        <v>0.1</v>
      </c>
      <c r="N2825" s="12">
        <v>0.1</v>
      </c>
      <c r="O2825" s="8">
        <v>5400</v>
      </c>
      <c r="P2825" s="8">
        <f t="shared" si="276"/>
        <v>4860</v>
      </c>
      <c r="Q2825" s="12">
        <f t="shared" si="277"/>
        <v>10206</v>
      </c>
      <c r="R2825" s="31">
        <f t="shared" si="278"/>
        <v>10200</v>
      </c>
    </row>
    <row r="2826" spans="1:18" ht="21.95" customHeight="1" x14ac:dyDescent="0.2">
      <c r="A2826" s="6" t="s">
        <v>943</v>
      </c>
      <c r="B2826" s="6" t="s">
        <v>1596</v>
      </c>
      <c r="C2826" s="6" t="s">
        <v>1028</v>
      </c>
      <c r="D2826" s="6" t="s">
        <v>950</v>
      </c>
      <c r="E2826" s="6"/>
      <c r="G2826" s="6">
        <v>90</v>
      </c>
      <c r="H2826" s="6">
        <v>190</v>
      </c>
      <c r="K2826" s="7">
        <v>44006997</v>
      </c>
      <c r="L2826" s="6" t="str">
        <f t="shared" si="280"/>
        <v>YT PİRAMİT  BAŞLIK 90x190</v>
      </c>
      <c r="M2826" s="12">
        <v>0.1</v>
      </c>
      <c r="N2826" s="12">
        <v>0.1</v>
      </c>
      <c r="O2826" s="8">
        <v>3330</v>
      </c>
      <c r="P2826" s="8">
        <f t="shared" si="276"/>
        <v>2997</v>
      </c>
      <c r="Q2826" s="12">
        <f t="shared" si="277"/>
        <v>6293.7</v>
      </c>
      <c r="R2826" s="31">
        <f t="shared" si="278"/>
        <v>6200</v>
      </c>
    </row>
    <row r="2827" spans="1:18" ht="21.95" customHeight="1" x14ac:dyDescent="0.2">
      <c r="A2827" s="6" t="s">
        <v>943</v>
      </c>
      <c r="B2827" s="6" t="s">
        <v>1596</v>
      </c>
      <c r="C2827" s="6" t="s">
        <v>1028</v>
      </c>
      <c r="D2827" s="6" t="s">
        <v>950</v>
      </c>
      <c r="E2827" s="6"/>
      <c r="G2827" s="6">
        <v>90</v>
      </c>
      <c r="H2827" s="6">
        <v>200</v>
      </c>
      <c r="K2827" s="7">
        <v>44006998</v>
      </c>
      <c r="L2827" s="6" t="str">
        <f t="shared" si="280"/>
        <v>YT PİRAMİT  BAŞLIK 90x200</v>
      </c>
      <c r="M2827" s="12">
        <v>0.1</v>
      </c>
      <c r="N2827" s="12">
        <v>0.1</v>
      </c>
      <c r="O2827" s="8">
        <v>3330</v>
      </c>
      <c r="P2827" s="8">
        <f t="shared" si="276"/>
        <v>2997</v>
      </c>
      <c r="Q2827" s="12">
        <f t="shared" si="277"/>
        <v>6293.7</v>
      </c>
      <c r="R2827" s="31">
        <f t="shared" si="278"/>
        <v>6200</v>
      </c>
    </row>
    <row r="2828" spans="1:18" ht="21.95" customHeight="1" x14ac:dyDescent="0.2">
      <c r="A2828" s="6" t="s">
        <v>943</v>
      </c>
      <c r="B2828" s="6" t="s">
        <v>1596</v>
      </c>
      <c r="C2828" s="6" t="s">
        <v>1028</v>
      </c>
      <c r="D2828" s="6" t="s">
        <v>950</v>
      </c>
      <c r="E2828" s="6"/>
      <c r="G2828" s="6">
        <v>100</v>
      </c>
      <c r="H2828" s="6">
        <v>200</v>
      </c>
      <c r="K2828" s="7">
        <v>44006999</v>
      </c>
      <c r="L2828" s="6" t="str">
        <f t="shared" si="280"/>
        <v>YT PİRAMİT  BAŞLIK 100x200</v>
      </c>
      <c r="M2828" s="12">
        <v>0.1</v>
      </c>
      <c r="N2828" s="12">
        <v>0.1</v>
      </c>
      <c r="O2828" s="8">
        <v>3500</v>
      </c>
      <c r="P2828" s="8">
        <f t="shared" si="276"/>
        <v>3150</v>
      </c>
      <c r="Q2828" s="12">
        <f t="shared" si="277"/>
        <v>6615</v>
      </c>
      <c r="R2828" s="31">
        <f t="shared" si="278"/>
        <v>6600</v>
      </c>
    </row>
    <row r="2829" spans="1:18" ht="21.95" customHeight="1" x14ac:dyDescent="0.2">
      <c r="A2829" s="6" t="s">
        <v>943</v>
      </c>
      <c r="B2829" s="6" t="s">
        <v>1596</v>
      </c>
      <c r="C2829" s="6" t="s">
        <v>1028</v>
      </c>
      <c r="D2829" s="6" t="s">
        <v>950</v>
      </c>
      <c r="E2829" s="6"/>
      <c r="G2829" s="6">
        <v>120</v>
      </c>
      <c r="H2829" s="6">
        <v>200</v>
      </c>
      <c r="K2829" s="7">
        <v>44007000</v>
      </c>
      <c r="L2829" s="6" t="str">
        <f t="shared" si="280"/>
        <v>YT PİRAMİT  BAŞLIK 120x200</v>
      </c>
      <c r="M2829" s="12">
        <v>0.1</v>
      </c>
      <c r="N2829" s="12">
        <v>0.1</v>
      </c>
      <c r="O2829" s="8">
        <v>3660</v>
      </c>
      <c r="P2829" s="8">
        <f t="shared" si="276"/>
        <v>3294</v>
      </c>
      <c r="Q2829" s="12">
        <f t="shared" si="277"/>
        <v>6917.4000000000005</v>
      </c>
      <c r="R2829" s="31">
        <f t="shared" si="278"/>
        <v>6900</v>
      </c>
    </row>
    <row r="2830" spans="1:18" ht="21.95" customHeight="1" x14ac:dyDescent="0.2">
      <c r="A2830" s="6" t="s">
        <v>943</v>
      </c>
      <c r="B2830" s="6" t="s">
        <v>1596</v>
      </c>
      <c r="C2830" s="6" t="s">
        <v>1057</v>
      </c>
      <c r="D2830" s="6" t="s">
        <v>945</v>
      </c>
      <c r="E2830" s="6"/>
      <c r="G2830" s="6">
        <v>90</v>
      </c>
      <c r="H2830" s="6">
        <v>190</v>
      </c>
      <c r="K2830" s="7">
        <v>44007001</v>
      </c>
      <c r="L2830" s="6" t="str">
        <f t="shared" si="280"/>
        <v>YT IRMAK  BAZA 90x190</v>
      </c>
      <c r="M2830" s="12">
        <v>0.1</v>
      </c>
      <c r="N2830" s="12">
        <v>0.1</v>
      </c>
      <c r="O2830" s="8">
        <v>7150</v>
      </c>
      <c r="P2830" s="8">
        <f t="shared" ref="P2830:P2893" si="281">O2830*(1-N2830)</f>
        <v>6435</v>
      </c>
      <c r="Q2830" s="12">
        <f t="shared" ref="Q2830:Q2893" si="282">O2830*(1-N2830)*2.1</f>
        <v>13513.5</v>
      </c>
      <c r="R2830" s="31">
        <f t="shared" ref="R2830:R2893" si="283">ROUNDDOWN(Q2830,-2)</f>
        <v>13500</v>
      </c>
    </row>
    <row r="2831" spans="1:18" ht="21.95" customHeight="1" x14ac:dyDescent="0.2">
      <c r="A2831" s="6" t="s">
        <v>943</v>
      </c>
      <c r="B2831" s="6" t="s">
        <v>1596</v>
      </c>
      <c r="C2831" s="6" t="s">
        <v>1057</v>
      </c>
      <c r="D2831" s="6" t="s">
        <v>945</v>
      </c>
      <c r="E2831" s="6"/>
      <c r="G2831" s="6">
        <v>90</v>
      </c>
      <c r="H2831" s="6">
        <v>200</v>
      </c>
      <c r="K2831" s="7">
        <v>44007002</v>
      </c>
      <c r="L2831" s="6" t="str">
        <f t="shared" si="280"/>
        <v>YT IRMAK  BAZA 90x200</v>
      </c>
      <c r="M2831" s="12">
        <v>0.1</v>
      </c>
      <c r="N2831" s="12">
        <v>0.1</v>
      </c>
      <c r="O2831" s="8">
        <v>7610</v>
      </c>
      <c r="P2831" s="8">
        <f t="shared" si="281"/>
        <v>6849</v>
      </c>
      <c r="Q2831" s="12">
        <f t="shared" si="282"/>
        <v>14382.900000000001</v>
      </c>
      <c r="R2831" s="31">
        <f t="shared" si="283"/>
        <v>14300</v>
      </c>
    </row>
    <row r="2832" spans="1:18" ht="21.95" customHeight="1" x14ac:dyDescent="0.2">
      <c r="A2832" s="6" t="s">
        <v>943</v>
      </c>
      <c r="B2832" s="6" t="s">
        <v>1596</v>
      </c>
      <c r="C2832" s="6" t="s">
        <v>1057</v>
      </c>
      <c r="D2832" s="6" t="s">
        <v>945</v>
      </c>
      <c r="E2832" s="6"/>
      <c r="G2832" s="6">
        <v>100</v>
      </c>
      <c r="H2832" s="6">
        <v>200</v>
      </c>
      <c r="K2832" s="7">
        <v>44007003</v>
      </c>
      <c r="L2832" s="6" t="str">
        <f t="shared" si="280"/>
        <v>YT IRMAK  BAZA 100x200</v>
      </c>
      <c r="M2832" s="12">
        <v>0.1</v>
      </c>
      <c r="N2832" s="12">
        <v>0.1</v>
      </c>
      <c r="O2832" s="8">
        <v>8050</v>
      </c>
      <c r="P2832" s="8">
        <f t="shared" si="281"/>
        <v>7245</v>
      </c>
      <c r="Q2832" s="12">
        <f t="shared" si="282"/>
        <v>15214.5</v>
      </c>
      <c r="R2832" s="31">
        <f t="shared" si="283"/>
        <v>15200</v>
      </c>
    </row>
    <row r="2833" spans="1:18" ht="21.95" customHeight="1" x14ac:dyDescent="0.2">
      <c r="A2833" s="6" t="s">
        <v>943</v>
      </c>
      <c r="B2833" s="6" t="s">
        <v>1596</v>
      </c>
      <c r="C2833" s="6" t="s">
        <v>1057</v>
      </c>
      <c r="D2833" s="6" t="s">
        <v>945</v>
      </c>
      <c r="E2833" s="6"/>
      <c r="G2833" s="6">
        <v>120</v>
      </c>
      <c r="H2833" s="6">
        <v>200</v>
      </c>
      <c r="K2833" s="7">
        <v>44007004</v>
      </c>
      <c r="L2833" s="6" t="str">
        <f t="shared" si="280"/>
        <v>YT IRMAK  BAZA 120x200</v>
      </c>
      <c r="M2833" s="12">
        <v>0.1</v>
      </c>
      <c r="N2833" s="12">
        <v>0.1</v>
      </c>
      <c r="O2833" s="8">
        <v>9060</v>
      </c>
      <c r="P2833" s="8">
        <f t="shared" si="281"/>
        <v>8154</v>
      </c>
      <c r="Q2833" s="12">
        <f t="shared" si="282"/>
        <v>17123.400000000001</v>
      </c>
      <c r="R2833" s="31">
        <f t="shared" si="283"/>
        <v>17100</v>
      </c>
    </row>
    <row r="2834" spans="1:18" ht="21.95" customHeight="1" x14ac:dyDescent="0.2">
      <c r="A2834" s="6" t="s">
        <v>943</v>
      </c>
      <c r="B2834" s="6" t="s">
        <v>1596</v>
      </c>
      <c r="C2834" s="6" t="s">
        <v>1057</v>
      </c>
      <c r="D2834" s="6" t="s">
        <v>1003</v>
      </c>
      <c r="E2834" s="6"/>
      <c r="G2834" s="6">
        <v>90</v>
      </c>
      <c r="H2834" s="6">
        <v>190</v>
      </c>
      <c r="K2834" s="7">
        <v>44007005</v>
      </c>
      <c r="L2834" s="6" t="str">
        <f t="shared" si="280"/>
        <v>YT IRMAK  BAŞLIK  90x190</v>
      </c>
      <c r="M2834" s="12">
        <v>0.1</v>
      </c>
      <c r="N2834" s="12">
        <v>0.1</v>
      </c>
      <c r="O2834" s="8">
        <v>4320</v>
      </c>
      <c r="P2834" s="8">
        <f t="shared" si="281"/>
        <v>3888</v>
      </c>
      <c r="Q2834" s="12">
        <f t="shared" si="282"/>
        <v>8164.8</v>
      </c>
      <c r="R2834" s="31">
        <f t="shared" si="283"/>
        <v>8100</v>
      </c>
    </row>
    <row r="2835" spans="1:18" ht="21.95" customHeight="1" x14ac:dyDescent="0.2">
      <c r="A2835" s="6" t="s">
        <v>943</v>
      </c>
      <c r="B2835" s="6" t="s">
        <v>1596</v>
      </c>
      <c r="C2835" s="6" t="s">
        <v>1057</v>
      </c>
      <c r="D2835" s="6" t="s">
        <v>1003</v>
      </c>
      <c r="E2835" s="6"/>
      <c r="G2835" s="6">
        <v>90</v>
      </c>
      <c r="H2835" s="6">
        <v>200</v>
      </c>
      <c r="K2835" s="7">
        <v>44007006</v>
      </c>
      <c r="L2835" s="6" t="str">
        <f t="shared" si="280"/>
        <v>YT IRMAK  BAŞLIK  90x200</v>
      </c>
      <c r="M2835" s="12">
        <v>0.1</v>
      </c>
      <c r="N2835" s="12">
        <v>0.1</v>
      </c>
      <c r="O2835" s="8">
        <v>4320</v>
      </c>
      <c r="P2835" s="8">
        <f t="shared" si="281"/>
        <v>3888</v>
      </c>
      <c r="Q2835" s="12">
        <f t="shared" si="282"/>
        <v>8164.8</v>
      </c>
      <c r="R2835" s="31">
        <f t="shared" si="283"/>
        <v>8100</v>
      </c>
    </row>
    <row r="2836" spans="1:18" ht="21.95" customHeight="1" x14ac:dyDescent="0.2">
      <c r="A2836" s="6" t="s">
        <v>943</v>
      </c>
      <c r="B2836" s="6" t="s">
        <v>1596</v>
      </c>
      <c r="C2836" s="6" t="s">
        <v>1057</v>
      </c>
      <c r="D2836" s="6" t="s">
        <v>1003</v>
      </c>
      <c r="E2836" s="6"/>
      <c r="G2836" s="6">
        <v>100</v>
      </c>
      <c r="H2836" s="6">
        <v>200</v>
      </c>
      <c r="K2836" s="7">
        <v>44007007</v>
      </c>
      <c r="L2836" s="6" t="str">
        <f t="shared" si="280"/>
        <v>YT IRMAK  BAŞLIK  100x200</v>
      </c>
      <c r="M2836" s="12">
        <v>0.1</v>
      </c>
      <c r="N2836" s="12">
        <v>0.1</v>
      </c>
      <c r="O2836" s="8">
        <v>4610</v>
      </c>
      <c r="P2836" s="8">
        <f t="shared" si="281"/>
        <v>4149</v>
      </c>
      <c r="Q2836" s="12">
        <f t="shared" si="282"/>
        <v>8712.9</v>
      </c>
      <c r="R2836" s="31">
        <f t="shared" si="283"/>
        <v>8700</v>
      </c>
    </row>
    <row r="2837" spans="1:18" ht="21.95" customHeight="1" x14ac:dyDescent="0.2">
      <c r="A2837" s="6" t="s">
        <v>943</v>
      </c>
      <c r="B2837" s="6" t="s">
        <v>1596</v>
      </c>
      <c r="C2837" s="6" t="s">
        <v>1057</v>
      </c>
      <c r="D2837" s="6" t="s">
        <v>1003</v>
      </c>
      <c r="E2837" s="6"/>
      <c r="G2837" s="6">
        <v>120</v>
      </c>
      <c r="H2837" s="6">
        <v>200</v>
      </c>
      <c r="K2837" s="7">
        <v>44007008</v>
      </c>
      <c r="L2837" s="6" t="str">
        <f t="shared" si="280"/>
        <v>YT IRMAK  BAŞLIK  120x200</v>
      </c>
      <c r="M2837" s="12">
        <v>0.1</v>
      </c>
      <c r="N2837" s="12">
        <v>0.1</v>
      </c>
      <c r="O2837" s="8">
        <v>4870</v>
      </c>
      <c r="P2837" s="8">
        <f t="shared" si="281"/>
        <v>4383</v>
      </c>
      <c r="Q2837" s="12">
        <f t="shared" si="282"/>
        <v>9204.3000000000011</v>
      </c>
      <c r="R2837" s="31">
        <f t="shared" si="283"/>
        <v>9200</v>
      </c>
    </row>
    <row r="2838" spans="1:18" ht="21.95" customHeight="1" x14ac:dyDescent="0.2">
      <c r="A2838" s="6" t="s">
        <v>943</v>
      </c>
      <c r="B2838" s="6" t="s">
        <v>1596</v>
      </c>
      <c r="C2838" s="6" t="s">
        <v>1058</v>
      </c>
      <c r="D2838" s="6" t="s">
        <v>1003</v>
      </c>
      <c r="E2838" s="6"/>
      <c r="G2838" s="6">
        <v>90</v>
      </c>
      <c r="H2838" s="6">
        <v>190</v>
      </c>
      <c r="K2838" s="7">
        <v>44007009</v>
      </c>
      <c r="L2838" s="6" t="str">
        <f t="shared" si="280"/>
        <v>YT LALEZAR  BAŞLIK  90x190</v>
      </c>
      <c r="M2838" s="12">
        <v>0.1</v>
      </c>
      <c r="N2838" s="12">
        <v>0.1</v>
      </c>
      <c r="O2838" s="8">
        <v>4430</v>
      </c>
      <c r="P2838" s="8">
        <f t="shared" si="281"/>
        <v>3987</v>
      </c>
      <c r="Q2838" s="12">
        <f t="shared" si="282"/>
        <v>8372.7000000000007</v>
      </c>
      <c r="R2838" s="31">
        <f t="shared" si="283"/>
        <v>8300</v>
      </c>
    </row>
    <row r="2839" spans="1:18" ht="21.95" customHeight="1" x14ac:dyDescent="0.2">
      <c r="A2839" s="6" t="s">
        <v>943</v>
      </c>
      <c r="B2839" s="6" t="s">
        <v>1596</v>
      </c>
      <c r="C2839" s="6" t="s">
        <v>1058</v>
      </c>
      <c r="D2839" s="6" t="s">
        <v>1003</v>
      </c>
      <c r="E2839" s="6"/>
      <c r="G2839" s="6">
        <v>90</v>
      </c>
      <c r="H2839" s="6">
        <v>200</v>
      </c>
      <c r="K2839" s="7">
        <v>44007010</v>
      </c>
      <c r="L2839" s="6" t="str">
        <f t="shared" si="280"/>
        <v>YT LALEZAR  BAŞLIK  90x200</v>
      </c>
      <c r="M2839" s="12">
        <v>0.1</v>
      </c>
      <c r="N2839" s="12">
        <v>0.1</v>
      </c>
      <c r="O2839" s="8">
        <v>4430</v>
      </c>
      <c r="P2839" s="8">
        <f t="shared" si="281"/>
        <v>3987</v>
      </c>
      <c r="Q2839" s="12">
        <f t="shared" si="282"/>
        <v>8372.7000000000007</v>
      </c>
      <c r="R2839" s="31">
        <f t="shared" si="283"/>
        <v>8300</v>
      </c>
    </row>
    <row r="2840" spans="1:18" ht="21.95" customHeight="1" x14ac:dyDescent="0.2">
      <c r="A2840" s="6" t="s">
        <v>943</v>
      </c>
      <c r="B2840" s="6" t="s">
        <v>1596</v>
      </c>
      <c r="C2840" s="6" t="s">
        <v>1058</v>
      </c>
      <c r="D2840" s="6" t="s">
        <v>1003</v>
      </c>
      <c r="E2840" s="6"/>
      <c r="G2840" s="6">
        <v>100</v>
      </c>
      <c r="H2840" s="6">
        <v>200</v>
      </c>
      <c r="K2840" s="7">
        <v>44007011</v>
      </c>
      <c r="L2840" s="6" t="str">
        <f t="shared" si="280"/>
        <v>YT LALEZAR  BAŞLIK  100x200</v>
      </c>
      <c r="M2840" s="12">
        <v>0.1</v>
      </c>
      <c r="N2840" s="12">
        <v>0.1</v>
      </c>
      <c r="O2840" s="8">
        <v>4730</v>
      </c>
      <c r="P2840" s="8">
        <f t="shared" si="281"/>
        <v>4257</v>
      </c>
      <c r="Q2840" s="12">
        <f t="shared" si="282"/>
        <v>8939.7000000000007</v>
      </c>
      <c r="R2840" s="31">
        <f t="shared" si="283"/>
        <v>8900</v>
      </c>
    </row>
    <row r="2841" spans="1:18" ht="21.95" customHeight="1" x14ac:dyDescent="0.2">
      <c r="A2841" s="6" t="s">
        <v>943</v>
      </c>
      <c r="B2841" s="6" t="s">
        <v>1596</v>
      </c>
      <c r="C2841" s="6" t="s">
        <v>1058</v>
      </c>
      <c r="D2841" s="6" t="s">
        <v>1003</v>
      </c>
      <c r="E2841" s="6"/>
      <c r="G2841" s="6">
        <v>120</v>
      </c>
      <c r="H2841" s="6">
        <v>200</v>
      </c>
      <c r="K2841" s="7">
        <v>44007012</v>
      </c>
      <c r="L2841" s="6" t="str">
        <f t="shared" si="280"/>
        <v>YT LALEZAR  BAŞLIK  120x200</v>
      </c>
      <c r="M2841" s="12">
        <v>0.1</v>
      </c>
      <c r="N2841" s="12">
        <v>0.1</v>
      </c>
      <c r="O2841" s="8">
        <v>5060</v>
      </c>
      <c r="P2841" s="8">
        <f t="shared" si="281"/>
        <v>4554</v>
      </c>
      <c r="Q2841" s="12">
        <f t="shared" si="282"/>
        <v>9563.4</v>
      </c>
      <c r="R2841" s="31">
        <f t="shared" si="283"/>
        <v>9500</v>
      </c>
    </row>
    <row r="2842" spans="1:18" ht="21.95" customHeight="1" x14ac:dyDescent="0.2">
      <c r="A2842" s="6" t="s">
        <v>943</v>
      </c>
      <c r="B2842" s="6" t="s">
        <v>1596</v>
      </c>
      <c r="C2842" s="6" t="s">
        <v>970</v>
      </c>
      <c r="D2842" s="6" t="s">
        <v>1003</v>
      </c>
      <c r="E2842" s="6"/>
      <c r="G2842" s="6">
        <v>90</v>
      </c>
      <c r="H2842" s="6">
        <v>190</v>
      </c>
      <c r="K2842" s="7">
        <v>44007013</v>
      </c>
      <c r="L2842" s="6" t="str">
        <f t="shared" si="280"/>
        <v>YT EFSANE BAŞLIK  90x190</v>
      </c>
      <c r="M2842" s="12">
        <v>0.1</v>
      </c>
      <c r="N2842" s="12">
        <v>0.1</v>
      </c>
      <c r="O2842" s="8">
        <v>2610</v>
      </c>
      <c r="P2842" s="8">
        <f t="shared" si="281"/>
        <v>2349</v>
      </c>
      <c r="Q2842" s="12">
        <f t="shared" si="282"/>
        <v>4932.9000000000005</v>
      </c>
      <c r="R2842" s="31">
        <f t="shared" si="283"/>
        <v>4900</v>
      </c>
    </row>
    <row r="2843" spans="1:18" ht="21.95" customHeight="1" x14ac:dyDescent="0.2">
      <c r="A2843" s="6" t="s">
        <v>943</v>
      </c>
      <c r="B2843" s="6" t="s">
        <v>1596</v>
      </c>
      <c r="C2843" s="6" t="s">
        <v>970</v>
      </c>
      <c r="D2843" s="6" t="s">
        <v>950</v>
      </c>
      <c r="E2843" s="6"/>
      <c r="G2843" s="6">
        <v>90</v>
      </c>
      <c r="H2843" s="6">
        <v>200</v>
      </c>
      <c r="K2843" s="7">
        <v>44007014</v>
      </c>
      <c r="L2843" s="6" t="str">
        <f t="shared" si="280"/>
        <v>YT EFSANE BAŞLIK 90x200</v>
      </c>
      <c r="M2843" s="12">
        <v>0.1</v>
      </c>
      <c r="N2843" s="12">
        <v>0.1</v>
      </c>
      <c r="O2843" s="8">
        <v>2610</v>
      </c>
      <c r="P2843" s="8">
        <f t="shared" si="281"/>
        <v>2349</v>
      </c>
      <c r="Q2843" s="12">
        <f t="shared" si="282"/>
        <v>4932.9000000000005</v>
      </c>
      <c r="R2843" s="31">
        <f t="shared" si="283"/>
        <v>4900</v>
      </c>
    </row>
    <row r="2844" spans="1:18" ht="21.95" customHeight="1" x14ac:dyDescent="0.2">
      <c r="A2844" s="6" t="s">
        <v>943</v>
      </c>
      <c r="B2844" s="6" t="s">
        <v>1596</v>
      </c>
      <c r="C2844" s="6" t="s">
        <v>970</v>
      </c>
      <c r="D2844" s="6" t="s">
        <v>950</v>
      </c>
      <c r="E2844" s="6"/>
      <c r="G2844" s="6">
        <v>100</v>
      </c>
      <c r="H2844" s="6">
        <v>200</v>
      </c>
      <c r="K2844" s="7">
        <v>44007015</v>
      </c>
      <c r="L2844" s="6" t="str">
        <f t="shared" si="280"/>
        <v>YT EFSANE BAŞLIK 100x200</v>
      </c>
      <c r="M2844" s="12">
        <v>0.1</v>
      </c>
      <c r="N2844" s="12">
        <v>0.1</v>
      </c>
      <c r="O2844" s="8">
        <v>2930</v>
      </c>
      <c r="P2844" s="8">
        <f t="shared" si="281"/>
        <v>2637</v>
      </c>
      <c r="Q2844" s="12">
        <f t="shared" si="282"/>
        <v>5537.7</v>
      </c>
      <c r="R2844" s="31">
        <f t="shared" si="283"/>
        <v>5500</v>
      </c>
    </row>
    <row r="2845" spans="1:18" ht="21.95" customHeight="1" x14ac:dyDescent="0.2">
      <c r="A2845" s="6" t="s">
        <v>943</v>
      </c>
      <c r="B2845" s="6" t="s">
        <v>1596</v>
      </c>
      <c r="C2845" s="6" t="s">
        <v>970</v>
      </c>
      <c r="D2845" s="6" t="s">
        <v>1003</v>
      </c>
      <c r="E2845" s="6"/>
      <c r="G2845" s="6">
        <v>120</v>
      </c>
      <c r="H2845" s="6">
        <v>200</v>
      </c>
      <c r="K2845" s="7">
        <v>44007016</v>
      </c>
      <c r="L2845" s="6" t="str">
        <f t="shared" si="280"/>
        <v>YT EFSANE BAŞLIK  120x200</v>
      </c>
      <c r="M2845" s="12">
        <v>0.1</v>
      </c>
      <c r="N2845" s="12">
        <v>0.1</v>
      </c>
      <c r="O2845" s="8">
        <v>3390</v>
      </c>
      <c r="P2845" s="8">
        <f t="shared" si="281"/>
        <v>3051</v>
      </c>
      <c r="Q2845" s="12">
        <f t="shared" si="282"/>
        <v>6407.1</v>
      </c>
      <c r="R2845" s="31">
        <f t="shared" si="283"/>
        <v>6400</v>
      </c>
    </row>
    <row r="2846" spans="1:18" ht="21.95" customHeight="1" x14ac:dyDescent="0.2">
      <c r="A2846" s="6" t="s">
        <v>943</v>
      </c>
      <c r="B2846" s="6" t="s">
        <v>1596</v>
      </c>
      <c r="C2846" s="6" t="s">
        <v>1059</v>
      </c>
      <c r="D2846" s="6" t="s">
        <v>1003</v>
      </c>
      <c r="E2846" s="6"/>
      <c r="G2846" s="6">
        <v>90</v>
      </c>
      <c r="H2846" s="6">
        <v>190</v>
      </c>
      <c r="K2846" s="7">
        <v>44007017</v>
      </c>
      <c r="L2846" s="6" t="str">
        <f t="shared" si="280"/>
        <v>YT OKYANUS BAŞLIK  90x190</v>
      </c>
      <c r="M2846" s="12">
        <v>0.1</v>
      </c>
      <c r="N2846" s="12">
        <v>0.1</v>
      </c>
      <c r="O2846" s="8">
        <v>1660</v>
      </c>
      <c r="P2846" s="8">
        <f t="shared" si="281"/>
        <v>1494</v>
      </c>
      <c r="Q2846" s="12">
        <f t="shared" si="282"/>
        <v>3137.4</v>
      </c>
      <c r="R2846" s="31">
        <f t="shared" si="283"/>
        <v>3100</v>
      </c>
    </row>
    <row r="2847" spans="1:18" ht="21.95" customHeight="1" x14ac:dyDescent="0.2">
      <c r="A2847" s="6" t="s">
        <v>943</v>
      </c>
      <c r="B2847" s="6" t="s">
        <v>1596</v>
      </c>
      <c r="C2847" s="6" t="s">
        <v>1059</v>
      </c>
      <c r="D2847" s="6" t="s">
        <v>1003</v>
      </c>
      <c r="E2847" s="6"/>
      <c r="G2847" s="6">
        <v>90</v>
      </c>
      <c r="H2847" s="6">
        <v>200</v>
      </c>
      <c r="K2847" s="7">
        <v>44007018</v>
      </c>
      <c r="L2847" s="6" t="str">
        <f t="shared" si="280"/>
        <v>YT OKYANUS BAŞLIK  90x200</v>
      </c>
      <c r="M2847" s="12">
        <v>0.1</v>
      </c>
      <c r="N2847" s="12">
        <v>0.1</v>
      </c>
      <c r="O2847" s="8">
        <v>1660</v>
      </c>
      <c r="P2847" s="8">
        <f t="shared" si="281"/>
        <v>1494</v>
      </c>
      <c r="Q2847" s="12">
        <f t="shared" si="282"/>
        <v>3137.4</v>
      </c>
      <c r="R2847" s="31">
        <f t="shared" si="283"/>
        <v>3100</v>
      </c>
    </row>
    <row r="2848" spans="1:18" ht="21.95" customHeight="1" x14ac:dyDescent="0.2">
      <c r="A2848" s="6" t="s">
        <v>943</v>
      </c>
      <c r="B2848" s="6" t="s">
        <v>1596</v>
      </c>
      <c r="C2848" s="6" t="s">
        <v>1059</v>
      </c>
      <c r="D2848" s="6" t="s">
        <v>1003</v>
      </c>
      <c r="E2848" s="6"/>
      <c r="G2848" s="6">
        <v>100</v>
      </c>
      <c r="H2848" s="6">
        <v>200</v>
      </c>
      <c r="K2848" s="7">
        <v>44007019</v>
      </c>
      <c r="L2848" s="6" t="str">
        <f t="shared" si="280"/>
        <v>YT OKYANUS BAŞLIK  100x200</v>
      </c>
      <c r="M2848" s="12">
        <v>0.1</v>
      </c>
      <c r="N2848" s="12">
        <v>0.1</v>
      </c>
      <c r="O2848" s="8">
        <v>1820</v>
      </c>
      <c r="P2848" s="8">
        <f t="shared" si="281"/>
        <v>1638</v>
      </c>
      <c r="Q2848" s="12">
        <f t="shared" si="282"/>
        <v>3439.8</v>
      </c>
      <c r="R2848" s="31">
        <f t="shared" si="283"/>
        <v>3400</v>
      </c>
    </row>
    <row r="2849" spans="1:18" ht="21.95" customHeight="1" x14ac:dyDescent="0.2">
      <c r="A2849" s="6" t="s">
        <v>943</v>
      </c>
      <c r="B2849" s="6" t="s">
        <v>1596</v>
      </c>
      <c r="C2849" s="6" t="s">
        <v>1059</v>
      </c>
      <c r="D2849" s="6" t="s">
        <v>1003</v>
      </c>
      <c r="E2849" s="6"/>
      <c r="G2849" s="6">
        <v>120</v>
      </c>
      <c r="H2849" s="6">
        <v>200</v>
      </c>
      <c r="K2849" s="7">
        <v>44007020</v>
      </c>
      <c r="L2849" s="6" t="str">
        <f t="shared" si="280"/>
        <v>YT OKYANUS BAŞLIK  120x200</v>
      </c>
      <c r="M2849" s="12">
        <v>0.1</v>
      </c>
      <c r="N2849" s="12">
        <v>0.1</v>
      </c>
      <c r="O2849" s="8">
        <v>2050</v>
      </c>
      <c r="P2849" s="8">
        <f t="shared" si="281"/>
        <v>1845</v>
      </c>
      <c r="Q2849" s="12">
        <f t="shared" si="282"/>
        <v>3874.5</v>
      </c>
      <c r="R2849" s="31">
        <f t="shared" si="283"/>
        <v>3800</v>
      </c>
    </row>
    <row r="2850" spans="1:18" ht="21.95" customHeight="1" x14ac:dyDescent="0.2">
      <c r="A2850" s="6" t="s">
        <v>943</v>
      </c>
      <c r="B2850" s="6" t="s">
        <v>1596</v>
      </c>
      <c r="C2850" s="6" t="s">
        <v>1011</v>
      </c>
      <c r="D2850" s="6" t="s">
        <v>96</v>
      </c>
      <c r="E2850" s="6"/>
      <c r="K2850" s="7">
        <v>44007021</v>
      </c>
      <c r="L2850" s="6" t="str">
        <f>B2850&amp;" "&amp;C2850&amp;" "&amp;D2850&amp;" "</f>
        <v xml:space="preserve">YT KRİSTAL  ŞİFONYER  </v>
      </c>
      <c r="M2850" s="12">
        <v>0.1</v>
      </c>
      <c r="N2850" s="12">
        <v>0.1</v>
      </c>
      <c r="O2850" s="8">
        <v>9970</v>
      </c>
      <c r="P2850" s="8">
        <f t="shared" si="281"/>
        <v>8973</v>
      </c>
      <c r="Q2850" s="12">
        <f t="shared" si="282"/>
        <v>18843.3</v>
      </c>
      <c r="R2850" s="31">
        <f t="shared" si="283"/>
        <v>18800</v>
      </c>
    </row>
    <row r="2851" spans="1:18" ht="21.95" customHeight="1" x14ac:dyDescent="0.2">
      <c r="A2851" s="6" t="s">
        <v>943</v>
      </c>
      <c r="B2851" s="6" t="s">
        <v>1596</v>
      </c>
      <c r="C2851" s="6" t="s">
        <v>1060</v>
      </c>
      <c r="D2851" s="6" t="s">
        <v>1003</v>
      </c>
      <c r="E2851" s="6"/>
      <c r="G2851" s="6">
        <v>90</v>
      </c>
      <c r="H2851" s="6">
        <v>190</v>
      </c>
      <c r="K2851" s="7">
        <v>44007022</v>
      </c>
      <c r="L2851" s="6" t="str">
        <f t="shared" ref="L2851:L2868" si="284">B2851&amp;" "&amp;C2851&amp;" "&amp;D2851&amp;" "&amp;G2851&amp;"x"&amp;H2851</f>
        <v>YT HAYAL  BAŞLIK  90x190</v>
      </c>
      <c r="M2851" s="12">
        <v>0.1</v>
      </c>
      <c r="N2851" s="12">
        <v>0.1</v>
      </c>
      <c r="O2851" s="8">
        <v>1860</v>
      </c>
      <c r="P2851" s="8">
        <f t="shared" si="281"/>
        <v>1674</v>
      </c>
      <c r="Q2851" s="12">
        <f t="shared" si="282"/>
        <v>3515.4</v>
      </c>
      <c r="R2851" s="31">
        <f t="shared" si="283"/>
        <v>3500</v>
      </c>
    </row>
    <row r="2852" spans="1:18" ht="21.95" customHeight="1" x14ac:dyDescent="0.2">
      <c r="A2852" s="6" t="s">
        <v>943</v>
      </c>
      <c r="B2852" s="6" t="s">
        <v>1596</v>
      </c>
      <c r="C2852" s="6" t="s">
        <v>1060</v>
      </c>
      <c r="D2852" s="6" t="s">
        <v>1003</v>
      </c>
      <c r="E2852" s="6"/>
      <c r="G2852" s="6">
        <v>90</v>
      </c>
      <c r="H2852" s="6">
        <v>200</v>
      </c>
      <c r="K2852" s="7">
        <v>44007023</v>
      </c>
      <c r="L2852" s="6" t="str">
        <f t="shared" si="284"/>
        <v>YT HAYAL  BAŞLIK  90x200</v>
      </c>
      <c r="M2852" s="12">
        <v>0.1</v>
      </c>
      <c r="N2852" s="12">
        <v>0.1</v>
      </c>
      <c r="O2852" s="8">
        <v>1860</v>
      </c>
      <c r="P2852" s="8">
        <f t="shared" si="281"/>
        <v>1674</v>
      </c>
      <c r="Q2852" s="12">
        <f t="shared" si="282"/>
        <v>3515.4</v>
      </c>
      <c r="R2852" s="31">
        <f t="shared" si="283"/>
        <v>3500</v>
      </c>
    </row>
    <row r="2853" spans="1:18" ht="21.95" customHeight="1" x14ac:dyDescent="0.2">
      <c r="A2853" s="6" t="s">
        <v>943</v>
      </c>
      <c r="B2853" s="6" t="s">
        <v>1596</v>
      </c>
      <c r="C2853" s="6" t="s">
        <v>1060</v>
      </c>
      <c r="D2853" s="6" t="s">
        <v>1003</v>
      </c>
      <c r="E2853" s="6"/>
      <c r="G2853" s="6">
        <v>100</v>
      </c>
      <c r="H2853" s="6">
        <v>200</v>
      </c>
      <c r="K2853" s="7">
        <v>44007024</v>
      </c>
      <c r="L2853" s="6" t="str">
        <f t="shared" si="284"/>
        <v>YT HAYAL  BAŞLIK  100x200</v>
      </c>
      <c r="M2853" s="12">
        <v>0.1</v>
      </c>
      <c r="N2853" s="12">
        <v>0.1</v>
      </c>
      <c r="O2853" s="8">
        <v>2020</v>
      </c>
      <c r="P2853" s="8">
        <f t="shared" si="281"/>
        <v>1818</v>
      </c>
      <c r="Q2853" s="12">
        <f t="shared" si="282"/>
        <v>3817.8</v>
      </c>
      <c r="R2853" s="31">
        <f t="shared" si="283"/>
        <v>3800</v>
      </c>
    </row>
    <row r="2854" spans="1:18" ht="21.95" customHeight="1" x14ac:dyDescent="0.2">
      <c r="A2854" s="6" t="s">
        <v>943</v>
      </c>
      <c r="B2854" s="6" t="s">
        <v>1596</v>
      </c>
      <c r="C2854" s="6" t="s">
        <v>1060</v>
      </c>
      <c r="D2854" s="6" t="s">
        <v>1003</v>
      </c>
      <c r="E2854" s="6"/>
      <c r="G2854" s="6">
        <v>120</v>
      </c>
      <c r="H2854" s="6">
        <v>200</v>
      </c>
      <c r="K2854" s="7">
        <v>44007025</v>
      </c>
      <c r="L2854" s="6" t="str">
        <f t="shared" si="284"/>
        <v>YT HAYAL  BAŞLIK  120x200</v>
      </c>
      <c r="M2854" s="12">
        <v>0.1</v>
      </c>
      <c r="N2854" s="12">
        <v>0.1</v>
      </c>
      <c r="O2854" s="8">
        <v>2290</v>
      </c>
      <c r="P2854" s="8">
        <f t="shared" si="281"/>
        <v>2061</v>
      </c>
      <c r="Q2854" s="12">
        <f t="shared" si="282"/>
        <v>4328.1000000000004</v>
      </c>
      <c r="R2854" s="31">
        <f t="shared" si="283"/>
        <v>4300</v>
      </c>
    </row>
    <row r="2855" spans="1:18" ht="21.95" customHeight="1" x14ac:dyDescent="0.2">
      <c r="A2855" s="6" t="s">
        <v>943</v>
      </c>
      <c r="B2855" s="6" t="s">
        <v>1596</v>
      </c>
      <c r="C2855" s="6" t="s">
        <v>1033</v>
      </c>
      <c r="D2855" s="6" t="s">
        <v>1003</v>
      </c>
      <c r="E2855" s="6"/>
      <c r="G2855" s="6">
        <v>90</v>
      </c>
      <c r="H2855" s="6">
        <v>190</v>
      </c>
      <c r="K2855" s="7">
        <v>44007026</v>
      </c>
      <c r="L2855" s="6" t="str">
        <f t="shared" si="284"/>
        <v>YT ATLAS  BAŞLIK  90x190</v>
      </c>
      <c r="M2855" s="12">
        <v>0.1</v>
      </c>
      <c r="N2855" s="12">
        <v>0.1</v>
      </c>
      <c r="O2855" s="8">
        <v>1760</v>
      </c>
      <c r="P2855" s="8">
        <f t="shared" si="281"/>
        <v>1584</v>
      </c>
      <c r="Q2855" s="12">
        <f t="shared" si="282"/>
        <v>3326.4</v>
      </c>
      <c r="R2855" s="31">
        <f t="shared" si="283"/>
        <v>3300</v>
      </c>
    </row>
    <row r="2856" spans="1:18" ht="21.95" customHeight="1" x14ac:dyDescent="0.2">
      <c r="A2856" s="6" t="s">
        <v>943</v>
      </c>
      <c r="B2856" s="6" t="s">
        <v>1596</v>
      </c>
      <c r="C2856" s="6" t="s">
        <v>1033</v>
      </c>
      <c r="D2856" s="6" t="s">
        <v>1003</v>
      </c>
      <c r="E2856" s="6"/>
      <c r="G2856" s="6">
        <v>90</v>
      </c>
      <c r="H2856" s="6">
        <v>200</v>
      </c>
      <c r="K2856" s="7">
        <v>44007027</v>
      </c>
      <c r="L2856" s="6" t="str">
        <f t="shared" si="284"/>
        <v>YT ATLAS  BAŞLIK  90x200</v>
      </c>
      <c r="M2856" s="12">
        <v>0.1</v>
      </c>
      <c r="N2856" s="12">
        <v>0.1</v>
      </c>
      <c r="O2856" s="8">
        <v>1760</v>
      </c>
      <c r="P2856" s="8">
        <f t="shared" si="281"/>
        <v>1584</v>
      </c>
      <c r="Q2856" s="12">
        <f t="shared" si="282"/>
        <v>3326.4</v>
      </c>
      <c r="R2856" s="31">
        <f t="shared" si="283"/>
        <v>3300</v>
      </c>
    </row>
    <row r="2857" spans="1:18" ht="21.95" customHeight="1" x14ac:dyDescent="0.2">
      <c r="A2857" s="6" t="s">
        <v>943</v>
      </c>
      <c r="B2857" s="6" t="s">
        <v>1596</v>
      </c>
      <c r="C2857" s="6" t="s">
        <v>1033</v>
      </c>
      <c r="D2857" s="6" t="s">
        <v>1003</v>
      </c>
      <c r="E2857" s="6"/>
      <c r="G2857" s="6">
        <v>100</v>
      </c>
      <c r="H2857" s="6">
        <v>200</v>
      </c>
      <c r="K2857" s="7">
        <v>44007028</v>
      </c>
      <c r="L2857" s="6" t="str">
        <f t="shared" si="284"/>
        <v>YT ATLAS  BAŞLIK  100x200</v>
      </c>
      <c r="M2857" s="12">
        <v>0.1</v>
      </c>
      <c r="N2857" s="12">
        <v>0.1</v>
      </c>
      <c r="O2857" s="8">
        <v>1890</v>
      </c>
      <c r="P2857" s="8">
        <f t="shared" si="281"/>
        <v>1701</v>
      </c>
      <c r="Q2857" s="12">
        <f t="shared" si="282"/>
        <v>3572.1000000000004</v>
      </c>
      <c r="R2857" s="31">
        <f t="shared" si="283"/>
        <v>3500</v>
      </c>
    </row>
    <row r="2858" spans="1:18" ht="21.95" customHeight="1" x14ac:dyDescent="0.2">
      <c r="A2858" s="6" t="s">
        <v>943</v>
      </c>
      <c r="B2858" s="6" t="s">
        <v>1596</v>
      </c>
      <c r="C2858" s="6" t="s">
        <v>1033</v>
      </c>
      <c r="D2858" s="6" t="s">
        <v>1003</v>
      </c>
      <c r="E2858" s="6"/>
      <c r="G2858" s="6">
        <v>120</v>
      </c>
      <c r="H2858" s="6">
        <v>200</v>
      </c>
      <c r="K2858" s="7">
        <v>44007029</v>
      </c>
      <c r="L2858" s="6" t="str">
        <f t="shared" si="284"/>
        <v>YT ATLAS  BAŞLIK  120x200</v>
      </c>
      <c r="M2858" s="12">
        <v>0.1</v>
      </c>
      <c r="N2858" s="12">
        <v>0.1</v>
      </c>
      <c r="O2858" s="8">
        <v>2150</v>
      </c>
      <c r="P2858" s="8">
        <f t="shared" si="281"/>
        <v>1935</v>
      </c>
      <c r="Q2858" s="12">
        <f t="shared" si="282"/>
        <v>4063.5</v>
      </c>
      <c r="R2858" s="31">
        <f t="shared" si="283"/>
        <v>4000</v>
      </c>
    </row>
    <row r="2859" spans="1:18" ht="21.95" customHeight="1" x14ac:dyDescent="0.2">
      <c r="A2859" s="6" t="s">
        <v>943</v>
      </c>
      <c r="B2859" s="6" t="s">
        <v>1596</v>
      </c>
      <c r="C2859" s="6" t="s">
        <v>1061</v>
      </c>
      <c r="D2859" s="6" t="s">
        <v>945</v>
      </c>
      <c r="E2859" s="6"/>
      <c r="G2859" s="6">
        <v>90</v>
      </c>
      <c r="H2859" s="6">
        <v>190</v>
      </c>
      <c r="K2859" s="7">
        <v>44007030</v>
      </c>
      <c r="L2859" s="6" t="str">
        <f t="shared" si="284"/>
        <v>YT İN RÜYA BAZA 90x190</v>
      </c>
      <c r="M2859" s="12">
        <v>0.1</v>
      </c>
      <c r="N2859" s="12">
        <v>0.1</v>
      </c>
      <c r="O2859" s="8">
        <v>4190</v>
      </c>
      <c r="P2859" s="8">
        <f t="shared" si="281"/>
        <v>3771</v>
      </c>
      <c r="Q2859" s="12">
        <f t="shared" si="282"/>
        <v>7919.1</v>
      </c>
      <c r="R2859" s="31">
        <f t="shared" si="283"/>
        <v>7900</v>
      </c>
    </row>
    <row r="2860" spans="1:18" ht="21.95" customHeight="1" x14ac:dyDescent="0.2">
      <c r="A2860" s="6" t="s">
        <v>943</v>
      </c>
      <c r="B2860" s="6" t="s">
        <v>1596</v>
      </c>
      <c r="C2860" s="6" t="s">
        <v>1061</v>
      </c>
      <c r="D2860" s="6" t="s">
        <v>945</v>
      </c>
      <c r="E2860" s="6"/>
      <c r="G2860" s="6">
        <v>90</v>
      </c>
      <c r="H2860" s="6">
        <v>200</v>
      </c>
      <c r="K2860" s="7">
        <v>44007031</v>
      </c>
      <c r="L2860" s="6" t="str">
        <f t="shared" si="284"/>
        <v>YT İN RÜYA BAZA 90x200</v>
      </c>
      <c r="M2860" s="12">
        <v>0.1</v>
      </c>
      <c r="N2860" s="12">
        <v>0.1</v>
      </c>
      <c r="O2860" s="8">
        <v>4380</v>
      </c>
      <c r="P2860" s="8">
        <f t="shared" si="281"/>
        <v>3942</v>
      </c>
      <c r="Q2860" s="12">
        <f t="shared" si="282"/>
        <v>8278.2000000000007</v>
      </c>
      <c r="R2860" s="31">
        <f t="shared" si="283"/>
        <v>8200</v>
      </c>
    </row>
    <row r="2861" spans="1:18" ht="21.95" customHeight="1" x14ac:dyDescent="0.2">
      <c r="A2861" s="6" t="s">
        <v>943</v>
      </c>
      <c r="B2861" s="6" t="s">
        <v>1596</v>
      </c>
      <c r="C2861" s="6" t="s">
        <v>1061</v>
      </c>
      <c r="D2861" s="6" t="s">
        <v>945</v>
      </c>
      <c r="E2861" s="6"/>
      <c r="G2861" s="6">
        <v>100</v>
      </c>
      <c r="H2861" s="6">
        <v>200</v>
      </c>
      <c r="K2861" s="7">
        <v>44007032</v>
      </c>
      <c r="L2861" s="6" t="str">
        <f t="shared" si="284"/>
        <v>YT İN RÜYA BAZA 100x200</v>
      </c>
      <c r="M2861" s="12">
        <v>0.1</v>
      </c>
      <c r="N2861" s="12">
        <v>0.1</v>
      </c>
      <c r="O2861" s="8">
        <v>4680</v>
      </c>
      <c r="P2861" s="8">
        <f t="shared" si="281"/>
        <v>4212</v>
      </c>
      <c r="Q2861" s="12">
        <f t="shared" si="282"/>
        <v>8845.2000000000007</v>
      </c>
      <c r="R2861" s="31">
        <f t="shared" si="283"/>
        <v>8800</v>
      </c>
    </row>
    <row r="2862" spans="1:18" ht="21.95" customHeight="1" x14ac:dyDescent="0.2">
      <c r="A2862" s="6" t="s">
        <v>943</v>
      </c>
      <c r="B2862" s="6" t="s">
        <v>1596</v>
      </c>
      <c r="C2862" s="6" t="s">
        <v>1061</v>
      </c>
      <c r="D2862" s="6" t="s">
        <v>945</v>
      </c>
      <c r="E2862" s="6"/>
      <c r="G2862" s="6">
        <v>120</v>
      </c>
      <c r="H2862" s="6">
        <v>200</v>
      </c>
      <c r="K2862" s="7">
        <v>44007033</v>
      </c>
      <c r="L2862" s="6" t="str">
        <f t="shared" si="284"/>
        <v>YT İN RÜYA BAZA 120x200</v>
      </c>
      <c r="M2862" s="12">
        <v>0.1</v>
      </c>
      <c r="N2862" s="12">
        <v>0.1</v>
      </c>
      <c r="O2862" s="8">
        <v>5180</v>
      </c>
      <c r="P2862" s="8">
        <f t="shared" si="281"/>
        <v>4662</v>
      </c>
      <c r="Q2862" s="12">
        <f t="shared" si="282"/>
        <v>9790.2000000000007</v>
      </c>
      <c r="R2862" s="31">
        <f t="shared" si="283"/>
        <v>9700</v>
      </c>
    </row>
    <row r="2863" spans="1:18" ht="21.95" customHeight="1" x14ac:dyDescent="0.2">
      <c r="A2863" s="6" t="s">
        <v>943</v>
      </c>
      <c r="B2863" s="6" t="s">
        <v>1596</v>
      </c>
      <c r="C2863" s="6" t="s">
        <v>1062</v>
      </c>
      <c r="D2863" s="6" t="s">
        <v>1003</v>
      </c>
      <c r="E2863" s="6"/>
      <c r="G2863" s="6">
        <v>90</v>
      </c>
      <c r="H2863" s="6">
        <v>190</v>
      </c>
      <c r="K2863" s="7">
        <v>44007034</v>
      </c>
      <c r="L2863" s="6" t="str">
        <f t="shared" si="284"/>
        <v>YT İNDİGO BAŞLIK  90x190</v>
      </c>
      <c r="M2863" s="12">
        <v>0.1</v>
      </c>
      <c r="N2863" s="12">
        <v>0.1</v>
      </c>
      <c r="O2863" s="8">
        <v>1520</v>
      </c>
      <c r="P2863" s="8">
        <f t="shared" si="281"/>
        <v>1368</v>
      </c>
      <c r="Q2863" s="12">
        <f t="shared" si="282"/>
        <v>2872.8</v>
      </c>
      <c r="R2863" s="31">
        <f t="shared" si="283"/>
        <v>2800</v>
      </c>
    </row>
    <row r="2864" spans="1:18" ht="21.95" customHeight="1" x14ac:dyDescent="0.2">
      <c r="A2864" s="6" t="s">
        <v>943</v>
      </c>
      <c r="B2864" s="6" t="s">
        <v>1596</v>
      </c>
      <c r="C2864" s="6" t="s">
        <v>1062</v>
      </c>
      <c r="D2864" s="6" t="s">
        <v>1003</v>
      </c>
      <c r="E2864" s="6"/>
      <c r="G2864" s="6">
        <v>90</v>
      </c>
      <c r="H2864" s="6">
        <v>200</v>
      </c>
      <c r="K2864" s="7">
        <v>44007035</v>
      </c>
      <c r="L2864" s="6" t="str">
        <f t="shared" si="284"/>
        <v>YT İNDİGO BAŞLIK  90x200</v>
      </c>
      <c r="M2864" s="12">
        <v>0.1</v>
      </c>
      <c r="N2864" s="12">
        <v>0.1</v>
      </c>
      <c r="O2864" s="8">
        <v>1520</v>
      </c>
      <c r="P2864" s="8">
        <f t="shared" si="281"/>
        <v>1368</v>
      </c>
      <c r="Q2864" s="12">
        <f t="shared" si="282"/>
        <v>2872.8</v>
      </c>
      <c r="R2864" s="31">
        <f t="shared" si="283"/>
        <v>2800</v>
      </c>
    </row>
    <row r="2865" spans="1:18" ht="21.95" customHeight="1" x14ac:dyDescent="0.2">
      <c r="A2865" s="6" t="s">
        <v>943</v>
      </c>
      <c r="B2865" s="6" t="s">
        <v>1596</v>
      </c>
      <c r="C2865" s="6" t="s">
        <v>1062</v>
      </c>
      <c r="D2865" s="6" t="s">
        <v>1003</v>
      </c>
      <c r="E2865" s="6"/>
      <c r="G2865" s="6">
        <v>100</v>
      </c>
      <c r="H2865" s="6">
        <v>200</v>
      </c>
      <c r="K2865" s="7">
        <v>44007036</v>
      </c>
      <c r="L2865" s="6" t="str">
        <f t="shared" si="284"/>
        <v>YT İNDİGO BAŞLIK  100x200</v>
      </c>
      <c r="M2865" s="12">
        <v>0.1</v>
      </c>
      <c r="N2865" s="12">
        <v>0.1</v>
      </c>
      <c r="O2865" s="8">
        <v>1650</v>
      </c>
      <c r="P2865" s="8">
        <f t="shared" si="281"/>
        <v>1485</v>
      </c>
      <c r="Q2865" s="12">
        <f t="shared" si="282"/>
        <v>3118.5</v>
      </c>
      <c r="R2865" s="31">
        <f t="shared" si="283"/>
        <v>3100</v>
      </c>
    </row>
    <row r="2866" spans="1:18" ht="21.95" customHeight="1" x14ac:dyDescent="0.2">
      <c r="A2866" s="6" t="s">
        <v>943</v>
      </c>
      <c r="B2866" s="6" t="s">
        <v>1596</v>
      </c>
      <c r="C2866" s="6" t="s">
        <v>1062</v>
      </c>
      <c r="D2866" s="6" t="s">
        <v>1003</v>
      </c>
      <c r="E2866" s="6"/>
      <c r="G2866" s="6">
        <v>120</v>
      </c>
      <c r="H2866" s="6">
        <v>200</v>
      </c>
      <c r="K2866" s="7">
        <v>44007037</v>
      </c>
      <c r="L2866" s="6" t="str">
        <f t="shared" si="284"/>
        <v>YT İNDİGO BAŞLIK  120x200</v>
      </c>
      <c r="M2866" s="12">
        <v>0.1</v>
      </c>
      <c r="N2866" s="12">
        <v>0.1</v>
      </c>
      <c r="O2866" s="8">
        <v>1930</v>
      </c>
      <c r="P2866" s="8">
        <f t="shared" si="281"/>
        <v>1737</v>
      </c>
      <c r="Q2866" s="12">
        <f t="shared" si="282"/>
        <v>3647.7000000000003</v>
      </c>
      <c r="R2866" s="31">
        <f t="shared" si="283"/>
        <v>3600</v>
      </c>
    </row>
    <row r="2867" spans="1:18" ht="21.95" customHeight="1" x14ac:dyDescent="0.2">
      <c r="A2867" s="6" t="s">
        <v>943</v>
      </c>
      <c r="B2867" s="6" t="s">
        <v>1596</v>
      </c>
      <c r="C2867" s="6" t="s">
        <v>1063</v>
      </c>
      <c r="D2867" s="6" t="s">
        <v>1064</v>
      </c>
      <c r="E2867" s="6"/>
      <c r="G2867" s="6">
        <v>120</v>
      </c>
      <c r="H2867" s="6">
        <v>190</v>
      </c>
      <c r="K2867" s="7">
        <v>44007038</v>
      </c>
      <c r="L2867" s="6" t="str">
        <f t="shared" si="284"/>
        <v>YT HELLO KITTY BAZA-BAŞLIK 120x190</v>
      </c>
      <c r="M2867" s="12">
        <v>0.1</v>
      </c>
      <c r="N2867" s="12">
        <v>0.1</v>
      </c>
      <c r="O2867" s="8">
        <v>24270</v>
      </c>
      <c r="P2867" s="8">
        <f t="shared" si="281"/>
        <v>21843</v>
      </c>
      <c r="Q2867" s="12">
        <f t="shared" si="282"/>
        <v>45870.3</v>
      </c>
      <c r="R2867" s="31">
        <f t="shared" si="283"/>
        <v>45800</v>
      </c>
    </row>
    <row r="2868" spans="1:18" ht="21.95" customHeight="1" x14ac:dyDescent="0.2">
      <c r="A2868" s="6" t="s">
        <v>943</v>
      </c>
      <c r="B2868" s="6" t="s">
        <v>1596</v>
      </c>
      <c r="C2868" s="6" t="s">
        <v>1065</v>
      </c>
      <c r="D2868" s="6" t="s">
        <v>953</v>
      </c>
      <c r="E2868" s="6"/>
      <c r="G2868" s="6">
        <v>120</v>
      </c>
      <c r="H2868" s="6">
        <v>190</v>
      </c>
      <c r="K2868" s="7">
        <v>44007039</v>
      </c>
      <c r="L2868" s="6" t="str">
        <f t="shared" si="284"/>
        <v>YT NOVA  YATAK 120x190</v>
      </c>
      <c r="M2868" s="12">
        <v>0.1</v>
      </c>
      <c r="N2868" s="12">
        <v>0.1</v>
      </c>
      <c r="O2868" s="8">
        <v>7130</v>
      </c>
      <c r="P2868" s="8">
        <f t="shared" si="281"/>
        <v>6417</v>
      </c>
      <c r="Q2868" s="12">
        <f t="shared" si="282"/>
        <v>13475.7</v>
      </c>
      <c r="R2868" s="31">
        <f t="shared" si="283"/>
        <v>13400</v>
      </c>
    </row>
    <row r="2869" spans="1:18" ht="21.95" customHeight="1" x14ac:dyDescent="0.2">
      <c r="A2869" s="6" t="s">
        <v>943</v>
      </c>
      <c r="B2869" s="6" t="s">
        <v>1596</v>
      </c>
      <c r="C2869" s="6" t="s">
        <v>1066</v>
      </c>
      <c r="D2869" s="6" t="s">
        <v>959</v>
      </c>
      <c r="E2869" s="6"/>
      <c r="K2869" s="7">
        <v>44007040</v>
      </c>
      <c r="L2869" s="6" t="str">
        <f>B2869&amp;" "&amp;C2869&amp;" "&amp;D2869&amp;" "</f>
        <v xml:space="preserve">YT KITTY KOMİDİN  </v>
      </c>
      <c r="M2869" s="12">
        <v>0.1</v>
      </c>
      <c r="N2869" s="12">
        <v>0.1</v>
      </c>
      <c r="O2869" s="8">
        <v>7430</v>
      </c>
      <c r="P2869" s="8">
        <f t="shared" si="281"/>
        <v>6687</v>
      </c>
      <c r="Q2869" s="12">
        <f t="shared" si="282"/>
        <v>14042.7</v>
      </c>
      <c r="R2869" s="31">
        <f t="shared" si="283"/>
        <v>14000</v>
      </c>
    </row>
    <row r="2870" spans="1:18" ht="21.95" customHeight="1" x14ac:dyDescent="0.2">
      <c r="A2870" s="6" t="s">
        <v>943</v>
      </c>
      <c r="B2870" s="6" t="s">
        <v>1596</v>
      </c>
      <c r="C2870" s="6" t="s">
        <v>1067</v>
      </c>
      <c r="D2870" s="6" t="s">
        <v>1064</v>
      </c>
      <c r="E2870" s="6"/>
      <c r="G2870" s="6">
        <v>90</v>
      </c>
      <c r="H2870" s="6">
        <v>190</v>
      </c>
      <c r="K2870" s="7">
        <v>44007041</v>
      </c>
      <c r="L2870" s="6" t="str">
        <f t="shared" ref="L2870:L2901" si="285">B2870&amp;" "&amp;C2870&amp;" "&amp;D2870&amp;" "&amp;G2870&amp;"x"&amp;H2870</f>
        <v>YT POYRAZ BAZA-BAŞLIK 90x190</v>
      </c>
      <c r="M2870" s="12">
        <v>0.1</v>
      </c>
      <c r="N2870" s="12">
        <v>0.1</v>
      </c>
      <c r="O2870" s="8">
        <v>15950</v>
      </c>
      <c r="P2870" s="8">
        <f t="shared" si="281"/>
        <v>14355</v>
      </c>
      <c r="Q2870" s="12">
        <f t="shared" si="282"/>
        <v>30145.5</v>
      </c>
      <c r="R2870" s="31">
        <f t="shared" si="283"/>
        <v>30100</v>
      </c>
    </row>
    <row r="2871" spans="1:18" ht="21.95" customHeight="1" x14ac:dyDescent="0.2">
      <c r="A2871" s="6" t="s">
        <v>943</v>
      </c>
      <c r="B2871" s="6" t="s">
        <v>1596</v>
      </c>
      <c r="C2871" s="6" t="s">
        <v>967</v>
      </c>
      <c r="D2871" s="6" t="s">
        <v>953</v>
      </c>
      <c r="E2871" s="6"/>
      <c r="G2871" s="6">
        <v>90</v>
      </c>
      <c r="H2871" s="6">
        <v>190</v>
      </c>
      <c r="K2871" s="7">
        <v>44007042</v>
      </c>
      <c r="L2871" s="6" t="str">
        <f t="shared" si="285"/>
        <v>YT HERMES YATAK 90x190</v>
      </c>
      <c r="M2871" s="12">
        <v>0.1</v>
      </c>
      <c r="N2871" s="12">
        <v>0.1</v>
      </c>
      <c r="O2871" s="8">
        <v>5280</v>
      </c>
      <c r="P2871" s="8">
        <f t="shared" si="281"/>
        <v>4752</v>
      </c>
      <c r="Q2871" s="12">
        <f t="shared" si="282"/>
        <v>9979.2000000000007</v>
      </c>
      <c r="R2871" s="31">
        <f t="shared" si="283"/>
        <v>9900</v>
      </c>
    </row>
    <row r="2872" spans="1:18" ht="21.95" customHeight="1" x14ac:dyDescent="0.2">
      <c r="A2872" s="6" t="s">
        <v>943</v>
      </c>
      <c r="B2872" s="6" t="s">
        <v>1596</v>
      </c>
      <c r="C2872" s="6" t="s">
        <v>1068</v>
      </c>
      <c r="D2872" s="6" t="s">
        <v>959</v>
      </c>
      <c r="E2872" s="6"/>
      <c r="G2872" s="6">
        <v>45</v>
      </c>
      <c r="H2872" s="6">
        <v>50</v>
      </c>
      <c r="I2872" s="7">
        <v>50</v>
      </c>
      <c r="K2872" s="7">
        <v>44007043</v>
      </c>
      <c r="L2872" s="6" t="str">
        <f t="shared" si="285"/>
        <v>YT POYRAZ  KOMİDİN  45x50</v>
      </c>
      <c r="M2872" s="12">
        <v>0.1</v>
      </c>
      <c r="N2872" s="12">
        <v>0.1</v>
      </c>
      <c r="O2872" s="8">
        <v>4010</v>
      </c>
      <c r="P2872" s="8">
        <f t="shared" si="281"/>
        <v>3609</v>
      </c>
      <c r="Q2872" s="12">
        <f t="shared" si="282"/>
        <v>7578.9000000000005</v>
      </c>
      <c r="R2872" s="31">
        <f t="shared" si="283"/>
        <v>7500</v>
      </c>
    </row>
    <row r="2873" spans="1:18" ht="21.95" customHeight="1" x14ac:dyDescent="0.2">
      <c r="A2873" s="6" t="s">
        <v>943</v>
      </c>
      <c r="B2873" s="6" t="s">
        <v>1596</v>
      </c>
      <c r="C2873" s="6" t="s">
        <v>1069</v>
      </c>
      <c r="D2873" s="6" t="s">
        <v>1064</v>
      </c>
      <c r="E2873" s="6"/>
      <c r="G2873" s="6">
        <v>100</v>
      </c>
      <c r="H2873" s="6">
        <v>190</v>
      </c>
      <c r="K2873" s="7">
        <v>44007044</v>
      </c>
      <c r="L2873" s="6" t="str">
        <f t="shared" si="285"/>
        <v>YT BUGS BUNNY  BAZA-BAŞLIK 100x190</v>
      </c>
      <c r="M2873" s="12">
        <v>0.1</v>
      </c>
      <c r="N2873" s="12">
        <v>0.1</v>
      </c>
      <c r="O2873" s="8">
        <v>19270</v>
      </c>
      <c r="P2873" s="8">
        <f t="shared" si="281"/>
        <v>17343</v>
      </c>
      <c r="Q2873" s="12">
        <f t="shared" si="282"/>
        <v>36420.300000000003</v>
      </c>
      <c r="R2873" s="31">
        <f t="shared" si="283"/>
        <v>36400</v>
      </c>
    </row>
    <row r="2874" spans="1:18" ht="21.95" customHeight="1" x14ac:dyDescent="0.2">
      <c r="A2874" s="6" t="s">
        <v>943</v>
      </c>
      <c r="B2874" s="6" t="s">
        <v>1596</v>
      </c>
      <c r="C2874" s="6" t="s">
        <v>967</v>
      </c>
      <c r="D2874" s="6" t="s">
        <v>943</v>
      </c>
      <c r="E2874" s="6"/>
      <c r="G2874" s="6">
        <v>100</v>
      </c>
      <c r="H2874" s="6">
        <v>190</v>
      </c>
      <c r="K2874" s="7">
        <v>44007045</v>
      </c>
      <c r="L2874" s="6" t="str">
        <f t="shared" si="285"/>
        <v>YT HERMES YATAK  100x190</v>
      </c>
      <c r="M2874" s="12">
        <v>0.1</v>
      </c>
      <c r="N2874" s="12">
        <v>0.1</v>
      </c>
      <c r="O2874" s="8">
        <v>5280</v>
      </c>
      <c r="P2874" s="8">
        <f t="shared" si="281"/>
        <v>4752</v>
      </c>
      <c r="Q2874" s="12">
        <f t="shared" si="282"/>
        <v>9979.2000000000007</v>
      </c>
      <c r="R2874" s="31">
        <f t="shared" si="283"/>
        <v>9900</v>
      </c>
    </row>
    <row r="2875" spans="1:18" ht="21.95" customHeight="1" x14ac:dyDescent="0.2">
      <c r="A2875" s="6" t="s">
        <v>943</v>
      </c>
      <c r="B2875" s="6" t="s">
        <v>1596</v>
      </c>
      <c r="C2875" s="6" t="s">
        <v>1070</v>
      </c>
      <c r="D2875" s="6" t="s">
        <v>959</v>
      </c>
      <c r="E2875" s="6"/>
      <c r="G2875" s="6">
        <v>58</v>
      </c>
      <c r="H2875" s="6">
        <v>45</v>
      </c>
      <c r="I2875" s="7">
        <v>46</v>
      </c>
      <c r="K2875" s="7">
        <v>44007046</v>
      </c>
      <c r="L2875" s="6" t="str">
        <f t="shared" si="285"/>
        <v>YT HAVUÇ  KOMİDİN  58x45</v>
      </c>
      <c r="M2875" s="12">
        <v>0.1</v>
      </c>
      <c r="N2875" s="12">
        <v>0.1</v>
      </c>
      <c r="O2875" s="8">
        <v>5140</v>
      </c>
      <c r="P2875" s="8">
        <f t="shared" si="281"/>
        <v>4626</v>
      </c>
      <c r="Q2875" s="12">
        <f t="shared" si="282"/>
        <v>9714.6</v>
      </c>
      <c r="R2875" s="31">
        <f t="shared" si="283"/>
        <v>9700</v>
      </c>
    </row>
    <row r="2876" spans="1:18" ht="21.95" customHeight="1" x14ac:dyDescent="0.2">
      <c r="A2876" s="6" t="s">
        <v>943</v>
      </c>
      <c r="B2876" s="6" t="s">
        <v>1596</v>
      </c>
      <c r="C2876" s="6" t="s">
        <v>1071</v>
      </c>
      <c r="D2876" s="6" t="s">
        <v>989</v>
      </c>
      <c r="E2876" s="6"/>
      <c r="G2876" s="6">
        <v>90</v>
      </c>
      <c r="H2876" s="6">
        <v>190</v>
      </c>
      <c r="K2876" s="7">
        <v>44007047</v>
      </c>
      <c r="L2876" s="6" t="str">
        <f t="shared" si="285"/>
        <v>YT WOSVOS BAZA  90x190</v>
      </c>
      <c r="M2876" s="12">
        <v>0.1</v>
      </c>
      <c r="N2876" s="12">
        <v>0.1</v>
      </c>
      <c r="O2876" s="8">
        <v>4630</v>
      </c>
      <c r="P2876" s="8">
        <f t="shared" si="281"/>
        <v>4167</v>
      </c>
      <c r="Q2876" s="12">
        <f t="shared" si="282"/>
        <v>8750.7000000000007</v>
      </c>
      <c r="R2876" s="31">
        <f t="shared" si="283"/>
        <v>8700</v>
      </c>
    </row>
    <row r="2877" spans="1:18" ht="21.95" customHeight="1" x14ac:dyDescent="0.2">
      <c r="A2877" s="6" t="s">
        <v>943</v>
      </c>
      <c r="B2877" s="6" t="s">
        <v>1596</v>
      </c>
      <c r="C2877" s="6" t="s">
        <v>1071</v>
      </c>
      <c r="D2877" s="6" t="s">
        <v>989</v>
      </c>
      <c r="E2877" s="6"/>
      <c r="G2877" s="6">
        <v>90</v>
      </c>
      <c r="H2877" s="6">
        <v>200</v>
      </c>
      <c r="K2877" s="7">
        <v>44007048</v>
      </c>
      <c r="L2877" s="6" t="str">
        <f t="shared" si="285"/>
        <v>YT WOSVOS BAZA  90x200</v>
      </c>
      <c r="M2877" s="12">
        <v>0.1</v>
      </c>
      <c r="N2877" s="12">
        <v>0.1</v>
      </c>
      <c r="O2877" s="8">
        <v>5080</v>
      </c>
      <c r="P2877" s="8">
        <f t="shared" si="281"/>
        <v>4572</v>
      </c>
      <c r="Q2877" s="12">
        <f t="shared" si="282"/>
        <v>9601.2000000000007</v>
      </c>
      <c r="R2877" s="31">
        <f t="shared" si="283"/>
        <v>9600</v>
      </c>
    </row>
    <row r="2878" spans="1:18" ht="21.95" customHeight="1" x14ac:dyDescent="0.2">
      <c r="A2878" s="6" t="s">
        <v>943</v>
      </c>
      <c r="B2878" s="6" t="s">
        <v>1596</v>
      </c>
      <c r="C2878" s="6" t="s">
        <v>1071</v>
      </c>
      <c r="D2878" s="6" t="s">
        <v>989</v>
      </c>
      <c r="E2878" s="6"/>
      <c r="G2878" s="6">
        <v>100</v>
      </c>
      <c r="H2878" s="6">
        <v>200</v>
      </c>
      <c r="K2878" s="7">
        <v>44007049</v>
      </c>
      <c r="L2878" s="6" t="str">
        <f t="shared" si="285"/>
        <v>YT WOSVOS BAZA  100x200</v>
      </c>
      <c r="M2878" s="12">
        <v>0.1</v>
      </c>
      <c r="N2878" s="12">
        <v>0.1</v>
      </c>
      <c r="O2878" s="8">
        <v>5460</v>
      </c>
      <c r="P2878" s="8">
        <f t="shared" si="281"/>
        <v>4914</v>
      </c>
      <c r="Q2878" s="12">
        <f t="shared" si="282"/>
        <v>10319.4</v>
      </c>
      <c r="R2878" s="31">
        <f t="shared" si="283"/>
        <v>10300</v>
      </c>
    </row>
    <row r="2879" spans="1:18" ht="21.95" customHeight="1" x14ac:dyDescent="0.2">
      <c r="A2879" s="6" t="s">
        <v>943</v>
      </c>
      <c r="B2879" s="6" t="s">
        <v>1596</v>
      </c>
      <c r="C2879" s="6" t="s">
        <v>1071</v>
      </c>
      <c r="D2879" s="6" t="s">
        <v>989</v>
      </c>
      <c r="E2879" s="6"/>
      <c r="G2879" s="6">
        <v>120</v>
      </c>
      <c r="H2879" s="6">
        <v>200</v>
      </c>
      <c r="K2879" s="7">
        <v>44007050</v>
      </c>
      <c r="L2879" s="6" t="str">
        <f t="shared" si="285"/>
        <v>YT WOSVOS BAZA  120x200</v>
      </c>
      <c r="M2879" s="12">
        <v>0.1</v>
      </c>
      <c r="N2879" s="12">
        <v>0.1</v>
      </c>
      <c r="O2879" s="8">
        <v>6080</v>
      </c>
      <c r="P2879" s="8">
        <f t="shared" si="281"/>
        <v>5472</v>
      </c>
      <c r="Q2879" s="12">
        <f t="shared" si="282"/>
        <v>11491.2</v>
      </c>
      <c r="R2879" s="31">
        <f t="shared" si="283"/>
        <v>11400</v>
      </c>
    </row>
    <row r="2880" spans="1:18" ht="21.95" customHeight="1" x14ac:dyDescent="0.2">
      <c r="A2880" s="6" t="s">
        <v>943</v>
      </c>
      <c r="B2880" s="6" t="s">
        <v>1596</v>
      </c>
      <c r="C2880" s="6" t="s">
        <v>1071</v>
      </c>
      <c r="D2880" s="6" t="s">
        <v>1003</v>
      </c>
      <c r="E2880" s="6"/>
      <c r="G2880" s="6">
        <v>90</v>
      </c>
      <c r="H2880" s="6">
        <v>190</v>
      </c>
      <c r="K2880" s="7">
        <v>44007051</v>
      </c>
      <c r="L2880" s="6" t="str">
        <f t="shared" si="285"/>
        <v>YT WOSVOS BAŞLIK  90x190</v>
      </c>
      <c r="M2880" s="12">
        <v>0.1</v>
      </c>
      <c r="N2880" s="12">
        <v>0.1</v>
      </c>
      <c r="O2880" s="8">
        <v>2700</v>
      </c>
      <c r="P2880" s="8">
        <f t="shared" si="281"/>
        <v>2430</v>
      </c>
      <c r="Q2880" s="12">
        <f t="shared" si="282"/>
        <v>5103</v>
      </c>
      <c r="R2880" s="31">
        <f t="shared" si="283"/>
        <v>5100</v>
      </c>
    </row>
    <row r="2881" spans="1:18" ht="21.95" customHeight="1" x14ac:dyDescent="0.2">
      <c r="A2881" s="6" t="s">
        <v>943</v>
      </c>
      <c r="B2881" s="6" t="s">
        <v>1596</v>
      </c>
      <c r="C2881" s="6" t="s">
        <v>1071</v>
      </c>
      <c r="D2881" s="6" t="s">
        <v>1003</v>
      </c>
      <c r="E2881" s="6"/>
      <c r="G2881" s="6">
        <v>90</v>
      </c>
      <c r="H2881" s="6">
        <v>200</v>
      </c>
      <c r="K2881" s="7">
        <v>44007052</v>
      </c>
      <c r="L2881" s="6" t="str">
        <f t="shared" si="285"/>
        <v>YT WOSVOS BAŞLIK  90x200</v>
      </c>
      <c r="M2881" s="12">
        <v>0.1</v>
      </c>
      <c r="N2881" s="12">
        <v>0.1</v>
      </c>
      <c r="O2881" s="8">
        <v>2700</v>
      </c>
      <c r="P2881" s="8">
        <f t="shared" si="281"/>
        <v>2430</v>
      </c>
      <c r="Q2881" s="12">
        <f t="shared" si="282"/>
        <v>5103</v>
      </c>
      <c r="R2881" s="31">
        <f t="shared" si="283"/>
        <v>5100</v>
      </c>
    </row>
    <row r="2882" spans="1:18" ht="21.95" customHeight="1" x14ac:dyDescent="0.2">
      <c r="A2882" s="6" t="s">
        <v>943</v>
      </c>
      <c r="B2882" s="6" t="s">
        <v>1596</v>
      </c>
      <c r="C2882" s="6" t="s">
        <v>1071</v>
      </c>
      <c r="D2882" s="6" t="s">
        <v>1003</v>
      </c>
      <c r="E2882" s="6"/>
      <c r="G2882" s="6">
        <v>100</v>
      </c>
      <c r="H2882" s="6">
        <v>200</v>
      </c>
      <c r="K2882" s="7">
        <v>44007053</v>
      </c>
      <c r="L2882" s="6" t="str">
        <f t="shared" si="285"/>
        <v>YT WOSVOS BAŞLIK  100x200</v>
      </c>
      <c r="M2882" s="12">
        <v>0.1</v>
      </c>
      <c r="N2882" s="12">
        <v>0.1</v>
      </c>
      <c r="O2882" s="8">
        <v>3000</v>
      </c>
      <c r="P2882" s="8">
        <f t="shared" si="281"/>
        <v>2700</v>
      </c>
      <c r="Q2882" s="12">
        <f t="shared" si="282"/>
        <v>5670</v>
      </c>
      <c r="R2882" s="31">
        <f t="shared" si="283"/>
        <v>5600</v>
      </c>
    </row>
    <row r="2883" spans="1:18" ht="21.95" customHeight="1" x14ac:dyDescent="0.2">
      <c r="A2883" s="6" t="s">
        <v>943</v>
      </c>
      <c r="B2883" s="6" t="s">
        <v>1596</v>
      </c>
      <c r="C2883" s="6" t="s">
        <v>1071</v>
      </c>
      <c r="D2883" s="6" t="s">
        <v>1003</v>
      </c>
      <c r="E2883" s="6"/>
      <c r="G2883" s="6">
        <v>120</v>
      </c>
      <c r="H2883" s="6">
        <v>200</v>
      </c>
      <c r="K2883" s="7">
        <v>44007054</v>
      </c>
      <c r="L2883" s="6" t="str">
        <f t="shared" si="285"/>
        <v>YT WOSVOS BAŞLIK  120x200</v>
      </c>
      <c r="M2883" s="12">
        <v>0.1</v>
      </c>
      <c r="N2883" s="12">
        <v>0.1</v>
      </c>
      <c r="O2883" s="8">
        <v>3200</v>
      </c>
      <c r="P2883" s="8">
        <f t="shared" si="281"/>
        <v>2880</v>
      </c>
      <c r="Q2883" s="12">
        <f t="shared" si="282"/>
        <v>6048</v>
      </c>
      <c r="R2883" s="31">
        <f t="shared" si="283"/>
        <v>6000</v>
      </c>
    </row>
    <row r="2884" spans="1:18" ht="21.95" customHeight="1" x14ac:dyDescent="0.2">
      <c r="A2884" s="6" t="s">
        <v>943</v>
      </c>
      <c r="B2884" s="6" t="s">
        <v>1596</v>
      </c>
      <c r="C2884" s="6" t="s">
        <v>1071</v>
      </c>
      <c r="D2884" s="6" t="s">
        <v>1072</v>
      </c>
      <c r="E2884" s="6"/>
      <c r="G2884" s="6">
        <v>4</v>
      </c>
      <c r="H2884" s="6">
        <v>91</v>
      </c>
      <c r="I2884" s="7">
        <v>80</v>
      </c>
      <c r="K2884" s="7">
        <v>44007055</v>
      </c>
      <c r="L2884" s="6" t="str">
        <f t="shared" si="285"/>
        <v>YT WOSVOS KORKULUK 4x91</v>
      </c>
      <c r="M2884" s="12">
        <v>0.1</v>
      </c>
      <c r="N2884" s="12">
        <v>0.1</v>
      </c>
      <c r="O2884" s="8">
        <v>2640</v>
      </c>
      <c r="P2884" s="8">
        <f t="shared" si="281"/>
        <v>2376</v>
      </c>
      <c r="Q2884" s="12">
        <f t="shared" si="282"/>
        <v>4989.6000000000004</v>
      </c>
      <c r="R2884" s="31">
        <f t="shared" si="283"/>
        <v>4900</v>
      </c>
    </row>
    <row r="2885" spans="1:18" ht="21.95" customHeight="1" x14ac:dyDescent="0.2">
      <c r="A2885" s="6" t="s">
        <v>943</v>
      </c>
      <c r="B2885" s="6" t="s">
        <v>1596</v>
      </c>
      <c r="C2885" s="6" t="s">
        <v>1071</v>
      </c>
      <c r="D2885" s="6" t="s">
        <v>1073</v>
      </c>
      <c r="E2885" s="6"/>
      <c r="G2885" s="6">
        <v>7</v>
      </c>
      <c r="H2885" s="6">
        <v>91</v>
      </c>
      <c r="I2885" s="7">
        <v>74</v>
      </c>
      <c r="K2885" s="7">
        <v>44007056</v>
      </c>
      <c r="L2885" s="6" t="str">
        <f t="shared" si="285"/>
        <v>YT WOSVOS AYAKUCU 7x91</v>
      </c>
      <c r="M2885" s="12">
        <v>0.1</v>
      </c>
      <c r="N2885" s="12">
        <v>0.1</v>
      </c>
      <c r="O2885" s="8">
        <v>2530</v>
      </c>
      <c r="P2885" s="8">
        <f t="shared" si="281"/>
        <v>2277</v>
      </c>
      <c r="Q2885" s="12">
        <f t="shared" si="282"/>
        <v>4781.7</v>
      </c>
      <c r="R2885" s="31">
        <f t="shared" si="283"/>
        <v>4700</v>
      </c>
    </row>
    <row r="2886" spans="1:18" ht="21.95" customHeight="1" x14ac:dyDescent="0.2">
      <c r="A2886" s="6" t="s">
        <v>943</v>
      </c>
      <c r="B2886" s="6" t="s">
        <v>1596</v>
      </c>
      <c r="C2886" s="6" t="s">
        <v>1074</v>
      </c>
      <c r="D2886" s="6" t="s">
        <v>989</v>
      </c>
      <c r="E2886" s="6"/>
      <c r="G2886" s="6">
        <v>90</v>
      </c>
      <c r="H2886" s="6">
        <v>190</v>
      </c>
      <c r="K2886" s="7">
        <v>44007057</v>
      </c>
      <c r="L2886" s="6" t="str">
        <f t="shared" si="285"/>
        <v>YT BAHAR BAZA  90x190</v>
      </c>
      <c r="M2886" s="12">
        <v>0.1</v>
      </c>
      <c r="N2886" s="12">
        <v>0.1</v>
      </c>
      <c r="O2886" s="8">
        <v>4630</v>
      </c>
      <c r="P2886" s="8">
        <f t="shared" si="281"/>
        <v>4167</v>
      </c>
      <c r="Q2886" s="12">
        <f t="shared" si="282"/>
        <v>8750.7000000000007</v>
      </c>
      <c r="R2886" s="31">
        <f t="shared" si="283"/>
        <v>8700</v>
      </c>
    </row>
    <row r="2887" spans="1:18" ht="21.95" customHeight="1" x14ac:dyDescent="0.2">
      <c r="A2887" s="6" t="s">
        <v>943</v>
      </c>
      <c r="B2887" s="6" t="s">
        <v>1596</v>
      </c>
      <c r="C2887" s="6" t="s">
        <v>1074</v>
      </c>
      <c r="D2887" s="6" t="s">
        <v>989</v>
      </c>
      <c r="E2887" s="6"/>
      <c r="G2887" s="6">
        <v>90</v>
      </c>
      <c r="H2887" s="6">
        <v>200</v>
      </c>
      <c r="K2887" s="7">
        <v>44007058</v>
      </c>
      <c r="L2887" s="6" t="str">
        <f t="shared" si="285"/>
        <v>YT BAHAR BAZA  90x200</v>
      </c>
      <c r="M2887" s="12">
        <v>0.1</v>
      </c>
      <c r="N2887" s="12">
        <v>0.1</v>
      </c>
      <c r="O2887" s="8">
        <v>5080</v>
      </c>
      <c r="P2887" s="8">
        <f t="shared" si="281"/>
        <v>4572</v>
      </c>
      <c r="Q2887" s="12">
        <f t="shared" si="282"/>
        <v>9601.2000000000007</v>
      </c>
      <c r="R2887" s="31">
        <f t="shared" si="283"/>
        <v>9600</v>
      </c>
    </row>
    <row r="2888" spans="1:18" ht="21.95" customHeight="1" x14ac:dyDescent="0.2">
      <c r="A2888" s="6" t="s">
        <v>943</v>
      </c>
      <c r="B2888" s="6" t="s">
        <v>1596</v>
      </c>
      <c r="C2888" s="6" t="s">
        <v>1074</v>
      </c>
      <c r="D2888" s="6" t="s">
        <v>989</v>
      </c>
      <c r="E2888" s="6"/>
      <c r="G2888" s="6">
        <v>100</v>
      </c>
      <c r="H2888" s="6">
        <v>200</v>
      </c>
      <c r="K2888" s="7">
        <v>44007059</v>
      </c>
      <c r="L2888" s="6" t="str">
        <f t="shared" si="285"/>
        <v>YT BAHAR BAZA  100x200</v>
      </c>
      <c r="M2888" s="12">
        <v>0.1</v>
      </c>
      <c r="N2888" s="12">
        <v>0.1</v>
      </c>
      <c r="O2888" s="8">
        <v>5460</v>
      </c>
      <c r="P2888" s="8">
        <f t="shared" si="281"/>
        <v>4914</v>
      </c>
      <c r="Q2888" s="12">
        <f t="shared" si="282"/>
        <v>10319.4</v>
      </c>
      <c r="R2888" s="31">
        <f t="shared" si="283"/>
        <v>10300</v>
      </c>
    </row>
    <row r="2889" spans="1:18" ht="21.95" customHeight="1" x14ac:dyDescent="0.2">
      <c r="A2889" s="6" t="s">
        <v>943</v>
      </c>
      <c r="B2889" s="6" t="s">
        <v>1596</v>
      </c>
      <c r="C2889" s="6" t="s">
        <v>1074</v>
      </c>
      <c r="D2889" s="6" t="s">
        <v>989</v>
      </c>
      <c r="E2889" s="6"/>
      <c r="G2889" s="6">
        <v>120</v>
      </c>
      <c r="H2889" s="6">
        <v>200</v>
      </c>
      <c r="K2889" s="7">
        <v>44007060</v>
      </c>
      <c r="L2889" s="6" t="str">
        <f t="shared" si="285"/>
        <v>YT BAHAR BAZA  120x200</v>
      </c>
      <c r="M2889" s="12">
        <v>0.1</v>
      </c>
      <c r="N2889" s="12">
        <v>0.1</v>
      </c>
      <c r="O2889" s="8">
        <v>6080</v>
      </c>
      <c r="P2889" s="8">
        <f t="shared" si="281"/>
        <v>5472</v>
      </c>
      <c r="Q2889" s="12">
        <f t="shared" si="282"/>
        <v>11491.2</v>
      </c>
      <c r="R2889" s="31">
        <f t="shared" si="283"/>
        <v>11400</v>
      </c>
    </row>
    <row r="2890" spans="1:18" ht="21.95" customHeight="1" x14ac:dyDescent="0.2">
      <c r="A2890" s="6" t="s">
        <v>943</v>
      </c>
      <c r="B2890" s="6" t="s">
        <v>1596</v>
      </c>
      <c r="C2890" s="6" t="s">
        <v>1075</v>
      </c>
      <c r="D2890" s="6" t="s">
        <v>1003</v>
      </c>
      <c r="E2890" s="6"/>
      <c r="G2890" s="6">
        <v>90</v>
      </c>
      <c r="H2890" s="6">
        <v>190</v>
      </c>
      <c r="K2890" s="7">
        <v>44007061</v>
      </c>
      <c r="L2890" s="6" t="str">
        <f t="shared" si="285"/>
        <v>YT BAHAR  BAŞLIK  90x190</v>
      </c>
      <c r="M2890" s="12">
        <v>0.1</v>
      </c>
      <c r="N2890" s="12">
        <v>0.1</v>
      </c>
      <c r="O2890" s="8">
        <v>2810</v>
      </c>
      <c r="P2890" s="8">
        <f t="shared" si="281"/>
        <v>2529</v>
      </c>
      <c r="Q2890" s="12">
        <f t="shared" si="282"/>
        <v>5310.9000000000005</v>
      </c>
      <c r="R2890" s="31">
        <f t="shared" si="283"/>
        <v>5300</v>
      </c>
    </row>
    <row r="2891" spans="1:18" ht="21.95" customHeight="1" x14ac:dyDescent="0.2">
      <c r="A2891" s="6" t="s">
        <v>943</v>
      </c>
      <c r="B2891" s="6" t="s">
        <v>1596</v>
      </c>
      <c r="C2891" s="6" t="s">
        <v>1075</v>
      </c>
      <c r="D2891" s="6" t="s">
        <v>1003</v>
      </c>
      <c r="E2891" s="6"/>
      <c r="G2891" s="6">
        <v>90</v>
      </c>
      <c r="H2891" s="6">
        <v>200</v>
      </c>
      <c r="K2891" s="7">
        <v>44007062</v>
      </c>
      <c r="L2891" s="6" t="str">
        <f t="shared" si="285"/>
        <v>YT BAHAR  BAŞLIK  90x200</v>
      </c>
      <c r="M2891" s="12">
        <v>0.1</v>
      </c>
      <c r="N2891" s="12">
        <v>0.1</v>
      </c>
      <c r="O2891" s="8">
        <v>2810</v>
      </c>
      <c r="P2891" s="8">
        <f t="shared" si="281"/>
        <v>2529</v>
      </c>
      <c r="Q2891" s="12">
        <f t="shared" si="282"/>
        <v>5310.9000000000005</v>
      </c>
      <c r="R2891" s="31">
        <f t="shared" si="283"/>
        <v>5300</v>
      </c>
    </row>
    <row r="2892" spans="1:18" ht="21.95" customHeight="1" x14ac:dyDescent="0.2">
      <c r="A2892" s="6" t="s">
        <v>943</v>
      </c>
      <c r="B2892" s="6" t="s">
        <v>1596</v>
      </c>
      <c r="C2892" s="6" t="s">
        <v>1075</v>
      </c>
      <c r="D2892" s="6" t="s">
        <v>1003</v>
      </c>
      <c r="E2892" s="6"/>
      <c r="G2892" s="6">
        <v>100</v>
      </c>
      <c r="H2892" s="6">
        <v>200</v>
      </c>
      <c r="K2892" s="7">
        <v>44007063</v>
      </c>
      <c r="L2892" s="6" t="str">
        <f t="shared" si="285"/>
        <v>YT BAHAR  BAŞLIK  100x200</v>
      </c>
      <c r="M2892" s="12">
        <v>0.1</v>
      </c>
      <c r="N2892" s="12">
        <v>0.1</v>
      </c>
      <c r="O2892" s="8">
        <v>3130</v>
      </c>
      <c r="P2892" s="8">
        <f t="shared" si="281"/>
        <v>2817</v>
      </c>
      <c r="Q2892" s="12">
        <f t="shared" si="282"/>
        <v>5915.7</v>
      </c>
      <c r="R2892" s="31">
        <f t="shared" si="283"/>
        <v>5900</v>
      </c>
    </row>
    <row r="2893" spans="1:18" ht="21.95" customHeight="1" x14ac:dyDescent="0.2">
      <c r="A2893" s="6" t="s">
        <v>943</v>
      </c>
      <c r="B2893" s="6" t="s">
        <v>1596</v>
      </c>
      <c r="C2893" s="6" t="s">
        <v>1075</v>
      </c>
      <c r="D2893" s="6" t="s">
        <v>1003</v>
      </c>
      <c r="E2893" s="6"/>
      <c r="G2893" s="6">
        <v>120</v>
      </c>
      <c r="H2893" s="6">
        <v>200</v>
      </c>
      <c r="K2893" s="7">
        <v>44007064</v>
      </c>
      <c r="L2893" s="6" t="str">
        <f t="shared" si="285"/>
        <v>YT BAHAR  BAŞLIK  120x200</v>
      </c>
      <c r="M2893" s="12">
        <v>0.1</v>
      </c>
      <c r="N2893" s="12">
        <v>0.1</v>
      </c>
      <c r="O2893" s="8">
        <v>3330</v>
      </c>
      <c r="P2893" s="8">
        <f t="shared" si="281"/>
        <v>2997</v>
      </c>
      <c r="Q2893" s="12">
        <f t="shared" si="282"/>
        <v>6293.7</v>
      </c>
      <c r="R2893" s="31">
        <f t="shared" si="283"/>
        <v>6200</v>
      </c>
    </row>
    <row r="2894" spans="1:18" ht="21.95" customHeight="1" x14ac:dyDescent="0.2">
      <c r="A2894" s="6" t="s">
        <v>943</v>
      </c>
      <c r="B2894" s="6" t="s">
        <v>1596</v>
      </c>
      <c r="C2894" s="6" t="s">
        <v>1075</v>
      </c>
      <c r="D2894" s="6" t="s">
        <v>951</v>
      </c>
      <c r="E2894" s="6"/>
      <c r="G2894" s="6">
        <v>40</v>
      </c>
      <c r="H2894" s="6">
        <v>100</v>
      </c>
      <c r="I2894" s="7">
        <v>50</v>
      </c>
      <c r="K2894" s="7">
        <v>44007065</v>
      </c>
      <c r="L2894" s="6" t="str">
        <f t="shared" si="285"/>
        <v>YT BAHAR  MARKİZ 40x100</v>
      </c>
      <c r="M2894" s="12">
        <v>0.1</v>
      </c>
      <c r="N2894" s="12">
        <v>0.1</v>
      </c>
      <c r="O2894" s="8">
        <v>4120</v>
      </c>
      <c r="P2894" s="8">
        <f t="shared" ref="P2894:P2957" si="286">O2894*(1-N2894)</f>
        <v>3708</v>
      </c>
      <c r="Q2894" s="12">
        <f t="shared" ref="Q2894:Q2957" si="287">O2894*(1-N2894)*2.1</f>
        <v>7786.8</v>
      </c>
      <c r="R2894" s="31">
        <f t="shared" ref="R2894:R2957" si="288">ROUNDDOWN(Q2894,-2)</f>
        <v>7700</v>
      </c>
    </row>
    <row r="2895" spans="1:18" ht="21.95" customHeight="1" x14ac:dyDescent="0.2">
      <c r="A2895" s="6" t="s">
        <v>943</v>
      </c>
      <c r="B2895" s="6" t="s">
        <v>1596</v>
      </c>
      <c r="C2895" s="6" t="s">
        <v>1074</v>
      </c>
      <c r="D2895" s="6" t="s">
        <v>1076</v>
      </c>
      <c r="E2895" s="6"/>
      <c r="G2895" s="6">
        <v>5</v>
      </c>
      <c r="H2895" s="6">
        <v>100</v>
      </c>
      <c r="I2895" s="7">
        <v>80</v>
      </c>
      <c r="K2895" s="7">
        <v>44007066</v>
      </c>
      <c r="L2895" s="6" t="str">
        <f t="shared" si="285"/>
        <v>YT BAHAR KORKULUK  5x100</v>
      </c>
      <c r="M2895" s="12">
        <v>0.1</v>
      </c>
      <c r="N2895" s="12">
        <v>0.1</v>
      </c>
      <c r="O2895" s="8">
        <v>2540</v>
      </c>
      <c r="P2895" s="8">
        <f t="shared" si="286"/>
        <v>2286</v>
      </c>
      <c r="Q2895" s="12">
        <f t="shared" si="287"/>
        <v>4800.6000000000004</v>
      </c>
      <c r="R2895" s="31">
        <f t="shared" si="288"/>
        <v>4800</v>
      </c>
    </row>
    <row r="2896" spans="1:18" ht="21.95" customHeight="1" x14ac:dyDescent="0.2">
      <c r="A2896" s="6" t="s">
        <v>943</v>
      </c>
      <c r="B2896" s="6" t="s">
        <v>1596</v>
      </c>
      <c r="C2896" s="6" t="s">
        <v>1074</v>
      </c>
      <c r="D2896" s="6" t="s">
        <v>1077</v>
      </c>
      <c r="E2896" s="6"/>
      <c r="G2896" s="6">
        <v>5</v>
      </c>
      <c r="H2896" s="6">
        <v>90</v>
      </c>
      <c r="I2896" s="7">
        <v>75</v>
      </c>
      <c r="K2896" s="7">
        <v>44007067</v>
      </c>
      <c r="L2896" s="6" t="str">
        <f t="shared" si="285"/>
        <v>YT BAHAR AYAKUCU  5x90</v>
      </c>
      <c r="M2896" s="12">
        <v>0.1</v>
      </c>
      <c r="N2896" s="12">
        <v>0.1</v>
      </c>
      <c r="O2896" s="8">
        <v>2430</v>
      </c>
      <c r="P2896" s="8">
        <f t="shared" si="286"/>
        <v>2187</v>
      </c>
      <c r="Q2896" s="12">
        <f t="shared" si="287"/>
        <v>4592.7</v>
      </c>
      <c r="R2896" s="31">
        <f t="shared" si="288"/>
        <v>4500</v>
      </c>
    </row>
    <row r="2897" spans="1:18" ht="21.95" customHeight="1" x14ac:dyDescent="0.2">
      <c r="A2897" s="6" t="s">
        <v>943</v>
      </c>
      <c r="B2897" s="6" t="s">
        <v>1596</v>
      </c>
      <c r="C2897" s="6" t="s">
        <v>1035</v>
      </c>
      <c r="D2897" s="6" t="s">
        <v>943</v>
      </c>
      <c r="E2897" s="6"/>
      <c r="G2897" s="6">
        <v>90</v>
      </c>
      <c r="H2897" s="6">
        <v>190</v>
      </c>
      <c r="K2897" s="7">
        <v>44007068</v>
      </c>
      <c r="L2897" s="6" t="str">
        <f t="shared" si="285"/>
        <v>YT AÇELYA  YATAK  90x190</v>
      </c>
      <c r="M2897" s="12">
        <v>0.1</v>
      </c>
      <c r="N2897" s="12">
        <v>0.1</v>
      </c>
      <c r="O2897" s="8">
        <v>3010</v>
      </c>
      <c r="P2897" s="8">
        <f t="shared" si="286"/>
        <v>2709</v>
      </c>
      <c r="Q2897" s="12">
        <f t="shared" si="287"/>
        <v>5688.9000000000005</v>
      </c>
      <c r="R2897" s="31">
        <f t="shared" si="288"/>
        <v>5600</v>
      </c>
    </row>
    <row r="2898" spans="1:18" ht="21.95" customHeight="1" x14ac:dyDescent="0.2">
      <c r="A2898" s="6" t="s">
        <v>943</v>
      </c>
      <c r="B2898" s="6" t="s">
        <v>1596</v>
      </c>
      <c r="C2898" s="6" t="s">
        <v>1035</v>
      </c>
      <c r="D2898" s="6" t="s">
        <v>943</v>
      </c>
      <c r="E2898" s="6"/>
      <c r="G2898" s="6">
        <v>90</v>
      </c>
      <c r="H2898" s="6">
        <v>200</v>
      </c>
      <c r="K2898" s="7">
        <v>44007069</v>
      </c>
      <c r="L2898" s="6" t="str">
        <f t="shared" si="285"/>
        <v>YT AÇELYA  YATAK  90x200</v>
      </c>
      <c r="M2898" s="12">
        <v>0.1</v>
      </c>
      <c r="N2898" s="12">
        <v>0.1</v>
      </c>
      <c r="O2898" s="8">
        <v>3180</v>
      </c>
      <c r="P2898" s="8">
        <f t="shared" si="286"/>
        <v>2862</v>
      </c>
      <c r="Q2898" s="12">
        <f t="shared" si="287"/>
        <v>6010.2</v>
      </c>
      <c r="R2898" s="31">
        <f t="shared" si="288"/>
        <v>6000</v>
      </c>
    </row>
    <row r="2899" spans="1:18" ht="21.95" customHeight="1" x14ac:dyDescent="0.2">
      <c r="A2899" s="6" t="s">
        <v>943</v>
      </c>
      <c r="B2899" s="6" t="s">
        <v>1596</v>
      </c>
      <c r="C2899" s="6" t="s">
        <v>1035</v>
      </c>
      <c r="D2899" s="6" t="s">
        <v>943</v>
      </c>
      <c r="E2899" s="6"/>
      <c r="G2899" s="6">
        <v>100</v>
      </c>
      <c r="H2899" s="6">
        <v>200</v>
      </c>
      <c r="K2899" s="7">
        <v>44007070</v>
      </c>
      <c r="L2899" s="6" t="str">
        <f t="shared" si="285"/>
        <v>YT AÇELYA  YATAK  100x200</v>
      </c>
      <c r="M2899" s="12">
        <v>0.1</v>
      </c>
      <c r="N2899" s="12">
        <v>0.1</v>
      </c>
      <c r="O2899" s="8">
        <v>3360</v>
      </c>
      <c r="P2899" s="8">
        <f t="shared" si="286"/>
        <v>3024</v>
      </c>
      <c r="Q2899" s="12">
        <f t="shared" si="287"/>
        <v>6350.4000000000005</v>
      </c>
      <c r="R2899" s="31">
        <f t="shared" si="288"/>
        <v>6300</v>
      </c>
    </row>
    <row r="2900" spans="1:18" ht="21.95" customHeight="1" x14ac:dyDescent="0.2">
      <c r="A2900" s="6" t="s">
        <v>943</v>
      </c>
      <c r="B2900" s="6" t="s">
        <v>1596</v>
      </c>
      <c r="C2900" s="6" t="s">
        <v>1035</v>
      </c>
      <c r="D2900" s="6" t="s">
        <v>943</v>
      </c>
      <c r="E2900" s="6"/>
      <c r="G2900" s="6">
        <v>120</v>
      </c>
      <c r="H2900" s="6">
        <v>200</v>
      </c>
      <c r="K2900" s="7">
        <v>44007071</v>
      </c>
      <c r="L2900" s="6" t="str">
        <f t="shared" si="285"/>
        <v>YT AÇELYA  YATAK  120x200</v>
      </c>
      <c r="M2900" s="12">
        <v>0.1</v>
      </c>
      <c r="N2900" s="12">
        <v>0.1</v>
      </c>
      <c r="O2900" s="8">
        <v>3730</v>
      </c>
      <c r="P2900" s="8">
        <f t="shared" si="286"/>
        <v>3357</v>
      </c>
      <c r="Q2900" s="12">
        <f t="shared" si="287"/>
        <v>7049.7000000000007</v>
      </c>
      <c r="R2900" s="31">
        <f t="shared" si="288"/>
        <v>7000</v>
      </c>
    </row>
    <row r="2901" spans="1:18" ht="21.95" customHeight="1" x14ac:dyDescent="0.2">
      <c r="A2901" s="6" t="s">
        <v>943</v>
      </c>
      <c r="B2901" s="6" t="s">
        <v>1596</v>
      </c>
      <c r="C2901" s="6" t="s">
        <v>1078</v>
      </c>
      <c r="D2901" s="6" t="s">
        <v>945</v>
      </c>
      <c r="E2901" s="6"/>
      <c r="G2901" s="6">
        <v>90</v>
      </c>
      <c r="H2901" s="6">
        <v>190</v>
      </c>
      <c r="K2901" s="7">
        <v>44007072</v>
      </c>
      <c r="L2901" s="6" t="str">
        <f t="shared" si="285"/>
        <v>YT KELEBEK BAZA 90x190</v>
      </c>
      <c r="M2901" s="12">
        <v>0.1</v>
      </c>
      <c r="N2901" s="12">
        <v>0.1</v>
      </c>
      <c r="O2901" s="8">
        <v>4630</v>
      </c>
      <c r="P2901" s="8">
        <f t="shared" si="286"/>
        <v>4167</v>
      </c>
      <c r="Q2901" s="12">
        <f t="shared" si="287"/>
        <v>8750.7000000000007</v>
      </c>
      <c r="R2901" s="31">
        <f t="shared" si="288"/>
        <v>8700</v>
      </c>
    </row>
    <row r="2902" spans="1:18" ht="21.95" customHeight="1" x14ac:dyDescent="0.2">
      <c r="A2902" s="6" t="s">
        <v>943</v>
      </c>
      <c r="B2902" s="6" t="s">
        <v>1596</v>
      </c>
      <c r="C2902" s="6" t="s">
        <v>1078</v>
      </c>
      <c r="D2902" s="6" t="s">
        <v>945</v>
      </c>
      <c r="E2902" s="6"/>
      <c r="G2902" s="6">
        <v>90</v>
      </c>
      <c r="H2902" s="6">
        <v>200</v>
      </c>
      <c r="K2902" s="7">
        <v>44007073</v>
      </c>
      <c r="L2902" s="6" t="str">
        <f t="shared" ref="L2902:L2933" si="289">B2902&amp;" "&amp;C2902&amp;" "&amp;D2902&amp;" "&amp;G2902&amp;"x"&amp;H2902</f>
        <v>YT KELEBEK BAZA 90x200</v>
      </c>
      <c r="M2902" s="12">
        <v>0.1</v>
      </c>
      <c r="N2902" s="12">
        <v>0.1</v>
      </c>
      <c r="O2902" s="8">
        <v>5080</v>
      </c>
      <c r="P2902" s="8">
        <f t="shared" si="286"/>
        <v>4572</v>
      </c>
      <c r="Q2902" s="12">
        <f t="shared" si="287"/>
        <v>9601.2000000000007</v>
      </c>
      <c r="R2902" s="31">
        <f t="shared" si="288"/>
        <v>9600</v>
      </c>
    </row>
    <row r="2903" spans="1:18" ht="21.95" customHeight="1" x14ac:dyDescent="0.2">
      <c r="A2903" s="6" t="s">
        <v>943</v>
      </c>
      <c r="B2903" s="6" t="s">
        <v>1596</v>
      </c>
      <c r="C2903" s="6" t="s">
        <v>1078</v>
      </c>
      <c r="D2903" s="6" t="s">
        <v>945</v>
      </c>
      <c r="E2903" s="6"/>
      <c r="G2903" s="6">
        <v>100</v>
      </c>
      <c r="H2903" s="6">
        <v>200</v>
      </c>
      <c r="K2903" s="7">
        <v>44007074</v>
      </c>
      <c r="L2903" s="6" t="str">
        <f t="shared" si="289"/>
        <v>YT KELEBEK BAZA 100x200</v>
      </c>
      <c r="M2903" s="12">
        <v>0.1</v>
      </c>
      <c r="N2903" s="12">
        <v>0.1</v>
      </c>
      <c r="O2903" s="8">
        <v>5460</v>
      </c>
      <c r="P2903" s="8">
        <f t="shared" si="286"/>
        <v>4914</v>
      </c>
      <c r="Q2903" s="12">
        <f t="shared" si="287"/>
        <v>10319.4</v>
      </c>
      <c r="R2903" s="31">
        <f t="shared" si="288"/>
        <v>10300</v>
      </c>
    </row>
    <row r="2904" spans="1:18" ht="21.95" customHeight="1" x14ac:dyDescent="0.2">
      <c r="A2904" s="6" t="s">
        <v>943</v>
      </c>
      <c r="B2904" s="6" t="s">
        <v>1596</v>
      </c>
      <c r="C2904" s="6" t="s">
        <v>1078</v>
      </c>
      <c r="D2904" s="6" t="s">
        <v>945</v>
      </c>
      <c r="E2904" s="6"/>
      <c r="G2904" s="6">
        <v>120</v>
      </c>
      <c r="H2904" s="6">
        <v>200</v>
      </c>
      <c r="K2904" s="7">
        <v>44007075</v>
      </c>
      <c r="L2904" s="6" t="str">
        <f t="shared" si="289"/>
        <v>YT KELEBEK BAZA 120x200</v>
      </c>
      <c r="M2904" s="12">
        <v>0.1</v>
      </c>
      <c r="N2904" s="12">
        <v>0.1</v>
      </c>
      <c r="O2904" s="8">
        <v>6080</v>
      </c>
      <c r="P2904" s="8">
        <f t="shared" si="286"/>
        <v>5472</v>
      </c>
      <c r="Q2904" s="12">
        <f t="shared" si="287"/>
        <v>11491.2</v>
      </c>
      <c r="R2904" s="31">
        <f t="shared" si="288"/>
        <v>11400</v>
      </c>
    </row>
    <row r="2905" spans="1:18" ht="21.95" customHeight="1" x14ac:dyDescent="0.2">
      <c r="A2905" s="6" t="s">
        <v>943</v>
      </c>
      <c r="B2905" s="6" t="s">
        <v>1596</v>
      </c>
      <c r="C2905" s="6" t="s">
        <v>1079</v>
      </c>
      <c r="D2905" s="6" t="s">
        <v>1003</v>
      </c>
      <c r="E2905" s="6"/>
      <c r="G2905" s="6">
        <v>90</v>
      </c>
      <c r="H2905" s="6">
        <v>190</v>
      </c>
      <c r="K2905" s="7">
        <v>44007076</v>
      </c>
      <c r="L2905" s="6" t="str">
        <f t="shared" si="289"/>
        <v>YT KELEBEK  BAŞLIK  90x190</v>
      </c>
      <c r="M2905" s="12">
        <v>0.1</v>
      </c>
      <c r="N2905" s="12">
        <v>0.1</v>
      </c>
      <c r="O2905" s="8">
        <v>2810</v>
      </c>
      <c r="P2905" s="8">
        <f t="shared" si="286"/>
        <v>2529</v>
      </c>
      <c r="Q2905" s="12">
        <f t="shared" si="287"/>
        <v>5310.9000000000005</v>
      </c>
      <c r="R2905" s="31">
        <f t="shared" si="288"/>
        <v>5300</v>
      </c>
    </row>
    <row r="2906" spans="1:18" ht="21.95" customHeight="1" x14ac:dyDescent="0.2">
      <c r="A2906" s="6" t="s">
        <v>943</v>
      </c>
      <c r="B2906" s="6" t="s">
        <v>1596</v>
      </c>
      <c r="C2906" s="6" t="s">
        <v>1079</v>
      </c>
      <c r="D2906" s="6" t="s">
        <v>1003</v>
      </c>
      <c r="E2906" s="6"/>
      <c r="G2906" s="6">
        <v>90</v>
      </c>
      <c r="H2906" s="6">
        <v>200</v>
      </c>
      <c r="K2906" s="7">
        <v>44007077</v>
      </c>
      <c r="L2906" s="6" t="str">
        <f t="shared" si="289"/>
        <v>YT KELEBEK  BAŞLIK  90x200</v>
      </c>
      <c r="M2906" s="12">
        <v>0.1</v>
      </c>
      <c r="N2906" s="12">
        <v>0.1</v>
      </c>
      <c r="O2906" s="8">
        <v>2810</v>
      </c>
      <c r="P2906" s="8">
        <f t="shared" si="286"/>
        <v>2529</v>
      </c>
      <c r="Q2906" s="12">
        <f t="shared" si="287"/>
        <v>5310.9000000000005</v>
      </c>
      <c r="R2906" s="31">
        <f t="shared" si="288"/>
        <v>5300</v>
      </c>
    </row>
    <row r="2907" spans="1:18" ht="21.95" customHeight="1" x14ac:dyDescent="0.2">
      <c r="A2907" s="6" t="s">
        <v>943</v>
      </c>
      <c r="B2907" s="6" t="s">
        <v>1596</v>
      </c>
      <c r="C2907" s="6" t="s">
        <v>1079</v>
      </c>
      <c r="D2907" s="6" t="s">
        <v>1003</v>
      </c>
      <c r="E2907" s="6"/>
      <c r="G2907" s="6">
        <v>100</v>
      </c>
      <c r="H2907" s="6">
        <v>200</v>
      </c>
      <c r="K2907" s="7">
        <v>44007078</v>
      </c>
      <c r="L2907" s="6" t="str">
        <f t="shared" si="289"/>
        <v>YT KELEBEK  BAŞLIK  100x200</v>
      </c>
      <c r="M2907" s="12">
        <v>0.1</v>
      </c>
      <c r="N2907" s="12">
        <v>0.1</v>
      </c>
      <c r="O2907" s="8">
        <v>3130</v>
      </c>
      <c r="P2907" s="8">
        <f t="shared" si="286"/>
        <v>2817</v>
      </c>
      <c r="Q2907" s="12">
        <f t="shared" si="287"/>
        <v>5915.7</v>
      </c>
      <c r="R2907" s="31">
        <f t="shared" si="288"/>
        <v>5900</v>
      </c>
    </row>
    <row r="2908" spans="1:18" ht="21.95" customHeight="1" x14ac:dyDescent="0.2">
      <c r="A2908" s="6" t="s">
        <v>943</v>
      </c>
      <c r="B2908" s="6" t="s">
        <v>1596</v>
      </c>
      <c r="C2908" s="6" t="s">
        <v>1079</v>
      </c>
      <c r="D2908" s="6" t="s">
        <v>1003</v>
      </c>
      <c r="E2908" s="6"/>
      <c r="G2908" s="6">
        <v>120</v>
      </c>
      <c r="H2908" s="6">
        <v>200</v>
      </c>
      <c r="K2908" s="7">
        <v>44007079</v>
      </c>
      <c r="L2908" s="6" t="str">
        <f t="shared" si="289"/>
        <v>YT KELEBEK  BAŞLIK  120x200</v>
      </c>
      <c r="M2908" s="12">
        <v>0.1</v>
      </c>
      <c r="N2908" s="12">
        <v>0.1</v>
      </c>
      <c r="O2908" s="8">
        <v>3330</v>
      </c>
      <c r="P2908" s="8">
        <f t="shared" si="286"/>
        <v>2997</v>
      </c>
      <c r="Q2908" s="12">
        <f t="shared" si="287"/>
        <v>6293.7</v>
      </c>
      <c r="R2908" s="31">
        <f t="shared" si="288"/>
        <v>6200</v>
      </c>
    </row>
    <row r="2909" spans="1:18" ht="21.95" customHeight="1" x14ac:dyDescent="0.2">
      <c r="A2909" s="6" t="s">
        <v>943</v>
      </c>
      <c r="B2909" s="6" t="s">
        <v>1596</v>
      </c>
      <c r="C2909" s="6" t="s">
        <v>1079</v>
      </c>
      <c r="D2909" s="6" t="s">
        <v>951</v>
      </c>
      <c r="E2909" s="6"/>
      <c r="G2909" s="6">
        <v>40</v>
      </c>
      <c r="H2909" s="6">
        <v>100</v>
      </c>
      <c r="I2909" s="7">
        <v>50</v>
      </c>
      <c r="K2909" s="7">
        <v>44007080</v>
      </c>
      <c r="L2909" s="6" t="str">
        <f t="shared" si="289"/>
        <v>YT KELEBEK  MARKİZ 40x100</v>
      </c>
      <c r="M2909" s="12">
        <v>0.1</v>
      </c>
      <c r="N2909" s="12">
        <v>0.1</v>
      </c>
      <c r="O2909" s="8">
        <v>4280</v>
      </c>
      <c r="P2909" s="8">
        <f t="shared" si="286"/>
        <v>3852</v>
      </c>
      <c r="Q2909" s="12">
        <f t="shared" si="287"/>
        <v>8089.2000000000007</v>
      </c>
      <c r="R2909" s="31">
        <f t="shared" si="288"/>
        <v>8000</v>
      </c>
    </row>
    <row r="2910" spans="1:18" ht="21.95" customHeight="1" x14ac:dyDescent="0.2">
      <c r="A2910" s="6" t="s">
        <v>943</v>
      </c>
      <c r="B2910" s="6" t="s">
        <v>1596</v>
      </c>
      <c r="C2910" s="6" t="s">
        <v>1079</v>
      </c>
      <c r="D2910" s="6" t="s">
        <v>1076</v>
      </c>
      <c r="E2910" s="6"/>
      <c r="G2910" s="6">
        <v>5</v>
      </c>
      <c r="H2910" s="6">
        <v>90</v>
      </c>
      <c r="I2910" s="7">
        <v>80</v>
      </c>
      <c r="K2910" s="7">
        <v>44007081</v>
      </c>
      <c r="L2910" s="6" t="str">
        <f t="shared" si="289"/>
        <v>YT KELEBEK  KORKULUK  5x90</v>
      </c>
      <c r="M2910" s="12">
        <v>0.1</v>
      </c>
      <c r="N2910" s="12">
        <v>0.1</v>
      </c>
      <c r="O2910" s="8">
        <v>2640</v>
      </c>
      <c r="P2910" s="8">
        <f t="shared" si="286"/>
        <v>2376</v>
      </c>
      <c r="Q2910" s="12">
        <f t="shared" si="287"/>
        <v>4989.6000000000004</v>
      </c>
      <c r="R2910" s="31">
        <f t="shared" si="288"/>
        <v>4900</v>
      </c>
    </row>
    <row r="2911" spans="1:18" ht="21.95" customHeight="1" x14ac:dyDescent="0.2">
      <c r="A2911" s="6" t="s">
        <v>943</v>
      </c>
      <c r="B2911" s="6" t="s">
        <v>1596</v>
      </c>
      <c r="C2911" s="6" t="s">
        <v>1079</v>
      </c>
      <c r="D2911" s="6" t="s">
        <v>1077</v>
      </c>
      <c r="E2911" s="6"/>
      <c r="G2911" s="6">
        <v>5</v>
      </c>
      <c r="H2911" s="6">
        <v>90</v>
      </c>
      <c r="I2911" s="7">
        <v>75</v>
      </c>
      <c r="K2911" s="7">
        <v>44007082</v>
      </c>
      <c r="L2911" s="6" t="str">
        <f t="shared" si="289"/>
        <v>YT KELEBEK  AYAKUCU  5x90</v>
      </c>
      <c r="M2911" s="12">
        <v>0.1</v>
      </c>
      <c r="N2911" s="12">
        <v>0.1</v>
      </c>
      <c r="O2911" s="8">
        <v>2530</v>
      </c>
      <c r="P2911" s="8">
        <f t="shared" si="286"/>
        <v>2277</v>
      </c>
      <c r="Q2911" s="12">
        <f t="shared" si="287"/>
        <v>4781.7</v>
      </c>
      <c r="R2911" s="31">
        <f t="shared" si="288"/>
        <v>4700</v>
      </c>
    </row>
    <row r="2912" spans="1:18" ht="21.95" customHeight="1" x14ac:dyDescent="0.2">
      <c r="A2912" s="6" t="s">
        <v>943</v>
      </c>
      <c r="B2912" s="6" t="s">
        <v>1596</v>
      </c>
      <c r="C2912" s="6" t="s">
        <v>1047</v>
      </c>
      <c r="D2912" s="6" t="s">
        <v>989</v>
      </c>
      <c r="E2912" s="6"/>
      <c r="G2912" s="6">
        <v>75</v>
      </c>
      <c r="H2912" s="6">
        <v>170</v>
      </c>
      <c r="K2912" s="7">
        <v>44007083</v>
      </c>
      <c r="L2912" s="6" t="str">
        <f t="shared" si="289"/>
        <v>YT KİDS  BAZA  75x170</v>
      </c>
      <c r="M2912" s="12">
        <v>0.1</v>
      </c>
      <c r="N2912" s="12">
        <v>0.1</v>
      </c>
      <c r="O2912" s="8">
        <v>5300</v>
      </c>
      <c r="P2912" s="8">
        <f t="shared" si="286"/>
        <v>4770</v>
      </c>
      <c r="Q2912" s="12">
        <f t="shared" si="287"/>
        <v>10017</v>
      </c>
      <c r="R2912" s="31">
        <f t="shared" si="288"/>
        <v>10000</v>
      </c>
    </row>
    <row r="2913" spans="1:18" ht="21.95" customHeight="1" x14ac:dyDescent="0.2">
      <c r="A2913" s="6" t="s">
        <v>943</v>
      </c>
      <c r="B2913" s="6" t="s">
        <v>1596</v>
      </c>
      <c r="C2913" s="6" t="s">
        <v>1080</v>
      </c>
      <c r="D2913" s="6" t="s">
        <v>943</v>
      </c>
      <c r="E2913" s="6"/>
      <c r="G2913" s="6">
        <v>75</v>
      </c>
      <c r="H2913" s="6">
        <v>170</v>
      </c>
      <c r="K2913" s="7">
        <v>44007084</v>
      </c>
      <c r="L2913" s="6" t="str">
        <f t="shared" si="289"/>
        <v>YT SİNDİRELLA YATAK  75x170</v>
      </c>
      <c r="M2913" s="12">
        <v>0.1</v>
      </c>
      <c r="N2913" s="12">
        <v>0.1</v>
      </c>
      <c r="O2913" s="8">
        <v>5000</v>
      </c>
      <c r="P2913" s="8">
        <f t="shared" si="286"/>
        <v>4500</v>
      </c>
      <c r="Q2913" s="12">
        <f t="shared" si="287"/>
        <v>9450</v>
      </c>
      <c r="R2913" s="31">
        <f t="shared" si="288"/>
        <v>9400</v>
      </c>
    </row>
    <row r="2914" spans="1:18" ht="21.95" customHeight="1" x14ac:dyDescent="0.2">
      <c r="A2914" s="6" t="s">
        <v>943</v>
      </c>
      <c r="B2914" s="6" t="s">
        <v>1596</v>
      </c>
      <c r="C2914" s="6" t="s">
        <v>1047</v>
      </c>
      <c r="D2914" s="6" t="s">
        <v>948</v>
      </c>
      <c r="E2914" s="6"/>
      <c r="G2914" s="6">
        <v>48</v>
      </c>
      <c r="H2914" s="6">
        <v>51</v>
      </c>
      <c r="I2914" s="7">
        <v>55</v>
      </c>
      <c r="K2914" s="7">
        <v>44007085</v>
      </c>
      <c r="L2914" s="6" t="str">
        <f t="shared" si="289"/>
        <v>YT KİDS  KOMİDİN 48x51</v>
      </c>
      <c r="M2914" s="12">
        <v>0.1</v>
      </c>
      <c r="N2914" s="12">
        <v>0.1</v>
      </c>
      <c r="O2914" s="8">
        <v>5080</v>
      </c>
      <c r="P2914" s="8">
        <f t="shared" si="286"/>
        <v>4572</v>
      </c>
      <c r="Q2914" s="12">
        <f t="shared" si="287"/>
        <v>9601.2000000000007</v>
      </c>
      <c r="R2914" s="31">
        <f t="shared" si="288"/>
        <v>9600</v>
      </c>
    </row>
    <row r="2915" spans="1:18" ht="21.95" customHeight="1" x14ac:dyDescent="0.2">
      <c r="A2915" s="6" t="s">
        <v>943</v>
      </c>
      <c r="B2915" s="6" t="s">
        <v>1596</v>
      </c>
      <c r="C2915" s="6" t="s">
        <v>1047</v>
      </c>
      <c r="D2915" s="6" t="s">
        <v>951</v>
      </c>
      <c r="E2915" s="6"/>
      <c r="G2915" s="6">
        <v>100</v>
      </c>
      <c r="H2915" s="6">
        <v>100</v>
      </c>
      <c r="I2915" s="7">
        <v>30</v>
      </c>
      <c r="K2915" s="7">
        <v>44007086</v>
      </c>
      <c r="L2915" s="6" t="str">
        <f t="shared" si="289"/>
        <v>YT KİDS  MARKİZ 100x100</v>
      </c>
      <c r="M2915" s="12">
        <v>0.1</v>
      </c>
      <c r="N2915" s="12">
        <v>0.1</v>
      </c>
      <c r="O2915" s="8">
        <v>6390</v>
      </c>
      <c r="P2915" s="8">
        <f t="shared" si="286"/>
        <v>5751</v>
      </c>
      <c r="Q2915" s="12">
        <f t="shared" si="287"/>
        <v>12077.1</v>
      </c>
      <c r="R2915" s="31">
        <f t="shared" si="288"/>
        <v>12000</v>
      </c>
    </row>
    <row r="2916" spans="1:18" ht="21.95" customHeight="1" x14ac:dyDescent="0.2">
      <c r="A2916" s="6" t="s">
        <v>943</v>
      </c>
      <c r="B2916" s="6" t="s">
        <v>1596</v>
      </c>
      <c r="C2916" s="6" t="s">
        <v>1047</v>
      </c>
      <c r="D2916" s="6" t="s">
        <v>1081</v>
      </c>
      <c r="E2916" s="6"/>
      <c r="G2916" s="6">
        <v>50</v>
      </c>
      <c r="H2916" s="6">
        <v>75</v>
      </c>
      <c r="I2916" s="7">
        <v>130</v>
      </c>
      <c r="K2916" s="7">
        <v>44007087</v>
      </c>
      <c r="L2916" s="6" t="str">
        <f t="shared" si="289"/>
        <v>YT KİDS  KOLTUK  50x75</v>
      </c>
      <c r="M2916" s="12">
        <v>0.1</v>
      </c>
      <c r="N2916" s="12">
        <v>0.1</v>
      </c>
      <c r="O2916" s="8">
        <v>11030</v>
      </c>
      <c r="P2916" s="8">
        <f t="shared" si="286"/>
        <v>9927</v>
      </c>
      <c r="Q2916" s="12">
        <f t="shared" si="287"/>
        <v>20846.7</v>
      </c>
      <c r="R2916" s="31">
        <f t="shared" si="288"/>
        <v>20800</v>
      </c>
    </row>
    <row r="2917" spans="1:18" ht="21.95" customHeight="1" x14ac:dyDescent="0.2">
      <c r="A2917" s="6" t="s">
        <v>943</v>
      </c>
      <c r="B2917" s="6" t="s">
        <v>1596</v>
      </c>
      <c r="C2917" s="6" t="s">
        <v>1082</v>
      </c>
      <c r="D2917" s="6" t="s">
        <v>945</v>
      </c>
      <c r="E2917" s="6"/>
      <c r="G2917" s="6">
        <v>90</v>
      </c>
      <c r="H2917" s="6">
        <v>190</v>
      </c>
      <c r="K2917" s="7">
        <v>44007088</v>
      </c>
      <c r="L2917" s="6" t="str">
        <f t="shared" si="289"/>
        <v>YT COMFORT BAZA 90x190</v>
      </c>
      <c r="M2917" s="12">
        <v>0.1</v>
      </c>
      <c r="N2917" s="12">
        <v>0.1</v>
      </c>
      <c r="O2917" s="8">
        <v>4730</v>
      </c>
      <c r="P2917" s="8">
        <f t="shared" si="286"/>
        <v>4257</v>
      </c>
      <c r="Q2917" s="12">
        <f t="shared" si="287"/>
        <v>8939.7000000000007</v>
      </c>
      <c r="R2917" s="31">
        <f t="shared" si="288"/>
        <v>8900</v>
      </c>
    </row>
    <row r="2918" spans="1:18" ht="21.95" customHeight="1" x14ac:dyDescent="0.2">
      <c r="A2918" s="6" t="s">
        <v>943</v>
      </c>
      <c r="B2918" s="6" t="s">
        <v>1596</v>
      </c>
      <c r="C2918" s="6" t="s">
        <v>1082</v>
      </c>
      <c r="D2918" s="6" t="s">
        <v>945</v>
      </c>
      <c r="E2918" s="6"/>
      <c r="G2918" s="6">
        <v>90</v>
      </c>
      <c r="H2918" s="6">
        <v>200</v>
      </c>
      <c r="K2918" s="7">
        <v>44007089</v>
      </c>
      <c r="L2918" s="6" t="str">
        <f t="shared" si="289"/>
        <v>YT COMFORT BAZA 90x200</v>
      </c>
      <c r="M2918" s="12">
        <v>0.1</v>
      </c>
      <c r="N2918" s="12">
        <v>0.1</v>
      </c>
      <c r="O2918" s="8">
        <v>4840</v>
      </c>
      <c r="P2918" s="8">
        <f t="shared" si="286"/>
        <v>4356</v>
      </c>
      <c r="Q2918" s="12">
        <f t="shared" si="287"/>
        <v>9147.6</v>
      </c>
      <c r="R2918" s="31">
        <f t="shared" si="288"/>
        <v>9100</v>
      </c>
    </row>
    <row r="2919" spans="1:18" ht="21.95" customHeight="1" x14ac:dyDescent="0.2">
      <c r="A2919" s="6" t="s">
        <v>943</v>
      </c>
      <c r="B2919" s="6" t="s">
        <v>1596</v>
      </c>
      <c r="C2919" s="6" t="s">
        <v>1082</v>
      </c>
      <c r="D2919" s="6" t="s">
        <v>945</v>
      </c>
      <c r="E2919" s="6"/>
      <c r="G2919" s="6">
        <v>100</v>
      </c>
      <c r="H2919" s="6">
        <v>200</v>
      </c>
      <c r="K2919" s="7">
        <v>44007090</v>
      </c>
      <c r="L2919" s="6" t="str">
        <f t="shared" si="289"/>
        <v>YT COMFORT BAZA 100x200</v>
      </c>
      <c r="M2919" s="12">
        <v>0.1</v>
      </c>
      <c r="N2919" s="12">
        <v>0.1</v>
      </c>
      <c r="O2919" s="8">
        <v>5070</v>
      </c>
      <c r="P2919" s="8">
        <f t="shared" si="286"/>
        <v>4563</v>
      </c>
      <c r="Q2919" s="12">
        <f t="shared" si="287"/>
        <v>9582.3000000000011</v>
      </c>
      <c r="R2919" s="31">
        <f t="shared" si="288"/>
        <v>9500</v>
      </c>
    </row>
    <row r="2920" spans="1:18" ht="21.95" customHeight="1" x14ac:dyDescent="0.2">
      <c r="A2920" s="6" t="s">
        <v>943</v>
      </c>
      <c r="B2920" s="6" t="s">
        <v>1596</v>
      </c>
      <c r="C2920" s="6" t="s">
        <v>1082</v>
      </c>
      <c r="D2920" s="6" t="s">
        <v>945</v>
      </c>
      <c r="E2920" s="6"/>
      <c r="G2920" s="6">
        <v>120</v>
      </c>
      <c r="H2920" s="6">
        <v>200</v>
      </c>
      <c r="K2920" s="7">
        <v>44007091</v>
      </c>
      <c r="L2920" s="6" t="str">
        <f t="shared" si="289"/>
        <v>YT COMFORT BAZA 120x200</v>
      </c>
      <c r="M2920" s="12">
        <v>0.1</v>
      </c>
      <c r="N2920" s="12">
        <v>0.1</v>
      </c>
      <c r="O2920" s="8">
        <v>5870</v>
      </c>
      <c r="P2920" s="8">
        <f t="shared" si="286"/>
        <v>5283</v>
      </c>
      <c r="Q2920" s="12">
        <f t="shared" si="287"/>
        <v>11094.300000000001</v>
      </c>
      <c r="R2920" s="31">
        <f t="shared" si="288"/>
        <v>11000</v>
      </c>
    </row>
    <row r="2921" spans="1:18" ht="21.95" customHeight="1" x14ac:dyDescent="0.2">
      <c r="A2921" s="6" t="s">
        <v>943</v>
      </c>
      <c r="B2921" s="6" t="s">
        <v>1596</v>
      </c>
      <c r="C2921" s="6" t="s">
        <v>1082</v>
      </c>
      <c r="D2921" s="6" t="s">
        <v>945</v>
      </c>
      <c r="E2921" s="6"/>
      <c r="G2921" s="6">
        <v>140</v>
      </c>
      <c r="H2921" s="6">
        <v>190</v>
      </c>
      <c r="K2921" s="7">
        <v>44007092</v>
      </c>
      <c r="L2921" s="6" t="str">
        <f t="shared" si="289"/>
        <v>YT COMFORT BAZA 140x190</v>
      </c>
      <c r="M2921" s="12">
        <v>0.1</v>
      </c>
      <c r="N2921" s="12">
        <v>0.1</v>
      </c>
      <c r="O2921" s="8">
        <v>7880</v>
      </c>
      <c r="P2921" s="8">
        <f t="shared" si="286"/>
        <v>7092</v>
      </c>
      <c r="Q2921" s="12">
        <f t="shared" si="287"/>
        <v>14893.2</v>
      </c>
      <c r="R2921" s="31">
        <f t="shared" si="288"/>
        <v>14800</v>
      </c>
    </row>
    <row r="2922" spans="1:18" ht="21.95" customHeight="1" x14ac:dyDescent="0.2">
      <c r="A2922" s="6" t="s">
        <v>943</v>
      </c>
      <c r="B2922" s="6" t="s">
        <v>1596</v>
      </c>
      <c r="C2922" s="6" t="s">
        <v>1082</v>
      </c>
      <c r="D2922" s="6" t="s">
        <v>945</v>
      </c>
      <c r="E2922" s="6"/>
      <c r="G2922" s="6">
        <v>140</v>
      </c>
      <c r="H2922" s="6">
        <v>200</v>
      </c>
      <c r="K2922" s="7">
        <v>44007093</v>
      </c>
      <c r="L2922" s="6" t="str">
        <f t="shared" si="289"/>
        <v>YT COMFORT BAZA 140x200</v>
      </c>
      <c r="M2922" s="12">
        <v>0.1</v>
      </c>
      <c r="N2922" s="12">
        <v>0.1</v>
      </c>
      <c r="O2922" s="8">
        <v>8110</v>
      </c>
      <c r="P2922" s="8">
        <f t="shared" si="286"/>
        <v>7299</v>
      </c>
      <c r="Q2922" s="12">
        <f t="shared" si="287"/>
        <v>15327.900000000001</v>
      </c>
      <c r="R2922" s="31">
        <f t="shared" si="288"/>
        <v>15300</v>
      </c>
    </row>
    <row r="2923" spans="1:18" ht="21.95" customHeight="1" x14ac:dyDescent="0.2">
      <c r="A2923" s="6" t="s">
        <v>943</v>
      </c>
      <c r="B2923" s="6" t="s">
        <v>1596</v>
      </c>
      <c r="C2923" s="6" t="s">
        <v>1082</v>
      </c>
      <c r="D2923" s="6" t="s">
        <v>945</v>
      </c>
      <c r="E2923" s="6"/>
      <c r="G2923" s="6">
        <v>150</v>
      </c>
      <c r="H2923" s="6">
        <v>200</v>
      </c>
      <c r="K2923" s="7">
        <v>44007094</v>
      </c>
      <c r="L2923" s="6" t="str">
        <f t="shared" si="289"/>
        <v>YT COMFORT BAZA 150x200</v>
      </c>
      <c r="M2923" s="12">
        <v>0.1</v>
      </c>
      <c r="N2923" s="12">
        <v>0.1</v>
      </c>
      <c r="O2923" s="8">
        <v>8460</v>
      </c>
      <c r="P2923" s="8">
        <f t="shared" si="286"/>
        <v>7614</v>
      </c>
      <c r="Q2923" s="12">
        <f t="shared" si="287"/>
        <v>15989.400000000001</v>
      </c>
      <c r="R2923" s="31">
        <f t="shared" si="288"/>
        <v>15900</v>
      </c>
    </row>
    <row r="2924" spans="1:18" ht="21.95" customHeight="1" x14ac:dyDescent="0.2">
      <c r="A2924" s="6" t="s">
        <v>943</v>
      </c>
      <c r="B2924" s="6" t="s">
        <v>1596</v>
      </c>
      <c r="C2924" s="6" t="s">
        <v>1082</v>
      </c>
      <c r="D2924" s="6" t="s">
        <v>945</v>
      </c>
      <c r="E2924" s="6"/>
      <c r="G2924" s="6">
        <v>160</v>
      </c>
      <c r="H2924" s="6">
        <v>200</v>
      </c>
      <c r="K2924" s="7">
        <v>44007095</v>
      </c>
      <c r="L2924" s="6" t="str">
        <f t="shared" si="289"/>
        <v>YT COMFORT BAZA 160x200</v>
      </c>
      <c r="M2924" s="12">
        <v>0.1</v>
      </c>
      <c r="N2924" s="12">
        <v>0.1</v>
      </c>
      <c r="O2924" s="8">
        <v>8790</v>
      </c>
      <c r="P2924" s="8">
        <f t="shared" si="286"/>
        <v>7911</v>
      </c>
      <c r="Q2924" s="12">
        <f t="shared" si="287"/>
        <v>16613.100000000002</v>
      </c>
      <c r="R2924" s="31">
        <f t="shared" si="288"/>
        <v>16600</v>
      </c>
    </row>
    <row r="2925" spans="1:18" ht="21.95" customHeight="1" x14ac:dyDescent="0.2">
      <c r="A2925" s="6" t="s">
        <v>943</v>
      </c>
      <c r="B2925" s="6" t="s">
        <v>1596</v>
      </c>
      <c r="C2925" s="6" t="s">
        <v>1082</v>
      </c>
      <c r="D2925" s="6" t="s">
        <v>945</v>
      </c>
      <c r="E2925" s="6"/>
      <c r="G2925" s="6">
        <v>180</v>
      </c>
      <c r="H2925" s="6">
        <v>200</v>
      </c>
      <c r="K2925" s="7">
        <v>44007096</v>
      </c>
      <c r="L2925" s="6" t="str">
        <f t="shared" si="289"/>
        <v>YT COMFORT BAZA 180x200</v>
      </c>
      <c r="M2925" s="12">
        <v>0.1</v>
      </c>
      <c r="N2925" s="12">
        <v>0.1</v>
      </c>
      <c r="O2925" s="8">
        <v>9670</v>
      </c>
      <c r="P2925" s="8">
        <f t="shared" si="286"/>
        <v>8703</v>
      </c>
      <c r="Q2925" s="12">
        <f t="shared" si="287"/>
        <v>18276.3</v>
      </c>
      <c r="R2925" s="31">
        <f t="shared" si="288"/>
        <v>18200</v>
      </c>
    </row>
    <row r="2926" spans="1:18" ht="21.95" customHeight="1" x14ac:dyDescent="0.2">
      <c r="A2926" s="6" t="s">
        <v>943</v>
      </c>
      <c r="B2926" s="6" t="s">
        <v>1596</v>
      </c>
      <c r="C2926" s="6" t="s">
        <v>1082</v>
      </c>
      <c r="D2926" s="6" t="s">
        <v>945</v>
      </c>
      <c r="E2926" s="6"/>
      <c r="G2926" s="6">
        <v>200</v>
      </c>
      <c r="H2926" s="6">
        <v>200</v>
      </c>
      <c r="K2926" s="7">
        <v>44007097</v>
      </c>
      <c r="L2926" s="6" t="str">
        <f t="shared" si="289"/>
        <v>YT COMFORT BAZA 200x200</v>
      </c>
      <c r="M2926" s="12">
        <v>0.1</v>
      </c>
      <c r="N2926" s="12">
        <v>0.1</v>
      </c>
      <c r="O2926" s="8">
        <v>10130</v>
      </c>
      <c r="P2926" s="8">
        <f t="shared" si="286"/>
        <v>9117</v>
      </c>
      <c r="Q2926" s="12">
        <f t="shared" si="287"/>
        <v>19145.7</v>
      </c>
      <c r="R2926" s="31">
        <f t="shared" si="288"/>
        <v>19100</v>
      </c>
    </row>
    <row r="2927" spans="1:18" ht="21.95" customHeight="1" x14ac:dyDescent="0.2">
      <c r="A2927" s="6" t="s">
        <v>943</v>
      </c>
      <c r="B2927" s="6" t="s">
        <v>1596</v>
      </c>
      <c r="C2927" s="6" t="s">
        <v>1082</v>
      </c>
      <c r="D2927" s="6" t="s">
        <v>950</v>
      </c>
      <c r="E2927" s="6"/>
      <c r="G2927" s="6">
        <v>90</v>
      </c>
      <c r="H2927" s="6">
        <v>190</v>
      </c>
      <c r="K2927" s="7">
        <v>44007098</v>
      </c>
      <c r="L2927" s="6" t="str">
        <f t="shared" si="289"/>
        <v>YT COMFORT BAŞLIK 90x190</v>
      </c>
      <c r="M2927" s="12">
        <v>0.1</v>
      </c>
      <c r="N2927" s="12">
        <v>0.1</v>
      </c>
      <c r="O2927" s="8">
        <v>4340</v>
      </c>
      <c r="P2927" s="8">
        <f t="shared" si="286"/>
        <v>3906</v>
      </c>
      <c r="Q2927" s="12">
        <f t="shared" si="287"/>
        <v>8202.6</v>
      </c>
      <c r="R2927" s="31">
        <f t="shared" si="288"/>
        <v>8200</v>
      </c>
    </row>
    <row r="2928" spans="1:18" ht="21.95" customHeight="1" x14ac:dyDescent="0.2">
      <c r="A2928" s="6" t="s">
        <v>943</v>
      </c>
      <c r="B2928" s="6" t="s">
        <v>1596</v>
      </c>
      <c r="C2928" s="6" t="s">
        <v>1082</v>
      </c>
      <c r="D2928" s="6" t="s">
        <v>950</v>
      </c>
      <c r="E2928" s="6"/>
      <c r="G2928" s="6">
        <v>90</v>
      </c>
      <c r="H2928" s="6">
        <v>200</v>
      </c>
      <c r="K2928" s="7">
        <v>44007099</v>
      </c>
      <c r="L2928" s="6" t="str">
        <f t="shared" si="289"/>
        <v>YT COMFORT BAŞLIK 90x200</v>
      </c>
      <c r="M2928" s="12">
        <v>0.1</v>
      </c>
      <c r="N2928" s="12">
        <v>0.1</v>
      </c>
      <c r="O2928" s="8">
        <v>4340</v>
      </c>
      <c r="P2928" s="8">
        <f t="shared" si="286"/>
        <v>3906</v>
      </c>
      <c r="Q2928" s="12">
        <f t="shared" si="287"/>
        <v>8202.6</v>
      </c>
      <c r="R2928" s="31">
        <f t="shared" si="288"/>
        <v>8200</v>
      </c>
    </row>
    <row r="2929" spans="1:18" ht="21.95" customHeight="1" x14ac:dyDescent="0.2">
      <c r="A2929" s="6" t="s">
        <v>943</v>
      </c>
      <c r="B2929" s="6" t="s">
        <v>1596</v>
      </c>
      <c r="C2929" s="6" t="s">
        <v>1082</v>
      </c>
      <c r="D2929" s="6" t="s">
        <v>950</v>
      </c>
      <c r="E2929" s="6"/>
      <c r="G2929" s="6">
        <v>100</v>
      </c>
      <c r="H2929" s="6">
        <v>200</v>
      </c>
      <c r="K2929" s="7">
        <v>44007100</v>
      </c>
      <c r="L2929" s="6" t="str">
        <f t="shared" si="289"/>
        <v>YT COMFORT BAŞLIK 100x200</v>
      </c>
      <c r="M2929" s="12">
        <v>0.1</v>
      </c>
      <c r="N2929" s="12">
        <v>0.1</v>
      </c>
      <c r="O2929" s="8">
        <v>4670</v>
      </c>
      <c r="P2929" s="8">
        <f t="shared" si="286"/>
        <v>4203</v>
      </c>
      <c r="Q2929" s="12">
        <f t="shared" si="287"/>
        <v>8826.3000000000011</v>
      </c>
      <c r="R2929" s="31">
        <f t="shared" si="288"/>
        <v>8800</v>
      </c>
    </row>
    <row r="2930" spans="1:18" ht="21.95" customHeight="1" x14ac:dyDescent="0.2">
      <c r="A2930" s="6" t="s">
        <v>943</v>
      </c>
      <c r="B2930" s="6" t="s">
        <v>1596</v>
      </c>
      <c r="C2930" s="6" t="s">
        <v>1082</v>
      </c>
      <c r="D2930" s="6" t="s">
        <v>950</v>
      </c>
      <c r="E2930" s="6"/>
      <c r="G2930" s="6">
        <v>120</v>
      </c>
      <c r="H2930" s="6">
        <v>200</v>
      </c>
      <c r="K2930" s="7">
        <v>44007101</v>
      </c>
      <c r="L2930" s="6" t="str">
        <f t="shared" si="289"/>
        <v>YT COMFORT BAŞLIK 120x200</v>
      </c>
      <c r="M2930" s="12">
        <v>0.1</v>
      </c>
      <c r="N2930" s="12">
        <v>0.1</v>
      </c>
      <c r="O2930" s="8">
        <v>4940</v>
      </c>
      <c r="P2930" s="8">
        <f t="shared" si="286"/>
        <v>4446</v>
      </c>
      <c r="Q2930" s="12">
        <f t="shared" si="287"/>
        <v>9336.6</v>
      </c>
      <c r="R2930" s="31">
        <f t="shared" si="288"/>
        <v>9300</v>
      </c>
    </row>
    <row r="2931" spans="1:18" ht="21.95" customHeight="1" x14ac:dyDescent="0.2">
      <c r="A2931" s="6" t="s">
        <v>943</v>
      </c>
      <c r="B2931" s="6" t="s">
        <v>1596</v>
      </c>
      <c r="C2931" s="6" t="s">
        <v>1082</v>
      </c>
      <c r="D2931" s="6" t="s">
        <v>950</v>
      </c>
      <c r="E2931" s="6"/>
      <c r="G2931" s="6">
        <v>140</v>
      </c>
      <c r="H2931" s="6">
        <v>190</v>
      </c>
      <c r="K2931" s="7">
        <v>44007102</v>
      </c>
      <c r="L2931" s="6" t="str">
        <f t="shared" si="289"/>
        <v>YT COMFORT BAŞLIK 140x190</v>
      </c>
      <c r="M2931" s="12">
        <v>0.1</v>
      </c>
      <c r="N2931" s="12">
        <v>0.1</v>
      </c>
      <c r="O2931" s="8">
        <v>5280</v>
      </c>
      <c r="P2931" s="8">
        <f t="shared" si="286"/>
        <v>4752</v>
      </c>
      <c r="Q2931" s="12">
        <f t="shared" si="287"/>
        <v>9979.2000000000007</v>
      </c>
      <c r="R2931" s="31">
        <f t="shared" si="288"/>
        <v>9900</v>
      </c>
    </row>
    <row r="2932" spans="1:18" ht="21.95" customHeight="1" x14ac:dyDescent="0.2">
      <c r="A2932" s="6" t="s">
        <v>943</v>
      </c>
      <c r="B2932" s="6" t="s">
        <v>1596</v>
      </c>
      <c r="C2932" s="6" t="s">
        <v>1082</v>
      </c>
      <c r="D2932" s="6" t="s">
        <v>950</v>
      </c>
      <c r="E2932" s="6"/>
      <c r="G2932" s="6">
        <v>140</v>
      </c>
      <c r="H2932" s="6">
        <v>200</v>
      </c>
      <c r="K2932" s="7">
        <v>44007103</v>
      </c>
      <c r="L2932" s="6" t="str">
        <f t="shared" si="289"/>
        <v>YT COMFORT BAŞLIK 140x200</v>
      </c>
      <c r="M2932" s="12">
        <v>0.1</v>
      </c>
      <c r="N2932" s="12">
        <v>0.1</v>
      </c>
      <c r="O2932" s="8">
        <v>5280</v>
      </c>
      <c r="P2932" s="8">
        <f t="shared" si="286"/>
        <v>4752</v>
      </c>
      <c r="Q2932" s="12">
        <f t="shared" si="287"/>
        <v>9979.2000000000007</v>
      </c>
      <c r="R2932" s="31">
        <f t="shared" si="288"/>
        <v>9900</v>
      </c>
    </row>
    <row r="2933" spans="1:18" ht="21.95" customHeight="1" x14ac:dyDescent="0.2">
      <c r="A2933" s="6" t="s">
        <v>943</v>
      </c>
      <c r="B2933" s="6" t="s">
        <v>1596</v>
      </c>
      <c r="C2933" s="6" t="s">
        <v>1082</v>
      </c>
      <c r="D2933" s="6" t="s">
        <v>950</v>
      </c>
      <c r="E2933" s="6"/>
      <c r="G2933" s="6">
        <v>150</v>
      </c>
      <c r="H2933" s="6">
        <v>200</v>
      </c>
      <c r="K2933" s="7">
        <v>44007104</v>
      </c>
      <c r="L2933" s="6" t="str">
        <f t="shared" si="289"/>
        <v>YT COMFORT BAŞLIK 150x200</v>
      </c>
      <c r="M2933" s="12">
        <v>0.1</v>
      </c>
      <c r="N2933" s="12">
        <v>0.1</v>
      </c>
      <c r="O2933" s="8">
        <v>5680</v>
      </c>
      <c r="P2933" s="8">
        <f t="shared" si="286"/>
        <v>5112</v>
      </c>
      <c r="Q2933" s="12">
        <f t="shared" si="287"/>
        <v>10735.2</v>
      </c>
      <c r="R2933" s="31">
        <f t="shared" si="288"/>
        <v>10700</v>
      </c>
    </row>
    <row r="2934" spans="1:18" ht="21.95" customHeight="1" x14ac:dyDescent="0.2">
      <c r="A2934" s="6" t="s">
        <v>943</v>
      </c>
      <c r="B2934" s="6" t="s">
        <v>1596</v>
      </c>
      <c r="C2934" s="6" t="s">
        <v>1082</v>
      </c>
      <c r="D2934" s="6" t="s">
        <v>950</v>
      </c>
      <c r="E2934" s="6"/>
      <c r="G2934" s="6">
        <v>160</v>
      </c>
      <c r="H2934" s="6">
        <v>200</v>
      </c>
      <c r="K2934" s="7">
        <v>44007105</v>
      </c>
      <c r="L2934" s="6" t="str">
        <f t="shared" ref="L2934:L2946" si="290">B2934&amp;" "&amp;C2934&amp;" "&amp;D2934&amp;" "&amp;G2934&amp;"x"&amp;H2934</f>
        <v>YT COMFORT BAŞLIK 160x200</v>
      </c>
      <c r="M2934" s="12">
        <v>0.1</v>
      </c>
      <c r="N2934" s="12">
        <v>0.1</v>
      </c>
      <c r="O2934" s="8">
        <v>6070</v>
      </c>
      <c r="P2934" s="8">
        <f t="shared" si="286"/>
        <v>5463</v>
      </c>
      <c r="Q2934" s="12">
        <f t="shared" si="287"/>
        <v>11472.300000000001</v>
      </c>
      <c r="R2934" s="31">
        <f t="shared" si="288"/>
        <v>11400</v>
      </c>
    </row>
    <row r="2935" spans="1:18" ht="21.95" customHeight="1" x14ac:dyDescent="0.2">
      <c r="A2935" s="6" t="s">
        <v>943</v>
      </c>
      <c r="B2935" s="6" t="s">
        <v>1596</v>
      </c>
      <c r="C2935" s="6" t="s">
        <v>1082</v>
      </c>
      <c r="D2935" s="6" t="s">
        <v>950</v>
      </c>
      <c r="E2935" s="6"/>
      <c r="G2935" s="6">
        <v>180</v>
      </c>
      <c r="H2935" s="6">
        <v>200</v>
      </c>
      <c r="K2935" s="7">
        <v>44007106</v>
      </c>
      <c r="L2935" s="6" t="str">
        <f t="shared" si="290"/>
        <v>YT COMFORT BAŞLIK 180x200</v>
      </c>
      <c r="M2935" s="12">
        <v>0.1</v>
      </c>
      <c r="N2935" s="12">
        <v>0.1</v>
      </c>
      <c r="O2935" s="8">
        <v>6800</v>
      </c>
      <c r="P2935" s="8">
        <f t="shared" si="286"/>
        <v>6120</v>
      </c>
      <c r="Q2935" s="12">
        <f t="shared" si="287"/>
        <v>12852</v>
      </c>
      <c r="R2935" s="31">
        <f t="shared" si="288"/>
        <v>12800</v>
      </c>
    </row>
    <row r="2936" spans="1:18" ht="21.95" customHeight="1" x14ac:dyDescent="0.2">
      <c r="A2936" s="6" t="s">
        <v>943</v>
      </c>
      <c r="B2936" s="6" t="s">
        <v>1596</v>
      </c>
      <c r="C2936" s="6" t="s">
        <v>1082</v>
      </c>
      <c r="D2936" s="6" t="s">
        <v>950</v>
      </c>
      <c r="E2936" s="6"/>
      <c r="G2936" s="6">
        <v>200</v>
      </c>
      <c r="H2936" s="6">
        <v>200</v>
      </c>
      <c r="K2936" s="7">
        <v>44007107</v>
      </c>
      <c r="L2936" s="6" t="str">
        <f t="shared" si="290"/>
        <v>YT COMFORT BAŞLIK 200x200</v>
      </c>
      <c r="M2936" s="12">
        <v>0.1</v>
      </c>
      <c r="N2936" s="12">
        <v>0.1</v>
      </c>
      <c r="O2936" s="8">
        <v>7640</v>
      </c>
      <c r="P2936" s="8">
        <f t="shared" si="286"/>
        <v>6876</v>
      </c>
      <c r="Q2936" s="12">
        <f t="shared" si="287"/>
        <v>14439.6</v>
      </c>
      <c r="R2936" s="31">
        <f t="shared" si="288"/>
        <v>14400</v>
      </c>
    </row>
    <row r="2937" spans="1:18" ht="21.95" customHeight="1" x14ac:dyDescent="0.2">
      <c r="A2937" s="6" t="s">
        <v>943</v>
      </c>
      <c r="B2937" s="6" t="s">
        <v>1596</v>
      </c>
      <c r="C2937" s="6" t="s">
        <v>979</v>
      </c>
      <c r="D2937" s="6" t="s">
        <v>943</v>
      </c>
      <c r="E2937" s="6"/>
      <c r="G2937" s="6">
        <v>90</v>
      </c>
      <c r="H2937" s="6">
        <v>190</v>
      </c>
      <c r="K2937" s="7">
        <v>44007108</v>
      </c>
      <c r="L2937" s="6" t="str">
        <f t="shared" si="290"/>
        <v>YT BEGONYA + YATAK  90x190</v>
      </c>
      <c r="M2937" s="12">
        <v>0.1</v>
      </c>
      <c r="N2937" s="12">
        <v>0.1</v>
      </c>
      <c r="O2937" s="8">
        <v>4050</v>
      </c>
      <c r="P2937" s="8">
        <f t="shared" si="286"/>
        <v>3645</v>
      </c>
      <c r="Q2937" s="12">
        <f t="shared" si="287"/>
        <v>7654.5</v>
      </c>
      <c r="R2937" s="31">
        <f t="shared" si="288"/>
        <v>7600</v>
      </c>
    </row>
    <row r="2938" spans="1:18" ht="21.95" customHeight="1" x14ac:dyDescent="0.2">
      <c r="A2938" s="6" t="s">
        <v>943</v>
      </c>
      <c r="B2938" s="6" t="s">
        <v>1596</v>
      </c>
      <c r="C2938" s="6" t="s">
        <v>979</v>
      </c>
      <c r="D2938" s="6" t="s">
        <v>943</v>
      </c>
      <c r="E2938" s="6"/>
      <c r="G2938" s="6">
        <v>90</v>
      </c>
      <c r="H2938" s="6">
        <v>200</v>
      </c>
      <c r="K2938" s="7">
        <v>44007109</v>
      </c>
      <c r="L2938" s="6" t="str">
        <f t="shared" si="290"/>
        <v>YT BEGONYA + YATAK  90x200</v>
      </c>
      <c r="M2938" s="12">
        <v>0.1</v>
      </c>
      <c r="N2938" s="12">
        <v>0.1</v>
      </c>
      <c r="O2938" s="8">
        <v>4240</v>
      </c>
      <c r="P2938" s="8">
        <f t="shared" si="286"/>
        <v>3816</v>
      </c>
      <c r="Q2938" s="12">
        <f t="shared" si="287"/>
        <v>8013.6</v>
      </c>
      <c r="R2938" s="31">
        <f t="shared" si="288"/>
        <v>8000</v>
      </c>
    </row>
    <row r="2939" spans="1:18" ht="21.95" customHeight="1" x14ac:dyDescent="0.2">
      <c r="A2939" s="6" t="s">
        <v>943</v>
      </c>
      <c r="B2939" s="6" t="s">
        <v>1596</v>
      </c>
      <c r="C2939" s="6" t="s">
        <v>979</v>
      </c>
      <c r="D2939" s="6" t="s">
        <v>943</v>
      </c>
      <c r="E2939" s="6"/>
      <c r="G2939" s="6">
        <v>100</v>
      </c>
      <c r="H2939" s="6">
        <v>200</v>
      </c>
      <c r="K2939" s="7">
        <v>44007110</v>
      </c>
      <c r="L2939" s="6" t="str">
        <f t="shared" si="290"/>
        <v>YT BEGONYA + YATAK  100x200</v>
      </c>
      <c r="M2939" s="12">
        <v>0.1</v>
      </c>
      <c r="N2939" s="12">
        <v>0.1</v>
      </c>
      <c r="O2939" s="8">
        <v>4450</v>
      </c>
      <c r="P2939" s="8">
        <f t="shared" si="286"/>
        <v>4005</v>
      </c>
      <c r="Q2939" s="12">
        <f t="shared" si="287"/>
        <v>8410.5</v>
      </c>
      <c r="R2939" s="31">
        <f t="shared" si="288"/>
        <v>8400</v>
      </c>
    </row>
    <row r="2940" spans="1:18" ht="21.95" customHeight="1" x14ac:dyDescent="0.2">
      <c r="A2940" s="6" t="s">
        <v>943</v>
      </c>
      <c r="B2940" s="6" t="s">
        <v>1596</v>
      </c>
      <c r="C2940" s="6" t="s">
        <v>979</v>
      </c>
      <c r="D2940" s="6" t="s">
        <v>943</v>
      </c>
      <c r="E2940" s="6"/>
      <c r="G2940" s="6">
        <v>120</v>
      </c>
      <c r="H2940" s="6">
        <v>200</v>
      </c>
      <c r="K2940" s="7">
        <v>44007111</v>
      </c>
      <c r="L2940" s="6" t="str">
        <f t="shared" si="290"/>
        <v>YT BEGONYA + YATAK  120x200</v>
      </c>
      <c r="M2940" s="12">
        <v>0.1</v>
      </c>
      <c r="N2940" s="12">
        <v>0.1</v>
      </c>
      <c r="O2940" s="8">
        <v>4930</v>
      </c>
      <c r="P2940" s="8">
        <f t="shared" si="286"/>
        <v>4437</v>
      </c>
      <c r="Q2940" s="12">
        <f t="shared" si="287"/>
        <v>9317.7000000000007</v>
      </c>
      <c r="R2940" s="31">
        <f t="shared" si="288"/>
        <v>9300</v>
      </c>
    </row>
    <row r="2941" spans="1:18" ht="21.95" customHeight="1" x14ac:dyDescent="0.2">
      <c r="A2941" s="6" t="s">
        <v>943</v>
      </c>
      <c r="B2941" s="6" t="s">
        <v>1596</v>
      </c>
      <c r="C2941" s="6" t="s">
        <v>979</v>
      </c>
      <c r="D2941" s="6" t="s">
        <v>943</v>
      </c>
      <c r="E2941" s="6"/>
      <c r="G2941" s="6">
        <v>140</v>
      </c>
      <c r="H2941" s="6">
        <v>190</v>
      </c>
      <c r="K2941" s="7">
        <v>44007112</v>
      </c>
      <c r="L2941" s="6" t="str">
        <f t="shared" si="290"/>
        <v>YT BEGONYA + YATAK  140x190</v>
      </c>
      <c r="M2941" s="12">
        <v>0.1</v>
      </c>
      <c r="N2941" s="12">
        <v>0.1</v>
      </c>
      <c r="O2941" s="8">
        <v>6020</v>
      </c>
      <c r="P2941" s="8">
        <f t="shared" si="286"/>
        <v>5418</v>
      </c>
      <c r="Q2941" s="12">
        <f t="shared" si="287"/>
        <v>11377.800000000001</v>
      </c>
      <c r="R2941" s="31">
        <f t="shared" si="288"/>
        <v>11300</v>
      </c>
    </row>
    <row r="2942" spans="1:18" ht="21.95" customHeight="1" x14ac:dyDescent="0.2">
      <c r="A2942" s="6" t="s">
        <v>943</v>
      </c>
      <c r="B2942" s="6" t="s">
        <v>1596</v>
      </c>
      <c r="C2942" s="6" t="s">
        <v>979</v>
      </c>
      <c r="D2942" s="6" t="s">
        <v>943</v>
      </c>
      <c r="E2942" s="6"/>
      <c r="G2942" s="6">
        <v>140</v>
      </c>
      <c r="H2942" s="6">
        <v>200</v>
      </c>
      <c r="K2942" s="7">
        <v>44007113</v>
      </c>
      <c r="L2942" s="6" t="str">
        <f t="shared" si="290"/>
        <v>YT BEGONYA + YATAK  140x200</v>
      </c>
      <c r="M2942" s="12">
        <v>0.1</v>
      </c>
      <c r="N2942" s="12">
        <v>0.1</v>
      </c>
      <c r="O2942" s="8">
        <v>6120</v>
      </c>
      <c r="P2942" s="8">
        <f t="shared" si="286"/>
        <v>5508</v>
      </c>
      <c r="Q2942" s="12">
        <f t="shared" si="287"/>
        <v>11566.800000000001</v>
      </c>
      <c r="R2942" s="31">
        <f t="shared" si="288"/>
        <v>11500</v>
      </c>
    </row>
    <row r="2943" spans="1:18" ht="21.95" customHeight="1" x14ac:dyDescent="0.2">
      <c r="A2943" s="6" t="s">
        <v>943</v>
      </c>
      <c r="B2943" s="6" t="s">
        <v>1596</v>
      </c>
      <c r="C2943" s="6" t="s">
        <v>979</v>
      </c>
      <c r="D2943" s="6" t="s">
        <v>943</v>
      </c>
      <c r="E2943" s="6"/>
      <c r="G2943" s="6">
        <v>150</v>
      </c>
      <c r="H2943" s="6">
        <v>200</v>
      </c>
      <c r="K2943" s="7">
        <v>44007114</v>
      </c>
      <c r="L2943" s="6" t="str">
        <f t="shared" si="290"/>
        <v>YT BEGONYA + YATAK  150x200</v>
      </c>
      <c r="M2943" s="12">
        <v>0.1</v>
      </c>
      <c r="N2943" s="12">
        <v>0.1</v>
      </c>
      <c r="O2943" s="8">
        <v>6380</v>
      </c>
      <c r="P2943" s="8">
        <f t="shared" si="286"/>
        <v>5742</v>
      </c>
      <c r="Q2943" s="12">
        <f t="shared" si="287"/>
        <v>12058.2</v>
      </c>
      <c r="R2943" s="31">
        <f t="shared" si="288"/>
        <v>12000</v>
      </c>
    </row>
    <row r="2944" spans="1:18" ht="21.95" customHeight="1" x14ac:dyDescent="0.2">
      <c r="A2944" s="6" t="s">
        <v>943</v>
      </c>
      <c r="B2944" s="6" t="s">
        <v>1596</v>
      </c>
      <c r="C2944" s="6" t="s">
        <v>979</v>
      </c>
      <c r="D2944" s="6" t="s">
        <v>943</v>
      </c>
      <c r="E2944" s="6"/>
      <c r="G2944" s="6">
        <v>160</v>
      </c>
      <c r="H2944" s="6">
        <v>200</v>
      </c>
      <c r="K2944" s="7">
        <v>44007115</v>
      </c>
      <c r="L2944" s="6" t="str">
        <f t="shared" si="290"/>
        <v>YT BEGONYA + YATAK  160x200</v>
      </c>
      <c r="M2944" s="12">
        <v>0.1</v>
      </c>
      <c r="N2944" s="12">
        <v>0.1</v>
      </c>
      <c r="O2944" s="8">
        <v>6670</v>
      </c>
      <c r="P2944" s="8">
        <f t="shared" si="286"/>
        <v>6003</v>
      </c>
      <c r="Q2944" s="12">
        <f t="shared" si="287"/>
        <v>12606.300000000001</v>
      </c>
      <c r="R2944" s="31">
        <f t="shared" si="288"/>
        <v>12600</v>
      </c>
    </row>
    <row r="2945" spans="1:18" ht="21.95" customHeight="1" x14ac:dyDescent="0.2">
      <c r="A2945" s="6" t="s">
        <v>943</v>
      </c>
      <c r="B2945" s="6" t="s">
        <v>1596</v>
      </c>
      <c r="C2945" s="6" t="s">
        <v>979</v>
      </c>
      <c r="D2945" s="6" t="s">
        <v>943</v>
      </c>
      <c r="E2945" s="6"/>
      <c r="G2945" s="6">
        <v>180</v>
      </c>
      <c r="H2945" s="6">
        <v>200</v>
      </c>
      <c r="K2945" s="7">
        <v>44007116</v>
      </c>
      <c r="L2945" s="6" t="str">
        <f t="shared" si="290"/>
        <v>YT BEGONYA + YATAK  180x200</v>
      </c>
      <c r="M2945" s="12">
        <v>0.1</v>
      </c>
      <c r="N2945" s="12">
        <v>0.1</v>
      </c>
      <c r="O2945" s="8">
        <v>7650</v>
      </c>
      <c r="P2945" s="8">
        <f t="shared" si="286"/>
        <v>6885</v>
      </c>
      <c r="Q2945" s="12">
        <f t="shared" si="287"/>
        <v>14458.5</v>
      </c>
      <c r="R2945" s="31">
        <f t="shared" si="288"/>
        <v>14400</v>
      </c>
    </row>
    <row r="2946" spans="1:18" ht="21.95" customHeight="1" x14ac:dyDescent="0.2">
      <c r="A2946" s="6" t="s">
        <v>943</v>
      </c>
      <c r="B2946" s="6" t="s">
        <v>1596</v>
      </c>
      <c r="C2946" s="6" t="s">
        <v>979</v>
      </c>
      <c r="D2946" s="6" t="s">
        <v>943</v>
      </c>
      <c r="E2946" s="6"/>
      <c r="G2946" s="6">
        <v>200</v>
      </c>
      <c r="H2946" s="6">
        <v>200</v>
      </c>
      <c r="K2946" s="7">
        <v>44007117</v>
      </c>
      <c r="L2946" s="6" t="str">
        <f t="shared" si="290"/>
        <v>YT BEGONYA + YATAK  200x200</v>
      </c>
      <c r="M2946" s="12">
        <v>0.1</v>
      </c>
      <c r="N2946" s="12">
        <v>0.1</v>
      </c>
      <c r="O2946" s="8">
        <v>8550</v>
      </c>
      <c r="P2946" s="8">
        <f t="shared" si="286"/>
        <v>7695</v>
      </c>
      <c r="Q2946" s="12">
        <f t="shared" si="287"/>
        <v>16159.5</v>
      </c>
      <c r="R2946" s="31">
        <f t="shared" si="288"/>
        <v>16100</v>
      </c>
    </row>
    <row r="2947" spans="1:18" ht="21.95" customHeight="1" x14ac:dyDescent="0.2">
      <c r="A2947" s="6" t="s">
        <v>943</v>
      </c>
      <c r="B2947" s="6" t="s">
        <v>1596</v>
      </c>
      <c r="C2947" s="6" t="s">
        <v>1083</v>
      </c>
      <c r="D2947" s="6" t="s">
        <v>1084</v>
      </c>
      <c r="E2947" s="6"/>
      <c r="K2947" s="7">
        <v>44007118</v>
      </c>
      <c r="L2947" s="6" t="str">
        <f>B2947&amp;" "&amp;C2947&amp;" "&amp;D2947&amp;" "</f>
        <v xml:space="preserve">YT COMFORT  YAN BAŞLIK  </v>
      </c>
      <c r="M2947" s="12">
        <v>0.1</v>
      </c>
      <c r="N2947" s="12">
        <v>0.1</v>
      </c>
      <c r="O2947" s="8">
        <v>6770</v>
      </c>
      <c r="P2947" s="8">
        <f t="shared" si="286"/>
        <v>6093</v>
      </c>
      <c r="Q2947" s="12">
        <f t="shared" si="287"/>
        <v>12795.300000000001</v>
      </c>
      <c r="R2947" s="31">
        <f t="shared" si="288"/>
        <v>12700</v>
      </c>
    </row>
    <row r="2948" spans="1:18" ht="21.95" customHeight="1" x14ac:dyDescent="0.2">
      <c r="A2948" s="6" t="s">
        <v>943</v>
      </c>
      <c r="B2948" s="6" t="s">
        <v>1596</v>
      </c>
      <c r="C2948" s="6" t="s">
        <v>1083</v>
      </c>
      <c r="D2948" s="6" t="s">
        <v>948</v>
      </c>
      <c r="E2948" s="6"/>
      <c r="G2948" s="6">
        <v>52</v>
      </c>
      <c r="H2948" s="6">
        <v>45</v>
      </c>
      <c r="I2948" s="7">
        <v>50</v>
      </c>
      <c r="K2948" s="7">
        <v>44007119</v>
      </c>
      <c r="L2948" s="6" t="str">
        <f t="shared" ref="L2948:L3011" si="291">B2948&amp;" "&amp;C2948&amp;" "&amp;D2948&amp;" "&amp;G2948&amp;"x"&amp;H2948</f>
        <v>YT COMFORT  KOMİDİN 52x45</v>
      </c>
      <c r="M2948" s="12">
        <v>0.1</v>
      </c>
      <c r="N2948" s="12">
        <v>0.1</v>
      </c>
      <c r="O2948" s="8">
        <v>3830</v>
      </c>
      <c r="P2948" s="8">
        <f t="shared" si="286"/>
        <v>3447</v>
      </c>
      <c r="Q2948" s="12">
        <f t="shared" si="287"/>
        <v>7238.7000000000007</v>
      </c>
      <c r="R2948" s="31">
        <f t="shared" si="288"/>
        <v>7200</v>
      </c>
    </row>
    <row r="2949" spans="1:18" ht="21.95" customHeight="1" x14ac:dyDescent="0.2">
      <c r="A2949" s="6" t="s">
        <v>943</v>
      </c>
      <c r="B2949" s="6" t="s">
        <v>1596</v>
      </c>
      <c r="C2949" s="6" t="s">
        <v>1083</v>
      </c>
      <c r="D2949" s="6" t="s">
        <v>1022</v>
      </c>
      <c r="E2949" s="6"/>
      <c r="G2949" s="6">
        <v>48</v>
      </c>
      <c r="H2949" s="6">
        <v>120</v>
      </c>
      <c r="I2949" s="7">
        <v>48</v>
      </c>
      <c r="K2949" s="7">
        <v>44007120</v>
      </c>
      <c r="L2949" s="6" t="str">
        <f t="shared" si="291"/>
        <v>YT COMFORT  MARKİZ  48x120</v>
      </c>
      <c r="M2949" s="12">
        <v>0.1</v>
      </c>
      <c r="N2949" s="12">
        <v>0.1</v>
      </c>
      <c r="O2949" s="8">
        <v>4860</v>
      </c>
      <c r="P2949" s="8">
        <f t="shared" si="286"/>
        <v>4374</v>
      </c>
      <c r="Q2949" s="12">
        <f t="shared" si="287"/>
        <v>9185.4</v>
      </c>
      <c r="R2949" s="31">
        <f t="shared" si="288"/>
        <v>9100</v>
      </c>
    </row>
    <row r="2950" spans="1:18" ht="21.95" customHeight="1" x14ac:dyDescent="0.2">
      <c r="A2950" s="6" t="s">
        <v>943</v>
      </c>
      <c r="B2950" s="6" t="s">
        <v>1596</v>
      </c>
      <c r="C2950" s="6" t="s">
        <v>1085</v>
      </c>
      <c r="D2950" s="6" t="s">
        <v>989</v>
      </c>
      <c r="E2950" s="6"/>
      <c r="G2950" s="6">
        <v>90</v>
      </c>
      <c r="H2950" s="6">
        <v>190</v>
      </c>
      <c r="K2950" s="7">
        <v>44007121</v>
      </c>
      <c r="L2950" s="6" t="str">
        <f t="shared" si="291"/>
        <v>YT CRAFT  BAZA  90x190</v>
      </c>
      <c r="M2950" s="12">
        <v>0.1</v>
      </c>
      <c r="N2950" s="12">
        <v>0.1</v>
      </c>
      <c r="O2950" s="8">
        <v>6380</v>
      </c>
      <c r="P2950" s="8">
        <f t="shared" si="286"/>
        <v>5742</v>
      </c>
      <c r="Q2950" s="12">
        <f t="shared" si="287"/>
        <v>12058.2</v>
      </c>
      <c r="R2950" s="31">
        <f t="shared" si="288"/>
        <v>12000</v>
      </c>
    </row>
    <row r="2951" spans="1:18" ht="21.95" customHeight="1" x14ac:dyDescent="0.2">
      <c r="A2951" s="6" t="s">
        <v>943</v>
      </c>
      <c r="B2951" s="6" t="s">
        <v>1596</v>
      </c>
      <c r="C2951" s="6" t="s">
        <v>1085</v>
      </c>
      <c r="D2951" s="6" t="s">
        <v>989</v>
      </c>
      <c r="E2951" s="6"/>
      <c r="G2951" s="6">
        <v>90</v>
      </c>
      <c r="H2951" s="6">
        <v>200</v>
      </c>
      <c r="K2951" s="7">
        <v>44007122</v>
      </c>
      <c r="L2951" s="6" t="str">
        <f t="shared" si="291"/>
        <v>YT CRAFT  BAZA  90x200</v>
      </c>
      <c r="M2951" s="12">
        <v>0.1</v>
      </c>
      <c r="N2951" s="12">
        <v>0.1</v>
      </c>
      <c r="O2951" s="8">
        <v>6530</v>
      </c>
      <c r="P2951" s="8">
        <f t="shared" si="286"/>
        <v>5877</v>
      </c>
      <c r="Q2951" s="12">
        <f t="shared" si="287"/>
        <v>12341.7</v>
      </c>
      <c r="R2951" s="31">
        <f t="shared" si="288"/>
        <v>12300</v>
      </c>
    </row>
    <row r="2952" spans="1:18" ht="21.95" customHeight="1" x14ac:dyDescent="0.2">
      <c r="A2952" s="6" t="s">
        <v>943</v>
      </c>
      <c r="B2952" s="6" t="s">
        <v>1596</v>
      </c>
      <c r="C2952" s="6" t="s">
        <v>1085</v>
      </c>
      <c r="D2952" s="6" t="s">
        <v>989</v>
      </c>
      <c r="E2952" s="6"/>
      <c r="G2952" s="6">
        <v>100</v>
      </c>
      <c r="H2952" s="6">
        <v>200</v>
      </c>
      <c r="K2952" s="7">
        <v>44007123</v>
      </c>
      <c r="L2952" s="6" t="str">
        <f t="shared" si="291"/>
        <v>YT CRAFT  BAZA  100x200</v>
      </c>
      <c r="M2952" s="12">
        <v>0.1</v>
      </c>
      <c r="N2952" s="12">
        <v>0.1</v>
      </c>
      <c r="O2952" s="8">
        <v>6830</v>
      </c>
      <c r="P2952" s="8">
        <f t="shared" si="286"/>
        <v>6147</v>
      </c>
      <c r="Q2952" s="12">
        <f t="shared" si="287"/>
        <v>12908.7</v>
      </c>
      <c r="R2952" s="31">
        <f t="shared" si="288"/>
        <v>12900</v>
      </c>
    </row>
    <row r="2953" spans="1:18" ht="21.95" customHeight="1" x14ac:dyDescent="0.2">
      <c r="A2953" s="6" t="s">
        <v>943</v>
      </c>
      <c r="B2953" s="6" t="s">
        <v>1596</v>
      </c>
      <c r="C2953" s="6" t="s">
        <v>1085</v>
      </c>
      <c r="D2953" s="6" t="s">
        <v>989</v>
      </c>
      <c r="E2953" s="6"/>
      <c r="G2953" s="6">
        <v>160</v>
      </c>
      <c r="H2953" s="6">
        <v>200</v>
      </c>
      <c r="K2953" s="7">
        <v>44007124</v>
      </c>
      <c r="L2953" s="6" t="str">
        <f t="shared" si="291"/>
        <v>YT CRAFT  BAZA  160x200</v>
      </c>
      <c r="M2953" s="12">
        <v>0.1</v>
      </c>
      <c r="N2953" s="12">
        <v>0.1</v>
      </c>
      <c r="O2953" s="8">
        <v>11870</v>
      </c>
      <c r="P2953" s="8">
        <f t="shared" si="286"/>
        <v>10683</v>
      </c>
      <c r="Q2953" s="12">
        <f t="shared" si="287"/>
        <v>22434.3</v>
      </c>
      <c r="R2953" s="31">
        <f t="shared" si="288"/>
        <v>22400</v>
      </c>
    </row>
    <row r="2954" spans="1:18" ht="21.95" customHeight="1" x14ac:dyDescent="0.2">
      <c r="A2954" s="6" t="s">
        <v>943</v>
      </c>
      <c r="B2954" s="6" t="s">
        <v>1596</v>
      </c>
      <c r="C2954" s="6" t="s">
        <v>1085</v>
      </c>
      <c r="D2954" s="6" t="s">
        <v>989</v>
      </c>
      <c r="E2954" s="6"/>
      <c r="G2954" s="6">
        <v>180</v>
      </c>
      <c r="H2954" s="6">
        <v>190</v>
      </c>
      <c r="K2954" s="7">
        <v>44007125</v>
      </c>
      <c r="L2954" s="6" t="str">
        <f t="shared" si="291"/>
        <v>YT CRAFT  BAZA  180x190</v>
      </c>
      <c r="M2954" s="12">
        <v>0.1</v>
      </c>
      <c r="N2954" s="12">
        <v>0.1</v>
      </c>
      <c r="O2954" s="8">
        <v>13040</v>
      </c>
      <c r="P2954" s="8">
        <f t="shared" si="286"/>
        <v>11736</v>
      </c>
      <c r="Q2954" s="12">
        <f t="shared" si="287"/>
        <v>24645.600000000002</v>
      </c>
      <c r="R2954" s="31">
        <f t="shared" si="288"/>
        <v>24600</v>
      </c>
    </row>
    <row r="2955" spans="1:18" ht="21.95" customHeight="1" x14ac:dyDescent="0.2">
      <c r="A2955" s="6" t="s">
        <v>943</v>
      </c>
      <c r="B2955" s="6" t="s">
        <v>1596</v>
      </c>
      <c r="C2955" s="6" t="s">
        <v>1085</v>
      </c>
      <c r="D2955" s="6" t="s">
        <v>1003</v>
      </c>
      <c r="E2955" s="6"/>
      <c r="G2955" s="6">
        <v>90</v>
      </c>
      <c r="H2955" s="6">
        <v>190</v>
      </c>
      <c r="K2955" s="7">
        <v>44007126</v>
      </c>
      <c r="L2955" s="6" t="str">
        <f t="shared" si="291"/>
        <v>YT CRAFT  BAŞLIK  90x190</v>
      </c>
      <c r="M2955" s="12">
        <v>0.1</v>
      </c>
      <c r="N2955" s="12">
        <v>0.1</v>
      </c>
      <c r="O2955" s="8">
        <v>2380</v>
      </c>
      <c r="P2955" s="8">
        <f t="shared" si="286"/>
        <v>2142</v>
      </c>
      <c r="Q2955" s="12">
        <f t="shared" si="287"/>
        <v>4498.2</v>
      </c>
      <c r="R2955" s="31">
        <f t="shared" si="288"/>
        <v>4400</v>
      </c>
    </row>
    <row r="2956" spans="1:18" ht="21.95" customHeight="1" x14ac:dyDescent="0.2">
      <c r="A2956" s="6" t="s">
        <v>943</v>
      </c>
      <c r="B2956" s="6" t="s">
        <v>1596</v>
      </c>
      <c r="C2956" s="6" t="s">
        <v>1085</v>
      </c>
      <c r="D2956" s="6" t="s">
        <v>1003</v>
      </c>
      <c r="E2956" s="6"/>
      <c r="G2956" s="6">
        <v>90</v>
      </c>
      <c r="H2956" s="6">
        <v>200</v>
      </c>
      <c r="K2956" s="7">
        <v>44007127</v>
      </c>
      <c r="L2956" s="6" t="str">
        <f t="shared" si="291"/>
        <v>YT CRAFT  BAŞLIK  90x200</v>
      </c>
      <c r="M2956" s="12">
        <v>0.1</v>
      </c>
      <c r="N2956" s="12">
        <v>0.1</v>
      </c>
      <c r="O2956" s="8">
        <v>2440</v>
      </c>
      <c r="P2956" s="8">
        <f t="shared" si="286"/>
        <v>2196</v>
      </c>
      <c r="Q2956" s="12">
        <f t="shared" si="287"/>
        <v>4611.6000000000004</v>
      </c>
      <c r="R2956" s="31">
        <f t="shared" si="288"/>
        <v>4600</v>
      </c>
    </row>
    <row r="2957" spans="1:18" ht="21.95" customHeight="1" x14ac:dyDescent="0.2">
      <c r="A2957" s="6" t="s">
        <v>943</v>
      </c>
      <c r="B2957" s="6" t="s">
        <v>1596</v>
      </c>
      <c r="C2957" s="6" t="s">
        <v>1085</v>
      </c>
      <c r="D2957" s="6" t="s">
        <v>1003</v>
      </c>
      <c r="E2957" s="6"/>
      <c r="G2957" s="6">
        <v>100</v>
      </c>
      <c r="H2957" s="6">
        <v>200</v>
      </c>
      <c r="K2957" s="7">
        <v>44007128</v>
      </c>
      <c r="L2957" s="6" t="str">
        <f t="shared" si="291"/>
        <v>YT CRAFT  BAŞLIK  100x200</v>
      </c>
      <c r="M2957" s="12">
        <v>0.1</v>
      </c>
      <c r="N2957" s="12">
        <v>0.1</v>
      </c>
      <c r="O2957" s="8">
        <v>2550</v>
      </c>
      <c r="P2957" s="8">
        <f t="shared" si="286"/>
        <v>2295</v>
      </c>
      <c r="Q2957" s="12">
        <f t="shared" si="287"/>
        <v>4819.5</v>
      </c>
      <c r="R2957" s="31">
        <f t="shared" si="288"/>
        <v>4800</v>
      </c>
    </row>
    <row r="2958" spans="1:18" ht="21.95" customHeight="1" x14ac:dyDescent="0.2">
      <c r="A2958" s="6" t="s">
        <v>943</v>
      </c>
      <c r="B2958" s="6" t="s">
        <v>1596</v>
      </c>
      <c r="C2958" s="6" t="s">
        <v>1085</v>
      </c>
      <c r="D2958" s="6" t="s">
        <v>1003</v>
      </c>
      <c r="E2958" s="6"/>
      <c r="G2958" s="6">
        <v>160</v>
      </c>
      <c r="H2958" s="6">
        <v>200</v>
      </c>
      <c r="K2958" s="7">
        <v>44007129</v>
      </c>
      <c r="L2958" s="6" t="str">
        <f t="shared" si="291"/>
        <v>YT CRAFT  BAŞLIK  160x200</v>
      </c>
      <c r="M2958" s="12">
        <v>0.1</v>
      </c>
      <c r="N2958" s="12">
        <v>0.1</v>
      </c>
      <c r="O2958" s="8">
        <v>4430</v>
      </c>
      <c r="P2958" s="8">
        <f t="shared" ref="P2958:P3021" si="292">O2958*(1-N2958)</f>
        <v>3987</v>
      </c>
      <c r="Q2958" s="12">
        <f t="shared" ref="Q2958:Q3021" si="293">O2958*(1-N2958)*2.1</f>
        <v>8372.7000000000007</v>
      </c>
      <c r="R2958" s="31">
        <f t="shared" ref="R2958:R3021" si="294">ROUNDDOWN(Q2958,-2)</f>
        <v>8300</v>
      </c>
    </row>
    <row r="2959" spans="1:18" ht="21.95" customHeight="1" x14ac:dyDescent="0.2">
      <c r="A2959" s="6" t="s">
        <v>943</v>
      </c>
      <c r="B2959" s="6" t="s">
        <v>1596</v>
      </c>
      <c r="C2959" s="6" t="s">
        <v>1085</v>
      </c>
      <c r="D2959" s="6" t="s">
        <v>1003</v>
      </c>
      <c r="E2959" s="6"/>
      <c r="G2959" s="6">
        <v>180</v>
      </c>
      <c r="H2959" s="6">
        <v>200</v>
      </c>
      <c r="K2959" s="7">
        <v>44007130</v>
      </c>
      <c r="L2959" s="6" t="str">
        <f t="shared" si="291"/>
        <v>YT CRAFT  BAŞLIK  180x200</v>
      </c>
      <c r="M2959" s="12">
        <v>0.1</v>
      </c>
      <c r="N2959" s="12">
        <v>0.1</v>
      </c>
      <c r="O2959" s="8">
        <v>4870</v>
      </c>
      <c r="P2959" s="8">
        <f t="shared" si="292"/>
        <v>4383</v>
      </c>
      <c r="Q2959" s="12">
        <f t="shared" si="293"/>
        <v>9204.3000000000011</v>
      </c>
      <c r="R2959" s="31">
        <f t="shared" si="294"/>
        <v>9200</v>
      </c>
    </row>
    <row r="2960" spans="1:18" ht="21.95" customHeight="1" x14ac:dyDescent="0.2">
      <c r="A2960" s="6" t="s">
        <v>943</v>
      </c>
      <c r="B2960" s="6" t="s">
        <v>1596</v>
      </c>
      <c r="C2960" s="6" t="s">
        <v>967</v>
      </c>
      <c r="D2960" s="6" t="s">
        <v>943</v>
      </c>
      <c r="E2960" s="6"/>
      <c r="G2960" s="6">
        <v>90</v>
      </c>
      <c r="H2960" s="6">
        <v>190</v>
      </c>
      <c r="K2960" s="7">
        <v>44007131</v>
      </c>
      <c r="L2960" s="6" t="str">
        <f t="shared" si="291"/>
        <v>YT HERMES YATAK  90x190</v>
      </c>
      <c r="M2960" s="12">
        <v>0.1</v>
      </c>
      <c r="N2960" s="12">
        <v>0.1</v>
      </c>
      <c r="O2960" s="8">
        <v>5280</v>
      </c>
      <c r="P2960" s="8">
        <f t="shared" si="292"/>
        <v>4752</v>
      </c>
      <c r="Q2960" s="12">
        <f t="shared" si="293"/>
        <v>9979.2000000000007</v>
      </c>
      <c r="R2960" s="31">
        <f t="shared" si="294"/>
        <v>9900</v>
      </c>
    </row>
    <row r="2961" spans="1:18" ht="21.95" customHeight="1" x14ac:dyDescent="0.2">
      <c r="A2961" s="6" t="s">
        <v>943</v>
      </c>
      <c r="B2961" s="6" t="s">
        <v>1596</v>
      </c>
      <c r="C2961" s="6" t="s">
        <v>967</v>
      </c>
      <c r="D2961" s="6" t="s">
        <v>943</v>
      </c>
      <c r="E2961" s="6"/>
      <c r="G2961" s="6">
        <v>90</v>
      </c>
      <c r="H2961" s="6">
        <v>200</v>
      </c>
      <c r="K2961" s="7">
        <v>44007132</v>
      </c>
      <c r="L2961" s="6" t="str">
        <f t="shared" si="291"/>
        <v>YT HERMES YATAK  90x200</v>
      </c>
      <c r="M2961" s="12">
        <v>0.1</v>
      </c>
      <c r="N2961" s="12">
        <v>0.1</v>
      </c>
      <c r="O2961" s="8">
        <v>5470</v>
      </c>
      <c r="P2961" s="8">
        <f t="shared" si="292"/>
        <v>4923</v>
      </c>
      <c r="Q2961" s="12">
        <f t="shared" si="293"/>
        <v>10338.300000000001</v>
      </c>
      <c r="R2961" s="31">
        <f t="shared" si="294"/>
        <v>10300</v>
      </c>
    </row>
    <row r="2962" spans="1:18" ht="21.95" customHeight="1" x14ac:dyDescent="0.2">
      <c r="A2962" s="6" t="s">
        <v>943</v>
      </c>
      <c r="B2962" s="6" t="s">
        <v>1596</v>
      </c>
      <c r="C2962" s="6" t="s">
        <v>967</v>
      </c>
      <c r="D2962" s="6" t="s">
        <v>943</v>
      </c>
      <c r="E2962" s="6"/>
      <c r="G2962" s="6">
        <v>100</v>
      </c>
      <c r="H2962" s="6">
        <v>200</v>
      </c>
      <c r="K2962" s="7">
        <v>44007133</v>
      </c>
      <c r="L2962" s="6" t="str">
        <f t="shared" si="291"/>
        <v>YT HERMES YATAK  100x200</v>
      </c>
      <c r="M2962" s="12">
        <v>0.1</v>
      </c>
      <c r="N2962" s="12">
        <v>0.1</v>
      </c>
      <c r="O2962" s="8">
        <v>5660</v>
      </c>
      <c r="P2962" s="8">
        <f t="shared" si="292"/>
        <v>5094</v>
      </c>
      <c r="Q2962" s="12">
        <f t="shared" si="293"/>
        <v>10697.4</v>
      </c>
      <c r="R2962" s="31">
        <f t="shared" si="294"/>
        <v>10600</v>
      </c>
    </row>
    <row r="2963" spans="1:18" ht="21.95" customHeight="1" x14ac:dyDescent="0.2">
      <c r="A2963" s="6" t="s">
        <v>943</v>
      </c>
      <c r="B2963" s="6" t="s">
        <v>1596</v>
      </c>
      <c r="C2963" s="6" t="s">
        <v>967</v>
      </c>
      <c r="D2963" s="6" t="s">
        <v>943</v>
      </c>
      <c r="E2963" s="6"/>
      <c r="G2963" s="6">
        <v>160</v>
      </c>
      <c r="H2963" s="6">
        <v>200</v>
      </c>
      <c r="K2963" s="7">
        <v>44007134</v>
      </c>
      <c r="L2963" s="6" t="str">
        <f t="shared" si="291"/>
        <v>YT HERMES YATAK  160x200</v>
      </c>
      <c r="M2963" s="12">
        <v>0.1</v>
      </c>
      <c r="N2963" s="12">
        <v>0.1</v>
      </c>
      <c r="O2963" s="8">
        <v>9310</v>
      </c>
      <c r="P2963" s="8">
        <f t="shared" si="292"/>
        <v>8379</v>
      </c>
      <c r="Q2963" s="12">
        <f t="shared" si="293"/>
        <v>17595.900000000001</v>
      </c>
      <c r="R2963" s="31">
        <f t="shared" si="294"/>
        <v>17500</v>
      </c>
    </row>
    <row r="2964" spans="1:18" ht="21.95" customHeight="1" x14ac:dyDescent="0.2">
      <c r="A2964" s="6" t="s">
        <v>943</v>
      </c>
      <c r="B2964" s="6" t="s">
        <v>1596</v>
      </c>
      <c r="C2964" s="6" t="s">
        <v>967</v>
      </c>
      <c r="D2964" s="6" t="s">
        <v>943</v>
      </c>
      <c r="E2964" s="6"/>
      <c r="G2964" s="5">
        <v>180</v>
      </c>
      <c r="H2964" s="6">
        <v>200</v>
      </c>
      <c r="K2964" s="7">
        <v>44007135</v>
      </c>
      <c r="L2964" s="6" t="str">
        <f t="shared" si="291"/>
        <v>YT HERMES YATAK  180x200</v>
      </c>
      <c r="M2964" s="12">
        <v>0.1</v>
      </c>
      <c r="N2964" s="12">
        <v>0.1</v>
      </c>
      <c r="O2964" s="8">
        <v>10020</v>
      </c>
      <c r="P2964" s="8">
        <f t="shared" si="292"/>
        <v>9018</v>
      </c>
      <c r="Q2964" s="12">
        <f t="shared" si="293"/>
        <v>18937.8</v>
      </c>
      <c r="R2964" s="31">
        <f t="shared" si="294"/>
        <v>18900</v>
      </c>
    </row>
    <row r="2965" spans="1:18" ht="21.95" customHeight="1" x14ac:dyDescent="0.2">
      <c r="A2965" s="6" t="s">
        <v>943</v>
      </c>
      <c r="B2965" s="6" t="s">
        <v>1596</v>
      </c>
      <c r="C2965" s="6" t="s">
        <v>1085</v>
      </c>
      <c r="D2965" s="6" t="s">
        <v>948</v>
      </c>
      <c r="E2965" s="6"/>
      <c r="G2965" s="6">
        <v>56</v>
      </c>
      <c r="H2965" s="6">
        <v>45.5</v>
      </c>
      <c r="I2965" s="7">
        <v>56.5</v>
      </c>
      <c r="K2965" s="7">
        <v>44007136</v>
      </c>
      <c r="L2965" s="6" t="str">
        <f t="shared" si="291"/>
        <v>YT CRAFT  KOMİDİN 56x45,5</v>
      </c>
      <c r="M2965" s="12">
        <v>0.1</v>
      </c>
      <c r="N2965" s="12">
        <v>0.1</v>
      </c>
      <c r="O2965" s="8">
        <v>5900</v>
      </c>
      <c r="P2965" s="8">
        <f t="shared" si="292"/>
        <v>5310</v>
      </c>
      <c r="Q2965" s="12">
        <f t="shared" si="293"/>
        <v>11151</v>
      </c>
      <c r="R2965" s="31">
        <f t="shared" si="294"/>
        <v>11100</v>
      </c>
    </row>
    <row r="2966" spans="1:18" ht="21.95" customHeight="1" x14ac:dyDescent="0.2">
      <c r="A2966" s="6" t="s">
        <v>943</v>
      </c>
      <c r="B2966" s="6" t="s">
        <v>1596</v>
      </c>
      <c r="C2966" s="6" t="s">
        <v>1085</v>
      </c>
      <c r="D2966" s="6" t="s">
        <v>1022</v>
      </c>
      <c r="E2966" s="6"/>
      <c r="G2966" s="6">
        <v>54</v>
      </c>
      <c r="H2966" s="6">
        <v>125</v>
      </c>
      <c r="I2966" s="7">
        <v>40</v>
      </c>
      <c r="K2966" s="7">
        <v>44007137</v>
      </c>
      <c r="L2966" s="6" t="str">
        <f t="shared" si="291"/>
        <v>YT CRAFT  MARKİZ  54x125</v>
      </c>
      <c r="M2966" s="12">
        <v>0.1</v>
      </c>
      <c r="N2966" s="12">
        <v>0.1</v>
      </c>
      <c r="O2966" s="8">
        <v>5730</v>
      </c>
      <c r="P2966" s="8">
        <f t="shared" si="292"/>
        <v>5157</v>
      </c>
      <c r="Q2966" s="12">
        <f t="shared" si="293"/>
        <v>10829.7</v>
      </c>
      <c r="R2966" s="31">
        <f t="shared" si="294"/>
        <v>10800</v>
      </c>
    </row>
    <row r="2967" spans="1:18" ht="21.95" customHeight="1" x14ac:dyDescent="0.2">
      <c r="A2967" s="6" t="s">
        <v>943</v>
      </c>
      <c r="B2967" s="6" t="s">
        <v>1596</v>
      </c>
      <c r="C2967" s="6" t="s">
        <v>1086</v>
      </c>
      <c r="D2967" s="6" t="s">
        <v>989</v>
      </c>
      <c r="E2967" s="6"/>
      <c r="G2967" s="6">
        <v>90</v>
      </c>
      <c r="H2967" s="6">
        <v>190</v>
      </c>
      <c r="K2967" s="7">
        <v>44007138</v>
      </c>
      <c r="L2967" s="6" t="str">
        <f t="shared" si="291"/>
        <v>YT VİCTORY  BAZA  90x190</v>
      </c>
      <c r="M2967" s="12">
        <v>0.1</v>
      </c>
      <c r="N2967" s="12">
        <v>0.1</v>
      </c>
      <c r="O2967" s="8">
        <v>5780</v>
      </c>
      <c r="P2967" s="8">
        <f t="shared" si="292"/>
        <v>5202</v>
      </c>
      <c r="Q2967" s="12">
        <f t="shared" si="293"/>
        <v>10924.2</v>
      </c>
      <c r="R2967" s="31">
        <f t="shared" si="294"/>
        <v>10900</v>
      </c>
    </row>
    <row r="2968" spans="1:18" ht="21.95" customHeight="1" x14ac:dyDescent="0.2">
      <c r="A2968" s="6" t="s">
        <v>943</v>
      </c>
      <c r="B2968" s="6" t="s">
        <v>1596</v>
      </c>
      <c r="C2968" s="6" t="s">
        <v>1086</v>
      </c>
      <c r="D2968" s="6" t="s">
        <v>989</v>
      </c>
      <c r="E2968" s="6"/>
      <c r="G2968" s="6">
        <v>90</v>
      </c>
      <c r="H2968" s="6">
        <v>200</v>
      </c>
      <c r="K2968" s="7">
        <v>44007139</v>
      </c>
      <c r="L2968" s="6" t="str">
        <f t="shared" si="291"/>
        <v>YT VİCTORY  BAZA  90x200</v>
      </c>
      <c r="M2968" s="12">
        <v>0.1</v>
      </c>
      <c r="N2968" s="12">
        <v>0.1</v>
      </c>
      <c r="O2968" s="8">
        <v>5910</v>
      </c>
      <c r="P2968" s="8">
        <f t="shared" si="292"/>
        <v>5319</v>
      </c>
      <c r="Q2968" s="12">
        <f t="shared" si="293"/>
        <v>11169.9</v>
      </c>
      <c r="R2968" s="31">
        <f t="shared" si="294"/>
        <v>11100</v>
      </c>
    </row>
    <row r="2969" spans="1:18" ht="21.95" customHeight="1" x14ac:dyDescent="0.2">
      <c r="A2969" s="6" t="s">
        <v>943</v>
      </c>
      <c r="B2969" s="6" t="s">
        <v>1596</v>
      </c>
      <c r="C2969" s="6" t="s">
        <v>1086</v>
      </c>
      <c r="D2969" s="6" t="s">
        <v>989</v>
      </c>
      <c r="E2969" s="6"/>
      <c r="G2969" s="6">
        <v>100</v>
      </c>
      <c r="H2969" s="6">
        <v>200</v>
      </c>
      <c r="K2969" s="7">
        <v>44007140</v>
      </c>
      <c r="L2969" s="6" t="str">
        <f t="shared" si="291"/>
        <v>YT VİCTORY  BAZA  100x200</v>
      </c>
      <c r="M2969" s="12">
        <v>0.1</v>
      </c>
      <c r="N2969" s="12">
        <v>0.1</v>
      </c>
      <c r="O2969" s="8">
        <v>6180</v>
      </c>
      <c r="P2969" s="8">
        <f t="shared" si="292"/>
        <v>5562</v>
      </c>
      <c r="Q2969" s="12">
        <f t="shared" si="293"/>
        <v>11680.2</v>
      </c>
      <c r="R2969" s="31">
        <f t="shared" si="294"/>
        <v>11600</v>
      </c>
    </row>
    <row r="2970" spans="1:18" ht="21.95" customHeight="1" x14ac:dyDescent="0.2">
      <c r="A2970" s="6" t="s">
        <v>943</v>
      </c>
      <c r="B2970" s="6" t="s">
        <v>1596</v>
      </c>
      <c r="C2970" s="6" t="s">
        <v>1086</v>
      </c>
      <c r="D2970" s="6" t="s">
        <v>989</v>
      </c>
      <c r="E2970" s="6"/>
      <c r="G2970" s="6">
        <v>120</v>
      </c>
      <c r="H2970" s="6">
        <v>200</v>
      </c>
      <c r="K2970" s="7">
        <v>44007141</v>
      </c>
      <c r="L2970" s="6" t="str">
        <f t="shared" si="291"/>
        <v>YT VİCTORY  BAZA  120x200</v>
      </c>
      <c r="M2970" s="12">
        <v>0.1</v>
      </c>
      <c r="N2970" s="12">
        <v>0.1</v>
      </c>
      <c r="O2970" s="8">
        <v>7150</v>
      </c>
      <c r="P2970" s="8">
        <f t="shared" si="292"/>
        <v>6435</v>
      </c>
      <c r="Q2970" s="12">
        <f t="shared" si="293"/>
        <v>13513.5</v>
      </c>
      <c r="R2970" s="31">
        <f t="shared" si="294"/>
        <v>13500</v>
      </c>
    </row>
    <row r="2971" spans="1:18" ht="21.95" customHeight="1" x14ac:dyDescent="0.2">
      <c r="A2971" s="6" t="s">
        <v>943</v>
      </c>
      <c r="B2971" s="6" t="s">
        <v>1596</v>
      </c>
      <c r="C2971" s="6" t="s">
        <v>1086</v>
      </c>
      <c r="D2971" s="6" t="s">
        <v>989</v>
      </c>
      <c r="E2971" s="6"/>
      <c r="G2971" s="6">
        <v>140</v>
      </c>
      <c r="H2971" s="6">
        <v>190</v>
      </c>
      <c r="K2971" s="7">
        <v>44007142</v>
      </c>
      <c r="L2971" s="6" t="str">
        <f t="shared" si="291"/>
        <v>YT VİCTORY  BAZA  140x190</v>
      </c>
      <c r="M2971" s="12">
        <v>0.1</v>
      </c>
      <c r="N2971" s="12">
        <v>0.1</v>
      </c>
      <c r="O2971" s="8">
        <v>9640</v>
      </c>
      <c r="P2971" s="8">
        <f t="shared" si="292"/>
        <v>8676</v>
      </c>
      <c r="Q2971" s="12">
        <f t="shared" si="293"/>
        <v>18219.600000000002</v>
      </c>
      <c r="R2971" s="31">
        <f t="shared" si="294"/>
        <v>18200</v>
      </c>
    </row>
    <row r="2972" spans="1:18" ht="21.95" customHeight="1" x14ac:dyDescent="0.2">
      <c r="A2972" s="6" t="s">
        <v>943</v>
      </c>
      <c r="B2972" s="6" t="s">
        <v>1596</v>
      </c>
      <c r="C2972" s="6" t="s">
        <v>1086</v>
      </c>
      <c r="D2972" s="6" t="s">
        <v>989</v>
      </c>
      <c r="E2972" s="6"/>
      <c r="G2972" s="6">
        <v>140</v>
      </c>
      <c r="H2972" s="6">
        <v>200</v>
      </c>
      <c r="K2972" s="7">
        <v>44007143</v>
      </c>
      <c r="L2972" s="6" t="str">
        <f t="shared" si="291"/>
        <v>YT VİCTORY  BAZA  140x200</v>
      </c>
      <c r="M2972" s="12">
        <v>0.1</v>
      </c>
      <c r="N2972" s="12">
        <v>0.1</v>
      </c>
      <c r="O2972" s="8">
        <v>9900</v>
      </c>
      <c r="P2972" s="8">
        <f t="shared" si="292"/>
        <v>8910</v>
      </c>
      <c r="Q2972" s="12">
        <f t="shared" si="293"/>
        <v>18711</v>
      </c>
      <c r="R2972" s="31">
        <f t="shared" si="294"/>
        <v>18700</v>
      </c>
    </row>
    <row r="2973" spans="1:18" ht="21.95" customHeight="1" x14ac:dyDescent="0.2">
      <c r="A2973" s="6" t="s">
        <v>943</v>
      </c>
      <c r="B2973" s="6" t="s">
        <v>1596</v>
      </c>
      <c r="C2973" s="6" t="s">
        <v>1086</v>
      </c>
      <c r="D2973" s="6" t="s">
        <v>989</v>
      </c>
      <c r="E2973" s="6"/>
      <c r="G2973" s="6">
        <v>150</v>
      </c>
      <c r="H2973" s="6">
        <v>200</v>
      </c>
      <c r="K2973" s="7">
        <v>44007144</v>
      </c>
      <c r="L2973" s="6" t="str">
        <f t="shared" si="291"/>
        <v>YT VİCTORY  BAZA  150x200</v>
      </c>
      <c r="M2973" s="12">
        <v>0.1</v>
      </c>
      <c r="N2973" s="12">
        <v>0.1</v>
      </c>
      <c r="O2973" s="8">
        <v>10320</v>
      </c>
      <c r="P2973" s="8">
        <f t="shared" si="292"/>
        <v>9288</v>
      </c>
      <c r="Q2973" s="12">
        <f t="shared" si="293"/>
        <v>19504.8</v>
      </c>
      <c r="R2973" s="31">
        <f t="shared" si="294"/>
        <v>19500</v>
      </c>
    </row>
    <row r="2974" spans="1:18" ht="21.95" customHeight="1" x14ac:dyDescent="0.2">
      <c r="A2974" s="6" t="s">
        <v>943</v>
      </c>
      <c r="B2974" s="6" t="s">
        <v>1596</v>
      </c>
      <c r="C2974" s="6" t="s">
        <v>1086</v>
      </c>
      <c r="D2974" s="6" t="s">
        <v>989</v>
      </c>
      <c r="E2974" s="6"/>
      <c r="G2974" s="6">
        <v>160</v>
      </c>
      <c r="H2974" s="6">
        <v>200</v>
      </c>
      <c r="K2974" s="7">
        <v>44007145</v>
      </c>
      <c r="L2974" s="6" t="str">
        <f t="shared" si="291"/>
        <v>YT VİCTORY  BAZA  160x200</v>
      </c>
      <c r="M2974" s="12">
        <v>0.1</v>
      </c>
      <c r="N2974" s="12">
        <v>0.1</v>
      </c>
      <c r="O2974" s="8">
        <v>10730</v>
      </c>
      <c r="P2974" s="8">
        <f t="shared" si="292"/>
        <v>9657</v>
      </c>
      <c r="Q2974" s="12">
        <f t="shared" si="293"/>
        <v>20279.7</v>
      </c>
      <c r="R2974" s="31">
        <f t="shared" si="294"/>
        <v>20200</v>
      </c>
    </row>
    <row r="2975" spans="1:18" ht="21.95" customHeight="1" x14ac:dyDescent="0.2">
      <c r="A2975" s="6" t="s">
        <v>943</v>
      </c>
      <c r="B2975" s="6" t="s">
        <v>1596</v>
      </c>
      <c r="C2975" s="6" t="s">
        <v>1086</v>
      </c>
      <c r="D2975" s="6" t="s">
        <v>989</v>
      </c>
      <c r="E2975" s="6"/>
      <c r="G2975" s="6">
        <v>180</v>
      </c>
      <c r="H2975" s="6">
        <v>200</v>
      </c>
      <c r="K2975" s="7">
        <v>44007146</v>
      </c>
      <c r="L2975" s="6" t="str">
        <f t="shared" si="291"/>
        <v>YT VİCTORY  BAZA  180x200</v>
      </c>
      <c r="M2975" s="12">
        <v>0.1</v>
      </c>
      <c r="N2975" s="12">
        <v>0.1</v>
      </c>
      <c r="O2975" s="8">
        <v>11800</v>
      </c>
      <c r="P2975" s="8">
        <f t="shared" si="292"/>
        <v>10620</v>
      </c>
      <c r="Q2975" s="12">
        <f t="shared" si="293"/>
        <v>22302</v>
      </c>
      <c r="R2975" s="31">
        <f t="shared" si="294"/>
        <v>22300</v>
      </c>
    </row>
    <row r="2976" spans="1:18" ht="21.95" customHeight="1" x14ac:dyDescent="0.2">
      <c r="A2976" s="6" t="s">
        <v>943</v>
      </c>
      <c r="B2976" s="6" t="s">
        <v>1596</v>
      </c>
      <c r="C2976" s="6" t="s">
        <v>1086</v>
      </c>
      <c r="D2976" s="6" t="s">
        <v>989</v>
      </c>
      <c r="E2976" s="6"/>
      <c r="G2976" s="6">
        <v>200</v>
      </c>
      <c r="H2976" s="6">
        <v>200</v>
      </c>
      <c r="K2976" s="7">
        <v>44007147</v>
      </c>
      <c r="L2976" s="6" t="str">
        <f t="shared" si="291"/>
        <v>YT VİCTORY  BAZA  200x200</v>
      </c>
      <c r="M2976" s="12">
        <v>0.1</v>
      </c>
      <c r="N2976" s="12">
        <v>0.1</v>
      </c>
      <c r="O2976" s="8">
        <v>12360</v>
      </c>
      <c r="P2976" s="8">
        <f t="shared" si="292"/>
        <v>11124</v>
      </c>
      <c r="Q2976" s="12">
        <f t="shared" si="293"/>
        <v>23360.400000000001</v>
      </c>
      <c r="R2976" s="31">
        <f t="shared" si="294"/>
        <v>23300</v>
      </c>
    </row>
    <row r="2977" spans="1:18" ht="21.95" customHeight="1" x14ac:dyDescent="0.2">
      <c r="A2977" s="6" t="s">
        <v>943</v>
      </c>
      <c r="B2977" s="6" t="s">
        <v>1596</v>
      </c>
      <c r="C2977" s="6" t="s">
        <v>1086</v>
      </c>
      <c r="D2977" s="6" t="s">
        <v>1003</v>
      </c>
      <c r="E2977" s="6"/>
      <c r="G2977" s="6">
        <v>90</v>
      </c>
      <c r="H2977" s="6">
        <v>190</v>
      </c>
      <c r="K2977" s="7">
        <v>44007148</v>
      </c>
      <c r="L2977" s="6" t="str">
        <f t="shared" si="291"/>
        <v>YT VİCTORY  BAŞLIK  90x190</v>
      </c>
      <c r="M2977" s="12">
        <v>0.1</v>
      </c>
      <c r="N2977" s="12">
        <v>0.1</v>
      </c>
      <c r="O2977" s="8">
        <v>3100</v>
      </c>
      <c r="P2977" s="8">
        <f t="shared" si="292"/>
        <v>2790</v>
      </c>
      <c r="Q2977" s="12">
        <f t="shared" si="293"/>
        <v>5859</v>
      </c>
      <c r="R2977" s="31">
        <f t="shared" si="294"/>
        <v>5800</v>
      </c>
    </row>
    <row r="2978" spans="1:18" ht="21.95" customHeight="1" x14ac:dyDescent="0.2">
      <c r="A2978" s="6" t="s">
        <v>943</v>
      </c>
      <c r="B2978" s="6" t="s">
        <v>1596</v>
      </c>
      <c r="C2978" s="6" t="s">
        <v>1086</v>
      </c>
      <c r="D2978" s="6" t="s">
        <v>1003</v>
      </c>
      <c r="E2978" s="6"/>
      <c r="G2978" s="6">
        <v>90</v>
      </c>
      <c r="H2978" s="6">
        <v>200</v>
      </c>
      <c r="K2978" s="7">
        <v>44007149</v>
      </c>
      <c r="L2978" s="6" t="str">
        <f t="shared" si="291"/>
        <v>YT VİCTORY  BAŞLIK  90x200</v>
      </c>
      <c r="M2978" s="12">
        <v>0.1</v>
      </c>
      <c r="N2978" s="12">
        <v>0.1</v>
      </c>
      <c r="O2978" s="8">
        <v>3100</v>
      </c>
      <c r="P2978" s="8">
        <f t="shared" si="292"/>
        <v>2790</v>
      </c>
      <c r="Q2978" s="12">
        <f t="shared" si="293"/>
        <v>5859</v>
      </c>
      <c r="R2978" s="31">
        <f t="shared" si="294"/>
        <v>5800</v>
      </c>
    </row>
    <row r="2979" spans="1:18" ht="21.95" customHeight="1" x14ac:dyDescent="0.2">
      <c r="A2979" s="6" t="s">
        <v>943</v>
      </c>
      <c r="B2979" s="6" t="s">
        <v>1596</v>
      </c>
      <c r="C2979" s="6" t="s">
        <v>1086</v>
      </c>
      <c r="D2979" s="6" t="s">
        <v>1003</v>
      </c>
      <c r="E2979" s="6"/>
      <c r="G2979" s="6">
        <v>100</v>
      </c>
      <c r="H2979" s="6">
        <v>200</v>
      </c>
      <c r="K2979" s="7">
        <v>44007150</v>
      </c>
      <c r="L2979" s="6" t="str">
        <f t="shared" si="291"/>
        <v>YT VİCTORY  BAŞLIK  100x200</v>
      </c>
      <c r="M2979" s="12">
        <v>0.1</v>
      </c>
      <c r="N2979" s="12">
        <v>0.1</v>
      </c>
      <c r="O2979" s="8">
        <v>3330</v>
      </c>
      <c r="P2979" s="8">
        <f t="shared" si="292"/>
        <v>2997</v>
      </c>
      <c r="Q2979" s="12">
        <f t="shared" si="293"/>
        <v>6293.7</v>
      </c>
      <c r="R2979" s="31">
        <f t="shared" si="294"/>
        <v>6200</v>
      </c>
    </row>
    <row r="2980" spans="1:18" ht="21.95" customHeight="1" x14ac:dyDescent="0.2">
      <c r="A2980" s="6" t="s">
        <v>943</v>
      </c>
      <c r="B2980" s="6" t="s">
        <v>1596</v>
      </c>
      <c r="C2980" s="6" t="s">
        <v>1086</v>
      </c>
      <c r="D2980" s="6" t="s">
        <v>1003</v>
      </c>
      <c r="E2980" s="6"/>
      <c r="G2980" s="6">
        <v>120</v>
      </c>
      <c r="H2980" s="6">
        <v>200</v>
      </c>
      <c r="K2980" s="7">
        <v>44007151</v>
      </c>
      <c r="L2980" s="6" t="str">
        <f t="shared" si="291"/>
        <v>YT VİCTORY  BAŞLIK  120x200</v>
      </c>
      <c r="M2980" s="12">
        <v>0.1</v>
      </c>
      <c r="N2980" s="12">
        <v>0.1</v>
      </c>
      <c r="O2980" s="8">
        <v>3530</v>
      </c>
      <c r="P2980" s="8">
        <f t="shared" si="292"/>
        <v>3177</v>
      </c>
      <c r="Q2980" s="12">
        <f t="shared" si="293"/>
        <v>6671.7000000000007</v>
      </c>
      <c r="R2980" s="31">
        <f t="shared" si="294"/>
        <v>6600</v>
      </c>
    </row>
    <row r="2981" spans="1:18" ht="21.95" customHeight="1" x14ac:dyDescent="0.2">
      <c r="A2981" s="6" t="s">
        <v>943</v>
      </c>
      <c r="B2981" s="6" t="s">
        <v>1596</v>
      </c>
      <c r="C2981" s="6" t="s">
        <v>1086</v>
      </c>
      <c r="D2981" s="6" t="s">
        <v>1003</v>
      </c>
      <c r="E2981" s="6"/>
      <c r="G2981" s="6">
        <v>140</v>
      </c>
      <c r="H2981" s="6">
        <v>190</v>
      </c>
      <c r="K2981" s="7">
        <v>44007152</v>
      </c>
      <c r="L2981" s="6" t="str">
        <f t="shared" si="291"/>
        <v>YT VİCTORY  BAŞLIK  140x190</v>
      </c>
      <c r="M2981" s="12">
        <v>0.1</v>
      </c>
      <c r="N2981" s="12">
        <v>0.1</v>
      </c>
      <c r="O2981" s="8">
        <v>3760</v>
      </c>
      <c r="P2981" s="8">
        <f t="shared" si="292"/>
        <v>3384</v>
      </c>
      <c r="Q2981" s="12">
        <f t="shared" si="293"/>
        <v>7106.4000000000005</v>
      </c>
      <c r="R2981" s="31">
        <f t="shared" si="294"/>
        <v>7100</v>
      </c>
    </row>
    <row r="2982" spans="1:18" ht="21.95" customHeight="1" x14ac:dyDescent="0.2">
      <c r="A2982" s="6" t="s">
        <v>943</v>
      </c>
      <c r="B2982" s="6" t="s">
        <v>1596</v>
      </c>
      <c r="C2982" s="6" t="s">
        <v>1086</v>
      </c>
      <c r="D2982" s="6" t="s">
        <v>1003</v>
      </c>
      <c r="E2982" s="6"/>
      <c r="G2982" s="6">
        <v>140</v>
      </c>
      <c r="H2982" s="6">
        <v>200</v>
      </c>
      <c r="K2982" s="7">
        <v>44007153</v>
      </c>
      <c r="L2982" s="6" t="str">
        <f t="shared" si="291"/>
        <v>YT VİCTORY  BAŞLIK  140x200</v>
      </c>
      <c r="M2982" s="12">
        <v>0.1</v>
      </c>
      <c r="N2982" s="12">
        <v>0.1</v>
      </c>
      <c r="O2982" s="8">
        <v>3760</v>
      </c>
      <c r="P2982" s="8">
        <f t="shared" si="292"/>
        <v>3384</v>
      </c>
      <c r="Q2982" s="12">
        <f t="shared" si="293"/>
        <v>7106.4000000000005</v>
      </c>
      <c r="R2982" s="31">
        <f t="shared" si="294"/>
        <v>7100</v>
      </c>
    </row>
    <row r="2983" spans="1:18" ht="21.95" customHeight="1" x14ac:dyDescent="0.2">
      <c r="A2983" s="6" t="s">
        <v>943</v>
      </c>
      <c r="B2983" s="6" t="s">
        <v>1596</v>
      </c>
      <c r="C2983" s="6" t="s">
        <v>1086</v>
      </c>
      <c r="D2983" s="6" t="s">
        <v>1003</v>
      </c>
      <c r="E2983" s="6"/>
      <c r="G2983" s="6">
        <v>150</v>
      </c>
      <c r="H2983" s="6">
        <v>200</v>
      </c>
      <c r="K2983" s="7">
        <v>44007154</v>
      </c>
      <c r="L2983" s="6" t="str">
        <f t="shared" si="291"/>
        <v>YT VİCTORY  BAŞLIK  150x200</v>
      </c>
      <c r="M2983" s="12">
        <v>0.1</v>
      </c>
      <c r="N2983" s="12">
        <v>0.1</v>
      </c>
      <c r="O2983" s="8">
        <v>4070</v>
      </c>
      <c r="P2983" s="8">
        <f t="shared" si="292"/>
        <v>3663</v>
      </c>
      <c r="Q2983" s="12">
        <f t="shared" si="293"/>
        <v>7692.3</v>
      </c>
      <c r="R2983" s="31">
        <f t="shared" si="294"/>
        <v>7600</v>
      </c>
    </row>
    <row r="2984" spans="1:18" ht="21.95" customHeight="1" x14ac:dyDescent="0.2">
      <c r="A2984" s="6" t="s">
        <v>943</v>
      </c>
      <c r="B2984" s="6" t="s">
        <v>1596</v>
      </c>
      <c r="C2984" s="6" t="s">
        <v>1086</v>
      </c>
      <c r="D2984" s="6" t="s">
        <v>1003</v>
      </c>
      <c r="E2984" s="6"/>
      <c r="G2984" s="6">
        <v>160</v>
      </c>
      <c r="H2984" s="6">
        <v>200</v>
      </c>
      <c r="K2984" s="7">
        <v>44007155</v>
      </c>
      <c r="L2984" s="6" t="str">
        <f t="shared" si="291"/>
        <v>YT VİCTORY  BAŞLIK  160x200</v>
      </c>
      <c r="M2984" s="12">
        <v>0.1</v>
      </c>
      <c r="N2984" s="12">
        <v>0.1</v>
      </c>
      <c r="O2984" s="8">
        <v>4320</v>
      </c>
      <c r="P2984" s="8">
        <f t="shared" si="292"/>
        <v>3888</v>
      </c>
      <c r="Q2984" s="12">
        <f t="shared" si="293"/>
        <v>8164.8</v>
      </c>
      <c r="R2984" s="31">
        <f t="shared" si="294"/>
        <v>8100</v>
      </c>
    </row>
    <row r="2985" spans="1:18" ht="21.95" customHeight="1" x14ac:dyDescent="0.2">
      <c r="A2985" s="6" t="s">
        <v>943</v>
      </c>
      <c r="B2985" s="6" t="s">
        <v>1596</v>
      </c>
      <c r="C2985" s="6" t="s">
        <v>1086</v>
      </c>
      <c r="D2985" s="6" t="s">
        <v>1003</v>
      </c>
      <c r="E2985" s="6"/>
      <c r="G2985" s="6">
        <v>180</v>
      </c>
      <c r="H2985" s="6">
        <v>200</v>
      </c>
      <c r="K2985" s="7">
        <v>44007156</v>
      </c>
      <c r="L2985" s="6" t="str">
        <f t="shared" si="291"/>
        <v>YT VİCTORY  BAŞLIK  180x200</v>
      </c>
      <c r="M2985" s="12">
        <v>0.1</v>
      </c>
      <c r="N2985" s="12">
        <v>0.1</v>
      </c>
      <c r="O2985" s="8">
        <v>4860</v>
      </c>
      <c r="P2985" s="8">
        <f t="shared" si="292"/>
        <v>4374</v>
      </c>
      <c r="Q2985" s="12">
        <f t="shared" si="293"/>
        <v>9185.4</v>
      </c>
      <c r="R2985" s="31">
        <f t="shared" si="294"/>
        <v>9100</v>
      </c>
    </row>
    <row r="2986" spans="1:18" ht="21.95" customHeight="1" x14ac:dyDescent="0.2">
      <c r="A2986" s="6" t="s">
        <v>943</v>
      </c>
      <c r="B2986" s="6" t="s">
        <v>1596</v>
      </c>
      <c r="C2986" s="6" t="s">
        <v>1086</v>
      </c>
      <c r="D2986" s="6" t="s">
        <v>1003</v>
      </c>
      <c r="E2986" s="6"/>
      <c r="G2986" s="6">
        <v>200</v>
      </c>
      <c r="H2986" s="6">
        <v>200</v>
      </c>
      <c r="K2986" s="7">
        <v>44007157</v>
      </c>
      <c r="L2986" s="6" t="str">
        <f t="shared" si="291"/>
        <v>YT VİCTORY  BAŞLIK  200x200</v>
      </c>
      <c r="M2986" s="12">
        <v>0.1</v>
      </c>
      <c r="N2986" s="12">
        <v>0.1</v>
      </c>
      <c r="O2986" s="8">
        <v>5460</v>
      </c>
      <c r="P2986" s="8">
        <f t="shared" si="292"/>
        <v>4914</v>
      </c>
      <c r="Q2986" s="12">
        <f t="shared" si="293"/>
        <v>10319.4</v>
      </c>
      <c r="R2986" s="31">
        <f t="shared" si="294"/>
        <v>10300</v>
      </c>
    </row>
    <row r="2987" spans="1:18" ht="21.95" customHeight="1" x14ac:dyDescent="0.2">
      <c r="A2987" s="6" t="s">
        <v>943</v>
      </c>
      <c r="B2987" s="6" t="s">
        <v>1596</v>
      </c>
      <c r="C2987" s="6" t="s">
        <v>1065</v>
      </c>
      <c r="D2987" s="6" t="s">
        <v>943</v>
      </c>
      <c r="E2987" s="6"/>
      <c r="G2987" s="6">
        <v>90</v>
      </c>
      <c r="H2987" s="6">
        <v>190</v>
      </c>
      <c r="K2987" s="7">
        <v>44007158</v>
      </c>
      <c r="L2987" s="6" t="str">
        <f t="shared" si="291"/>
        <v>YT NOVA  YATAK  90x190</v>
      </c>
      <c r="M2987" s="12">
        <v>0.1</v>
      </c>
      <c r="N2987" s="12">
        <v>0.1</v>
      </c>
      <c r="O2987" s="8">
        <v>5080</v>
      </c>
      <c r="P2987" s="8">
        <f t="shared" si="292"/>
        <v>4572</v>
      </c>
      <c r="Q2987" s="12">
        <f t="shared" si="293"/>
        <v>9601.2000000000007</v>
      </c>
      <c r="R2987" s="31">
        <f t="shared" si="294"/>
        <v>9600</v>
      </c>
    </row>
    <row r="2988" spans="1:18" ht="21.95" customHeight="1" x14ac:dyDescent="0.2">
      <c r="A2988" s="6" t="s">
        <v>943</v>
      </c>
      <c r="B2988" s="6" t="s">
        <v>1596</v>
      </c>
      <c r="C2988" s="6" t="s">
        <v>1065</v>
      </c>
      <c r="D2988" s="6" t="s">
        <v>943</v>
      </c>
      <c r="E2988" s="6"/>
      <c r="G2988" s="6">
        <v>90</v>
      </c>
      <c r="H2988" s="6">
        <v>200</v>
      </c>
      <c r="K2988" s="7">
        <v>44007159</v>
      </c>
      <c r="L2988" s="6" t="str">
        <f t="shared" si="291"/>
        <v>YT NOVA  YATAK  90x200</v>
      </c>
      <c r="M2988" s="12">
        <v>0.1</v>
      </c>
      <c r="N2988" s="12">
        <v>0.1</v>
      </c>
      <c r="O2988" s="8">
        <v>5370</v>
      </c>
      <c r="P2988" s="8">
        <f t="shared" si="292"/>
        <v>4833</v>
      </c>
      <c r="Q2988" s="12">
        <f t="shared" si="293"/>
        <v>10149.300000000001</v>
      </c>
      <c r="R2988" s="31">
        <f t="shared" si="294"/>
        <v>10100</v>
      </c>
    </row>
    <row r="2989" spans="1:18" ht="21.95" customHeight="1" x14ac:dyDescent="0.2">
      <c r="A2989" s="6" t="s">
        <v>943</v>
      </c>
      <c r="B2989" s="6" t="s">
        <v>1596</v>
      </c>
      <c r="C2989" s="6" t="s">
        <v>1065</v>
      </c>
      <c r="D2989" s="6" t="s">
        <v>943</v>
      </c>
      <c r="E2989" s="6"/>
      <c r="G2989" s="6">
        <v>100</v>
      </c>
      <c r="H2989" s="6">
        <v>200</v>
      </c>
      <c r="K2989" s="7">
        <v>44007160</v>
      </c>
      <c r="L2989" s="6" t="str">
        <f t="shared" si="291"/>
        <v>YT NOVA  YATAK  100x200</v>
      </c>
      <c r="M2989" s="12">
        <v>0.1</v>
      </c>
      <c r="N2989" s="12">
        <v>0.1</v>
      </c>
      <c r="O2989" s="8">
        <v>5950</v>
      </c>
      <c r="P2989" s="8">
        <f t="shared" si="292"/>
        <v>5355</v>
      </c>
      <c r="Q2989" s="12">
        <f t="shared" si="293"/>
        <v>11245.5</v>
      </c>
      <c r="R2989" s="31">
        <f t="shared" si="294"/>
        <v>11200</v>
      </c>
    </row>
    <row r="2990" spans="1:18" ht="21.95" customHeight="1" x14ac:dyDescent="0.2">
      <c r="A2990" s="6" t="s">
        <v>943</v>
      </c>
      <c r="B2990" s="6" t="s">
        <v>1596</v>
      </c>
      <c r="C2990" s="6" t="s">
        <v>1065</v>
      </c>
      <c r="D2990" s="6" t="s">
        <v>943</v>
      </c>
      <c r="E2990" s="6"/>
      <c r="G2990" s="6">
        <v>120</v>
      </c>
      <c r="H2990" s="6">
        <v>200</v>
      </c>
      <c r="K2990" s="7">
        <v>44007161</v>
      </c>
      <c r="L2990" s="6" t="str">
        <f t="shared" si="291"/>
        <v>YT NOVA  YATAK  120x200</v>
      </c>
      <c r="M2990" s="12">
        <v>0.1</v>
      </c>
      <c r="N2990" s="12">
        <v>0.1</v>
      </c>
      <c r="O2990" s="8">
        <v>7130</v>
      </c>
      <c r="P2990" s="8">
        <f t="shared" si="292"/>
        <v>6417</v>
      </c>
      <c r="Q2990" s="12">
        <f t="shared" si="293"/>
        <v>13475.7</v>
      </c>
      <c r="R2990" s="31">
        <f t="shared" si="294"/>
        <v>13400</v>
      </c>
    </row>
    <row r="2991" spans="1:18" ht="21.95" customHeight="1" x14ac:dyDescent="0.2">
      <c r="A2991" s="6" t="s">
        <v>943</v>
      </c>
      <c r="B2991" s="6" t="s">
        <v>1596</v>
      </c>
      <c r="C2991" s="6" t="s">
        <v>1065</v>
      </c>
      <c r="D2991" s="6" t="s">
        <v>943</v>
      </c>
      <c r="E2991" s="6"/>
      <c r="G2991" s="6">
        <v>140</v>
      </c>
      <c r="H2991" s="6">
        <v>190</v>
      </c>
      <c r="K2991" s="7">
        <v>44007162</v>
      </c>
      <c r="L2991" s="6" t="str">
        <f t="shared" si="291"/>
        <v>YT NOVA  YATAK  140x190</v>
      </c>
      <c r="M2991" s="12">
        <v>0.1</v>
      </c>
      <c r="N2991" s="12">
        <v>0.1</v>
      </c>
      <c r="O2991" s="8">
        <v>7910</v>
      </c>
      <c r="P2991" s="8">
        <f t="shared" si="292"/>
        <v>7119</v>
      </c>
      <c r="Q2991" s="12">
        <f t="shared" si="293"/>
        <v>14949.900000000001</v>
      </c>
      <c r="R2991" s="31">
        <f t="shared" si="294"/>
        <v>14900</v>
      </c>
    </row>
    <row r="2992" spans="1:18" ht="21.95" customHeight="1" x14ac:dyDescent="0.2">
      <c r="A2992" s="6" t="s">
        <v>943</v>
      </c>
      <c r="B2992" s="6" t="s">
        <v>1596</v>
      </c>
      <c r="C2992" s="6" t="s">
        <v>1065</v>
      </c>
      <c r="D2992" s="6" t="s">
        <v>943</v>
      </c>
      <c r="E2992" s="6"/>
      <c r="G2992" s="6">
        <v>140</v>
      </c>
      <c r="H2992" s="6">
        <v>200</v>
      </c>
      <c r="K2992" s="7">
        <v>44007163</v>
      </c>
      <c r="L2992" s="6" t="str">
        <f t="shared" si="291"/>
        <v>YT NOVA  YATAK  140x200</v>
      </c>
      <c r="M2992" s="12">
        <v>0.1</v>
      </c>
      <c r="N2992" s="12">
        <v>0.1</v>
      </c>
      <c r="O2992" s="8">
        <v>8310</v>
      </c>
      <c r="P2992" s="8">
        <f t="shared" si="292"/>
        <v>7479</v>
      </c>
      <c r="Q2992" s="12">
        <f t="shared" si="293"/>
        <v>15705.900000000001</v>
      </c>
      <c r="R2992" s="31">
        <f t="shared" si="294"/>
        <v>15700</v>
      </c>
    </row>
    <row r="2993" spans="1:18" ht="21.95" customHeight="1" x14ac:dyDescent="0.2">
      <c r="A2993" s="6" t="s">
        <v>943</v>
      </c>
      <c r="B2993" s="6" t="s">
        <v>1596</v>
      </c>
      <c r="C2993" s="6" t="s">
        <v>1065</v>
      </c>
      <c r="D2993" s="6" t="s">
        <v>943</v>
      </c>
      <c r="E2993" s="6"/>
      <c r="G2993" s="6">
        <v>150</v>
      </c>
      <c r="H2993" s="6">
        <v>200</v>
      </c>
      <c r="K2993" s="7">
        <v>44007164</v>
      </c>
      <c r="L2993" s="6" t="str">
        <f t="shared" si="291"/>
        <v>YT NOVA  YATAK  150x200</v>
      </c>
      <c r="M2993" s="12">
        <v>0.1</v>
      </c>
      <c r="N2993" s="12">
        <v>0.1</v>
      </c>
      <c r="O2993" s="8">
        <v>8920</v>
      </c>
      <c r="P2993" s="8">
        <f t="shared" si="292"/>
        <v>8028</v>
      </c>
      <c r="Q2993" s="12">
        <f t="shared" si="293"/>
        <v>16858.8</v>
      </c>
      <c r="R2993" s="31">
        <f t="shared" si="294"/>
        <v>16800</v>
      </c>
    </row>
    <row r="2994" spans="1:18" ht="21.95" customHeight="1" x14ac:dyDescent="0.2">
      <c r="A2994" s="6" t="s">
        <v>943</v>
      </c>
      <c r="B2994" s="6" t="s">
        <v>1596</v>
      </c>
      <c r="C2994" s="6" t="s">
        <v>1065</v>
      </c>
      <c r="D2994" s="6" t="s">
        <v>943</v>
      </c>
      <c r="E2994" s="6"/>
      <c r="G2994" s="6">
        <v>160</v>
      </c>
      <c r="H2994" s="6">
        <v>200</v>
      </c>
      <c r="K2994" s="7">
        <v>44007165</v>
      </c>
      <c r="L2994" s="6" t="str">
        <f t="shared" si="291"/>
        <v>YT NOVA  YATAK  160x200</v>
      </c>
      <c r="M2994" s="12">
        <v>0.1</v>
      </c>
      <c r="N2994" s="12">
        <v>0.1</v>
      </c>
      <c r="O2994" s="8">
        <v>9540</v>
      </c>
      <c r="P2994" s="8">
        <f t="shared" si="292"/>
        <v>8586</v>
      </c>
      <c r="Q2994" s="12">
        <f t="shared" si="293"/>
        <v>18030.600000000002</v>
      </c>
      <c r="R2994" s="31">
        <f t="shared" si="294"/>
        <v>18000</v>
      </c>
    </row>
    <row r="2995" spans="1:18" ht="21.95" customHeight="1" x14ac:dyDescent="0.2">
      <c r="A2995" s="6" t="s">
        <v>943</v>
      </c>
      <c r="B2995" s="6" t="s">
        <v>1596</v>
      </c>
      <c r="C2995" s="6" t="s">
        <v>1065</v>
      </c>
      <c r="D2995" s="6" t="s">
        <v>943</v>
      </c>
      <c r="E2995" s="6"/>
      <c r="G2995" s="6">
        <v>180</v>
      </c>
      <c r="H2995" s="6">
        <v>200</v>
      </c>
      <c r="K2995" s="7">
        <v>44007166</v>
      </c>
      <c r="L2995" s="6" t="str">
        <f t="shared" si="291"/>
        <v>YT NOVA  YATAK  180x200</v>
      </c>
      <c r="M2995" s="12">
        <v>0.1</v>
      </c>
      <c r="N2995" s="12">
        <v>0.1</v>
      </c>
      <c r="O2995" s="8">
        <v>10700</v>
      </c>
      <c r="P2995" s="8">
        <f t="shared" si="292"/>
        <v>9630</v>
      </c>
      <c r="Q2995" s="12">
        <f t="shared" si="293"/>
        <v>20223</v>
      </c>
      <c r="R2995" s="31">
        <f t="shared" si="294"/>
        <v>20200</v>
      </c>
    </row>
    <row r="2996" spans="1:18" ht="21.95" customHeight="1" x14ac:dyDescent="0.2">
      <c r="A2996" s="6" t="s">
        <v>943</v>
      </c>
      <c r="B2996" s="6" t="s">
        <v>1596</v>
      </c>
      <c r="C2996" s="6" t="s">
        <v>1065</v>
      </c>
      <c r="D2996" s="6" t="s">
        <v>943</v>
      </c>
      <c r="E2996" s="6"/>
      <c r="G2996" s="6">
        <v>200</v>
      </c>
      <c r="H2996" s="6">
        <v>200</v>
      </c>
      <c r="K2996" s="7">
        <v>44007167</v>
      </c>
      <c r="L2996" s="6" t="str">
        <f t="shared" si="291"/>
        <v>YT NOVA  YATAK  200x200</v>
      </c>
      <c r="M2996" s="12">
        <v>0.1</v>
      </c>
      <c r="N2996" s="12">
        <v>0.1</v>
      </c>
      <c r="O2996" s="8">
        <v>11900</v>
      </c>
      <c r="P2996" s="8">
        <f t="shared" si="292"/>
        <v>10710</v>
      </c>
      <c r="Q2996" s="12">
        <f t="shared" si="293"/>
        <v>22491</v>
      </c>
      <c r="R2996" s="31">
        <f t="shared" si="294"/>
        <v>22400</v>
      </c>
    </row>
    <row r="2997" spans="1:18" ht="21.95" customHeight="1" x14ac:dyDescent="0.2">
      <c r="A2997" s="6" t="s">
        <v>943</v>
      </c>
      <c r="B2997" s="6" t="s">
        <v>1596</v>
      </c>
      <c r="C2997" s="6" t="s">
        <v>1086</v>
      </c>
      <c r="D2997" s="6" t="s">
        <v>959</v>
      </c>
      <c r="E2997" s="6"/>
      <c r="G2997" s="6">
        <v>56</v>
      </c>
      <c r="H2997" s="6">
        <v>45</v>
      </c>
      <c r="I2997" s="7">
        <v>57</v>
      </c>
      <c r="K2997" s="7">
        <v>44007168</v>
      </c>
      <c r="L2997" s="6" t="str">
        <f t="shared" si="291"/>
        <v>YT VİCTORY  KOMİDİN  56x45</v>
      </c>
      <c r="M2997" s="12">
        <v>0.1</v>
      </c>
      <c r="N2997" s="12">
        <v>0.1</v>
      </c>
      <c r="O2997" s="8">
        <v>5880</v>
      </c>
      <c r="P2997" s="8">
        <f t="shared" si="292"/>
        <v>5292</v>
      </c>
      <c r="Q2997" s="12">
        <f t="shared" si="293"/>
        <v>11113.2</v>
      </c>
      <c r="R2997" s="31">
        <f t="shared" si="294"/>
        <v>11100</v>
      </c>
    </row>
    <row r="2998" spans="1:18" ht="21.95" customHeight="1" x14ac:dyDescent="0.2">
      <c r="A2998" s="6" t="s">
        <v>943</v>
      </c>
      <c r="B2998" s="6" t="s">
        <v>1596</v>
      </c>
      <c r="C2998" s="6" t="s">
        <v>1086</v>
      </c>
      <c r="D2998" s="6" t="s">
        <v>951</v>
      </c>
      <c r="E2998" s="6"/>
      <c r="G2998" s="6">
        <v>120</v>
      </c>
      <c r="H2998" s="6">
        <v>41</v>
      </c>
      <c r="I2998" s="7">
        <v>42</v>
      </c>
      <c r="K2998" s="7">
        <v>44007169</v>
      </c>
      <c r="L2998" s="6" t="str">
        <f t="shared" si="291"/>
        <v>YT VİCTORY  MARKİZ 120x41</v>
      </c>
      <c r="M2998" s="12">
        <v>0.1</v>
      </c>
      <c r="N2998" s="12">
        <v>0.1</v>
      </c>
      <c r="O2998" s="8">
        <v>4860</v>
      </c>
      <c r="P2998" s="8">
        <f t="shared" si="292"/>
        <v>4374</v>
      </c>
      <c r="Q2998" s="12">
        <f t="shared" si="293"/>
        <v>9185.4</v>
      </c>
      <c r="R2998" s="31">
        <f t="shared" si="294"/>
        <v>9100</v>
      </c>
    </row>
    <row r="2999" spans="1:18" ht="21.95" customHeight="1" x14ac:dyDescent="0.2">
      <c r="A2999" s="6" t="s">
        <v>943</v>
      </c>
      <c r="B2999" s="6" t="s">
        <v>1596</v>
      </c>
      <c r="C2999" s="6" t="s">
        <v>914</v>
      </c>
      <c r="D2999" s="6" t="s">
        <v>945</v>
      </c>
      <c r="E2999" s="6"/>
      <c r="G2999" s="6">
        <v>90</v>
      </c>
      <c r="H2999" s="6">
        <v>190</v>
      </c>
      <c r="K2999" s="7">
        <v>44007170</v>
      </c>
      <c r="L2999" s="6" t="str">
        <f t="shared" si="291"/>
        <v>YT FLORA BAZA 90x190</v>
      </c>
      <c r="M2999" s="12">
        <v>0.1</v>
      </c>
      <c r="N2999" s="12">
        <v>0.1</v>
      </c>
      <c r="O2999" s="8">
        <v>5530</v>
      </c>
      <c r="P2999" s="8">
        <f t="shared" si="292"/>
        <v>4977</v>
      </c>
      <c r="Q2999" s="12">
        <f t="shared" si="293"/>
        <v>10451.700000000001</v>
      </c>
      <c r="R2999" s="31">
        <f t="shared" si="294"/>
        <v>10400</v>
      </c>
    </row>
    <row r="3000" spans="1:18" ht="21.95" customHeight="1" x14ac:dyDescent="0.2">
      <c r="A3000" s="6" t="s">
        <v>943</v>
      </c>
      <c r="B3000" s="6" t="s">
        <v>1596</v>
      </c>
      <c r="C3000" s="6" t="s">
        <v>914</v>
      </c>
      <c r="D3000" s="6" t="s">
        <v>945</v>
      </c>
      <c r="E3000" s="6"/>
      <c r="G3000" s="6">
        <v>90</v>
      </c>
      <c r="H3000" s="6">
        <v>200</v>
      </c>
      <c r="K3000" s="7">
        <v>44007171</v>
      </c>
      <c r="L3000" s="6" t="str">
        <f t="shared" si="291"/>
        <v>YT FLORA BAZA 90x200</v>
      </c>
      <c r="M3000" s="12">
        <v>0.1</v>
      </c>
      <c r="N3000" s="12">
        <v>0.1</v>
      </c>
      <c r="O3000" s="8">
        <v>5660</v>
      </c>
      <c r="P3000" s="8">
        <f t="shared" si="292"/>
        <v>5094</v>
      </c>
      <c r="Q3000" s="12">
        <f t="shared" si="293"/>
        <v>10697.4</v>
      </c>
      <c r="R3000" s="31">
        <f t="shared" si="294"/>
        <v>10600</v>
      </c>
    </row>
    <row r="3001" spans="1:18" ht="21.95" customHeight="1" x14ac:dyDescent="0.2">
      <c r="A3001" s="6" t="s">
        <v>943</v>
      </c>
      <c r="B3001" s="6" t="s">
        <v>1596</v>
      </c>
      <c r="C3001" s="6" t="s">
        <v>914</v>
      </c>
      <c r="D3001" s="6" t="s">
        <v>945</v>
      </c>
      <c r="E3001" s="6"/>
      <c r="G3001" s="6">
        <v>100</v>
      </c>
      <c r="H3001" s="6">
        <v>200</v>
      </c>
      <c r="K3001" s="7">
        <v>44007172</v>
      </c>
      <c r="L3001" s="6" t="str">
        <f t="shared" si="291"/>
        <v>YT FLORA BAZA 100x200</v>
      </c>
      <c r="M3001" s="12">
        <v>0.1</v>
      </c>
      <c r="N3001" s="12">
        <v>0.1</v>
      </c>
      <c r="O3001" s="8">
        <v>5920</v>
      </c>
      <c r="P3001" s="8">
        <f t="shared" si="292"/>
        <v>5328</v>
      </c>
      <c r="Q3001" s="12">
        <f t="shared" si="293"/>
        <v>11188.800000000001</v>
      </c>
      <c r="R3001" s="31">
        <f t="shared" si="294"/>
        <v>11100</v>
      </c>
    </row>
    <row r="3002" spans="1:18" ht="21.95" customHeight="1" x14ac:dyDescent="0.2">
      <c r="A3002" s="6" t="s">
        <v>943</v>
      </c>
      <c r="B3002" s="6" t="s">
        <v>1596</v>
      </c>
      <c r="C3002" s="6" t="s">
        <v>914</v>
      </c>
      <c r="D3002" s="6" t="s">
        <v>945</v>
      </c>
      <c r="E3002" s="6"/>
      <c r="G3002" s="6">
        <v>120</v>
      </c>
      <c r="H3002" s="6">
        <v>200</v>
      </c>
      <c r="K3002" s="7">
        <v>44007173</v>
      </c>
      <c r="L3002" s="6" t="str">
        <f t="shared" si="291"/>
        <v>YT FLORA BAZA 120x200</v>
      </c>
      <c r="M3002" s="12">
        <v>0.1</v>
      </c>
      <c r="N3002" s="12">
        <v>0.1</v>
      </c>
      <c r="O3002" s="8">
        <v>6860</v>
      </c>
      <c r="P3002" s="8">
        <f t="shared" si="292"/>
        <v>6174</v>
      </c>
      <c r="Q3002" s="12">
        <f t="shared" si="293"/>
        <v>12965.400000000001</v>
      </c>
      <c r="R3002" s="31">
        <f t="shared" si="294"/>
        <v>12900</v>
      </c>
    </row>
    <row r="3003" spans="1:18" ht="21.95" customHeight="1" x14ac:dyDescent="0.2">
      <c r="A3003" s="6" t="s">
        <v>943</v>
      </c>
      <c r="B3003" s="6" t="s">
        <v>1596</v>
      </c>
      <c r="C3003" s="6" t="s">
        <v>914</v>
      </c>
      <c r="D3003" s="6" t="s">
        <v>945</v>
      </c>
      <c r="E3003" s="6"/>
      <c r="G3003" s="6">
        <v>140</v>
      </c>
      <c r="H3003" s="6">
        <v>190</v>
      </c>
      <c r="K3003" s="7">
        <v>44007174</v>
      </c>
      <c r="L3003" s="6" t="str">
        <f t="shared" si="291"/>
        <v>YT FLORA BAZA 140x190</v>
      </c>
      <c r="M3003" s="12">
        <v>0.1</v>
      </c>
      <c r="N3003" s="12">
        <v>0.1</v>
      </c>
      <c r="O3003" s="8">
        <v>9240</v>
      </c>
      <c r="P3003" s="8">
        <f t="shared" si="292"/>
        <v>8316</v>
      </c>
      <c r="Q3003" s="12">
        <f t="shared" si="293"/>
        <v>17463.600000000002</v>
      </c>
      <c r="R3003" s="31">
        <f t="shared" si="294"/>
        <v>17400</v>
      </c>
    </row>
    <row r="3004" spans="1:18" ht="21.95" customHeight="1" x14ac:dyDescent="0.2">
      <c r="A3004" s="6" t="s">
        <v>943</v>
      </c>
      <c r="B3004" s="6" t="s">
        <v>1596</v>
      </c>
      <c r="C3004" s="6" t="s">
        <v>914</v>
      </c>
      <c r="D3004" s="6" t="s">
        <v>945</v>
      </c>
      <c r="E3004" s="6"/>
      <c r="G3004" s="6">
        <v>140</v>
      </c>
      <c r="H3004" s="6">
        <v>200</v>
      </c>
      <c r="K3004" s="7">
        <v>44007175</v>
      </c>
      <c r="L3004" s="6" t="str">
        <f t="shared" si="291"/>
        <v>YT FLORA BAZA 140x200</v>
      </c>
      <c r="M3004" s="12">
        <v>0.1</v>
      </c>
      <c r="N3004" s="12">
        <v>0.1</v>
      </c>
      <c r="O3004" s="8">
        <v>9490</v>
      </c>
      <c r="P3004" s="8">
        <f t="shared" si="292"/>
        <v>8541</v>
      </c>
      <c r="Q3004" s="12">
        <f t="shared" si="293"/>
        <v>17936.100000000002</v>
      </c>
      <c r="R3004" s="31">
        <f t="shared" si="294"/>
        <v>17900</v>
      </c>
    </row>
    <row r="3005" spans="1:18" ht="21.95" customHeight="1" x14ac:dyDescent="0.2">
      <c r="A3005" s="6" t="s">
        <v>943</v>
      </c>
      <c r="B3005" s="6" t="s">
        <v>1596</v>
      </c>
      <c r="C3005" s="6" t="s">
        <v>914</v>
      </c>
      <c r="D3005" s="6" t="s">
        <v>945</v>
      </c>
      <c r="E3005" s="6"/>
      <c r="G3005" s="6">
        <v>150</v>
      </c>
      <c r="H3005" s="6">
        <v>200</v>
      </c>
      <c r="K3005" s="7">
        <v>44007176</v>
      </c>
      <c r="L3005" s="6" t="str">
        <f t="shared" si="291"/>
        <v>YT FLORA BAZA 150x200</v>
      </c>
      <c r="M3005" s="12">
        <v>0.1</v>
      </c>
      <c r="N3005" s="12">
        <v>0.1</v>
      </c>
      <c r="O3005" s="8">
        <v>9880</v>
      </c>
      <c r="P3005" s="8">
        <f t="shared" si="292"/>
        <v>8892</v>
      </c>
      <c r="Q3005" s="12">
        <f t="shared" si="293"/>
        <v>18673.2</v>
      </c>
      <c r="R3005" s="31">
        <f t="shared" si="294"/>
        <v>18600</v>
      </c>
    </row>
    <row r="3006" spans="1:18" ht="21.95" customHeight="1" x14ac:dyDescent="0.2">
      <c r="A3006" s="6" t="s">
        <v>943</v>
      </c>
      <c r="B3006" s="6" t="s">
        <v>1596</v>
      </c>
      <c r="C3006" s="6" t="s">
        <v>914</v>
      </c>
      <c r="D3006" s="6" t="s">
        <v>945</v>
      </c>
      <c r="E3006" s="6"/>
      <c r="G3006" s="6">
        <v>160</v>
      </c>
      <c r="H3006" s="6">
        <v>200</v>
      </c>
      <c r="K3006" s="7">
        <v>44007177</v>
      </c>
      <c r="L3006" s="6" t="str">
        <f t="shared" si="291"/>
        <v>YT FLORA BAZA 160x200</v>
      </c>
      <c r="M3006" s="12">
        <v>0.1</v>
      </c>
      <c r="N3006" s="12">
        <v>0.1</v>
      </c>
      <c r="O3006" s="8">
        <v>10290</v>
      </c>
      <c r="P3006" s="8">
        <f t="shared" si="292"/>
        <v>9261</v>
      </c>
      <c r="Q3006" s="12">
        <f t="shared" si="293"/>
        <v>19448.100000000002</v>
      </c>
      <c r="R3006" s="31">
        <f t="shared" si="294"/>
        <v>19400</v>
      </c>
    </row>
    <row r="3007" spans="1:18" ht="21.95" customHeight="1" x14ac:dyDescent="0.2">
      <c r="A3007" s="6" t="s">
        <v>943</v>
      </c>
      <c r="B3007" s="6" t="s">
        <v>1596</v>
      </c>
      <c r="C3007" s="6" t="s">
        <v>914</v>
      </c>
      <c r="D3007" s="6" t="s">
        <v>945</v>
      </c>
      <c r="E3007" s="6"/>
      <c r="G3007" s="6">
        <v>180</v>
      </c>
      <c r="H3007" s="6">
        <v>200</v>
      </c>
      <c r="K3007" s="7">
        <v>44007178</v>
      </c>
      <c r="L3007" s="6" t="str">
        <f t="shared" si="291"/>
        <v>YT FLORA BAZA 180x200</v>
      </c>
      <c r="M3007" s="12">
        <v>0.1</v>
      </c>
      <c r="N3007" s="12">
        <v>0.1</v>
      </c>
      <c r="O3007" s="8">
        <v>11310</v>
      </c>
      <c r="P3007" s="8">
        <f t="shared" si="292"/>
        <v>10179</v>
      </c>
      <c r="Q3007" s="12">
        <f t="shared" si="293"/>
        <v>21375.9</v>
      </c>
      <c r="R3007" s="31">
        <f t="shared" si="294"/>
        <v>21300</v>
      </c>
    </row>
    <row r="3008" spans="1:18" ht="21.95" customHeight="1" x14ac:dyDescent="0.2">
      <c r="A3008" s="6" t="s">
        <v>943</v>
      </c>
      <c r="B3008" s="6" t="s">
        <v>1596</v>
      </c>
      <c r="C3008" s="6" t="s">
        <v>914</v>
      </c>
      <c r="D3008" s="6" t="s">
        <v>945</v>
      </c>
      <c r="E3008" s="6"/>
      <c r="G3008" s="6">
        <v>200</v>
      </c>
      <c r="H3008" s="6">
        <v>200</v>
      </c>
      <c r="K3008" s="7">
        <v>44007179</v>
      </c>
      <c r="L3008" s="6" t="str">
        <f t="shared" si="291"/>
        <v>YT FLORA BAZA 200x200</v>
      </c>
      <c r="M3008" s="12">
        <v>0.1</v>
      </c>
      <c r="N3008" s="12">
        <v>0.1</v>
      </c>
      <c r="O3008" s="8">
        <v>11840</v>
      </c>
      <c r="P3008" s="8">
        <f t="shared" si="292"/>
        <v>10656</v>
      </c>
      <c r="Q3008" s="12">
        <f t="shared" si="293"/>
        <v>22377.600000000002</v>
      </c>
      <c r="R3008" s="31">
        <f t="shared" si="294"/>
        <v>22300</v>
      </c>
    </row>
    <row r="3009" spans="1:18" ht="21.95" customHeight="1" x14ac:dyDescent="0.2">
      <c r="A3009" s="6" t="s">
        <v>943</v>
      </c>
      <c r="B3009" s="6" t="s">
        <v>1596</v>
      </c>
      <c r="C3009" s="6" t="s">
        <v>1087</v>
      </c>
      <c r="D3009" s="6" t="s">
        <v>1003</v>
      </c>
      <c r="E3009" s="6"/>
      <c r="G3009" s="6">
        <v>90</v>
      </c>
      <c r="H3009" s="6">
        <v>190</v>
      </c>
      <c r="K3009" s="7">
        <v>44007180</v>
      </c>
      <c r="L3009" s="6" t="str">
        <f t="shared" si="291"/>
        <v>YT FLORA  BAŞLIK  90x190</v>
      </c>
      <c r="M3009" s="12">
        <v>0.1</v>
      </c>
      <c r="N3009" s="12">
        <v>0.1</v>
      </c>
      <c r="O3009" s="8">
        <v>2110</v>
      </c>
      <c r="P3009" s="8">
        <f t="shared" si="292"/>
        <v>1899</v>
      </c>
      <c r="Q3009" s="12">
        <f t="shared" si="293"/>
        <v>3987.9</v>
      </c>
      <c r="R3009" s="31">
        <f t="shared" si="294"/>
        <v>3900</v>
      </c>
    </row>
    <row r="3010" spans="1:18" ht="21.95" customHeight="1" x14ac:dyDescent="0.2">
      <c r="A3010" s="6" t="s">
        <v>943</v>
      </c>
      <c r="B3010" s="6" t="s">
        <v>1596</v>
      </c>
      <c r="C3010" s="6" t="s">
        <v>1087</v>
      </c>
      <c r="D3010" s="6" t="s">
        <v>1003</v>
      </c>
      <c r="E3010" s="6"/>
      <c r="G3010" s="6">
        <v>90</v>
      </c>
      <c r="H3010" s="6">
        <v>200</v>
      </c>
      <c r="K3010" s="7">
        <v>44007181</v>
      </c>
      <c r="L3010" s="6" t="str">
        <f t="shared" si="291"/>
        <v>YT FLORA  BAŞLIK  90x200</v>
      </c>
      <c r="M3010" s="12">
        <v>0.1</v>
      </c>
      <c r="N3010" s="12">
        <v>0.1</v>
      </c>
      <c r="O3010" s="8">
        <v>2150</v>
      </c>
      <c r="P3010" s="8">
        <f t="shared" si="292"/>
        <v>1935</v>
      </c>
      <c r="Q3010" s="12">
        <f t="shared" si="293"/>
        <v>4063.5</v>
      </c>
      <c r="R3010" s="31">
        <f t="shared" si="294"/>
        <v>4000</v>
      </c>
    </row>
    <row r="3011" spans="1:18" ht="21.95" customHeight="1" x14ac:dyDescent="0.2">
      <c r="A3011" s="6" t="s">
        <v>943</v>
      </c>
      <c r="B3011" s="6" t="s">
        <v>1596</v>
      </c>
      <c r="C3011" s="6" t="s">
        <v>1087</v>
      </c>
      <c r="D3011" s="6" t="s">
        <v>1003</v>
      </c>
      <c r="E3011" s="6"/>
      <c r="G3011" s="6">
        <v>100</v>
      </c>
      <c r="H3011" s="6">
        <v>200</v>
      </c>
      <c r="K3011" s="7">
        <v>44007182</v>
      </c>
      <c r="L3011" s="6" t="str">
        <f t="shared" si="291"/>
        <v>YT FLORA  BAŞLIK  100x200</v>
      </c>
      <c r="M3011" s="12">
        <v>0.1</v>
      </c>
      <c r="N3011" s="12">
        <v>0.1</v>
      </c>
      <c r="O3011" s="8">
        <v>2250</v>
      </c>
      <c r="P3011" s="8">
        <f t="shared" si="292"/>
        <v>2025</v>
      </c>
      <c r="Q3011" s="12">
        <f t="shared" si="293"/>
        <v>4252.5</v>
      </c>
      <c r="R3011" s="31">
        <f t="shared" si="294"/>
        <v>4200</v>
      </c>
    </row>
    <row r="3012" spans="1:18" ht="21.95" customHeight="1" x14ac:dyDescent="0.2">
      <c r="A3012" s="6" t="s">
        <v>943</v>
      </c>
      <c r="B3012" s="6" t="s">
        <v>1596</v>
      </c>
      <c r="C3012" s="6" t="s">
        <v>1087</v>
      </c>
      <c r="D3012" s="6" t="s">
        <v>1003</v>
      </c>
      <c r="E3012" s="6"/>
      <c r="G3012" s="6">
        <v>120</v>
      </c>
      <c r="H3012" s="6">
        <v>200</v>
      </c>
      <c r="K3012" s="7">
        <v>44007183</v>
      </c>
      <c r="L3012" s="6" t="str">
        <f t="shared" ref="L3012:L3075" si="295">B3012&amp;" "&amp;C3012&amp;" "&amp;D3012&amp;" "&amp;G3012&amp;"x"&amp;H3012</f>
        <v>YT FLORA  BAŞLIK  120x200</v>
      </c>
      <c r="M3012" s="12">
        <v>0.1</v>
      </c>
      <c r="N3012" s="12">
        <v>0.1</v>
      </c>
      <c r="O3012" s="8">
        <v>2600</v>
      </c>
      <c r="P3012" s="8">
        <f t="shared" si="292"/>
        <v>2340</v>
      </c>
      <c r="Q3012" s="12">
        <f t="shared" si="293"/>
        <v>4914</v>
      </c>
      <c r="R3012" s="31">
        <f t="shared" si="294"/>
        <v>4900</v>
      </c>
    </row>
    <row r="3013" spans="1:18" ht="21.95" customHeight="1" x14ac:dyDescent="0.2">
      <c r="A3013" s="6" t="s">
        <v>943</v>
      </c>
      <c r="B3013" s="6" t="s">
        <v>1596</v>
      </c>
      <c r="C3013" s="6" t="s">
        <v>1087</v>
      </c>
      <c r="D3013" s="6" t="s">
        <v>1003</v>
      </c>
      <c r="E3013" s="6"/>
      <c r="G3013" s="6">
        <v>140</v>
      </c>
      <c r="H3013" s="6">
        <v>190</v>
      </c>
      <c r="K3013" s="7">
        <v>44007184</v>
      </c>
      <c r="L3013" s="6" t="str">
        <f t="shared" si="295"/>
        <v>YT FLORA  BAŞLIK  140x190</v>
      </c>
      <c r="M3013" s="12">
        <v>0.1</v>
      </c>
      <c r="N3013" s="12">
        <v>0.1</v>
      </c>
      <c r="O3013" s="8">
        <v>3500</v>
      </c>
      <c r="P3013" s="8">
        <f t="shared" si="292"/>
        <v>3150</v>
      </c>
      <c r="Q3013" s="12">
        <f t="shared" si="293"/>
        <v>6615</v>
      </c>
      <c r="R3013" s="31">
        <f t="shared" si="294"/>
        <v>6600</v>
      </c>
    </row>
    <row r="3014" spans="1:18" ht="21.95" customHeight="1" x14ac:dyDescent="0.2">
      <c r="A3014" s="6" t="s">
        <v>943</v>
      </c>
      <c r="B3014" s="6" t="s">
        <v>1596</v>
      </c>
      <c r="C3014" s="6" t="s">
        <v>1087</v>
      </c>
      <c r="D3014" s="6" t="s">
        <v>1003</v>
      </c>
      <c r="E3014" s="6"/>
      <c r="G3014" s="6">
        <v>140</v>
      </c>
      <c r="H3014" s="6">
        <v>200</v>
      </c>
      <c r="K3014" s="7">
        <v>44007185</v>
      </c>
      <c r="L3014" s="6" t="str">
        <f t="shared" si="295"/>
        <v>YT FLORA  BAŞLIK  140x200</v>
      </c>
      <c r="M3014" s="12">
        <v>0.1</v>
      </c>
      <c r="N3014" s="12">
        <v>0.1</v>
      </c>
      <c r="O3014" s="8">
        <v>3600</v>
      </c>
      <c r="P3014" s="8">
        <f t="shared" si="292"/>
        <v>3240</v>
      </c>
      <c r="Q3014" s="12">
        <f t="shared" si="293"/>
        <v>6804</v>
      </c>
      <c r="R3014" s="31">
        <f t="shared" si="294"/>
        <v>6800</v>
      </c>
    </row>
    <row r="3015" spans="1:18" ht="21.95" customHeight="1" x14ac:dyDescent="0.2">
      <c r="A3015" s="6" t="s">
        <v>943</v>
      </c>
      <c r="B3015" s="6" t="s">
        <v>1596</v>
      </c>
      <c r="C3015" s="6" t="s">
        <v>1087</v>
      </c>
      <c r="D3015" s="6" t="s">
        <v>1003</v>
      </c>
      <c r="E3015" s="6"/>
      <c r="G3015" s="6">
        <v>150</v>
      </c>
      <c r="H3015" s="6">
        <v>200</v>
      </c>
      <c r="K3015" s="7">
        <v>44007186</v>
      </c>
      <c r="L3015" s="6" t="str">
        <f t="shared" si="295"/>
        <v>YT FLORA  BAŞLIK  150x200</v>
      </c>
      <c r="M3015" s="12">
        <v>0.1</v>
      </c>
      <c r="N3015" s="12">
        <v>0.1</v>
      </c>
      <c r="O3015" s="8">
        <v>3750</v>
      </c>
      <c r="P3015" s="8">
        <f t="shared" si="292"/>
        <v>3375</v>
      </c>
      <c r="Q3015" s="12">
        <f t="shared" si="293"/>
        <v>7087.5</v>
      </c>
      <c r="R3015" s="31">
        <f t="shared" si="294"/>
        <v>7000</v>
      </c>
    </row>
    <row r="3016" spans="1:18" ht="21.95" customHeight="1" x14ac:dyDescent="0.2">
      <c r="A3016" s="6" t="s">
        <v>943</v>
      </c>
      <c r="B3016" s="6" t="s">
        <v>1596</v>
      </c>
      <c r="C3016" s="6" t="s">
        <v>1087</v>
      </c>
      <c r="D3016" s="6" t="s">
        <v>1003</v>
      </c>
      <c r="E3016" s="6"/>
      <c r="G3016" s="5">
        <v>160</v>
      </c>
      <c r="H3016" s="6">
        <v>200</v>
      </c>
      <c r="K3016" s="7">
        <v>44007187</v>
      </c>
      <c r="L3016" s="6" t="str">
        <f t="shared" si="295"/>
        <v>YT FLORA  BAŞLIK  160x200</v>
      </c>
      <c r="M3016" s="12">
        <v>0.1</v>
      </c>
      <c r="N3016" s="12">
        <v>0.1</v>
      </c>
      <c r="O3016" s="8">
        <v>3910</v>
      </c>
      <c r="P3016" s="8">
        <f t="shared" si="292"/>
        <v>3519</v>
      </c>
      <c r="Q3016" s="12">
        <f t="shared" si="293"/>
        <v>7389.9000000000005</v>
      </c>
      <c r="R3016" s="31">
        <f t="shared" si="294"/>
        <v>7300</v>
      </c>
    </row>
    <row r="3017" spans="1:18" ht="21.95" customHeight="1" x14ac:dyDescent="0.2">
      <c r="A3017" s="6" t="s">
        <v>943</v>
      </c>
      <c r="B3017" s="6" t="s">
        <v>1596</v>
      </c>
      <c r="C3017" s="6" t="s">
        <v>1087</v>
      </c>
      <c r="D3017" s="6" t="s">
        <v>1003</v>
      </c>
      <c r="E3017" s="6"/>
      <c r="G3017" s="6">
        <v>180</v>
      </c>
      <c r="H3017" s="6">
        <v>200</v>
      </c>
      <c r="K3017" s="7">
        <v>44007188</v>
      </c>
      <c r="L3017" s="6" t="str">
        <f t="shared" si="295"/>
        <v>YT FLORA  BAŞLIK  180x200</v>
      </c>
      <c r="M3017" s="12">
        <v>0.1</v>
      </c>
      <c r="N3017" s="12">
        <v>0.1</v>
      </c>
      <c r="O3017" s="8">
        <v>4280</v>
      </c>
      <c r="P3017" s="8">
        <f t="shared" si="292"/>
        <v>3852</v>
      </c>
      <c r="Q3017" s="12">
        <f t="shared" si="293"/>
        <v>8089.2000000000007</v>
      </c>
      <c r="R3017" s="31">
        <f t="shared" si="294"/>
        <v>8000</v>
      </c>
    </row>
    <row r="3018" spans="1:18" ht="21.95" customHeight="1" x14ac:dyDescent="0.2">
      <c r="A3018" s="6" t="s">
        <v>943</v>
      </c>
      <c r="B3018" s="6" t="s">
        <v>1596</v>
      </c>
      <c r="C3018" s="6" t="s">
        <v>1087</v>
      </c>
      <c r="D3018" s="6" t="s">
        <v>1003</v>
      </c>
      <c r="E3018" s="6"/>
      <c r="G3018" s="6">
        <v>200</v>
      </c>
      <c r="H3018" s="6">
        <v>200</v>
      </c>
      <c r="K3018" s="7">
        <v>44007189</v>
      </c>
      <c r="L3018" s="6" t="str">
        <f t="shared" si="295"/>
        <v>YT FLORA  BAŞLIK  200x200</v>
      </c>
      <c r="M3018" s="12">
        <v>0.1</v>
      </c>
      <c r="N3018" s="12">
        <v>0.1</v>
      </c>
      <c r="O3018" s="8">
        <v>4480</v>
      </c>
      <c r="P3018" s="8">
        <f t="shared" si="292"/>
        <v>4032</v>
      </c>
      <c r="Q3018" s="12">
        <f t="shared" si="293"/>
        <v>8467.2000000000007</v>
      </c>
      <c r="R3018" s="31">
        <f t="shared" si="294"/>
        <v>8400</v>
      </c>
    </row>
    <row r="3019" spans="1:18" ht="21.95" customHeight="1" x14ac:dyDescent="0.2">
      <c r="A3019" s="6" t="s">
        <v>943</v>
      </c>
      <c r="B3019" s="6" t="s">
        <v>1596</v>
      </c>
      <c r="C3019" s="6" t="s">
        <v>979</v>
      </c>
      <c r="D3019" s="6" t="s">
        <v>943</v>
      </c>
      <c r="E3019" s="6"/>
      <c r="G3019" s="6">
        <v>90</v>
      </c>
      <c r="H3019" s="6">
        <v>190</v>
      </c>
      <c r="K3019" s="7">
        <v>44007190</v>
      </c>
      <c r="L3019" s="6" t="str">
        <f t="shared" si="295"/>
        <v>YT BEGONYA + YATAK  90x190</v>
      </c>
      <c r="M3019" s="12">
        <v>0.1</v>
      </c>
      <c r="N3019" s="12">
        <v>0.1</v>
      </c>
      <c r="O3019" s="8">
        <v>4050</v>
      </c>
      <c r="P3019" s="8">
        <f t="shared" si="292"/>
        <v>3645</v>
      </c>
      <c r="Q3019" s="12">
        <f t="shared" si="293"/>
        <v>7654.5</v>
      </c>
      <c r="R3019" s="31">
        <f t="shared" si="294"/>
        <v>7600</v>
      </c>
    </row>
    <row r="3020" spans="1:18" ht="21.95" customHeight="1" x14ac:dyDescent="0.2">
      <c r="A3020" s="6" t="s">
        <v>943</v>
      </c>
      <c r="B3020" s="6" t="s">
        <v>1596</v>
      </c>
      <c r="C3020" s="6" t="s">
        <v>979</v>
      </c>
      <c r="D3020" s="6" t="s">
        <v>943</v>
      </c>
      <c r="E3020" s="6"/>
      <c r="G3020" s="6">
        <v>90</v>
      </c>
      <c r="H3020" s="6">
        <v>200</v>
      </c>
      <c r="K3020" s="7">
        <v>44007191</v>
      </c>
      <c r="L3020" s="6" t="str">
        <f t="shared" si="295"/>
        <v>YT BEGONYA + YATAK  90x200</v>
      </c>
      <c r="M3020" s="12">
        <v>0.1</v>
      </c>
      <c r="N3020" s="12">
        <v>0.1</v>
      </c>
      <c r="O3020" s="8">
        <v>4240</v>
      </c>
      <c r="P3020" s="8">
        <f t="shared" si="292"/>
        <v>3816</v>
      </c>
      <c r="Q3020" s="12">
        <f t="shared" si="293"/>
        <v>8013.6</v>
      </c>
      <c r="R3020" s="31">
        <f t="shared" si="294"/>
        <v>8000</v>
      </c>
    </row>
    <row r="3021" spans="1:18" ht="21.95" customHeight="1" x14ac:dyDescent="0.2">
      <c r="A3021" s="6" t="s">
        <v>943</v>
      </c>
      <c r="B3021" s="6" t="s">
        <v>1596</v>
      </c>
      <c r="C3021" s="6" t="s">
        <v>979</v>
      </c>
      <c r="D3021" s="6" t="s">
        <v>943</v>
      </c>
      <c r="E3021" s="6"/>
      <c r="G3021" s="6">
        <v>100</v>
      </c>
      <c r="H3021" s="6">
        <v>200</v>
      </c>
      <c r="K3021" s="7">
        <v>44007192</v>
      </c>
      <c r="L3021" s="6" t="str">
        <f t="shared" si="295"/>
        <v>YT BEGONYA + YATAK  100x200</v>
      </c>
      <c r="M3021" s="12">
        <v>0.1</v>
      </c>
      <c r="N3021" s="12">
        <v>0.1</v>
      </c>
      <c r="O3021" s="8">
        <v>4450</v>
      </c>
      <c r="P3021" s="8">
        <f t="shared" si="292"/>
        <v>4005</v>
      </c>
      <c r="Q3021" s="12">
        <f t="shared" si="293"/>
        <v>8410.5</v>
      </c>
      <c r="R3021" s="31">
        <f t="shared" si="294"/>
        <v>8400</v>
      </c>
    </row>
    <row r="3022" spans="1:18" ht="21.95" customHeight="1" x14ac:dyDescent="0.2">
      <c r="A3022" s="6" t="s">
        <v>943</v>
      </c>
      <c r="B3022" s="6" t="s">
        <v>1596</v>
      </c>
      <c r="C3022" s="6" t="s">
        <v>979</v>
      </c>
      <c r="D3022" s="6" t="s">
        <v>943</v>
      </c>
      <c r="E3022" s="6"/>
      <c r="G3022" s="6">
        <v>120</v>
      </c>
      <c r="H3022" s="6">
        <v>200</v>
      </c>
      <c r="K3022" s="7">
        <v>44007193</v>
      </c>
      <c r="L3022" s="6" t="str">
        <f t="shared" si="295"/>
        <v>YT BEGONYA + YATAK  120x200</v>
      </c>
      <c r="M3022" s="12">
        <v>0.1</v>
      </c>
      <c r="N3022" s="12">
        <v>0.1</v>
      </c>
      <c r="O3022" s="8">
        <v>4930</v>
      </c>
      <c r="P3022" s="8">
        <f t="shared" ref="P3022:P3085" si="296">O3022*(1-N3022)</f>
        <v>4437</v>
      </c>
      <c r="Q3022" s="12">
        <f t="shared" ref="Q3022:Q3085" si="297">O3022*(1-N3022)*2.1</f>
        <v>9317.7000000000007</v>
      </c>
      <c r="R3022" s="31">
        <f t="shared" ref="R3022:R3085" si="298">ROUNDDOWN(Q3022,-2)</f>
        <v>9300</v>
      </c>
    </row>
    <row r="3023" spans="1:18" ht="21.95" customHeight="1" x14ac:dyDescent="0.2">
      <c r="A3023" s="6" t="s">
        <v>943</v>
      </c>
      <c r="B3023" s="6" t="s">
        <v>1596</v>
      </c>
      <c r="C3023" s="6" t="s">
        <v>979</v>
      </c>
      <c r="D3023" s="6" t="s">
        <v>943</v>
      </c>
      <c r="E3023" s="6"/>
      <c r="G3023" s="6">
        <v>140</v>
      </c>
      <c r="H3023" s="6">
        <v>190</v>
      </c>
      <c r="K3023" s="7">
        <v>44007194</v>
      </c>
      <c r="L3023" s="6" t="str">
        <f t="shared" si="295"/>
        <v>YT BEGONYA + YATAK  140x190</v>
      </c>
      <c r="M3023" s="12">
        <v>0.1</v>
      </c>
      <c r="N3023" s="12">
        <v>0.1</v>
      </c>
      <c r="O3023" s="8">
        <v>6020</v>
      </c>
      <c r="P3023" s="8">
        <f t="shared" si="296"/>
        <v>5418</v>
      </c>
      <c r="Q3023" s="12">
        <f t="shared" si="297"/>
        <v>11377.800000000001</v>
      </c>
      <c r="R3023" s="31">
        <f t="shared" si="298"/>
        <v>11300</v>
      </c>
    </row>
    <row r="3024" spans="1:18" ht="21.95" customHeight="1" x14ac:dyDescent="0.2">
      <c r="A3024" s="6" t="s">
        <v>943</v>
      </c>
      <c r="B3024" s="6" t="s">
        <v>1596</v>
      </c>
      <c r="C3024" s="6" t="s">
        <v>979</v>
      </c>
      <c r="D3024" s="6" t="s">
        <v>943</v>
      </c>
      <c r="E3024" s="6"/>
      <c r="G3024" s="6">
        <v>140</v>
      </c>
      <c r="H3024" s="6">
        <v>200</v>
      </c>
      <c r="K3024" s="7">
        <v>44007195</v>
      </c>
      <c r="L3024" s="6" t="str">
        <f t="shared" si="295"/>
        <v>YT BEGONYA + YATAK  140x200</v>
      </c>
      <c r="M3024" s="12">
        <v>0.1</v>
      </c>
      <c r="N3024" s="12">
        <v>0.1</v>
      </c>
      <c r="O3024" s="8">
        <v>6120</v>
      </c>
      <c r="P3024" s="8">
        <f t="shared" si="296"/>
        <v>5508</v>
      </c>
      <c r="Q3024" s="12">
        <f t="shared" si="297"/>
        <v>11566.800000000001</v>
      </c>
      <c r="R3024" s="31">
        <f t="shared" si="298"/>
        <v>11500</v>
      </c>
    </row>
    <row r="3025" spans="1:18" ht="21.95" customHeight="1" x14ac:dyDescent="0.2">
      <c r="A3025" s="6" t="s">
        <v>943</v>
      </c>
      <c r="B3025" s="6" t="s">
        <v>1596</v>
      </c>
      <c r="C3025" s="6" t="s">
        <v>979</v>
      </c>
      <c r="D3025" s="6" t="s">
        <v>943</v>
      </c>
      <c r="E3025" s="6"/>
      <c r="G3025" s="6">
        <v>150</v>
      </c>
      <c r="H3025" s="6">
        <v>200</v>
      </c>
      <c r="K3025" s="7">
        <v>44007196</v>
      </c>
      <c r="L3025" s="6" t="str">
        <f t="shared" si="295"/>
        <v>YT BEGONYA + YATAK  150x200</v>
      </c>
      <c r="M3025" s="12">
        <v>0.1</v>
      </c>
      <c r="N3025" s="12">
        <v>0.1</v>
      </c>
      <c r="O3025" s="8">
        <v>6380</v>
      </c>
      <c r="P3025" s="8">
        <f t="shared" si="296"/>
        <v>5742</v>
      </c>
      <c r="Q3025" s="12">
        <f t="shared" si="297"/>
        <v>12058.2</v>
      </c>
      <c r="R3025" s="31">
        <f t="shared" si="298"/>
        <v>12000</v>
      </c>
    </row>
    <row r="3026" spans="1:18" ht="21.95" customHeight="1" x14ac:dyDescent="0.2">
      <c r="A3026" s="6" t="s">
        <v>943</v>
      </c>
      <c r="B3026" s="6" t="s">
        <v>1596</v>
      </c>
      <c r="C3026" s="6" t="s">
        <v>979</v>
      </c>
      <c r="D3026" s="6" t="s">
        <v>943</v>
      </c>
      <c r="E3026" s="6"/>
      <c r="G3026" s="6">
        <v>160</v>
      </c>
      <c r="H3026" s="6">
        <v>200</v>
      </c>
      <c r="K3026" s="7">
        <v>44007197</v>
      </c>
      <c r="L3026" s="6" t="str">
        <f t="shared" si="295"/>
        <v>YT BEGONYA + YATAK  160x200</v>
      </c>
      <c r="M3026" s="12">
        <v>0.1</v>
      </c>
      <c r="N3026" s="12">
        <v>0.1</v>
      </c>
      <c r="O3026" s="8">
        <v>6670</v>
      </c>
      <c r="P3026" s="8">
        <f t="shared" si="296"/>
        <v>6003</v>
      </c>
      <c r="Q3026" s="12">
        <f t="shared" si="297"/>
        <v>12606.300000000001</v>
      </c>
      <c r="R3026" s="31">
        <f t="shared" si="298"/>
        <v>12600</v>
      </c>
    </row>
    <row r="3027" spans="1:18" ht="21.95" customHeight="1" x14ac:dyDescent="0.2">
      <c r="A3027" s="6" t="s">
        <v>943</v>
      </c>
      <c r="B3027" s="6" t="s">
        <v>1596</v>
      </c>
      <c r="C3027" s="6" t="s">
        <v>979</v>
      </c>
      <c r="D3027" s="6" t="s">
        <v>943</v>
      </c>
      <c r="E3027" s="6"/>
      <c r="G3027" s="6">
        <v>180</v>
      </c>
      <c r="H3027" s="6">
        <v>200</v>
      </c>
      <c r="K3027" s="7">
        <v>44007198</v>
      </c>
      <c r="L3027" s="6" t="str">
        <f t="shared" si="295"/>
        <v>YT BEGONYA + YATAK  180x200</v>
      </c>
      <c r="M3027" s="12">
        <v>0.1</v>
      </c>
      <c r="N3027" s="12">
        <v>0.1</v>
      </c>
      <c r="O3027" s="8">
        <v>7650</v>
      </c>
      <c r="P3027" s="8">
        <f t="shared" si="296"/>
        <v>6885</v>
      </c>
      <c r="Q3027" s="12">
        <f t="shared" si="297"/>
        <v>14458.5</v>
      </c>
      <c r="R3027" s="31">
        <f t="shared" si="298"/>
        <v>14400</v>
      </c>
    </row>
    <row r="3028" spans="1:18" ht="21.95" customHeight="1" x14ac:dyDescent="0.2">
      <c r="A3028" s="6" t="s">
        <v>943</v>
      </c>
      <c r="B3028" s="6" t="s">
        <v>1596</v>
      </c>
      <c r="C3028" s="6" t="s">
        <v>979</v>
      </c>
      <c r="D3028" s="6" t="s">
        <v>943</v>
      </c>
      <c r="E3028" s="6"/>
      <c r="G3028" s="6">
        <v>200</v>
      </c>
      <c r="H3028" s="6">
        <v>200</v>
      </c>
      <c r="K3028" s="7">
        <v>44007199</v>
      </c>
      <c r="L3028" s="6" t="str">
        <f t="shared" si="295"/>
        <v>YT BEGONYA + YATAK  200x200</v>
      </c>
      <c r="M3028" s="12">
        <v>0.1</v>
      </c>
      <c r="N3028" s="12">
        <v>0.1</v>
      </c>
      <c r="O3028" s="8">
        <v>8550</v>
      </c>
      <c r="P3028" s="8">
        <f t="shared" si="296"/>
        <v>7695</v>
      </c>
      <c r="Q3028" s="12">
        <f t="shared" si="297"/>
        <v>16159.5</v>
      </c>
      <c r="R3028" s="31">
        <f t="shared" si="298"/>
        <v>16100</v>
      </c>
    </row>
    <row r="3029" spans="1:18" ht="21.95" customHeight="1" x14ac:dyDescent="0.2">
      <c r="A3029" s="6" t="s">
        <v>943</v>
      </c>
      <c r="B3029" s="6" t="s">
        <v>1596</v>
      </c>
      <c r="C3029" s="6" t="s">
        <v>1087</v>
      </c>
      <c r="D3029" s="6" t="s">
        <v>959</v>
      </c>
      <c r="E3029" s="6"/>
      <c r="G3029" s="6">
        <v>59</v>
      </c>
      <c r="H3029" s="6">
        <v>45</v>
      </c>
      <c r="I3029" s="7">
        <v>55</v>
      </c>
      <c r="K3029" s="7">
        <v>44007200</v>
      </c>
      <c r="L3029" s="6" t="str">
        <f t="shared" si="295"/>
        <v>YT FLORA  KOMİDİN  59x45</v>
      </c>
      <c r="M3029" s="12">
        <v>0.1</v>
      </c>
      <c r="N3029" s="12">
        <v>0.1</v>
      </c>
      <c r="O3029" s="8">
        <v>2760</v>
      </c>
      <c r="P3029" s="8">
        <f t="shared" si="296"/>
        <v>2484</v>
      </c>
      <c r="Q3029" s="12">
        <f t="shared" si="297"/>
        <v>5216.4000000000005</v>
      </c>
      <c r="R3029" s="31">
        <f t="shared" si="298"/>
        <v>5200</v>
      </c>
    </row>
    <row r="3030" spans="1:18" ht="21.95" customHeight="1" x14ac:dyDescent="0.2">
      <c r="A3030" s="6" t="s">
        <v>943</v>
      </c>
      <c r="B3030" s="6" t="s">
        <v>1596</v>
      </c>
      <c r="C3030" s="6" t="s">
        <v>1087</v>
      </c>
      <c r="D3030" s="6" t="s">
        <v>1022</v>
      </c>
      <c r="E3030" s="6"/>
      <c r="G3030" s="6">
        <v>120</v>
      </c>
      <c r="H3030" s="6">
        <v>41</v>
      </c>
      <c r="I3030" s="7">
        <v>42</v>
      </c>
      <c r="K3030" s="7">
        <v>44007201</v>
      </c>
      <c r="L3030" s="6" t="str">
        <f t="shared" si="295"/>
        <v>YT FLORA  MARKİZ  120x41</v>
      </c>
      <c r="M3030" s="12">
        <v>0.1</v>
      </c>
      <c r="N3030" s="12">
        <v>0.1</v>
      </c>
      <c r="O3030" s="8">
        <v>4230</v>
      </c>
      <c r="P3030" s="8">
        <f t="shared" si="296"/>
        <v>3807</v>
      </c>
      <c r="Q3030" s="12">
        <f t="shared" si="297"/>
        <v>7994.7000000000007</v>
      </c>
      <c r="R3030" s="31">
        <f t="shared" si="298"/>
        <v>7900</v>
      </c>
    </row>
    <row r="3031" spans="1:18" ht="21.95" customHeight="1" x14ac:dyDescent="0.2">
      <c r="A3031" s="6" t="s">
        <v>943</v>
      </c>
      <c r="B3031" s="6" t="s">
        <v>1596</v>
      </c>
      <c r="C3031" s="6" t="s">
        <v>1088</v>
      </c>
      <c r="D3031" s="6" t="s">
        <v>989</v>
      </c>
      <c r="E3031" s="6"/>
      <c r="G3031" s="6">
        <v>90</v>
      </c>
      <c r="H3031" s="6">
        <v>190</v>
      </c>
      <c r="K3031" s="7">
        <v>44007202</v>
      </c>
      <c r="L3031" s="6" t="str">
        <f t="shared" si="295"/>
        <v>YT OPTİMA BAZA  90x190</v>
      </c>
      <c r="M3031" s="12">
        <v>0.1</v>
      </c>
      <c r="N3031" s="12">
        <v>0.1</v>
      </c>
      <c r="O3031" s="8">
        <v>4070</v>
      </c>
      <c r="P3031" s="8">
        <f t="shared" si="296"/>
        <v>3663</v>
      </c>
      <c r="Q3031" s="12">
        <f t="shared" si="297"/>
        <v>7692.3</v>
      </c>
      <c r="R3031" s="31">
        <f t="shared" si="298"/>
        <v>7600</v>
      </c>
    </row>
    <row r="3032" spans="1:18" ht="21.95" customHeight="1" x14ac:dyDescent="0.2">
      <c r="A3032" s="6" t="s">
        <v>943</v>
      </c>
      <c r="B3032" s="6" t="s">
        <v>1596</v>
      </c>
      <c r="C3032" s="6" t="s">
        <v>1088</v>
      </c>
      <c r="D3032" s="6" t="s">
        <v>989</v>
      </c>
      <c r="E3032" s="6"/>
      <c r="G3032" s="6">
        <v>90</v>
      </c>
      <c r="H3032" s="6">
        <v>200</v>
      </c>
      <c r="K3032" s="7">
        <v>44007203</v>
      </c>
      <c r="L3032" s="6" t="str">
        <f t="shared" si="295"/>
        <v>YT OPTİMA BAZA  90x200</v>
      </c>
      <c r="M3032" s="12">
        <v>0.1</v>
      </c>
      <c r="N3032" s="12">
        <v>0.1</v>
      </c>
      <c r="O3032" s="8">
        <v>4150</v>
      </c>
      <c r="P3032" s="8">
        <f t="shared" si="296"/>
        <v>3735</v>
      </c>
      <c r="Q3032" s="12">
        <f t="shared" si="297"/>
        <v>7843.5</v>
      </c>
      <c r="R3032" s="31">
        <f t="shared" si="298"/>
        <v>7800</v>
      </c>
    </row>
    <row r="3033" spans="1:18" ht="21.95" customHeight="1" x14ac:dyDescent="0.2">
      <c r="A3033" s="6" t="s">
        <v>943</v>
      </c>
      <c r="B3033" s="6" t="s">
        <v>1596</v>
      </c>
      <c r="C3033" s="6" t="s">
        <v>1088</v>
      </c>
      <c r="D3033" s="6" t="s">
        <v>989</v>
      </c>
      <c r="E3033" s="6"/>
      <c r="G3033" s="6">
        <v>100</v>
      </c>
      <c r="H3033" s="6">
        <v>200</v>
      </c>
      <c r="K3033" s="7">
        <v>44007204</v>
      </c>
      <c r="L3033" s="6" t="str">
        <f t="shared" si="295"/>
        <v>YT OPTİMA BAZA  100x200</v>
      </c>
      <c r="M3033" s="12">
        <v>0.1</v>
      </c>
      <c r="N3033" s="12">
        <v>0.1</v>
      </c>
      <c r="O3033" s="8">
        <v>4350</v>
      </c>
      <c r="P3033" s="8">
        <f t="shared" si="296"/>
        <v>3915</v>
      </c>
      <c r="Q3033" s="12">
        <f t="shared" si="297"/>
        <v>8221.5</v>
      </c>
      <c r="R3033" s="31">
        <f t="shared" si="298"/>
        <v>8200</v>
      </c>
    </row>
    <row r="3034" spans="1:18" ht="21.95" customHeight="1" x14ac:dyDescent="0.2">
      <c r="A3034" s="6" t="s">
        <v>943</v>
      </c>
      <c r="B3034" s="6" t="s">
        <v>1596</v>
      </c>
      <c r="C3034" s="6" t="s">
        <v>1088</v>
      </c>
      <c r="D3034" s="6" t="s">
        <v>989</v>
      </c>
      <c r="E3034" s="6"/>
      <c r="G3034" s="6">
        <v>120</v>
      </c>
      <c r="H3034" s="6">
        <v>200</v>
      </c>
      <c r="K3034" s="7">
        <v>44007205</v>
      </c>
      <c r="L3034" s="6" t="str">
        <f t="shared" si="295"/>
        <v>YT OPTİMA BAZA  120x200</v>
      </c>
      <c r="M3034" s="12">
        <v>0.1</v>
      </c>
      <c r="N3034" s="12">
        <v>0.1</v>
      </c>
      <c r="O3034" s="8">
        <v>5030</v>
      </c>
      <c r="P3034" s="8">
        <f t="shared" si="296"/>
        <v>4527</v>
      </c>
      <c r="Q3034" s="12">
        <f t="shared" si="297"/>
        <v>9506.7000000000007</v>
      </c>
      <c r="R3034" s="31">
        <f t="shared" si="298"/>
        <v>9500</v>
      </c>
    </row>
    <row r="3035" spans="1:18" ht="21.95" customHeight="1" x14ac:dyDescent="0.2">
      <c r="A3035" s="6" t="s">
        <v>943</v>
      </c>
      <c r="B3035" s="6" t="s">
        <v>1596</v>
      </c>
      <c r="C3035" s="6" t="s">
        <v>1088</v>
      </c>
      <c r="D3035" s="6" t="s">
        <v>989</v>
      </c>
      <c r="E3035" s="6"/>
      <c r="G3035" s="6">
        <v>140</v>
      </c>
      <c r="H3035" s="6">
        <v>190</v>
      </c>
      <c r="K3035" s="7">
        <v>44007206</v>
      </c>
      <c r="L3035" s="6" t="str">
        <f t="shared" si="295"/>
        <v>YT OPTİMA BAZA  140x190</v>
      </c>
      <c r="M3035" s="12">
        <v>0.1</v>
      </c>
      <c r="N3035" s="12">
        <v>0.1</v>
      </c>
      <c r="O3035" s="8">
        <v>6770</v>
      </c>
      <c r="P3035" s="8">
        <f t="shared" si="296"/>
        <v>6093</v>
      </c>
      <c r="Q3035" s="12">
        <f t="shared" si="297"/>
        <v>12795.300000000001</v>
      </c>
      <c r="R3035" s="31">
        <f t="shared" si="298"/>
        <v>12700</v>
      </c>
    </row>
    <row r="3036" spans="1:18" ht="21.95" customHeight="1" x14ac:dyDescent="0.2">
      <c r="A3036" s="6" t="s">
        <v>943</v>
      </c>
      <c r="B3036" s="6" t="s">
        <v>1596</v>
      </c>
      <c r="C3036" s="6" t="s">
        <v>1088</v>
      </c>
      <c r="D3036" s="6" t="s">
        <v>989</v>
      </c>
      <c r="E3036" s="6"/>
      <c r="G3036" s="6">
        <v>140</v>
      </c>
      <c r="H3036" s="6">
        <v>200</v>
      </c>
      <c r="K3036" s="7">
        <v>44007207</v>
      </c>
      <c r="L3036" s="6" t="str">
        <f t="shared" si="295"/>
        <v>YT OPTİMA BAZA  140x200</v>
      </c>
      <c r="M3036" s="12">
        <v>0.1</v>
      </c>
      <c r="N3036" s="12">
        <v>0.1</v>
      </c>
      <c r="O3036" s="8">
        <v>6970</v>
      </c>
      <c r="P3036" s="8">
        <f t="shared" si="296"/>
        <v>6273</v>
      </c>
      <c r="Q3036" s="12">
        <f t="shared" si="297"/>
        <v>13173.300000000001</v>
      </c>
      <c r="R3036" s="31">
        <f t="shared" si="298"/>
        <v>13100</v>
      </c>
    </row>
    <row r="3037" spans="1:18" ht="21.95" customHeight="1" x14ac:dyDescent="0.2">
      <c r="A3037" s="6" t="s">
        <v>943</v>
      </c>
      <c r="B3037" s="6" t="s">
        <v>1596</v>
      </c>
      <c r="C3037" s="6" t="s">
        <v>1088</v>
      </c>
      <c r="D3037" s="6" t="s">
        <v>989</v>
      </c>
      <c r="E3037" s="6"/>
      <c r="G3037" s="6">
        <v>150</v>
      </c>
      <c r="H3037" s="6">
        <v>200</v>
      </c>
      <c r="K3037" s="7">
        <v>44007208</v>
      </c>
      <c r="L3037" s="6" t="str">
        <f t="shared" si="295"/>
        <v>YT OPTİMA BAZA  150x200</v>
      </c>
      <c r="M3037" s="12">
        <v>0.1</v>
      </c>
      <c r="N3037" s="12">
        <v>0.1</v>
      </c>
      <c r="O3037" s="8">
        <v>7260</v>
      </c>
      <c r="P3037" s="8">
        <f t="shared" si="296"/>
        <v>6534</v>
      </c>
      <c r="Q3037" s="12">
        <f t="shared" si="297"/>
        <v>13721.400000000001</v>
      </c>
      <c r="R3037" s="31">
        <f t="shared" si="298"/>
        <v>13700</v>
      </c>
    </row>
    <row r="3038" spans="1:18" ht="21.95" customHeight="1" x14ac:dyDescent="0.2">
      <c r="A3038" s="6" t="s">
        <v>943</v>
      </c>
      <c r="B3038" s="6" t="s">
        <v>1596</v>
      </c>
      <c r="C3038" s="6" t="s">
        <v>1088</v>
      </c>
      <c r="D3038" s="6" t="s">
        <v>989</v>
      </c>
      <c r="E3038" s="6"/>
      <c r="G3038" s="6">
        <v>160</v>
      </c>
      <c r="H3038" s="6">
        <v>200</v>
      </c>
      <c r="K3038" s="7">
        <v>44007209</v>
      </c>
      <c r="L3038" s="6" t="str">
        <f t="shared" si="295"/>
        <v>YT OPTİMA BAZA  160x200</v>
      </c>
      <c r="M3038" s="12">
        <v>0.1</v>
      </c>
      <c r="N3038" s="12">
        <v>0.1</v>
      </c>
      <c r="O3038" s="8">
        <v>7550</v>
      </c>
      <c r="P3038" s="8">
        <f t="shared" si="296"/>
        <v>6795</v>
      </c>
      <c r="Q3038" s="12">
        <f t="shared" si="297"/>
        <v>14269.5</v>
      </c>
      <c r="R3038" s="31">
        <f t="shared" si="298"/>
        <v>14200</v>
      </c>
    </row>
    <row r="3039" spans="1:18" ht="21.95" customHeight="1" x14ac:dyDescent="0.2">
      <c r="A3039" s="6" t="s">
        <v>943</v>
      </c>
      <c r="B3039" s="6" t="s">
        <v>1596</v>
      </c>
      <c r="C3039" s="6" t="s">
        <v>1088</v>
      </c>
      <c r="D3039" s="6" t="s">
        <v>989</v>
      </c>
      <c r="E3039" s="6"/>
      <c r="G3039" s="6">
        <v>180</v>
      </c>
      <c r="H3039" s="6">
        <v>200</v>
      </c>
      <c r="K3039" s="7">
        <v>44007210</v>
      </c>
      <c r="L3039" s="6" t="str">
        <f t="shared" si="295"/>
        <v>YT OPTİMA BAZA  180x200</v>
      </c>
      <c r="M3039" s="12">
        <v>0.1</v>
      </c>
      <c r="N3039" s="12">
        <v>0.1</v>
      </c>
      <c r="O3039" s="8">
        <v>8300</v>
      </c>
      <c r="P3039" s="8">
        <f t="shared" si="296"/>
        <v>7470</v>
      </c>
      <c r="Q3039" s="12">
        <f t="shared" si="297"/>
        <v>15687</v>
      </c>
      <c r="R3039" s="31">
        <f t="shared" si="298"/>
        <v>15600</v>
      </c>
    </row>
    <row r="3040" spans="1:18" ht="21.95" customHeight="1" x14ac:dyDescent="0.2">
      <c r="A3040" s="6" t="s">
        <v>943</v>
      </c>
      <c r="B3040" s="6" t="s">
        <v>1596</v>
      </c>
      <c r="C3040" s="6" t="s">
        <v>1088</v>
      </c>
      <c r="D3040" s="6" t="s">
        <v>989</v>
      </c>
      <c r="E3040" s="6"/>
      <c r="G3040" s="6">
        <v>200</v>
      </c>
      <c r="H3040" s="6">
        <v>200</v>
      </c>
      <c r="K3040" s="7">
        <v>44007211</v>
      </c>
      <c r="L3040" s="6" t="str">
        <f t="shared" si="295"/>
        <v>YT OPTİMA BAZA  200x200</v>
      </c>
      <c r="M3040" s="12">
        <v>0.1</v>
      </c>
      <c r="N3040" s="12">
        <v>0.1</v>
      </c>
      <c r="O3040" s="8">
        <v>8700</v>
      </c>
      <c r="P3040" s="8">
        <f t="shared" si="296"/>
        <v>7830</v>
      </c>
      <c r="Q3040" s="12">
        <f t="shared" si="297"/>
        <v>16443</v>
      </c>
      <c r="R3040" s="31">
        <f t="shared" si="298"/>
        <v>16400</v>
      </c>
    </row>
    <row r="3041" spans="1:18" ht="21.95" customHeight="1" x14ac:dyDescent="0.2">
      <c r="A3041" s="6" t="s">
        <v>943</v>
      </c>
      <c r="B3041" s="6" t="s">
        <v>1596</v>
      </c>
      <c r="C3041" s="6" t="s">
        <v>1089</v>
      </c>
      <c r="D3041" s="6" t="s">
        <v>950</v>
      </c>
      <c r="E3041" s="6"/>
      <c r="G3041" s="6">
        <v>90</v>
      </c>
      <c r="H3041" s="6">
        <v>190</v>
      </c>
      <c r="K3041" s="7">
        <v>44007212</v>
      </c>
      <c r="L3041" s="6" t="str">
        <f t="shared" si="295"/>
        <v>YT TERRA BAŞLIK 90x190</v>
      </c>
      <c r="M3041" s="12">
        <v>0.1</v>
      </c>
      <c r="N3041" s="12">
        <v>0.1</v>
      </c>
      <c r="O3041" s="8">
        <v>4340</v>
      </c>
      <c r="P3041" s="8">
        <f t="shared" si="296"/>
        <v>3906</v>
      </c>
      <c r="Q3041" s="12">
        <f t="shared" si="297"/>
        <v>8202.6</v>
      </c>
      <c r="R3041" s="31">
        <f t="shared" si="298"/>
        <v>8200</v>
      </c>
    </row>
    <row r="3042" spans="1:18" ht="21.95" customHeight="1" x14ac:dyDescent="0.2">
      <c r="A3042" s="6" t="s">
        <v>943</v>
      </c>
      <c r="B3042" s="6" t="s">
        <v>1596</v>
      </c>
      <c r="C3042" s="6" t="s">
        <v>1089</v>
      </c>
      <c r="D3042" s="6" t="s">
        <v>950</v>
      </c>
      <c r="E3042" s="6"/>
      <c r="G3042" s="6">
        <v>90</v>
      </c>
      <c r="H3042" s="6">
        <v>200</v>
      </c>
      <c r="K3042" s="7">
        <v>44007213</v>
      </c>
      <c r="L3042" s="6" t="str">
        <f t="shared" si="295"/>
        <v>YT TERRA BAŞLIK 90x200</v>
      </c>
      <c r="M3042" s="12">
        <v>0.1</v>
      </c>
      <c r="N3042" s="12">
        <v>0.1</v>
      </c>
      <c r="O3042" s="8">
        <v>4340</v>
      </c>
      <c r="P3042" s="8">
        <f t="shared" si="296"/>
        <v>3906</v>
      </c>
      <c r="Q3042" s="12">
        <f t="shared" si="297"/>
        <v>8202.6</v>
      </c>
      <c r="R3042" s="31">
        <f t="shared" si="298"/>
        <v>8200</v>
      </c>
    </row>
    <row r="3043" spans="1:18" ht="21.95" customHeight="1" x14ac:dyDescent="0.2">
      <c r="A3043" s="6" t="s">
        <v>943</v>
      </c>
      <c r="B3043" s="6" t="s">
        <v>1596</v>
      </c>
      <c r="C3043" s="6" t="s">
        <v>1089</v>
      </c>
      <c r="D3043" s="6" t="s">
        <v>950</v>
      </c>
      <c r="E3043" s="6"/>
      <c r="G3043" s="6">
        <v>100</v>
      </c>
      <c r="H3043" s="6">
        <v>200</v>
      </c>
      <c r="K3043" s="7">
        <v>44007214</v>
      </c>
      <c r="L3043" s="6" t="str">
        <f t="shared" si="295"/>
        <v>YT TERRA BAŞLIK 100x200</v>
      </c>
      <c r="M3043" s="12">
        <v>0.1</v>
      </c>
      <c r="N3043" s="12">
        <v>0.1</v>
      </c>
      <c r="O3043" s="8">
        <v>4670</v>
      </c>
      <c r="P3043" s="8">
        <f t="shared" si="296"/>
        <v>4203</v>
      </c>
      <c r="Q3043" s="12">
        <f t="shared" si="297"/>
        <v>8826.3000000000011</v>
      </c>
      <c r="R3043" s="31">
        <f t="shared" si="298"/>
        <v>8800</v>
      </c>
    </row>
    <row r="3044" spans="1:18" ht="21.95" customHeight="1" x14ac:dyDescent="0.2">
      <c r="A3044" s="6" t="s">
        <v>943</v>
      </c>
      <c r="B3044" s="6" t="s">
        <v>1596</v>
      </c>
      <c r="C3044" s="6" t="s">
        <v>1089</v>
      </c>
      <c r="D3044" s="6" t="s">
        <v>950</v>
      </c>
      <c r="E3044" s="6"/>
      <c r="G3044" s="6">
        <v>120</v>
      </c>
      <c r="H3044" s="6">
        <v>200</v>
      </c>
      <c r="K3044" s="7">
        <v>44007215</v>
      </c>
      <c r="L3044" s="6" t="str">
        <f t="shared" si="295"/>
        <v>YT TERRA BAŞLIK 120x200</v>
      </c>
      <c r="M3044" s="12">
        <v>0.1</v>
      </c>
      <c r="N3044" s="12">
        <v>0.1</v>
      </c>
      <c r="O3044" s="8">
        <v>4940</v>
      </c>
      <c r="P3044" s="8">
        <f t="shared" si="296"/>
        <v>4446</v>
      </c>
      <c r="Q3044" s="12">
        <f t="shared" si="297"/>
        <v>9336.6</v>
      </c>
      <c r="R3044" s="31">
        <f t="shared" si="298"/>
        <v>9300</v>
      </c>
    </row>
    <row r="3045" spans="1:18" ht="21.95" customHeight="1" x14ac:dyDescent="0.2">
      <c r="A3045" s="6" t="s">
        <v>943</v>
      </c>
      <c r="B3045" s="6" t="s">
        <v>1596</v>
      </c>
      <c r="C3045" s="6" t="s">
        <v>1089</v>
      </c>
      <c r="D3045" s="6" t="s">
        <v>950</v>
      </c>
      <c r="E3045" s="6"/>
      <c r="G3045" s="6">
        <v>140</v>
      </c>
      <c r="H3045" s="6">
        <v>190</v>
      </c>
      <c r="K3045" s="7">
        <v>44007216</v>
      </c>
      <c r="L3045" s="6" t="str">
        <f t="shared" si="295"/>
        <v>YT TERRA BAŞLIK 140x190</v>
      </c>
      <c r="M3045" s="12">
        <v>0.1</v>
      </c>
      <c r="N3045" s="12">
        <v>0.1</v>
      </c>
      <c r="O3045" s="8">
        <v>5280</v>
      </c>
      <c r="P3045" s="8">
        <f t="shared" si="296"/>
        <v>4752</v>
      </c>
      <c r="Q3045" s="12">
        <f t="shared" si="297"/>
        <v>9979.2000000000007</v>
      </c>
      <c r="R3045" s="31">
        <f t="shared" si="298"/>
        <v>9900</v>
      </c>
    </row>
    <row r="3046" spans="1:18" ht="21.95" customHeight="1" x14ac:dyDescent="0.2">
      <c r="A3046" s="6" t="s">
        <v>943</v>
      </c>
      <c r="B3046" s="6" t="s">
        <v>1596</v>
      </c>
      <c r="C3046" s="6" t="s">
        <v>1089</v>
      </c>
      <c r="D3046" s="6" t="s">
        <v>950</v>
      </c>
      <c r="E3046" s="6"/>
      <c r="G3046" s="6">
        <v>140</v>
      </c>
      <c r="H3046" s="6">
        <v>200</v>
      </c>
      <c r="K3046" s="7">
        <v>44007217</v>
      </c>
      <c r="L3046" s="6" t="str">
        <f t="shared" si="295"/>
        <v>YT TERRA BAŞLIK 140x200</v>
      </c>
      <c r="M3046" s="12">
        <v>0.1</v>
      </c>
      <c r="N3046" s="12">
        <v>0.1</v>
      </c>
      <c r="O3046" s="8">
        <v>5280</v>
      </c>
      <c r="P3046" s="8">
        <f t="shared" si="296"/>
        <v>4752</v>
      </c>
      <c r="Q3046" s="12">
        <f t="shared" si="297"/>
        <v>9979.2000000000007</v>
      </c>
      <c r="R3046" s="31">
        <f t="shared" si="298"/>
        <v>9900</v>
      </c>
    </row>
    <row r="3047" spans="1:18" ht="21.95" customHeight="1" x14ac:dyDescent="0.2">
      <c r="A3047" s="6" t="s">
        <v>943</v>
      </c>
      <c r="B3047" s="6" t="s">
        <v>1596</v>
      </c>
      <c r="C3047" s="6" t="s">
        <v>1089</v>
      </c>
      <c r="D3047" s="6" t="s">
        <v>950</v>
      </c>
      <c r="E3047" s="6"/>
      <c r="G3047" s="6">
        <v>150</v>
      </c>
      <c r="H3047" s="6">
        <v>200</v>
      </c>
      <c r="K3047" s="7">
        <v>44007218</v>
      </c>
      <c r="L3047" s="6" t="str">
        <f t="shared" si="295"/>
        <v>YT TERRA BAŞLIK 150x200</v>
      </c>
      <c r="M3047" s="12">
        <v>0.1</v>
      </c>
      <c r="N3047" s="12">
        <v>0.1</v>
      </c>
      <c r="O3047" s="8">
        <v>5690</v>
      </c>
      <c r="P3047" s="8">
        <f t="shared" si="296"/>
        <v>5121</v>
      </c>
      <c r="Q3047" s="12">
        <f t="shared" si="297"/>
        <v>10754.1</v>
      </c>
      <c r="R3047" s="31">
        <f t="shared" si="298"/>
        <v>10700</v>
      </c>
    </row>
    <row r="3048" spans="1:18" ht="21.95" customHeight="1" x14ac:dyDescent="0.2">
      <c r="A3048" s="6" t="s">
        <v>943</v>
      </c>
      <c r="B3048" s="6" t="s">
        <v>1596</v>
      </c>
      <c r="C3048" s="6" t="s">
        <v>1089</v>
      </c>
      <c r="D3048" s="6" t="s">
        <v>950</v>
      </c>
      <c r="E3048" s="6"/>
      <c r="G3048" s="6">
        <v>160</v>
      </c>
      <c r="H3048" s="6">
        <v>200</v>
      </c>
      <c r="K3048" s="7">
        <v>44007219</v>
      </c>
      <c r="L3048" s="6" t="str">
        <f t="shared" si="295"/>
        <v>YT TERRA BAŞLIK 160x200</v>
      </c>
      <c r="M3048" s="12">
        <v>0.1</v>
      </c>
      <c r="N3048" s="12">
        <v>0.1</v>
      </c>
      <c r="O3048" s="8">
        <v>6070</v>
      </c>
      <c r="P3048" s="8">
        <f t="shared" si="296"/>
        <v>5463</v>
      </c>
      <c r="Q3048" s="12">
        <f t="shared" si="297"/>
        <v>11472.300000000001</v>
      </c>
      <c r="R3048" s="31">
        <f t="shared" si="298"/>
        <v>11400</v>
      </c>
    </row>
    <row r="3049" spans="1:18" ht="21.95" customHeight="1" x14ac:dyDescent="0.2">
      <c r="A3049" s="6" t="s">
        <v>943</v>
      </c>
      <c r="B3049" s="6" t="s">
        <v>1596</v>
      </c>
      <c r="C3049" s="6" t="s">
        <v>1089</v>
      </c>
      <c r="D3049" s="6" t="s">
        <v>950</v>
      </c>
      <c r="E3049" s="6"/>
      <c r="G3049" s="6">
        <v>180</v>
      </c>
      <c r="H3049" s="6">
        <v>200</v>
      </c>
      <c r="K3049" s="7">
        <v>44007220</v>
      </c>
      <c r="L3049" s="6" t="str">
        <f t="shared" si="295"/>
        <v>YT TERRA BAŞLIK 180x200</v>
      </c>
      <c r="M3049" s="12">
        <v>0.1</v>
      </c>
      <c r="N3049" s="12">
        <v>0.1</v>
      </c>
      <c r="O3049" s="8">
        <v>7150</v>
      </c>
      <c r="P3049" s="8">
        <f t="shared" si="296"/>
        <v>6435</v>
      </c>
      <c r="Q3049" s="12">
        <f t="shared" si="297"/>
        <v>13513.5</v>
      </c>
      <c r="R3049" s="31">
        <f t="shared" si="298"/>
        <v>13500</v>
      </c>
    </row>
    <row r="3050" spans="1:18" ht="21.95" customHeight="1" x14ac:dyDescent="0.2">
      <c r="A3050" s="6" t="s">
        <v>943</v>
      </c>
      <c r="B3050" s="6" t="s">
        <v>1596</v>
      </c>
      <c r="C3050" s="6" t="s">
        <v>1089</v>
      </c>
      <c r="D3050" s="6" t="s">
        <v>950</v>
      </c>
      <c r="E3050" s="6"/>
      <c r="G3050" s="6">
        <v>200</v>
      </c>
      <c r="H3050" s="6">
        <v>200</v>
      </c>
      <c r="K3050" s="7">
        <v>44007221</v>
      </c>
      <c r="L3050" s="6" t="str">
        <f t="shared" si="295"/>
        <v>YT TERRA BAŞLIK 200x200</v>
      </c>
      <c r="M3050" s="12">
        <v>0.1</v>
      </c>
      <c r="N3050" s="12">
        <v>0.1</v>
      </c>
      <c r="O3050" s="8">
        <v>7880</v>
      </c>
      <c r="P3050" s="8">
        <f t="shared" si="296"/>
        <v>7092</v>
      </c>
      <c r="Q3050" s="12">
        <f t="shared" si="297"/>
        <v>14893.2</v>
      </c>
      <c r="R3050" s="31">
        <f t="shared" si="298"/>
        <v>14800</v>
      </c>
    </row>
    <row r="3051" spans="1:18" ht="21.95" customHeight="1" x14ac:dyDescent="0.2">
      <c r="A3051" s="6" t="s">
        <v>943</v>
      </c>
      <c r="B3051" s="6" t="s">
        <v>1596</v>
      </c>
      <c r="C3051" s="6" t="s">
        <v>1090</v>
      </c>
      <c r="D3051" s="6" t="s">
        <v>943</v>
      </c>
      <c r="E3051" s="6"/>
      <c r="G3051" s="6">
        <v>90</v>
      </c>
      <c r="H3051" s="6">
        <v>190</v>
      </c>
      <c r="K3051" s="7">
        <v>44007222</v>
      </c>
      <c r="L3051" s="6" t="str">
        <f t="shared" si="295"/>
        <v>YT CROWN  YATAK  90x190</v>
      </c>
      <c r="M3051" s="12">
        <v>0.1</v>
      </c>
      <c r="N3051" s="12">
        <v>0.1</v>
      </c>
      <c r="O3051" s="8">
        <v>7070</v>
      </c>
      <c r="P3051" s="8">
        <f t="shared" si="296"/>
        <v>6363</v>
      </c>
      <c r="Q3051" s="12">
        <f t="shared" si="297"/>
        <v>13362.300000000001</v>
      </c>
      <c r="R3051" s="31">
        <f t="shared" si="298"/>
        <v>13300</v>
      </c>
    </row>
    <row r="3052" spans="1:18" ht="21.95" customHeight="1" x14ac:dyDescent="0.2">
      <c r="A3052" s="6" t="s">
        <v>943</v>
      </c>
      <c r="B3052" s="6" t="s">
        <v>1596</v>
      </c>
      <c r="C3052" s="6" t="s">
        <v>1090</v>
      </c>
      <c r="D3052" s="6" t="s">
        <v>943</v>
      </c>
      <c r="E3052" s="6"/>
      <c r="G3052" s="6">
        <v>90</v>
      </c>
      <c r="H3052" s="6">
        <v>200</v>
      </c>
      <c r="K3052" s="7">
        <v>44007223</v>
      </c>
      <c r="L3052" s="6" t="str">
        <f t="shared" si="295"/>
        <v>YT CROWN  YATAK  90x200</v>
      </c>
      <c r="M3052" s="12">
        <v>0.1</v>
      </c>
      <c r="N3052" s="12">
        <v>0.1</v>
      </c>
      <c r="O3052" s="8">
        <v>7330</v>
      </c>
      <c r="P3052" s="8">
        <f t="shared" si="296"/>
        <v>6597</v>
      </c>
      <c r="Q3052" s="12">
        <f t="shared" si="297"/>
        <v>13853.7</v>
      </c>
      <c r="R3052" s="31">
        <f t="shared" si="298"/>
        <v>13800</v>
      </c>
    </row>
    <row r="3053" spans="1:18" ht="21.95" customHeight="1" x14ac:dyDescent="0.2">
      <c r="A3053" s="6" t="s">
        <v>943</v>
      </c>
      <c r="B3053" s="6" t="s">
        <v>1596</v>
      </c>
      <c r="C3053" s="6" t="s">
        <v>1090</v>
      </c>
      <c r="D3053" s="6" t="s">
        <v>943</v>
      </c>
      <c r="E3053" s="6"/>
      <c r="G3053" s="6">
        <v>100</v>
      </c>
      <c r="H3053" s="6">
        <v>200</v>
      </c>
      <c r="K3053" s="7">
        <v>44007224</v>
      </c>
      <c r="L3053" s="6" t="str">
        <f t="shared" si="295"/>
        <v>YT CROWN  YATAK  100x200</v>
      </c>
      <c r="M3053" s="12">
        <v>0.1</v>
      </c>
      <c r="N3053" s="12">
        <v>0.1</v>
      </c>
      <c r="O3053" s="8">
        <v>7590</v>
      </c>
      <c r="P3053" s="8">
        <f t="shared" si="296"/>
        <v>6831</v>
      </c>
      <c r="Q3053" s="12">
        <f t="shared" si="297"/>
        <v>14345.1</v>
      </c>
      <c r="R3053" s="31">
        <f t="shared" si="298"/>
        <v>14300</v>
      </c>
    </row>
    <row r="3054" spans="1:18" ht="21.95" customHeight="1" x14ac:dyDescent="0.2">
      <c r="A3054" s="6" t="s">
        <v>943</v>
      </c>
      <c r="B3054" s="6" t="s">
        <v>1596</v>
      </c>
      <c r="C3054" s="6" t="s">
        <v>1090</v>
      </c>
      <c r="D3054" s="6" t="s">
        <v>943</v>
      </c>
      <c r="E3054" s="6"/>
      <c r="G3054" s="6">
        <v>120</v>
      </c>
      <c r="H3054" s="6">
        <v>200</v>
      </c>
      <c r="K3054" s="7">
        <v>44007225</v>
      </c>
      <c r="L3054" s="6" t="str">
        <f t="shared" si="295"/>
        <v>YT CROWN  YATAK  120x200</v>
      </c>
      <c r="M3054" s="12">
        <v>0.1</v>
      </c>
      <c r="N3054" s="12">
        <v>0.1</v>
      </c>
      <c r="O3054" s="8">
        <v>9220</v>
      </c>
      <c r="P3054" s="8">
        <f t="shared" si="296"/>
        <v>8298</v>
      </c>
      <c r="Q3054" s="12">
        <f t="shared" si="297"/>
        <v>17425.8</v>
      </c>
      <c r="R3054" s="31">
        <f t="shared" si="298"/>
        <v>17400</v>
      </c>
    </row>
    <row r="3055" spans="1:18" ht="21.95" customHeight="1" x14ac:dyDescent="0.2">
      <c r="A3055" s="6" t="s">
        <v>943</v>
      </c>
      <c r="B3055" s="6" t="s">
        <v>1596</v>
      </c>
      <c r="C3055" s="6" t="s">
        <v>1090</v>
      </c>
      <c r="D3055" s="6" t="s">
        <v>943</v>
      </c>
      <c r="E3055" s="6"/>
      <c r="G3055" s="6">
        <v>140</v>
      </c>
      <c r="H3055" s="6">
        <v>190</v>
      </c>
      <c r="K3055" s="7">
        <v>44007226</v>
      </c>
      <c r="L3055" s="6" t="str">
        <f t="shared" si="295"/>
        <v>YT CROWN  YATAK  140x190</v>
      </c>
      <c r="M3055" s="12">
        <v>0.1</v>
      </c>
      <c r="N3055" s="12">
        <v>0.1</v>
      </c>
      <c r="O3055" s="8">
        <v>10400</v>
      </c>
      <c r="P3055" s="8">
        <f t="shared" si="296"/>
        <v>9360</v>
      </c>
      <c r="Q3055" s="12">
        <f t="shared" si="297"/>
        <v>19656</v>
      </c>
      <c r="R3055" s="31">
        <f t="shared" si="298"/>
        <v>19600</v>
      </c>
    </row>
    <row r="3056" spans="1:18" ht="21.95" customHeight="1" x14ac:dyDescent="0.2">
      <c r="A3056" s="6" t="s">
        <v>943</v>
      </c>
      <c r="B3056" s="6" t="s">
        <v>1596</v>
      </c>
      <c r="C3056" s="6" t="s">
        <v>1090</v>
      </c>
      <c r="D3056" s="6" t="s">
        <v>943</v>
      </c>
      <c r="E3056" s="6"/>
      <c r="G3056" s="6">
        <v>140</v>
      </c>
      <c r="H3056" s="6">
        <v>200</v>
      </c>
      <c r="K3056" s="7">
        <v>44007227</v>
      </c>
      <c r="L3056" s="6" t="str">
        <f t="shared" si="295"/>
        <v>YT CROWN  YATAK  140x200</v>
      </c>
      <c r="M3056" s="12">
        <v>0.1</v>
      </c>
      <c r="N3056" s="12">
        <v>0.1</v>
      </c>
      <c r="O3056" s="8">
        <v>10870</v>
      </c>
      <c r="P3056" s="8">
        <f t="shared" si="296"/>
        <v>9783</v>
      </c>
      <c r="Q3056" s="12">
        <f t="shared" si="297"/>
        <v>20544.3</v>
      </c>
      <c r="R3056" s="31">
        <f t="shared" si="298"/>
        <v>20500</v>
      </c>
    </row>
    <row r="3057" spans="1:18" ht="21.95" customHeight="1" x14ac:dyDescent="0.2">
      <c r="A3057" s="6" t="s">
        <v>943</v>
      </c>
      <c r="B3057" s="6" t="s">
        <v>1596</v>
      </c>
      <c r="C3057" s="6" t="s">
        <v>1090</v>
      </c>
      <c r="D3057" s="6" t="s">
        <v>943</v>
      </c>
      <c r="E3057" s="6"/>
      <c r="G3057" s="6">
        <v>150</v>
      </c>
      <c r="H3057" s="6">
        <v>200</v>
      </c>
      <c r="K3057" s="7">
        <v>44007228</v>
      </c>
      <c r="L3057" s="6" t="str">
        <f t="shared" si="295"/>
        <v>YT CROWN  YATAK  150x200</v>
      </c>
      <c r="M3057" s="12">
        <v>0.1</v>
      </c>
      <c r="N3057" s="12">
        <v>0.1</v>
      </c>
      <c r="O3057" s="8">
        <v>11650</v>
      </c>
      <c r="P3057" s="8">
        <f t="shared" si="296"/>
        <v>10485</v>
      </c>
      <c r="Q3057" s="12">
        <f t="shared" si="297"/>
        <v>22018.5</v>
      </c>
      <c r="R3057" s="31">
        <f t="shared" si="298"/>
        <v>22000</v>
      </c>
    </row>
    <row r="3058" spans="1:18" ht="21.95" customHeight="1" x14ac:dyDescent="0.2">
      <c r="A3058" s="6" t="s">
        <v>943</v>
      </c>
      <c r="B3058" s="6" t="s">
        <v>1596</v>
      </c>
      <c r="C3058" s="6" t="s">
        <v>1090</v>
      </c>
      <c r="D3058" s="6" t="s">
        <v>943</v>
      </c>
      <c r="E3058" s="6"/>
      <c r="G3058" s="6">
        <v>160</v>
      </c>
      <c r="H3058" s="6">
        <v>200</v>
      </c>
      <c r="K3058" s="7">
        <v>44007229</v>
      </c>
      <c r="L3058" s="6" t="str">
        <f t="shared" si="295"/>
        <v>YT CROWN  YATAK  160x200</v>
      </c>
      <c r="M3058" s="12">
        <v>0.1</v>
      </c>
      <c r="N3058" s="12">
        <v>0.1</v>
      </c>
      <c r="O3058" s="8">
        <v>12480</v>
      </c>
      <c r="P3058" s="8">
        <f t="shared" si="296"/>
        <v>11232</v>
      </c>
      <c r="Q3058" s="12">
        <f t="shared" si="297"/>
        <v>23587.200000000001</v>
      </c>
      <c r="R3058" s="31">
        <f t="shared" si="298"/>
        <v>23500</v>
      </c>
    </row>
    <row r="3059" spans="1:18" ht="21.95" customHeight="1" x14ac:dyDescent="0.2">
      <c r="A3059" s="6" t="s">
        <v>943</v>
      </c>
      <c r="B3059" s="6" t="s">
        <v>1596</v>
      </c>
      <c r="C3059" s="6" t="s">
        <v>1090</v>
      </c>
      <c r="D3059" s="6" t="s">
        <v>943</v>
      </c>
      <c r="E3059" s="6"/>
      <c r="G3059" s="6">
        <v>180</v>
      </c>
      <c r="H3059" s="6">
        <v>200</v>
      </c>
      <c r="K3059" s="7">
        <v>44007230</v>
      </c>
      <c r="L3059" s="6" t="str">
        <f t="shared" si="295"/>
        <v>YT CROWN  YATAK  180x200</v>
      </c>
      <c r="M3059" s="12">
        <v>0.1</v>
      </c>
      <c r="N3059" s="12">
        <v>0.1</v>
      </c>
      <c r="O3059" s="8">
        <v>13430</v>
      </c>
      <c r="P3059" s="8">
        <f t="shared" si="296"/>
        <v>12087</v>
      </c>
      <c r="Q3059" s="12">
        <f t="shared" si="297"/>
        <v>25382.7</v>
      </c>
      <c r="R3059" s="31">
        <f t="shared" si="298"/>
        <v>25300</v>
      </c>
    </row>
    <row r="3060" spans="1:18" ht="21.95" customHeight="1" x14ac:dyDescent="0.2">
      <c r="A3060" s="6" t="s">
        <v>943</v>
      </c>
      <c r="B3060" s="6" t="s">
        <v>1596</v>
      </c>
      <c r="C3060" s="6" t="s">
        <v>1090</v>
      </c>
      <c r="D3060" s="6" t="s">
        <v>943</v>
      </c>
      <c r="E3060" s="6"/>
      <c r="G3060" s="6">
        <v>200</v>
      </c>
      <c r="H3060" s="6">
        <v>200</v>
      </c>
      <c r="K3060" s="7">
        <v>44007231</v>
      </c>
      <c r="L3060" s="6" t="str">
        <f t="shared" si="295"/>
        <v>YT CROWN  YATAK  200x200</v>
      </c>
      <c r="M3060" s="12">
        <v>0.1</v>
      </c>
      <c r="N3060" s="12">
        <v>0.1</v>
      </c>
      <c r="O3060" s="8">
        <v>16810</v>
      </c>
      <c r="P3060" s="8">
        <f t="shared" si="296"/>
        <v>15129</v>
      </c>
      <c r="Q3060" s="12">
        <f t="shared" si="297"/>
        <v>31770.9</v>
      </c>
      <c r="R3060" s="31">
        <f t="shared" si="298"/>
        <v>31700</v>
      </c>
    </row>
    <row r="3061" spans="1:18" ht="21.95" customHeight="1" x14ac:dyDescent="0.2">
      <c r="A3061" s="6" t="s">
        <v>943</v>
      </c>
      <c r="B3061" s="6" t="s">
        <v>1596</v>
      </c>
      <c r="C3061" s="6" t="s">
        <v>1091</v>
      </c>
      <c r="D3061" s="6" t="s">
        <v>945</v>
      </c>
      <c r="E3061" s="6"/>
      <c r="G3061" s="6">
        <v>90</v>
      </c>
      <c r="H3061" s="6">
        <v>190</v>
      </c>
      <c r="K3061" s="7">
        <v>44007232</v>
      </c>
      <c r="L3061" s="6" t="str">
        <f t="shared" si="295"/>
        <v>YT ERGO  BAZA 90x190</v>
      </c>
      <c r="M3061" s="12">
        <v>0.1</v>
      </c>
      <c r="N3061" s="12">
        <v>0.1</v>
      </c>
      <c r="O3061" s="8">
        <v>4200</v>
      </c>
      <c r="P3061" s="8">
        <f t="shared" si="296"/>
        <v>3780</v>
      </c>
      <c r="Q3061" s="12">
        <f t="shared" si="297"/>
        <v>7938</v>
      </c>
      <c r="R3061" s="31">
        <f t="shared" si="298"/>
        <v>7900</v>
      </c>
    </row>
    <row r="3062" spans="1:18" ht="21.95" customHeight="1" x14ac:dyDescent="0.2">
      <c r="A3062" s="6" t="s">
        <v>943</v>
      </c>
      <c r="B3062" s="6" t="s">
        <v>1596</v>
      </c>
      <c r="C3062" s="6" t="s">
        <v>1091</v>
      </c>
      <c r="D3062" s="6" t="s">
        <v>945</v>
      </c>
      <c r="E3062" s="6"/>
      <c r="G3062" s="6">
        <v>90</v>
      </c>
      <c r="H3062" s="6">
        <v>200</v>
      </c>
      <c r="K3062" s="7">
        <v>44007233</v>
      </c>
      <c r="L3062" s="6" t="str">
        <f t="shared" si="295"/>
        <v>YT ERGO  BAZA 90x200</v>
      </c>
      <c r="M3062" s="12">
        <v>0.1</v>
      </c>
      <c r="N3062" s="12">
        <v>0.1</v>
      </c>
      <c r="O3062" s="8">
        <v>4300</v>
      </c>
      <c r="P3062" s="8">
        <f t="shared" si="296"/>
        <v>3870</v>
      </c>
      <c r="Q3062" s="12">
        <f t="shared" si="297"/>
        <v>8127</v>
      </c>
      <c r="R3062" s="31">
        <f t="shared" si="298"/>
        <v>8100</v>
      </c>
    </row>
    <row r="3063" spans="1:18" ht="21.95" customHeight="1" x14ac:dyDescent="0.2">
      <c r="A3063" s="6" t="s">
        <v>943</v>
      </c>
      <c r="B3063" s="6" t="s">
        <v>1596</v>
      </c>
      <c r="C3063" s="6" t="s">
        <v>1091</v>
      </c>
      <c r="D3063" s="6" t="s">
        <v>945</v>
      </c>
      <c r="E3063" s="6"/>
      <c r="G3063" s="6">
        <v>100</v>
      </c>
      <c r="H3063" s="6">
        <v>200</v>
      </c>
      <c r="K3063" s="7">
        <v>44007234</v>
      </c>
      <c r="L3063" s="6" t="str">
        <f t="shared" si="295"/>
        <v>YT ERGO  BAZA 100x200</v>
      </c>
      <c r="M3063" s="12">
        <v>0.1</v>
      </c>
      <c r="N3063" s="12">
        <v>0.1</v>
      </c>
      <c r="O3063" s="8">
        <v>4500</v>
      </c>
      <c r="P3063" s="8">
        <f t="shared" si="296"/>
        <v>4050</v>
      </c>
      <c r="Q3063" s="12">
        <f t="shared" si="297"/>
        <v>8505</v>
      </c>
      <c r="R3063" s="31">
        <f t="shared" si="298"/>
        <v>8500</v>
      </c>
    </row>
    <row r="3064" spans="1:18" ht="21.95" customHeight="1" x14ac:dyDescent="0.2">
      <c r="A3064" s="6" t="s">
        <v>943</v>
      </c>
      <c r="B3064" s="6" t="s">
        <v>1596</v>
      </c>
      <c r="C3064" s="6" t="s">
        <v>1091</v>
      </c>
      <c r="D3064" s="6" t="s">
        <v>945</v>
      </c>
      <c r="E3064" s="6"/>
      <c r="G3064" s="6">
        <v>160</v>
      </c>
      <c r="H3064" s="6">
        <v>200</v>
      </c>
      <c r="K3064" s="7">
        <v>44007235</v>
      </c>
      <c r="L3064" s="6" t="str">
        <f t="shared" si="295"/>
        <v>YT ERGO  BAZA 160x200</v>
      </c>
      <c r="M3064" s="12">
        <v>0.1</v>
      </c>
      <c r="N3064" s="12">
        <v>0.1</v>
      </c>
      <c r="O3064" s="8">
        <v>7800</v>
      </c>
      <c r="P3064" s="8">
        <f t="shared" si="296"/>
        <v>7020</v>
      </c>
      <c r="Q3064" s="12">
        <f t="shared" si="297"/>
        <v>14742</v>
      </c>
      <c r="R3064" s="31">
        <f t="shared" si="298"/>
        <v>14700</v>
      </c>
    </row>
    <row r="3065" spans="1:18" ht="21.95" customHeight="1" x14ac:dyDescent="0.2">
      <c r="A3065" s="6" t="s">
        <v>943</v>
      </c>
      <c r="B3065" s="6" t="s">
        <v>1596</v>
      </c>
      <c r="C3065" s="6" t="s">
        <v>1091</v>
      </c>
      <c r="D3065" s="6" t="s">
        <v>945</v>
      </c>
      <c r="E3065" s="6"/>
      <c r="G3065" s="6">
        <v>180</v>
      </c>
      <c r="H3065" s="6">
        <v>200</v>
      </c>
      <c r="K3065" s="7">
        <v>44007236</v>
      </c>
      <c r="L3065" s="6" t="str">
        <f t="shared" si="295"/>
        <v>YT ERGO  BAZA 180x200</v>
      </c>
      <c r="M3065" s="12">
        <v>0.1</v>
      </c>
      <c r="N3065" s="12">
        <v>0.1</v>
      </c>
      <c r="O3065" s="8">
        <v>8570</v>
      </c>
      <c r="P3065" s="8">
        <f t="shared" si="296"/>
        <v>7713</v>
      </c>
      <c r="Q3065" s="12">
        <f t="shared" si="297"/>
        <v>16197.300000000001</v>
      </c>
      <c r="R3065" s="31">
        <f t="shared" si="298"/>
        <v>16100</v>
      </c>
    </row>
    <row r="3066" spans="1:18" ht="21.95" customHeight="1" x14ac:dyDescent="0.2">
      <c r="A3066" s="6" t="s">
        <v>943</v>
      </c>
      <c r="B3066" s="6" t="s">
        <v>1596</v>
      </c>
      <c r="C3066" s="6" t="s">
        <v>486</v>
      </c>
      <c r="D3066" s="6" t="s">
        <v>989</v>
      </c>
      <c r="E3066" s="6"/>
      <c r="G3066" s="6">
        <v>90</v>
      </c>
      <c r="H3066" s="6">
        <v>190</v>
      </c>
      <c r="K3066" s="7">
        <v>44007237</v>
      </c>
      <c r="L3066" s="6" t="str">
        <f t="shared" si="295"/>
        <v>YT NOVA BAZA  90x190</v>
      </c>
      <c r="M3066" s="12">
        <v>0.1</v>
      </c>
      <c r="N3066" s="12">
        <v>0.1</v>
      </c>
      <c r="O3066" s="8">
        <v>5530</v>
      </c>
      <c r="P3066" s="8">
        <f t="shared" si="296"/>
        <v>4977</v>
      </c>
      <c r="Q3066" s="12">
        <f t="shared" si="297"/>
        <v>10451.700000000001</v>
      </c>
      <c r="R3066" s="31">
        <f t="shared" si="298"/>
        <v>10400</v>
      </c>
    </row>
    <row r="3067" spans="1:18" ht="21.95" customHeight="1" x14ac:dyDescent="0.2">
      <c r="A3067" s="6" t="s">
        <v>943</v>
      </c>
      <c r="B3067" s="6" t="s">
        <v>1596</v>
      </c>
      <c r="C3067" s="6" t="s">
        <v>486</v>
      </c>
      <c r="D3067" s="6" t="s">
        <v>989</v>
      </c>
      <c r="E3067" s="6"/>
      <c r="G3067" s="6">
        <v>90</v>
      </c>
      <c r="H3067" s="6">
        <v>200</v>
      </c>
      <c r="K3067" s="7">
        <v>44007238</v>
      </c>
      <c r="L3067" s="6" t="str">
        <f t="shared" si="295"/>
        <v>YT NOVA BAZA  90x200</v>
      </c>
      <c r="M3067" s="12">
        <v>0.1</v>
      </c>
      <c r="N3067" s="12">
        <v>0.1</v>
      </c>
      <c r="O3067" s="8">
        <v>5660</v>
      </c>
      <c r="P3067" s="8">
        <f t="shared" si="296"/>
        <v>5094</v>
      </c>
      <c r="Q3067" s="12">
        <f t="shared" si="297"/>
        <v>10697.4</v>
      </c>
      <c r="R3067" s="31">
        <f t="shared" si="298"/>
        <v>10600</v>
      </c>
    </row>
    <row r="3068" spans="1:18" ht="21.95" customHeight="1" x14ac:dyDescent="0.2">
      <c r="A3068" s="6" t="s">
        <v>943</v>
      </c>
      <c r="B3068" s="6" t="s">
        <v>1596</v>
      </c>
      <c r="C3068" s="6" t="s">
        <v>486</v>
      </c>
      <c r="D3068" s="6" t="s">
        <v>989</v>
      </c>
      <c r="E3068" s="6"/>
      <c r="G3068" s="6">
        <v>100</v>
      </c>
      <c r="H3068" s="6">
        <v>200</v>
      </c>
      <c r="K3068" s="7">
        <v>44007239</v>
      </c>
      <c r="L3068" s="6" t="str">
        <f t="shared" si="295"/>
        <v>YT NOVA BAZA  100x200</v>
      </c>
      <c r="M3068" s="12">
        <v>0.1</v>
      </c>
      <c r="N3068" s="12">
        <v>0.1</v>
      </c>
      <c r="O3068" s="8">
        <v>5920</v>
      </c>
      <c r="P3068" s="8">
        <f t="shared" si="296"/>
        <v>5328</v>
      </c>
      <c r="Q3068" s="12">
        <f t="shared" si="297"/>
        <v>11188.800000000001</v>
      </c>
      <c r="R3068" s="31">
        <f t="shared" si="298"/>
        <v>11100</v>
      </c>
    </row>
    <row r="3069" spans="1:18" ht="21.95" customHeight="1" x14ac:dyDescent="0.2">
      <c r="A3069" s="6" t="s">
        <v>943</v>
      </c>
      <c r="B3069" s="6" t="s">
        <v>1596</v>
      </c>
      <c r="C3069" s="6" t="s">
        <v>486</v>
      </c>
      <c r="D3069" s="6" t="s">
        <v>989</v>
      </c>
      <c r="E3069" s="6"/>
      <c r="G3069" s="6">
        <v>120</v>
      </c>
      <c r="H3069" s="6">
        <v>200</v>
      </c>
      <c r="K3069" s="7">
        <v>44007240</v>
      </c>
      <c r="L3069" s="6" t="str">
        <f t="shared" si="295"/>
        <v>YT NOVA BAZA  120x200</v>
      </c>
      <c r="M3069" s="12">
        <v>0.1</v>
      </c>
      <c r="N3069" s="12">
        <v>0.1</v>
      </c>
      <c r="O3069" s="8">
        <v>6860</v>
      </c>
      <c r="P3069" s="8">
        <f t="shared" si="296"/>
        <v>6174</v>
      </c>
      <c r="Q3069" s="12">
        <f t="shared" si="297"/>
        <v>12965.400000000001</v>
      </c>
      <c r="R3069" s="31">
        <f t="shared" si="298"/>
        <v>12900</v>
      </c>
    </row>
    <row r="3070" spans="1:18" ht="21.95" customHeight="1" x14ac:dyDescent="0.2">
      <c r="A3070" s="6" t="s">
        <v>943</v>
      </c>
      <c r="B3070" s="6" t="s">
        <v>1596</v>
      </c>
      <c r="C3070" s="6" t="s">
        <v>486</v>
      </c>
      <c r="D3070" s="6" t="s">
        <v>989</v>
      </c>
      <c r="E3070" s="6"/>
      <c r="G3070" s="6">
        <v>140</v>
      </c>
      <c r="H3070" s="6">
        <v>190</v>
      </c>
      <c r="K3070" s="7">
        <v>44007241</v>
      </c>
      <c r="L3070" s="6" t="str">
        <f t="shared" si="295"/>
        <v>YT NOVA BAZA  140x190</v>
      </c>
      <c r="M3070" s="12">
        <v>0.1</v>
      </c>
      <c r="N3070" s="12">
        <v>0.1</v>
      </c>
      <c r="O3070" s="8">
        <v>9240</v>
      </c>
      <c r="P3070" s="8">
        <f t="shared" si="296"/>
        <v>8316</v>
      </c>
      <c r="Q3070" s="12">
        <f t="shared" si="297"/>
        <v>17463.600000000002</v>
      </c>
      <c r="R3070" s="31">
        <f t="shared" si="298"/>
        <v>17400</v>
      </c>
    </row>
    <row r="3071" spans="1:18" ht="21.95" customHeight="1" x14ac:dyDescent="0.2">
      <c r="A3071" s="6" t="s">
        <v>943</v>
      </c>
      <c r="B3071" s="6" t="s">
        <v>1596</v>
      </c>
      <c r="C3071" s="6" t="s">
        <v>486</v>
      </c>
      <c r="D3071" s="6" t="s">
        <v>989</v>
      </c>
      <c r="E3071" s="6"/>
      <c r="G3071" s="6">
        <v>140</v>
      </c>
      <c r="H3071" s="6">
        <v>200</v>
      </c>
      <c r="K3071" s="7">
        <v>44007242</v>
      </c>
      <c r="L3071" s="6" t="str">
        <f t="shared" si="295"/>
        <v>YT NOVA BAZA  140x200</v>
      </c>
      <c r="M3071" s="12">
        <v>0.1</v>
      </c>
      <c r="N3071" s="12">
        <v>0.1</v>
      </c>
      <c r="O3071" s="8">
        <v>9490</v>
      </c>
      <c r="P3071" s="8">
        <f t="shared" si="296"/>
        <v>8541</v>
      </c>
      <c r="Q3071" s="12">
        <f t="shared" si="297"/>
        <v>17936.100000000002</v>
      </c>
      <c r="R3071" s="31">
        <f t="shared" si="298"/>
        <v>17900</v>
      </c>
    </row>
    <row r="3072" spans="1:18" ht="21.95" customHeight="1" x14ac:dyDescent="0.2">
      <c r="A3072" s="6" t="s">
        <v>943</v>
      </c>
      <c r="B3072" s="6" t="s">
        <v>1596</v>
      </c>
      <c r="C3072" s="6" t="s">
        <v>486</v>
      </c>
      <c r="D3072" s="6" t="s">
        <v>989</v>
      </c>
      <c r="E3072" s="6"/>
      <c r="G3072" s="6">
        <v>150</v>
      </c>
      <c r="H3072" s="6">
        <v>200</v>
      </c>
      <c r="K3072" s="7">
        <v>44007243</v>
      </c>
      <c r="L3072" s="6" t="str">
        <f t="shared" si="295"/>
        <v>YT NOVA BAZA  150x200</v>
      </c>
      <c r="M3072" s="12">
        <v>0.1</v>
      </c>
      <c r="N3072" s="12">
        <v>0.1</v>
      </c>
      <c r="O3072" s="8">
        <v>9880</v>
      </c>
      <c r="P3072" s="8">
        <f t="shared" si="296"/>
        <v>8892</v>
      </c>
      <c r="Q3072" s="12">
        <f t="shared" si="297"/>
        <v>18673.2</v>
      </c>
      <c r="R3072" s="31">
        <f t="shared" si="298"/>
        <v>18600</v>
      </c>
    </row>
    <row r="3073" spans="1:18" ht="21.95" customHeight="1" x14ac:dyDescent="0.2">
      <c r="A3073" s="6" t="s">
        <v>943</v>
      </c>
      <c r="B3073" s="6" t="s">
        <v>1596</v>
      </c>
      <c r="C3073" s="6" t="s">
        <v>486</v>
      </c>
      <c r="D3073" s="6" t="s">
        <v>989</v>
      </c>
      <c r="E3073" s="6"/>
      <c r="G3073" s="6">
        <v>160</v>
      </c>
      <c r="H3073" s="6">
        <v>200</v>
      </c>
      <c r="K3073" s="7">
        <v>44007244</v>
      </c>
      <c r="L3073" s="6" t="str">
        <f t="shared" si="295"/>
        <v>YT NOVA BAZA  160x200</v>
      </c>
      <c r="M3073" s="12">
        <v>0.1</v>
      </c>
      <c r="N3073" s="12">
        <v>0.1</v>
      </c>
      <c r="O3073" s="8">
        <v>10290</v>
      </c>
      <c r="P3073" s="8">
        <f t="shared" si="296"/>
        <v>9261</v>
      </c>
      <c r="Q3073" s="12">
        <f t="shared" si="297"/>
        <v>19448.100000000002</v>
      </c>
      <c r="R3073" s="31">
        <f t="shared" si="298"/>
        <v>19400</v>
      </c>
    </row>
    <row r="3074" spans="1:18" ht="21.95" customHeight="1" x14ac:dyDescent="0.2">
      <c r="A3074" s="6" t="s">
        <v>943</v>
      </c>
      <c r="B3074" s="6" t="s">
        <v>1596</v>
      </c>
      <c r="C3074" s="6" t="s">
        <v>486</v>
      </c>
      <c r="D3074" s="6" t="s">
        <v>989</v>
      </c>
      <c r="E3074" s="6"/>
      <c r="G3074" s="6">
        <v>180</v>
      </c>
      <c r="H3074" s="6">
        <v>200</v>
      </c>
      <c r="K3074" s="7">
        <v>44007245</v>
      </c>
      <c r="L3074" s="6" t="str">
        <f t="shared" si="295"/>
        <v>YT NOVA BAZA  180x200</v>
      </c>
      <c r="M3074" s="12">
        <v>0.1</v>
      </c>
      <c r="N3074" s="12">
        <v>0.1</v>
      </c>
      <c r="O3074" s="8">
        <v>11310</v>
      </c>
      <c r="P3074" s="8">
        <f t="shared" si="296"/>
        <v>10179</v>
      </c>
      <c r="Q3074" s="12">
        <f t="shared" si="297"/>
        <v>21375.9</v>
      </c>
      <c r="R3074" s="31">
        <f t="shared" si="298"/>
        <v>21300</v>
      </c>
    </row>
    <row r="3075" spans="1:18" ht="21.95" customHeight="1" x14ac:dyDescent="0.2">
      <c r="A3075" s="6" t="s">
        <v>943</v>
      </c>
      <c r="B3075" s="6" t="s">
        <v>1596</v>
      </c>
      <c r="C3075" s="6" t="s">
        <v>486</v>
      </c>
      <c r="D3075" s="6" t="s">
        <v>989</v>
      </c>
      <c r="E3075" s="6"/>
      <c r="G3075" s="6">
        <v>200</v>
      </c>
      <c r="H3075" s="6">
        <v>200</v>
      </c>
      <c r="K3075" s="7">
        <v>44007246</v>
      </c>
      <c r="L3075" s="6" t="str">
        <f t="shared" si="295"/>
        <v>YT NOVA BAZA  200x200</v>
      </c>
      <c r="M3075" s="12">
        <v>0.1</v>
      </c>
      <c r="N3075" s="12">
        <v>0.1</v>
      </c>
      <c r="O3075" s="8">
        <v>11840</v>
      </c>
      <c r="P3075" s="8">
        <f t="shared" si="296"/>
        <v>10656</v>
      </c>
      <c r="Q3075" s="12">
        <f t="shared" si="297"/>
        <v>22377.600000000002</v>
      </c>
      <c r="R3075" s="31">
        <f t="shared" si="298"/>
        <v>22300</v>
      </c>
    </row>
    <row r="3076" spans="1:18" ht="21.95" customHeight="1" x14ac:dyDescent="0.2">
      <c r="A3076" s="6" t="s">
        <v>943</v>
      </c>
      <c r="B3076" s="6" t="s">
        <v>1596</v>
      </c>
      <c r="C3076" s="6" t="s">
        <v>1017</v>
      </c>
      <c r="D3076" s="6" t="s">
        <v>953</v>
      </c>
      <c r="E3076" s="6"/>
      <c r="G3076" s="6">
        <v>90</v>
      </c>
      <c r="H3076" s="6">
        <v>190</v>
      </c>
      <c r="K3076" s="7">
        <v>44007247</v>
      </c>
      <c r="L3076" s="6" t="str">
        <f t="shared" ref="L3076:L3139" si="299">B3076&amp;" "&amp;C3076&amp;" "&amp;D3076&amp;" "&amp;G3076&amp;"x"&amp;H3076</f>
        <v>YT DREAM  YATAK 90x190</v>
      </c>
      <c r="M3076" s="12">
        <v>0.1</v>
      </c>
      <c r="N3076" s="12">
        <v>0.1</v>
      </c>
      <c r="O3076" s="8">
        <v>6130</v>
      </c>
      <c r="P3076" s="8">
        <f t="shared" si="296"/>
        <v>5517</v>
      </c>
      <c r="Q3076" s="12">
        <f t="shared" si="297"/>
        <v>11585.7</v>
      </c>
      <c r="R3076" s="31">
        <f t="shared" si="298"/>
        <v>11500</v>
      </c>
    </row>
    <row r="3077" spans="1:18" ht="21.95" customHeight="1" x14ac:dyDescent="0.2">
      <c r="A3077" s="6" t="s">
        <v>943</v>
      </c>
      <c r="B3077" s="6" t="s">
        <v>1596</v>
      </c>
      <c r="C3077" s="6" t="s">
        <v>1017</v>
      </c>
      <c r="D3077" s="6" t="s">
        <v>953</v>
      </c>
      <c r="E3077" s="6"/>
      <c r="G3077" s="6">
        <v>90</v>
      </c>
      <c r="H3077" s="6">
        <v>200</v>
      </c>
      <c r="K3077" s="7">
        <v>44007248</v>
      </c>
      <c r="L3077" s="6" t="str">
        <f t="shared" si="299"/>
        <v>YT DREAM  YATAK 90x200</v>
      </c>
      <c r="M3077" s="12">
        <v>0.1</v>
      </c>
      <c r="N3077" s="12">
        <v>0.1</v>
      </c>
      <c r="O3077" s="8">
        <v>6350</v>
      </c>
      <c r="P3077" s="8">
        <f t="shared" si="296"/>
        <v>5715</v>
      </c>
      <c r="Q3077" s="12">
        <f t="shared" si="297"/>
        <v>12001.5</v>
      </c>
      <c r="R3077" s="31">
        <f t="shared" si="298"/>
        <v>12000</v>
      </c>
    </row>
    <row r="3078" spans="1:18" ht="21.95" customHeight="1" x14ac:dyDescent="0.2">
      <c r="A3078" s="6" t="s">
        <v>943</v>
      </c>
      <c r="B3078" s="6" t="s">
        <v>1596</v>
      </c>
      <c r="C3078" s="6" t="s">
        <v>1017</v>
      </c>
      <c r="D3078" s="6" t="s">
        <v>953</v>
      </c>
      <c r="E3078" s="6"/>
      <c r="G3078" s="6">
        <v>100</v>
      </c>
      <c r="H3078" s="6">
        <v>200</v>
      </c>
      <c r="K3078" s="7">
        <v>44007249</v>
      </c>
      <c r="L3078" s="6" t="str">
        <f t="shared" si="299"/>
        <v>YT DREAM  YATAK 100x200</v>
      </c>
      <c r="M3078" s="12">
        <v>0.1</v>
      </c>
      <c r="N3078" s="12">
        <v>0.1</v>
      </c>
      <c r="O3078" s="8">
        <v>6590</v>
      </c>
      <c r="P3078" s="8">
        <f t="shared" si="296"/>
        <v>5931</v>
      </c>
      <c r="Q3078" s="12">
        <f t="shared" si="297"/>
        <v>12455.1</v>
      </c>
      <c r="R3078" s="31">
        <f t="shared" si="298"/>
        <v>12400</v>
      </c>
    </row>
    <row r="3079" spans="1:18" ht="21.95" customHeight="1" x14ac:dyDescent="0.2">
      <c r="A3079" s="6" t="s">
        <v>943</v>
      </c>
      <c r="B3079" s="6" t="s">
        <v>1596</v>
      </c>
      <c r="C3079" s="6" t="s">
        <v>1017</v>
      </c>
      <c r="D3079" s="6" t="s">
        <v>953</v>
      </c>
      <c r="E3079" s="6"/>
      <c r="G3079" s="6">
        <v>120</v>
      </c>
      <c r="H3079" s="6">
        <v>200</v>
      </c>
      <c r="K3079" s="7">
        <v>44007250</v>
      </c>
      <c r="L3079" s="6" t="str">
        <f t="shared" si="299"/>
        <v>YT DREAM  YATAK 120x200</v>
      </c>
      <c r="M3079" s="12">
        <v>0.1</v>
      </c>
      <c r="N3079" s="12">
        <v>0.1</v>
      </c>
      <c r="O3079" s="8">
        <v>8000</v>
      </c>
      <c r="P3079" s="8">
        <f t="shared" si="296"/>
        <v>7200</v>
      </c>
      <c r="Q3079" s="12">
        <f t="shared" si="297"/>
        <v>15120</v>
      </c>
      <c r="R3079" s="31">
        <f t="shared" si="298"/>
        <v>15100</v>
      </c>
    </row>
    <row r="3080" spans="1:18" ht="21.95" customHeight="1" x14ac:dyDescent="0.2">
      <c r="A3080" s="6" t="s">
        <v>943</v>
      </c>
      <c r="B3080" s="6" t="s">
        <v>1596</v>
      </c>
      <c r="C3080" s="6" t="s">
        <v>1017</v>
      </c>
      <c r="D3080" s="6" t="s">
        <v>953</v>
      </c>
      <c r="E3080" s="6"/>
      <c r="G3080" s="6">
        <v>140</v>
      </c>
      <c r="H3080" s="6">
        <v>190</v>
      </c>
      <c r="K3080" s="7">
        <v>44007251</v>
      </c>
      <c r="L3080" s="6" t="str">
        <f t="shared" si="299"/>
        <v>YT DREAM  YATAK 140x190</v>
      </c>
      <c r="M3080" s="12">
        <v>0.1</v>
      </c>
      <c r="N3080" s="12">
        <v>0.1</v>
      </c>
      <c r="O3080" s="8">
        <v>9000</v>
      </c>
      <c r="P3080" s="8">
        <f t="shared" si="296"/>
        <v>8100</v>
      </c>
      <c r="Q3080" s="12">
        <f t="shared" si="297"/>
        <v>17010</v>
      </c>
      <c r="R3080" s="31">
        <f t="shared" si="298"/>
        <v>17000</v>
      </c>
    </row>
    <row r="3081" spans="1:18" ht="21.95" customHeight="1" x14ac:dyDescent="0.2">
      <c r="A3081" s="6" t="s">
        <v>943</v>
      </c>
      <c r="B3081" s="6" t="s">
        <v>1596</v>
      </c>
      <c r="C3081" s="6" t="s">
        <v>1017</v>
      </c>
      <c r="D3081" s="6" t="s">
        <v>953</v>
      </c>
      <c r="E3081" s="6"/>
      <c r="G3081" s="6">
        <v>140</v>
      </c>
      <c r="H3081" s="6">
        <v>200</v>
      </c>
      <c r="K3081" s="7">
        <v>44007252</v>
      </c>
      <c r="L3081" s="6" t="str">
        <f t="shared" si="299"/>
        <v>YT DREAM  YATAK 140x200</v>
      </c>
      <c r="M3081" s="12">
        <v>0.1</v>
      </c>
      <c r="N3081" s="12">
        <v>0.1</v>
      </c>
      <c r="O3081" s="8">
        <v>9400</v>
      </c>
      <c r="P3081" s="8">
        <f t="shared" si="296"/>
        <v>8460</v>
      </c>
      <c r="Q3081" s="12">
        <f t="shared" si="297"/>
        <v>17766</v>
      </c>
      <c r="R3081" s="31">
        <f t="shared" si="298"/>
        <v>17700</v>
      </c>
    </row>
    <row r="3082" spans="1:18" ht="21.95" customHeight="1" x14ac:dyDescent="0.2">
      <c r="A3082" s="6" t="s">
        <v>943</v>
      </c>
      <c r="B3082" s="6" t="s">
        <v>1596</v>
      </c>
      <c r="C3082" s="6" t="s">
        <v>1017</v>
      </c>
      <c r="D3082" s="6" t="s">
        <v>953</v>
      </c>
      <c r="E3082" s="6"/>
      <c r="G3082" s="6">
        <v>150</v>
      </c>
      <c r="H3082" s="6">
        <v>200</v>
      </c>
      <c r="K3082" s="7">
        <v>44007253</v>
      </c>
      <c r="L3082" s="6" t="str">
        <f t="shared" si="299"/>
        <v>YT DREAM  YATAK 150x200</v>
      </c>
      <c r="M3082" s="12">
        <v>0.1</v>
      </c>
      <c r="N3082" s="12">
        <v>0.1</v>
      </c>
      <c r="O3082" s="8">
        <v>10090</v>
      </c>
      <c r="P3082" s="8">
        <f t="shared" si="296"/>
        <v>9081</v>
      </c>
      <c r="Q3082" s="12">
        <f t="shared" si="297"/>
        <v>19070.100000000002</v>
      </c>
      <c r="R3082" s="31">
        <f t="shared" si="298"/>
        <v>19000</v>
      </c>
    </row>
    <row r="3083" spans="1:18" ht="21.95" customHeight="1" x14ac:dyDescent="0.2">
      <c r="A3083" s="6" t="s">
        <v>943</v>
      </c>
      <c r="B3083" s="6" t="s">
        <v>1596</v>
      </c>
      <c r="C3083" s="6" t="s">
        <v>1017</v>
      </c>
      <c r="D3083" s="6" t="s">
        <v>953</v>
      </c>
      <c r="E3083" s="6"/>
      <c r="G3083" s="6">
        <v>160</v>
      </c>
      <c r="H3083" s="6">
        <v>200</v>
      </c>
      <c r="K3083" s="7">
        <v>44007254</v>
      </c>
      <c r="L3083" s="6" t="str">
        <f t="shared" si="299"/>
        <v>YT DREAM  YATAK 160x200</v>
      </c>
      <c r="M3083" s="12">
        <v>0.1</v>
      </c>
      <c r="N3083" s="12">
        <v>0.1</v>
      </c>
      <c r="O3083" s="8">
        <v>10810</v>
      </c>
      <c r="P3083" s="8">
        <f t="shared" si="296"/>
        <v>9729</v>
      </c>
      <c r="Q3083" s="12">
        <f t="shared" si="297"/>
        <v>20430.900000000001</v>
      </c>
      <c r="R3083" s="31">
        <f t="shared" si="298"/>
        <v>20400</v>
      </c>
    </row>
    <row r="3084" spans="1:18" ht="21.95" customHeight="1" x14ac:dyDescent="0.2">
      <c r="A3084" s="6" t="s">
        <v>943</v>
      </c>
      <c r="B3084" s="6" t="s">
        <v>1596</v>
      </c>
      <c r="C3084" s="6" t="s">
        <v>1017</v>
      </c>
      <c r="D3084" s="6" t="s">
        <v>953</v>
      </c>
      <c r="E3084" s="6"/>
      <c r="G3084" s="6">
        <v>180</v>
      </c>
      <c r="H3084" s="6">
        <v>200</v>
      </c>
      <c r="K3084" s="7">
        <v>44007255</v>
      </c>
      <c r="L3084" s="6" t="str">
        <f t="shared" si="299"/>
        <v>YT DREAM  YATAK 180x200</v>
      </c>
      <c r="M3084" s="12">
        <v>0.1</v>
      </c>
      <c r="N3084" s="12">
        <v>0.1</v>
      </c>
      <c r="O3084" s="8">
        <v>11640</v>
      </c>
      <c r="P3084" s="8">
        <f t="shared" si="296"/>
        <v>10476</v>
      </c>
      <c r="Q3084" s="12">
        <f t="shared" si="297"/>
        <v>21999.600000000002</v>
      </c>
      <c r="R3084" s="31">
        <f t="shared" si="298"/>
        <v>21900</v>
      </c>
    </row>
    <row r="3085" spans="1:18" ht="21.95" customHeight="1" x14ac:dyDescent="0.2">
      <c r="A3085" s="6" t="s">
        <v>943</v>
      </c>
      <c r="B3085" s="6" t="s">
        <v>1596</v>
      </c>
      <c r="C3085" s="6" t="s">
        <v>1017</v>
      </c>
      <c r="D3085" s="6" t="s">
        <v>953</v>
      </c>
      <c r="E3085" s="6"/>
      <c r="G3085" s="6">
        <v>200</v>
      </c>
      <c r="H3085" s="6">
        <v>200</v>
      </c>
      <c r="K3085" s="7">
        <v>44007256</v>
      </c>
      <c r="L3085" s="6" t="str">
        <f t="shared" si="299"/>
        <v>YT DREAM  YATAK 200x200</v>
      </c>
      <c r="M3085" s="12">
        <v>0.1</v>
      </c>
      <c r="N3085" s="12">
        <v>0.1</v>
      </c>
      <c r="O3085" s="8">
        <v>13350</v>
      </c>
      <c r="P3085" s="8">
        <f t="shared" si="296"/>
        <v>12015</v>
      </c>
      <c r="Q3085" s="12">
        <f t="shared" si="297"/>
        <v>25231.5</v>
      </c>
      <c r="R3085" s="31">
        <f t="shared" si="298"/>
        <v>25200</v>
      </c>
    </row>
    <row r="3086" spans="1:18" ht="21.95" customHeight="1" x14ac:dyDescent="0.2">
      <c r="A3086" s="6" t="s">
        <v>943</v>
      </c>
      <c r="B3086" s="6" t="s">
        <v>1596</v>
      </c>
      <c r="C3086" s="6" t="s">
        <v>1092</v>
      </c>
      <c r="D3086" s="6" t="s">
        <v>989</v>
      </c>
      <c r="E3086" s="6"/>
      <c r="G3086" s="6">
        <v>90</v>
      </c>
      <c r="H3086" s="6">
        <v>190</v>
      </c>
      <c r="K3086" s="7">
        <v>44007257</v>
      </c>
      <c r="L3086" s="6" t="str">
        <f t="shared" si="299"/>
        <v>YT KAT KAR SOMYA BAZA  90x190</v>
      </c>
      <c r="M3086" s="12">
        <v>0.1</v>
      </c>
      <c r="N3086" s="12">
        <v>0.1</v>
      </c>
      <c r="O3086" s="8">
        <v>2990</v>
      </c>
      <c r="P3086" s="8">
        <f t="shared" ref="P3086:P3149" si="300">O3086*(1-N3086)</f>
        <v>2691</v>
      </c>
      <c r="Q3086" s="12">
        <f t="shared" ref="Q3086:Q3149" si="301">O3086*(1-N3086)*2.1</f>
        <v>5651.1</v>
      </c>
      <c r="R3086" s="31">
        <f t="shared" ref="R3086:R3149" si="302">ROUNDDOWN(Q3086,-2)</f>
        <v>5600</v>
      </c>
    </row>
    <row r="3087" spans="1:18" ht="21.95" customHeight="1" x14ac:dyDescent="0.2">
      <c r="A3087" s="6" t="s">
        <v>943</v>
      </c>
      <c r="B3087" s="6" t="s">
        <v>1596</v>
      </c>
      <c r="C3087" s="6" t="s">
        <v>1093</v>
      </c>
      <c r="D3087" s="6" t="s">
        <v>953</v>
      </c>
      <c r="E3087" s="6"/>
      <c r="G3087" s="6">
        <v>90</v>
      </c>
      <c r="H3087" s="6">
        <v>190</v>
      </c>
      <c r="K3087" s="7">
        <v>44007258</v>
      </c>
      <c r="L3087" s="6" t="str">
        <f t="shared" si="299"/>
        <v>YT ATİGO YATAK 90x190</v>
      </c>
      <c r="M3087" s="12">
        <v>0.1</v>
      </c>
      <c r="N3087" s="12">
        <v>0.1</v>
      </c>
      <c r="O3087" s="8">
        <v>3280</v>
      </c>
      <c r="P3087" s="8">
        <f t="shared" si="300"/>
        <v>2952</v>
      </c>
      <c r="Q3087" s="12">
        <f t="shared" si="301"/>
        <v>6199.2</v>
      </c>
      <c r="R3087" s="31">
        <f t="shared" si="302"/>
        <v>6100</v>
      </c>
    </row>
    <row r="3088" spans="1:18" ht="21.95" customHeight="1" x14ac:dyDescent="0.2">
      <c r="A3088" s="6" t="s">
        <v>943</v>
      </c>
      <c r="B3088" s="6" t="s">
        <v>1596</v>
      </c>
      <c r="C3088" s="6" t="s">
        <v>1094</v>
      </c>
      <c r="D3088" s="6" t="s">
        <v>989</v>
      </c>
      <c r="E3088" s="6"/>
      <c r="G3088" s="6">
        <v>90</v>
      </c>
      <c r="H3088" s="6">
        <v>190</v>
      </c>
      <c r="K3088" s="7">
        <v>44007259</v>
      </c>
      <c r="L3088" s="6" t="str">
        <f t="shared" si="299"/>
        <v>YT AVONNİ  BAZA  90x190</v>
      </c>
      <c r="M3088" s="12">
        <v>0.1</v>
      </c>
      <c r="N3088" s="12">
        <v>0.1</v>
      </c>
      <c r="O3088" s="8">
        <v>6010</v>
      </c>
      <c r="P3088" s="8">
        <f t="shared" si="300"/>
        <v>5409</v>
      </c>
      <c r="Q3088" s="12">
        <f t="shared" si="301"/>
        <v>11358.9</v>
      </c>
      <c r="R3088" s="31">
        <f t="shared" si="302"/>
        <v>11300</v>
      </c>
    </row>
    <row r="3089" spans="1:18" ht="21.95" customHeight="1" x14ac:dyDescent="0.2">
      <c r="A3089" s="6" t="s">
        <v>943</v>
      </c>
      <c r="B3089" s="6" t="s">
        <v>1596</v>
      </c>
      <c r="C3089" s="6" t="s">
        <v>1094</v>
      </c>
      <c r="D3089" s="6" t="s">
        <v>989</v>
      </c>
      <c r="E3089" s="6"/>
      <c r="G3089" s="6">
        <v>90</v>
      </c>
      <c r="H3089" s="6">
        <v>200</v>
      </c>
      <c r="K3089" s="7">
        <v>44007260</v>
      </c>
      <c r="L3089" s="6" t="str">
        <f t="shared" si="299"/>
        <v>YT AVONNİ  BAZA  90x200</v>
      </c>
      <c r="M3089" s="12">
        <v>0.1</v>
      </c>
      <c r="N3089" s="12">
        <v>0.1</v>
      </c>
      <c r="O3089" s="8">
        <v>6280</v>
      </c>
      <c r="P3089" s="8">
        <f t="shared" si="300"/>
        <v>5652</v>
      </c>
      <c r="Q3089" s="12">
        <f t="shared" si="301"/>
        <v>11869.2</v>
      </c>
      <c r="R3089" s="31">
        <f t="shared" si="302"/>
        <v>11800</v>
      </c>
    </row>
    <row r="3090" spans="1:18" ht="21.95" customHeight="1" x14ac:dyDescent="0.2">
      <c r="A3090" s="6" t="s">
        <v>943</v>
      </c>
      <c r="B3090" s="6" t="s">
        <v>1596</v>
      </c>
      <c r="C3090" s="6" t="s">
        <v>1094</v>
      </c>
      <c r="D3090" s="6" t="s">
        <v>945</v>
      </c>
      <c r="E3090" s="6"/>
      <c r="G3090" s="6">
        <v>100</v>
      </c>
      <c r="H3090" s="6">
        <v>200</v>
      </c>
      <c r="K3090" s="7">
        <v>44007261</v>
      </c>
      <c r="L3090" s="6" t="str">
        <f t="shared" si="299"/>
        <v>YT AVONNİ  BAZA 100x200</v>
      </c>
      <c r="M3090" s="12">
        <v>0.1</v>
      </c>
      <c r="N3090" s="12">
        <v>0.1</v>
      </c>
      <c r="O3090" s="8">
        <v>6630</v>
      </c>
      <c r="P3090" s="8">
        <f t="shared" si="300"/>
        <v>5967</v>
      </c>
      <c r="Q3090" s="12">
        <f t="shared" si="301"/>
        <v>12530.7</v>
      </c>
      <c r="R3090" s="31">
        <f t="shared" si="302"/>
        <v>12500</v>
      </c>
    </row>
    <row r="3091" spans="1:18" ht="21.95" customHeight="1" x14ac:dyDescent="0.2">
      <c r="A3091" s="6" t="s">
        <v>943</v>
      </c>
      <c r="B3091" s="6" t="s">
        <v>1596</v>
      </c>
      <c r="C3091" s="6" t="s">
        <v>1094</v>
      </c>
      <c r="D3091" s="6" t="s">
        <v>945</v>
      </c>
      <c r="E3091" s="6"/>
      <c r="G3091" s="6">
        <v>120</v>
      </c>
      <c r="H3091" s="6">
        <v>200</v>
      </c>
      <c r="K3091" s="7">
        <v>44007262</v>
      </c>
      <c r="L3091" s="6" t="str">
        <f t="shared" si="299"/>
        <v>YT AVONNİ  BAZA 120x200</v>
      </c>
      <c r="M3091" s="12">
        <v>0.1</v>
      </c>
      <c r="N3091" s="12">
        <v>0.1</v>
      </c>
      <c r="O3091" s="8">
        <v>7250</v>
      </c>
      <c r="P3091" s="8">
        <f t="shared" si="300"/>
        <v>6525</v>
      </c>
      <c r="Q3091" s="12">
        <f t="shared" si="301"/>
        <v>13702.5</v>
      </c>
      <c r="R3091" s="31">
        <f t="shared" si="302"/>
        <v>13700</v>
      </c>
    </row>
    <row r="3092" spans="1:18" ht="21.95" customHeight="1" x14ac:dyDescent="0.2">
      <c r="A3092" s="6" t="s">
        <v>943</v>
      </c>
      <c r="B3092" s="6" t="s">
        <v>1596</v>
      </c>
      <c r="C3092" s="6" t="s">
        <v>1094</v>
      </c>
      <c r="D3092" s="6" t="s">
        <v>945</v>
      </c>
      <c r="E3092" s="6"/>
      <c r="G3092" s="6">
        <v>140</v>
      </c>
      <c r="H3092" s="6">
        <v>190</v>
      </c>
      <c r="K3092" s="7">
        <v>44007263</v>
      </c>
      <c r="L3092" s="6" t="str">
        <f t="shared" si="299"/>
        <v>YT AVONNİ  BAZA 140x190</v>
      </c>
      <c r="M3092" s="12">
        <v>0.1</v>
      </c>
      <c r="N3092" s="12">
        <v>0.1</v>
      </c>
      <c r="O3092" s="8">
        <v>9890</v>
      </c>
      <c r="P3092" s="8">
        <f t="shared" si="300"/>
        <v>8901</v>
      </c>
      <c r="Q3092" s="12">
        <f t="shared" si="301"/>
        <v>18692.100000000002</v>
      </c>
      <c r="R3092" s="31">
        <f t="shared" si="302"/>
        <v>18600</v>
      </c>
    </row>
    <row r="3093" spans="1:18" ht="21.95" customHeight="1" x14ac:dyDescent="0.2">
      <c r="A3093" s="6" t="s">
        <v>943</v>
      </c>
      <c r="B3093" s="6" t="s">
        <v>1596</v>
      </c>
      <c r="C3093" s="6" t="s">
        <v>1094</v>
      </c>
      <c r="D3093" s="6" t="s">
        <v>945</v>
      </c>
      <c r="E3093" s="6"/>
      <c r="G3093" s="6">
        <v>140</v>
      </c>
      <c r="H3093" s="6">
        <v>200</v>
      </c>
      <c r="K3093" s="7">
        <v>44007264</v>
      </c>
      <c r="L3093" s="6" t="str">
        <f t="shared" si="299"/>
        <v>YT AVONNİ  BAZA 140x200</v>
      </c>
      <c r="M3093" s="12">
        <v>0.1</v>
      </c>
      <c r="N3093" s="12">
        <v>0.1</v>
      </c>
      <c r="O3093" s="8">
        <v>10240</v>
      </c>
      <c r="P3093" s="8">
        <f t="shared" si="300"/>
        <v>9216</v>
      </c>
      <c r="Q3093" s="12">
        <f t="shared" si="301"/>
        <v>19353.600000000002</v>
      </c>
      <c r="R3093" s="31">
        <f t="shared" si="302"/>
        <v>19300</v>
      </c>
    </row>
    <row r="3094" spans="1:18" ht="21.95" customHeight="1" x14ac:dyDescent="0.2">
      <c r="A3094" s="6" t="s">
        <v>943</v>
      </c>
      <c r="B3094" s="6" t="s">
        <v>1596</v>
      </c>
      <c r="C3094" s="6" t="s">
        <v>1095</v>
      </c>
      <c r="D3094" s="6" t="s">
        <v>989</v>
      </c>
      <c r="E3094" s="6"/>
      <c r="G3094" s="6">
        <v>90</v>
      </c>
      <c r="H3094" s="6">
        <v>190</v>
      </c>
      <c r="K3094" s="7">
        <v>44007265</v>
      </c>
      <c r="L3094" s="6" t="str">
        <f t="shared" si="299"/>
        <v>YT PUMA  BAZA  90x190</v>
      </c>
      <c r="M3094" s="12">
        <v>0.1</v>
      </c>
      <c r="N3094" s="12">
        <v>0.1</v>
      </c>
      <c r="O3094" s="8">
        <v>5680</v>
      </c>
      <c r="P3094" s="8">
        <f t="shared" si="300"/>
        <v>5112</v>
      </c>
      <c r="Q3094" s="12">
        <f t="shared" si="301"/>
        <v>10735.2</v>
      </c>
      <c r="R3094" s="31">
        <f t="shared" si="302"/>
        <v>10700</v>
      </c>
    </row>
    <row r="3095" spans="1:18" ht="21.95" customHeight="1" x14ac:dyDescent="0.2">
      <c r="A3095" s="6" t="s">
        <v>943</v>
      </c>
      <c r="B3095" s="6" t="s">
        <v>1596</v>
      </c>
      <c r="C3095" s="6" t="s">
        <v>1095</v>
      </c>
      <c r="D3095" s="6" t="s">
        <v>989</v>
      </c>
      <c r="E3095" s="6"/>
      <c r="G3095" s="6">
        <v>90</v>
      </c>
      <c r="H3095" s="6">
        <v>200</v>
      </c>
      <c r="K3095" s="7">
        <v>44007266</v>
      </c>
      <c r="L3095" s="6" t="str">
        <f t="shared" si="299"/>
        <v>YT PUMA  BAZA  90x200</v>
      </c>
      <c r="M3095" s="12">
        <v>0.1</v>
      </c>
      <c r="N3095" s="12">
        <v>0.1</v>
      </c>
      <c r="O3095" s="8">
        <v>5940</v>
      </c>
      <c r="P3095" s="8">
        <f t="shared" si="300"/>
        <v>5346</v>
      </c>
      <c r="Q3095" s="12">
        <f t="shared" si="301"/>
        <v>11226.6</v>
      </c>
      <c r="R3095" s="31">
        <f t="shared" si="302"/>
        <v>11200</v>
      </c>
    </row>
    <row r="3096" spans="1:18" ht="21.95" customHeight="1" x14ac:dyDescent="0.2">
      <c r="A3096" s="6" t="s">
        <v>943</v>
      </c>
      <c r="B3096" s="6" t="s">
        <v>1596</v>
      </c>
      <c r="C3096" s="6" t="s">
        <v>1095</v>
      </c>
      <c r="D3096" s="6" t="s">
        <v>989</v>
      </c>
      <c r="E3096" s="6"/>
      <c r="G3096" s="6">
        <v>100</v>
      </c>
      <c r="H3096" s="6">
        <v>200</v>
      </c>
      <c r="K3096" s="7">
        <v>44007267</v>
      </c>
      <c r="L3096" s="6" t="str">
        <f t="shared" si="299"/>
        <v>YT PUMA  BAZA  100x200</v>
      </c>
      <c r="M3096" s="12">
        <v>0.1</v>
      </c>
      <c r="N3096" s="12">
        <v>0.1</v>
      </c>
      <c r="O3096" s="8">
        <v>6270</v>
      </c>
      <c r="P3096" s="8">
        <f t="shared" si="300"/>
        <v>5643</v>
      </c>
      <c r="Q3096" s="12">
        <f t="shared" si="301"/>
        <v>11850.300000000001</v>
      </c>
      <c r="R3096" s="31">
        <f t="shared" si="302"/>
        <v>11800</v>
      </c>
    </row>
    <row r="3097" spans="1:18" ht="21.95" customHeight="1" x14ac:dyDescent="0.2">
      <c r="A3097" s="6" t="s">
        <v>943</v>
      </c>
      <c r="B3097" s="6" t="s">
        <v>1596</v>
      </c>
      <c r="C3097" s="6" t="s">
        <v>1095</v>
      </c>
      <c r="D3097" s="6" t="s">
        <v>989</v>
      </c>
      <c r="E3097" s="6"/>
      <c r="G3097" s="6">
        <v>120</v>
      </c>
      <c r="H3097" s="6">
        <v>200</v>
      </c>
      <c r="K3097" s="7">
        <v>44007268</v>
      </c>
      <c r="L3097" s="6" t="str">
        <f t="shared" si="299"/>
        <v>YT PUMA  BAZA  120x200</v>
      </c>
      <c r="M3097" s="12">
        <v>0.1</v>
      </c>
      <c r="N3097" s="12">
        <v>0.1</v>
      </c>
      <c r="O3097" s="8">
        <v>6850</v>
      </c>
      <c r="P3097" s="8">
        <f t="shared" si="300"/>
        <v>6165</v>
      </c>
      <c r="Q3097" s="12">
        <f t="shared" si="301"/>
        <v>12946.5</v>
      </c>
      <c r="R3097" s="31">
        <f t="shared" si="302"/>
        <v>12900</v>
      </c>
    </row>
    <row r="3098" spans="1:18" ht="21.95" customHeight="1" x14ac:dyDescent="0.2">
      <c r="A3098" s="6" t="s">
        <v>943</v>
      </c>
      <c r="B3098" s="6" t="s">
        <v>1596</v>
      </c>
      <c r="C3098" s="6" t="s">
        <v>1095</v>
      </c>
      <c r="D3098" s="6" t="s">
        <v>989</v>
      </c>
      <c r="E3098" s="6"/>
      <c r="G3098" s="6">
        <v>140</v>
      </c>
      <c r="H3098" s="6">
        <v>190</v>
      </c>
      <c r="K3098" s="7">
        <v>44007269</v>
      </c>
      <c r="L3098" s="6" t="str">
        <f t="shared" si="299"/>
        <v>YT PUMA  BAZA  140x190</v>
      </c>
      <c r="M3098" s="12">
        <v>0.1</v>
      </c>
      <c r="N3098" s="12">
        <v>0.1</v>
      </c>
      <c r="O3098" s="8">
        <v>9330</v>
      </c>
      <c r="P3098" s="8">
        <f t="shared" si="300"/>
        <v>8397</v>
      </c>
      <c r="Q3098" s="12">
        <f t="shared" si="301"/>
        <v>17633.7</v>
      </c>
      <c r="R3098" s="31">
        <f t="shared" si="302"/>
        <v>17600</v>
      </c>
    </row>
    <row r="3099" spans="1:18" ht="21.95" customHeight="1" x14ac:dyDescent="0.2">
      <c r="A3099" s="6" t="s">
        <v>943</v>
      </c>
      <c r="B3099" s="6" t="s">
        <v>1596</v>
      </c>
      <c r="C3099" s="6" t="s">
        <v>1095</v>
      </c>
      <c r="D3099" s="6" t="s">
        <v>989</v>
      </c>
      <c r="E3099" s="6"/>
      <c r="G3099" s="6">
        <v>140</v>
      </c>
      <c r="H3099" s="6">
        <v>200</v>
      </c>
      <c r="K3099" s="7">
        <v>44007270</v>
      </c>
      <c r="L3099" s="6" t="str">
        <f t="shared" si="299"/>
        <v>YT PUMA  BAZA  140x200</v>
      </c>
      <c r="M3099" s="12">
        <v>0.1</v>
      </c>
      <c r="N3099" s="12">
        <v>0.1</v>
      </c>
      <c r="O3099" s="8">
        <v>9680</v>
      </c>
      <c r="P3099" s="8">
        <f t="shared" si="300"/>
        <v>8712</v>
      </c>
      <c r="Q3099" s="12">
        <f t="shared" si="301"/>
        <v>18295.2</v>
      </c>
      <c r="R3099" s="31">
        <f t="shared" si="302"/>
        <v>18200</v>
      </c>
    </row>
    <row r="3100" spans="1:18" ht="21.95" customHeight="1" x14ac:dyDescent="0.2">
      <c r="A3100" s="6" t="s">
        <v>943</v>
      </c>
      <c r="B3100" s="6" t="s">
        <v>1596</v>
      </c>
      <c r="C3100" s="6" t="s">
        <v>1095</v>
      </c>
      <c r="D3100" s="6" t="s">
        <v>989</v>
      </c>
      <c r="E3100" s="6"/>
      <c r="G3100" s="6">
        <v>150</v>
      </c>
      <c r="H3100" s="6">
        <v>200</v>
      </c>
      <c r="K3100" s="7">
        <v>44007271</v>
      </c>
      <c r="L3100" s="6" t="str">
        <f t="shared" si="299"/>
        <v>YT PUMA  BAZA  150x200</v>
      </c>
      <c r="M3100" s="12">
        <v>0.1</v>
      </c>
      <c r="N3100" s="12">
        <v>0.1</v>
      </c>
      <c r="O3100" s="8">
        <v>10050</v>
      </c>
      <c r="P3100" s="8">
        <f t="shared" si="300"/>
        <v>9045</v>
      </c>
      <c r="Q3100" s="12">
        <f t="shared" si="301"/>
        <v>18994.5</v>
      </c>
      <c r="R3100" s="31">
        <f t="shared" si="302"/>
        <v>18900</v>
      </c>
    </row>
    <row r="3101" spans="1:18" ht="21.95" customHeight="1" x14ac:dyDescent="0.2">
      <c r="A3101" s="6" t="s">
        <v>943</v>
      </c>
      <c r="B3101" s="6" t="s">
        <v>1596</v>
      </c>
      <c r="C3101" s="6" t="s">
        <v>1095</v>
      </c>
      <c r="D3101" s="6" t="s">
        <v>989</v>
      </c>
      <c r="E3101" s="6"/>
      <c r="G3101" s="6">
        <v>160</v>
      </c>
      <c r="H3101" s="6">
        <v>200</v>
      </c>
      <c r="K3101" s="7">
        <v>44007272</v>
      </c>
      <c r="L3101" s="6" t="str">
        <f t="shared" si="299"/>
        <v>YT PUMA  BAZA  160x200</v>
      </c>
      <c r="M3101" s="12">
        <v>0.1</v>
      </c>
      <c r="N3101" s="12">
        <v>0.1</v>
      </c>
      <c r="O3101" s="8">
        <v>10370</v>
      </c>
      <c r="P3101" s="8">
        <f t="shared" si="300"/>
        <v>9333</v>
      </c>
      <c r="Q3101" s="12">
        <f t="shared" si="301"/>
        <v>19599.3</v>
      </c>
      <c r="R3101" s="31">
        <f t="shared" si="302"/>
        <v>19500</v>
      </c>
    </row>
    <row r="3102" spans="1:18" ht="21.95" customHeight="1" x14ac:dyDescent="0.2">
      <c r="A3102" s="6" t="s">
        <v>943</v>
      </c>
      <c r="B3102" s="6" t="s">
        <v>1596</v>
      </c>
      <c r="C3102" s="6" t="s">
        <v>1095</v>
      </c>
      <c r="D3102" s="6" t="s">
        <v>989</v>
      </c>
      <c r="E3102" s="6"/>
      <c r="G3102" s="6">
        <v>180</v>
      </c>
      <c r="H3102" s="6">
        <v>200</v>
      </c>
      <c r="K3102" s="7">
        <v>44007273</v>
      </c>
      <c r="L3102" s="6" t="str">
        <f t="shared" si="299"/>
        <v>YT PUMA  BAZA  180x200</v>
      </c>
      <c r="M3102" s="12">
        <v>0.1</v>
      </c>
      <c r="N3102" s="12">
        <v>0.1</v>
      </c>
      <c r="O3102" s="8">
        <v>11850</v>
      </c>
      <c r="P3102" s="8">
        <f t="shared" si="300"/>
        <v>10665</v>
      </c>
      <c r="Q3102" s="12">
        <f t="shared" si="301"/>
        <v>22396.5</v>
      </c>
      <c r="R3102" s="31">
        <f t="shared" si="302"/>
        <v>22300</v>
      </c>
    </row>
    <row r="3103" spans="1:18" ht="21.95" customHeight="1" x14ac:dyDescent="0.2">
      <c r="A3103" s="6" t="s">
        <v>943</v>
      </c>
      <c r="B3103" s="6" t="s">
        <v>1596</v>
      </c>
      <c r="C3103" s="6" t="s">
        <v>1095</v>
      </c>
      <c r="D3103" s="6" t="s">
        <v>989</v>
      </c>
      <c r="E3103" s="6"/>
      <c r="G3103" s="6">
        <v>200</v>
      </c>
      <c r="H3103" s="6">
        <v>200</v>
      </c>
      <c r="K3103" s="7">
        <v>44007274</v>
      </c>
      <c r="L3103" s="6" t="str">
        <f t="shared" si="299"/>
        <v>YT PUMA  BAZA  200x200</v>
      </c>
      <c r="M3103" s="12">
        <v>0.1</v>
      </c>
      <c r="N3103" s="12">
        <v>0.1</v>
      </c>
      <c r="O3103" s="8">
        <v>12540</v>
      </c>
      <c r="P3103" s="8">
        <f t="shared" si="300"/>
        <v>11286</v>
      </c>
      <c r="Q3103" s="12">
        <f t="shared" si="301"/>
        <v>23700.600000000002</v>
      </c>
      <c r="R3103" s="31">
        <f t="shared" si="302"/>
        <v>23700</v>
      </c>
    </row>
    <row r="3104" spans="1:18" ht="21.95" customHeight="1" x14ac:dyDescent="0.2">
      <c r="A3104" s="6" t="s">
        <v>943</v>
      </c>
      <c r="B3104" s="6" t="s">
        <v>1596</v>
      </c>
      <c r="C3104" s="6" t="s">
        <v>964</v>
      </c>
      <c r="D3104" s="6" t="s">
        <v>945</v>
      </c>
      <c r="E3104" s="6"/>
      <c r="G3104" s="6">
        <v>140</v>
      </c>
      <c r="H3104" s="6">
        <v>190</v>
      </c>
      <c r="K3104" s="7">
        <v>44007275</v>
      </c>
      <c r="L3104" s="6" t="str">
        <f t="shared" si="299"/>
        <v>YT DORMEO  BAZA 140x190</v>
      </c>
      <c r="M3104" s="12">
        <v>0.1</v>
      </c>
      <c r="N3104" s="12">
        <v>0.1</v>
      </c>
      <c r="O3104" s="8">
        <v>10340</v>
      </c>
      <c r="P3104" s="8">
        <f t="shared" si="300"/>
        <v>9306</v>
      </c>
      <c r="Q3104" s="12">
        <f t="shared" si="301"/>
        <v>19542.600000000002</v>
      </c>
      <c r="R3104" s="31">
        <f t="shared" si="302"/>
        <v>19500</v>
      </c>
    </row>
    <row r="3105" spans="1:18" ht="21.95" customHeight="1" x14ac:dyDescent="0.2">
      <c r="A3105" s="6" t="s">
        <v>943</v>
      </c>
      <c r="B3105" s="6" t="s">
        <v>1596</v>
      </c>
      <c r="C3105" s="6" t="s">
        <v>961</v>
      </c>
      <c r="D3105" s="6" t="s">
        <v>989</v>
      </c>
      <c r="E3105" s="6"/>
      <c r="G3105" s="6">
        <v>140</v>
      </c>
      <c r="H3105" s="6">
        <v>200</v>
      </c>
      <c r="K3105" s="7">
        <v>44007276</v>
      </c>
      <c r="L3105" s="6" t="str">
        <f t="shared" si="299"/>
        <v>YT DORMEO BAZA  140x200</v>
      </c>
      <c r="M3105" s="12">
        <v>0.1</v>
      </c>
      <c r="N3105" s="12">
        <v>0.1</v>
      </c>
      <c r="O3105" s="8">
        <v>10800</v>
      </c>
      <c r="P3105" s="8">
        <f t="shared" si="300"/>
        <v>9720</v>
      </c>
      <c r="Q3105" s="12">
        <f t="shared" si="301"/>
        <v>20412</v>
      </c>
      <c r="R3105" s="31">
        <f t="shared" si="302"/>
        <v>20400</v>
      </c>
    </row>
    <row r="3106" spans="1:18" ht="21.95" customHeight="1" x14ac:dyDescent="0.2">
      <c r="A3106" s="6" t="s">
        <v>943</v>
      </c>
      <c r="B3106" s="6" t="s">
        <v>1596</v>
      </c>
      <c r="C3106" s="6" t="s">
        <v>1010</v>
      </c>
      <c r="D3106" s="6" t="s">
        <v>945</v>
      </c>
      <c r="E3106" s="6"/>
      <c r="G3106" s="6">
        <v>90</v>
      </c>
      <c r="H3106" s="6">
        <v>190</v>
      </c>
      <c r="K3106" s="7">
        <v>44007277</v>
      </c>
      <c r="L3106" s="6" t="str">
        <f t="shared" si="299"/>
        <v>YT HİLAL  BAZA 90x190</v>
      </c>
      <c r="M3106" s="12">
        <v>0.1</v>
      </c>
      <c r="N3106" s="12">
        <v>0.1</v>
      </c>
      <c r="O3106" s="8">
        <v>6370</v>
      </c>
      <c r="P3106" s="8">
        <f t="shared" si="300"/>
        <v>5733</v>
      </c>
      <c r="Q3106" s="12">
        <f t="shared" si="301"/>
        <v>12039.300000000001</v>
      </c>
      <c r="R3106" s="31">
        <f t="shared" si="302"/>
        <v>12000</v>
      </c>
    </row>
    <row r="3107" spans="1:18" ht="21.95" customHeight="1" x14ac:dyDescent="0.2">
      <c r="A3107" s="6" t="s">
        <v>943</v>
      </c>
      <c r="B3107" s="6" t="s">
        <v>1596</v>
      </c>
      <c r="C3107" s="6" t="s">
        <v>1010</v>
      </c>
      <c r="D3107" s="6" t="s">
        <v>945</v>
      </c>
      <c r="E3107" s="6"/>
      <c r="G3107" s="6">
        <v>90</v>
      </c>
      <c r="H3107" s="6">
        <v>200</v>
      </c>
      <c r="K3107" s="7">
        <v>44007278</v>
      </c>
      <c r="L3107" s="6" t="str">
        <f t="shared" si="299"/>
        <v>YT HİLAL  BAZA 90x200</v>
      </c>
      <c r="M3107" s="12">
        <v>0.1</v>
      </c>
      <c r="N3107" s="12">
        <v>0.1</v>
      </c>
      <c r="O3107" s="8">
        <v>6670</v>
      </c>
      <c r="P3107" s="8">
        <f t="shared" si="300"/>
        <v>6003</v>
      </c>
      <c r="Q3107" s="12">
        <f t="shared" si="301"/>
        <v>12606.300000000001</v>
      </c>
      <c r="R3107" s="31">
        <f t="shared" si="302"/>
        <v>12600</v>
      </c>
    </row>
    <row r="3108" spans="1:18" ht="21.95" customHeight="1" x14ac:dyDescent="0.2">
      <c r="A3108" s="6" t="s">
        <v>943</v>
      </c>
      <c r="B3108" s="6" t="s">
        <v>1596</v>
      </c>
      <c r="C3108" s="6" t="s">
        <v>1010</v>
      </c>
      <c r="D3108" s="6" t="s">
        <v>945</v>
      </c>
      <c r="E3108" s="6"/>
      <c r="G3108" s="6">
        <v>100</v>
      </c>
      <c r="H3108" s="6">
        <v>200</v>
      </c>
      <c r="K3108" s="7">
        <v>44007279</v>
      </c>
      <c r="L3108" s="6" t="str">
        <f t="shared" si="299"/>
        <v>YT HİLAL  BAZA 100x200</v>
      </c>
      <c r="M3108" s="12">
        <v>0.1</v>
      </c>
      <c r="N3108" s="12">
        <v>0.1</v>
      </c>
      <c r="O3108" s="8">
        <v>7240</v>
      </c>
      <c r="P3108" s="8">
        <f t="shared" si="300"/>
        <v>6516</v>
      </c>
      <c r="Q3108" s="12">
        <f t="shared" si="301"/>
        <v>13683.6</v>
      </c>
      <c r="R3108" s="31">
        <f t="shared" si="302"/>
        <v>13600</v>
      </c>
    </row>
    <row r="3109" spans="1:18" ht="21.95" customHeight="1" x14ac:dyDescent="0.2">
      <c r="A3109" s="6" t="s">
        <v>943</v>
      </c>
      <c r="B3109" s="6" t="s">
        <v>1596</v>
      </c>
      <c r="C3109" s="6" t="s">
        <v>1010</v>
      </c>
      <c r="D3109" s="6" t="s">
        <v>945</v>
      </c>
      <c r="E3109" s="6"/>
      <c r="G3109" s="6">
        <v>120</v>
      </c>
      <c r="H3109" s="6">
        <v>200</v>
      </c>
      <c r="K3109" s="7">
        <v>44007280</v>
      </c>
      <c r="L3109" s="6" t="str">
        <f t="shared" si="299"/>
        <v>YT HİLAL  BAZA 120x200</v>
      </c>
      <c r="M3109" s="12">
        <v>0.1</v>
      </c>
      <c r="N3109" s="12">
        <v>0.1</v>
      </c>
      <c r="O3109" s="8">
        <v>8000</v>
      </c>
      <c r="P3109" s="8">
        <f t="shared" si="300"/>
        <v>7200</v>
      </c>
      <c r="Q3109" s="12">
        <f t="shared" si="301"/>
        <v>15120</v>
      </c>
      <c r="R3109" s="31">
        <f t="shared" si="302"/>
        <v>15100</v>
      </c>
    </row>
    <row r="3110" spans="1:18" ht="21.95" customHeight="1" x14ac:dyDescent="0.2">
      <c r="A3110" s="6" t="s">
        <v>943</v>
      </c>
      <c r="B3110" s="6" t="s">
        <v>1596</v>
      </c>
      <c r="C3110" s="6" t="s">
        <v>1010</v>
      </c>
      <c r="D3110" s="6" t="s">
        <v>945</v>
      </c>
      <c r="E3110" s="6"/>
      <c r="G3110" s="6">
        <v>140</v>
      </c>
      <c r="H3110" s="6">
        <v>190</v>
      </c>
      <c r="K3110" s="7">
        <v>44007281</v>
      </c>
      <c r="L3110" s="6" t="str">
        <f t="shared" si="299"/>
        <v>YT HİLAL  BAZA 140x190</v>
      </c>
      <c r="M3110" s="12">
        <v>0.1</v>
      </c>
      <c r="N3110" s="12">
        <v>0.1</v>
      </c>
      <c r="O3110" s="8">
        <v>10080</v>
      </c>
      <c r="P3110" s="8">
        <f t="shared" si="300"/>
        <v>9072</v>
      </c>
      <c r="Q3110" s="12">
        <f t="shared" si="301"/>
        <v>19051.2</v>
      </c>
      <c r="R3110" s="31">
        <f t="shared" si="302"/>
        <v>19000</v>
      </c>
    </row>
    <row r="3111" spans="1:18" ht="21.95" customHeight="1" x14ac:dyDescent="0.2">
      <c r="A3111" s="6" t="s">
        <v>943</v>
      </c>
      <c r="B3111" s="6" t="s">
        <v>1596</v>
      </c>
      <c r="C3111" s="6" t="s">
        <v>1010</v>
      </c>
      <c r="D3111" s="6" t="s">
        <v>945</v>
      </c>
      <c r="E3111" s="6"/>
      <c r="G3111" s="6">
        <v>140</v>
      </c>
      <c r="H3111" s="6">
        <v>200</v>
      </c>
      <c r="K3111" s="7">
        <v>44007282</v>
      </c>
      <c r="L3111" s="6" t="str">
        <f t="shared" si="299"/>
        <v>YT HİLAL  BAZA 140x200</v>
      </c>
      <c r="M3111" s="12">
        <v>0.1</v>
      </c>
      <c r="N3111" s="12">
        <v>0.1</v>
      </c>
      <c r="O3111" s="8">
        <v>10520</v>
      </c>
      <c r="P3111" s="8">
        <f t="shared" si="300"/>
        <v>9468</v>
      </c>
      <c r="Q3111" s="12">
        <f t="shared" si="301"/>
        <v>19882.8</v>
      </c>
      <c r="R3111" s="31">
        <f t="shared" si="302"/>
        <v>19800</v>
      </c>
    </row>
    <row r="3112" spans="1:18" ht="21.95" customHeight="1" x14ac:dyDescent="0.2">
      <c r="A3112" s="6" t="s">
        <v>943</v>
      </c>
      <c r="B3112" s="6" t="s">
        <v>1596</v>
      </c>
      <c r="C3112" s="6" t="s">
        <v>1008</v>
      </c>
      <c r="D3112" s="6" t="s">
        <v>989</v>
      </c>
      <c r="E3112" s="6"/>
      <c r="G3112" s="6">
        <v>140</v>
      </c>
      <c r="H3112" s="6">
        <v>190</v>
      </c>
      <c r="K3112" s="7">
        <v>44007283</v>
      </c>
      <c r="L3112" s="6" t="str">
        <f t="shared" si="299"/>
        <v>YT SARAY  BAZA  140x190</v>
      </c>
      <c r="M3112" s="12">
        <v>0.1</v>
      </c>
      <c r="N3112" s="12">
        <v>0.1</v>
      </c>
      <c r="O3112" s="8">
        <v>9210</v>
      </c>
      <c r="P3112" s="8">
        <f t="shared" si="300"/>
        <v>8289</v>
      </c>
      <c r="Q3112" s="12">
        <f t="shared" si="301"/>
        <v>17406.900000000001</v>
      </c>
      <c r="R3112" s="31">
        <f t="shared" si="302"/>
        <v>17400</v>
      </c>
    </row>
    <row r="3113" spans="1:18" ht="21.95" customHeight="1" x14ac:dyDescent="0.2">
      <c r="A3113" s="6" t="s">
        <v>943</v>
      </c>
      <c r="B3113" s="6" t="s">
        <v>1596</v>
      </c>
      <c r="C3113" s="6" t="s">
        <v>1008</v>
      </c>
      <c r="D3113" s="6" t="s">
        <v>989</v>
      </c>
      <c r="E3113" s="6"/>
      <c r="G3113" s="6">
        <v>140</v>
      </c>
      <c r="H3113" s="6">
        <v>200</v>
      </c>
      <c r="K3113" s="7">
        <v>44007284</v>
      </c>
      <c r="L3113" s="6" t="str">
        <f t="shared" si="299"/>
        <v>YT SARAY  BAZA  140x200</v>
      </c>
      <c r="M3113" s="12">
        <v>0.1</v>
      </c>
      <c r="N3113" s="12">
        <v>0.1</v>
      </c>
      <c r="O3113" s="8">
        <v>9680</v>
      </c>
      <c r="P3113" s="8">
        <f t="shared" si="300"/>
        <v>8712</v>
      </c>
      <c r="Q3113" s="12">
        <f t="shared" si="301"/>
        <v>18295.2</v>
      </c>
      <c r="R3113" s="31">
        <f t="shared" si="302"/>
        <v>18200</v>
      </c>
    </row>
    <row r="3114" spans="1:18" ht="21.95" customHeight="1" x14ac:dyDescent="0.2">
      <c r="A3114" s="6" t="s">
        <v>943</v>
      </c>
      <c r="B3114" s="6" t="s">
        <v>1596</v>
      </c>
      <c r="C3114" s="6" t="s">
        <v>1096</v>
      </c>
      <c r="D3114" s="6" t="s">
        <v>945</v>
      </c>
      <c r="E3114" s="6"/>
      <c r="G3114" s="6">
        <v>90</v>
      </c>
      <c r="H3114" s="6">
        <v>190</v>
      </c>
      <c r="K3114" s="7">
        <v>44007285</v>
      </c>
      <c r="L3114" s="6" t="str">
        <f t="shared" si="299"/>
        <v>YT PLANET  BAZA 90x190</v>
      </c>
      <c r="M3114" s="12">
        <v>0.1</v>
      </c>
      <c r="N3114" s="12">
        <v>0.1</v>
      </c>
      <c r="O3114" s="8">
        <v>5470</v>
      </c>
      <c r="P3114" s="8">
        <f t="shared" si="300"/>
        <v>4923</v>
      </c>
      <c r="Q3114" s="12">
        <f t="shared" si="301"/>
        <v>10338.300000000001</v>
      </c>
      <c r="R3114" s="31">
        <f t="shared" si="302"/>
        <v>10300</v>
      </c>
    </row>
    <row r="3115" spans="1:18" ht="21.95" customHeight="1" x14ac:dyDescent="0.2">
      <c r="A3115" s="6" t="s">
        <v>943</v>
      </c>
      <c r="B3115" s="6" t="s">
        <v>1596</v>
      </c>
      <c r="C3115" s="6" t="s">
        <v>1096</v>
      </c>
      <c r="D3115" s="6" t="s">
        <v>945</v>
      </c>
      <c r="E3115" s="6"/>
      <c r="G3115" s="6">
        <v>90</v>
      </c>
      <c r="H3115" s="6">
        <v>200</v>
      </c>
      <c r="K3115" s="7">
        <v>44007286</v>
      </c>
      <c r="L3115" s="6" t="str">
        <f t="shared" si="299"/>
        <v>YT PLANET  BAZA 90x200</v>
      </c>
      <c r="M3115" s="12">
        <v>0.1</v>
      </c>
      <c r="N3115" s="12">
        <v>0.1</v>
      </c>
      <c r="O3115" s="8">
        <v>5720</v>
      </c>
      <c r="P3115" s="8">
        <f t="shared" si="300"/>
        <v>5148</v>
      </c>
      <c r="Q3115" s="12">
        <f t="shared" si="301"/>
        <v>10810.800000000001</v>
      </c>
      <c r="R3115" s="31">
        <f t="shared" si="302"/>
        <v>10800</v>
      </c>
    </row>
    <row r="3116" spans="1:18" ht="21.95" customHeight="1" x14ac:dyDescent="0.2">
      <c r="A3116" s="6" t="s">
        <v>943</v>
      </c>
      <c r="B3116" s="6" t="s">
        <v>1596</v>
      </c>
      <c r="C3116" s="6" t="s">
        <v>1096</v>
      </c>
      <c r="D3116" s="6" t="s">
        <v>945</v>
      </c>
      <c r="E3116" s="6"/>
      <c r="G3116" s="6">
        <v>100</v>
      </c>
      <c r="H3116" s="6">
        <v>200</v>
      </c>
      <c r="K3116" s="7">
        <v>44007287</v>
      </c>
      <c r="L3116" s="6" t="str">
        <f t="shared" si="299"/>
        <v>YT PLANET  BAZA 100x200</v>
      </c>
      <c r="M3116" s="12">
        <v>0.1</v>
      </c>
      <c r="N3116" s="12">
        <v>0.1</v>
      </c>
      <c r="O3116" s="8">
        <v>6040</v>
      </c>
      <c r="P3116" s="8">
        <f t="shared" si="300"/>
        <v>5436</v>
      </c>
      <c r="Q3116" s="12">
        <f t="shared" si="301"/>
        <v>11415.6</v>
      </c>
      <c r="R3116" s="31">
        <f t="shared" si="302"/>
        <v>11400</v>
      </c>
    </row>
    <row r="3117" spans="1:18" ht="21.95" customHeight="1" x14ac:dyDescent="0.2">
      <c r="A3117" s="6" t="s">
        <v>943</v>
      </c>
      <c r="B3117" s="6" t="s">
        <v>1596</v>
      </c>
      <c r="C3117" s="6" t="s">
        <v>1096</v>
      </c>
      <c r="D3117" s="6" t="s">
        <v>945</v>
      </c>
      <c r="E3117" s="6"/>
      <c r="G3117" s="6">
        <v>120</v>
      </c>
      <c r="H3117" s="6">
        <v>200</v>
      </c>
      <c r="K3117" s="7">
        <v>44007288</v>
      </c>
      <c r="L3117" s="6" t="str">
        <f t="shared" si="299"/>
        <v>YT PLANET  BAZA 120x200</v>
      </c>
      <c r="M3117" s="12">
        <v>0.1</v>
      </c>
      <c r="N3117" s="12">
        <v>0.1</v>
      </c>
      <c r="O3117" s="8">
        <v>6590</v>
      </c>
      <c r="P3117" s="8">
        <f t="shared" si="300"/>
        <v>5931</v>
      </c>
      <c r="Q3117" s="12">
        <f t="shared" si="301"/>
        <v>12455.1</v>
      </c>
      <c r="R3117" s="31">
        <f t="shared" si="302"/>
        <v>12400</v>
      </c>
    </row>
    <row r="3118" spans="1:18" ht="21.95" customHeight="1" x14ac:dyDescent="0.2">
      <c r="A3118" s="6" t="s">
        <v>943</v>
      </c>
      <c r="B3118" s="6" t="s">
        <v>1596</v>
      </c>
      <c r="C3118" s="6" t="s">
        <v>1096</v>
      </c>
      <c r="D3118" s="6" t="s">
        <v>945</v>
      </c>
      <c r="E3118" s="6"/>
      <c r="G3118" s="6">
        <v>140</v>
      </c>
      <c r="H3118" s="6">
        <v>190</v>
      </c>
      <c r="K3118" s="7">
        <v>44007289</v>
      </c>
      <c r="L3118" s="6" t="str">
        <f t="shared" si="299"/>
        <v>YT PLANET  BAZA 140x190</v>
      </c>
      <c r="M3118" s="12">
        <v>0.1</v>
      </c>
      <c r="N3118" s="12">
        <v>0.1</v>
      </c>
      <c r="O3118" s="8">
        <v>8990</v>
      </c>
      <c r="P3118" s="8">
        <f t="shared" si="300"/>
        <v>8091</v>
      </c>
      <c r="Q3118" s="12">
        <f t="shared" si="301"/>
        <v>16991.100000000002</v>
      </c>
      <c r="R3118" s="31">
        <f t="shared" si="302"/>
        <v>16900</v>
      </c>
    </row>
    <row r="3119" spans="1:18" ht="21.95" customHeight="1" x14ac:dyDescent="0.2">
      <c r="A3119" s="6" t="s">
        <v>943</v>
      </c>
      <c r="B3119" s="6" t="s">
        <v>1596</v>
      </c>
      <c r="C3119" s="6" t="s">
        <v>1096</v>
      </c>
      <c r="D3119" s="6" t="s">
        <v>945</v>
      </c>
      <c r="E3119" s="6"/>
      <c r="G3119" s="6">
        <v>140</v>
      </c>
      <c r="H3119" s="6">
        <v>200</v>
      </c>
      <c r="K3119" s="7">
        <v>44007290</v>
      </c>
      <c r="L3119" s="6" t="str">
        <f t="shared" si="299"/>
        <v>YT PLANET  BAZA 140x200</v>
      </c>
      <c r="M3119" s="12">
        <v>0.1</v>
      </c>
      <c r="N3119" s="12">
        <v>0.1</v>
      </c>
      <c r="O3119" s="8">
        <v>9330</v>
      </c>
      <c r="P3119" s="8">
        <f t="shared" si="300"/>
        <v>8397</v>
      </c>
      <c r="Q3119" s="12">
        <f t="shared" si="301"/>
        <v>17633.7</v>
      </c>
      <c r="R3119" s="31">
        <f t="shared" si="302"/>
        <v>17600</v>
      </c>
    </row>
    <row r="3120" spans="1:18" ht="21.95" customHeight="1" x14ac:dyDescent="0.2">
      <c r="A3120" s="6" t="s">
        <v>943</v>
      </c>
      <c r="B3120" s="6" t="s">
        <v>1596</v>
      </c>
      <c r="C3120" s="6" t="s">
        <v>1053</v>
      </c>
      <c r="D3120" s="6" t="s">
        <v>989</v>
      </c>
      <c r="E3120" s="6"/>
      <c r="G3120" s="6">
        <v>140</v>
      </c>
      <c r="H3120" s="6">
        <v>190</v>
      </c>
      <c r="K3120" s="7">
        <v>44007291</v>
      </c>
      <c r="L3120" s="6" t="str">
        <f t="shared" si="299"/>
        <v>YT LEATHER  BAZA  140x190</v>
      </c>
      <c r="M3120" s="12">
        <v>0.1</v>
      </c>
      <c r="N3120" s="12">
        <v>0.1</v>
      </c>
      <c r="O3120" s="8">
        <v>7130</v>
      </c>
      <c r="P3120" s="8">
        <f t="shared" si="300"/>
        <v>6417</v>
      </c>
      <c r="Q3120" s="12">
        <f t="shared" si="301"/>
        <v>13475.7</v>
      </c>
      <c r="R3120" s="31">
        <f t="shared" si="302"/>
        <v>13400</v>
      </c>
    </row>
    <row r="3121" spans="1:18" ht="21.95" customHeight="1" x14ac:dyDescent="0.2">
      <c r="A3121" s="6" t="s">
        <v>943</v>
      </c>
      <c r="B3121" s="6" t="s">
        <v>1596</v>
      </c>
      <c r="C3121" s="6" t="s">
        <v>1053</v>
      </c>
      <c r="D3121" s="6" t="s">
        <v>989</v>
      </c>
      <c r="E3121" s="6"/>
      <c r="G3121" s="6">
        <v>140</v>
      </c>
      <c r="H3121" s="6">
        <v>200</v>
      </c>
      <c r="K3121" s="7">
        <v>44007292</v>
      </c>
      <c r="L3121" s="6" t="str">
        <f t="shared" si="299"/>
        <v>YT LEATHER  BAZA  140x200</v>
      </c>
      <c r="M3121" s="12">
        <v>0.1</v>
      </c>
      <c r="N3121" s="12">
        <v>0.1</v>
      </c>
      <c r="O3121" s="8">
        <v>7870</v>
      </c>
      <c r="P3121" s="8">
        <f t="shared" si="300"/>
        <v>7083</v>
      </c>
      <c r="Q3121" s="12">
        <f t="shared" si="301"/>
        <v>14874.300000000001</v>
      </c>
      <c r="R3121" s="31">
        <f t="shared" si="302"/>
        <v>14800</v>
      </c>
    </row>
    <row r="3122" spans="1:18" ht="21.95" customHeight="1" x14ac:dyDescent="0.2">
      <c r="A3122" s="6" t="s">
        <v>943</v>
      </c>
      <c r="B3122" s="6" t="s">
        <v>1596</v>
      </c>
      <c r="C3122" s="6" t="s">
        <v>1051</v>
      </c>
      <c r="D3122" s="6" t="s">
        <v>989</v>
      </c>
      <c r="E3122" s="6"/>
      <c r="G3122" s="6">
        <v>140</v>
      </c>
      <c r="H3122" s="6">
        <v>190</v>
      </c>
      <c r="K3122" s="7">
        <v>44007293</v>
      </c>
      <c r="L3122" s="6" t="str">
        <f t="shared" si="299"/>
        <v>YT JAGUAR BAZA  140x190</v>
      </c>
      <c r="M3122" s="12">
        <v>0.1</v>
      </c>
      <c r="N3122" s="12">
        <v>0.1</v>
      </c>
      <c r="O3122" s="8">
        <v>7280</v>
      </c>
      <c r="P3122" s="8">
        <f t="shared" si="300"/>
        <v>6552</v>
      </c>
      <c r="Q3122" s="12">
        <f t="shared" si="301"/>
        <v>13759.2</v>
      </c>
      <c r="R3122" s="31">
        <f t="shared" si="302"/>
        <v>13700</v>
      </c>
    </row>
    <row r="3123" spans="1:18" ht="21.95" customHeight="1" x14ac:dyDescent="0.2">
      <c r="A3123" s="6" t="s">
        <v>943</v>
      </c>
      <c r="B3123" s="6" t="s">
        <v>1596</v>
      </c>
      <c r="C3123" s="6" t="s">
        <v>1051</v>
      </c>
      <c r="D3123" s="6" t="s">
        <v>945</v>
      </c>
      <c r="E3123" s="6"/>
      <c r="G3123" s="6">
        <v>140</v>
      </c>
      <c r="H3123" s="6">
        <v>200</v>
      </c>
      <c r="K3123" s="7">
        <v>44007294</v>
      </c>
      <c r="L3123" s="6" t="str">
        <f t="shared" si="299"/>
        <v>YT JAGUAR BAZA 140x200</v>
      </c>
      <c r="M3123" s="12">
        <v>0.1</v>
      </c>
      <c r="N3123" s="12">
        <v>0.1</v>
      </c>
      <c r="O3123" s="8">
        <v>7610</v>
      </c>
      <c r="P3123" s="8">
        <f t="shared" si="300"/>
        <v>6849</v>
      </c>
      <c r="Q3123" s="12">
        <f t="shared" si="301"/>
        <v>14382.900000000001</v>
      </c>
      <c r="R3123" s="31">
        <f t="shared" si="302"/>
        <v>14300</v>
      </c>
    </row>
    <row r="3124" spans="1:18" ht="21.95" customHeight="1" x14ac:dyDescent="0.2">
      <c r="A3124" s="6" t="s">
        <v>943</v>
      </c>
      <c r="B3124" s="6" t="s">
        <v>1596</v>
      </c>
      <c r="C3124" s="6" t="s">
        <v>1020</v>
      </c>
      <c r="D3124" s="6" t="s">
        <v>945</v>
      </c>
      <c r="E3124" s="6"/>
      <c r="G3124" s="6">
        <v>140</v>
      </c>
      <c r="H3124" s="6">
        <v>190</v>
      </c>
      <c r="K3124" s="7">
        <v>44007295</v>
      </c>
      <c r="L3124" s="6" t="str">
        <f t="shared" si="299"/>
        <v>YT JAGUAR + BAZA 140x190</v>
      </c>
      <c r="M3124" s="12">
        <v>0.1</v>
      </c>
      <c r="N3124" s="12">
        <v>0.1</v>
      </c>
      <c r="O3124" s="8">
        <v>8460</v>
      </c>
      <c r="P3124" s="8">
        <f t="shared" si="300"/>
        <v>7614</v>
      </c>
      <c r="Q3124" s="12">
        <f t="shared" si="301"/>
        <v>15989.400000000001</v>
      </c>
      <c r="R3124" s="31">
        <f t="shared" si="302"/>
        <v>15900</v>
      </c>
    </row>
    <row r="3125" spans="1:18" ht="21.95" customHeight="1" x14ac:dyDescent="0.2">
      <c r="A3125" s="6" t="s">
        <v>943</v>
      </c>
      <c r="B3125" s="6" t="s">
        <v>1596</v>
      </c>
      <c r="C3125" s="6" t="s">
        <v>1020</v>
      </c>
      <c r="D3125" s="6" t="s">
        <v>945</v>
      </c>
      <c r="E3125" s="6"/>
      <c r="G3125" s="6">
        <v>140</v>
      </c>
      <c r="H3125" s="6">
        <v>200</v>
      </c>
      <c r="K3125" s="7">
        <v>44007296</v>
      </c>
      <c r="L3125" s="6" t="str">
        <f t="shared" si="299"/>
        <v>YT JAGUAR + BAZA 140x200</v>
      </c>
      <c r="M3125" s="12">
        <v>0.1</v>
      </c>
      <c r="N3125" s="12">
        <v>0.1</v>
      </c>
      <c r="O3125" s="8">
        <v>8460</v>
      </c>
      <c r="P3125" s="8">
        <f t="shared" si="300"/>
        <v>7614</v>
      </c>
      <c r="Q3125" s="12">
        <f t="shared" si="301"/>
        <v>15989.400000000001</v>
      </c>
      <c r="R3125" s="31">
        <f t="shared" si="302"/>
        <v>15900</v>
      </c>
    </row>
    <row r="3126" spans="1:18" ht="21.95" customHeight="1" x14ac:dyDescent="0.2">
      <c r="A3126" s="6" t="s">
        <v>943</v>
      </c>
      <c r="B3126" s="6" t="s">
        <v>1596</v>
      </c>
      <c r="C3126" s="6" t="s">
        <v>1061</v>
      </c>
      <c r="D3126" s="6" t="s">
        <v>945</v>
      </c>
      <c r="E3126" s="6"/>
      <c r="G3126" s="6">
        <v>140</v>
      </c>
      <c r="H3126" s="6">
        <v>190</v>
      </c>
      <c r="K3126" s="7">
        <v>44007297</v>
      </c>
      <c r="L3126" s="6" t="str">
        <f t="shared" si="299"/>
        <v>YT İN RÜYA BAZA 140x190</v>
      </c>
      <c r="M3126" s="12">
        <v>0.1</v>
      </c>
      <c r="N3126" s="12">
        <v>0.1</v>
      </c>
      <c r="O3126" s="8">
        <v>7020</v>
      </c>
      <c r="P3126" s="8">
        <f t="shared" si="300"/>
        <v>6318</v>
      </c>
      <c r="Q3126" s="12">
        <f t="shared" si="301"/>
        <v>13267.800000000001</v>
      </c>
      <c r="R3126" s="31">
        <f t="shared" si="302"/>
        <v>13200</v>
      </c>
    </row>
    <row r="3127" spans="1:18" ht="21.95" customHeight="1" x14ac:dyDescent="0.2">
      <c r="A3127" s="6" t="s">
        <v>943</v>
      </c>
      <c r="B3127" s="6" t="s">
        <v>1596</v>
      </c>
      <c r="C3127" s="6" t="s">
        <v>1061</v>
      </c>
      <c r="D3127" s="6" t="s">
        <v>945</v>
      </c>
      <c r="E3127" s="6"/>
      <c r="G3127" s="6">
        <v>140</v>
      </c>
      <c r="H3127" s="6">
        <v>200</v>
      </c>
      <c r="K3127" s="7">
        <v>44007298</v>
      </c>
      <c r="L3127" s="6" t="str">
        <f t="shared" si="299"/>
        <v>YT İN RÜYA BAZA 140x200</v>
      </c>
      <c r="M3127" s="12">
        <v>0.1</v>
      </c>
      <c r="N3127" s="12">
        <v>0.1</v>
      </c>
      <c r="O3127" s="8">
        <v>7330</v>
      </c>
      <c r="P3127" s="8">
        <f t="shared" si="300"/>
        <v>6597</v>
      </c>
      <c r="Q3127" s="12">
        <f t="shared" si="301"/>
        <v>13853.7</v>
      </c>
      <c r="R3127" s="31">
        <f t="shared" si="302"/>
        <v>13800</v>
      </c>
    </row>
    <row r="3128" spans="1:18" ht="21.95" customHeight="1" x14ac:dyDescent="0.2">
      <c r="A3128" s="6" t="s">
        <v>943</v>
      </c>
      <c r="B3128" s="6" t="s">
        <v>1596</v>
      </c>
      <c r="C3128" s="6" t="s">
        <v>1097</v>
      </c>
      <c r="D3128" s="6" t="s">
        <v>989</v>
      </c>
      <c r="E3128" s="6"/>
      <c r="G3128" s="6">
        <v>90</v>
      </c>
      <c r="H3128" s="6">
        <v>190</v>
      </c>
      <c r="K3128" s="7">
        <v>44007299</v>
      </c>
      <c r="L3128" s="6" t="str">
        <f t="shared" si="299"/>
        <v>YT İN İREM  BAZA  90x190</v>
      </c>
      <c r="M3128" s="12">
        <v>0.1</v>
      </c>
      <c r="N3128" s="12">
        <v>0.1</v>
      </c>
      <c r="O3128" s="8">
        <v>3920</v>
      </c>
      <c r="P3128" s="8">
        <f t="shared" si="300"/>
        <v>3528</v>
      </c>
      <c r="Q3128" s="12">
        <f t="shared" si="301"/>
        <v>7408.8</v>
      </c>
      <c r="R3128" s="31">
        <f t="shared" si="302"/>
        <v>7400</v>
      </c>
    </row>
    <row r="3129" spans="1:18" ht="21.95" customHeight="1" x14ac:dyDescent="0.2">
      <c r="A3129" s="6" t="s">
        <v>943</v>
      </c>
      <c r="B3129" s="6" t="s">
        <v>1596</v>
      </c>
      <c r="C3129" s="6" t="s">
        <v>1097</v>
      </c>
      <c r="D3129" s="6" t="s">
        <v>989</v>
      </c>
      <c r="E3129" s="6"/>
      <c r="G3129" s="6">
        <v>90</v>
      </c>
      <c r="H3129" s="6">
        <v>200</v>
      </c>
      <c r="K3129" s="7">
        <v>44007300</v>
      </c>
      <c r="L3129" s="6" t="str">
        <f t="shared" si="299"/>
        <v>YT İN İREM  BAZA  90x200</v>
      </c>
      <c r="M3129" s="12">
        <v>0.1</v>
      </c>
      <c r="N3129" s="12">
        <v>0.1</v>
      </c>
      <c r="O3129" s="8">
        <v>4140</v>
      </c>
      <c r="P3129" s="8">
        <f t="shared" si="300"/>
        <v>3726</v>
      </c>
      <c r="Q3129" s="12">
        <f t="shared" si="301"/>
        <v>7824.6</v>
      </c>
      <c r="R3129" s="31">
        <f t="shared" si="302"/>
        <v>7800</v>
      </c>
    </row>
    <row r="3130" spans="1:18" ht="21.95" customHeight="1" x14ac:dyDescent="0.2">
      <c r="A3130" s="6" t="s">
        <v>943</v>
      </c>
      <c r="B3130" s="6" t="s">
        <v>1596</v>
      </c>
      <c r="C3130" s="6" t="s">
        <v>1097</v>
      </c>
      <c r="D3130" s="6" t="s">
        <v>989</v>
      </c>
      <c r="E3130" s="6"/>
      <c r="G3130" s="6">
        <v>100</v>
      </c>
      <c r="H3130" s="6">
        <v>200</v>
      </c>
      <c r="K3130" s="7">
        <v>44007301</v>
      </c>
      <c r="L3130" s="6" t="str">
        <f t="shared" si="299"/>
        <v>YT İN İREM  BAZA  100x200</v>
      </c>
      <c r="M3130" s="12">
        <v>0.1</v>
      </c>
      <c r="N3130" s="12">
        <v>0.1</v>
      </c>
      <c r="O3130" s="8">
        <v>4460</v>
      </c>
      <c r="P3130" s="8">
        <f t="shared" si="300"/>
        <v>4014</v>
      </c>
      <c r="Q3130" s="12">
        <f t="shared" si="301"/>
        <v>8429.4</v>
      </c>
      <c r="R3130" s="31">
        <f t="shared" si="302"/>
        <v>8400</v>
      </c>
    </row>
    <row r="3131" spans="1:18" ht="21.95" customHeight="1" x14ac:dyDescent="0.2">
      <c r="A3131" s="6" t="s">
        <v>943</v>
      </c>
      <c r="B3131" s="6" t="s">
        <v>1596</v>
      </c>
      <c r="C3131" s="6" t="s">
        <v>1097</v>
      </c>
      <c r="D3131" s="6" t="s">
        <v>989</v>
      </c>
      <c r="E3131" s="6"/>
      <c r="G3131" s="6">
        <v>120</v>
      </c>
      <c r="H3131" s="6">
        <v>200</v>
      </c>
      <c r="K3131" s="7">
        <v>44007302</v>
      </c>
      <c r="L3131" s="6" t="str">
        <f t="shared" si="299"/>
        <v>YT İN İREM  BAZA  120x200</v>
      </c>
      <c r="M3131" s="12">
        <v>0.1</v>
      </c>
      <c r="N3131" s="12">
        <v>0.1</v>
      </c>
      <c r="O3131" s="8">
        <v>4950</v>
      </c>
      <c r="P3131" s="8">
        <f t="shared" si="300"/>
        <v>4455</v>
      </c>
      <c r="Q3131" s="12">
        <f t="shared" si="301"/>
        <v>9355.5</v>
      </c>
      <c r="R3131" s="31">
        <f t="shared" si="302"/>
        <v>9300</v>
      </c>
    </row>
    <row r="3132" spans="1:18" ht="21.95" customHeight="1" x14ac:dyDescent="0.2">
      <c r="A3132" s="6" t="s">
        <v>943</v>
      </c>
      <c r="B3132" s="6" t="s">
        <v>1596</v>
      </c>
      <c r="C3132" s="6" t="s">
        <v>1097</v>
      </c>
      <c r="D3132" s="6" t="s">
        <v>989</v>
      </c>
      <c r="E3132" s="6"/>
      <c r="G3132" s="6">
        <v>140</v>
      </c>
      <c r="H3132" s="6">
        <v>190</v>
      </c>
      <c r="K3132" s="7">
        <v>44007303</v>
      </c>
      <c r="L3132" s="6" t="str">
        <f t="shared" si="299"/>
        <v>YT İN İREM  BAZA  140x190</v>
      </c>
      <c r="M3132" s="12">
        <v>0.1</v>
      </c>
      <c r="N3132" s="12">
        <v>0.1</v>
      </c>
      <c r="O3132" s="8">
        <v>6750</v>
      </c>
      <c r="P3132" s="8">
        <f t="shared" si="300"/>
        <v>6075</v>
      </c>
      <c r="Q3132" s="12">
        <f t="shared" si="301"/>
        <v>12757.5</v>
      </c>
      <c r="R3132" s="31">
        <f t="shared" si="302"/>
        <v>12700</v>
      </c>
    </row>
    <row r="3133" spans="1:18" ht="21.95" customHeight="1" x14ac:dyDescent="0.2">
      <c r="A3133" s="6" t="s">
        <v>943</v>
      </c>
      <c r="B3133" s="6" t="s">
        <v>1596</v>
      </c>
      <c r="C3133" s="6" t="s">
        <v>1097</v>
      </c>
      <c r="D3133" s="6" t="s">
        <v>989</v>
      </c>
      <c r="E3133" s="6"/>
      <c r="G3133" s="6">
        <v>140</v>
      </c>
      <c r="H3133" s="6">
        <v>200</v>
      </c>
      <c r="K3133" s="7">
        <v>44007304</v>
      </c>
      <c r="L3133" s="6" t="str">
        <f t="shared" si="299"/>
        <v>YT İN İREM  BAZA  140x200</v>
      </c>
      <c r="M3133" s="12">
        <v>0.1</v>
      </c>
      <c r="N3133" s="12">
        <v>0.1</v>
      </c>
      <c r="O3133" s="8">
        <v>7060</v>
      </c>
      <c r="P3133" s="8">
        <f t="shared" si="300"/>
        <v>6354</v>
      </c>
      <c r="Q3133" s="12">
        <f t="shared" si="301"/>
        <v>13343.400000000001</v>
      </c>
      <c r="R3133" s="31">
        <f t="shared" si="302"/>
        <v>13300</v>
      </c>
    </row>
    <row r="3134" spans="1:18" ht="21.95" customHeight="1" x14ac:dyDescent="0.2">
      <c r="A3134" s="6" t="s">
        <v>943</v>
      </c>
      <c r="B3134" s="6" t="s">
        <v>1596</v>
      </c>
      <c r="C3134" s="6" t="s">
        <v>1038</v>
      </c>
      <c r="D3134" s="6" t="s">
        <v>989</v>
      </c>
      <c r="E3134" s="6"/>
      <c r="G3134" s="6">
        <v>90</v>
      </c>
      <c r="H3134" s="6">
        <v>190</v>
      </c>
      <c r="K3134" s="7">
        <v>44007305</v>
      </c>
      <c r="L3134" s="6" t="str">
        <f t="shared" si="299"/>
        <v>YT RÜYA  BAZA  90x190</v>
      </c>
      <c r="M3134" s="12">
        <v>0.1</v>
      </c>
      <c r="N3134" s="12">
        <v>0.1</v>
      </c>
      <c r="O3134" s="8">
        <v>3970</v>
      </c>
      <c r="P3134" s="8">
        <f t="shared" si="300"/>
        <v>3573</v>
      </c>
      <c r="Q3134" s="12">
        <f t="shared" si="301"/>
        <v>7503.3</v>
      </c>
      <c r="R3134" s="31">
        <f t="shared" si="302"/>
        <v>7500</v>
      </c>
    </row>
    <row r="3135" spans="1:18" ht="21.95" customHeight="1" x14ac:dyDescent="0.2">
      <c r="A3135" s="6" t="s">
        <v>943</v>
      </c>
      <c r="B3135" s="6" t="s">
        <v>1596</v>
      </c>
      <c r="C3135" s="6" t="s">
        <v>1038</v>
      </c>
      <c r="D3135" s="6" t="s">
        <v>989</v>
      </c>
      <c r="E3135" s="6"/>
      <c r="G3135" s="6">
        <v>90</v>
      </c>
      <c r="H3135" s="6">
        <v>200</v>
      </c>
      <c r="K3135" s="7">
        <v>44007306</v>
      </c>
      <c r="L3135" s="6" t="str">
        <f t="shared" si="299"/>
        <v>YT RÜYA  BAZA  90x200</v>
      </c>
      <c r="M3135" s="12">
        <v>0.1</v>
      </c>
      <c r="N3135" s="12">
        <v>0.1</v>
      </c>
      <c r="O3135" s="8">
        <v>4140</v>
      </c>
      <c r="P3135" s="8">
        <f t="shared" si="300"/>
        <v>3726</v>
      </c>
      <c r="Q3135" s="12">
        <f t="shared" si="301"/>
        <v>7824.6</v>
      </c>
      <c r="R3135" s="31">
        <f t="shared" si="302"/>
        <v>7800</v>
      </c>
    </row>
    <row r="3136" spans="1:18" ht="21.95" customHeight="1" x14ac:dyDescent="0.2">
      <c r="A3136" s="6" t="s">
        <v>943</v>
      </c>
      <c r="B3136" s="6" t="s">
        <v>1596</v>
      </c>
      <c r="C3136" s="6" t="s">
        <v>1038</v>
      </c>
      <c r="D3136" s="6" t="s">
        <v>989</v>
      </c>
      <c r="E3136" s="6"/>
      <c r="G3136" s="6">
        <v>100</v>
      </c>
      <c r="H3136" s="6">
        <v>200</v>
      </c>
      <c r="K3136" s="7">
        <v>44007307</v>
      </c>
      <c r="L3136" s="6" t="str">
        <f t="shared" si="299"/>
        <v>YT RÜYA  BAZA  100x200</v>
      </c>
      <c r="M3136" s="12">
        <v>0.1</v>
      </c>
      <c r="N3136" s="12">
        <v>0.1</v>
      </c>
      <c r="O3136" s="8">
        <v>4420</v>
      </c>
      <c r="P3136" s="8">
        <f t="shared" si="300"/>
        <v>3978</v>
      </c>
      <c r="Q3136" s="12">
        <f t="shared" si="301"/>
        <v>8353.8000000000011</v>
      </c>
      <c r="R3136" s="31">
        <f t="shared" si="302"/>
        <v>8300</v>
      </c>
    </row>
    <row r="3137" spans="1:18" ht="21.95" customHeight="1" x14ac:dyDescent="0.2">
      <c r="A3137" s="6" t="s">
        <v>943</v>
      </c>
      <c r="B3137" s="6" t="s">
        <v>1596</v>
      </c>
      <c r="C3137" s="6" t="s">
        <v>1038</v>
      </c>
      <c r="D3137" s="6" t="s">
        <v>989</v>
      </c>
      <c r="E3137" s="6"/>
      <c r="G3137" s="6">
        <v>120</v>
      </c>
      <c r="H3137" s="6">
        <v>200</v>
      </c>
      <c r="K3137" s="7">
        <v>44007308</v>
      </c>
      <c r="L3137" s="6" t="str">
        <f t="shared" si="299"/>
        <v>YT RÜYA  BAZA  120x200</v>
      </c>
      <c r="M3137" s="12">
        <v>0.1</v>
      </c>
      <c r="N3137" s="12">
        <v>0.1</v>
      </c>
      <c r="O3137" s="8">
        <v>4900</v>
      </c>
      <c r="P3137" s="8">
        <f t="shared" si="300"/>
        <v>4410</v>
      </c>
      <c r="Q3137" s="12">
        <f t="shared" si="301"/>
        <v>9261</v>
      </c>
      <c r="R3137" s="31">
        <f t="shared" si="302"/>
        <v>9200</v>
      </c>
    </row>
    <row r="3138" spans="1:18" ht="21.95" customHeight="1" x14ac:dyDescent="0.2">
      <c r="A3138" s="6" t="s">
        <v>943</v>
      </c>
      <c r="B3138" s="6" t="s">
        <v>1596</v>
      </c>
      <c r="C3138" s="6" t="s">
        <v>1038</v>
      </c>
      <c r="D3138" s="6" t="s">
        <v>989</v>
      </c>
      <c r="E3138" s="6"/>
      <c r="G3138" s="6">
        <v>140</v>
      </c>
      <c r="H3138" s="6">
        <v>190</v>
      </c>
      <c r="K3138" s="7">
        <v>44007309</v>
      </c>
      <c r="L3138" s="6" t="str">
        <f t="shared" si="299"/>
        <v>YT RÜYA  BAZA  140x190</v>
      </c>
      <c r="M3138" s="12">
        <v>0.1</v>
      </c>
      <c r="N3138" s="12">
        <v>0.1</v>
      </c>
      <c r="O3138" s="8">
        <v>6630</v>
      </c>
      <c r="P3138" s="8">
        <f t="shared" si="300"/>
        <v>5967</v>
      </c>
      <c r="Q3138" s="12">
        <f t="shared" si="301"/>
        <v>12530.7</v>
      </c>
      <c r="R3138" s="31">
        <f t="shared" si="302"/>
        <v>12500</v>
      </c>
    </row>
    <row r="3139" spans="1:18" ht="21.95" customHeight="1" x14ac:dyDescent="0.2">
      <c r="A3139" s="6" t="s">
        <v>943</v>
      </c>
      <c r="B3139" s="6" t="s">
        <v>1596</v>
      </c>
      <c r="C3139" s="6" t="s">
        <v>1038</v>
      </c>
      <c r="D3139" s="6" t="s">
        <v>989</v>
      </c>
      <c r="E3139" s="6"/>
      <c r="G3139" s="6">
        <v>140</v>
      </c>
      <c r="H3139" s="6">
        <v>200</v>
      </c>
      <c r="K3139" s="7">
        <v>44007310</v>
      </c>
      <c r="L3139" s="6" t="str">
        <f t="shared" si="299"/>
        <v>YT RÜYA  BAZA  140x200</v>
      </c>
      <c r="M3139" s="12">
        <v>0.1</v>
      </c>
      <c r="N3139" s="12">
        <v>0.1</v>
      </c>
      <c r="O3139" s="8">
        <v>6920</v>
      </c>
      <c r="P3139" s="8">
        <f t="shared" si="300"/>
        <v>6228</v>
      </c>
      <c r="Q3139" s="12">
        <f t="shared" si="301"/>
        <v>13078.800000000001</v>
      </c>
      <c r="R3139" s="31">
        <f t="shared" si="302"/>
        <v>13000</v>
      </c>
    </row>
    <row r="3140" spans="1:18" ht="21.95" customHeight="1" x14ac:dyDescent="0.2">
      <c r="A3140" s="6" t="s">
        <v>943</v>
      </c>
      <c r="B3140" s="6" t="s">
        <v>1596</v>
      </c>
      <c r="C3140" s="6" t="s">
        <v>1038</v>
      </c>
      <c r="D3140" s="6" t="s">
        <v>945</v>
      </c>
      <c r="E3140" s="6"/>
      <c r="G3140" s="6">
        <v>160</v>
      </c>
      <c r="H3140" s="6">
        <v>200</v>
      </c>
      <c r="K3140" s="7">
        <v>44007311</v>
      </c>
      <c r="L3140" s="6" t="str">
        <f t="shared" ref="L3140:L3203" si="303">B3140&amp;" "&amp;C3140&amp;" "&amp;D3140&amp;" "&amp;G3140&amp;"x"&amp;H3140</f>
        <v>YT RÜYA  BAZA 160x200</v>
      </c>
      <c r="M3140" s="12">
        <v>0.1</v>
      </c>
      <c r="N3140" s="12">
        <v>0.1</v>
      </c>
      <c r="O3140" s="8">
        <v>7480</v>
      </c>
      <c r="P3140" s="8">
        <f t="shared" si="300"/>
        <v>6732</v>
      </c>
      <c r="Q3140" s="12">
        <f t="shared" si="301"/>
        <v>14137.2</v>
      </c>
      <c r="R3140" s="31">
        <f t="shared" si="302"/>
        <v>14100</v>
      </c>
    </row>
    <row r="3141" spans="1:18" ht="21.95" customHeight="1" x14ac:dyDescent="0.2">
      <c r="A3141" s="6" t="s">
        <v>943</v>
      </c>
      <c r="B3141" s="6" t="s">
        <v>1596</v>
      </c>
      <c r="C3141" s="6" t="s">
        <v>1038</v>
      </c>
      <c r="D3141" s="6" t="s">
        <v>989</v>
      </c>
      <c r="E3141" s="6"/>
      <c r="G3141" s="6">
        <v>180</v>
      </c>
      <c r="H3141" s="6">
        <v>200</v>
      </c>
      <c r="K3141" s="7">
        <v>44007312</v>
      </c>
      <c r="L3141" s="6" t="str">
        <f t="shared" si="303"/>
        <v>YT RÜYA  BAZA  180x200</v>
      </c>
      <c r="M3141" s="12">
        <v>0.1</v>
      </c>
      <c r="N3141" s="12">
        <v>0.1</v>
      </c>
      <c r="O3141" s="8">
        <v>8280</v>
      </c>
      <c r="P3141" s="8">
        <f t="shared" si="300"/>
        <v>7452</v>
      </c>
      <c r="Q3141" s="12">
        <f t="shared" si="301"/>
        <v>15649.2</v>
      </c>
      <c r="R3141" s="31">
        <f t="shared" si="302"/>
        <v>15600</v>
      </c>
    </row>
    <row r="3142" spans="1:18" ht="21.95" customHeight="1" x14ac:dyDescent="0.2">
      <c r="A3142" s="6" t="s">
        <v>943</v>
      </c>
      <c r="B3142" s="6" t="s">
        <v>1596</v>
      </c>
      <c r="C3142" s="6" t="s">
        <v>1038</v>
      </c>
      <c r="D3142" s="6" t="s">
        <v>945</v>
      </c>
      <c r="E3142" s="6"/>
      <c r="G3142" s="6">
        <v>200</v>
      </c>
      <c r="H3142" s="6">
        <v>200</v>
      </c>
      <c r="K3142" s="7">
        <v>44007313</v>
      </c>
      <c r="L3142" s="6" t="str">
        <f t="shared" si="303"/>
        <v>YT RÜYA  BAZA 200x200</v>
      </c>
      <c r="M3142" s="12">
        <v>0.1</v>
      </c>
      <c r="N3142" s="12">
        <v>0.1</v>
      </c>
      <c r="O3142" s="8">
        <v>8850</v>
      </c>
      <c r="P3142" s="8">
        <f t="shared" si="300"/>
        <v>7965</v>
      </c>
      <c r="Q3142" s="12">
        <f t="shared" si="301"/>
        <v>16726.5</v>
      </c>
      <c r="R3142" s="31">
        <f t="shared" si="302"/>
        <v>16700</v>
      </c>
    </row>
    <row r="3143" spans="1:18" ht="21.95" customHeight="1" x14ac:dyDescent="0.2">
      <c r="A3143" s="6" t="s">
        <v>943</v>
      </c>
      <c r="B3143" s="6" t="s">
        <v>1596</v>
      </c>
      <c r="C3143" s="6" t="s">
        <v>1039</v>
      </c>
      <c r="D3143" s="6" t="s">
        <v>989</v>
      </c>
      <c r="E3143" s="6"/>
      <c r="G3143" s="6">
        <v>90</v>
      </c>
      <c r="H3143" s="6">
        <v>190</v>
      </c>
      <c r="K3143" s="7">
        <v>44007314</v>
      </c>
      <c r="L3143" s="6" t="str">
        <f t="shared" si="303"/>
        <v>YT İREM  BAZA  90x190</v>
      </c>
      <c r="M3143" s="12">
        <v>0.1</v>
      </c>
      <c r="N3143" s="12">
        <v>0.1</v>
      </c>
      <c r="O3143" s="8">
        <v>3730</v>
      </c>
      <c r="P3143" s="8">
        <f t="shared" si="300"/>
        <v>3357</v>
      </c>
      <c r="Q3143" s="12">
        <f t="shared" si="301"/>
        <v>7049.7000000000007</v>
      </c>
      <c r="R3143" s="31">
        <f t="shared" si="302"/>
        <v>7000</v>
      </c>
    </row>
    <row r="3144" spans="1:18" ht="21.95" customHeight="1" x14ac:dyDescent="0.2">
      <c r="A3144" s="6" t="s">
        <v>943</v>
      </c>
      <c r="B3144" s="6" t="s">
        <v>1596</v>
      </c>
      <c r="C3144" s="6" t="s">
        <v>1039</v>
      </c>
      <c r="D3144" s="6" t="s">
        <v>989</v>
      </c>
      <c r="E3144" s="6"/>
      <c r="G3144" s="6">
        <v>90</v>
      </c>
      <c r="H3144" s="6">
        <v>200</v>
      </c>
      <c r="K3144" s="7">
        <v>44007315</v>
      </c>
      <c r="L3144" s="6" t="str">
        <f t="shared" si="303"/>
        <v>YT İREM  BAZA  90x200</v>
      </c>
      <c r="M3144" s="12">
        <v>0.1</v>
      </c>
      <c r="N3144" s="12">
        <v>0.1</v>
      </c>
      <c r="O3144" s="8">
        <v>3910</v>
      </c>
      <c r="P3144" s="8">
        <f t="shared" si="300"/>
        <v>3519</v>
      </c>
      <c r="Q3144" s="12">
        <f t="shared" si="301"/>
        <v>7389.9000000000005</v>
      </c>
      <c r="R3144" s="31">
        <f t="shared" si="302"/>
        <v>7300</v>
      </c>
    </row>
    <row r="3145" spans="1:18" ht="21.95" customHeight="1" x14ac:dyDescent="0.2">
      <c r="A3145" s="6" t="s">
        <v>943</v>
      </c>
      <c r="B3145" s="6" t="s">
        <v>1596</v>
      </c>
      <c r="C3145" s="6" t="s">
        <v>1039</v>
      </c>
      <c r="D3145" s="6" t="s">
        <v>989</v>
      </c>
      <c r="E3145" s="6"/>
      <c r="G3145" s="6">
        <v>100</v>
      </c>
      <c r="H3145" s="6">
        <v>200</v>
      </c>
      <c r="K3145" s="7">
        <v>44007316</v>
      </c>
      <c r="L3145" s="6" t="str">
        <f t="shared" si="303"/>
        <v>YT İREM  BAZA  100x200</v>
      </c>
      <c r="M3145" s="12">
        <v>0.1</v>
      </c>
      <c r="N3145" s="12">
        <v>0.1</v>
      </c>
      <c r="O3145" s="8">
        <v>4200</v>
      </c>
      <c r="P3145" s="8">
        <f t="shared" si="300"/>
        <v>3780</v>
      </c>
      <c r="Q3145" s="12">
        <f t="shared" si="301"/>
        <v>7938</v>
      </c>
      <c r="R3145" s="31">
        <f t="shared" si="302"/>
        <v>7900</v>
      </c>
    </row>
    <row r="3146" spans="1:18" ht="21.95" customHeight="1" x14ac:dyDescent="0.2">
      <c r="A3146" s="6" t="s">
        <v>943</v>
      </c>
      <c r="B3146" s="6" t="s">
        <v>1596</v>
      </c>
      <c r="C3146" s="6" t="s">
        <v>1039</v>
      </c>
      <c r="D3146" s="6" t="s">
        <v>989</v>
      </c>
      <c r="E3146" s="6"/>
      <c r="G3146" s="6">
        <v>120</v>
      </c>
      <c r="H3146" s="6">
        <v>200</v>
      </c>
      <c r="K3146" s="7">
        <v>44007317</v>
      </c>
      <c r="L3146" s="6" t="str">
        <f t="shared" si="303"/>
        <v>YT İREM  BAZA  120x200</v>
      </c>
      <c r="M3146" s="12">
        <v>0.1</v>
      </c>
      <c r="N3146" s="12">
        <v>0.1</v>
      </c>
      <c r="O3146" s="8">
        <v>4680</v>
      </c>
      <c r="P3146" s="8">
        <f t="shared" si="300"/>
        <v>4212</v>
      </c>
      <c r="Q3146" s="12">
        <f t="shared" si="301"/>
        <v>8845.2000000000007</v>
      </c>
      <c r="R3146" s="31">
        <f t="shared" si="302"/>
        <v>8800</v>
      </c>
    </row>
    <row r="3147" spans="1:18" ht="21.95" customHeight="1" x14ac:dyDescent="0.2">
      <c r="A3147" s="6" t="s">
        <v>943</v>
      </c>
      <c r="B3147" s="6" t="s">
        <v>1596</v>
      </c>
      <c r="C3147" s="6" t="s">
        <v>1039</v>
      </c>
      <c r="D3147" s="6" t="s">
        <v>989</v>
      </c>
      <c r="E3147" s="6"/>
      <c r="G3147" s="6">
        <v>140</v>
      </c>
      <c r="H3147" s="6">
        <v>190</v>
      </c>
      <c r="K3147" s="7">
        <v>44007318</v>
      </c>
      <c r="L3147" s="6" t="str">
        <f t="shared" si="303"/>
        <v>YT İREM  BAZA  140x190</v>
      </c>
      <c r="M3147" s="12">
        <v>0.1</v>
      </c>
      <c r="N3147" s="12">
        <v>0.1</v>
      </c>
      <c r="O3147" s="8">
        <v>6390</v>
      </c>
      <c r="P3147" s="8">
        <f t="shared" si="300"/>
        <v>5751</v>
      </c>
      <c r="Q3147" s="12">
        <f t="shared" si="301"/>
        <v>12077.1</v>
      </c>
      <c r="R3147" s="31">
        <f t="shared" si="302"/>
        <v>12000</v>
      </c>
    </row>
    <row r="3148" spans="1:18" ht="21.95" customHeight="1" x14ac:dyDescent="0.2">
      <c r="A3148" s="6" t="s">
        <v>943</v>
      </c>
      <c r="B3148" s="6" t="s">
        <v>1596</v>
      </c>
      <c r="C3148" s="6" t="s">
        <v>1039</v>
      </c>
      <c r="D3148" s="6" t="s">
        <v>989</v>
      </c>
      <c r="E3148" s="6"/>
      <c r="G3148" s="6">
        <v>140</v>
      </c>
      <c r="H3148" s="6">
        <v>200</v>
      </c>
      <c r="K3148" s="7">
        <v>44007319</v>
      </c>
      <c r="L3148" s="6" t="str">
        <f t="shared" si="303"/>
        <v>YT İREM  BAZA  140x200</v>
      </c>
      <c r="M3148" s="12">
        <v>0.1</v>
      </c>
      <c r="N3148" s="12">
        <v>0.1</v>
      </c>
      <c r="O3148" s="8">
        <v>6680</v>
      </c>
      <c r="P3148" s="8">
        <f t="shared" si="300"/>
        <v>6012</v>
      </c>
      <c r="Q3148" s="12">
        <f t="shared" si="301"/>
        <v>12625.2</v>
      </c>
      <c r="R3148" s="31">
        <f t="shared" si="302"/>
        <v>12600</v>
      </c>
    </row>
    <row r="3149" spans="1:18" ht="21.95" customHeight="1" x14ac:dyDescent="0.2">
      <c r="A3149" s="6" t="s">
        <v>943</v>
      </c>
      <c r="B3149" s="6" t="s">
        <v>1596</v>
      </c>
      <c r="C3149" s="6" t="s">
        <v>1098</v>
      </c>
      <c r="D3149" s="6" t="s">
        <v>1099</v>
      </c>
      <c r="E3149" s="6"/>
      <c r="G3149" s="6">
        <v>90</v>
      </c>
      <c r="H3149" s="6">
        <v>190</v>
      </c>
      <c r="K3149" s="7">
        <v>44007320</v>
      </c>
      <c r="L3149" s="6" t="str">
        <f t="shared" si="303"/>
        <v>YT CREA  KAPALI BAZA  90x190</v>
      </c>
      <c r="M3149" s="12">
        <v>0.1</v>
      </c>
      <c r="N3149" s="12">
        <v>0.1</v>
      </c>
      <c r="O3149" s="8">
        <v>4490</v>
      </c>
      <c r="P3149" s="8">
        <f t="shared" si="300"/>
        <v>4041</v>
      </c>
      <c r="Q3149" s="12">
        <f t="shared" si="301"/>
        <v>8486.1</v>
      </c>
      <c r="R3149" s="31">
        <f t="shared" si="302"/>
        <v>8400</v>
      </c>
    </row>
    <row r="3150" spans="1:18" ht="21.95" customHeight="1" x14ac:dyDescent="0.2">
      <c r="A3150" s="6" t="s">
        <v>943</v>
      </c>
      <c r="B3150" s="6" t="s">
        <v>1596</v>
      </c>
      <c r="C3150" s="6" t="s">
        <v>1098</v>
      </c>
      <c r="D3150" s="6" t="s">
        <v>1099</v>
      </c>
      <c r="E3150" s="6"/>
      <c r="G3150" s="6">
        <v>90</v>
      </c>
      <c r="H3150" s="6">
        <v>200</v>
      </c>
      <c r="K3150" s="7">
        <v>44007321</v>
      </c>
      <c r="L3150" s="6" t="str">
        <f t="shared" si="303"/>
        <v>YT CREA  KAPALI BAZA  90x200</v>
      </c>
      <c r="M3150" s="12">
        <v>0.1</v>
      </c>
      <c r="N3150" s="12">
        <v>0.1</v>
      </c>
      <c r="O3150" s="8">
        <v>4590</v>
      </c>
      <c r="P3150" s="8">
        <f t="shared" ref="P3150:P3213" si="304">O3150*(1-N3150)</f>
        <v>4131</v>
      </c>
      <c r="Q3150" s="12">
        <f t="shared" ref="Q3150:Q3213" si="305">O3150*(1-N3150)*2.1</f>
        <v>8675.1</v>
      </c>
      <c r="R3150" s="31">
        <f t="shared" ref="R3150:R3213" si="306">ROUNDDOWN(Q3150,-2)</f>
        <v>8600</v>
      </c>
    </row>
    <row r="3151" spans="1:18" ht="21.95" customHeight="1" x14ac:dyDescent="0.2">
      <c r="A3151" s="6" t="s">
        <v>943</v>
      </c>
      <c r="B3151" s="6" t="s">
        <v>1596</v>
      </c>
      <c r="C3151" s="6" t="s">
        <v>1098</v>
      </c>
      <c r="D3151" s="6" t="s">
        <v>1099</v>
      </c>
      <c r="E3151" s="6"/>
      <c r="G3151" s="6">
        <v>100</v>
      </c>
      <c r="H3151" s="6">
        <v>200</v>
      </c>
      <c r="K3151" s="7">
        <v>44007322</v>
      </c>
      <c r="L3151" s="6" t="str">
        <f t="shared" si="303"/>
        <v>YT CREA  KAPALI BAZA  100x200</v>
      </c>
      <c r="M3151" s="12">
        <v>0.1</v>
      </c>
      <c r="N3151" s="12">
        <v>0.1</v>
      </c>
      <c r="O3151" s="8">
        <v>4810</v>
      </c>
      <c r="P3151" s="8">
        <f t="shared" si="304"/>
        <v>4329</v>
      </c>
      <c r="Q3151" s="12">
        <f t="shared" si="305"/>
        <v>9090.9</v>
      </c>
      <c r="R3151" s="31">
        <f t="shared" si="306"/>
        <v>9000</v>
      </c>
    </row>
    <row r="3152" spans="1:18" ht="21.95" customHeight="1" x14ac:dyDescent="0.2">
      <c r="A3152" s="6" t="s">
        <v>943</v>
      </c>
      <c r="B3152" s="6" t="s">
        <v>1596</v>
      </c>
      <c r="C3152" s="6" t="s">
        <v>1098</v>
      </c>
      <c r="D3152" s="6" t="s">
        <v>1099</v>
      </c>
      <c r="E3152" s="6"/>
      <c r="G3152" s="6">
        <v>120</v>
      </c>
      <c r="H3152" s="6">
        <v>200</v>
      </c>
      <c r="K3152" s="7">
        <v>44007323</v>
      </c>
      <c r="L3152" s="6" t="str">
        <f t="shared" si="303"/>
        <v>YT CREA  KAPALI BAZA  120x200</v>
      </c>
      <c r="M3152" s="12">
        <v>0.1</v>
      </c>
      <c r="N3152" s="12">
        <v>0.1</v>
      </c>
      <c r="O3152" s="8">
        <v>5570</v>
      </c>
      <c r="P3152" s="8">
        <f t="shared" si="304"/>
        <v>5013</v>
      </c>
      <c r="Q3152" s="12">
        <f t="shared" si="305"/>
        <v>10527.300000000001</v>
      </c>
      <c r="R3152" s="31">
        <f t="shared" si="306"/>
        <v>10500</v>
      </c>
    </row>
    <row r="3153" spans="1:18" ht="21.95" customHeight="1" x14ac:dyDescent="0.2">
      <c r="A3153" s="6" t="s">
        <v>943</v>
      </c>
      <c r="B3153" s="6" t="s">
        <v>1596</v>
      </c>
      <c r="C3153" s="6" t="s">
        <v>1098</v>
      </c>
      <c r="D3153" s="6" t="s">
        <v>1099</v>
      </c>
      <c r="E3153" s="6"/>
      <c r="G3153" s="6">
        <v>140</v>
      </c>
      <c r="H3153" s="6">
        <v>190</v>
      </c>
      <c r="K3153" s="7">
        <v>44007324</v>
      </c>
      <c r="L3153" s="6" t="str">
        <f t="shared" si="303"/>
        <v>YT CREA  KAPALI BAZA  140x190</v>
      </c>
      <c r="M3153" s="12">
        <v>0.1</v>
      </c>
      <c r="N3153" s="12">
        <v>0.1</v>
      </c>
      <c r="O3153" s="8">
        <v>7480</v>
      </c>
      <c r="P3153" s="8">
        <f t="shared" si="304"/>
        <v>6732</v>
      </c>
      <c r="Q3153" s="12">
        <f t="shared" si="305"/>
        <v>14137.2</v>
      </c>
      <c r="R3153" s="31">
        <f t="shared" si="306"/>
        <v>14100</v>
      </c>
    </row>
    <row r="3154" spans="1:18" ht="21.95" customHeight="1" x14ac:dyDescent="0.2">
      <c r="A3154" s="6" t="s">
        <v>943</v>
      </c>
      <c r="B3154" s="6" t="s">
        <v>1596</v>
      </c>
      <c r="C3154" s="6" t="s">
        <v>1098</v>
      </c>
      <c r="D3154" s="6" t="s">
        <v>1099</v>
      </c>
      <c r="E3154" s="6"/>
      <c r="G3154" s="6">
        <v>140</v>
      </c>
      <c r="H3154" s="6">
        <v>200</v>
      </c>
      <c r="K3154" s="7">
        <v>44007325</v>
      </c>
      <c r="L3154" s="6" t="str">
        <f t="shared" si="303"/>
        <v>YT CREA  KAPALI BAZA  140x200</v>
      </c>
      <c r="M3154" s="12">
        <v>0.1</v>
      </c>
      <c r="N3154" s="12">
        <v>0.1</v>
      </c>
      <c r="O3154" s="8">
        <v>7710</v>
      </c>
      <c r="P3154" s="8">
        <f t="shared" si="304"/>
        <v>6939</v>
      </c>
      <c r="Q3154" s="12">
        <f t="shared" si="305"/>
        <v>14571.900000000001</v>
      </c>
      <c r="R3154" s="31">
        <f t="shared" si="306"/>
        <v>14500</v>
      </c>
    </row>
    <row r="3155" spans="1:18" ht="21.95" customHeight="1" x14ac:dyDescent="0.2">
      <c r="A3155" s="6" t="s">
        <v>943</v>
      </c>
      <c r="B3155" s="6" t="s">
        <v>1596</v>
      </c>
      <c r="C3155" s="6" t="s">
        <v>1098</v>
      </c>
      <c r="D3155" s="6" t="s">
        <v>1099</v>
      </c>
      <c r="E3155" s="6"/>
      <c r="G3155" s="6">
        <v>150</v>
      </c>
      <c r="H3155" s="6">
        <v>200</v>
      </c>
      <c r="K3155" s="7">
        <v>44007326</v>
      </c>
      <c r="L3155" s="6" t="str">
        <f t="shared" si="303"/>
        <v>YT CREA  KAPALI BAZA  150x200</v>
      </c>
      <c r="M3155" s="12">
        <v>0.1</v>
      </c>
      <c r="N3155" s="12">
        <v>0.1</v>
      </c>
      <c r="O3155" s="8">
        <v>8020</v>
      </c>
      <c r="P3155" s="8">
        <f t="shared" si="304"/>
        <v>7218</v>
      </c>
      <c r="Q3155" s="12">
        <f t="shared" si="305"/>
        <v>15157.800000000001</v>
      </c>
      <c r="R3155" s="31">
        <f t="shared" si="306"/>
        <v>15100</v>
      </c>
    </row>
    <row r="3156" spans="1:18" ht="21.95" customHeight="1" x14ac:dyDescent="0.2">
      <c r="A3156" s="6" t="s">
        <v>943</v>
      </c>
      <c r="B3156" s="6" t="s">
        <v>1596</v>
      </c>
      <c r="C3156" s="6" t="s">
        <v>1098</v>
      </c>
      <c r="D3156" s="6" t="s">
        <v>1099</v>
      </c>
      <c r="E3156" s="6"/>
      <c r="G3156" s="6">
        <v>160</v>
      </c>
      <c r="H3156" s="6">
        <v>200</v>
      </c>
      <c r="K3156" s="7">
        <v>44007327</v>
      </c>
      <c r="L3156" s="6" t="str">
        <f t="shared" si="303"/>
        <v>YT CREA  KAPALI BAZA  160x200</v>
      </c>
      <c r="M3156" s="12">
        <v>0.1</v>
      </c>
      <c r="N3156" s="12">
        <v>0.1</v>
      </c>
      <c r="O3156" s="8">
        <v>8340</v>
      </c>
      <c r="P3156" s="8">
        <f t="shared" si="304"/>
        <v>7506</v>
      </c>
      <c r="Q3156" s="12">
        <f t="shared" si="305"/>
        <v>15762.6</v>
      </c>
      <c r="R3156" s="31">
        <f t="shared" si="306"/>
        <v>15700</v>
      </c>
    </row>
    <row r="3157" spans="1:18" ht="21.95" customHeight="1" x14ac:dyDescent="0.2">
      <c r="A3157" s="6" t="s">
        <v>943</v>
      </c>
      <c r="B3157" s="6" t="s">
        <v>1596</v>
      </c>
      <c r="C3157" s="6" t="s">
        <v>1098</v>
      </c>
      <c r="D3157" s="6" t="s">
        <v>1099</v>
      </c>
      <c r="E3157" s="6"/>
      <c r="G3157" s="6">
        <v>180</v>
      </c>
      <c r="H3157" s="6">
        <v>200</v>
      </c>
      <c r="K3157" s="7">
        <v>44007328</v>
      </c>
      <c r="L3157" s="6" t="str">
        <f t="shared" si="303"/>
        <v>YT CREA  KAPALI BAZA  180x200</v>
      </c>
      <c r="M3157" s="12">
        <v>0.1</v>
      </c>
      <c r="N3157" s="12">
        <v>0.1</v>
      </c>
      <c r="O3157" s="8">
        <v>9170</v>
      </c>
      <c r="P3157" s="8">
        <f t="shared" si="304"/>
        <v>8253</v>
      </c>
      <c r="Q3157" s="12">
        <f t="shared" si="305"/>
        <v>17331.3</v>
      </c>
      <c r="R3157" s="31">
        <f t="shared" si="306"/>
        <v>17300</v>
      </c>
    </row>
    <row r="3158" spans="1:18" ht="21.95" customHeight="1" x14ac:dyDescent="0.2">
      <c r="A3158" s="6" t="s">
        <v>943</v>
      </c>
      <c r="B3158" s="6" t="s">
        <v>1596</v>
      </c>
      <c r="C3158" s="6" t="s">
        <v>1098</v>
      </c>
      <c r="D3158" s="6" t="s">
        <v>1099</v>
      </c>
      <c r="E3158" s="6"/>
      <c r="G3158" s="6">
        <v>200</v>
      </c>
      <c r="H3158" s="6">
        <v>200</v>
      </c>
      <c r="K3158" s="7">
        <v>44007329</v>
      </c>
      <c r="L3158" s="6" t="str">
        <f t="shared" si="303"/>
        <v>YT CREA  KAPALI BAZA  200x200</v>
      </c>
      <c r="M3158" s="12">
        <v>0.1</v>
      </c>
      <c r="N3158" s="12">
        <v>0.1</v>
      </c>
      <c r="O3158" s="8">
        <v>9610</v>
      </c>
      <c r="P3158" s="8">
        <f t="shared" si="304"/>
        <v>8649</v>
      </c>
      <c r="Q3158" s="12">
        <f t="shared" si="305"/>
        <v>18162.900000000001</v>
      </c>
      <c r="R3158" s="31">
        <f t="shared" si="306"/>
        <v>18100</v>
      </c>
    </row>
    <row r="3159" spans="1:18" ht="21.95" customHeight="1" x14ac:dyDescent="0.2">
      <c r="A3159" s="6" t="s">
        <v>943</v>
      </c>
      <c r="B3159" s="6" t="s">
        <v>1596</v>
      </c>
      <c r="C3159" s="6" t="s">
        <v>1100</v>
      </c>
      <c r="D3159" s="6" t="s">
        <v>1099</v>
      </c>
      <c r="E3159" s="6"/>
      <c r="G3159" s="6">
        <v>90</v>
      </c>
      <c r="H3159" s="6">
        <v>190</v>
      </c>
      <c r="K3159" s="7">
        <v>44007330</v>
      </c>
      <c r="L3159" s="6" t="str">
        <f t="shared" si="303"/>
        <v>YT STYLE KAPALI BAZA  90x190</v>
      </c>
      <c r="M3159" s="12">
        <v>0.1</v>
      </c>
      <c r="N3159" s="12">
        <v>0.1</v>
      </c>
      <c r="O3159" s="8">
        <v>3980</v>
      </c>
      <c r="P3159" s="8">
        <f t="shared" si="304"/>
        <v>3582</v>
      </c>
      <c r="Q3159" s="12">
        <f t="shared" si="305"/>
        <v>7522.2000000000007</v>
      </c>
      <c r="R3159" s="31">
        <f t="shared" si="306"/>
        <v>7500</v>
      </c>
    </row>
    <row r="3160" spans="1:18" ht="21.95" customHeight="1" x14ac:dyDescent="0.2">
      <c r="A3160" s="6" t="s">
        <v>943</v>
      </c>
      <c r="B3160" s="6" t="s">
        <v>1596</v>
      </c>
      <c r="C3160" s="6" t="s">
        <v>1100</v>
      </c>
      <c r="D3160" s="6" t="s">
        <v>1099</v>
      </c>
      <c r="E3160" s="6"/>
      <c r="G3160" s="6">
        <v>90</v>
      </c>
      <c r="H3160" s="6">
        <v>200</v>
      </c>
      <c r="K3160" s="7">
        <v>44007331</v>
      </c>
      <c r="L3160" s="6" t="str">
        <f t="shared" si="303"/>
        <v>YT STYLE KAPALI BAZA  90x200</v>
      </c>
      <c r="M3160" s="12">
        <v>0.1</v>
      </c>
      <c r="N3160" s="12">
        <v>0.1</v>
      </c>
      <c r="O3160" s="8">
        <v>4080</v>
      </c>
      <c r="P3160" s="8">
        <f t="shared" si="304"/>
        <v>3672</v>
      </c>
      <c r="Q3160" s="12">
        <f t="shared" si="305"/>
        <v>7711.2000000000007</v>
      </c>
      <c r="R3160" s="31">
        <f t="shared" si="306"/>
        <v>7700</v>
      </c>
    </row>
    <row r="3161" spans="1:18" ht="21.95" customHeight="1" x14ac:dyDescent="0.2">
      <c r="A3161" s="6" t="s">
        <v>943</v>
      </c>
      <c r="B3161" s="6" t="s">
        <v>1596</v>
      </c>
      <c r="C3161" s="6" t="s">
        <v>1100</v>
      </c>
      <c r="D3161" s="6" t="s">
        <v>1099</v>
      </c>
      <c r="E3161" s="6"/>
      <c r="G3161" s="6">
        <v>100</v>
      </c>
      <c r="H3161" s="6">
        <v>200</v>
      </c>
      <c r="K3161" s="7">
        <v>44007332</v>
      </c>
      <c r="L3161" s="6" t="str">
        <f t="shared" si="303"/>
        <v>YT STYLE KAPALI BAZA  100x200</v>
      </c>
      <c r="M3161" s="12">
        <v>0.1</v>
      </c>
      <c r="N3161" s="12">
        <v>0.1</v>
      </c>
      <c r="O3161" s="8">
        <v>4170</v>
      </c>
      <c r="P3161" s="8">
        <f t="shared" si="304"/>
        <v>3753</v>
      </c>
      <c r="Q3161" s="12">
        <f t="shared" si="305"/>
        <v>7881.3</v>
      </c>
      <c r="R3161" s="31">
        <f t="shared" si="306"/>
        <v>7800</v>
      </c>
    </row>
    <row r="3162" spans="1:18" ht="21.95" customHeight="1" x14ac:dyDescent="0.2">
      <c r="A3162" s="6" t="s">
        <v>943</v>
      </c>
      <c r="B3162" s="6" t="s">
        <v>1596</v>
      </c>
      <c r="C3162" s="6" t="s">
        <v>1100</v>
      </c>
      <c r="D3162" s="6" t="s">
        <v>1099</v>
      </c>
      <c r="E3162" s="6"/>
      <c r="G3162" s="6">
        <v>120</v>
      </c>
      <c r="H3162" s="6">
        <v>200</v>
      </c>
      <c r="K3162" s="7">
        <v>44007333</v>
      </c>
      <c r="L3162" s="6" t="str">
        <f t="shared" si="303"/>
        <v>YT STYLE KAPALI BAZA  120x200</v>
      </c>
      <c r="M3162" s="12">
        <v>0.1</v>
      </c>
      <c r="N3162" s="12">
        <v>0.1</v>
      </c>
      <c r="O3162" s="8">
        <v>4900</v>
      </c>
      <c r="P3162" s="8">
        <f t="shared" si="304"/>
        <v>4410</v>
      </c>
      <c r="Q3162" s="12">
        <f t="shared" si="305"/>
        <v>9261</v>
      </c>
      <c r="R3162" s="31">
        <f t="shared" si="306"/>
        <v>9200</v>
      </c>
    </row>
    <row r="3163" spans="1:18" ht="21.95" customHeight="1" x14ac:dyDescent="0.2">
      <c r="A3163" s="6" t="s">
        <v>943</v>
      </c>
      <c r="B3163" s="6" t="s">
        <v>1596</v>
      </c>
      <c r="C3163" s="6" t="s">
        <v>1100</v>
      </c>
      <c r="D3163" s="6" t="s">
        <v>1099</v>
      </c>
      <c r="E3163" s="6"/>
      <c r="G3163" s="6">
        <v>140</v>
      </c>
      <c r="H3163" s="6">
        <v>190</v>
      </c>
      <c r="K3163" s="7">
        <v>44007334</v>
      </c>
      <c r="L3163" s="6" t="str">
        <f t="shared" si="303"/>
        <v>YT STYLE KAPALI BAZA  140x190</v>
      </c>
      <c r="M3163" s="12">
        <v>0.1</v>
      </c>
      <c r="N3163" s="12">
        <v>0.1</v>
      </c>
      <c r="O3163" s="8">
        <v>6740</v>
      </c>
      <c r="P3163" s="8">
        <f t="shared" si="304"/>
        <v>6066</v>
      </c>
      <c r="Q3163" s="12">
        <f t="shared" si="305"/>
        <v>12738.6</v>
      </c>
      <c r="R3163" s="31">
        <f t="shared" si="306"/>
        <v>12700</v>
      </c>
    </row>
    <row r="3164" spans="1:18" ht="21.95" customHeight="1" x14ac:dyDescent="0.2">
      <c r="A3164" s="6" t="s">
        <v>943</v>
      </c>
      <c r="B3164" s="6" t="s">
        <v>1596</v>
      </c>
      <c r="C3164" s="6" t="s">
        <v>1100</v>
      </c>
      <c r="D3164" s="6" t="s">
        <v>1099</v>
      </c>
      <c r="E3164" s="6"/>
      <c r="G3164" s="6">
        <v>140</v>
      </c>
      <c r="H3164" s="6">
        <v>200</v>
      </c>
      <c r="K3164" s="7">
        <v>44007335</v>
      </c>
      <c r="L3164" s="6" t="str">
        <f t="shared" si="303"/>
        <v>YT STYLE KAPALI BAZA  140x200</v>
      </c>
      <c r="M3164" s="12">
        <v>0.1</v>
      </c>
      <c r="N3164" s="12">
        <v>0.1</v>
      </c>
      <c r="O3164" s="8">
        <v>6930</v>
      </c>
      <c r="P3164" s="8">
        <f t="shared" si="304"/>
        <v>6237</v>
      </c>
      <c r="Q3164" s="12">
        <f t="shared" si="305"/>
        <v>13097.7</v>
      </c>
      <c r="R3164" s="31">
        <f t="shared" si="306"/>
        <v>13000</v>
      </c>
    </row>
    <row r="3165" spans="1:18" ht="21.95" customHeight="1" x14ac:dyDescent="0.2">
      <c r="A3165" s="6" t="s">
        <v>943</v>
      </c>
      <c r="B3165" s="6" t="s">
        <v>1596</v>
      </c>
      <c r="C3165" s="6" t="s">
        <v>1100</v>
      </c>
      <c r="D3165" s="6" t="s">
        <v>1099</v>
      </c>
      <c r="E3165" s="6"/>
      <c r="G3165" s="6">
        <v>150</v>
      </c>
      <c r="H3165" s="6">
        <v>200</v>
      </c>
      <c r="K3165" s="7">
        <v>44007336</v>
      </c>
      <c r="L3165" s="6" t="str">
        <f t="shared" si="303"/>
        <v>YT STYLE KAPALI BAZA  150x200</v>
      </c>
      <c r="M3165" s="12">
        <v>0.1</v>
      </c>
      <c r="N3165" s="12">
        <v>0.1</v>
      </c>
      <c r="O3165" s="8">
        <v>7220</v>
      </c>
      <c r="P3165" s="8">
        <f t="shared" si="304"/>
        <v>6498</v>
      </c>
      <c r="Q3165" s="12">
        <f t="shared" si="305"/>
        <v>13645.800000000001</v>
      </c>
      <c r="R3165" s="31">
        <f t="shared" si="306"/>
        <v>13600</v>
      </c>
    </row>
    <row r="3166" spans="1:18" ht="21.95" customHeight="1" x14ac:dyDescent="0.2">
      <c r="A3166" s="6" t="s">
        <v>943</v>
      </c>
      <c r="B3166" s="6" t="s">
        <v>1596</v>
      </c>
      <c r="C3166" s="6" t="s">
        <v>1100</v>
      </c>
      <c r="D3166" s="6" t="s">
        <v>1099</v>
      </c>
      <c r="E3166" s="6"/>
      <c r="G3166" s="6">
        <v>160</v>
      </c>
      <c r="H3166" s="6">
        <v>200</v>
      </c>
      <c r="K3166" s="7">
        <v>44007337</v>
      </c>
      <c r="L3166" s="6" t="str">
        <f t="shared" si="303"/>
        <v>YT STYLE KAPALI BAZA  160x200</v>
      </c>
      <c r="M3166" s="12">
        <v>0.1</v>
      </c>
      <c r="N3166" s="12">
        <v>0.1</v>
      </c>
      <c r="O3166" s="8">
        <v>7540</v>
      </c>
      <c r="P3166" s="8">
        <f t="shared" si="304"/>
        <v>6786</v>
      </c>
      <c r="Q3166" s="12">
        <f t="shared" si="305"/>
        <v>14250.6</v>
      </c>
      <c r="R3166" s="31">
        <f t="shared" si="306"/>
        <v>14200</v>
      </c>
    </row>
    <row r="3167" spans="1:18" ht="21.95" customHeight="1" x14ac:dyDescent="0.2">
      <c r="A3167" s="6" t="s">
        <v>943</v>
      </c>
      <c r="B3167" s="6" t="s">
        <v>1596</v>
      </c>
      <c r="C3167" s="6" t="s">
        <v>1100</v>
      </c>
      <c r="D3167" s="6" t="s">
        <v>1099</v>
      </c>
      <c r="E3167" s="6"/>
      <c r="G3167" s="6">
        <v>180</v>
      </c>
      <c r="H3167" s="6">
        <v>200</v>
      </c>
      <c r="K3167" s="7">
        <v>44007338</v>
      </c>
      <c r="L3167" s="6" t="str">
        <f t="shared" si="303"/>
        <v>YT STYLE KAPALI BAZA  180x200</v>
      </c>
      <c r="M3167" s="12">
        <v>0.1</v>
      </c>
      <c r="N3167" s="12">
        <v>0.1</v>
      </c>
      <c r="O3167" s="8">
        <v>8150</v>
      </c>
      <c r="P3167" s="8">
        <f t="shared" si="304"/>
        <v>7335</v>
      </c>
      <c r="Q3167" s="12">
        <f t="shared" si="305"/>
        <v>15403.5</v>
      </c>
      <c r="R3167" s="31">
        <f t="shared" si="306"/>
        <v>15400</v>
      </c>
    </row>
    <row r="3168" spans="1:18" ht="21.95" customHeight="1" x14ac:dyDescent="0.2">
      <c r="A3168" s="6" t="s">
        <v>943</v>
      </c>
      <c r="B3168" s="6" t="s">
        <v>1596</v>
      </c>
      <c r="C3168" s="6" t="s">
        <v>1100</v>
      </c>
      <c r="D3168" s="6" t="s">
        <v>1099</v>
      </c>
      <c r="E3168" s="6"/>
      <c r="G3168" s="6">
        <v>200</v>
      </c>
      <c r="H3168" s="6">
        <v>200</v>
      </c>
      <c r="K3168" s="7">
        <v>44007339</v>
      </c>
      <c r="L3168" s="6" t="str">
        <f t="shared" si="303"/>
        <v>YT STYLE KAPALI BAZA  200x200</v>
      </c>
      <c r="M3168" s="12">
        <v>0.1</v>
      </c>
      <c r="N3168" s="12">
        <v>0.1</v>
      </c>
      <c r="O3168" s="8">
        <v>8340</v>
      </c>
      <c r="P3168" s="8">
        <f t="shared" si="304"/>
        <v>7506</v>
      </c>
      <c r="Q3168" s="12">
        <f t="shared" si="305"/>
        <v>15762.6</v>
      </c>
      <c r="R3168" s="31">
        <f t="shared" si="306"/>
        <v>15700</v>
      </c>
    </row>
    <row r="3169" spans="1:18" ht="21.95" customHeight="1" x14ac:dyDescent="0.2">
      <c r="A3169" s="6" t="s">
        <v>943</v>
      </c>
      <c r="B3169" s="6" t="s">
        <v>1596</v>
      </c>
      <c r="C3169" s="6" t="s">
        <v>1101</v>
      </c>
      <c r="D3169" s="6" t="s">
        <v>1099</v>
      </c>
      <c r="E3169" s="6"/>
      <c r="G3169" s="6">
        <v>90</v>
      </c>
      <c r="H3169" s="6">
        <v>190</v>
      </c>
      <c r="K3169" s="7">
        <v>44007340</v>
      </c>
      <c r="L3169" s="6" t="str">
        <f t="shared" si="303"/>
        <v>YT ÜNİVERSAL  KAPALI BAZA  90x190</v>
      </c>
      <c r="M3169" s="12">
        <v>0.1</v>
      </c>
      <c r="N3169" s="12">
        <v>0.1</v>
      </c>
      <c r="O3169" s="8">
        <v>3570</v>
      </c>
      <c r="P3169" s="8">
        <f t="shared" si="304"/>
        <v>3213</v>
      </c>
      <c r="Q3169" s="12">
        <f t="shared" si="305"/>
        <v>6747.3</v>
      </c>
      <c r="R3169" s="31">
        <f t="shared" si="306"/>
        <v>6700</v>
      </c>
    </row>
    <row r="3170" spans="1:18" ht="21.95" customHeight="1" x14ac:dyDescent="0.2">
      <c r="A3170" s="6" t="s">
        <v>943</v>
      </c>
      <c r="B3170" s="6" t="s">
        <v>1596</v>
      </c>
      <c r="C3170" s="6" t="s">
        <v>1101</v>
      </c>
      <c r="D3170" s="6" t="s">
        <v>1099</v>
      </c>
      <c r="E3170" s="6"/>
      <c r="G3170" s="6">
        <v>90</v>
      </c>
      <c r="H3170" s="6">
        <v>200</v>
      </c>
      <c r="K3170" s="7">
        <v>44007341</v>
      </c>
      <c r="L3170" s="6" t="str">
        <f t="shared" si="303"/>
        <v>YT ÜNİVERSAL  KAPALI BAZA  90x200</v>
      </c>
      <c r="M3170" s="12">
        <v>0.1</v>
      </c>
      <c r="N3170" s="12">
        <v>0.1</v>
      </c>
      <c r="O3170" s="8">
        <v>3680</v>
      </c>
      <c r="P3170" s="8">
        <f t="shared" si="304"/>
        <v>3312</v>
      </c>
      <c r="Q3170" s="12">
        <f t="shared" si="305"/>
        <v>6955.2000000000007</v>
      </c>
      <c r="R3170" s="31">
        <f t="shared" si="306"/>
        <v>6900</v>
      </c>
    </row>
    <row r="3171" spans="1:18" ht="21.95" customHeight="1" x14ac:dyDescent="0.2">
      <c r="A3171" s="6" t="s">
        <v>943</v>
      </c>
      <c r="B3171" s="6" t="s">
        <v>1596</v>
      </c>
      <c r="C3171" s="6" t="s">
        <v>1101</v>
      </c>
      <c r="D3171" s="6" t="s">
        <v>1099</v>
      </c>
      <c r="E3171" s="6"/>
      <c r="G3171" s="6">
        <v>100</v>
      </c>
      <c r="H3171" s="6">
        <v>200</v>
      </c>
      <c r="K3171" s="7">
        <v>44007342</v>
      </c>
      <c r="L3171" s="6" t="str">
        <f t="shared" si="303"/>
        <v>YT ÜNİVERSAL  KAPALI BAZA  100x200</v>
      </c>
      <c r="M3171" s="12">
        <v>0.1</v>
      </c>
      <c r="N3171" s="12">
        <v>0.1</v>
      </c>
      <c r="O3171" s="8">
        <v>3770</v>
      </c>
      <c r="P3171" s="8">
        <f t="shared" si="304"/>
        <v>3393</v>
      </c>
      <c r="Q3171" s="12">
        <f t="shared" si="305"/>
        <v>7125.3</v>
      </c>
      <c r="R3171" s="31">
        <f t="shared" si="306"/>
        <v>7100</v>
      </c>
    </row>
    <row r="3172" spans="1:18" ht="21.95" customHeight="1" x14ac:dyDescent="0.2">
      <c r="A3172" s="6" t="s">
        <v>943</v>
      </c>
      <c r="B3172" s="6" t="s">
        <v>1596</v>
      </c>
      <c r="C3172" s="6" t="s">
        <v>1101</v>
      </c>
      <c r="D3172" s="6" t="s">
        <v>1099</v>
      </c>
      <c r="E3172" s="6"/>
      <c r="G3172" s="6">
        <v>120</v>
      </c>
      <c r="H3172" s="6">
        <v>200</v>
      </c>
      <c r="K3172" s="7">
        <v>44007343</v>
      </c>
      <c r="L3172" s="6" t="str">
        <f t="shared" si="303"/>
        <v>YT ÜNİVERSAL  KAPALI BAZA  120x200</v>
      </c>
      <c r="M3172" s="12">
        <v>0.1</v>
      </c>
      <c r="N3172" s="12">
        <v>0.1</v>
      </c>
      <c r="O3172" s="8">
        <v>4490</v>
      </c>
      <c r="P3172" s="8">
        <f t="shared" si="304"/>
        <v>4041</v>
      </c>
      <c r="Q3172" s="12">
        <f t="shared" si="305"/>
        <v>8486.1</v>
      </c>
      <c r="R3172" s="31">
        <f t="shared" si="306"/>
        <v>8400</v>
      </c>
    </row>
    <row r="3173" spans="1:18" ht="21.95" customHeight="1" x14ac:dyDescent="0.2">
      <c r="A3173" s="6" t="s">
        <v>943</v>
      </c>
      <c r="B3173" s="6" t="s">
        <v>1596</v>
      </c>
      <c r="C3173" s="6" t="s">
        <v>1101</v>
      </c>
      <c r="D3173" s="6" t="s">
        <v>1099</v>
      </c>
      <c r="E3173" s="6"/>
      <c r="G3173" s="6">
        <v>140</v>
      </c>
      <c r="H3173" s="6">
        <v>190</v>
      </c>
      <c r="K3173" s="7">
        <v>44007344</v>
      </c>
      <c r="L3173" s="6" t="str">
        <f t="shared" si="303"/>
        <v>YT ÜNİVERSAL  KAPALI BAZA  140x190</v>
      </c>
      <c r="M3173" s="12">
        <v>0.1</v>
      </c>
      <c r="N3173" s="12">
        <v>0.1</v>
      </c>
      <c r="O3173" s="8">
        <v>6330</v>
      </c>
      <c r="P3173" s="8">
        <f t="shared" si="304"/>
        <v>5697</v>
      </c>
      <c r="Q3173" s="12">
        <f t="shared" si="305"/>
        <v>11963.7</v>
      </c>
      <c r="R3173" s="31">
        <f t="shared" si="306"/>
        <v>11900</v>
      </c>
    </row>
    <row r="3174" spans="1:18" ht="21.95" customHeight="1" x14ac:dyDescent="0.2">
      <c r="A3174" s="6" t="s">
        <v>943</v>
      </c>
      <c r="B3174" s="6" t="s">
        <v>1596</v>
      </c>
      <c r="C3174" s="6" t="s">
        <v>1101</v>
      </c>
      <c r="D3174" s="6" t="s">
        <v>1099</v>
      </c>
      <c r="E3174" s="6"/>
      <c r="G3174" s="6">
        <v>140</v>
      </c>
      <c r="H3174" s="6">
        <v>200</v>
      </c>
      <c r="K3174" s="7">
        <v>44007345</v>
      </c>
      <c r="L3174" s="6" t="str">
        <f t="shared" si="303"/>
        <v>YT ÜNİVERSAL  KAPALI BAZA  140x200</v>
      </c>
      <c r="M3174" s="12">
        <v>0.1</v>
      </c>
      <c r="N3174" s="12">
        <v>0.1</v>
      </c>
      <c r="O3174" s="8">
        <v>6530</v>
      </c>
      <c r="P3174" s="8">
        <f t="shared" si="304"/>
        <v>5877</v>
      </c>
      <c r="Q3174" s="12">
        <f t="shared" si="305"/>
        <v>12341.7</v>
      </c>
      <c r="R3174" s="31">
        <f t="shared" si="306"/>
        <v>12300</v>
      </c>
    </row>
    <row r="3175" spans="1:18" ht="21.95" customHeight="1" x14ac:dyDescent="0.2">
      <c r="A3175" s="6" t="s">
        <v>943</v>
      </c>
      <c r="B3175" s="6" t="s">
        <v>1596</v>
      </c>
      <c r="C3175" s="6" t="s">
        <v>1101</v>
      </c>
      <c r="D3175" s="6" t="s">
        <v>1099</v>
      </c>
      <c r="E3175" s="6"/>
      <c r="G3175" s="6">
        <v>150</v>
      </c>
      <c r="H3175" s="6">
        <v>200</v>
      </c>
      <c r="K3175" s="7">
        <v>44007346</v>
      </c>
      <c r="L3175" s="6" t="str">
        <f t="shared" si="303"/>
        <v>YT ÜNİVERSAL  KAPALI BAZA  150x200</v>
      </c>
      <c r="M3175" s="12">
        <v>0.1</v>
      </c>
      <c r="N3175" s="12">
        <v>0.1</v>
      </c>
      <c r="O3175" s="8">
        <v>6820</v>
      </c>
      <c r="P3175" s="8">
        <f t="shared" si="304"/>
        <v>6138</v>
      </c>
      <c r="Q3175" s="12">
        <f t="shared" si="305"/>
        <v>12889.800000000001</v>
      </c>
      <c r="R3175" s="31">
        <f t="shared" si="306"/>
        <v>12800</v>
      </c>
    </row>
    <row r="3176" spans="1:18" ht="21.95" customHeight="1" x14ac:dyDescent="0.2">
      <c r="A3176" s="6" t="s">
        <v>943</v>
      </c>
      <c r="B3176" s="6" t="s">
        <v>1596</v>
      </c>
      <c r="C3176" s="6" t="s">
        <v>1101</v>
      </c>
      <c r="D3176" s="6" t="s">
        <v>1099</v>
      </c>
      <c r="E3176" s="6"/>
      <c r="G3176" s="6">
        <v>160</v>
      </c>
      <c r="H3176" s="6">
        <v>200</v>
      </c>
      <c r="K3176" s="7">
        <v>44007347</v>
      </c>
      <c r="L3176" s="6" t="str">
        <f t="shared" si="303"/>
        <v>YT ÜNİVERSAL  KAPALI BAZA  160x200</v>
      </c>
      <c r="M3176" s="12">
        <v>0.1</v>
      </c>
      <c r="N3176" s="12">
        <v>0.1</v>
      </c>
      <c r="O3176" s="8">
        <v>7140</v>
      </c>
      <c r="P3176" s="8">
        <f t="shared" si="304"/>
        <v>6426</v>
      </c>
      <c r="Q3176" s="12">
        <f t="shared" si="305"/>
        <v>13494.6</v>
      </c>
      <c r="R3176" s="31">
        <f t="shared" si="306"/>
        <v>13400</v>
      </c>
    </row>
    <row r="3177" spans="1:18" ht="21.95" customHeight="1" x14ac:dyDescent="0.2">
      <c r="A3177" s="6" t="s">
        <v>943</v>
      </c>
      <c r="B3177" s="6" t="s">
        <v>1596</v>
      </c>
      <c r="C3177" s="6" t="s">
        <v>1101</v>
      </c>
      <c r="D3177" s="6" t="s">
        <v>1099</v>
      </c>
      <c r="E3177" s="6"/>
      <c r="G3177" s="6">
        <v>180</v>
      </c>
      <c r="H3177" s="6">
        <v>200</v>
      </c>
      <c r="K3177" s="7">
        <v>44007348</v>
      </c>
      <c r="L3177" s="6" t="str">
        <f t="shared" si="303"/>
        <v>YT ÜNİVERSAL  KAPALI BAZA  180x200</v>
      </c>
      <c r="M3177" s="12">
        <v>0.1</v>
      </c>
      <c r="N3177" s="12">
        <v>0.1</v>
      </c>
      <c r="O3177" s="8">
        <v>7330</v>
      </c>
      <c r="P3177" s="8">
        <f t="shared" si="304"/>
        <v>6597</v>
      </c>
      <c r="Q3177" s="12">
        <f t="shared" si="305"/>
        <v>13853.7</v>
      </c>
      <c r="R3177" s="31">
        <f t="shared" si="306"/>
        <v>13800</v>
      </c>
    </row>
    <row r="3178" spans="1:18" ht="21.95" customHeight="1" x14ac:dyDescent="0.2">
      <c r="A3178" s="6" t="s">
        <v>943</v>
      </c>
      <c r="B3178" s="6" t="s">
        <v>1596</v>
      </c>
      <c r="C3178" s="6" t="s">
        <v>1101</v>
      </c>
      <c r="D3178" s="6" t="s">
        <v>1099</v>
      </c>
      <c r="E3178" s="6"/>
      <c r="G3178" s="6">
        <v>200</v>
      </c>
      <c r="H3178" s="6">
        <v>200</v>
      </c>
      <c r="K3178" s="7">
        <v>44007349</v>
      </c>
      <c r="L3178" s="6" t="str">
        <f t="shared" si="303"/>
        <v>YT ÜNİVERSAL  KAPALI BAZA  200x200</v>
      </c>
      <c r="M3178" s="12">
        <v>0.1</v>
      </c>
      <c r="N3178" s="12">
        <v>0.1</v>
      </c>
      <c r="O3178" s="8">
        <v>7540</v>
      </c>
      <c r="P3178" s="8">
        <f t="shared" si="304"/>
        <v>6786</v>
      </c>
      <c r="Q3178" s="12">
        <f t="shared" si="305"/>
        <v>14250.6</v>
      </c>
      <c r="R3178" s="31">
        <f t="shared" si="306"/>
        <v>14200</v>
      </c>
    </row>
    <row r="3179" spans="1:18" ht="21.95" customHeight="1" x14ac:dyDescent="0.2">
      <c r="A3179" s="6" t="s">
        <v>943</v>
      </c>
      <c r="B3179" s="6" t="s">
        <v>1596</v>
      </c>
      <c r="C3179" s="6" t="s">
        <v>1102</v>
      </c>
      <c r="D3179" s="6" t="s">
        <v>1099</v>
      </c>
      <c r="E3179" s="6"/>
      <c r="G3179" s="6">
        <v>90</v>
      </c>
      <c r="H3179" s="6">
        <v>190</v>
      </c>
      <c r="K3179" s="7">
        <v>44007350</v>
      </c>
      <c r="L3179" s="6" t="str">
        <f t="shared" si="303"/>
        <v>YT SENEM  KAPALI BAZA  90x190</v>
      </c>
      <c r="M3179" s="12">
        <v>0.1</v>
      </c>
      <c r="N3179" s="12">
        <v>0.1</v>
      </c>
      <c r="O3179" s="8">
        <v>3280</v>
      </c>
      <c r="P3179" s="8">
        <f t="shared" si="304"/>
        <v>2952</v>
      </c>
      <c r="Q3179" s="12">
        <f t="shared" si="305"/>
        <v>6199.2</v>
      </c>
      <c r="R3179" s="31">
        <f t="shared" si="306"/>
        <v>6100</v>
      </c>
    </row>
    <row r="3180" spans="1:18" ht="21.95" customHeight="1" x14ac:dyDescent="0.2">
      <c r="A3180" s="6" t="s">
        <v>943</v>
      </c>
      <c r="B3180" s="6" t="s">
        <v>1596</v>
      </c>
      <c r="C3180" s="6" t="s">
        <v>1102</v>
      </c>
      <c r="D3180" s="6" t="s">
        <v>1099</v>
      </c>
      <c r="E3180" s="6"/>
      <c r="G3180" s="6">
        <v>90</v>
      </c>
      <c r="H3180" s="6">
        <v>200</v>
      </c>
      <c r="K3180" s="7">
        <v>44007351</v>
      </c>
      <c r="L3180" s="6" t="str">
        <f t="shared" si="303"/>
        <v>YT SENEM  KAPALI BAZA  90x200</v>
      </c>
      <c r="M3180" s="12">
        <v>0.1</v>
      </c>
      <c r="N3180" s="12">
        <v>0.1</v>
      </c>
      <c r="O3180" s="8">
        <v>3500</v>
      </c>
      <c r="P3180" s="8">
        <f t="shared" si="304"/>
        <v>3150</v>
      </c>
      <c r="Q3180" s="12">
        <f t="shared" si="305"/>
        <v>6615</v>
      </c>
      <c r="R3180" s="31">
        <f t="shared" si="306"/>
        <v>6600</v>
      </c>
    </row>
    <row r="3181" spans="1:18" ht="21.95" customHeight="1" x14ac:dyDescent="0.2">
      <c r="A3181" s="6" t="s">
        <v>943</v>
      </c>
      <c r="B3181" s="6" t="s">
        <v>1596</v>
      </c>
      <c r="C3181" s="6" t="s">
        <v>1102</v>
      </c>
      <c r="D3181" s="6" t="s">
        <v>1099</v>
      </c>
      <c r="E3181" s="6"/>
      <c r="G3181" s="6">
        <v>100</v>
      </c>
      <c r="H3181" s="6">
        <v>200</v>
      </c>
      <c r="K3181" s="7">
        <v>44007352</v>
      </c>
      <c r="L3181" s="6" t="str">
        <f t="shared" si="303"/>
        <v>YT SENEM  KAPALI BAZA  100x200</v>
      </c>
      <c r="M3181" s="12">
        <v>0.1</v>
      </c>
      <c r="N3181" s="12">
        <v>0.1</v>
      </c>
      <c r="O3181" s="8">
        <v>3610</v>
      </c>
      <c r="P3181" s="8">
        <f t="shared" si="304"/>
        <v>3249</v>
      </c>
      <c r="Q3181" s="12">
        <f t="shared" si="305"/>
        <v>6822.9000000000005</v>
      </c>
      <c r="R3181" s="31">
        <f t="shared" si="306"/>
        <v>6800</v>
      </c>
    </row>
    <row r="3182" spans="1:18" ht="21.95" customHeight="1" x14ac:dyDescent="0.2">
      <c r="A3182" s="6" t="s">
        <v>943</v>
      </c>
      <c r="B3182" s="6" t="s">
        <v>1596</v>
      </c>
      <c r="C3182" s="6" t="s">
        <v>1102</v>
      </c>
      <c r="D3182" s="6" t="s">
        <v>1099</v>
      </c>
      <c r="E3182" s="6"/>
      <c r="G3182" s="6">
        <v>120</v>
      </c>
      <c r="H3182" s="6">
        <v>200</v>
      </c>
      <c r="K3182" s="7">
        <v>44007353</v>
      </c>
      <c r="L3182" s="6" t="str">
        <f t="shared" si="303"/>
        <v>YT SENEM  KAPALI BAZA  120x200</v>
      </c>
      <c r="M3182" s="12">
        <v>0.1</v>
      </c>
      <c r="N3182" s="12">
        <v>0.1</v>
      </c>
      <c r="O3182" s="8">
        <v>4240</v>
      </c>
      <c r="P3182" s="8">
        <f t="shared" si="304"/>
        <v>3816</v>
      </c>
      <c r="Q3182" s="12">
        <f t="shared" si="305"/>
        <v>8013.6</v>
      </c>
      <c r="R3182" s="31">
        <f t="shared" si="306"/>
        <v>8000</v>
      </c>
    </row>
    <row r="3183" spans="1:18" ht="21.95" customHeight="1" x14ac:dyDescent="0.2">
      <c r="A3183" s="6" t="s">
        <v>943</v>
      </c>
      <c r="B3183" s="6" t="s">
        <v>1596</v>
      </c>
      <c r="C3183" s="6" t="s">
        <v>1102</v>
      </c>
      <c r="D3183" s="6" t="s">
        <v>1099</v>
      </c>
      <c r="E3183" s="6"/>
      <c r="G3183" s="6">
        <v>140</v>
      </c>
      <c r="H3183" s="6">
        <v>190</v>
      </c>
      <c r="K3183" s="7">
        <v>44007354</v>
      </c>
      <c r="L3183" s="6" t="str">
        <f t="shared" si="303"/>
        <v>YT SENEM  KAPALI BAZA  140x190</v>
      </c>
      <c r="M3183" s="12">
        <v>0.1</v>
      </c>
      <c r="N3183" s="12">
        <v>0.1</v>
      </c>
      <c r="O3183" s="8">
        <v>5940</v>
      </c>
      <c r="P3183" s="8">
        <f t="shared" si="304"/>
        <v>5346</v>
      </c>
      <c r="Q3183" s="12">
        <f t="shared" si="305"/>
        <v>11226.6</v>
      </c>
      <c r="R3183" s="31">
        <f t="shared" si="306"/>
        <v>11200</v>
      </c>
    </row>
    <row r="3184" spans="1:18" ht="21.95" customHeight="1" x14ac:dyDescent="0.2">
      <c r="A3184" s="6" t="s">
        <v>943</v>
      </c>
      <c r="B3184" s="6" t="s">
        <v>1596</v>
      </c>
      <c r="C3184" s="6" t="s">
        <v>1102</v>
      </c>
      <c r="D3184" s="6" t="s">
        <v>1099</v>
      </c>
      <c r="E3184" s="6"/>
      <c r="G3184" s="6">
        <v>140</v>
      </c>
      <c r="H3184" s="6">
        <v>200</v>
      </c>
      <c r="K3184" s="7">
        <v>44007355</v>
      </c>
      <c r="L3184" s="6" t="str">
        <f t="shared" si="303"/>
        <v>YT SENEM  KAPALI BAZA  140x200</v>
      </c>
      <c r="M3184" s="12">
        <v>0.1</v>
      </c>
      <c r="N3184" s="12">
        <v>0.1</v>
      </c>
      <c r="O3184" s="8">
        <v>6160</v>
      </c>
      <c r="P3184" s="8">
        <f t="shared" si="304"/>
        <v>5544</v>
      </c>
      <c r="Q3184" s="12">
        <f t="shared" si="305"/>
        <v>11642.4</v>
      </c>
      <c r="R3184" s="31">
        <f t="shared" si="306"/>
        <v>11600</v>
      </c>
    </row>
    <row r="3185" spans="1:18" ht="21.95" customHeight="1" x14ac:dyDescent="0.2">
      <c r="A3185" s="6" t="s">
        <v>943</v>
      </c>
      <c r="B3185" s="6" t="s">
        <v>1596</v>
      </c>
      <c r="C3185" s="6" t="s">
        <v>1102</v>
      </c>
      <c r="D3185" s="6" t="s">
        <v>1099</v>
      </c>
      <c r="E3185" s="6"/>
      <c r="G3185" s="6">
        <v>150</v>
      </c>
      <c r="H3185" s="6">
        <v>200</v>
      </c>
      <c r="K3185" s="7">
        <v>44007356</v>
      </c>
      <c r="L3185" s="6" t="str">
        <f t="shared" si="303"/>
        <v>YT SENEM  KAPALI BAZA  150x200</v>
      </c>
      <c r="M3185" s="12">
        <v>0.1</v>
      </c>
      <c r="N3185" s="12">
        <v>0.1</v>
      </c>
      <c r="O3185" s="8">
        <v>6370</v>
      </c>
      <c r="P3185" s="8">
        <f t="shared" si="304"/>
        <v>5733</v>
      </c>
      <c r="Q3185" s="12">
        <f t="shared" si="305"/>
        <v>12039.300000000001</v>
      </c>
      <c r="R3185" s="31">
        <f t="shared" si="306"/>
        <v>12000</v>
      </c>
    </row>
    <row r="3186" spans="1:18" ht="21.95" customHeight="1" x14ac:dyDescent="0.2">
      <c r="A3186" s="6" t="s">
        <v>943</v>
      </c>
      <c r="B3186" s="6" t="s">
        <v>1596</v>
      </c>
      <c r="C3186" s="6" t="s">
        <v>1102</v>
      </c>
      <c r="D3186" s="6" t="s">
        <v>1099</v>
      </c>
      <c r="E3186" s="6"/>
      <c r="G3186" s="6">
        <v>160</v>
      </c>
      <c r="H3186" s="6">
        <v>200</v>
      </c>
      <c r="K3186" s="7">
        <v>44007357</v>
      </c>
      <c r="L3186" s="6" t="str">
        <f t="shared" si="303"/>
        <v>YT SENEM  KAPALI BAZA  160x200</v>
      </c>
      <c r="M3186" s="12">
        <v>0.1</v>
      </c>
      <c r="N3186" s="12">
        <v>0.1</v>
      </c>
      <c r="O3186" s="8">
        <v>6780</v>
      </c>
      <c r="P3186" s="8">
        <f t="shared" si="304"/>
        <v>6102</v>
      </c>
      <c r="Q3186" s="12">
        <f t="shared" si="305"/>
        <v>12814.2</v>
      </c>
      <c r="R3186" s="31">
        <f t="shared" si="306"/>
        <v>12800</v>
      </c>
    </row>
    <row r="3187" spans="1:18" ht="21.95" customHeight="1" x14ac:dyDescent="0.2">
      <c r="A3187" s="6" t="s">
        <v>943</v>
      </c>
      <c r="B3187" s="6" t="s">
        <v>1596</v>
      </c>
      <c r="C3187" s="6" t="s">
        <v>1102</v>
      </c>
      <c r="D3187" s="6" t="s">
        <v>1099</v>
      </c>
      <c r="E3187" s="6"/>
      <c r="G3187" s="6">
        <v>180</v>
      </c>
      <c r="H3187" s="6">
        <v>200</v>
      </c>
      <c r="K3187" s="7">
        <v>44007358</v>
      </c>
      <c r="L3187" s="6" t="str">
        <f t="shared" si="303"/>
        <v>YT SENEM  KAPALI BAZA  180x200</v>
      </c>
      <c r="M3187" s="12">
        <v>0.1</v>
      </c>
      <c r="N3187" s="12">
        <v>0.1</v>
      </c>
      <c r="O3187" s="8">
        <v>6970</v>
      </c>
      <c r="P3187" s="8">
        <f t="shared" si="304"/>
        <v>6273</v>
      </c>
      <c r="Q3187" s="12">
        <f t="shared" si="305"/>
        <v>13173.300000000001</v>
      </c>
      <c r="R3187" s="31">
        <f t="shared" si="306"/>
        <v>13100</v>
      </c>
    </row>
    <row r="3188" spans="1:18" ht="21.95" customHeight="1" x14ac:dyDescent="0.2">
      <c r="A3188" s="6" t="s">
        <v>943</v>
      </c>
      <c r="B3188" s="6" t="s">
        <v>1596</v>
      </c>
      <c r="C3188" s="6" t="s">
        <v>1102</v>
      </c>
      <c r="D3188" s="6" t="s">
        <v>1099</v>
      </c>
      <c r="E3188" s="6"/>
      <c r="G3188" s="6">
        <v>200</v>
      </c>
      <c r="H3188" s="6">
        <v>200</v>
      </c>
      <c r="K3188" s="7">
        <v>44007359</v>
      </c>
      <c r="L3188" s="6" t="str">
        <f t="shared" si="303"/>
        <v>YT SENEM  KAPALI BAZA  200x200</v>
      </c>
      <c r="M3188" s="12">
        <v>0.1</v>
      </c>
      <c r="N3188" s="12">
        <v>0.1</v>
      </c>
      <c r="O3188" s="8">
        <v>7210</v>
      </c>
      <c r="P3188" s="8">
        <f t="shared" si="304"/>
        <v>6489</v>
      </c>
      <c r="Q3188" s="12">
        <f t="shared" si="305"/>
        <v>13626.900000000001</v>
      </c>
      <c r="R3188" s="31">
        <f t="shared" si="306"/>
        <v>13600</v>
      </c>
    </row>
    <row r="3189" spans="1:18" ht="21.95" customHeight="1" x14ac:dyDescent="0.2">
      <c r="A3189" s="6" t="s">
        <v>943</v>
      </c>
      <c r="B3189" s="6" t="s">
        <v>1596</v>
      </c>
      <c r="C3189" s="6" t="s">
        <v>1021</v>
      </c>
      <c r="D3189" s="6" t="s">
        <v>1003</v>
      </c>
      <c r="E3189" s="6"/>
      <c r="G3189" s="6">
        <v>90</v>
      </c>
      <c r="H3189" s="6">
        <v>200</v>
      </c>
      <c r="K3189" s="7">
        <v>44007360</v>
      </c>
      <c r="L3189" s="6" t="str">
        <f t="shared" si="303"/>
        <v>YT AYSİMA  BAŞLIK  90x200</v>
      </c>
      <c r="M3189" s="12">
        <v>0.1</v>
      </c>
      <c r="N3189" s="12">
        <v>0.1</v>
      </c>
      <c r="O3189" s="8">
        <v>3460</v>
      </c>
      <c r="P3189" s="8">
        <f t="shared" si="304"/>
        <v>3114</v>
      </c>
      <c r="Q3189" s="12">
        <f t="shared" si="305"/>
        <v>6539.4000000000005</v>
      </c>
      <c r="R3189" s="31">
        <f t="shared" si="306"/>
        <v>6500</v>
      </c>
    </row>
    <row r="3190" spans="1:18" ht="21.95" customHeight="1" x14ac:dyDescent="0.2">
      <c r="A3190" s="6" t="s">
        <v>943</v>
      </c>
      <c r="B3190" s="6" t="s">
        <v>1596</v>
      </c>
      <c r="C3190" s="6" t="s">
        <v>1021</v>
      </c>
      <c r="D3190" s="6" t="s">
        <v>1003</v>
      </c>
      <c r="E3190" s="6"/>
      <c r="G3190" s="6">
        <v>100</v>
      </c>
      <c r="H3190" s="6">
        <v>200</v>
      </c>
      <c r="K3190" s="7">
        <v>44007361</v>
      </c>
      <c r="L3190" s="6" t="str">
        <f t="shared" si="303"/>
        <v>YT AYSİMA  BAŞLIK  100x200</v>
      </c>
      <c r="M3190" s="12">
        <v>0.1</v>
      </c>
      <c r="N3190" s="12">
        <v>0.1</v>
      </c>
      <c r="O3190" s="8">
        <v>3730</v>
      </c>
      <c r="P3190" s="8">
        <f t="shared" si="304"/>
        <v>3357</v>
      </c>
      <c r="Q3190" s="12">
        <f t="shared" si="305"/>
        <v>7049.7000000000007</v>
      </c>
      <c r="R3190" s="31">
        <f t="shared" si="306"/>
        <v>7000</v>
      </c>
    </row>
    <row r="3191" spans="1:18" ht="21.95" customHeight="1" x14ac:dyDescent="0.2">
      <c r="A3191" s="6" t="s">
        <v>943</v>
      </c>
      <c r="B3191" s="6" t="s">
        <v>1596</v>
      </c>
      <c r="C3191" s="6" t="s">
        <v>1021</v>
      </c>
      <c r="D3191" s="6" t="s">
        <v>1003</v>
      </c>
      <c r="E3191" s="6"/>
      <c r="G3191" s="6">
        <v>120</v>
      </c>
      <c r="H3191" s="6">
        <v>200</v>
      </c>
      <c r="K3191" s="7">
        <v>44007362</v>
      </c>
      <c r="L3191" s="6" t="str">
        <f t="shared" si="303"/>
        <v>YT AYSİMA  BAŞLIK  120x200</v>
      </c>
      <c r="M3191" s="12">
        <v>0.1</v>
      </c>
      <c r="N3191" s="12">
        <v>0.1</v>
      </c>
      <c r="O3191" s="8">
        <v>3950</v>
      </c>
      <c r="P3191" s="8">
        <f t="shared" si="304"/>
        <v>3555</v>
      </c>
      <c r="Q3191" s="12">
        <f t="shared" si="305"/>
        <v>7465.5</v>
      </c>
      <c r="R3191" s="31">
        <f t="shared" si="306"/>
        <v>7400</v>
      </c>
    </row>
    <row r="3192" spans="1:18" ht="21.95" customHeight="1" x14ac:dyDescent="0.2">
      <c r="A3192" s="6" t="s">
        <v>943</v>
      </c>
      <c r="B3192" s="6" t="s">
        <v>1596</v>
      </c>
      <c r="C3192" s="6" t="s">
        <v>1021</v>
      </c>
      <c r="D3192" s="6" t="s">
        <v>1003</v>
      </c>
      <c r="E3192" s="6"/>
      <c r="G3192" s="6">
        <v>140</v>
      </c>
      <c r="H3192" s="6">
        <v>200</v>
      </c>
      <c r="K3192" s="7">
        <v>44007363</v>
      </c>
      <c r="L3192" s="6" t="str">
        <f t="shared" si="303"/>
        <v>YT AYSİMA  BAŞLIK  140x200</v>
      </c>
      <c r="M3192" s="12">
        <v>0.1</v>
      </c>
      <c r="N3192" s="12">
        <v>0.1</v>
      </c>
      <c r="O3192" s="8">
        <v>4210</v>
      </c>
      <c r="P3192" s="8">
        <f t="shared" si="304"/>
        <v>3789</v>
      </c>
      <c r="Q3192" s="12">
        <f t="shared" si="305"/>
        <v>7956.9000000000005</v>
      </c>
      <c r="R3192" s="31">
        <f t="shared" si="306"/>
        <v>7900</v>
      </c>
    </row>
    <row r="3193" spans="1:18" ht="21.95" customHeight="1" x14ac:dyDescent="0.2">
      <c r="A3193" s="6" t="s">
        <v>943</v>
      </c>
      <c r="B3193" s="6" t="s">
        <v>1596</v>
      </c>
      <c r="C3193" s="6" t="s">
        <v>964</v>
      </c>
      <c r="D3193" s="6" t="s">
        <v>1003</v>
      </c>
      <c r="E3193" s="6"/>
      <c r="G3193" s="6">
        <v>90</v>
      </c>
      <c r="H3193" s="6">
        <v>200</v>
      </c>
      <c r="K3193" s="7">
        <v>44007364</v>
      </c>
      <c r="L3193" s="6" t="str">
        <f t="shared" si="303"/>
        <v>YT DORMEO  BAŞLIK  90x200</v>
      </c>
      <c r="M3193" s="12">
        <v>0.1</v>
      </c>
      <c r="N3193" s="12">
        <v>0.1</v>
      </c>
      <c r="O3193" s="8">
        <v>3290</v>
      </c>
      <c r="P3193" s="8">
        <f t="shared" si="304"/>
        <v>2961</v>
      </c>
      <c r="Q3193" s="12">
        <f t="shared" si="305"/>
        <v>6218.1</v>
      </c>
      <c r="R3193" s="31">
        <f t="shared" si="306"/>
        <v>6200</v>
      </c>
    </row>
    <row r="3194" spans="1:18" ht="21.95" customHeight="1" x14ac:dyDescent="0.2">
      <c r="A3194" s="6" t="s">
        <v>943</v>
      </c>
      <c r="B3194" s="6" t="s">
        <v>1596</v>
      </c>
      <c r="C3194" s="6" t="s">
        <v>964</v>
      </c>
      <c r="D3194" s="6" t="s">
        <v>1003</v>
      </c>
      <c r="E3194" s="6"/>
      <c r="G3194" s="6">
        <v>100</v>
      </c>
      <c r="H3194" s="6">
        <v>200</v>
      </c>
      <c r="K3194" s="7">
        <v>44007365</v>
      </c>
      <c r="L3194" s="6" t="str">
        <f t="shared" si="303"/>
        <v>YT DORMEO  BAŞLIK  100x200</v>
      </c>
      <c r="M3194" s="12">
        <v>0.1</v>
      </c>
      <c r="N3194" s="12">
        <v>0.1</v>
      </c>
      <c r="O3194" s="8">
        <v>3590</v>
      </c>
      <c r="P3194" s="8">
        <f t="shared" si="304"/>
        <v>3231</v>
      </c>
      <c r="Q3194" s="12">
        <f t="shared" si="305"/>
        <v>6785.1</v>
      </c>
      <c r="R3194" s="31">
        <f t="shared" si="306"/>
        <v>6700</v>
      </c>
    </row>
    <row r="3195" spans="1:18" ht="21.95" customHeight="1" x14ac:dyDescent="0.2">
      <c r="A3195" s="6" t="s">
        <v>943</v>
      </c>
      <c r="B3195" s="6" t="s">
        <v>1596</v>
      </c>
      <c r="C3195" s="6" t="s">
        <v>964</v>
      </c>
      <c r="D3195" s="6" t="s">
        <v>1003</v>
      </c>
      <c r="E3195" s="6"/>
      <c r="G3195" s="6">
        <v>120</v>
      </c>
      <c r="H3195" s="6">
        <v>200</v>
      </c>
      <c r="K3195" s="7">
        <v>44007366</v>
      </c>
      <c r="L3195" s="6" t="str">
        <f t="shared" si="303"/>
        <v>YT DORMEO  BAŞLIK  120x200</v>
      </c>
      <c r="M3195" s="12">
        <v>0.1</v>
      </c>
      <c r="N3195" s="12">
        <v>0.1</v>
      </c>
      <c r="O3195" s="8">
        <v>4040</v>
      </c>
      <c r="P3195" s="8">
        <f t="shared" si="304"/>
        <v>3636</v>
      </c>
      <c r="Q3195" s="12">
        <f t="shared" si="305"/>
        <v>7635.6</v>
      </c>
      <c r="R3195" s="31">
        <f t="shared" si="306"/>
        <v>7600</v>
      </c>
    </row>
    <row r="3196" spans="1:18" ht="21.95" customHeight="1" x14ac:dyDescent="0.2">
      <c r="A3196" s="6" t="s">
        <v>943</v>
      </c>
      <c r="B3196" s="6" t="s">
        <v>1596</v>
      </c>
      <c r="C3196" s="6" t="s">
        <v>964</v>
      </c>
      <c r="D3196" s="6" t="s">
        <v>1003</v>
      </c>
      <c r="E3196" s="6"/>
      <c r="G3196" s="6">
        <v>140</v>
      </c>
      <c r="H3196" s="6">
        <v>200</v>
      </c>
      <c r="K3196" s="7">
        <v>44007367</v>
      </c>
      <c r="L3196" s="6" t="str">
        <f t="shared" si="303"/>
        <v>YT DORMEO  BAŞLIK  140x200</v>
      </c>
      <c r="M3196" s="12">
        <v>0.1</v>
      </c>
      <c r="N3196" s="12">
        <v>0.1</v>
      </c>
      <c r="O3196" s="8">
        <v>4430</v>
      </c>
      <c r="P3196" s="8">
        <f t="shared" si="304"/>
        <v>3987</v>
      </c>
      <c r="Q3196" s="12">
        <f t="shared" si="305"/>
        <v>8372.7000000000007</v>
      </c>
      <c r="R3196" s="31">
        <f t="shared" si="306"/>
        <v>8300</v>
      </c>
    </row>
    <row r="3197" spans="1:18" ht="21.95" customHeight="1" x14ac:dyDescent="0.2">
      <c r="A3197" s="6" t="s">
        <v>943</v>
      </c>
      <c r="B3197" s="6" t="s">
        <v>1596</v>
      </c>
      <c r="C3197" s="6" t="s">
        <v>971</v>
      </c>
      <c r="D3197" s="6" t="s">
        <v>1003</v>
      </c>
      <c r="E3197" s="6"/>
      <c r="G3197" s="6">
        <v>140</v>
      </c>
      <c r="H3197" s="6">
        <v>200</v>
      </c>
      <c r="K3197" s="7">
        <v>44007368</v>
      </c>
      <c r="L3197" s="6" t="str">
        <f t="shared" si="303"/>
        <v>YT EFSANE  BAŞLIK  140x200</v>
      </c>
      <c r="M3197" s="12">
        <v>0.1</v>
      </c>
      <c r="N3197" s="12">
        <v>0.1</v>
      </c>
      <c r="O3197" s="8">
        <v>3710</v>
      </c>
      <c r="P3197" s="8">
        <f t="shared" si="304"/>
        <v>3339</v>
      </c>
      <c r="Q3197" s="12">
        <f t="shared" si="305"/>
        <v>7011.9000000000005</v>
      </c>
      <c r="R3197" s="31">
        <f t="shared" si="306"/>
        <v>7000</v>
      </c>
    </row>
    <row r="3198" spans="1:18" ht="21.95" customHeight="1" x14ac:dyDescent="0.2">
      <c r="A3198" s="6" t="s">
        <v>943</v>
      </c>
      <c r="B3198" s="6" t="s">
        <v>1596</v>
      </c>
      <c r="C3198" s="6" t="s">
        <v>971</v>
      </c>
      <c r="D3198" s="6" t="s">
        <v>1003</v>
      </c>
      <c r="E3198" s="6"/>
      <c r="G3198" s="6">
        <v>150</v>
      </c>
      <c r="H3198" s="6">
        <v>200</v>
      </c>
      <c r="K3198" s="7">
        <v>44007369</v>
      </c>
      <c r="L3198" s="6" t="str">
        <f t="shared" si="303"/>
        <v>YT EFSANE  BAŞLIK  150x200</v>
      </c>
      <c r="M3198" s="12">
        <v>0.1</v>
      </c>
      <c r="N3198" s="12">
        <v>0.1</v>
      </c>
      <c r="O3198" s="8">
        <v>3980</v>
      </c>
      <c r="P3198" s="8">
        <f t="shared" si="304"/>
        <v>3582</v>
      </c>
      <c r="Q3198" s="12">
        <f t="shared" si="305"/>
        <v>7522.2000000000007</v>
      </c>
      <c r="R3198" s="31">
        <f t="shared" si="306"/>
        <v>7500</v>
      </c>
    </row>
    <row r="3199" spans="1:18" ht="21.95" customHeight="1" x14ac:dyDescent="0.2">
      <c r="A3199" s="6" t="s">
        <v>943</v>
      </c>
      <c r="B3199" s="6" t="s">
        <v>1596</v>
      </c>
      <c r="C3199" s="6" t="s">
        <v>971</v>
      </c>
      <c r="D3199" s="6" t="s">
        <v>1003</v>
      </c>
      <c r="E3199" s="6"/>
      <c r="G3199" s="6">
        <v>160</v>
      </c>
      <c r="H3199" s="6">
        <v>200</v>
      </c>
      <c r="K3199" s="7">
        <v>44007370</v>
      </c>
      <c r="L3199" s="6" t="str">
        <f t="shared" si="303"/>
        <v>YT EFSANE  BAŞLIK  160x200</v>
      </c>
      <c r="M3199" s="12">
        <v>0.1</v>
      </c>
      <c r="N3199" s="12">
        <v>0.1</v>
      </c>
      <c r="O3199" s="8">
        <v>4380</v>
      </c>
      <c r="P3199" s="8">
        <f t="shared" si="304"/>
        <v>3942</v>
      </c>
      <c r="Q3199" s="12">
        <f t="shared" si="305"/>
        <v>8278.2000000000007</v>
      </c>
      <c r="R3199" s="31">
        <f t="shared" si="306"/>
        <v>8200</v>
      </c>
    </row>
    <row r="3200" spans="1:18" ht="21.95" customHeight="1" x14ac:dyDescent="0.2">
      <c r="A3200" s="6" t="s">
        <v>943</v>
      </c>
      <c r="B3200" s="6" t="s">
        <v>1596</v>
      </c>
      <c r="C3200" s="6" t="s">
        <v>971</v>
      </c>
      <c r="D3200" s="6" t="s">
        <v>1003</v>
      </c>
      <c r="E3200" s="6"/>
      <c r="G3200" s="6">
        <v>200</v>
      </c>
      <c r="H3200" s="6">
        <v>200</v>
      </c>
      <c r="K3200" s="7">
        <v>44007371</v>
      </c>
      <c r="L3200" s="6" t="str">
        <f t="shared" si="303"/>
        <v>YT EFSANE  BAŞLIK  200x200</v>
      </c>
      <c r="M3200" s="12">
        <v>0.1</v>
      </c>
      <c r="N3200" s="12">
        <v>0.1</v>
      </c>
      <c r="O3200" s="8">
        <v>5390</v>
      </c>
      <c r="P3200" s="8">
        <f t="shared" si="304"/>
        <v>4851</v>
      </c>
      <c r="Q3200" s="12">
        <f t="shared" si="305"/>
        <v>10187.1</v>
      </c>
      <c r="R3200" s="31">
        <f t="shared" si="306"/>
        <v>10100</v>
      </c>
    </row>
    <row r="3201" spans="1:18" ht="21.95" customHeight="1" x14ac:dyDescent="0.2">
      <c r="A3201" s="6" t="s">
        <v>943</v>
      </c>
      <c r="B3201" s="6" t="s">
        <v>1596</v>
      </c>
      <c r="C3201" s="6" t="s">
        <v>1010</v>
      </c>
      <c r="D3201" s="6" t="s">
        <v>1003</v>
      </c>
      <c r="E3201" s="6"/>
      <c r="G3201" s="6">
        <v>140</v>
      </c>
      <c r="H3201" s="6">
        <v>200</v>
      </c>
      <c r="K3201" s="7">
        <v>44007372</v>
      </c>
      <c r="L3201" s="6" t="str">
        <f t="shared" si="303"/>
        <v>YT HİLAL  BAŞLIK  140x200</v>
      </c>
      <c r="M3201" s="12">
        <v>0.1</v>
      </c>
      <c r="N3201" s="12">
        <v>0.1</v>
      </c>
      <c r="O3201" s="8">
        <v>6890</v>
      </c>
      <c r="P3201" s="8">
        <f t="shared" si="304"/>
        <v>6201</v>
      </c>
      <c r="Q3201" s="12">
        <f t="shared" si="305"/>
        <v>13022.1</v>
      </c>
      <c r="R3201" s="31">
        <f t="shared" si="306"/>
        <v>13000</v>
      </c>
    </row>
    <row r="3202" spans="1:18" ht="21.95" customHeight="1" x14ac:dyDescent="0.2">
      <c r="A3202" s="6" t="s">
        <v>943</v>
      </c>
      <c r="B3202" s="6" t="s">
        <v>1596</v>
      </c>
      <c r="C3202" s="6" t="s">
        <v>1030</v>
      </c>
      <c r="D3202" s="6" t="s">
        <v>1003</v>
      </c>
      <c r="E3202" s="6"/>
      <c r="G3202" s="6">
        <v>90</v>
      </c>
      <c r="H3202" s="6">
        <v>200</v>
      </c>
      <c r="K3202" s="7">
        <v>44007373</v>
      </c>
      <c r="L3202" s="6" t="str">
        <f t="shared" si="303"/>
        <v>YT HÜMA  BAŞLIK  90x200</v>
      </c>
      <c r="M3202" s="12">
        <v>0.1</v>
      </c>
      <c r="N3202" s="12">
        <v>0.1</v>
      </c>
      <c r="O3202" s="8">
        <v>3270</v>
      </c>
      <c r="P3202" s="8">
        <f t="shared" si="304"/>
        <v>2943</v>
      </c>
      <c r="Q3202" s="12">
        <f t="shared" si="305"/>
        <v>6180.3</v>
      </c>
      <c r="R3202" s="31">
        <f t="shared" si="306"/>
        <v>6100</v>
      </c>
    </row>
    <row r="3203" spans="1:18" ht="21.95" customHeight="1" x14ac:dyDescent="0.2">
      <c r="A3203" s="6" t="s">
        <v>943</v>
      </c>
      <c r="B3203" s="6" t="s">
        <v>1596</v>
      </c>
      <c r="C3203" s="6" t="s">
        <v>1030</v>
      </c>
      <c r="D3203" s="6" t="s">
        <v>1003</v>
      </c>
      <c r="E3203" s="6"/>
      <c r="G3203" s="6">
        <v>100</v>
      </c>
      <c r="H3203" s="6">
        <v>200</v>
      </c>
      <c r="K3203" s="7">
        <v>44007374</v>
      </c>
      <c r="L3203" s="6" t="str">
        <f t="shared" si="303"/>
        <v>YT HÜMA  BAŞLIK  100x200</v>
      </c>
      <c r="M3203" s="12">
        <v>0.1</v>
      </c>
      <c r="N3203" s="12">
        <v>0.1</v>
      </c>
      <c r="O3203" s="8">
        <v>3430</v>
      </c>
      <c r="P3203" s="8">
        <f t="shared" si="304"/>
        <v>3087</v>
      </c>
      <c r="Q3203" s="12">
        <f t="shared" si="305"/>
        <v>6482.7000000000007</v>
      </c>
      <c r="R3203" s="31">
        <f t="shared" si="306"/>
        <v>6400</v>
      </c>
    </row>
    <row r="3204" spans="1:18" ht="21.95" customHeight="1" x14ac:dyDescent="0.2">
      <c r="A3204" s="6" t="s">
        <v>943</v>
      </c>
      <c r="B3204" s="6" t="s">
        <v>1596</v>
      </c>
      <c r="C3204" s="6" t="s">
        <v>1030</v>
      </c>
      <c r="D3204" s="6" t="s">
        <v>1003</v>
      </c>
      <c r="E3204" s="6"/>
      <c r="G3204" s="6">
        <v>120</v>
      </c>
      <c r="H3204" s="6">
        <v>200</v>
      </c>
      <c r="K3204" s="7">
        <v>44007375</v>
      </c>
      <c r="L3204" s="6" t="str">
        <f t="shared" ref="L3204:L3267" si="307">B3204&amp;" "&amp;C3204&amp;" "&amp;D3204&amp;" "&amp;G3204&amp;"x"&amp;H3204</f>
        <v>YT HÜMA  BAŞLIK  120x200</v>
      </c>
      <c r="M3204" s="12">
        <v>0.1</v>
      </c>
      <c r="N3204" s="12">
        <v>0.1</v>
      </c>
      <c r="O3204" s="8">
        <v>3630</v>
      </c>
      <c r="P3204" s="8">
        <f t="shared" si="304"/>
        <v>3267</v>
      </c>
      <c r="Q3204" s="12">
        <f t="shared" si="305"/>
        <v>6860.7000000000007</v>
      </c>
      <c r="R3204" s="31">
        <f t="shared" si="306"/>
        <v>6800</v>
      </c>
    </row>
    <row r="3205" spans="1:18" ht="21.95" customHeight="1" x14ac:dyDescent="0.2">
      <c r="A3205" s="6" t="s">
        <v>943</v>
      </c>
      <c r="B3205" s="6" t="s">
        <v>1596</v>
      </c>
      <c r="C3205" s="6" t="s">
        <v>1030</v>
      </c>
      <c r="D3205" s="6" t="s">
        <v>1003</v>
      </c>
      <c r="E3205" s="6"/>
      <c r="G3205" s="6">
        <v>140</v>
      </c>
      <c r="H3205" s="6">
        <v>200</v>
      </c>
      <c r="K3205" s="7">
        <v>44007376</v>
      </c>
      <c r="L3205" s="6" t="str">
        <f t="shared" si="307"/>
        <v>YT HÜMA  BAŞLIK  140x200</v>
      </c>
      <c r="M3205" s="12">
        <v>0.1</v>
      </c>
      <c r="N3205" s="12">
        <v>0.1</v>
      </c>
      <c r="O3205" s="8">
        <v>4080</v>
      </c>
      <c r="P3205" s="8">
        <f t="shared" si="304"/>
        <v>3672</v>
      </c>
      <c r="Q3205" s="12">
        <f t="shared" si="305"/>
        <v>7711.2000000000007</v>
      </c>
      <c r="R3205" s="31">
        <f t="shared" si="306"/>
        <v>7700</v>
      </c>
    </row>
    <row r="3206" spans="1:18" ht="21.95" customHeight="1" x14ac:dyDescent="0.2">
      <c r="A3206" s="6" t="s">
        <v>943</v>
      </c>
      <c r="B3206" s="6" t="s">
        <v>1596</v>
      </c>
      <c r="C3206" s="6" t="s">
        <v>1057</v>
      </c>
      <c r="D3206" s="6" t="s">
        <v>1003</v>
      </c>
      <c r="E3206" s="6"/>
      <c r="G3206" s="6">
        <v>140</v>
      </c>
      <c r="H3206" s="6">
        <v>200</v>
      </c>
      <c r="K3206" s="7">
        <v>44007377</v>
      </c>
      <c r="L3206" s="6" t="str">
        <f t="shared" si="307"/>
        <v>YT IRMAK  BAŞLIK  140x200</v>
      </c>
      <c r="M3206" s="12">
        <v>0.1</v>
      </c>
      <c r="N3206" s="12">
        <v>0.1</v>
      </c>
      <c r="O3206" s="8">
        <v>5250</v>
      </c>
      <c r="P3206" s="8">
        <f t="shared" si="304"/>
        <v>4725</v>
      </c>
      <c r="Q3206" s="12">
        <f t="shared" si="305"/>
        <v>9922.5</v>
      </c>
      <c r="R3206" s="31">
        <f t="shared" si="306"/>
        <v>9900</v>
      </c>
    </row>
    <row r="3207" spans="1:18" ht="21.95" customHeight="1" x14ac:dyDescent="0.2">
      <c r="A3207" s="6" t="s">
        <v>943</v>
      </c>
      <c r="B3207" s="6" t="s">
        <v>1596</v>
      </c>
      <c r="C3207" s="6" t="s">
        <v>1057</v>
      </c>
      <c r="D3207" s="6" t="s">
        <v>1003</v>
      </c>
      <c r="E3207" s="6"/>
      <c r="G3207" s="6">
        <v>150</v>
      </c>
      <c r="H3207" s="6">
        <v>200</v>
      </c>
      <c r="K3207" s="7">
        <v>44007378</v>
      </c>
      <c r="L3207" s="6" t="str">
        <f t="shared" si="307"/>
        <v>YT IRMAK  BAŞLIK  150x200</v>
      </c>
      <c r="M3207" s="12">
        <v>0.1</v>
      </c>
      <c r="N3207" s="12">
        <v>0.1</v>
      </c>
      <c r="O3207" s="8">
        <v>5490</v>
      </c>
      <c r="P3207" s="8">
        <f t="shared" si="304"/>
        <v>4941</v>
      </c>
      <c r="Q3207" s="12">
        <f t="shared" si="305"/>
        <v>10376.1</v>
      </c>
      <c r="R3207" s="31">
        <f t="shared" si="306"/>
        <v>10300</v>
      </c>
    </row>
    <row r="3208" spans="1:18" ht="21.95" customHeight="1" x14ac:dyDescent="0.2">
      <c r="A3208" s="6" t="s">
        <v>943</v>
      </c>
      <c r="B3208" s="6" t="s">
        <v>1596</v>
      </c>
      <c r="C3208" s="6" t="s">
        <v>1057</v>
      </c>
      <c r="D3208" s="6" t="s">
        <v>1003</v>
      </c>
      <c r="E3208" s="6"/>
      <c r="G3208" s="6">
        <v>160</v>
      </c>
      <c r="H3208" s="6">
        <v>200</v>
      </c>
      <c r="K3208" s="7">
        <v>44007379</v>
      </c>
      <c r="L3208" s="6" t="str">
        <f t="shared" si="307"/>
        <v>YT IRMAK  BAŞLIK  160x200</v>
      </c>
      <c r="M3208" s="12">
        <v>0.1</v>
      </c>
      <c r="N3208" s="12">
        <v>0.1</v>
      </c>
      <c r="O3208" s="8">
        <v>5620</v>
      </c>
      <c r="P3208" s="8">
        <f t="shared" si="304"/>
        <v>5058</v>
      </c>
      <c r="Q3208" s="12">
        <f t="shared" si="305"/>
        <v>10621.800000000001</v>
      </c>
      <c r="R3208" s="31">
        <f t="shared" si="306"/>
        <v>10600</v>
      </c>
    </row>
    <row r="3209" spans="1:18" ht="21.95" customHeight="1" x14ac:dyDescent="0.2">
      <c r="A3209" s="6" t="s">
        <v>943</v>
      </c>
      <c r="B3209" s="6" t="s">
        <v>1596</v>
      </c>
      <c r="C3209" s="6" t="s">
        <v>1057</v>
      </c>
      <c r="D3209" s="6" t="s">
        <v>1003</v>
      </c>
      <c r="E3209" s="6"/>
      <c r="G3209" s="6">
        <v>180</v>
      </c>
      <c r="H3209" s="6">
        <v>200</v>
      </c>
      <c r="K3209" s="7">
        <v>44007380</v>
      </c>
      <c r="L3209" s="6" t="str">
        <f t="shared" si="307"/>
        <v>YT IRMAK  BAŞLIK  180x200</v>
      </c>
      <c r="M3209" s="12">
        <v>0.1</v>
      </c>
      <c r="N3209" s="12">
        <v>0.1</v>
      </c>
      <c r="O3209" s="8">
        <v>6630</v>
      </c>
      <c r="P3209" s="8">
        <f t="shared" si="304"/>
        <v>5967</v>
      </c>
      <c r="Q3209" s="12">
        <f t="shared" si="305"/>
        <v>12530.7</v>
      </c>
      <c r="R3209" s="31">
        <f t="shared" si="306"/>
        <v>12500</v>
      </c>
    </row>
    <row r="3210" spans="1:18" ht="21.95" customHeight="1" x14ac:dyDescent="0.2">
      <c r="A3210" s="6" t="s">
        <v>943</v>
      </c>
      <c r="B3210" s="6" t="s">
        <v>1596</v>
      </c>
      <c r="C3210" s="6" t="s">
        <v>1057</v>
      </c>
      <c r="D3210" s="6" t="s">
        <v>1003</v>
      </c>
      <c r="E3210" s="6"/>
      <c r="G3210" s="6">
        <v>200</v>
      </c>
      <c r="H3210" s="6">
        <v>200</v>
      </c>
      <c r="K3210" s="7">
        <v>44007381</v>
      </c>
      <c r="L3210" s="6" t="str">
        <f t="shared" si="307"/>
        <v>YT IRMAK  BAŞLIK  200x200</v>
      </c>
      <c r="M3210" s="12">
        <v>0.1</v>
      </c>
      <c r="N3210" s="12">
        <v>0.1</v>
      </c>
      <c r="O3210" s="8">
        <v>7290</v>
      </c>
      <c r="P3210" s="8">
        <f t="shared" si="304"/>
        <v>6561</v>
      </c>
      <c r="Q3210" s="12">
        <f t="shared" si="305"/>
        <v>13778.1</v>
      </c>
      <c r="R3210" s="31">
        <f t="shared" si="306"/>
        <v>13700</v>
      </c>
    </row>
    <row r="3211" spans="1:18" ht="21.95" customHeight="1" x14ac:dyDescent="0.2">
      <c r="A3211" s="6" t="s">
        <v>943</v>
      </c>
      <c r="B3211" s="6" t="s">
        <v>1596</v>
      </c>
      <c r="C3211" s="6" t="s">
        <v>1103</v>
      </c>
      <c r="D3211" s="6" t="s">
        <v>1003</v>
      </c>
      <c r="E3211" s="6"/>
      <c r="G3211" s="6">
        <v>90</v>
      </c>
      <c r="H3211" s="6">
        <v>200</v>
      </c>
      <c r="K3211" s="7">
        <v>44007382</v>
      </c>
      <c r="L3211" s="6" t="str">
        <f t="shared" si="307"/>
        <v>YT KARDELEN BAŞLIK  90x200</v>
      </c>
      <c r="M3211" s="12">
        <v>0.1</v>
      </c>
      <c r="N3211" s="12">
        <v>0.1</v>
      </c>
      <c r="O3211" s="8">
        <v>3240</v>
      </c>
      <c r="P3211" s="8">
        <f t="shared" si="304"/>
        <v>2916</v>
      </c>
      <c r="Q3211" s="12">
        <f t="shared" si="305"/>
        <v>6123.6</v>
      </c>
      <c r="R3211" s="31">
        <f t="shared" si="306"/>
        <v>6100</v>
      </c>
    </row>
    <row r="3212" spans="1:18" ht="21.95" customHeight="1" x14ac:dyDescent="0.2">
      <c r="A3212" s="6" t="s">
        <v>943</v>
      </c>
      <c r="B3212" s="6" t="s">
        <v>1596</v>
      </c>
      <c r="C3212" s="6" t="s">
        <v>1103</v>
      </c>
      <c r="D3212" s="6" t="s">
        <v>1003</v>
      </c>
      <c r="E3212" s="6"/>
      <c r="G3212" s="6">
        <v>100</v>
      </c>
      <c r="H3212" s="6">
        <v>200</v>
      </c>
      <c r="K3212" s="7">
        <v>44007383</v>
      </c>
      <c r="L3212" s="6" t="str">
        <f t="shared" si="307"/>
        <v>YT KARDELEN BAŞLIK  100x200</v>
      </c>
      <c r="M3212" s="12">
        <v>0.1</v>
      </c>
      <c r="N3212" s="12">
        <v>0.1</v>
      </c>
      <c r="O3212" s="8">
        <v>3420</v>
      </c>
      <c r="P3212" s="8">
        <f t="shared" si="304"/>
        <v>3078</v>
      </c>
      <c r="Q3212" s="12">
        <f t="shared" si="305"/>
        <v>6463.8</v>
      </c>
      <c r="R3212" s="31">
        <f t="shared" si="306"/>
        <v>6400</v>
      </c>
    </row>
    <row r="3213" spans="1:18" ht="21.95" customHeight="1" x14ac:dyDescent="0.2">
      <c r="A3213" s="6" t="s">
        <v>943</v>
      </c>
      <c r="B3213" s="6" t="s">
        <v>1596</v>
      </c>
      <c r="C3213" s="6" t="s">
        <v>1103</v>
      </c>
      <c r="D3213" s="6" t="s">
        <v>1003</v>
      </c>
      <c r="E3213" s="6"/>
      <c r="G3213" s="6">
        <v>120</v>
      </c>
      <c r="H3213" s="6">
        <v>200</v>
      </c>
      <c r="K3213" s="7">
        <v>44007384</v>
      </c>
      <c r="L3213" s="6" t="str">
        <f t="shared" si="307"/>
        <v>YT KARDELEN BAŞLIK  120x200</v>
      </c>
      <c r="M3213" s="12">
        <v>0.1</v>
      </c>
      <c r="N3213" s="12">
        <v>0.1</v>
      </c>
      <c r="O3213" s="8">
        <v>3660</v>
      </c>
      <c r="P3213" s="8">
        <f t="shared" si="304"/>
        <v>3294</v>
      </c>
      <c r="Q3213" s="12">
        <f t="shared" si="305"/>
        <v>6917.4000000000005</v>
      </c>
      <c r="R3213" s="31">
        <f t="shared" si="306"/>
        <v>6900</v>
      </c>
    </row>
    <row r="3214" spans="1:18" ht="21.95" customHeight="1" x14ac:dyDescent="0.2">
      <c r="A3214" s="6" t="s">
        <v>943</v>
      </c>
      <c r="B3214" s="6" t="s">
        <v>1596</v>
      </c>
      <c r="C3214" s="6" t="s">
        <v>1103</v>
      </c>
      <c r="D3214" s="6" t="s">
        <v>1003</v>
      </c>
      <c r="E3214" s="6"/>
      <c r="G3214" s="6">
        <v>140</v>
      </c>
      <c r="H3214" s="6">
        <v>200</v>
      </c>
      <c r="K3214" s="7">
        <v>44007385</v>
      </c>
      <c r="L3214" s="6" t="str">
        <f t="shared" si="307"/>
        <v>YT KARDELEN BAŞLIK  140x200</v>
      </c>
      <c r="M3214" s="12">
        <v>0.1</v>
      </c>
      <c r="N3214" s="12">
        <v>0.1</v>
      </c>
      <c r="O3214" s="8">
        <v>3990</v>
      </c>
      <c r="P3214" s="8">
        <f t="shared" ref="P3214:P3277" si="308">O3214*(1-N3214)</f>
        <v>3591</v>
      </c>
      <c r="Q3214" s="12">
        <f t="shared" ref="Q3214:Q3277" si="309">O3214*(1-N3214)*2.1</f>
        <v>7541.1</v>
      </c>
      <c r="R3214" s="31">
        <f t="shared" ref="R3214:R3277" si="310">ROUNDDOWN(Q3214,-2)</f>
        <v>7500</v>
      </c>
    </row>
    <row r="3215" spans="1:18" ht="21.95" customHeight="1" x14ac:dyDescent="0.2">
      <c r="A3215" s="6" t="s">
        <v>943</v>
      </c>
      <c r="B3215" s="6" t="s">
        <v>1596</v>
      </c>
      <c r="C3215" s="6" t="s">
        <v>1025</v>
      </c>
      <c r="D3215" s="6" t="s">
        <v>1003</v>
      </c>
      <c r="E3215" s="6"/>
      <c r="G3215" s="6">
        <v>90</v>
      </c>
      <c r="H3215" s="6">
        <v>200</v>
      </c>
      <c r="K3215" s="7">
        <v>44007386</v>
      </c>
      <c r="L3215" s="6" t="str">
        <f t="shared" si="307"/>
        <v>YT KUMRU  BAŞLIK  90x200</v>
      </c>
      <c r="M3215" s="12">
        <v>0.1</v>
      </c>
      <c r="N3215" s="12">
        <v>0.1</v>
      </c>
      <c r="O3215" s="8">
        <v>3340</v>
      </c>
      <c r="P3215" s="8">
        <f t="shared" si="308"/>
        <v>3006</v>
      </c>
      <c r="Q3215" s="12">
        <f t="shared" si="309"/>
        <v>6312.6</v>
      </c>
      <c r="R3215" s="31">
        <f t="shared" si="310"/>
        <v>6300</v>
      </c>
    </row>
    <row r="3216" spans="1:18" ht="21.95" customHeight="1" x14ac:dyDescent="0.2">
      <c r="A3216" s="6" t="s">
        <v>943</v>
      </c>
      <c r="B3216" s="6" t="s">
        <v>1596</v>
      </c>
      <c r="C3216" s="6" t="s">
        <v>1025</v>
      </c>
      <c r="D3216" s="6" t="s">
        <v>1003</v>
      </c>
      <c r="E3216" s="6"/>
      <c r="G3216" s="6">
        <v>100</v>
      </c>
      <c r="H3216" s="6">
        <v>200</v>
      </c>
      <c r="K3216" s="7">
        <v>44007387</v>
      </c>
      <c r="L3216" s="6" t="str">
        <f t="shared" si="307"/>
        <v>YT KUMRU  BAŞLIK  100x200</v>
      </c>
      <c r="M3216" s="12">
        <v>0.1</v>
      </c>
      <c r="N3216" s="12">
        <v>0.1</v>
      </c>
      <c r="O3216" s="8">
        <v>3470</v>
      </c>
      <c r="P3216" s="8">
        <f t="shared" si="308"/>
        <v>3123</v>
      </c>
      <c r="Q3216" s="12">
        <f t="shared" si="309"/>
        <v>6558.3</v>
      </c>
      <c r="R3216" s="31">
        <f t="shared" si="310"/>
        <v>6500</v>
      </c>
    </row>
    <row r="3217" spans="1:18" ht="21.95" customHeight="1" x14ac:dyDescent="0.2">
      <c r="A3217" s="6" t="s">
        <v>943</v>
      </c>
      <c r="B3217" s="6" t="s">
        <v>1596</v>
      </c>
      <c r="C3217" s="6" t="s">
        <v>1025</v>
      </c>
      <c r="D3217" s="6" t="s">
        <v>1003</v>
      </c>
      <c r="E3217" s="6"/>
      <c r="G3217" s="6">
        <v>120</v>
      </c>
      <c r="H3217" s="6">
        <v>200</v>
      </c>
      <c r="K3217" s="7">
        <v>44007388</v>
      </c>
      <c r="L3217" s="6" t="str">
        <f t="shared" si="307"/>
        <v>YT KUMRU  BAŞLIK  120x200</v>
      </c>
      <c r="M3217" s="12">
        <v>0.1</v>
      </c>
      <c r="N3217" s="12">
        <v>0.1</v>
      </c>
      <c r="O3217" s="8">
        <v>3610</v>
      </c>
      <c r="P3217" s="8">
        <f t="shared" si="308"/>
        <v>3249</v>
      </c>
      <c r="Q3217" s="12">
        <f t="shared" si="309"/>
        <v>6822.9000000000005</v>
      </c>
      <c r="R3217" s="31">
        <f t="shared" si="310"/>
        <v>6800</v>
      </c>
    </row>
    <row r="3218" spans="1:18" ht="21.95" customHeight="1" x14ac:dyDescent="0.2">
      <c r="A3218" s="6" t="s">
        <v>943</v>
      </c>
      <c r="B3218" s="6" t="s">
        <v>1596</v>
      </c>
      <c r="C3218" s="6" t="s">
        <v>1025</v>
      </c>
      <c r="D3218" s="6" t="s">
        <v>1003</v>
      </c>
      <c r="E3218" s="6"/>
      <c r="G3218" s="6">
        <v>140</v>
      </c>
      <c r="H3218" s="6">
        <v>200</v>
      </c>
      <c r="K3218" s="7">
        <v>44007389</v>
      </c>
      <c r="L3218" s="6" t="str">
        <f t="shared" si="307"/>
        <v>YT KUMRU  BAŞLIK  140x200</v>
      </c>
      <c r="M3218" s="12">
        <v>0.1</v>
      </c>
      <c r="N3218" s="12">
        <v>0.1</v>
      </c>
      <c r="O3218" s="8">
        <v>3940</v>
      </c>
      <c r="P3218" s="8">
        <f t="shared" si="308"/>
        <v>3546</v>
      </c>
      <c r="Q3218" s="12">
        <f t="shared" si="309"/>
        <v>7446.6</v>
      </c>
      <c r="R3218" s="31">
        <f t="shared" si="310"/>
        <v>7400</v>
      </c>
    </row>
    <row r="3219" spans="1:18" ht="21.95" customHeight="1" x14ac:dyDescent="0.2">
      <c r="A3219" s="6" t="s">
        <v>943</v>
      </c>
      <c r="B3219" s="6" t="s">
        <v>1596</v>
      </c>
      <c r="C3219" s="6" t="s">
        <v>1058</v>
      </c>
      <c r="D3219" s="6" t="s">
        <v>1003</v>
      </c>
      <c r="E3219" s="6"/>
      <c r="G3219" s="6">
        <v>140</v>
      </c>
      <c r="H3219" s="6">
        <v>200</v>
      </c>
      <c r="K3219" s="7">
        <v>44007390</v>
      </c>
      <c r="L3219" s="6" t="str">
        <f t="shared" si="307"/>
        <v>YT LALEZAR  BAŞLIK  140x200</v>
      </c>
      <c r="M3219" s="12">
        <v>0.1</v>
      </c>
      <c r="N3219" s="12">
        <v>0.1</v>
      </c>
      <c r="O3219" s="8">
        <v>5320</v>
      </c>
      <c r="P3219" s="8">
        <f t="shared" si="308"/>
        <v>4788</v>
      </c>
      <c r="Q3219" s="12">
        <f t="shared" si="309"/>
        <v>10054.800000000001</v>
      </c>
      <c r="R3219" s="31">
        <f t="shared" si="310"/>
        <v>10000</v>
      </c>
    </row>
    <row r="3220" spans="1:18" ht="21.95" customHeight="1" x14ac:dyDescent="0.2">
      <c r="A3220" s="6" t="s">
        <v>943</v>
      </c>
      <c r="B3220" s="6" t="s">
        <v>1596</v>
      </c>
      <c r="C3220" s="6" t="s">
        <v>1058</v>
      </c>
      <c r="D3220" s="6" t="s">
        <v>1003</v>
      </c>
      <c r="E3220" s="6"/>
      <c r="G3220" s="6">
        <v>150</v>
      </c>
      <c r="H3220" s="6">
        <v>200</v>
      </c>
      <c r="K3220" s="7">
        <v>44007391</v>
      </c>
      <c r="L3220" s="6" t="str">
        <f t="shared" si="307"/>
        <v>YT LALEZAR  BAŞLIK  150x200</v>
      </c>
      <c r="M3220" s="12">
        <v>0.1</v>
      </c>
      <c r="N3220" s="12">
        <v>0.1</v>
      </c>
      <c r="O3220" s="8">
        <v>5590</v>
      </c>
      <c r="P3220" s="8">
        <f t="shared" si="308"/>
        <v>5031</v>
      </c>
      <c r="Q3220" s="12">
        <f t="shared" si="309"/>
        <v>10565.1</v>
      </c>
      <c r="R3220" s="31">
        <f t="shared" si="310"/>
        <v>10500</v>
      </c>
    </row>
    <row r="3221" spans="1:18" ht="21.95" customHeight="1" x14ac:dyDescent="0.2">
      <c r="A3221" s="6" t="s">
        <v>943</v>
      </c>
      <c r="B3221" s="6" t="s">
        <v>1596</v>
      </c>
      <c r="C3221" s="6" t="s">
        <v>1058</v>
      </c>
      <c r="D3221" s="6" t="s">
        <v>1003</v>
      </c>
      <c r="E3221" s="6"/>
      <c r="G3221" s="6">
        <v>160</v>
      </c>
      <c r="H3221" s="6">
        <v>200</v>
      </c>
      <c r="K3221" s="7">
        <v>44007392</v>
      </c>
      <c r="L3221" s="6" t="str">
        <f t="shared" si="307"/>
        <v>YT LALEZAR  BAŞLIK  160x200</v>
      </c>
      <c r="M3221" s="12">
        <v>0.1</v>
      </c>
      <c r="N3221" s="12">
        <v>0.1</v>
      </c>
      <c r="O3221" s="8">
        <v>6040</v>
      </c>
      <c r="P3221" s="8">
        <f t="shared" si="308"/>
        <v>5436</v>
      </c>
      <c r="Q3221" s="12">
        <f t="shared" si="309"/>
        <v>11415.6</v>
      </c>
      <c r="R3221" s="31">
        <f t="shared" si="310"/>
        <v>11400</v>
      </c>
    </row>
    <row r="3222" spans="1:18" ht="21.95" customHeight="1" x14ac:dyDescent="0.2">
      <c r="A3222" s="6" t="s">
        <v>943</v>
      </c>
      <c r="B3222" s="6" t="s">
        <v>1596</v>
      </c>
      <c r="C3222" s="6" t="s">
        <v>1058</v>
      </c>
      <c r="D3222" s="6" t="s">
        <v>1003</v>
      </c>
      <c r="E3222" s="6"/>
      <c r="G3222" s="6">
        <v>180</v>
      </c>
      <c r="H3222" s="6">
        <v>200</v>
      </c>
      <c r="K3222" s="7">
        <v>44007393</v>
      </c>
      <c r="L3222" s="6" t="str">
        <f t="shared" si="307"/>
        <v>YT LALEZAR  BAŞLIK  180x200</v>
      </c>
      <c r="M3222" s="12">
        <v>0.1</v>
      </c>
      <c r="N3222" s="12">
        <v>0.1</v>
      </c>
      <c r="O3222" s="8">
        <v>6900</v>
      </c>
      <c r="P3222" s="8">
        <f t="shared" si="308"/>
        <v>6210</v>
      </c>
      <c r="Q3222" s="12">
        <f t="shared" si="309"/>
        <v>13041</v>
      </c>
      <c r="R3222" s="31">
        <f t="shared" si="310"/>
        <v>13000</v>
      </c>
    </row>
    <row r="3223" spans="1:18" ht="21.95" customHeight="1" x14ac:dyDescent="0.2">
      <c r="A3223" s="6" t="s">
        <v>943</v>
      </c>
      <c r="B3223" s="6" t="s">
        <v>1596</v>
      </c>
      <c r="C3223" s="6" t="s">
        <v>1058</v>
      </c>
      <c r="D3223" s="6" t="s">
        <v>1003</v>
      </c>
      <c r="E3223" s="6"/>
      <c r="G3223" s="6">
        <v>200</v>
      </c>
      <c r="H3223" s="6">
        <v>200</v>
      </c>
      <c r="K3223" s="7">
        <v>44007394</v>
      </c>
      <c r="L3223" s="6" t="str">
        <f t="shared" si="307"/>
        <v>YT LALEZAR  BAŞLIK  200x200</v>
      </c>
      <c r="M3223" s="12">
        <v>0.1</v>
      </c>
      <c r="N3223" s="12">
        <v>0.1</v>
      </c>
      <c r="O3223" s="8">
        <v>7620</v>
      </c>
      <c r="P3223" s="8">
        <f t="shared" si="308"/>
        <v>6858</v>
      </c>
      <c r="Q3223" s="12">
        <f t="shared" si="309"/>
        <v>14401.800000000001</v>
      </c>
      <c r="R3223" s="31">
        <f t="shared" si="310"/>
        <v>14400</v>
      </c>
    </row>
    <row r="3224" spans="1:18" ht="21.95" customHeight="1" x14ac:dyDescent="0.2">
      <c r="A3224" s="6" t="s">
        <v>943</v>
      </c>
      <c r="B3224" s="6" t="s">
        <v>1596</v>
      </c>
      <c r="C3224" s="6" t="s">
        <v>1046</v>
      </c>
      <c r="D3224" s="6" t="s">
        <v>1003</v>
      </c>
      <c r="E3224" s="6"/>
      <c r="G3224" s="6">
        <v>140</v>
      </c>
      <c r="H3224" s="6">
        <v>200</v>
      </c>
      <c r="K3224" s="7">
        <v>44007395</v>
      </c>
      <c r="L3224" s="6" t="str">
        <f t="shared" si="307"/>
        <v>YT LOVE  BAŞLIK  140x200</v>
      </c>
      <c r="M3224" s="12">
        <v>0.1</v>
      </c>
      <c r="N3224" s="12">
        <v>0.1</v>
      </c>
      <c r="O3224" s="8">
        <v>6510</v>
      </c>
      <c r="P3224" s="8">
        <f t="shared" si="308"/>
        <v>5859</v>
      </c>
      <c r="Q3224" s="12">
        <f t="shared" si="309"/>
        <v>12303.9</v>
      </c>
      <c r="R3224" s="31">
        <f t="shared" si="310"/>
        <v>12300</v>
      </c>
    </row>
    <row r="3225" spans="1:18" ht="21.95" customHeight="1" x14ac:dyDescent="0.2">
      <c r="A3225" s="6" t="s">
        <v>943</v>
      </c>
      <c r="B3225" s="6" t="s">
        <v>1596</v>
      </c>
      <c r="C3225" s="6" t="s">
        <v>1026</v>
      </c>
      <c r="D3225" s="6" t="s">
        <v>1003</v>
      </c>
      <c r="E3225" s="6"/>
      <c r="G3225" s="6">
        <v>90</v>
      </c>
      <c r="H3225" s="6">
        <v>200</v>
      </c>
      <c r="K3225" s="7">
        <v>44007396</v>
      </c>
      <c r="L3225" s="6" t="str">
        <f t="shared" si="307"/>
        <v>YT MODA  BAŞLIK  90x200</v>
      </c>
      <c r="M3225" s="12">
        <v>0.1</v>
      </c>
      <c r="N3225" s="12">
        <v>0.1</v>
      </c>
      <c r="O3225" s="8">
        <v>3330</v>
      </c>
      <c r="P3225" s="8">
        <f t="shared" si="308"/>
        <v>2997</v>
      </c>
      <c r="Q3225" s="12">
        <f t="shared" si="309"/>
        <v>6293.7</v>
      </c>
      <c r="R3225" s="31">
        <f t="shared" si="310"/>
        <v>6200</v>
      </c>
    </row>
    <row r="3226" spans="1:18" ht="21.95" customHeight="1" x14ac:dyDescent="0.2">
      <c r="A3226" s="6" t="s">
        <v>943</v>
      </c>
      <c r="B3226" s="6" t="s">
        <v>1596</v>
      </c>
      <c r="C3226" s="6" t="s">
        <v>1026</v>
      </c>
      <c r="D3226" s="6" t="s">
        <v>1003</v>
      </c>
      <c r="E3226" s="6"/>
      <c r="G3226" s="6">
        <v>100</v>
      </c>
      <c r="H3226" s="6">
        <v>200</v>
      </c>
      <c r="K3226" s="7">
        <v>44007397</v>
      </c>
      <c r="L3226" s="6" t="str">
        <f t="shared" si="307"/>
        <v>YT MODA  BAŞLIK  100x200</v>
      </c>
      <c r="M3226" s="12">
        <v>0.1</v>
      </c>
      <c r="N3226" s="12">
        <v>0.1</v>
      </c>
      <c r="O3226" s="8">
        <v>3460</v>
      </c>
      <c r="P3226" s="8">
        <f t="shared" si="308"/>
        <v>3114</v>
      </c>
      <c r="Q3226" s="12">
        <f t="shared" si="309"/>
        <v>6539.4000000000005</v>
      </c>
      <c r="R3226" s="31">
        <f t="shared" si="310"/>
        <v>6500</v>
      </c>
    </row>
    <row r="3227" spans="1:18" ht="21.95" customHeight="1" x14ac:dyDescent="0.2">
      <c r="A3227" s="6" t="s">
        <v>943</v>
      </c>
      <c r="B3227" s="6" t="s">
        <v>1596</v>
      </c>
      <c r="C3227" s="6" t="s">
        <v>1026</v>
      </c>
      <c r="D3227" s="6" t="s">
        <v>1003</v>
      </c>
      <c r="E3227" s="6"/>
      <c r="G3227" s="6">
        <v>120</v>
      </c>
      <c r="H3227" s="6">
        <v>200</v>
      </c>
      <c r="K3227" s="7">
        <v>44007398</v>
      </c>
      <c r="L3227" s="6" t="str">
        <f t="shared" si="307"/>
        <v>YT MODA  BAŞLIK  120x200</v>
      </c>
      <c r="M3227" s="12">
        <v>0.1</v>
      </c>
      <c r="N3227" s="12">
        <v>0.1</v>
      </c>
      <c r="O3227" s="8">
        <v>3650</v>
      </c>
      <c r="P3227" s="8">
        <f t="shared" si="308"/>
        <v>3285</v>
      </c>
      <c r="Q3227" s="12">
        <f t="shared" si="309"/>
        <v>6898.5</v>
      </c>
      <c r="R3227" s="31">
        <f t="shared" si="310"/>
        <v>6800</v>
      </c>
    </row>
    <row r="3228" spans="1:18" ht="21.95" customHeight="1" x14ac:dyDescent="0.2">
      <c r="A3228" s="6" t="s">
        <v>943</v>
      </c>
      <c r="B3228" s="6" t="s">
        <v>1596</v>
      </c>
      <c r="C3228" s="6" t="s">
        <v>1026</v>
      </c>
      <c r="D3228" s="6" t="s">
        <v>1003</v>
      </c>
      <c r="E3228" s="6"/>
      <c r="G3228" s="6">
        <v>140</v>
      </c>
      <c r="H3228" s="6">
        <v>200</v>
      </c>
      <c r="K3228" s="7">
        <v>44007399</v>
      </c>
      <c r="L3228" s="6" t="str">
        <f t="shared" si="307"/>
        <v>YT MODA  BAŞLIK  140x200</v>
      </c>
      <c r="M3228" s="12">
        <v>0.1</v>
      </c>
      <c r="N3228" s="12">
        <v>0.1</v>
      </c>
      <c r="O3228" s="8">
        <v>3910</v>
      </c>
      <c r="P3228" s="8">
        <f t="shared" si="308"/>
        <v>3519</v>
      </c>
      <c r="Q3228" s="12">
        <f t="shared" si="309"/>
        <v>7389.9000000000005</v>
      </c>
      <c r="R3228" s="31">
        <f t="shared" si="310"/>
        <v>7300</v>
      </c>
    </row>
    <row r="3229" spans="1:18" ht="21.95" customHeight="1" x14ac:dyDescent="0.2">
      <c r="A3229" s="6" t="s">
        <v>943</v>
      </c>
      <c r="B3229" s="6" t="s">
        <v>1596</v>
      </c>
      <c r="C3229" s="6" t="s">
        <v>1024</v>
      </c>
      <c r="D3229" s="6" t="s">
        <v>1003</v>
      </c>
      <c r="E3229" s="6"/>
      <c r="G3229" s="6">
        <v>140</v>
      </c>
      <c r="H3229" s="6">
        <v>200</v>
      </c>
      <c r="K3229" s="7">
        <v>44007400</v>
      </c>
      <c r="L3229" s="6" t="str">
        <f t="shared" si="307"/>
        <v>YT NİLÜFER  BAŞLIK  140x200</v>
      </c>
      <c r="M3229" s="12">
        <v>0.1</v>
      </c>
      <c r="N3229" s="12">
        <v>0.1</v>
      </c>
      <c r="O3229" s="8">
        <v>3680</v>
      </c>
      <c r="P3229" s="8">
        <f t="shared" si="308"/>
        <v>3312</v>
      </c>
      <c r="Q3229" s="12">
        <f t="shared" si="309"/>
        <v>6955.2000000000007</v>
      </c>
      <c r="R3229" s="31">
        <f t="shared" si="310"/>
        <v>6900</v>
      </c>
    </row>
    <row r="3230" spans="1:18" ht="21.95" customHeight="1" x14ac:dyDescent="0.2">
      <c r="A3230" s="6" t="s">
        <v>943</v>
      </c>
      <c r="B3230" s="6" t="s">
        <v>1596</v>
      </c>
      <c r="C3230" s="6" t="s">
        <v>1009</v>
      </c>
      <c r="D3230" s="6" t="s">
        <v>1003</v>
      </c>
      <c r="E3230" s="6"/>
      <c r="G3230" s="6">
        <v>140</v>
      </c>
      <c r="H3230" s="6">
        <v>200</v>
      </c>
      <c r="K3230" s="7">
        <v>44007401</v>
      </c>
      <c r="L3230" s="6" t="str">
        <f t="shared" si="307"/>
        <v>YT PETEK  BAŞLIK  140x200</v>
      </c>
      <c r="M3230" s="12">
        <v>0.1</v>
      </c>
      <c r="N3230" s="12">
        <v>0.1</v>
      </c>
      <c r="O3230" s="8">
        <v>6780</v>
      </c>
      <c r="P3230" s="8">
        <f t="shared" si="308"/>
        <v>6102</v>
      </c>
      <c r="Q3230" s="12">
        <f t="shared" si="309"/>
        <v>12814.2</v>
      </c>
      <c r="R3230" s="31">
        <f t="shared" si="310"/>
        <v>12800</v>
      </c>
    </row>
    <row r="3231" spans="1:18" ht="21.95" customHeight="1" x14ac:dyDescent="0.2">
      <c r="A3231" s="6" t="s">
        <v>943</v>
      </c>
      <c r="B3231" s="6" t="s">
        <v>1596</v>
      </c>
      <c r="C3231" s="6" t="s">
        <v>1028</v>
      </c>
      <c r="D3231" s="6" t="s">
        <v>1003</v>
      </c>
      <c r="E3231" s="6"/>
      <c r="G3231" s="6">
        <v>140</v>
      </c>
      <c r="H3231" s="6">
        <v>200</v>
      </c>
      <c r="K3231" s="7">
        <v>44007402</v>
      </c>
      <c r="L3231" s="6" t="str">
        <f t="shared" si="307"/>
        <v>YT PİRAMİT  BAŞLIK  140x200</v>
      </c>
      <c r="M3231" s="12">
        <v>0.1</v>
      </c>
      <c r="N3231" s="12">
        <v>0.1</v>
      </c>
      <c r="O3231" s="8">
        <v>4320</v>
      </c>
      <c r="P3231" s="8">
        <f t="shared" si="308"/>
        <v>3888</v>
      </c>
      <c r="Q3231" s="12">
        <f t="shared" si="309"/>
        <v>8164.8</v>
      </c>
      <c r="R3231" s="31">
        <f t="shared" si="310"/>
        <v>8100</v>
      </c>
    </row>
    <row r="3232" spans="1:18" ht="21.95" customHeight="1" x14ac:dyDescent="0.2">
      <c r="A3232" s="6" t="s">
        <v>943</v>
      </c>
      <c r="B3232" s="6" t="s">
        <v>1596</v>
      </c>
      <c r="C3232" s="6" t="s">
        <v>1050</v>
      </c>
      <c r="D3232" s="6" t="s">
        <v>1003</v>
      </c>
      <c r="E3232" s="6"/>
      <c r="G3232" s="6">
        <v>140</v>
      </c>
      <c r="H3232" s="6">
        <v>200</v>
      </c>
      <c r="K3232" s="7">
        <v>44007403</v>
      </c>
      <c r="L3232" s="6" t="str">
        <f t="shared" si="307"/>
        <v>YT SELÇUKLU  BAŞLIK  140x200</v>
      </c>
      <c r="M3232" s="12">
        <v>0.1</v>
      </c>
      <c r="N3232" s="12">
        <v>0.1</v>
      </c>
      <c r="O3232" s="8">
        <v>3990</v>
      </c>
      <c r="P3232" s="8">
        <f t="shared" si="308"/>
        <v>3591</v>
      </c>
      <c r="Q3232" s="12">
        <f t="shared" si="309"/>
        <v>7541.1</v>
      </c>
      <c r="R3232" s="31">
        <f t="shared" si="310"/>
        <v>7500</v>
      </c>
    </row>
    <row r="3233" spans="1:18" ht="21.95" customHeight="1" x14ac:dyDescent="0.2">
      <c r="A3233" s="6" t="s">
        <v>943</v>
      </c>
      <c r="B3233" s="6" t="s">
        <v>1596</v>
      </c>
      <c r="C3233" s="6" t="s">
        <v>1050</v>
      </c>
      <c r="D3233" s="6" t="s">
        <v>1003</v>
      </c>
      <c r="E3233" s="6"/>
      <c r="G3233" s="6">
        <v>150</v>
      </c>
      <c r="H3233" s="6">
        <v>200</v>
      </c>
      <c r="K3233" s="7">
        <v>44007404</v>
      </c>
      <c r="L3233" s="6" t="str">
        <f t="shared" si="307"/>
        <v>YT SELÇUKLU  BAŞLIK  150x200</v>
      </c>
      <c r="M3233" s="12">
        <v>0.1</v>
      </c>
      <c r="N3233" s="12">
        <v>0.1</v>
      </c>
      <c r="O3233" s="8">
        <v>4220</v>
      </c>
      <c r="P3233" s="8">
        <f t="shared" si="308"/>
        <v>3798</v>
      </c>
      <c r="Q3233" s="12">
        <f t="shared" si="309"/>
        <v>7975.8</v>
      </c>
      <c r="R3233" s="31">
        <f t="shared" si="310"/>
        <v>7900</v>
      </c>
    </row>
    <row r="3234" spans="1:18" ht="21.95" customHeight="1" x14ac:dyDescent="0.2">
      <c r="A3234" s="6" t="s">
        <v>943</v>
      </c>
      <c r="B3234" s="6" t="s">
        <v>1596</v>
      </c>
      <c r="C3234" s="6" t="s">
        <v>1050</v>
      </c>
      <c r="D3234" s="6" t="s">
        <v>1003</v>
      </c>
      <c r="E3234" s="6"/>
      <c r="G3234" s="6">
        <v>160</v>
      </c>
      <c r="H3234" s="6">
        <v>200</v>
      </c>
      <c r="K3234" s="7">
        <v>44007405</v>
      </c>
      <c r="L3234" s="6" t="str">
        <f t="shared" si="307"/>
        <v>YT SELÇUKLU  BAŞLIK  160x200</v>
      </c>
      <c r="M3234" s="12">
        <v>0.1</v>
      </c>
      <c r="N3234" s="12">
        <v>0.1</v>
      </c>
      <c r="O3234" s="8">
        <v>4530</v>
      </c>
      <c r="P3234" s="8">
        <f t="shared" si="308"/>
        <v>4077</v>
      </c>
      <c r="Q3234" s="12">
        <f t="shared" si="309"/>
        <v>8561.7000000000007</v>
      </c>
      <c r="R3234" s="31">
        <f t="shared" si="310"/>
        <v>8500</v>
      </c>
    </row>
    <row r="3235" spans="1:18" ht="21.95" customHeight="1" x14ac:dyDescent="0.2">
      <c r="A3235" s="6" t="s">
        <v>943</v>
      </c>
      <c r="B3235" s="6" t="s">
        <v>1596</v>
      </c>
      <c r="C3235" s="6" t="s">
        <v>1050</v>
      </c>
      <c r="D3235" s="6" t="s">
        <v>1003</v>
      </c>
      <c r="E3235" s="6"/>
      <c r="G3235" s="6">
        <v>180</v>
      </c>
      <c r="H3235" s="6">
        <v>200</v>
      </c>
      <c r="K3235" s="7">
        <v>44007406</v>
      </c>
      <c r="L3235" s="6" t="str">
        <f t="shared" si="307"/>
        <v>YT SELÇUKLU  BAŞLIK  180x200</v>
      </c>
      <c r="M3235" s="12">
        <v>0.1</v>
      </c>
      <c r="N3235" s="12">
        <v>0.1</v>
      </c>
      <c r="O3235" s="8">
        <v>5060</v>
      </c>
      <c r="P3235" s="8">
        <f t="shared" si="308"/>
        <v>4554</v>
      </c>
      <c r="Q3235" s="12">
        <f t="shared" si="309"/>
        <v>9563.4</v>
      </c>
      <c r="R3235" s="31">
        <f t="shared" si="310"/>
        <v>9500</v>
      </c>
    </row>
    <row r="3236" spans="1:18" ht="21.95" customHeight="1" x14ac:dyDescent="0.2">
      <c r="A3236" s="6" t="s">
        <v>943</v>
      </c>
      <c r="B3236" s="6" t="s">
        <v>1596</v>
      </c>
      <c r="C3236" s="6" t="s">
        <v>1050</v>
      </c>
      <c r="D3236" s="6" t="s">
        <v>1003</v>
      </c>
      <c r="E3236" s="6"/>
      <c r="G3236" s="6">
        <v>200</v>
      </c>
      <c r="H3236" s="6">
        <v>200</v>
      </c>
      <c r="K3236" s="7">
        <v>44007407</v>
      </c>
      <c r="L3236" s="6" t="str">
        <f t="shared" si="307"/>
        <v>YT SELÇUKLU  BAŞLIK  200x200</v>
      </c>
      <c r="M3236" s="12">
        <v>0.1</v>
      </c>
      <c r="N3236" s="12">
        <v>0.1</v>
      </c>
      <c r="O3236" s="8">
        <v>5890</v>
      </c>
      <c r="P3236" s="8">
        <f t="shared" si="308"/>
        <v>5301</v>
      </c>
      <c r="Q3236" s="12">
        <f t="shared" si="309"/>
        <v>11132.1</v>
      </c>
      <c r="R3236" s="31">
        <f t="shared" si="310"/>
        <v>11100</v>
      </c>
    </row>
    <row r="3237" spans="1:18" ht="21.95" customHeight="1" x14ac:dyDescent="0.2">
      <c r="A3237" s="6" t="s">
        <v>943</v>
      </c>
      <c r="B3237" s="6" t="s">
        <v>1596</v>
      </c>
      <c r="C3237" s="6" t="s">
        <v>1104</v>
      </c>
      <c r="D3237" s="6" t="s">
        <v>1003</v>
      </c>
      <c r="E3237" s="6"/>
      <c r="G3237" s="6">
        <v>90</v>
      </c>
      <c r="H3237" s="6">
        <v>200</v>
      </c>
      <c r="K3237" s="7">
        <v>44007408</v>
      </c>
      <c r="L3237" s="6" t="str">
        <f t="shared" si="307"/>
        <v>YT ŞATO  BAŞLIK  90x200</v>
      </c>
      <c r="M3237" s="12">
        <v>0.1</v>
      </c>
      <c r="N3237" s="12">
        <v>0.1</v>
      </c>
      <c r="O3237" s="8">
        <v>3880</v>
      </c>
      <c r="P3237" s="8">
        <f t="shared" si="308"/>
        <v>3492</v>
      </c>
      <c r="Q3237" s="12">
        <f t="shared" si="309"/>
        <v>7333.2000000000007</v>
      </c>
      <c r="R3237" s="31">
        <f t="shared" si="310"/>
        <v>7300</v>
      </c>
    </row>
    <row r="3238" spans="1:18" ht="21.95" customHeight="1" x14ac:dyDescent="0.2">
      <c r="A3238" s="6" t="s">
        <v>943</v>
      </c>
      <c r="B3238" s="6" t="s">
        <v>1596</v>
      </c>
      <c r="C3238" s="6" t="s">
        <v>1104</v>
      </c>
      <c r="D3238" s="6" t="s">
        <v>1003</v>
      </c>
      <c r="E3238" s="6"/>
      <c r="G3238" s="6">
        <v>100</v>
      </c>
      <c r="H3238" s="6">
        <v>200</v>
      </c>
      <c r="K3238" s="7">
        <v>44007409</v>
      </c>
      <c r="L3238" s="6" t="str">
        <f t="shared" si="307"/>
        <v>YT ŞATO  BAŞLIK  100x200</v>
      </c>
      <c r="M3238" s="12">
        <v>0.1</v>
      </c>
      <c r="N3238" s="12">
        <v>0.1</v>
      </c>
      <c r="O3238" s="8">
        <v>4250</v>
      </c>
      <c r="P3238" s="8">
        <f t="shared" si="308"/>
        <v>3825</v>
      </c>
      <c r="Q3238" s="12">
        <f t="shared" si="309"/>
        <v>8032.5</v>
      </c>
      <c r="R3238" s="31">
        <f t="shared" si="310"/>
        <v>8000</v>
      </c>
    </row>
    <row r="3239" spans="1:18" ht="21.95" customHeight="1" x14ac:dyDescent="0.2">
      <c r="A3239" s="6" t="s">
        <v>943</v>
      </c>
      <c r="B3239" s="6" t="s">
        <v>1596</v>
      </c>
      <c r="C3239" s="6" t="s">
        <v>1104</v>
      </c>
      <c r="D3239" s="6" t="s">
        <v>1003</v>
      </c>
      <c r="E3239" s="6"/>
      <c r="G3239" s="6">
        <v>120</v>
      </c>
      <c r="H3239" s="6">
        <v>200</v>
      </c>
      <c r="K3239" s="7">
        <v>44007410</v>
      </c>
      <c r="L3239" s="6" t="str">
        <f t="shared" si="307"/>
        <v>YT ŞATO  BAŞLIK  120x200</v>
      </c>
      <c r="M3239" s="12">
        <v>0.1</v>
      </c>
      <c r="N3239" s="12">
        <v>0.1</v>
      </c>
      <c r="O3239" s="8">
        <v>4700</v>
      </c>
      <c r="P3239" s="8">
        <f t="shared" si="308"/>
        <v>4230</v>
      </c>
      <c r="Q3239" s="12">
        <f t="shared" si="309"/>
        <v>8883</v>
      </c>
      <c r="R3239" s="31">
        <f t="shared" si="310"/>
        <v>8800</v>
      </c>
    </row>
    <row r="3240" spans="1:18" ht="21.95" customHeight="1" x14ac:dyDescent="0.2">
      <c r="A3240" s="6" t="s">
        <v>943</v>
      </c>
      <c r="B3240" s="6" t="s">
        <v>1596</v>
      </c>
      <c r="C3240" s="6" t="s">
        <v>1104</v>
      </c>
      <c r="D3240" s="6" t="s">
        <v>1003</v>
      </c>
      <c r="E3240" s="6"/>
      <c r="G3240" s="6">
        <v>140</v>
      </c>
      <c r="H3240" s="6">
        <v>200</v>
      </c>
      <c r="K3240" s="7">
        <v>44007411</v>
      </c>
      <c r="L3240" s="6" t="str">
        <f t="shared" si="307"/>
        <v>YT ŞATO  BAŞLIK  140x200</v>
      </c>
      <c r="M3240" s="12">
        <v>0.1</v>
      </c>
      <c r="N3240" s="12">
        <v>0.1</v>
      </c>
      <c r="O3240" s="8">
        <v>5130</v>
      </c>
      <c r="P3240" s="8">
        <f t="shared" si="308"/>
        <v>4617</v>
      </c>
      <c r="Q3240" s="12">
        <f t="shared" si="309"/>
        <v>9695.7000000000007</v>
      </c>
      <c r="R3240" s="31">
        <f t="shared" si="310"/>
        <v>9600</v>
      </c>
    </row>
    <row r="3241" spans="1:18" ht="21.95" customHeight="1" x14ac:dyDescent="0.2">
      <c r="A3241" s="6" t="s">
        <v>943</v>
      </c>
      <c r="B3241" s="6" t="s">
        <v>1596</v>
      </c>
      <c r="C3241" s="6" t="s">
        <v>1015</v>
      </c>
      <c r="D3241" s="6" t="s">
        <v>1003</v>
      </c>
      <c r="E3241" s="6"/>
      <c r="G3241" s="6">
        <v>140</v>
      </c>
      <c r="H3241" s="6">
        <v>200</v>
      </c>
      <c r="K3241" s="7">
        <v>44007412</v>
      </c>
      <c r="L3241" s="6" t="str">
        <f t="shared" si="307"/>
        <v>YT TOPKAPI  BAŞLIK  140x200</v>
      </c>
      <c r="M3241" s="12">
        <v>0.1</v>
      </c>
      <c r="N3241" s="12">
        <v>0.1</v>
      </c>
      <c r="O3241" s="8">
        <v>5760</v>
      </c>
      <c r="P3241" s="8">
        <f t="shared" si="308"/>
        <v>5184</v>
      </c>
      <c r="Q3241" s="12">
        <f t="shared" si="309"/>
        <v>10886.4</v>
      </c>
      <c r="R3241" s="31">
        <f t="shared" si="310"/>
        <v>10800</v>
      </c>
    </row>
    <row r="3242" spans="1:18" ht="21.95" customHeight="1" x14ac:dyDescent="0.2">
      <c r="A3242" s="6" t="s">
        <v>943</v>
      </c>
      <c r="B3242" s="6" t="s">
        <v>1596</v>
      </c>
      <c r="C3242" s="6" t="s">
        <v>1105</v>
      </c>
      <c r="D3242" s="6" t="s">
        <v>1003</v>
      </c>
      <c r="E3242" s="6"/>
      <c r="G3242" s="6">
        <v>140</v>
      </c>
      <c r="H3242" s="6">
        <v>200</v>
      </c>
      <c r="K3242" s="7">
        <v>44007413</v>
      </c>
      <c r="L3242" s="6" t="str">
        <f t="shared" si="307"/>
        <v>YT ATLAS BAŞLIK  140x200</v>
      </c>
      <c r="M3242" s="12">
        <v>0.1</v>
      </c>
      <c r="N3242" s="12">
        <v>0.1</v>
      </c>
      <c r="O3242" s="8">
        <v>2420</v>
      </c>
      <c r="P3242" s="8">
        <f t="shared" si="308"/>
        <v>2178</v>
      </c>
      <c r="Q3242" s="12">
        <f t="shared" si="309"/>
        <v>4573.8</v>
      </c>
      <c r="R3242" s="31">
        <f t="shared" si="310"/>
        <v>4500</v>
      </c>
    </row>
    <row r="3243" spans="1:18" ht="21.95" customHeight="1" x14ac:dyDescent="0.2">
      <c r="A3243" s="6" t="s">
        <v>943</v>
      </c>
      <c r="B3243" s="6" t="s">
        <v>1596</v>
      </c>
      <c r="C3243" s="6" t="s">
        <v>1106</v>
      </c>
      <c r="D3243" s="6" t="s">
        <v>950</v>
      </c>
      <c r="E3243" s="6"/>
      <c r="G3243" s="6">
        <v>140</v>
      </c>
      <c r="H3243" s="6">
        <v>200</v>
      </c>
      <c r="K3243" s="7">
        <v>44007414</v>
      </c>
      <c r="L3243" s="6" t="str">
        <f t="shared" si="307"/>
        <v>YT HAYAL BAŞLIK 140x200</v>
      </c>
      <c r="M3243" s="12">
        <v>0.1</v>
      </c>
      <c r="N3243" s="12">
        <v>0.1</v>
      </c>
      <c r="O3243" s="8">
        <v>2780</v>
      </c>
      <c r="P3243" s="8">
        <f t="shared" si="308"/>
        <v>2502</v>
      </c>
      <c r="Q3243" s="12">
        <f t="shared" si="309"/>
        <v>5254.2</v>
      </c>
      <c r="R3243" s="31">
        <f t="shared" si="310"/>
        <v>5200</v>
      </c>
    </row>
    <row r="3244" spans="1:18" ht="21.95" customHeight="1" x14ac:dyDescent="0.2">
      <c r="A3244" s="6" t="s">
        <v>943</v>
      </c>
      <c r="B3244" s="6" t="s">
        <v>1596</v>
      </c>
      <c r="C3244" s="6" t="s">
        <v>1106</v>
      </c>
      <c r="D3244" s="6" t="s">
        <v>950</v>
      </c>
      <c r="E3244" s="6"/>
      <c r="G3244" s="6">
        <v>150</v>
      </c>
      <c r="H3244" s="6">
        <v>200</v>
      </c>
      <c r="K3244" s="7">
        <v>44007415</v>
      </c>
      <c r="L3244" s="6" t="str">
        <f t="shared" si="307"/>
        <v>YT HAYAL BAŞLIK 150x200</v>
      </c>
      <c r="M3244" s="12">
        <v>0.1</v>
      </c>
      <c r="N3244" s="12">
        <v>0.1</v>
      </c>
      <c r="O3244" s="8">
        <v>2940</v>
      </c>
      <c r="P3244" s="8">
        <f t="shared" si="308"/>
        <v>2646</v>
      </c>
      <c r="Q3244" s="12">
        <f t="shared" si="309"/>
        <v>5556.6</v>
      </c>
      <c r="R3244" s="31">
        <f t="shared" si="310"/>
        <v>5500</v>
      </c>
    </row>
    <row r="3245" spans="1:18" ht="21.95" customHeight="1" x14ac:dyDescent="0.2">
      <c r="A3245" s="6" t="s">
        <v>943</v>
      </c>
      <c r="B3245" s="6" t="s">
        <v>1596</v>
      </c>
      <c r="C3245" s="6" t="s">
        <v>1106</v>
      </c>
      <c r="D3245" s="6" t="s">
        <v>950</v>
      </c>
      <c r="E3245" s="6"/>
      <c r="G3245" s="6">
        <v>160</v>
      </c>
      <c r="H3245" s="6">
        <v>200</v>
      </c>
      <c r="K3245" s="7">
        <v>44007416</v>
      </c>
      <c r="L3245" s="6" t="str">
        <f t="shared" si="307"/>
        <v>YT HAYAL BAŞLIK 160x200</v>
      </c>
      <c r="M3245" s="12">
        <v>0.1</v>
      </c>
      <c r="N3245" s="12">
        <v>0.1</v>
      </c>
      <c r="O3245" s="8">
        <v>3100</v>
      </c>
      <c r="P3245" s="8">
        <f t="shared" si="308"/>
        <v>2790</v>
      </c>
      <c r="Q3245" s="12">
        <f t="shared" si="309"/>
        <v>5859</v>
      </c>
      <c r="R3245" s="31">
        <f t="shared" si="310"/>
        <v>5800</v>
      </c>
    </row>
    <row r="3246" spans="1:18" ht="21.95" customHeight="1" x14ac:dyDescent="0.2">
      <c r="A3246" s="6" t="s">
        <v>943</v>
      </c>
      <c r="B3246" s="6" t="s">
        <v>1596</v>
      </c>
      <c r="C3246" s="6" t="s">
        <v>1106</v>
      </c>
      <c r="D3246" s="6" t="s">
        <v>950</v>
      </c>
      <c r="E3246" s="6"/>
      <c r="G3246" s="6">
        <v>180</v>
      </c>
      <c r="H3246" s="6">
        <v>200</v>
      </c>
      <c r="K3246" s="7">
        <v>44007417</v>
      </c>
      <c r="L3246" s="6" t="str">
        <f t="shared" si="307"/>
        <v>YT HAYAL BAŞLIK 180x200</v>
      </c>
      <c r="M3246" s="12">
        <v>0.1</v>
      </c>
      <c r="N3246" s="12">
        <v>0.1</v>
      </c>
      <c r="O3246" s="8">
        <v>3490</v>
      </c>
      <c r="P3246" s="8">
        <f t="shared" si="308"/>
        <v>3141</v>
      </c>
      <c r="Q3246" s="12">
        <f t="shared" si="309"/>
        <v>6596.1</v>
      </c>
      <c r="R3246" s="31">
        <f t="shared" si="310"/>
        <v>6500</v>
      </c>
    </row>
    <row r="3247" spans="1:18" ht="21.95" customHeight="1" x14ac:dyDescent="0.2">
      <c r="A3247" s="6" t="s">
        <v>943</v>
      </c>
      <c r="B3247" s="6" t="s">
        <v>1596</v>
      </c>
      <c r="C3247" s="6" t="s">
        <v>1106</v>
      </c>
      <c r="D3247" s="6" t="s">
        <v>950</v>
      </c>
      <c r="E3247" s="6"/>
      <c r="G3247" s="6">
        <v>200</v>
      </c>
      <c r="H3247" s="6">
        <v>200</v>
      </c>
      <c r="K3247" s="7">
        <v>44007418</v>
      </c>
      <c r="L3247" s="6" t="str">
        <f t="shared" si="307"/>
        <v>YT HAYAL BAŞLIK 200x200</v>
      </c>
      <c r="M3247" s="12">
        <v>0.1</v>
      </c>
      <c r="N3247" s="12">
        <v>0.1</v>
      </c>
      <c r="O3247" s="8">
        <v>3890</v>
      </c>
      <c r="P3247" s="8">
        <f t="shared" si="308"/>
        <v>3501</v>
      </c>
      <c r="Q3247" s="12">
        <f t="shared" si="309"/>
        <v>7352.1</v>
      </c>
      <c r="R3247" s="31">
        <f t="shared" si="310"/>
        <v>7300</v>
      </c>
    </row>
    <row r="3248" spans="1:18" ht="21.95" customHeight="1" x14ac:dyDescent="0.2">
      <c r="A3248" s="6" t="s">
        <v>943</v>
      </c>
      <c r="B3248" s="6" t="s">
        <v>1596</v>
      </c>
      <c r="C3248" s="6" t="s">
        <v>1059</v>
      </c>
      <c r="D3248" s="6" t="s">
        <v>950</v>
      </c>
      <c r="E3248" s="6"/>
      <c r="G3248" s="6">
        <v>140</v>
      </c>
      <c r="H3248" s="6">
        <v>200</v>
      </c>
      <c r="K3248" s="7">
        <v>44007419</v>
      </c>
      <c r="L3248" s="6" t="str">
        <f t="shared" si="307"/>
        <v>YT OKYANUS BAŞLIK 140x200</v>
      </c>
      <c r="M3248" s="12">
        <v>0.1</v>
      </c>
      <c r="N3248" s="12">
        <v>0.1</v>
      </c>
      <c r="O3248" s="8">
        <v>2310</v>
      </c>
      <c r="P3248" s="8">
        <f t="shared" si="308"/>
        <v>2079</v>
      </c>
      <c r="Q3248" s="12">
        <f t="shared" si="309"/>
        <v>4365.9000000000005</v>
      </c>
      <c r="R3248" s="31">
        <f t="shared" si="310"/>
        <v>4300</v>
      </c>
    </row>
    <row r="3249" spans="1:18" ht="21.95" customHeight="1" x14ac:dyDescent="0.2">
      <c r="A3249" s="6" t="s">
        <v>943</v>
      </c>
      <c r="B3249" s="6" t="s">
        <v>1596</v>
      </c>
      <c r="C3249" s="6" t="s">
        <v>1059</v>
      </c>
      <c r="D3249" s="6" t="s">
        <v>950</v>
      </c>
      <c r="E3249" s="6"/>
      <c r="G3249" s="6">
        <v>150</v>
      </c>
      <c r="H3249" s="6">
        <v>200</v>
      </c>
      <c r="K3249" s="7">
        <v>44007420</v>
      </c>
      <c r="L3249" s="6" t="str">
        <f t="shared" si="307"/>
        <v>YT OKYANUS BAŞLIK 150x200</v>
      </c>
      <c r="M3249" s="12">
        <v>0.1</v>
      </c>
      <c r="N3249" s="12">
        <v>0.1</v>
      </c>
      <c r="O3249" s="8">
        <v>2440</v>
      </c>
      <c r="P3249" s="8">
        <f t="shared" si="308"/>
        <v>2196</v>
      </c>
      <c r="Q3249" s="12">
        <f t="shared" si="309"/>
        <v>4611.6000000000004</v>
      </c>
      <c r="R3249" s="31">
        <f t="shared" si="310"/>
        <v>4600</v>
      </c>
    </row>
    <row r="3250" spans="1:18" ht="21.95" customHeight="1" x14ac:dyDescent="0.2">
      <c r="A3250" s="6" t="s">
        <v>943</v>
      </c>
      <c r="B3250" s="6" t="s">
        <v>1596</v>
      </c>
      <c r="C3250" s="6" t="s">
        <v>1059</v>
      </c>
      <c r="D3250" s="6" t="s">
        <v>950</v>
      </c>
      <c r="E3250" s="6"/>
      <c r="G3250" s="6">
        <v>160</v>
      </c>
      <c r="H3250" s="6">
        <v>200</v>
      </c>
      <c r="K3250" s="7">
        <v>44007421</v>
      </c>
      <c r="L3250" s="6" t="str">
        <f t="shared" si="307"/>
        <v>YT OKYANUS BAŞLIK 160x200</v>
      </c>
      <c r="M3250" s="12">
        <v>0.1</v>
      </c>
      <c r="N3250" s="12">
        <v>0.1</v>
      </c>
      <c r="O3250" s="8">
        <v>2570</v>
      </c>
      <c r="P3250" s="8">
        <f t="shared" si="308"/>
        <v>2313</v>
      </c>
      <c r="Q3250" s="12">
        <f t="shared" si="309"/>
        <v>4857.3</v>
      </c>
      <c r="R3250" s="31">
        <f t="shared" si="310"/>
        <v>4800</v>
      </c>
    </row>
    <row r="3251" spans="1:18" ht="21.95" customHeight="1" x14ac:dyDescent="0.2">
      <c r="A3251" s="6" t="s">
        <v>943</v>
      </c>
      <c r="B3251" s="6" t="s">
        <v>1596</v>
      </c>
      <c r="C3251" s="6" t="s">
        <v>1059</v>
      </c>
      <c r="D3251" s="6" t="s">
        <v>950</v>
      </c>
      <c r="E3251" s="6"/>
      <c r="G3251" s="6">
        <v>180</v>
      </c>
      <c r="H3251" s="6">
        <v>200</v>
      </c>
      <c r="K3251" s="7">
        <v>44007422</v>
      </c>
      <c r="L3251" s="6" t="str">
        <f t="shared" si="307"/>
        <v>YT OKYANUS BAŞLIK 180x200</v>
      </c>
      <c r="M3251" s="12">
        <v>0.1</v>
      </c>
      <c r="N3251" s="12">
        <v>0.1</v>
      </c>
      <c r="O3251" s="8">
        <v>2880</v>
      </c>
      <c r="P3251" s="8">
        <f t="shared" si="308"/>
        <v>2592</v>
      </c>
      <c r="Q3251" s="12">
        <f t="shared" si="309"/>
        <v>5443.2</v>
      </c>
      <c r="R3251" s="31">
        <f t="shared" si="310"/>
        <v>5400</v>
      </c>
    </row>
    <row r="3252" spans="1:18" ht="21.95" customHeight="1" x14ac:dyDescent="0.2">
      <c r="A3252" s="6" t="s">
        <v>943</v>
      </c>
      <c r="B3252" s="6" t="s">
        <v>1596</v>
      </c>
      <c r="C3252" s="6" t="s">
        <v>1059</v>
      </c>
      <c r="D3252" s="6" t="s">
        <v>950</v>
      </c>
      <c r="E3252" s="6"/>
      <c r="G3252" s="6">
        <v>200</v>
      </c>
      <c r="H3252" s="6">
        <v>200</v>
      </c>
      <c r="K3252" s="7">
        <v>44007423</v>
      </c>
      <c r="L3252" s="6" t="str">
        <f t="shared" si="307"/>
        <v>YT OKYANUS BAŞLIK 200x200</v>
      </c>
      <c r="M3252" s="12">
        <v>0.1</v>
      </c>
      <c r="N3252" s="12">
        <v>0.1</v>
      </c>
      <c r="O3252" s="8">
        <v>3230</v>
      </c>
      <c r="P3252" s="8">
        <f t="shared" si="308"/>
        <v>2907</v>
      </c>
      <c r="Q3252" s="12">
        <f t="shared" si="309"/>
        <v>6104.7</v>
      </c>
      <c r="R3252" s="31">
        <f t="shared" si="310"/>
        <v>6100</v>
      </c>
    </row>
    <row r="3253" spans="1:18" ht="21.95" customHeight="1" x14ac:dyDescent="0.2">
      <c r="A3253" s="6" t="s">
        <v>943</v>
      </c>
      <c r="B3253" s="6" t="s">
        <v>1596</v>
      </c>
      <c r="C3253" s="6" t="s">
        <v>1036</v>
      </c>
      <c r="D3253" s="6" t="s">
        <v>950</v>
      </c>
      <c r="E3253" s="6"/>
      <c r="G3253" s="6">
        <v>140</v>
      </c>
      <c r="H3253" s="6">
        <v>200</v>
      </c>
      <c r="K3253" s="7">
        <v>44007424</v>
      </c>
      <c r="L3253" s="6" t="str">
        <f t="shared" si="307"/>
        <v>YT İNDİGO  BAŞLIK 140x200</v>
      </c>
      <c r="M3253" s="12">
        <v>0.1</v>
      </c>
      <c r="N3253" s="12">
        <v>0.1</v>
      </c>
      <c r="O3253" s="8">
        <v>2150</v>
      </c>
      <c r="P3253" s="8">
        <f t="shared" si="308"/>
        <v>1935</v>
      </c>
      <c r="Q3253" s="12">
        <f t="shared" si="309"/>
        <v>4063.5</v>
      </c>
      <c r="R3253" s="31">
        <f t="shared" si="310"/>
        <v>4000</v>
      </c>
    </row>
    <row r="3254" spans="1:18" ht="21.95" customHeight="1" x14ac:dyDescent="0.2">
      <c r="A3254" s="6" t="s">
        <v>943</v>
      </c>
      <c r="B3254" s="6" t="s">
        <v>1596</v>
      </c>
      <c r="C3254" s="6" t="s">
        <v>1107</v>
      </c>
      <c r="D3254" s="6" t="s">
        <v>950</v>
      </c>
      <c r="E3254" s="6"/>
      <c r="G3254" s="6">
        <v>90</v>
      </c>
      <c r="H3254" s="6">
        <v>200</v>
      </c>
      <c r="K3254" s="7">
        <v>44007425</v>
      </c>
      <c r="L3254" s="6" t="str">
        <f t="shared" si="307"/>
        <v>YT VİP BAŞLIK 90x200</v>
      </c>
      <c r="M3254" s="12">
        <v>0.1</v>
      </c>
      <c r="N3254" s="12">
        <v>0.1</v>
      </c>
      <c r="O3254" s="8">
        <v>1230</v>
      </c>
      <c r="P3254" s="8">
        <f t="shared" si="308"/>
        <v>1107</v>
      </c>
      <c r="Q3254" s="12">
        <f t="shared" si="309"/>
        <v>2324.7000000000003</v>
      </c>
      <c r="R3254" s="31">
        <f t="shared" si="310"/>
        <v>2300</v>
      </c>
    </row>
    <row r="3255" spans="1:18" ht="21.95" customHeight="1" x14ac:dyDescent="0.2">
      <c r="A3255" s="6" t="s">
        <v>943</v>
      </c>
      <c r="B3255" s="6" t="s">
        <v>1596</v>
      </c>
      <c r="C3255" s="6" t="s">
        <v>1107</v>
      </c>
      <c r="D3255" s="6" t="s">
        <v>950</v>
      </c>
      <c r="E3255" s="6"/>
      <c r="G3255" s="6">
        <v>100</v>
      </c>
      <c r="H3255" s="6">
        <v>200</v>
      </c>
      <c r="K3255" s="7">
        <v>44007426</v>
      </c>
      <c r="L3255" s="6" t="str">
        <f t="shared" si="307"/>
        <v>YT VİP BAŞLIK 100x200</v>
      </c>
      <c r="M3255" s="12">
        <v>0.1</v>
      </c>
      <c r="N3255" s="12">
        <v>0.1</v>
      </c>
      <c r="O3255" s="8">
        <v>1360</v>
      </c>
      <c r="P3255" s="8">
        <f t="shared" si="308"/>
        <v>1224</v>
      </c>
      <c r="Q3255" s="12">
        <f t="shared" si="309"/>
        <v>2570.4</v>
      </c>
      <c r="R3255" s="31">
        <f t="shared" si="310"/>
        <v>2500</v>
      </c>
    </row>
    <row r="3256" spans="1:18" ht="21.95" customHeight="1" x14ac:dyDescent="0.2">
      <c r="A3256" s="6" t="s">
        <v>943</v>
      </c>
      <c r="B3256" s="6" t="s">
        <v>1596</v>
      </c>
      <c r="C3256" s="6" t="s">
        <v>1107</v>
      </c>
      <c r="D3256" s="6" t="s">
        <v>950</v>
      </c>
      <c r="E3256" s="6"/>
      <c r="G3256" s="6">
        <v>120</v>
      </c>
      <c r="H3256" s="6">
        <v>200</v>
      </c>
      <c r="K3256" s="7">
        <v>44007427</v>
      </c>
      <c r="L3256" s="6" t="str">
        <f t="shared" si="307"/>
        <v>YT VİP BAŞLIK 120x200</v>
      </c>
      <c r="M3256" s="12">
        <v>0.1</v>
      </c>
      <c r="N3256" s="12">
        <v>0.1</v>
      </c>
      <c r="O3256" s="8">
        <v>1470</v>
      </c>
      <c r="P3256" s="8">
        <f t="shared" si="308"/>
        <v>1323</v>
      </c>
      <c r="Q3256" s="12">
        <f t="shared" si="309"/>
        <v>2778.3</v>
      </c>
      <c r="R3256" s="31">
        <f t="shared" si="310"/>
        <v>2700</v>
      </c>
    </row>
    <row r="3257" spans="1:18" ht="21.95" customHeight="1" x14ac:dyDescent="0.2">
      <c r="A3257" s="6" t="s">
        <v>943</v>
      </c>
      <c r="B3257" s="6" t="s">
        <v>1596</v>
      </c>
      <c r="C3257" s="6" t="s">
        <v>1107</v>
      </c>
      <c r="D3257" s="6" t="s">
        <v>950</v>
      </c>
      <c r="E3257" s="6"/>
      <c r="G3257" s="6">
        <v>140</v>
      </c>
      <c r="H3257" s="6">
        <v>200</v>
      </c>
      <c r="K3257" s="7">
        <v>44007428</v>
      </c>
      <c r="L3257" s="6" t="str">
        <f t="shared" si="307"/>
        <v>YT VİP BAŞLIK 140x200</v>
      </c>
      <c r="M3257" s="12">
        <v>0.1</v>
      </c>
      <c r="N3257" s="12">
        <v>0.1</v>
      </c>
      <c r="O3257" s="8">
        <v>1600</v>
      </c>
      <c r="P3257" s="8">
        <f t="shared" si="308"/>
        <v>1440</v>
      </c>
      <c r="Q3257" s="12">
        <f t="shared" si="309"/>
        <v>3024</v>
      </c>
      <c r="R3257" s="31">
        <f t="shared" si="310"/>
        <v>3000</v>
      </c>
    </row>
    <row r="3258" spans="1:18" ht="21.95" customHeight="1" x14ac:dyDescent="0.2">
      <c r="A3258" s="6" t="s">
        <v>943</v>
      </c>
      <c r="B3258" s="6" t="s">
        <v>1596</v>
      </c>
      <c r="C3258" s="6" t="s">
        <v>1107</v>
      </c>
      <c r="D3258" s="6" t="s">
        <v>950</v>
      </c>
      <c r="E3258" s="6"/>
      <c r="G3258" s="6">
        <v>150</v>
      </c>
      <c r="H3258" s="6">
        <v>200</v>
      </c>
      <c r="K3258" s="7">
        <v>44007429</v>
      </c>
      <c r="L3258" s="6" t="str">
        <f t="shared" si="307"/>
        <v>YT VİP BAŞLIK 150x200</v>
      </c>
      <c r="M3258" s="12">
        <v>0.1</v>
      </c>
      <c r="N3258" s="12">
        <v>0.1</v>
      </c>
      <c r="O3258" s="8">
        <v>1720</v>
      </c>
      <c r="P3258" s="8">
        <f t="shared" si="308"/>
        <v>1548</v>
      </c>
      <c r="Q3258" s="12">
        <f t="shared" si="309"/>
        <v>3250.8</v>
      </c>
      <c r="R3258" s="31">
        <f t="shared" si="310"/>
        <v>3200</v>
      </c>
    </row>
    <row r="3259" spans="1:18" ht="21.95" customHeight="1" x14ac:dyDescent="0.2">
      <c r="A3259" s="6" t="s">
        <v>943</v>
      </c>
      <c r="B3259" s="6" t="s">
        <v>1596</v>
      </c>
      <c r="C3259" s="6" t="s">
        <v>1107</v>
      </c>
      <c r="D3259" s="6" t="s">
        <v>950</v>
      </c>
      <c r="E3259" s="6"/>
      <c r="G3259" s="6">
        <v>160</v>
      </c>
      <c r="H3259" s="6">
        <v>200</v>
      </c>
      <c r="K3259" s="7">
        <v>44007430</v>
      </c>
      <c r="L3259" s="6" t="str">
        <f t="shared" si="307"/>
        <v>YT VİP BAŞLIK 160x200</v>
      </c>
      <c r="M3259" s="12">
        <v>0.1</v>
      </c>
      <c r="N3259" s="12">
        <v>0.1</v>
      </c>
      <c r="O3259" s="8">
        <v>1830</v>
      </c>
      <c r="P3259" s="8">
        <f t="shared" si="308"/>
        <v>1647</v>
      </c>
      <c r="Q3259" s="12">
        <f t="shared" si="309"/>
        <v>3458.7000000000003</v>
      </c>
      <c r="R3259" s="31">
        <f t="shared" si="310"/>
        <v>3400</v>
      </c>
    </row>
    <row r="3260" spans="1:18" ht="21.95" customHeight="1" x14ac:dyDescent="0.2">
      <c r="A3260" s="6" t="s">
        <v>943</v>
      </c>
      <c r="B3260" s="6" t="s">
        <v>1596</v>
      </c>
      <c r="C3260" s="6" t="s">
        <v>1107</v>
      </c>
      <c r="D3260" s="6" t="s">
        <v>950</v>
      </c>
      <c r="E3260" s="6"/>
      <c r="G3260" s="6">
        <v>180</v>
      </c>
      <c r="H3260" s="6">
        <v>200</v>
      </c>
      <c r="K3260" s="7">
        <v>44007431</v>
      </c>
      <c r="L3260" s="6" t="str">
        <f t="shared" si="307"/>
        <v>YT VİP BAŞLIK 180x200</v>
      </c>
      <c r="M3260" s="12">
        <v>0.1</v>
      </c>
      <c r="N3260" s="12">
        <v>0.1</v>
      </c>
      <c r="O3260" s="8">
        <v>2210</v>
      </c>
      <c r="P3260" s="8">
        <f t="shared" si="308"/>
        <v>1989</v>
      </c>
      <c r="Q3260" s="12">
        <f t="shared" si="309"/>
        <v>4176.9000000000005</v>
      </c>
      <c r="R3260" s="31">
        <f t="shared" si="310"/>
        <v>4100</v>
      </c>
    </row>
    <row r="3261" spans="1:18" ht="21.95" customHeight="1" x14ac:dyDescent="0.2">
      <c r="A3261" s="6" t="s">
        <v>943</v>
      </c>
      <c r="B3261" s="6" t="s">
        <v>1596</v>
      </c>
      <c r="C3261" s="6" t="s">
        <v>1107</v>
      </c>
      <c r="D3261" s="6" t="s">
        <v>950</v>
      </c>
      <c r="E3261" s="6"/>
      <c r="G3261" s="6">
        <v>200</v>
      </c>
      <c r="H3261" s="6">
        <v>200</v>
      </c>
      <c r="K3261" s="7">
        <v>44007432</v>
      </c>
      <c r="L3261" s="6" t="str">
        <f t="shared" si="307"/>
        <v>YT VİP BAŞLIK 200x200</v>
      </c>
      <c r="M3261" s="12">
        <v>0.1</v>
      </c>
      <c r="N3261" s="12">
        <v>0.1</v>
      </c>
      <c r="O3261" s="8">
        <v>2440</v>
      </c>
      <c r="P3261" s="8">
        <f t="shared" si="308"/>
        <v>2196</v>
      </c>
      <c r="Q3261" s="12">
        <f t="shared" si="309"/>
        <v>4611.6000000000004</v>
      </c>
      <c r="R3261" s="31">
        <f t="shared" si="310"/>
        <v>4600</v>
      </c>
    </row>
    <row r="3262" spans="1:18" ht="21.95" customHeight="1" x14ac:dyDescent="0.2">
      <c r="A3262" s="6" t="s">
        <v>943</v>
      </c>
      <c r="B3262" s="6" t="s">
        <v>1596</v>
      </c>
      <c r="C3262" s="6" t="s">
        <v>1108</v>
      </c>
      <c r="D3262" s="6" t="s">
        <v>943</v>
      </c>
      <c r="E3262" s="6"/>
      <c r="G3262" s="6">
        <v>90</v>
      </c>
      <c r="H3262" s="6">
        <v>190</v>
      </c>
      <c r="K3262" s="7">
        <v>44007433</v>
      </c>
      <c r="L3262" s="6" t="str">
        <f t="shared" si="307"/>
        <v>YT NATURAL LATEX YATAK  90x190</v>
      </c>
      <c r="M3262" s="12">
        <v>0.1</v>
      </c>
      <c r="N3262" s="12">
        <v>0.1</v>
      </c>
      <c r="O3262" s="8">
        <v>9690</v>
      </c>
      <c r="P3262" s="8">
        <f t="shared" si="308"/>
        <v>8721</v>
      </c>
      <c r="Q3262" s="12">
        <f t="shared" si="309"/>
        <v>18314.100000000002</v>
      </c>
      <c r="R3262" s="31">
        <f t="shared" si="310"/>
        <v>18300</v>
      </c>
    </row>
    <row r="3263" spans="1:18" ht="21.95" customHeight="1" x14ac:dyDescent="0.2">
      <c r="A3263" s="6" t="s">
        <v>943</v>
      </c>
      <c r="B3263" s="6" t="s">
        <v>1596</v>
      </c>
      <c r="C3263" s="6" t="s">
        <v>1108</v>
      </c>
      <c r="D3263" s="6" t="s">
        <v>943</v>
      </c>
      <c r="E3263" s="6"/>
      <c r="G3263" s="6">
        <v>90</v>
      </c>
      <c r="H3263" s="6">
        <v>200</v>
      </c>
      <c r="K3263" s="7">
        <v>44007434</v>
      </c>
      <c r="L3263" s="6" t="str">
        <f t="shared" si="307"/>
        <v>YT NATURAL LATEX YATAK  90x200</v>
      </c>
      <c r="M3263" s="12">
        <v>0.1</v>
      </c>
      <c r="N3263" s="12">
        <v>0.1</v>
      </c>
      <c r="O3263" s="8">
        <v>10020</v>
      </c>
      <c r="P3263" s="8">
        <f t="shared" si="308"/>
        <v>9018</v>
      </c>
      <c r="Q3263" s="12">
        <f t="shared" si="309"/>
        <v>18937.8</v>
      </c>
      <c r="R3263" s="31">
        <f t="shared" si="310"/>
        <v>18900</v>
      </c>
    </row>
    <row r="3264" spans="1:18" ht="21.95" customHeight="1" x14ac:dyDescent="0.2">
      <c r="A3264" s="6" t="s">
        <v>943</v>
      </c>
      <c r="B3264" s="6" t="s">
        <v>1596</v>
      </c>
      <c r="C3264" s="6" t="s">
        <v>1108</v>
      </c>
      <c r="D3264" s="6" t="s">
        <v>943</v>
      </c>
      <c r="E3264" s="6"/>
      <c r="G3264" s="6">
        <v>100</v>
      </c>
      <c r="H3264" s="6">
        <v>200</v>
      </c>
      <c r="K3264" s="7">
        <v>44007435</v>
      </c>
      <c r="L3264" s="6" t="str">
        <f t="shared" si="307"/>
        <v>YT NATURAL LATEX YATAK  100x200</v>
      </c>
      <c r="M3264" s="12">
        <v>0.1</v>
      </c>
      <c r="N3264" s="12">
        <v>0.1</v>
      </c>
      <c r="O3264" s="8">
        <v>10410</v>
      </c>
      <c r="P3264" s="8">
        <f t="shared" si="308"/>
        <v>9369</v>
      </c>
      <c r="Q3264" s="12">
        <f t="shared" si="309"/>
        <v>19674.900000000001</v>
      </c>
      <c r="R3264" s="31">
        <f t="shared" si="310"/>
        <v>19600</v>
      </c>
    </row>
    <row r="3265" spans="1:18" ht="21.95" customHeight="1" x14ac:dyDescent="0.2">
      <c r="A3265" s="6" t="s">
        <v>943</v>
      </c>
      <c r="B3265" s="6" t="s">
        <v>1596</v>
      </c>
      <c r="C3265" s="6" t="s">
        <v>1108</v>
      </c>
      <c r="D3265" s="6" t="s">
        <v>943</v>
      </c>
      <c r="E3265" s="6"/>
      <c r="G3265" s="6">
        <v>120</v>
      </c>
      <c r="H3265" s="6">
        <v>200</v>
      </c>
      <c r="K3265" s="7">
        <v>44007436</v>
      </c>
      <c r="L3265" s="6" t="str">
        <f t="shared" si="307"/>
        <v>YT NATURAL LATEX YATAK  120x200</v>
      </c>
      <c r="M3265" s="12">
        <v>0.1</v>
      </c>
      <c r="N3265" s="12">
        <v>0.1</v>
      </c>
      <c r="O3265" s="8">
        <v>12470</v>
      </c>
      <c r="P3265" s="8">
        <f t="shared" si="308"/>
        <v>11223</v>
      </c>
      <c r="Q3265" s="12">
        <f t="shared" si="309"/>
        <v>23568.3</v>
      </c>
      <c r="R3265" s="31">
        <f t="shared" si="310"/>
        <v>23500</v>
      </c>
    </row>
    <row r="3266" spans="1:18" ht="21.95" customHeight="1" x14ac:dyDescent="0.2">
      <c r="A3266" s="6" t="s">
        <v>943</v>
      </c>
      <c r="B3266" s="6" t="s">
        <v>1596</v>
      </c>
      <c r="C3266" s="6" t="s">
        <v>1108</v>
      </c>
      <c r="D3266" s="6" t="s">
        <v>943</v>
      </c>
      <c r="E3266" s="6"/>
      <c r="G3266" s="6">
        <v>140</v>
      </c>
      <c r="H3266" s="6">
        <v>190</v>
      </c>
      <c r="K3266" s="7">
        <v>44007437</v>
      </c>
      <c r="L3266" s="6" t="str">
        <f t="shared" si="307"/>
        <v>YT NATURAL LATEX YATAK  140x190</v>
      </c>
      <c r="M3266" s="12">
        <v>0.1</v>
      </c>
      <c r="N3266" s="12">
        <v>0.1</v>
      </c>
      <c r="O3266" s="8">
        <v>13800</v>
      </c>
      <c r="P3266" s="8">
        <f t="shared" si="308"/>
        <v>12420</v>
      </c>
      <c r="Q3266" s="12">
        <f t="shared" si="309"/>
        <v>26082</v>
      </c>
      <c r="R3266" s="31">
        <f t="shared" si="310"/>
        <v>26000</v>
      </c>
    </row>
    <row r="3267" spans="1:18" ht="21.95" customHeight="1" x14ac:dyDescent="0.2">
      <c r="A3267" s="6" t="s">
        <v>943</v>
      </c>
      <c r="B3267" s="6" t="s">
        <v>1596</v>
      </c>
      <c r="C3267" s="6" t="s">
        <v>1108</v>
      </c>
      <c r="D3267" s="6" t="s">
        <v>943</v>
      </c>
      <c r="E3267" s="6"/>
      <c r="G3267" s="6">
        <v>140</v>
      </c>
      <c r="H3267" s="6">
        <v>200</v>
      </c>
      <c r="K3267" s="7">
        <v>44007438</v>
      </c>
      <c r="L3267" s="6" t="str">
        <f t="shared" si="307"/>
        <v>YT NATURAL LATEX YATAK  140x200</v>
      </c>
      <c r="M3267" s="12">
        <v>0.1</v>
      </c>
      <c r="N3267" s="12">
        <v>0.1</v>
      </c>
      <c r="O3267" s="8">
        <v>14510</v>
      </c>
      <c r="P3267" s="8">
        <f t="shared" si="308"/>
        <v>13059</v>
      </c>
      <c r="Q3267" s="12">
        <f t="shared" si="309"/>
        <v>27423.9</v>
      </c>
      <c r="R3267" s="31">
        <f t="shared" si="310"/>
        <v>27400</v>
      </c>
    </row>
    <row r="3268" spans="1:18" ht="21.95" customHeight="1" x14ac:dyDescent="0.2">
      <c r="A3268" s="6" t="s">
        <v>943</v>
      </c>
      <c r="B3268" s="6" t="s">
        <v>1596</v>
      </c>
      <c r="C3268" s="6" t="s">
        <v>1108</v>
      </c>
      <c r="D3268" s="6" t="s">
        <v>943</v>
      </c>
      <c r="E3268" s="6"/>
      <c r="G3268" s="6">
        <v>150</v>
      </c>
      <c r="H3268" s="6">
        <v>200</v>
      </c>
      <c r="K3268" s="7">
        <v>44007439</v>
      </c>
      <c r="L3268" s="6" t="str">
        <f t="shared" ref="L3268:L3331" si="311">B3268&amp;" "&amp;C3268&amp;" "&amp;D3268&amp;" "&amp;G3268&amp;"x"&amp;H3268</f>
        <v>YT NATURAL LATEX YATAK  150x200</v>
      </c>
      <c r="M3268" s="12">
        <v>0.1</v>
      </c>
      <c r="N3268" s="12">
        <v>0.1</v>
      </c>
      <c r="O3268" s="8">
        <v>15410</v>
      </c>
      <c r="P3268" s="8">
        <f t="shared" si="308"/>
        <v>13869</v>
      </c>
      <c r="Q3268" s="12">
        <f t="shared" si="309"/>
        <v>29124.9</v>
      </c>
      <c r="R3268" s="31">
        <f t="shared" si="310"/>
        <v>29100</v>
      </c>
    </row>
    <row r="3269" spans="1:18" ht="21.95" customHeight="1" x14ac:dyDescent="0.2">
      <c r="A3269" s="6" t="s">
        <v>943</v>
      </c>
      <c r="B3269" s="6" t="s">
        <v>1596</v>
      </c>
      <c r="C3269" s="6" t="s">
        <v>1108</v>
      </c>
      <c r="D3269" s="6" t="s">
        <v>943</v>
      </c>
      <c r="E3269" s="6"/>
      <c r="G3269" s="6">
        <v>160</v>
      </c>
      <c r="H3269" s="6">
        <v>200</v>
      </c>
      <c r="K3269" s="7">
        <v>44007440</v>
      </c>
      <c r="L3269" s="6" t="str">
        <f t="shared" si="311"/>
        <v>YT NATURAL LATEX YATAK  160x200</v>
      </c>
      <c r="M3269" s="12">
        <v>0.1</v>
      </c>
      <c r="N3269" s="12">
        <v>0.1</v>
      </c>
      <c r="O3269" s="8">
        <v>16250</v>
      </c>
      <c r="P3269" s="8">
        <f t="shared" si="308"/>
        <v>14625</v>
      </c>
      <c r="Q3269" s="12">
        <f t="shared" si="309"/>
        <v>30712.5</v>
      </c>
      <c r="R3269" s="31">
        <f t="shared" si="310"/>
        <v>30700</v>
      </c>
    </row>
    <row r="3270" spans="1:18" ht="21.95" customHeight="1" x14ac:dyDescent="0.2">
      <c r="A3270" s="6" t="s">
        <v>943</v>
      </c>
      <c r="B3270" s="6" t="s">
        <v>1596</v>
      </c>
      <c r="C3270" s="6" t="s">
        <v>1108</v>
      </c>
      <c r="D3270" s="6" t="s">
        <v>943</v>
      </c>
      <c r="E3270" s="6"/>
      <c r="G3270" s="6">
        <v>180</v>
      </c>
      <c r="H3270" s="6">
        <v>200</v>
      </c>
      <c r="K3270" s="7">
        <v>44007441</v>
      </c>
      <c r="L3270" s="6" t="str">
        <f t="shared" si="311"/>
        <v>YT NATURAL LATEX YATAK  180x200</v>
      </c>
      <c r="M3270" s="12">
        <v>0.1</v>
      </c>
      <c r="N3270" s="12">
        <v>0.1</v>
      </c>
      <c r="O3270" s="8">
        <v>17540</v>
      </c>
      <c r="P3270" s="8">
        <f t="shared" si="308"/>
        <v>15786</v>
      </c>
      <c r="Q3270" s="12">
        <f t="shared" si="309"/>
        <v>33150.6</v>
      </c>
      <c r="R3270" s="31">
        <f t="shared" si="310"/>
        <v>33100</v>
      </c>
    </row>
    <row r="3271" spans="1:18" ht="21.95" customHeight="1" x14ac:dyDescent="0.2">
      <c r="A3271" s="6" t="s">
        <v>943</v>
      </c>
      <c r="B3271" s="6" t="s">
        <v>1596</v>
      </c>
      <c r="C3271" s="6" t="s">
        <v>1108</v>
      </c>
      <c r="D3271" s="6" t="s">
        <v>943</v>
      </c>
      <c r="E3271" s="6"/>
      <c r="G3271" s="6">
        <v>200</v>
      </c>
      <c r="H3271" s="5">
        <v>200</v>
      </c>
      <c r="K3271" s="7">
        <v>44007442</v>
      </c>
      <c r="L3271" s="6" t="str">
        <f t="shared" si="311"/>
        <v>YT NATURAL LATEX YATAK  200x200</v>
      </c>
      <c r="M3271" s="12">
        <v>0.1</v>
      </c>
      <c r="N3271" s="12">
        <v>0.1</v>
      </c>
      <c r="O3271" s="8">
        <v>19840</v>
      </c>
      <c r="P3271" s="8">
        <f t="shared" si="308"/>
        <v>17856</v>
      </c>
      <c r="Q3271" s="12">
        <f t="shared" si="309"/>
        <v>37497.599999999999</v>
      </c>
      <c r="R3271" s="31">
        <f t="shared" si="310"/>
        <v>37400</v>
      </c>
    </row>
    <row r="3272" spans="1:18" ht="21.95" customHeight="1" x14ac:dyDescent="0.2">
      <c r="A3272" s="6" t="s">
        <v>943</v>
      </c>
      <c r="B3272" s="6" t="s">
        <v>1596</v>
      </c>
      <c r="C3272" s="6" t="s">
        <v>1109</v>
      </c>
      <c r="D3272" s="6" t="s">
        <v>943</v>
      </c>
      <c r="E3272" s="6"/>
      <c r="G3272" s="6">
        <v>90</v>
      </c>
      <c r="H3272" s="6">
        <v>190</v>
      </c>
      <c r="K3272" s="7">
        <v>44007443</v>
      </c>
      <c r="L3272" s="6" t="str">
        <f t="shared" si="311"/>
        <v>YT SWİSS LOVE BED YATAK  90x190</v>
      </c>
      <c r="M3272" s="12">
        <v>0.1</v>
      </c>
      <c r="N3272" s="12">
        <v>0.1</v>
      </c>
      <c r="O3272" s="8">
        <v>7150</v>
      </c>
      <c r="P3272" s="8">
        <f t="shared" si="308"/>
        <v>6435</v>
      </c>
      <c r="Q3272" s="12">
        <f t="shared" si="309"/>
        <v>13513.5</v>
      </c>
      <c r="R3272" s="31">
        <f t="shared" si="310"/>
        <v>13500</v>
      </c>
    </row>
    <row r="3273" spans="1:18" ht="21.95" customHeight="1" x14ac:dyDescent="0.2">
      <c r="A3273" s="6" t="s">
        <v>943</v>
      </c>
      <c r="B3273" s="6" t="s">
        <v>1596</v>
      </c>
      <c r="C3273" s="6" t="s">
        <v>1109</v>
      </c>
      <c r="D3273" s="6" t="s">
        <v>943</v>
      </c>
      <c r="E3273" s="6"/>
      <c r="G3273" s="6">
        <v>90</v>
      </c>
      <c r="H3273" s="6">
        <v>200</v>
      </c>
      <c r="K3273" s="7">
        <v>44007444</v>
      </c>
      <c r="L3273" s="6" t="str">
        <f t="shared" si="311"/>
        <v>YT SWİSS LOVE BED YATAK  90x200</v>
      </c>
      <c r="M3273" s="12">
        <v>0.1</v>
      </c>
      <c r="N3273" s="12">
        <v>0.1</v>
      </c>
      <c r="O3273" s="8">
        <v>7400</v>
      </c>
      <c r="P3273" s="8">
        <f t="shared" si="308"/>
        <v>6660</v>
      </c>
      <c r="Q3273" s="12">
        <f t="shared" si="309"/>
        <v>13986</v>
      </c>
      <c r="R3273" s="31">
        <f t="shared" si="310"/>
        <v>13900</v>
      </c>
    </row>
    <row r="3274" spans="1:18" ht="21.95" customHeight="1" x14ac:dyDescent="0.2">
      <c r="A3274" s="6" t="s">
        <v>943</v>
      </c>
      <c r="B3274" s="6" t="s">
        <v>1596</v>
      </c>
      <c r="C3274" s="6" t="s">
        <v>1109</v>
      </c>
      <c r="D3274" s="6" t="s">
        <v>943</v>
      </c>
      <c r="E3274" s="6"/>
      <c r="G3274" s="6">
        <v>100</v>
      </c>
      <c r="H3274" s="6">
        <v>200</v>
      </c>
      <c r="K3274" s="7">
        <v>44007445</v>
      </c>
      <c r="L3274" s="6" t="str">
        <f t="shared" si="311"/>
        <v>YT SWİSS LOVE BED YATAK  100x200</v>
      </c>
      <c r="M3274" s="12">
        <v>0.1</v>
      </c>
      <c r="N3274" s="12">
        <v>0.1</v>
      </c>
      <c r="O3274" s="8">
        <v>7690</v>
      </c>
      <c r="P3274" s="8">
        <f t="shared" si="308"/>
        <v>6921</v>
      </c>
      <c r="Q3274" s="12">
        <f t="shared" si="309"/>
        <v>14534.1</v>
      </c>
      <c r="R3274" s="31">
        <f t="shared" si="310"/>
        <v>14500</v>
      </c>
    </row>
    <row r="3275" spans="1:18" ht="21.95" customHeight="1" x14ac:dyDescent="0.2">
      <c r="A3275" s="6" t="s">
        <v>943</v>
      </c>
      <c r="B3275" s="6" t="s">
        <v>1596</v>
      </c>
      <c r="C3275" s="6" t="s">
        <v>1109</v>
      </c>
      <c r="D3275" s="6" t="s">
        <v>943</v>
      </c>
      <c r="E3275" s="6"/>
      <c r="G3275" s="6">
        <v>120</v>
      </c>
      <c r="H3275" s="6">
        <v>200</v>
      </c>
      <c r="K3275" s="7">
        <v>44007446</v>
      </c>
      <c r="L3275" s="6" t="str">
        <f t="shared" si="311"/>
        <v>YT SWİSS LOVE BED YATAK  120x200</v>
      </c>
      <c r="M3275" s="12">
        <v>0.1</v>
      </c>
      <c r="N3275" s="12">
        <v>0.1</v>
      </c>
      <c r="O3275" s="8">
        <v>9200</v>
      </c>
      <c r="P3275" s="8">
        <f t="shared" si="308"/>
        <v>8280</v>
      </c>
      <c r="Q3275" s="12">
        <f t="shared" si="309"/>
        <v>17388</v>
      </c>
      <c r="R3275" s="31">
        <f t="shared" si="310"/>
        <v>17300</v>
      </c>
    </row>
    <row r="3276" spans="1:18" ht="21.95" customHeight="1" x14ac:dyDescent="0.2">
      <c r="A3276" s="6" t="s">
        <v>943</v>
      </c>
      <c r="B3276" s="6" t="s">
        <v>1596</v>
      </c>
      <c r="C3276" s="6" t="s">
        <v>1109</v>
      </c>
      <c r="D3276" s="6" t="s">
        <v>943</v>
      </c>
      <c r="E3276" s="6"/>
      <c r="G3276" s="6">
        <v>140</v>
      </c>
      <c r="H3276" s="6">
        <v>190</v>
      </c>
      <c r="K3276" s="7">
        <v>44007447</v>
      </c>
      <c r="L3276" s="6" t="str">
        <f t="shared" si="311"/>
        <v>YT SWİSS LOVE BED YATAK  140x190</v>
      </c>
      <c r="M3276" s="12">
        <v>0.1</v>
      </c>
      <c r="N3276" s="12">
        <v>0.1</v>
      </c>
      <c r="O3276" s="8">
        <v>10190</v>
      </c>
      <c r="P3276" s="8">
        <f t="shared" si="308"/>
        <v>9171</v>
      </c>
      <c r="Q3276" s="12">
        <f t="shared" si="309"/>
        <v>19259.100000000002</v>
      </c>
      <c r="R3276" s="31">
        <f t="shared" si="310"/>
        <v>19200</v>
      </c>
    </row>
    <row r="3277" spans="1:18" ht="21.95" customHeight="1" x14ac:dyDescent="0.2">
      <c r="A3277" s="6" t="s">
        <v>943</v>
      </c>
      <c r="B3277" s="6" t="s">
        <v>1596</v>
      </c>
      <c r="C3277" s="6" t="s">
        <v>1109</v>
      </c>
      <c r="D3277" s="6" t="s">
        <v>943</v>
      </c>
      <c r="E3277" s="6"/>
      <c r="G3277" s="6">
        <v>140</v>
      </c>
      <c r="H3277" s="6">
        <v>200</v>
      </c>
      <c r="K3277" s="7">
        <v>44007448</v>
      </c>
      <c r="L3277" s="6" t="str">
        <f t="shared" si="311"/>
        <v>YT SWİSS LOVE BED YATAK  140x200</v>
      </c>
      <c r="M3277" s="12">
        <v>0.1</v>
      </c>
      <c r="N3277" s="12">
        <v>0.1</v>
      </c>
      <c r="O3277" s="8">
        <v>10710</v>
      </c>
      <c r="P3277" s="8">
        <f t="shared" si="308"/>
        <v>9639</v>
      </c>
      <c r="Q3277" s="12">
        <f t="shared" si="309"/>
        <v>20241.900000000001</v>
      </c>
      <c r="R3277" s="31">
        <f t="shared" si="310"/>
        <v>20200</v>
      </c>
    </row>
    <row r="3278" spans="1:18" ht="21.95" customHeight="1" x14ac:dyDescent="0.2">
      <c r="A3278" s="6" t="s">
        <v>943</v>
      </c>
      <c r="B3278" s="6" t="s">
        <v>1596</v>
      </c>
      <c r="C3278" s="6" t="s">
        <v>1109</v>
      </c>
      <c r="D3278" s="6" t="s">
        <v>943</v>
      </c>
      <c r="E3278" s="6"/>
      <c r="G3278" s="6">
        <v>150</v>
      </c>
      <c r="H3278" s="6">
        <v>200</v>
      </c>
      <c r="K3278" s="7">
        <v>44007449</v>
      </c>
      <c r="L3278" s="6" t="str">
        <f t="shared" si="311"/>
        <v>YT SWİSS LOVE BED YATAK  150x200</v>
      </c>
      <c r="M3278" s="12">
        <v>0.1</v>
      </c>
      <c r="N3278" s="12">
        <v>0.1</v>
      </c>
      <c r="O3278" s="8">
        <v>11380</v>
      </c>
      <c r="P3278" s="8">
        <f t="shared" ref="P3278:P3341" si="312">O3278*(1-N3278)</f>
        <v>10242</v>
      </c>
      <c r="Q3278" s="12">
        <f t="shared" ref="Q3278:Q3341" si="313">O3278*(1-N3278)*2.1</f>
        <v>21508.2</v>
      </c>
      <c r="R3278" s="31">
        <f t="shared" ref="R3278:R3341" si="314">ROUNDDOWN(Q3278,-2)</f>
        <v>21500</v>
      </c>
    </row>
    <row r="3279" spans="1:18" ht="21.95" customHeight="1" x14ac:dyDescent="0.2">
      <c r="A3279" s="6" t="s">
        <v>943</v>
      </c>
      <c r="B3279" s="6" t="s">
        <v>1596</v>
      </c>
      <c r="C3279" s="6" t="s">
        <v>1109</v>
      </c>
      <c r="D3279" s="6" t="s">
        <v>943</v>
      </c>
      <c r="E3279" s="6"/>
      <c r="G3279" s="6">
        <v>160</v>
      </c>
      <c r="H3279" s="6">
        <v>200</v>
      </c>
      <c r="K3279" s="7">
        <v>44007450</v>
      </c>
      <c r="L3279" s="6" t="str">
        <f t="shared" si="311"/>
        <v>YT SWİSS LOVE BED YATAK  160x200</v>
      </c>
      <c r="M3279" s="12">
        <v>0.1</v>
      </c>
      <c r="N3279" s="12">
        <v>0.1</v>
      </c>
      <c r="O3279" s="8">
        <v>11980</v>
      </c>
      <c r="P3279" s="8">
        <f t="shared" si="312"/>
        <v>10782</v>
      </c>
      <c r="Q3279" s="12">
        <f t="shared" si="313"/>
        <v>22642.2</v>
      </c>
      <c r="R3279" s="31">
        <f t="shared" si="314"/>
        <v>22600</v>
      </c>
    </row>
    <row r="3280" spans="1:18" ht="21.95" customHeight="1" x14ac:dyDescent="0.2">
      <c r="A3280" s="6" t="s">
        <v>943</v>
      </c>
      <c r="B3280" s="6" t="s">
        <v>1596</v>
      </c>
      <c r="C3280" s="6" t="s">
        <v>1109</v>
      </c>
      <c r="D3280" s="6" t="s">
        <v>943</v>
      </c>
      <c r="E3280" s="6"/>
      <c r="G3280" s="6">
        <v>180</v>
      </c>
      <c r="H3280" s="6">
        <v>200</v>
      </c>
      <c r="K3280" s="7">
        <v>44007451</v>
      </c>
      <c r="L3280" s="6" t="str">
        <f t="shared" si="311"/>
        <v>YT SWİSS LOVE BED YATAK  180x200</v>
      </c>
      <c r="M3280" s="12">
        <v>0.1</v>
      </c>
      <c r="N3280" s="12">
        <v>0.1</v>
      </c>
      <c r="O3280" s="8">
        <v>12950</v>
      </c>
      <c r="P3280" s="8">
        <f t="shared" si="312"/>
        <v>11655</v>
      </c>
      <c r="Q3280" s="12">
        <f t="shared" si="313"/>
        <v>24475.5</v>
      </c>
      <c r="R3280" s="31">
        <f t="shared" si="314"/>
        <v>24400</v>
      </c>
    </row>
    <row r="3281" spans="1:18" ht="21.95" customHeight="1" x14ac:dyDescent="0.2">
      <c r="A3281" s="6" t="s">
        <v>943</v>
      </c>
      <c r="B3281" s="6" t="s">
        <v>1596</v>
      </c>
      <c r="C3281" s="6" t="s">
        <v>1109</v>
      </c>
      <c r="D3281" s="6" t="s">
        <v>943</v>
      </c>
      <c r="E3281" s="6"/>
      <c r="G3281" s="6">
        <v>200</v>
      </c>
      <c r="H3281" s="6">
        <v>200</v>
      </c>
      <c r="K3281" s="7">
        <v>44007452</v>
      </c>
      <c r="L3281" s="6" t="str">
        <f t="shared" si="311"/>
        <v>YT SWİSS LOVE BED YATAK  200x200</v>
      </c>
      <c r="M3281" s="12">
        <v>0.1</v>
      </c>
      <c r="N3281" s="12">
        <v>0.1</v>
      </c>
      <c r="O3281" s="8">
        <v>14650</v>
      </c>
      <c r="P3281" s="8">
        <f t="shared" si="312"/>
        <v>13185</v>
      </c>
      <c r="Q3281" s="12">
        <f t="shared" si="313"/>
        <v>27688.5</v>
      </c>
      <c r="R3281" s="31">
        <f t="shared" si="314"/>
        <v>27600</v>
      </c>
    </row>
    <row r="3282" spans="1:18" ht="21.95" customHeight="1" x14ac:dyDescent="0.2">
      <c r="A3282" s="6" t="s">
        <v>943</v>
      </c>
      <c r="B3282" s="6" t="s">
        <v>1596</v>
      </c>
      <c r="C3282" s="6" t="s">
        <v>1110</v>
      </c>
      <c r="D3282" s="6" t="s">
        <v>943</v>
      </c>
      <c r="E3282" s="6"/>
      <c r="G3282" s="6">
        <v>90</v>
      </c>
      <c r="H3282" s="6">
        <v>190</v>
      </c>
      <c r="K3282" s="7">
        <v>44007453</v>
      </c>
      <c r="L3282" s="6" t="str">
        <f t="shared" si="311"/>
        <v>YT MERCAN YATAK  90x190</v>
      </c>
      <c r="M3282" s="12">
        <v>0.1</v>
      </c>
      <c r="N3282" s="12">
        <v>0.1</v>
      </c>
      <c r="O3282" s="8">
        <v>10840</v>
      </c>
      <c r="P3282" s="8">
        <f t="shared" si="312"/>
        <v>9756</v>
      </c>
      <c r="Q3282" s="12">
        <f t="shared" si="313"/>
        <v>20487.600000000002</v>
      </c>
      <c r="R3282" s="31">
        <f t="shared" si="314"/>
        <v>20400</v>
      </c>
    </row>
    <row r="3283" spans="1:18" ht="21.95" customHeight="1" x14ac:dyDescent="0.2">
      <c r="A3283" s="6" t="s">
        <v>943</v>
      </c>
      <c r="B3283" s="6" t="s">
        <v>1596</v>
      </c>
      <c r="C3283" s="6" t="s">
        <v>1110</v>
      </c>
      <c r="D3283" s="6" t="s">
        <v>943</v>
      </c>
      <c r="E3283" s="6"/>
      <c r="G3283" s="6">
        <v>90</v>
      </c>
      <c r="H3283" s="6">
        <v>200</v>
      </c>
      <c r="K3283" s="7">
        <v>44007454</v>
      </c>
      <c r="L3283" s="6" t="str">
        <f t="shared" si="311"/>
        <v>YT MERCAN YATAK  90x200</v>
      </c>
      <c r="M3283" s="12">
        <v>0.1</v>
      </c>
      <c r="N3283" s="12">
        <v>0.1</v>
      </c>
      <c r="O3283" s="8">
        <v>11450</v>
      </c>
      <c r="P3283" s="8">
        <f t="shared" si="312"/>
        <v>10305</v>
      </c>
      <c r="Q3283" s="12">
        <f t="shared" si="313"/>
        <v>21640.5</v>
      </c>
      <c r="R3283" s="31">
        <f t="shared" si="314"/>
        <v>21600</v>
      </c>
    </row>
    <row r="3284" spans="1:18" ht="21.95" customHeight="1" x14ac:dyDescent="0.2">
      <c r="A3284" s="6" t="s">
        <v>943</v>
      </c>
      <c r="B3284" s="6" t="s">
        <v>1596</v>
      </c>
      <c r="C3284" s="6" t="s">
        <v>1110</v>
      </c>
      <c r="D3284" s="6" t="s">
        <v>943</v>
      </c>
      <c r="E3284" s="6"/>
      <c r="G3284" s="6">
        <v>100</v>
      </c>
      <c r="H3284" s="6">
        <v>200</v>
      </c>
      <c r="K3284" s="7">
        <v>44007455</v>
      </c>
      <c r="L3284" s="6" t="str">
        <f t="shared" si="311"/>
        <v>YT MERCAN YATAK  100x200</v>
      </c>
      <c r="M3284" s="12">
        <v>0.1</v>
      </c>
      <c r="N3284" s="12">
        <v>0.1</v>
      </c>
      <c r="O3284" s="8">
        <v>12690</v>
      </c>
      <c r="P3284" s="8">
        <f t="shared" si="312"/>
        <v>11421</v>
      </c>
      <c r="Q3284" s="12">
        <f t="shared" si="313"/>
        <v>23984.100000000002</v>
      </c>
      <c r="R3284" s="31">
        <f t="shared" si="314"/>
        <v>23900</v>
      </c>
    </row>
    <row r="3285" spans="1:18" ht="21.95" customHeight="1" x14ac:dyDescent="0.2">
      <c r="A3285" s="6" t="s">
        <v>943</v>
      </c>
      <c r="B3285" s="6" t="s">
        <v>1596</v>
      </c>
      <c r="C3285" s="6" t="s">
        <v>1110</v>
      </c>
      <c r="D3285" s="6" t="s">
        <v>943</v>
      </c>
      <c r="E3285" s="6"/>
      <c r="G3285" s="6">
        <v>120</v>
      </c>
      <c r="H3285" s="6">
        <v>200</v>
      </c>
      <c r="K3285" s="7">
        <v>44007456</v>
      </c>
      <c r="L3285" s="6" t="str">
        <f t="shared" si="311"/>
        <v>YT MERCAN YATAK  120x200</v>
      </c>
      <c r="M3285" s="12">
        <v>0.1</v>
      </c>
      <c r="N3285" s="12">
        <v>0.1</v>
      </c>
      <c r="O3285" s="8">
        <v>15180</v>
      </c>
      <c r="P3285" s="8">
        <f t="shared" si="312"/>
        <v>13662</v>
      </c>
      <c r="Q3285" s="12">
        <f t="shared" si="313"/>
        <v>28690.2</v>
      </c>
      <c r="R3285" s="31">
        <f t="shared" si="314"/>
        <v>28600</v>
      </c>
    </row>
    <row r="3286" spans="1:18" ht="21.95" customHeight="1" x14ac:dyDescent="0.2">
      <c r="A3286" s="6" t="s">
        <v>943</v>
      </c>
      <c r="B3286" s="6" t="s">
        <v>1596</v>
      </c>
      <c r="C3286" s="6" t="s">
        <v>1110</v>
      </c>
      <c r="D3286" s="6" t="s">
        <v>943</v>
      </c>
      <c r="E3286" s="6"/>
      <c r="G3286" s="6">
        <v>140</v>
      </c>
      <c r="H3286" s="6">
        <v>190</v>
      </c>
      <c r="K3286" s="7">
        <v>44007457</v>
      </c>
      <c r="L3286" s="6" t="str">
        <f t="shared" si="311"/>
        <v>YT MERCAN YATAK  140x190</v>
      </c>
      <c r="M3286" s="12">
        <v>0.1</v>
      </c>
      <c r="N3286" s="12">
        <v>0.1</v>
      </c>
      <c r="O3286" s="8">
        <v>16880</v>
      </c>
      <c r="P3286" s="8">
        <f t="shared" si="312"/>
        <v>15192</v>
      </c>
      <c r="Q3286" s="12">
        <f t="shared" si="313"/>
        <v>31903.200000000001</v>
      </c>
      <c r="R3286" s="31">
        <f t="shared" si="314"/>
        <v>31900</v>
      </c>
    </row>
    <row r="3287" spans="1:18" ht="21.95" customHeight="1" x14ac:dyDescent="0.2">
      <c r="A3287" s="6" t="s">
        <v>943</v>
      </c>
      <c r="B3287" s="6" t="s">
        <v>1596</v>
      </c>
      <c r="C3287" s="6" t="s">
        <v>1110</v>
      </c>
      <c r="D3287" s="6" t="s">
        <v>943</v>
      </c>
      <c r="E3287" s="6"/>
      <c r="G3287" s="5">
        <v>140</v>
      </c>
      <c r="H3287" s="6">
        <v>200</v>
      </c>
      <c r="K3287" s="7">
        <v>44007458</v>
      </c>
      <c r="L3287" s="6" t="str">
        <f t="shared" si="311"/>
        <v>YT MERCAN YATAK  140x200</v>
      </c>
      <c r="M3287" s="12">
        <v>0.1</v>
      </c>
      <c r="N3287" s="12">
        <v>0.1</v>
      </c>
      <c r="O3287" s="8">
        <v>17740</v>
      </c>
      <c r="P3287" s="8">
        <f t="shared" si="312"/>
        <v>15966</v>
      </c>
      <c r="Q3287" s="12">
        <f t="shared" si="313"/>
        <v>33528.6</v>
      </c>
      <c r="R3287" s="31">
        <f t="shared" si="314"/>
        <v>33500</v>
      </c>
    </row>
    <row r="3288" spans="1:18" ht="21.95" customHeight="1" x14ac:dyDescent="0.2">
      <c r="A3288" s="6" t="s">
        <v>943</v>
      </c>
      <c r="B3288" s="6" t="s">
        <v>1596</v>
      </c>
      <c r="C3288" s="6" t="s">
        <v>1110</v>
      </c>
      <c r="D3288" s="6" t="s">
        <v>943</v>
      </c>
      <c r="E3288" s="6"/>
      <c r="G3288" s="6">
        <v>150</v>
      </c>
      <c r="H3288" s="6">
        <v>200</v>
      </c>
      <c r="K3288" s="7">
        <v>44007459</v>
      </c>
      <c r="L3288" s="6" t="str">
        <f t="shared" si="311"/>
        <v>YT MERCAN YATAK  150x200</v>
      </c>
      <c r="M3288" s="12">
        <v>0.1</v>
      </c>
      <c r="N3288" s="12">
        <v>0.1</v>
      </c>
      <c r="O3288" s="8">
        <v>19040</v>
      </c>
      <c r="P3288" s="8">
        <f t="shared" si="312"/>
        <v>17136</v>
      </c>
      <c r="Q3288" s="12">
        <f t="shared" si="313"/>
        <v>35985.599999999999</v>
      </c>
      <c r="R3288" s="31">
        <f t="shared" si="314"/>
        <v>35900</v>
      </c>
    </row>
    <row r="3289" spans="1:18" ht="21.95" customHeight="1" x14ac:dyDescent="0.2">
      <c r="A3289" s="6" t="s">
        <v>943</v>
      </c>
      <c r="B3289" s="6" t="s">
        <v>1596</v>
      </c>
      <c r="C3289" s="6" t="s">
        <v>1110</v>
      </c>
      <c r="D3289" s="6" t="s">
        <v>943</v>
      </c>
      <c r="E3289" s="6"/>
      <c r="G3289" s="6">
        <v>160</v>
      </c>
      <c r="H3289" s="6">
        <v>200</v>
      </c>
      <c r="K3289" s="7">
        <v>44007460</v>
      </c>
      <c r="L3289" s="6" t="str">
        <f t="shared" si="311"/>
        <v>YT MERCAN YATAK  160x200</v>
      </c>
      <c r="M3289" s="12">
        <v>0.1</v>
      </c>
      <c r="N3289" s="12">
        <v>0.1</v>
      </c>
      <c r="O3289" s="8">
        <v>20350</v>
      </c>
      <c r="P3289" s="8">
        <f t="shared" si="312"/>
        <v>18315</v>
      </c>
      <c r="Q3289" s="12">
        <f t="shared" si="313"/>
        <v>38461.5</v>
      </c>
      <c r="R3289" s="31">
        <f t="shared" si="314"/>
        <v>38400</v>
      </c>
    </row>
    <row r="3290" spans="1:18" ht="21.95" customHeight="1" x14ac:dyDescent="0.2">
      <c r="A3290" s="6" t="s">
        <v>943</v>
      </c>
      <c r="B3290" s="6" t="s">
        <v>1596</v>
      </c>
      <c r="C3290" s="6" t="s">
        <v>1110</v>
      </c>
      <c r="D3290" s="6" t="s">
        <v>943</v>
      </c>
      <c r="E3290" s="6"/>
      <c r="G3290" s="6">
        <v>180</v>
      </c>
      <c r="H3290" s="6">
        <v>200</v>
      </c>
      <c r="K3290" s="7">
        <v>44007461</v>
      </c>
      <c r="L3290" s="6" t="str">
        <f t="shared" si="311"/>
        <v>YT MERCAN YATAK  180x200</v>
      </c>
      <c r="M3290" s="12">
        <v>0.1</v>
      </c>
      <c r="N3290" s="12">
        <v>0.1</v>
      </c>
      <c r="O3290" s="8">
        <v>22800</v>
      </c>
      <c r="P3290" s="8">
        <f t="shared" si="312"/>
        <v>20520</v>
      </c>
      <c r="Q3290" s="12">
        <f t="shared" si="313"/>
        <v>43092</v>
      </c>
      <c r="R3290" s="31">
        <f t="shared" si="314"/>
        <v>43000</v>
      </c>
    </row>
    <row r="3291" spans="1:18" ht="21.95" customHeight="1" x14ac:dyDescent="0.2">
      <c r="A3291" s="6" t="s">
        <v>943</v>
      </c>
      <c r="B3291" s="6" t="s">
        <v>1596</v>
      </c>
      <c r="C3291" s="6" t="s">
        <v>1110</v>
      </c>
      <c r="D3291" s="6" t="s">
        <v>943</v>
      </c>
      <c r="E3291" s="6"/>
      <c r="G3291" s="6">
        <v>200</v>
      </c>
      <c r="H3291" s="6">
        <v>200</v>
      </c>
      <c r="K3291" s="7">
        <v>44007462</v>
      </c>
      <c r="L3291" s="6" t="str">
        <f t="shared" si="311"/>
        <v>YT MERCAN YATAK  200x200</v>
      </c>
      <c r="M3291" s="12">
        <v>0.1</v>
      </c>
      <c r="N3291" s="12">
        <v>0.1</v>
      </c>
      <c r="O3291" s="8">
        <v>25370</v>
      </c>
      <c r="P3291" s="8">
        <f t="shared" si="312"/>
        <v>22833</v>
      </c>
      <c r="Q3291" s="12">
        <f t="shared" si="313"/>
        <v>47949.3</v>
      </c>
      <c r="R3291" s="31">
        <f t="shared" si="314"/>
        <v>47900</v>
      </c>
    </row>
    <row r="3292" spans="1:18" ht="21.95" customHeight="1" x14ac:dyDescent="0.2">
      <c r="A3292" s="6" t="s">
        <v>943</v>
      </c>
      <c r="B3292" s="6" t="s">
        <v>1596</v>
      </c>
      <c r="C3292" s="6" t="s">
        <v>986</v>
      </c>
      <c r="D3292" s="6" t="s">
        <v>943</v>
      </c>
      <c r="E3292" s="6"/>
      <c r="G3292" s="6">
        <v>90</v>
      </c>
      <c r="H3292" s="6">
        <v>190</v>
      </c>
      <c r="K3292" s="7">
        <v>44007463</v>
      </c>
      <c r="L3292" s="6" t="str">
        <f t="shared" si="311"/>
        <v>YT ATLANTİS YATAK  90x190</v>
      </c>
      <c r="M3292" s="12">
        <v>0.1</v>
      </c>
      <c r="N3292" s="12">
        <v>0.1</v>
      </c>
      <c r="O3292" s="8">
        <v>10150</v>
      </c>
      <c r="P3292" s="8">
        <f t="shared" si="312"/>
        <v>9135</v>
      </c>
      <c r="Q3292" s="12">
        <f t="shared" si="313"/>
        <v>19183.5</v>
      </c>
      <c r="R3292" s="31">
        <f t="shared" si="314"/>
        <v>19100</v>
      </c>
    </row>
    <row r="3293" spans="1:18" ht="21.95" customHeight="1" x14ac:dyDescent="0.2">
      <c r="A3293" s="6" t="s">
        <v>943</v>
      </c>
      <c r="B3293" s="6" t="s">
        <v>1596</v>
      </c>
      <c r="C3293" s="6" t="s">
        <v>986</v>
      </c>
      <c r="D3293" s="6" t="s">
        <v>943</v>
      </c>
      <c r="E3293" s="6"/>
      <c r="G3293" s="6">
        <v>90</v>
      </c>
      <c r="H3293" s="6">
        <v>200</v>
      </c>
      <c r="K3293" s="7">
        <v>44007464</v>
      </c>
      <c r="L3293" s="6" t="str">
        <f t="shared" si="311"/>
        <v>YT ATLANTİS YATAK  90x200</v>
      </c>
      <c r="M3293" s="12">
        <v>0.1</v>
      </c>
      <c r="N3293" s="12">
        <v>0.1</v>
      </c>
      <c r="O3293" s="8">
        <v>10710</v>
      </c>
      <c r="P3293" s="8">
        <f t="shared" si="312"/>
        <v>9639</v>
      </c>
      <c r="Q3293" s="12">
        <f t="shared" si="313"/>
        <v>20241.900000000001</v>
      </c>
      <c r="R3293" s="31">
        <f t="shared" si="314"/>
        <v>20200</v>
      </c>
    </row>
    <row r="3294" spans="1:18" ht="21.95" customHeight="1" x14ac:dyDescent="0.2">
      <c r="A3294" s="6" t="s">
        <v>943</v>
      </c>
      <c r="B3294" s="6" t="s">
        <v>1596</v>
      </c>
      <c r="C3294" s="6" t="s">
        <v>986</v>
      </c>
      <c r="D3294" s="6" t="s">
        <v>943</v>
      </c>
      <c r="E3294" s="6"/>
      <c r="G3294" s="6">
        <v>100</v>
      </c>
      <c r="H3294" s="6">
        <v>200</v>
      </c>
      <c r="K3294" s="7">
        <v>44007465</v>
      </c>
      <c r="L3294" s="6" t="str">
        <f t="shared" si="311"/>
        <v>YT ATLANTİS YATAK  100x200</v>
      </c>
      <c r="M3294" s="12">
        <v>0.1</v>
      </c>
      <c r="N3294" s="12">
        <v>0.1</v>
      </c>
      <c r="O3294" s="8">
        <v>11890</v>
      </c>
      <c r="P3294" s="8">
        <f t="shared" si="312"/>
        <v>10701</v>
      </c>
      <c r="Q3294" s="12">
        <f t="shared" si="313"/>
        <v>22472.100000000002</v>
      </c>
      <c r="R3294" s="31">
        <f t="shared" si="314"/>
        <v>22400</v>
      </c>
    </row>
    <row r="3295" spans="1:18" ht="21.95" customHeight="1" x14ac:dyDescent="0.2">
      <c r="A3295" s="6" t="s">
        <v>943</v>
      </c>
      <c r="B3295" s="6" t="s">
        <v>1596</v>
      </c>
      <c r="C3295" s="6" t="s">
        <v>986</v>
      </c>
      <c r="D3295" s="6" t="s">
        <v>943</v>
      </c>
      <c r="E3295" s="6"/>
      <c r="G3295" s="6">
        <v>120</v>
      </c>
      <c r="H3295" s="6">
        <v>200</v>
      </c>
      <c r="K3295" s="7">
        <v>44007466</v>
      </c>
      <c r="L3295" s="6" t="str">
        <f t="shared" si="311"/>
        <v>YT ATLANTİS YATAK  120x200</v>
      </c>
      <c r="M3295" s="12">
        <v>0.1</v>
      </c>
      <c r="N3295" s="12">
        <v>0.1</v>
      </c>
      <c r="O3295" s="8">
        <v>14220</v>
      </c>
      <c r="P3295" s="8">
        <f t="shared" si="312"/>
        <v>12798</v>
      </c>
      <c r="Q3295" s="12">
        <f t="shared" si="313"/>
        <v>26875.800000000003</v>
      </c>
      <c r="R3295" s="31">
        <f t="shared" si="314"/>
        <v>26800</v>
      </c>
    </row>
    <row r="3296" spans="1:18" ht="21.95" customHeight="1" x14ac:dyDescent="0.2">
      <c r="A3296" s="6" t="s">
        <v>943</v>
      </c>
      <c r="B3296" s="6" t="s">
        <v>1596</v>
      </c>
      <c r="C3296" s="6" t="s">
        <v>986</v>
      </c>
      <c r="D3296" s="6" t="s">
        <v>943</v>
      </c>
      <c r="E3296" s="6"/>
      <c r="G3296" s="6">
        <v>140</v>
      </c>
      <c r="H3296" s="6">
        <v>190</v>
      </c>
      <c r="K3296" s="7">
        <v>44007467</v>
      </c>
      <c r="L3296" s="6" t="str">
        <f t="shared" si="311"/>
        <v>YT ATLANTİS YATAK  140x190</v>
      </c>
      <c r="M3296" s="12">
        <v>0.1</v>
      </c>
      <c r="N3296" s="12">
        <v>0.1</v>
      </c>
      <c r="O3296" s="8">
        <v>15820</v>
      </c>
      <c r="P3296" s="8">
        <f t="shared" si="312"/>
        <v>14238</v>
      </c>
      <c r="Q3296" s="12">
        <f t="shared" si="313"/>
        <v>29899.800000000003</v>
      </c>
      <c r="R3296" s="31">
        <f t="shared" si="314"/>
        <v>29800</v>
      </c>
    </row>
    <row r="3297" spans="1:18" ht="21.95" customHeight="1" x14ac:dyDescent="0.2">
      <c r="A3297" s="6" t="s">
        <v>943</v>
      </c>
      <c r="B3297" s="6" t="s">
        <v>1596</v>
      </c>
      <c r="C3297" s="6" t="s">
        <v>986</v>
      </c>
      <c r="D3297" s="6" t="s">
        <v>943</v>
      </c>
      <c r="E3297" s="6"/>
      <c r="G3297" s="6">
        <v>140</v>
      </c>
      <c r="H3297" s="6">
        <v>200</v>
      </c>
      <c r="K3297" s="7">
        <v>44007468</v>
      </c>
      <c r="L3297" s="6" t="str">
        <f t="shared" si="311"/>
        <v>YT ATLANTİS YATAK  140x200</v>
      </c>
      <c r="M3297" s="12">
        <v>0.1</v>
      </c>
      <c r="N3297" s="12">
        <v>0.1</v>
      </c>
      <c r="O3297" s="8">
        <v>16620</v>
      </c>
      <c r="P3297" s="8">
        <f t="shared" si="312"/>
        <v>14958</v>
      </c>
      <c r="Q3297" s="12">
        <f t="shared" si="313"/>
        <v>31411.800000000003</v>
      </c>
      <c r="R3297" s="31">
        <f t="shared" si="314"/>
        <v>31400</v>
      </c>
    </row>
    <row r="3298" spans="1:18" ht="21.95" customHeight="1" x14ac:dyDescent="0.2">
      <c r="A3298" s="6" t="s">
        <v>943</v>
      </c>
      <c r="B3298" s="6" t="s">
        <v>1596</v>
      </c>
      <c r="C3298" s="6" t="s">
        <v>986</v>
      </c>
      <c r="D3298" s="6" t="s">
        <v>943</v>
      </c>
      <c r="E3298" s="6"/>
      <c r="G3298" s="6">
        <v>150</v>
      </c>
      <c r="H3298" s="6">
        <v>200</v>
      </c>
      <c r="K3298" s="7">
        <v>44007469</v>
      </c>
      <c r="L3298" s="6" t="str">
        <f t="shared" si="311"/>
        <v>YT ATLANTİS YATAK  150x200</v>
      </c>
      <c r="M3298" s="12">
        <v>0.1</v>
      </c>
      <c r="N3298" s="12">
        <v>0.1</v>
      </c>
      <c r="O3298" s="8">
        <v>17830</v>
      </c>
      <c r="P3298" s="8">
        <f t="shared" si="312"/>
        <v>16047</v>
      </c>
      <c r="Q3298" s="12">
        <f t="shared" si="313"/>
        <v>33698.700000000004</v>
      </c>
      <c r="R3298" s="31">
        <f t="shared" si="314"/>
        <v>33600</v>
      </c>
    </row>
    <row r="3299" spans="1:18" ht="21.95" customHeight="1" x14ac:dyDescent="0.2">
      <c r="A3299" s="6" t="s">
        <v>943</v>
      </c>
      <c r="B3299" s="6" t="s">
        <v>1596</v>
      </c>
      <c r="C3299" s="6" t="s">
        <v>986</v>
      </c>
      <c r="D3299" s="6" t="s">
        <v>943</v>
      </c>
      <c r="E3299" s="6"/>
      <c r="G3299" s="6">
        <v>160</v>
      </c>
      <c r="H3299" s="6">
        <v>200</v>
      </c>
      <c r="K3299" s="7">
        <v>44007470</v>
      </c>
      <c r="L3299" s="6" t="str">
        <f t="shared" si="311"/>
        <v>YT ATLANTİS YATAK  160x200</v>
      </c>
      <c r="M3299" s="12">
        <v>0.1</v>
      </c>
      <c r="N3299" s="12">
        <v>0.1</v>
      </c>
      <c r="O3299" s="8">
        <v>19060</v>
      </c>
      <c r="P3299" s="8">
        <f t="shared" si="312"/>
        <v>17154</v>
      </c>
      <c r="Q3299" s="12">
        <f t="shared" si="313"/>
        <v>36023.4</v>
      </c>
      <c r="R3299" s="31">
        <f t="shared" si="314"/>
        <v>36000</v>
      </c>
    </row>
    <row r="3300" spans="1:18" ht="21.95" customHeight="1" x14ac:dyDescent="0.2">
      <c r="A3300" s="6" t="s">
        <v>943</v>
      </c>
      <c r="B3300" s="6" t="s">
        <v>1596</v>
      </c>
      <c r="C3300" s="6" t="s">
        <v>986</v>
      </c>
      <c r="D3300" s="6" t="s">
        <v>943</v>
      </c>
      <c r="E3300" s="6"/>
      <c r="G3300" s="6">
        <v>180</v>
      </c>
      <c r="H3300" s="6">
        <v>200</v>
      </c>
      <c r="K3300" s="7">
        <v>44007471</v>
      </c>
      <c r="L3300" s="6" t="str">
        <f t="shared" si="311"/>
        <v>YT ATLANTİS YATAK  180x200</v>
      </c>
      <c r="M3300" s="12">
        <v>0.1</v>
      </c>
      <c r="N3300" s="12">
        <v>0.1</v>
      </c>
      <c r="O3300" s="8">
        <v>21370</v>
      </c>
      <c r="P3300" s="8">
        <f t="shared" si="312"/>
        <v>19233</v>
      </c>
      <c r="Q3300" s="12">
        <f t="shared" si="313"/>
        <v>40389.300000000003</v>
      </c>
      <c r="R3300" s="31">
        <f t="shared" si="314"/>
        <v>40300</v>
      </c>
    </row>
    <row r="3301" spans="1:18" ht="21.95" customHeight="1" x14ac:dyDescent="0.2">
      <c r="A3301" s="6" t="s">
        <v>943</v>
      </c>
      <c r="B3301" s="6" t="s">
        <v>1596</v>
      </c>
      <c r="C3301" s="6" t="s">
        <v>986</v>
      </c>
      <c r="D3301" s="6" t="s">
        <v>943</v>
      </c>
      <c r="E3301" s="6"/>
      <c r="G3301" s="6">
        <v>200</v>
      </c>
      <c r="H3301" s="6">
        <v>200</v>
      </c>
      <c r="K3301" s="7">
        <v>44007472</v>
      </c>
      <c r="L3301" s="6" t="str">
        <f t="shared" si="311"/>
        <v>YT ATLANTİS YATAK  200x200</v>
      </c>
      <c r="M3301" s="12">
        <v>0.1</v>
      </c>
      <c r="N3301" s="12">
        <v>0.1</v>
      </c>
      <c r="O3301" s="8">
        <v>23770</v>
      </c>
      <c r="P3301" s="8">
        <f t="shared" si="312"/>
        <v>21393</v>
      </c>
      <c r="Q3301" s="12">
        <f t="shared" si="313"/>
        <v>44925.3</v>
      </c>
      <c r="R3301" s="31">
        <f t="shared" si="314"/>
        <v>44900</v>
      </c>
    </row>
    <row r="3302" spans="1:18" ht="21.95" customHeight="1" x14ac:dyDescent="0.2">
      <c r="A3302" s="6" t="s">
        <v>943</v>
      </c>
      <c r="B3302" s="6" t="s">
        <v>1596</v>
      </c>
      <c r="C3302" s="6" t="s">
        <v>1111</v>
      </c>
      <c r="D3302" s="6" t="s">
        <v>953</v>
      </c>
      <c r="E3302" s="6"/>
      <c r="G3302" s="6">
        <v>90</v>
      </c>
      <c r="H3302" s="6">
        <v>190</v>
      </c>
      <c r="K3302" s="7">
        <v>44007473</v>
      </c>
      <c r="L3302" s="6" t="str">
        <f t="shared" si="311"/>
        <v>YT KİNG İKONYUM  YATAK 90x190</v>
      </c>
      <c r="M3302" s="12">
        <v>0.1</v>
      </c>
      <c r="N3302" s="12">
        <v>0.1</v>
      </c>
      <c r="O3302" s="8">
        <v>9530</v>
      </c>
      <c r="P3302" s="8">
        <f t="shared" si="312"/>
        <v>8577</v>
      </c>
      <c r="Q3302" s="12">
        <f t="shared" si="313"/>
        <v>18011.7</v>
      </c>
      <c r="R3302" s="31">
        <f t="shared" si="314"/>
        <v>18000</v>
      </c>
    </row>
    <row r="3303" spans="1:18" ht="21.95" customHeight="1" x14ac:dyDescent="0.2">
      <c r="A3303" s="6" t="s">
        <v>943</v>
      </c>
      <c r="B3303" s="6" t="s">
        <v>1596</v>
      </c>
      <c r="C3303" s="6" t="s">
        <v>1111</v>
      </c>
      <c r="D3303" s="6" t="s">
        <v>953</v>
      </c>
      <c r="E3303" s="6"/>
      <c r="G3303" s="6">
        <v>90</v>
      </c>
      <c r="H3303" s="6">
        <v>200</v>
      </c>
      <c r="K3303" s="7">
        <v>44007474</v>
      </c>
      <c r="L3303" s="6" t="str">
        <f t="shared" si="311"/>
        <v>YT KİNG İKONYUM  YATAK 90x200</v>
      </c>
      <c r="M3303" s="12">
        <v>0.1</v>
      </c>
      <c r="N3303" s="12">
        <v>0.1</v>
      </c>
      <c r="O3303" s="8">
        <v>10070</v>
      </c>
      <c r="P3303" s="8">
        <f t="shared" si="312"/>
        <v>9063</v>
      </c>
      <c r="Q3303" s="12">
        <f t="shared" si="313"/>
        <v>19032.3</v>
      </c>
      <c r="R3303" s="31">
        <f t="shared" si="314"/>
        <v>19000</v>
      </c>
    </row>
    <row r="3304" spans="1:18" ht="21.95" customHeight="1" x14ac:dyDescent="0.2">
      <c r="A3304" s="6" t="s">
        <v>943</v>
      </c>
      <c r="B3304" s="6" t="s">
        <v>1596</v>
      </c>
      <c r="C3304" s="6" t="s">
        <v>1111</v>
      </c>
      <c r="D3304" s="6" t="s">
        <v>953</v>
      </c>
      <c r="E3304" s="6"/>
      <c r="G3304" s="6">
        <v>100</v>
      </c>
      <c r="H3304" s="6">
        <v>200</v>
      </c>
      <c r="K3304" s="7">
        <v>44007475</v>
      </c>
      <c r="L3304" s="6" t="str">
        <f t="shared" si="311"/>
        <v>YT KİNG İKONYUM  YATAK 100x200</v>
      </c>
      <c r="M3304" s="12">
        <v>0.1</v>
      </c>
      <c r="N3304" s="12">
        <v>0.1</v>
      </c>
      <c r="O3304" s="8">
        <v>11160</v>
      </c>
      <c r="P3304" s="8">
        <f t="shared" si="312"/>
        <v>10044</v>
      </c>
      <c r="Q3304" s="12">
        <f t="shared" si="313"/>
        <v>21092.400000000001</v>
      </c>
      <c r="R3304" s="31">
        <f t="shared" si="314"/>
        <v>21000</v>
      </c>
    </row>
    <row r="3305" spans="1:18" ht="21.95" customHeight="1" x14ac:dyDescent="0.2">
      <c r="A3305" s="6" t="s">
        <v>943</v>
      </c>
      <c r="B3305" s="6" t="s">
        <v>1596</v>
      </c>
      <c r="C3305" s="6" t="s">
        <v>1111</v>
      </c>
      <c r="D3305" s="6" t="s">
        <v>953</v>
      </c>
      <c r="E3305" s="6"/>
      <c r="G3305" s="6">
        <v>120</v>
      </c>
      <c r="H3305" s="6">
        <v>200</v>
      </c>
      <c r="K3305" s="7">
        <v>44007476</v>
      </c>
      <c r="L3305" s="6" t="str">
        <f t="shared" si="311"/>
        <v>YT KİNG İKONYUM  YATAK 120x200</v>
      </c>
      <c r="M3305" s="12">
        <v>0.1</v>
      </c>
      <c r="N3305" s="12">
        <v>0.1</v>
      </c>
      <c r="O3305" s="8">
        <v>13350</v>
      </c>
      <c r="P3305" s="8">
        <f t="shared" si="312"/>
        <v>12015</v>
      </c>
      <c r="Q3305" s="12">
        <f t="shared" si="313"/>
        <v>25231.5</v>
      </c>
      <c r="R3305" s="31">
        <f t="shared" si="314"/>
        <v>25200</v>
      </c>
    </row>
    <row r="3306" spans="1:18" ht="21.95" customHeight="1" x14ac:dyDescent="0.2">
      <c r="A3306" s="6" t="s">
        <v>943</v>
      </c>
      <c r="B3306" s="6" t="s">
        <v>1596</v>
      </c>
      <c r="C3306" s="6" t="s">
        <v>1111</v>
      </c>
      <c r="D3306" s="6" t="s">
        <v>953</v>
      </c>
      <c r="E3306" s="6"/>
      <c r="G3306" s="6">
        <v>140</v>
      </c>
      <c r="H3306" s="6">
        <v>190</v>
      </c>
      <c r="K3306" s="7">
        <v>44007477</v>
      </c>
      <c r="L3306" s="6" t="str">
        <f t="shared" si="311"/>
        <v>YT KİNG İKONYUM  YATAK 140x190</v>
      </c>
      <c r="M3306" s="12">
        <v>0.1</v>
      </c>
      <c r="N3306" s="12">
        <v>0.1</v>
      </c>
      <c r="O3306" s="8">
        <v>14840</v>
      </c>
      <c r="P3306" s="8">
        <f t="shared" si="312"/>
        <v>13356</v>
      </c>
      <c r="Q3306" s="12">
        <f t="shared" si="313"/>
        <v>28047.600000000002</v>
      </c>
      <c r="R3306" s="31">
        <f t="shared" si="314"/>
        <v>28000</v>
      </c>
    </row>
    <row r="3307" spans="1:18" ht="21.95" customHeight="1" x14ac:dyDescent="0.2">
      <c r="A3307" s="6" t="s">
        <v>943</v>
      </c>
      <c r="B3307" s="6" t="s">
        <v>1596</v>
      </c>
      <c r="C3307" s="6" t="s">
        <v>1111</v>
      </c>
      <c r="D3307" s="6" t="s">
        <v>953</v>
      </c>
      <c r="E3307" s="6"/>
      <c r="G3307" s="6">
        <v>140</v>
      </c>
      <c r="H3307" s="6">
        <v>200</v>
      </c>
      <c r="K3307" s="7">
        <v>44007478</v>
      </c>
      <c r="L3307" s="6" t="str">
        <f t="shared" si="311"/>
        <v>YT KİNG İKONYUM  YATAK 140x200</v>
      </c>
      <c r="M3307" s="12">
        <v>0.1</v>
      </c>
      <c r="N3307" s="12">
        <v>0.1</v>
      </c>
      <c r="O3307" s="8">
        <v>15600</v>
      </c>
      <c r="P3307" s="8">
        <f t="shared" si="312"/>
        <v>14040</v>
      </c>
      <c r="Q3307" s="12">
        <f t="shared" si="313"/>
        <v>29484</v>
      </c>
      <c r="R3307" s="31">
        <f t="shared" si="314"/>
        <v>29400</v>
      </c>
    </row>
    <row r="3308" spans="1:18" ht="21.95" customHeight="1" x14ac:dyDescent="0.2">
      <c r="A3308" s="6" t="s">
        <v>943</v>
      </c>
      <c r="B3308" s="6" t="s">
        <v>1596</v>
      </c>
      <c r="C3308" s="6" t="s">
        <v>1111</v>
      </c>
      <c r="D3308" s="6" t="s">
        <v>953</v>
      </c>
      <c r="E3308" s="6"/>
      <c r="G3308" s="6">
        <v>150</v>
      </c>
      <c r="H3308" s="6">
        <v>200</v>
      </c>
      <c r="K3308" s="7">
        <v>44007479</v>
      </c>
      <c r="L3308" s="6" t="str">
        <f t="shared" si="311"/>
        <v>YT KİNG İKONYUM  YATAK 150x200</v>
      </c>
      <c r="M3308" s="12">
        <v>0.1</v>
      </c>
      <c r="N3308" s="12">
        <v>0.1</v>
      </c>
      <c r="O3308" s="8">
        <v>16740</v>
      </c>
      <c r="P3308" s="8">
        <f t="shared" si="312"/>
        <v>15066</v>
      </c>
      <c r="Q3308" s="12">
        <f t="shared" si="313"/>
        <v>31638.600000000002</v>
      </c>
      <c r="R3308" s="31">
        <f t="shared" si="314"/>
        <v>31600</v>
      </c>
    </row>
    <row r="3309" spans="1:18" ht="21.95" customHeight="1" x14ac:dyDescent="0.2">
      <c r="A3309" s="6" t="s">
        <v>943</v>
      </c>
      <c r="B3309" s="6" t="s">
        <v>1596</v>
      </c>
      <c r="C3309" s="6" t="s">
        <v>1111</v>
      </c>
      <c r="D3309" s="6" t="s">
        <v>953</v>
      </c>
      <c r="E3309" s="6"/>
      <c r="G3309" s="6">
        <v>160</v>
      </c>
      <c r="H3309" s="6">
        <v>200</v>
      </c>
      <c r="K3309" s="7">
        <v>44007480</v>
      </c>
      <c r="L3309" s="6" t="str">
        <f t="shared" si="311"/>
        <v>YT KİNG İKONYUM  YATAK 160x200</v>
      </c>
      <c r="M3309" s="12">
        <v>0.1</v>
      </c>
      <c r="N3309" s="12">
        <v>0.1</v>
      </c>
      <c r="O3309" s="8">
        <v>17890</v>
      </c>
      <c r="P3309" s="8">
        <f t="shared" si="312"/>
        <v>16101</v>
      </c>
      <c r="Q3309" s="12">
        <f t="shared" si="313"/>
        <v>33812.1</v>
      </c>
      <c r="R3309" s="31">
        <f t="shared" si="314"/>
        <v>33800</v>
      </c>
    </row>
    <row r="3310" spans="1:18" ht="21.95" customHeight="1" x14ac:dyDescent="0.2">
      <c r="A3310" s="6" t="s">
        <v>943</v>
      </c>
      <c r="B3310" s="6" t="s">
        <v>1596</v>
      </c>
      <c r="C3310" s="6" t="s">
        <v>1111</v>
      </c>
      <c r="D3310" s="6" t="s">
        <v>953</v>
      </c>
      <c r="E3310" s="6"/>
      <c r="G3310" s="6">
        <v>180</v>
      </c>
      <c r="H3310" s="6">
        <v>200</v>
      </c>
      <c r="K3310" s="7">
        <v>44007481</v>
      </c>
      <c r="L3310" s="6" t="str">
        <f t="shared" si="311"/>
        <v>YT KİNG İKONYUM  YATAK 180x200</v>
      </c>
      <c r="M3310" s="12">
        <v>0.1</v>
      </c>
      <c r="N3310" s="12">
        <v>0.1</v>
      </c>
      <c r="O3310" s="8">
        <v>20060</v>
      </c>
      <c r="P3310" s="8">
        <f t="shared" si="312"/>
        <v>18054</v>
      </c>
      <c r="Q3310" s="12">
        <f t="shared" si="313"/>
        <v>37913.4</v>
      </c>
      <c r="R3310" s="31">
        <f t="shared" si="314"/>
        <v>37900</v>
      </c>
    </row>
    <row r="3311" spans="1:18" ht="21.95" customHeight="1" x14ac:dyDescent="0.2">
      <c r="A3311" s="6" t="s">
        <v>943</v>
      </c>
      <c r="B3311" s="6" t="s">
        <v>1596</v>
      </c>
      <c r="C3311" s="6" t="s">
        <v>1111</v>
      </c>
      <c r="D3311" s="6" t="s">
        <v>953</v>
      </c>
      <c r="E3311" s="6"/>
      <c r="G3311" s="6">
        <v>200</v>
      </c>
      <c r="H3311" s="6">
        <v>200</v>
      </c>
      <c r="K3311" s="7">
        <v>44007482</v>
      </c>
      <c r="L3311" s="6" t="str">
        <f t="shared" si="311"/>
        <v>YT KİNG İKONYUM  YATAK 200x200</v>
      </c>
      <c r="M3311" s="12">
        <v>0.1</v>
      </c>
      <c r="N3311" s="12">
        <v>0.1</v>
      </c>
      <c r="O3311" s="8">
        <v>22320</v>
      </c>
      <c r="P3311" s="8">
        <f t="shared" si="312"/>
        <v>20088</v>
      </c>
      <c r="Q3311" s="12">
        <f t="shared" si="313"/>
        <v>42184.800000000003</v>
      </c>
      <c r="R3311" s="31">
        <f t="shared" si="314"/>
        <v>42100</v>
      </c>
    </row>
    <row r="3312" spans="1:18" ht="21.95" customHeight="1" x14ac:dyDescent="0.2">
      <c r="A3312" s="6" t="s">
        <v>943</v>
      </c>
      <c r="B3312" s="6" t="s">
        <v>1596</v>
      </c>
      <c r="C3312" s="6" t="s">
        <v>1112</v>
      </c>
      <c r="D3312" s="6" t="s">
        <v>943</v>
      </c>
      <c r="E3312" s="6"/>
      <c r="G3312" s="6">
        <v>90</v>
      </c>
      <c r="H3312" s="6">
        <v>190</v>
      </c>
      <c r="K3312" s="7">
        <v>44007483</v>
      </c>
      <c r="L3312" s="6" t="str">
        <f t="shared" si="311"/>
        <v>YT PREMİUM  YATAK  90x190</v>
      </c>
      <c r="M3312" s="12">
        <v>0.1</v>
      </c>
      <c r="N3312" s="12">
        <v>0.1</v>
      </c>
      <c r="O3312" s="8">
        <v>9390</v>
      </c>
      <c r="P3312" s="8">
        <f t="shared" si="312"/>
        <v>8451</v>
      </c>
      <c r="Q3312" s="12">
        <f t="shared" si="313"/>
        <v>17747.100000000002</v>
      </c>
      <c r="R3312" s="31">
        <f t="shared" si="314"/>
        <v>17700</v>
      </c>
    </row>
    <row r="3313" spans="1:18" ht="21.95" customHeight="1" x14ac:dyDescent="0.2">
      <c r="A3313" s="6" t="s">
        <v>943</v>
      </c>
      <c r="B3313" s="6" t="s">
        <v>1596</v>
      </c>
      <c r="C3313" s="6" t="s">
        <v>1112</v>
      </c>
      <c r="D3313" s="6" t="s">
        <v>943</v>
      </c>
      <c r="E3313" s="6"/>
      <c r="G3313" s="6">
        <v>90</v>
      </c>
      <c r="H3313" s="6">
        <v>200</v>
      </c>
      <c r="K3313" s="7">
        <v>44007484</v>
      </c>
      <c r="L3313" s="6" t="str">
        <f t="shared" si="311"/>
        <v>YT PREMİUM  YATAK  90x200</v>
      </c>
      <c r="M3313" s="12">
        <v>0.1</v>
      </c>
      <c r="N3313" s="12">
        <v>0.1</v>
      </c>
      <c r="O3313" s="8">
        <v>9680</v>
      </c>
      <c r="P3313" s="8">
        <f t="shared" si="312"/>
        <v>8712</v>
      </c>
      <c r="Q3313" s="12">
        <f t="shared" si="313"/>
        <v>18295.2</v>
      </c>
      <c r="R3313" s="31">
        <f t="shared" si="314"/>
        <v>18200</v>
      </c>
    </row>
    <row r="3314" spans="1:18" ht="21.95" customHeight="1" x14ac:dyDescent="0.2">
      <c r="A3314" s="6" t="s">
        <v>943</v>
      </c>
      <c r="B3314" s="6" t="s">
        <v>1596</v>
      </c>
      <c r="C3314" s="6" t="s">
        <v>1112</v>
      </c>
      <c r="D3314" s="6" t="s">
        <v>943</v>
      </c>
      <c r="E3314" s="6"/>
      <c r="G3314" s="6">
        <v>100</v>
      </c>
      <c r="H3314" s="6">
        <v>200</v>
      </c>
      <c r="K3314" s="7">
        <v>44007485</v>
      </c>
      <c r="L3314" s="6" t="str">
        <f t="shared" si="311"/>
        <v>YT PREMİUM  YATAK  100x200</v>
      </c>
      <c r="M3314" s="12">
        <v>0.1</v>
      </c>
      <c r="N3314" s="12">
        <v>0.1</v>
      </c>
      <c r="O3314" s="8">
        <v>10050</v>
      </c>
      <c r="P3314" s="8">
        <f t="shared" si="312"/>
        <v>9045</v>
      </c>
      <c r="Q3314" s="12">
        <f t="shared" si="313"/>
        <v>18994.5</v>
      </c>
      <c r="R3314" s="31">
        <f t="shared" si="314"/>
        <v>18900</v>
      </c>
    </row>
    <row r="3315" spans="1:18" ht="21.95" customHeight="1" x14ac:dyDescent="0.2">
      <c r="A3315" s="6" t="s">
        <v>943</v>
      </c>
      <c r="B3315" s="6" t="s">
        <v>1596</v>
      </c>
      <c r="C3315" s="6" t="s">
        <v>1112</v>
      </c>
      <c r="D3315" s="6" t="s">
        <v>943</v>
      </c>
      <c r="E3315" s="6"/>
      <c r="G3315" s="6">
        <v>120</v>
      </c>
      <c r="H3315" s="6">
        <v>200</v>
      </c>
      <c r="K3315" s="7">
        <v>44007486</v>
      </c>
      <c r="L3315" s="6" t="str">
        <f t="shared" si="311"/>
        <v>YT PREMİUM  YATAK  120x200</v>
      </c>
      <c r="M3315" s="12">
        <v>0.1</v>
      </c>
      <c r="N3315" s="12">
        <v>0.1</v>
      </c>
      <c r="O3315" s="8">
        <v>12090</v>
      </c>
      <c r="P3315" s="8">
        <f t="shared" si="312"/>
        <v>10881</v>
      </c>
      <c r="Q3315" s="12">
        <f t="shared" si="313"/>
        <v>22850.100000000002</v>
      </c>
      <c r="R3315" s="31">
        <f t="shared" si="314"/>
        <v>22800</v>
      </c>
    </row>
    <row r="3316" spans="1:18" ht="21.95" customHeight="1" x14ac:dyDescent="0.2">
      <c r="A3316" s="6" t="s">
        <v>943</v>
      </c>
      <c r="B3316" s="6" t="s">
        <v>1596</v>
      </c>
      <c r="C3316" s="6" t="s">
        <v>1112</v>
      </c>
      <c r="D3316" s="6" t="s">
        <v>943</v>
      </c>
      <c r="E3316" s="6"/>
      <c r="G3316" s="6">
        <v>140</v>
      </c>
      <c r="H3316" s="6">
        <v>190</v>
      </c>
      <c r="K3316" s="7">
        <v>44007487</v>
      </c>
      <c r="L3316" s="6" t="str">
        <f t="shared" si="311"/>
        <v>YT PREMİUM  YATAK  140x190</v>
      </c>
      <c r="M3316" s="12">
        <v>0.1</v>
      </c>
      <c r="N3316" s="12">
        <v>0.1</v>
      </c>
      <c r="O3316" s="8">
        <v>13190</v>
      </c>
      <c r="P3316" s="8">
        <f t="shared" si="312"/>
        <v>11871</v>
      </c>
      <c r="Q3316" s="12">
        <f t="shared" si="313"/>
        <v>24929.100000000002</v>
      </c>
      <c r="R3316" s="31">
        <f t="shared" si="314"/>
        <v>24900</v>
      </c>
    </row>
    <row r="3317" spans="1:18" ht="21.95" customHeight="1" x14ac:dyDescent="0.2">
      <c r="A3317" s="6" t="s">
        <v>943</v>
      </c>
      <c r="B3317" s="6" t="s">
        <v>1596</v>
      </c>
      <c r="C3317" s="6" t="s">
        <v>1112</v>
      </c>
      <c r="D3317" s="6" t="s">
        <v>943</v>
      </c>
      <c r="E3317" s="6"/>
      <c r="G3317" s="6">
        <v>140</v>
      </c>
      <c r="H3317" s="6">
        <v>200</v>
      </c>
      <c r="K3317" s="7">
        <v>44007488</v>
      </c>
      <c r="L3317" s="6" t="str">
        <f t="shared" si="311"/>
        <v>YT PREMİUM  YATAK  140x200</v>
      </c>
      <c r="M3317" s="12">
        <v>0.1</v>
      </c>
      <c r="N3317" s="12">
        <v>0.1</v>
      </c>
      <c r="O3317" s="8">
        <v>13980</v>
      </c>
      <c r="P3317" s="8">
        <f t="shared" si="312"/>
        <v>12582</v>
      </c>
      <c r="Q3317" s="12">
        <f t="shared" si="313"/>
        <v>26422.2</v>
      </c>
      <c r="R3317" s="31">
        <f t="shared" si="314"/>
        <v>26400</v>
      </c>
    </row>
    <row r="3318" spans="1:18" ht="21.95" customHeight="1" x14ac:dyDescent="0.2">
      <c r="A3318" s="6" t="s">
        <v>943</v>
      </c>
      <c r="B3318" s="6" t="s">
        <v>1596</v>
      </c>
      <c r="C3318" s="6" t="s">
        <v>1112</v>
      </c>
      <c r="D3318" s="6" t="s">
        <v>943</v>
      </c>
      <c r="E3318" s="6"/>
      <c r="G3318" s="6">
        <v>150</v>
      </c>
      <c r="H3318" s="6">
        <v>200</v>
      </c>
      <c r="K3318" s="7">
        <v>44007489</v>
      </c>
      <c r="L3318" s="6" t="str">
        <f t="shared" si="311"/>
        <v>YT PREMİUM  YATAK  150x200</v>
      </c>
      <c r="M3318" s="12">
        <v>0.1</v>
      </c>
      <c r="N3318" s="12">
        <v>0.1</v>
      </c>
      <c r="O3318" s="8">
        <v>14960</v>
      </c>
      <c r="P3318" s="8">
        <f t="shared" si="312"/>
        <v>13464</v>
      </c>
      <c r="Q3318" s="12">
        <f t="shared" si="313"/>
        <v>28274.400000000001</v>
      </c>
      <c r="R3318" s="31">
        <f t="shared" si="314"/>
        <v>28200</v>
      </c>
    </row>
    <row r="3319" spans="1:18" ht="21.95" customHeight="1" x14ac:dyDescent="0.2">
      <c r="A3319" s="6" t="s">
        <v>943</v>
      </c>
      <c r="B3319" s="6" t="s">
        <v>1596</v>
      </c>
      <c r="C3319" s="6" t="s">
        <v>1112</v>
      </c>
      <c r="D3319" s="6" t="s">
        <v>943</v>
      </c>
      <c r="E3319" s="6"/>
      <c r="G3319" s="6">
        <v>160</v>
      </c>
      <c r="H3319" s="6">
        <v>200</v>
      </c>
      <c r="K3319" s="7">
        <v>44007490</v>
      </c>
      <c r="L3319" s="6" t="str">
        <f t="shared" si="311"/>
        <v>YT PREMİUM  YATAK  160x200</v>
      </c>
      <c r="M3319" s="12">
        <v>0.1</v>
      </c>
      <c r="N3319" s="12">
        <v>0.1</v>
      </c>
      <c r="O3319" s="8">
        <v>15890</v>
      </c>
      <c r="P3319" s="8">
        <f t="shared" si="312"/>
        <v>14301</v>
      </c>
      <c r="Q3319" s="12">
        <f t="shared" si="313"/>
        <v>30032.100000000002</v>
      </c>
      <c r="R3319" s="31">
        <f t="shared" si="314"/>
        <v>30000</v>
      </c>
    </row>
    <row r="3320" spans="1:18" ht="21.95" customHeight="1" x14ac:dyDescent="0.2">
      <c r="A3320" s="6" t="s">
        <v>943</v>
      </c>
      <c r="B3320" s="6" t="s">
        <v>1596</v>
      </c>
      <c r="C3320" s="6" t="s">
        <v>1112</v>
      </c>
      <c r="D3320" s="6" t="s">
        <v>943</v>
      </c>
      <c r="E3320" s="6"/>
      <c r="G3320" s="6">
        <v>180</v>
      </c>
      <c r="H3320" s="6">
        <v>200</v>
      </c>
      <c r="K3320" s="7">
        <v>44007491</v>
      </c>
      <c r="L3320" s="6" t="str">
        <f t="shared" si="311"/>
        <v>YT PREMİUM  YATAK  180x200</v>
      </c>
      <c r="M3320" s="12">
        <v>0.1</v>
      </c>
      <c r="N3320" s="12">
        <v>0.1</v>
      </c>
      <c r="O3320" s="8">
        <v>17080</v>
      </c>
      <c r="P3320" s="8">
        <f t="shared" si="312"/>
        <v>15372</v>
      </c>
      <c r="Q3320" s="12">
        <f t="shared" si="313"/>
        <v>32281.200000000001</v>
      </c>
      <c r="R3320" s="31">
        <f t="shared" si="314"/>
        <v>32200</v>
      </c>
    </row>
    <row r="3321" spans="1:18" ht="21.95" customHeight="1" x14ac:dyDescent="0.2">
      <c r="A3321" s="6" t="s">
        <v>943</v>
      </c>
      <c r="B3321" s="6" t="s">
        <v>1596</v>
      </c>
      <c r="C3321" s="6" t="s">
        <v>1112</v>
      </c>
      <c r="D3321" s="6" t="s">
        <v>943</v>
      </c>
      <c r="E3321" s="6"/>
      <c r="G3321" s="6">
        <v>200</v>
      </c>
      <c r="H3321" s="6">
        <v>200</v>
      </c>
      <c r="K3321" s="7">
        <v>44007492</v>
      </c>
      <c r="L3321" s="6" t="str">
        <f t="shared" si="311"/>
        <v>YT PREMİUM  YATAK  200x200</v>
      </c>
      <c r="M3321" s="12">
        <v>0.1</v>
      </c>
      <c r="N3321" s="12">
        <v>0.1</v>
      </c>
      <c r="O3321" s="8">
        <v>19220</v>
      </c>
      <c r="P3321" s="8">
        <f t="shared" si="312"/>
        <v>17298</v>
      </c>
      <c r="Q3321" s="12">
        <f t="shared" si="313"/>
        <v>36325.800000000003</v>
      </c>
      <c r="R3321" s="31">
        <f t="shared" si="314"/>
        <v>36300</v>
      </c>
    </row>
    <row r="3322" spans="1:18" ht="21.95" customHeight="1" x14ac:dyDescent="0.2">
      <c r="A3322" s="6" t="s">
        <v>943</v>
      </c>
      <c r="B3322" s="6" t="s">
        <v>1596</v>
      </c>
      <c r="C3322" s="6" t="s">
        <v>1031</v>
      </c>
      <c r="D3322" s="6" t="s">
        <v>943</v>
      </c>
      <c r="E3322" s="6"/>
      <c r="G3322" s="6">
        <v>90</v>
      </c>
      <c r="H3322" s="6">
        <v>190</v>
      </c>
      <c r="K3322" s="7">
        <v>44007493</v>
      </c>
      <c r="L3322" s="6" t="str">
        <f t="shared" si="311"/>
        <v>YT KLİMAX VİSİON YATAK  90x190</v>
      </c>
      <c r="M3322" s="12">
        <v>0.1</v>
      </c>
      <c r="N3322" s="12">
        <v>0.1</v>
      </c>
      <c r="O3322" s="8">
        <v>8590</v>
      </c>
      <c r="P3322" s="8">
        <f t="shared" si="312"/>
        <v>7731</v>
      </c>
      <c r="Q3322" s="12">
        <f t="shared" si="313"/>
        <v>16235.1</v>
      </c>
      <c r="R3322" s="31">
        <f t="shared" si="314"/>
        <v>16200</v>
      </c>
    </row>
    <row r="3323" spans="1:18" ht="21.95" customHeight="1" x14ac:dyDescent="0.2">
      <c r="A3323" s="6" t="s">
        <v>943</v>
      </c>
      <c r="B3323" s="6" t="s">
        <v>1596</v>
      </c>
      <c r="C3323" s="6" t="s">
        <v>1031</v>
      </c>
      <c r="D3323" s="6" t="s">
        <v>943</v>
      </c>
      <c r="E3323" s="6"/>
      <c r="G3323" s="6">
        <v>90</v>
      </c>
      <c r="H3323" s="6">
        <v>200</v>
      </c>
      <c r="K3323" s="7">
        <v>44007494</v>
      </c>
      <c r="L3323" s="6" t="str">
        <f t="shared" si="311"/>
        <v>YT KLİMAX VİSİON YATAK  90x200</v>
      </c>
      <c r="M3323" s="12">
        <v>0.1</v>
      </c>
      <c r="N3323" s="12">
        <v>0.1</v>
      </c>
      <c r="O3323" s="8">
        <v>8950</v>
      </c>
      <c r="P3323" s="8">
        <f t="shared" si="312"/>
        <v>8055</v>
      </c>
      <c r="Q3323" s="12">
        <f t="shared" si="313"/>
        <v>16915.5</v>
      </c>
      <c r="R3323" s="31">
        <f t="shared" si="314"/>
        <v>16900</v>
      </c>
    </row>
    <row r="3324" spans="1:18" ht="21.95" customHeight="1" x14ac:dyDescent="0.2">
      <c r="A3324" s="6" t="s">
        <v>943</v>
      </c>
      <c r="B3324" s="6" t="s">
        <v>1596</v>
      </c>
      <c r="C3324" s="6" t="s">
        <v>1031</v>
      </c>
      <c r="D3324" s="6" t="s">
        <v>943</v>
      </c>
      <c r="E3324" s="6"/>
      <c r="G3324" s="6">
        <v>100</v>
      </c>
      <c r="H3324" s="6">
        <v>200</v>
      </c>
      <c r="K3324" s="7">
        <v>44007495</v>
      </c>
      <c r="L3324" s="6" t="str">
        <f t="shared" si="311"/>
        <v>YT KLİMAX VİSİON YATAK  100x200</v>
      </c>
      <c r="M3324" s="12">
        <v>0.1</v>
      </c>
      <c r="N3324" s="12">
        <v>0.1</v>
      </c>
      <c r="O3324" s="8">
        <v>9310</v>
      </c>
      <c r="P3324" s="8">
        <f t="shared" si="312"/>
        <v>8379</v>
      </c>
      <c r="Q3324" s="12">
        <f t="shared" si="313"/>
        <v>17595.900000000001</v>
      </c>
      <c r="R3324" s="31">
        <f t="shared" si="314"/>
        <v>17500</v>
      </c>
    </row>
    <row r="3325" spans="1:18" ht="21.95" customHeight="1" x14ac:dyDescent="0.2">
      <c r="A3325" s="6" t="s">
        <v>943</v>
      </c>
      <c r="B3325" s="6" t="s">
        <v>1596</v>
      </c>
      <c r="C3325" s="6" t="s">
        <v>1031</v>
      </c>
      <c r="D3325" s="6" t="s">
        <v>943</v>
      </c>
      <c r="E3325" s="6"/>
      <c r="G3325" s="6">
        <v>120</v>
      </c>
      <c r="H3325" s="6">
        <v>200</v>
      </c>
      <c r="K3325" s="7">
        <v>44007496</v>
      </c>
      <c r="L3325" s="6" t="str">
        <f t="shared" si="311"/>
        <v>YT KLİMAX VİSİON YATAK  120x200</v>
      </c>
      <c r="M3325" s="12">
        <v>0.1</v>
      </c>
      <c r="N3325" s="12">
        <v>0.1</v>
      </c>
      <c r="O3325" s="8">
        <v>10850</v>
      </c>
      <c r="P3325" s="8">
        <f t="shared" si="312"/>
        <v>9765</v>
      </c>
      <c r="Q3325" s="12">
        <f t="shared" si="313"/>
        <v>20506.5</v>
      </c>
      <c r="R3325" s="31">
        <f t="shared" si="314"/>
        <v>20500</v>
      </c>
    </row>
    <row r="3326" spans="1:18" ht="21.95" customHeight="1" x14ac:dyDescent="0.2">
      <c r="A3326" s="6" t="s">
        <v>943</v>
      </c>
      <c r="B3326" s="6" t="s">
        <v>1596</v>
      </c>
      <c r="C3326" s="6" t="s">
        <v>1031</v>
      </c>
      <c r="D3326" s="6" t="s">
        <v>943</v>
      </c>
      <c r="E3326" s="6"/>
      <c r="G3326" s="6">
        <v>140</v>
      </c>
      <c r="H3326" s="6">
        <v>190</v>
      </c>
      <c r="K3326" s="7">
        <v>44007497</v>
      </c>
      <c r="L3326" s="6" t="str">
        <f t="shared" si="311"/>
        <v>YT KLİMAX VİSİON YATAK  140x190</v>
      </c>
      <c r="M3326" s="12">
        <v>0.1</v>
      </c>
      <c r="N3326" s="12">
        <v>0.1</v>
      </c>
      <c r="O3326" s="8">
        <v>11890</v>
      </c>
      <c r="P3326" s="8">
        <f t="shared" si="312"/>
        <v>10701</v>
      </c>
      <c r="Q3326" s="12">
        <f t="shared" si="313"/>
        <v>22472.100000000002</v>
      </c>
      <c r="R3326" s="31">
        <f t="shared" si="314"/>
        <v>22400</v>
      </c>
    </row>
    <row r="3327" spans="1:18" ht="21.95" customHeight="1" x14ac:dyDescent="0.2">
      <c r="A3327" s="6" t="s">
        <v>943</v>
      </c>
      <c r="B3327" s="6" t="s">
        <v>1596</v>
      </c>
      <c r="C3327" s="6" t="s">
        <v>1031</v>
      </c>
      <c r="D3327" s="6" t="s">
        <v>943</v>
      </c>
      <c r="E3327" s="6"/>
      <c r="G3327" s="6">
        <v>140</v>
      </c>
      <c r="H3327" s="6">
        <v>200</v>
      </c>
      <c r="K3327" s="7">
        <v>44007498</v>
      </c>
      <c r="L3327" s="6" t="str">
        <f t="shared" si="311"/>
        <v>YT KLİMAX VİSİON YATAK  140x200</v>
      </c>
      <c r="M3327" s="12">
        <v>0.1</v>
      </c>
      <c r="N3327" s="12">
        <v>0.1</v>
      </c>
      <c r="O3327" s="8">
        <v>12340</v>
      </c>
      <c r="P3327" s="8">
        <f t="shared" si="312"/>
        <v>11106</v>
      </c>
      <c r="Q3327" s="12">
        <f t="shared" si="313"/>
        <v>23322.600000000002</v>
      </c>
      <c r="R3327" s="31">
        <f t="shared" si="314"/>
        <v>23300</v>
      </c>
    </row>
    <row r="3328" spans="1:18" ht="21.95" customHeight="1" x14ac:dyDescent="0.2">
      <c r="A3328" s="6" t="s">
        <v>943</v>
      </c>
      <c r="B3328" s="6" t="s">
        <v>1596</v>
      </c>
      <c r="C3328" s="6" t="s">
        <v>977</v>
      </c>
      <c r="D3328" s="6" t="s">
        <v>943</v>
      </c>
      <c r="E3328" s="6"/>
      <c r="G3328" s="6">
        <v>90</v>
      </c>
      <c r="H3328" s="6">
        <v>190</v>
      </c>
      <c r="K3328" s="7">
        <v>44007499</v>
      </c>
      <c r="L3328" s="6" t="str">
        <f t="shared" si="311"/>
        <v>YT POLO  YATAK  90x190</v>
      </c>
      <c r="M3328" s="12">
        <v>0.1</v>
      </c>
      <c r="N3328" s="12">
        <v>0.1</v>
      </c>
      <c r="O3328" s="8">
        <v>8730</v>
      </c>
      <c r="P3328" s="8">
        <f t="shared" si="312"/>
        <v>7857</v>
      </c>
      <c r="Q3328" s="12">
        <f t="shared" si="313"/>
        <v>16499.7</v>
      </c>
      <c r="R3328" s="31">
        <f t="shared" si="314"/>
        <v>16400</v>
      </c>
    </row>
    <row r="3329" spans="1:18" ht="21.95" customHeight="1" x14ac:dyDescent="0.2">
      <c r="A3329" s="6" t="s">
        <v>943</v>
      </c>
      <c r="B3329" s="6" t="s">
        <v>1596</v>
      </c>
      <c r="C3329" s="6" t="s">
        <v>977</v>
      </c>
      <c r="D3329" s="6" t="s">
        <v>943</v>
      </c>
      <c r="E3329" s="6"/>
      <c r="G3329" s="6">
        <v>90</v>
      </c>
      <c r="H3329" s="6">
        <v>200</v>
      </c>
      <c r="K3329" s="7">
        <v>44007500</v>
      </c>
      <c r="L3329" s="6" t="str">
        <f t="shared" si="311"/>
        <v>YT POLO  YATAK  90x200</v>
      </c>
      <c r="M3329" s="12">
        <v>0.1</v>
      </c>
      <c r="N3329" s="12">
        <v>0.1</v>
      </c>
      <c r="O3329" s="8">
        <v>9090</v>
      </c>
      <c r="P3329" s="8">
        <f t="shared" si="312"/>
        <v>8181</v>
      </c>
      <c r="Q3329" s="12">
        <f t="shared" si="313"/>
        <v>17180.100000000002</v>
      </c>
      <c r="R3329" s="31">
        <f t="shared" si="314"/>
        <v>17100</v>
      </c>
    </row>
    <row r="3330" spans="1:18" ht="21.95" customHeight="1" x14ac:dyDescent="0.2">
      <c r="A3330" s="6" t="s">
        <v>943</v>
      </c>
      <c r="B3330" s="6" t="s">
        <v>1596</v>
      </c>
      <c r="C3330" s="6" t="s">
        <v>977</v>
      </c>
      <c r="D3330" s="6" t="s">
        <v>943</v>
      </c>
      <c r="E3330" s="6"/>
      <c r="G3330" s="6">
        <v>100</v>
      </c>
      <c r="H3330" s="6">
        <v>200</v>
      </c>
      <c r="K3330" s="7">
        <v>44007501</v>
      </c>
      <c r="L3330" s="6" t="str">
        <f t="shared" si="311"/>
        <v>YT POLO  YATAK  100x200</v>
      </c>
      <c r="M3330" s="12">
        <v>0.1</v>
      </c>
      <c r="N3330" s="12">
        <v>0.1</v>
      </c>
      <c r="O3330" s="8">
        <v>9460</v>
      </c>
      <c r="P3330" s="8">
        <f t="shared" si="312"/>
        <v>8514</v>
      </c>
      <c r="Q3330" s="12">
        <f t="shared" si="313"/>
        <v>17879.400000000001</v>
      </c>
      <c r="R3330" s="31">
        <f t="shared" si="314"/>
        <v>17800</v>
      </c>
    </row>
    <row r="3331" spans="1:18" ht="21.95" customHeight="1" x14ac:dyDescent="0.2">
      <c r="A3331" s="6" t="s">
        <v>943</v>
      </c>
      <c r="B3331" s="6" t="s">
        <v>1596</v>
      </c>
      <c r="C3331" s="6" t="s">
        <v>977</v>
      </c>
      <c r="D3331" s="6" t="s">
        <v>943</v>
      </c>
      <c r="E3331" s="6"/>
      <c r="G3331" s="6">
        <v>120</v>
      </c>
      <c r="H3331" s="6">
        <v>200</v>
      </c>
      <c r="K3331" s="7">
        <v>44007502</v>
      </c>
      <c r="L3331" s="6" t="str">
        <f t="shared" si="311"/>
        <v>YT POLO  YATAK  120x200</v>
      </c>
      <c r="M3331" s="12">
        <v>0.1</v>
      </c>
      <c r="N3331" s="12">
        <v>0.1</v>
      </c>
      <c r="O3331" s="8">
        <v>11020</v>
      </c>
      <c r="P3331" s="8">
        <f t="shared" si="312"/>
        <v>9918</v>
      </c>
      <c r="Q3331" s="12">
        <f t="shared" si="313"/>
        <v>20827.8</v>
      </c>
      <c r="R3331" s="31">
        <f t="shared" si="314"/>
        <v>20800</v>
      </c>
    </row>
    <row r="3332" spans="1:18" ht="21.95" customHeight="1" x14ac:dyDescent="0.2">
      <c r="A3332" s="6" t="s">
        <v>943</v>
      </c>
      <c r="B3332" s="6" t="s">
        <v>1596</v>
      </c>
      <c r="C3332" s="6" t="s">
        <v>977</v>
      </c>
      <c r="D3332" s="6" t="s">
        <v>943</v>
      </c>
      <c r="E3332" s="6"/>
      <c r="G3332" s="5">
        <v>140</v>
      </c>
      <c r="H3332" s="6">
        <v>190</v>
      </c>
      <c r="K3332" s="7">
        <v>44007503</v>
      </c>
      <c r="L3332" s="6" t="str">
        <f t="shared" ref="L3332:L3395" si="315">B3332&amp;" "&amp;C3332&amp;" "&amp;D3332&amp;" "&amp;G3332&amp;"x"&amp;H3332</f>
        <v>YT POLO  YATAK  140x190</v>
      </c>
      <c r="M3332" s="12">
        <v>0.1</v>
      </c>
      <c r="N3332" s="12">
        <v>0.1</v>
      </c>
      <c r="O3332" s="8">
        <v>12070</v>
      </c>
      <c r="P3332" s="8">
        <f t="shared" si="312"/>
        <v>10863</v>
      </c>
      <c r="Q3332" s="12">
        <f t="shared" si="313"/>
        <v>22812.3</v>
      </c>
      <c r="R3332" s="31">
        <f t="shared" si="314"/>
        <v>22800</v>
      </c>
    </row>
    <row r="3333" spans="1:18" ht="21.95" customHeight="1" x14ac:dyDescent="0.2">
      <c r="A3333" s="6" t="s">
        <v>943</v>
      </c>
      <c r="B3333" s="6" t="s">
        <v>1596</v>
      </c>
      <c r="C3333" s="6" t="s">
        <v>977</v>
      </c>
      <c r="D3333" s="6" t="s">
        <v>943</v>
      </c>
      <c r="E3333" s="6"/>
      <c r="G3333" s="6">
        <v>140</v>
      </c>
      <c r="H3333" s="6">
        <v>200</v>
      </c>
      <c r="K3333" s="7">
        <v>44007504</v>
      </c>
      <c r="L3333" s="6" t="str">
        <f t="shared" si="315"/>
        <v>YT POLO  YATAK  140x200</v>
      </c>
      <c r="M3333" s="12">
        <v>0.1</v>
      </c>
      <c r="N3333" s="12">
        <v>0.1</v>
      </c>
      <c r="O3333" s="8">
        <v>12440</v>
      </c>
      <c r="P3333" s="8">
        <f t="shared" si="312"/>
        <v>11196</v>
      </c>
      <c r="Q3333" s="12">
        <f t="shared" si="313"/>
        <v>23511.600000000002</v>
      </c>
      <c r="R3333" s="31">
        <f t="shared" si="314"/>
        <v>23500</v>
      </c>
    </row>
    <row r="3334" spans="1:18" ht="21.95" customHeight="1" x14ac:dyDescent="0.2">
      <c r="A3334" s="6" t="s">
        <v>943</v>
      </c>
      <c r="B3334" s="6" t="s">
        <v>1596</v>
      </c>
      <c r="C3334" s="6" t="s">
        <v>1001</v>
      </c>
      <c r="D3334" s="6" t="s">
        <v>943</v>
      </c>
      <c r="E3334" s="6"/>
      <c r="G3334" s="6">
        <v>90</v>
      </c>
      <c r="H3334" s="6">
        <v>190</v>
      </c>
      <c r="K3334" s="7">
        <v>44007505</v>
      </c>
      <c r="L3334" s="6" t="str">
        <f t="shared" si="315"/>
        <v>YT ARMADA  YATAK  90x190</v>
      </c>
      <c r="M3334" s="12">
        <v>0.1</v>
      </c>
      <c r="N3334" s="12">
        <v>0.1</v>
      </c>
      <c r="O3334" s="8">
        <v>7400</v>
      </c>
      <c r="P3334" s="8">
        <f t="shared" si="312"/>
        <v>6660</v>
      </c>
      <c r="Q3334" s="12">
        <f t="shared" si="313"/>
        <v>13986</v>
      </c>
      <c r="R3334" s="31">
        <f t="shared" si="314"/>
        <v>13900</v>
      </c>
    </row>
    <row r="3335" spans="1:18" ht="21.95" customHeight="1" x14ac:dyDescent="0.2">
      <c r="A3335" s="6" t="s">
        <v>943</v>
      </c>
      <c r="B3335" s="6" t="s">
        <v>1596</v>
      </c>
      <c r="C3335" s="6" t="s">
        <v>1001</v>
      </c>
      <c r="D3335" s="6" t="s">
        <v>943</v>
      </c>
      <c r="E3335" s="6"/>
      <c r="G3335" s="6">
        <v>90</v>
      </c>
      <c r="H3335" s="6">
        <v>200</v>
      </c>
      <c r="K3335" s="7">
        <v>44007506</v>
      </c>
      <c r="L3335" s="6" t="str">
        <f t="shared" si="315"/>
        <v>YT ARMADA  YATAK  90x200</v>
      </c>
      <c r="M3335" s="12">
        <v>0.1</v>
      </c>
      <c r="N3335" s="12">
        <v>0.1</v>
      </c>
      <c r="O3335" s="8">
        <v>7820</v>
      </c>
      <c r="P3335" s="8">
        <f t="shared" si="312"/>
        <v>7038</v>
      </c>
      <c r="Q3335" s="12">
        <f t="shared" si="313"/>
        <v>14779.800000000001</v>
      </c>
      <c r="R3335" s="31">
        <f t="shared" si="314"/>
        <v>14700</v>
      </c>
    </row>
    <row r="3336" spans="1:18" ht="21.95" customHeight="1" x14ac:dyDescent="0.2">
      <c r="A3336" s="6" t="s">
        <v>943</v>
      </c>
      <c r="B3336" s="6" t="s">
        <v>1596</v>
      </c>
      <c r="C3336" s="6" t="s">
        <v>1001</v>
      </c>
      <c r="D3336" s="6" t="s">
        <v>943</v>
      </c>
      <c r="E3336" s="6"/>
      <c r="G3336" s="6">
        <v>100</v>
      </c>
      <c r="H3336" s="6">
        <v>200</v>
      </c>
      <c r="K3336" s="7">
        <v>44007507</v>
      </c>
      <c r="L3336" s="6" t="str">
        <f t="shared" si="315"/>
        <v>YT ARMADA  YATAK  100x200</v>
      </c>
      <c r="M3336" s="12">
        <v>0.1</v>
      </c>
      <c r="N3336" s="12">
        <v>0.1</v>
      </c>
      <c r="O3336" s="8">
        <v>8660</v>
      </c>
      <c r="P3336" s="8">
        <f t="shared" si="312"/>
        <v>7794</v>
      </c>
      <c r="Q3336" s="12">
        <f t="shared" si="313"/>
        <v>16367.400000000001</v>
      </c>
      <c r="R3336" s="31">
        <f t="shared" si="314"/>
        <v>16300</v>
      </c>
    </row>
    <row r="3337" spans="1:18" ht="21.95" customHeight="1" x14ac:dyDescent="0.2">
      <c r="A3337" s="6" t="s">
        <v>943</v>
      </c>
      <c r="B3337" s="6" t="s">
        <v>1596</v>
      </c>
      <c r="C3337" s="6" t="s">
        <v>1001</v>
      </c>
      <c r="D3337" s="6" t="s">
        <v>943</v>
      </c>
      <c r="E3337" s="6"/>
      <c r="G3337" s="6">
        <v>120</v>
      </c>
      <c r="H3337" s="6">
        <v>200</v>
      </c>
      <c r="K3337" s="7">
        <v>44007508</v>
      </c>
      <c r="L3337" s="6" t="str">
        <f t="shared" si="315"/>
        <v>YT ARMADA  YATAK  120x200</v>
      </c>
      <c r="M3337" s="12">
        <v>0.1</v>
      </c>
      <c r="N3337" s="12">
        <v>0.1</v>
      </c>
      <c r="O3337" s="8">
        <v>10370</v>
      </c>
      <c r="P3337" s="8">
        <f t="shared" si="312"/>
        <v>9333</v>
      </c>
      <c r="Q3337" s="12">
        <f t="shared" si="313"/>
        <v>19599.3</v>
      </c>
      <c r="R3337" s="31">
        <f t="shared" si="314"/>
        <v>19500</v>
      </c>
    </row>
    <row r="3338" spans="1:18" ht="21.95" customHeight="1" x14ac:dyDescent="0.2">
      <c r="A3338" s="6" t="s">
        <v>943</v>
      </c>
      <c r="B3338" s="6" t="s">
        <v>1596</v>
      </c>
      <c r="C3338" s="6" t="s">
        <v>1001</v>
      </c>
      <c r="D3338" s="6" t="s">
        <v>943</v>
      </c>
      <c r="E3338" s="6"/>
      <c r="G3338" s="6">
        <v>140</v>
      </c>
      <c r="H3338" s="6">
        <v>190</v>
      </c>
      <c r="K3338" s="7">
        <v>44007509</v>
      </c>
      <c r="L3338" s="6" t="str">
        <f t="shared" si="315"/>
        <v>YT ARMADA  YATAK  140x190</v>
      </c>
      <c r="M3338" s="12">
        <v>0.1</v>
      </c>
      <c r="N3338" s="12">
        <v>0.1</v>
      </c>
      <c r="O3338" s="8">
        <v>11530</v>
      </c>
      <c r="P3338" s="8">
        <f t="shared" si="312"/>
        <v>10377</v>
      </c>
      <c r="Q3338" s="12">
        <f t="shared" si="313"/>
        <v>21791.7</v>
      </c>
      <c r="R3338" s="31">
        <f t="shared" si="314"/>
        <v>21700</v>
      </c>
    </row>
    <row r="3339" spans="1:18" ht="21.95" customHeight="1" x14ac:dyDescent="0.2">
      <c r="A3339" s="6" t="s">
        <v>943</v>
      </c>
      <c r="B3339" s="6" t="s">
        <v>1596</v>
      </c>
      <c r="C3339" s="6" t="s">
        <v>1001</v>
      </c>
      <c r="D3339" s="6" t="s">
        <v>943</v>
      </c>
      <c r="E3339" s="6"/>
      <c r="G3339" s="6">
        <v>140</v>
      </c>
      <c r="H3339" s="6">
        <v>200</v>
      </c>
      <c r="K3339" s="7">
        <v>44007510</v>
      </c>
      <c r="L3339" s="6" t="str">
        <f t="shared" si="315"/>
        <v>YT ARMADA  YATAK  140x200</v>
      </c>
      <c r="M3339" s="12">
        <v>0.1</v>
      </c>
      <c r="N3339" s="12">
        <v>0.1</v>
      </c>
      <c r="O3339" s="8">
        <v>12110</v>
      </c>
      <c r="P3339" s="8">
        <f t="shared" si="312"/>
        <v>10899</v>
      </c>
      <c r="Q3339" s="12">
        <f t="shared" si="313"/>
        <v>22887.9</v>
      </c>
      <c r="R3339" s="31">
        <f t="shared" si="314"/>
        <v>22800</v>
      </c>
    </row>
    <row r="3340" spans="1:18" ht="21.95" customHeight="1" x14ac:dyDescent="0.2">
      <c r="A3340" s="6" t="s">
        <v>943</v>
      </c>
      <c r="B3340" s="6" t="s">
        <v>1596</v>
      </c>
      <c r="C3340" s="6" t="s">
        <v>1113</v>
      </c>
      <c r="D3340" s="6" t="s">
        <v>943</v>
      </c>
      <c r="E3340" s="6"/>
      <c r="G3340" s="6">
        <v>90</v>
      </c>
      <c r="H3340" s="6">
        <v>190</v>
      </c>
      <c r="K3340" s="7">
        <v>44007511</v>
      </c>
      <c r="L3340" s="6" t="str">
        <f t="shared" si="315"/>
        <v>YT KİNG LİBERTY YATAK  90x190</v>
      </c>
      <c r="M3340" s="12">
        <v>0.1</v>
      </c>
      <c r="N3340" s="12">
        <v>0.1</v>
      </c>
      <c r="O3340" s="8">
        <v>6940</v>
      </c>
      <c r="P3340" s="8">
        <f t="shared" si="312"/>
        <v>6246</v>
      </c>
      <c r="Q3340" s="12">
        <f t="shared" si="313"/>
        <v>13116.6</v>
      </c>
      <c r="R3340" s="31">
        <f t="shared" si="314"/>
        <v>13100</v>
      </c>
    </row>
    <row r="3341" spans="1:18" ht="21.95" customHeight="1" x14ac:dyDescent="0.2">
      <c r="A3341" s="6" t="s">
        <v>943</v>
      </c>
      <c r="B3341" s="6" t="s">
        <v>1596</v>
      </c>
      <c r="C3341" s="6" t="s">
        <v>1113</v>
      </c>
      <c r="D3341" s="6" t="s">
        <v>943</v>
      </c>
      <c r="E3341" s="6"/>
      <c r="G3341" s="6">
        <v>90</v>
      </c>
      <c r="H3341" s="6">
        <v>200</v>
      </c>
      <c r="K3341" s="7">
        <v>44007512</v>
      </c>
      <c r="L3341" s="6" t="str">
        <f t="shared" si="315"/>
        <v>YT KİNG LİBERTY YATAK  90x200</v>
      </c>
      <c r="M3341" s="12">
        <v>0.1</v>
      </c>
      <c r="N3341" s="12">
        <v>0.1</v>
      </c>
      <c r="O3341" s="8">
        <v>7160</v>
      </c>
      <c r="P3341" s="8">
        <f t="shared" si="312"/>
        <v>6444</v>
      </c>
      <c r="Q3341" s="12">
        <f t="shared" si="313"/>
        <v>13532.400000000001</v>
      </c>
      <c r="R3341" s="31">
        <f t="shared" si="314"/>
        <v>13500</v>
      </c>
    </row>
    <row r="3342" spans="1:18" ht="21.95" customHeight="1" x14ac:dyDescent="0.2">
      <c r="A3342" s="6" t="s">
        <v>943</v>
      </c>
      <c r="B3342" s="6" t="s">
        <v>1596</v>
      </c>
      <c r="C3342" s="6" t="s">
        <v>1113</v>
      </c>
      <c r="D3342" s="6" t="s">
        <v>943</v>
      </c>
      <c r="E3342" s="6"/>
      <c r="G3342" s="6">
        <v>100</v>
      </c>
      <c r="H3342" s="6">
        <v>200</v>
      </c>
      <c r="K3342" s="7">
        <v>44007513</v>
      </c>
      <c r="L3342" s="6" t="str">
        <f t="shared" si="315"/>
        <v>YT KİNG LİBERTY YATAK  100x200</v>
      </c>
      <c r="M3342" s="12">
        <v>0.1</v>
      </c>
      <c r="N3342" s="12">
        <v>0.1</v>
      </c>
      <c r="O3342" s="8">
        <v>7440</v>
      </c>
      <c r="P3342" s="8">
        <f t="shared" ref="P3342:P3405" si="316">O3342*(1-N3342)</f>
        <v>6696</v>
      </c>
      <c r="Q3342" s="12">
        <f t="shared" ref="Q3342:Q3405" si="317">O3342*(1-N3342)*2.1</f>
        <v>14061.6</v>
      </c>
      <c r="R3342" s="31">
        <f t="shared" ref="R3342:R3405" si="318">ROUNDDOWN(Q3342,-2)</f>
        <v>14000</v>
      </c>
    </row>
    <row r="3343" spans="1:18" ht="21.95" customHeight="1" x14ac:dyDescent="0.2">
      <c r="A3343" s="6" t="s">
        <v>943</v>
      </c>
      <c r="B3343" s="6" t="s">
        <v>1596</v>
      </c>
      <c r="C3343" s="6" t="s">
        <v>1113</v>
      </c>
      <c r="D3343" s="6" t="s">
        <v>943</v>
      </c>
      <c r="E3343" s="6"/>
      <c r="G3343" s="6">
        <v>120</v>
      </c>
      <c r="H3343" s="6">
        <v>200</v>
      </c>
      <c r="K3343" s="7">
        <v>44007514</v>
      </c>
      <c r="L3343" s="6" t="str">
        <f t="shared" si="315"/>
        <v>YT KİNG LİBERTY YATAK  120x200</v>
      </c>
      <c r="M3343" s="12">
        <v>0.1</v>
      </c>
      <c r="N3343" s="12">
        <v>0.1</v>
      </c>
      <c r="O3343" s="8">
        <v>8950</v>
      </c>
      <c r="P3343" s="8">
        <f t="shared" si="316"/>
        <v>8055</v>
      </c>
      <c r="Q3343" s="12">
        <f t="shared" si="317"/>
        <v>16915.5</v>
      </c>
      <c r="R3343" s="31">
        <f t="shared" si="318"/>
        <v>16900</v>
      </c>
    </row>
    <row r="3344" spans="1:18" ht="21.95" customHeight="1" x14ac:dyDescent="0.2">
      <c r="A3344" s="6" t="s">
        <v>943</v>
      </c>
      <c r="B3344" s="6" t="s">
        <v>1596</v>
      </c>
      <c r="C3344" s="6" t="s">
        <v>1113</v>
      </c>
      <c r="D3344" s="6" t="s">
        <v>943</v>
      </c>
      <c r="E3344" s="6"/>
      <c r="G3344" s="6">
        <v>140</v>
      </c>
      <c r="H3344" s="6">
        <v>190</v>
      </c>
      <c r="K3344" s="7">
        <v>44007515</v>
      </c>
      <c r="L3344" s="6" t="str">
        <f t="shared" si="315"/>
        <v>YT KİNG LİBERTY YATAK  140x190</v>
      </c>
      <c r="M3344" s="12">
        <v>0.1</v>
      </c>
      <c r="N3344" s="12">
        <v>0.1</v>
      </c>
      <c r="O3344" s="8">
        <v>9900</v>
      </c>
      <c r="P3344" s="8">
        <f t="shared" si="316"/>
        <v>8910</v>
      </c>
      <c r="Q3344" s="12">
        <f t="shared" si="317"/>
        <v>18711</v>
      </c>
      <c r="R3344" s="31">
        <f t="shared" si="318"/>
        <v>18700</v>
      </c>
    </row>
    <row r="3345" spans="1:18" ht="21.95" customHeight="1" x14ac:dyDescent="0.2">
      <c r="A3345" s="6" t="s">
        <v>943</v>
      </c>
      <c r="B3345" s="6" t="s">
        <v>1596</v>
      </c>
      <c r="C3345" s="6" t="s">
        <v>1113</v>
      </c>
      <c r="D3345" s="6" t="s">
        <v>943</v>
      </c>
      <c r="E3345" s="6"/>
      <c r="G3345" s="6">
        <v>140</v>
      </c>
      <c r="H3345" s="6">
        <v>200</v>
      </c>
      <c r="K3345" s="7">
        <v>44007516</v>
      </c>
      <c r="L3345" s="6" t="str">
        <f t="shared" si="315"/>
        <v>YT KİNG LİBERTY YATAK  140x200</v>
      </c>
      <c r="M3345" s="12">
        <v>0.1</v>
      </c>
      <c r="N3345" s="12">
        <v>0.1</v>
      </c>
      <c r="O3345" s="8">
        <v>10420</v>
      </c>
      <c r="P3345" s="8">
        <f t="shared" si="316"/>
        <v>9378</v>
      </c>
      <c r="Q3345" s="12">
        <f t="shared" si="317"/>
        <v>19693.8</v>
      </c>
      <c r="R3345" s="31">
        <f t="shared" si="318"/>
        <v>19600</v>
      </c>
    </row>
    <row r="3346" spans="1:18" ht="21.95" customHeight="1" x14ac:dyDescent="0.2">
      <c r="A3346" s="6" t="s">
        <v>943</v>
      </c>
      <c r="B3346" s="6" t="s">
        <v>1596</v>
      </c>
      <c r="C3346" s="6" t="s">
        <v>1113</v>
      </c>
      <c r="D3346" s="6" t="s">
        <v>943</v>
      </c>
      <c r="E3346" s="6"/>
      <c r="G3346" s="6">
        <v>150</v>
      </c>
      <c r="H3346" s="6">
        <v>200</v>
      </c>
      <c r="K3346" s="7">
        <v>44007517</v>
      </c>
      <c r="L3346" s="6" t="str">
        <f t="shared" si="315"/>
        <v>YT KİNG LİBERTY YATAK  150x200</v>
      </c>
      <c r="M3346" s="12">
        <v>0.1</v>
      </c>
      <c r="N3346" s="12">
        <v>0.1</v>
      </c>
      <c r="O3346" s="8">
        <v>11060</v>
      </c>
      <c r="P3346" s="8">
        <f t="shared" si="316"/>
        <v>9954</v>
      </c>
      <c r="Q3346" s="12">
        <f t="shared" si="317"/>
        <v>20903.400000000001</v>
      </c>
      <c r="R3346" s="31">
        <f t="shared" si="318"/>
        <v>20900</v>
      </c>
    </row>
    <row r="3347" spans="1:18" ht="21.95" customHeight="1" x14ac:dyDescent="0.2">
      <c r="A3347" s="6" t="s">
        <v>943</v>
      </c>
      <c r="B3347" s="6" t="s">
        <v>1596</v>
      </c>
      <c r="C3347" s="6" t="s">
        <v>1113</v>
      </c>
      <c r="D3347" s="6" t="s">
        <v>943</v>
      </c>
      <c r="E3347" s="6"/>
      <c r="G3347" s="6">
        <v>160</v>
      </c>
      <c r="H3347" s="6">
        <v>200</v>
      </c>
      <c r="K3347" s="7">
        <v>44007518</v>
      </c>
      <c r="L3347" s="6" t="str">
        <f t="shared" si="315"/>
        <v>YT KİNG LİBERTY YATAK  160x200</v>
      </c>
      <c r="M3347" s="12">
        <v>0.1</v>
      </c>
      <c r="N3347" s="12">
        <v>0.1</v>
      </c>
      <c r="O3347" s="8">
        <v>11730</v>
      </c>
      <c r="P3347" s="8">
        <f t="shared" si="316"/>
        <v>10557</v>
      </c>
      <c r="Q3347" s="12">
        <f t="shared" si="317"/>
        <v>22169.7</v>
      </c>
      <c r="R3347" s="31">
        <f t="shared" si="318"/>
        <v>22100</v>
      </c>
    </row>
    <row r="3348" spans="1:18" ht="21.95" customHeight="1" x14ac:dyDescent="0.2">
      <c r="A3348" s="6" t="s">
        <v>943</v>
      </c>
      <c r="B3348" s="6" t="s">
        <v>1596</v>
      </c>
      <c r="C3348" s="6" t="s">
        <v>1113</v>
      </c>
      <c r="D3348" s="6" t="s">
        <v>943</v>
      </c>
      <c r="E3348" s="6"/>
      <c r="G3348" s="6">
        <v>180</v>
      </c>
      <c r="H3348" s="6">
        <v>200</v>
      </c>
      <c r="K3348" s="7">
        <v>44007519</v>
      </c>
      <c r="L3348" s="6" t="str">
        <f t="shared" si="315"/>
        <v>YT KİNG LİBERTY YATAK  180x200</v>
      </c>
      <c r="M3348" s="12">
        <v>0.1</v>
      </c>
      <c r="N3348" s="12">
        <v>0.1</v>
      </c>
      <c r="O3348" s="8">
        <v>12590</v>
      </c>
      <c r="P3348" s="8">
        <f t="shared" si="316"/>
        <v>11331</v>
      </c>
      <c r="Q3348" s="12">
        <f t="shared" si="317"/>
        <v>23795.100000000002</v>
      </c>
      <c r="R3348" s="31">
        <f t="shared" si="318"/>
        <v>23700</v>
      </c>
    </row>
    <row r="3349" spans="1:18" ht="21.95" customHeight="1" x14ac:dyDescent="0.2">
      <c r="A3349" s="6" t="s">
        <v>943</v>
      </c>
      <c r="B3349" s="6" t="s">
        <v>1596</v>
      </c>
      <c r="C3349" s="6" t="s">
        <v>1113</v>
      </c>
      <c r="D3349" s="6" t="s">
        <v>943</v>
      </c>
      <c r="E3349" s="6"/>
      <c r="G3349" s="6">
        <v>200</v>
      </c>
      <c r="H3349" s="6">
        <v>200</v>
      </c>
      <c r="K3349" s="7">
        <v>44007520</v>
      </c>
      <c r="L3349" s="6" t="str">
        <f t="shared" si="315"/>
        <v>YT KİNG LİBERTY YATAK  200x200</v>
      </c>
      <c r="M3349" s="12">
        <v>0.1</v>
      </c>
      <c r="N3349" s="12">
        <v>0.1</v>
      </c>
      <c r="O3349" s="8">
        <v>14200</v>
      </c>
      <c r="P3349" s="8">
        <f t="shared" si="316"/>
        <v>12780</v>
      </c>
      <c r="Q3349" s="12">
        <f t="shared" si="317"/>
        <v>26838</v>
      </c>
      <c r="R3349" s="31">
        <f t="shared" si="318"/>
        <v>26800</v>
      </c>
    </row>
    <row r="3350" spans="1:18" ht="21.95" customHeight="1" x14ac:dyDescent="0.2">
      <c r="A3350" s="6" t="s">
        <v>943</v>
      </c>
      <c r="B3350" s="6" t="s">
        <v>1596</v>
      </c>
      <c r="C3350" s="6" t="s">
        <v>952</v>
      </c>
      <c r="D3350" s="6" t="s">
        <v>943</v>
      </c>
      <c r="E3350" s="6"/>
      <c r="G3350" s="6">
        <v>140</v>
      </c>
      <c r="H3350" s="6">
        <v>190</v>
      </c>
      <c r="K3350" s="7">
        <v>44007521</v>
      </c>
      <c r="L3350" s="6" t="str">
        <f t="shared" si="315"/>
        <v>YT KİNG MATRESS + YATAK  140x190</v>
      </c>
      <c r="M3350" s="12">
        <v>0.1</v>
      </c>
      <c r="N3350" s="12">
        <v>0.1</v>
      </c>
      <c r="O3350" s="8">
        <v>8970</v>
      </c>
      <c r="P3350" s="8">
        <f t="shared" si="316"/>
        <v>8073</v>
      </c>
      <c r="Q3350" s="12">
        <f t="shared" si="317"/>
        <v>16953.3</v>
      </c>
      <c r="R3350" s="31">
        <f t="shared" si="318"/>
        <v>16900</v>
      </c>
    </row>
    <row r="3351" spans="1:18" ht="21.95" customHeight="1" x14ac:dyDescent="0.2">
      <c r="A3351" s="6" t="s">
        <v>943</v>
      </c>
      <c r="B3351" s="6" t="s">
        <v>1596</v>
      </c>
      <c r="C3351" s="6" t="s">
        <v>952</v>
      </c>
      <c r="D3351" s="6" t="s">
        <v>943</v>
      </c>
      <c r="E3351" s="6"/>
      <c r="G3351" s="6">
        <v>140</v>
      </c>
      <c r="H3351" s="6">
        <v>200</v>
      </c>
      <c r="K3351" s="7">
        <v>44007522</v>
      </c>
      <c r="L3351" s="6" t="str">
        <f t="shared" si="315"/>
        <v>YT KİNG MATRESS + YATAK  140x200</v>
      </c>
      <c r="M3351" s="12">
        <v>0.1</v>
      </c>
      <c r="N3351" s="12">
        <v>0.1</v>
      </c>
      <c r="O3351" s="8">
        <v>9360</v>
      </c>
      <c r="P3351" s="8">
        <f t="shared" si="316"/>
        <v>8424</v>
      </c>
      <c r="Q3351" s="12">
        <f t="shared" si="317"/>
        <v>17690.400000000001</v>
      </c>
      <c r="R3351" s="31">
        <f t="shared" si="318"/>
        <v>17600</v>
      </c>
    </row>
    <row r="3352" spans="1:18" ht="21.95" customHeight="1" x14ac:dyDescent="0.2">
      <c r="A3352" s="6" t="s">
        <v>943</v>
      </c>
      <c r="B3352" s="6" t="s">
        <v>1596</v>
      </c>
      <c r="C3352" s="6" t="s">
        <v>952</v>
      </c>
      <c r="D3352" s="6" t="s">
        <v>943</v>
      </c>
      <c r="E3352" s="6"/>
      <c r="G3352" s="6">
        <v>150</v>
      </c>
      <c r="H3352" s="6">
        <v>200</v>
      </c>
      <c r="K3352" s="7">
        <v>44007523</v>
      </c>
      <c r="L3352" s="6" t="str">
        <f t="shared" si="315"/>
        <v>YT KİNG MATRESS + YATAK  150x200</v>
      </c>
      <c r="M3352" s="12">
        <v>0.1</v>
      </c>
      <c r="N3352" s="12">
        <v>0.1</v>
      </c>
      <c r="O3352" s="8">
        <v>10050</v>
      </c>
      <c r="P3352" s="8">
        <f t="shared" si="316"/>
        <v>9045</v>
      </c>
      <c r="Q3352" s="12">
        <f t="shared" si="317"/>
        <v>18994.5</v>
      </c>
      <c r="R3352" s="31">
        <f t="shared" si="318"/>
        <v>18900</v>
      </c>
    </row>
    <row r="3353" spans="1:18" ht="21.95" customHeight="1" x14ac:dyDescent="0.2">
      <c r="A3353" s="6" t="s">
        <v>943</v>
      </c>
      <c r="B3353" s="6" t="s">
        <v>1596</v>
      </c>
      <c r="C3353" s="6" t="s">
        <v>952</v>
      </c>
      <c r="D3353" s="6" t="s">
        <v>943</v>
      </c>
      <c r="E3353" s="6"/>
      <c r="G3353" s="6">
        <v>160</v>
      </c>
      <c r="H3353" s="6">
        <v>200</v>
      </c>
      <c r="K3353" s="7">
        <v>44007524</v>
      </c>
      <c r="L3353" s="6" t="str">
        <f t="shared" si="315"/>
        <v>YT KİNG MATRESS + YATAK  160x200</v>
      </c>
      <c r="M3353" s="12">
        <v>0.1</v>
      </c>
      <c r="N3353" s="12">
        <v>0.1</v>
      </c>
      <c r="O3353" s="8">
        <v>10770</v>
      </c>
      <c r="P3353" s="8">
        <f t="shared" si="316"/>
        <v>9693</v>
      </c>
      <c r="Q3353" s="12">
        <f t="shared" si="317"/>
        <v>20355.3</v>
      </c>
      <c r="R3353" s="31">
        <f t="shared" si="318"/>
        <v>20300</v>
      </c>
    </row>
    <row r="3354" spans="1:18" ht="21.95" customHeight="1" x14ac:dyDescent="0.2">
      <c r="A3354" s="6" t="s">
        <v>943</v>
      </c>
      <c r="B3354" s="6" t="s">
        <v>1596</v>
      </c>
      <c r="C3354" s="6" t="s">
        <v>952</v>
      </c>
      <c r="D3354" s="6" t="s">
        <v>943</v>
      </c>
      <c r="E3354" s="6"/>
      <c r="G3354" s="6">
        <v>180</v>
      </c>
      <c r="H3354" s="6">
        <v>200</v>
      </c>
      <c r="K3354" s="7">
        <v>44007525</v>
      </c>
      <c r="L3354" s="6" t="str">
        <f t="shared" si="315"/>
        <v>YT KİNG MATRESS + YATAK  180x200</v>
      </c>
      <c r="M3354" s="12">
        <v>0.1</v>
      </c>
      <c r="N3354" s="12">
        <v>0.1</v>
      </c>
      <c r="O3354" s="8">
        <v>11580</v>
      </c>
      <c r="P3354" s="8">
        <f t="shared" si="316"/>
        <v>10422</v>
      </c>
      <c r="Q3354" s="12">
        <f t="shared" si="317"/>
        <v>21886.2</v>
      </c>
      <c r="R3354" s="31">
        <f t="shared" si="318"/>
        <v>21800</v>
      </c>
    </row>
    <row r="3355" spans="1:18" ht="21.95" customHeight="1" x14ac:dyDescent="0.2">
      <c r="A3355" s="6" t="s">
        <v>943</v>
      </c>
      <c r="B3355" s="6" t="s">
        <v>1596</v>
      </c>
      <c r="C3355" s="6" t="s">
        <v>952</v>
      </c>
      <c r="D3355" s="6" t="s">
        <v>943</v>
      </c>
      <c r="E3355" s="6"/>
      <c r="G3355" s="6">
        <v>200</v>
      </c>
      <c r="H3355" s="6">
        <v>200</v>
      </c>
      <c r="K3355" s="7">
        <v>44007526</v>
      </c>
      <c r="L3355" s="6" t="str">
        <f t="shared" si="315"/>
        <v>YT KİNG MATRESS + YATAK  200x200</v>
      </c>
      <c r="M3355" s="12">
        <v>0.1</v>
      </c>
      <c r="N3355" s="12">
        <v>0.1</v>
      </c>
      <c r="O3355" s="8">
        <v>13290</v>
      </c>
      <c r="P3355" s="8">
        <f t="shared" si="316"/>
        <v>11961</v>
      </c>
      <c r="Q3355" s="12">
        <f t="shared" si="317"/>
        <v>25118.100000000002</v>
      </c>
      <c r="R3355" s="31">
        <f t="shared" si="318"/>
        <v>25100</v>
      </c>
    </row>
    <row r="3356" spans="1:18" ht="21.95" customHeight="1" x14ac:dyDescent="0.2">
      <c r="A3356" s="6" t="s">
        <v>943</v>
      </c>
      <c r="B3356" s="6" t="s">
        <v>1596</v>
      </c>
      <c r="C3356" s="6" t="s">
        <v>980</v>
      </c>
      <c r="D3356" s="6" t="s">
        <v>943</v>
      </c>
      <c r="E3356" s="6"/>
      <c r="G3356" s="6">
        <v>90</v>
      </c>
      <c r="H3356" s="6">
        <v>190</v>
      </c>
      <c r="K3356" s="7">
        <v>44007527</v>
      </c>
      <c r="L3356" s="6" t="str">
        <f t="shared" si="315"/>
        <v>YT KİNG MATRESS  YATAK  90x190</v>
      </c>
      <c r="M3356" s="12">
        <v>0.1</v>
      </c>
      <c r="N3356" s="12">
        <v>0.1</v>
      </c>
      <c r="O3356" s="8">
        <v>5620</v>
      </c>
      <c r="P3356" s="8">
        <f t="shared" si="316"/>
        <v>5058</v>
      </c>
      <c r="Q3356" s="12">
        <f t="shared" si="317"/>
        <v>10621.800000000001</v>
      </c>
      <c r="R3356" s="31">
        <f t="shared" si="318"/>
        <v>10600</v>
      </c>
    </row>
    <row r="3357" spans="1:18" ht="21.95" customHeight="1" x14ac:dyDescent="0.2">
      <c r="A3357" s="6" t="s">
        <v>943</v>
      </c>
      <c r="B3357" s="6" t="s">
        <v>1596</v>
      </c>
      <c r="C3357" s="6" t="s">
        <v>980</v>
      </c>
      <c r="D3357" s="6" t="s">
        <v>943</v>
      </c>
      <c r="E3357" s="6"/>
      <c r="G3357" s="6">
        <v>90</v>
      </c>
      <c r="H3357" s="6">
        <v>200</v>
      </c>
      <c r="K3357" s="7">
        <v>44007528</v>
      </c>
      <c r="L3357" s="6" t="str">
        <f t="shared" si="315"/>
        <v>YT KİNG MATRESS  YATAK  90x200</v>
      </c>
      <c r="M3357" s="12">
        <v>0.1</v>
      </c>
      <c r="N3357" s="12">
        <v>0.1</v>
      </c>
      <c r="O3357" s="8">
        <v>5830</v>
      </c>
      <c r="P3357" s="8">
        <f t="shared" si="316"/>
        <v>5247</v>
      </c>
      <c r="Q3357" s="12">
        <f t="shared" si="317"/>
        <v>11018.7</v>
      </c>
      <c r="R3357" s="31">
        <f t="shared" si="318"/>
        <v>11000</v>
      </c>
    </row>
    <row r="3358" spans="1:18" ht="21.95" customHeight="1" x14ac:dyDescent="0.2">
      <c r="A3358" s="6" t="s">
        <v>943</v>
      </c>
      <c r="B3358" s="6" t="s">
        <v>1596</v>
      </c>
      <c r="C3358" s="6" t="s">
        <v>980</v>
      </c>
      <c r="D3358" s="6" t="s">
        <v>943</v>
      </c>
      <c r="E3358" s="6"/>
      <c r="G3358" s="6">
        <v>100</v>
      </c>
      <c r="H3358" s="6">
        <v>200</v>
      </c>
      <c r="K3358" s="7">
        <v>44007529</v>
      </c>
      <c r="L3358" s="6" t="str">
        <f t="shared" si="315"/>
        <v>YT KİNG MATRESS  YATAK  100x200</v>
      </c>
      <c r="M3358" s="12">
        <v>0.1</v>
      </c>
      <c r="N3358" s="12">
        <v>0.1</v>
      </c>
      <c r="O3358" s="8">
        <v>6040</v>
      </c>
      <c r="P3358" s="8">
        <f t="shared" si="316"/>
        <v>5436</v>
      </c>
      <c r="Q3358" s="12">
        <f t="shared" si="317"/>
        <v>11415.6</v>
      </c>
      <c r="R3358" s="31">
        <f t="shared" si="318"/>
        <v>11400</v>
      </c>
    </row>
    <row r="3359" spans="1:18" ht="21.95" customHeight="1" x14ac:dyDescent="0.2">
      <c r="A3359" s="6" t="s">
        <v>943</v>
      </c>
      <c r="B3359" s="6" t="s">
        <v>1596</v>
      </c>
      <c r="C3359" s="6" t="s">
        <v>980</v>
      </c>
      <c r="D3359" s="6" t="s">
        <v>943</v>
      </c>
      <c r="E3359" s="6"/>
      <c r="G3359" s="6">
        <v>120</v>
      </c>
      <c r="H3359" s="6">
        <v>200</v>
      </c>
      <c r="K3359" s="7">
        <v>44007530</v>
      </c>
      <c r="L3359" s="6" t="str">
        <f t="shared" si="315"/>
        <v>YT KİNG MATRESS  YATAK  120x200</v>
      </c>
      <c r="M3359" s="12">
        <v>0.1</v>
      </c>
      <c r="N3359" s="12">
        <v>0.1</v>
      </c>
      <c r="O3359" s="8">
        <v>7330</v>
      </c>
      <c r="P3359" s="8">
        <f t="shared" si="316"/>
        <v>6597</v>
      </c>
      <c r="Q3359" s="12">
        <f t="shared" si="317"/>
        <v>13853.7</v>
      </c>
      <c r="R3359" s="31">
        <f t="shared" si="318"/>
        <v>13800</v>
      </c>
    </row>
    <row r="3360" spans="1:18" ht="21.95" customHeight="1" x14ac:dyDescent="0.2">
      <c r="A3360" s="6" t="s">
        <v>943</v>
      </c>
      <c r="B3360" s="6" t="s">
        <v>1596</v>
      </c>
      <c r="C3360" s="6" t="s">
        <v>980</v>
      </c>
      <c r="D3360" s="6" t="s">
        <v>943</v>
      </c>
      <c r="E3360" s="6"/>
      <c r="G3360" s="6">
        <v>140</v>
      </c>
      <c r="H3360" s="6">
        <v>190</v>
      </c>
      <c r="K3360" s="7">
        <v>44007531</v>
      </c>
      <c r="L3360" s="6" t="str">
        <f t="shared" si="315"/>
        <v>YT KİNG MATRESS  YATAK  140x190</v>
      </c>
      <c r="M3360" s="12">
        <v>0.1</v>
      </c>
      <c r="N3360" s="12">
        <v>0.1</v>
      </c>
      <c r="O3360" s="8">
        <v>8260</v>
      </c>
      <c r="P3360" s="8">
        <f t="shared" si="316"/>
        <v>7434</v>
      </c>
      <c r="Q3360" s="12">
        <f t="shared" si="317"/>
        <v>15611.400000000001</v>
      </c>
      <c r="R3360" s="31">
        <f t="shared" si="318"/>
        <v>15600</v>
      </c>
    </row>
    <row r="3361" spans="1:18" ht="21.95" customHeight="1" x14ac:dyDescent="0.2">
      <c r="A3361" s="6" t="s">
        <v>943</v>
      </c>
      <c r="B3361" s="6" t="s">
        <v>1596</v>
      </c>
      <c r="C3361" s="6" t="s">
        <v>980</v>
      </c>
      <c r="D3361" s="6" t="s">
        <v>943</v>
      </c>
      <c r="E3361" s="6"/>
      <c r="G3361" s="6">
        <v>140</v>
      </c>
      <c r="H3361" s="6">
        <v>200</v>
      </c>
      <c r="K3361" s="7">
        <v>44007532</v>
      </c>
      <c r="L3361" s="6" t="str">
        <f t="shared" si="315"/>
        <v>YT KİNG MATRESS  YATAK  140x200</v>
      </c>
      <c r="M3361" s="12">
        <v>0.1</v>
      </c>
      <c r="N3361" s="12">
        <v>0.1</v>
      </c>
      <c r="O3361" s="8">
        <v>8630</v>
      </c>
      <c r="P3361" s="8">
        <f t="shared" si="316"/>
        <v>7767</v>
      </c>
      <c r="Q3361" s="12">
        <f t="shared" si="317"/>
        <v>16310.7</v>
      </c>
      <c r="R3361" s="31">
        <f t="shared" si="318"/>
        <v>16300</v>
      </c>
    </row>
    <row r="3362" spans="1:18" ht="21.95" customHeight="1" x14ac:dyDescent="0.2">
      <c r="A3362" s="6" t="s">
        <v>943</v>
      </c>
      <c r="B3362" s="6" t="s">
        <v>1596</v>
      </c>
      <c r="C3362" s="6" t="s">
        <v>1114</v>
      </c>
      <c r="D3362" s="6" t="s">
        <v>943</v>
      </c>
      <c r="E3362" s="6"/>
      <c r="G3362" s="6">
        <v>90</v>
      </c>
      <c r="H3362" s="6">
        <v>190</v>
      </c>
      <c r="K3362" s="7">
        <v>44007533</v>
      </c>
      <c r="L3362" s="6" t="str">
        <f t="shared" si="315"/>
        <v>YT BERGAMA  YATAK  90x190</v>
      </c>
      <c r="M3362" s="12">
        <v>0.1</v>
      </c>
      <c r="N3362" s="12">
        <v>0.1</v>
      </c>
      <c r="O3362" s="8">
        <v>6860</v>
      </c>
      <c r="P3362" s="8">
        <f t="shared" si="316"/>
        <v>6174</v>
      </c>
      <c r="Q3362" s="12">
        <f t="shared" si="317"/>
        <v>12965.400000000001</v>
      </c>
      <c r="R3362" s="31">
        <f t="shared" si="318"/>
        <v>12900</v>
      </c>
    </row>
    <row r="3363" spans="1:18" ht="21.95" customHeight="1" x14ac:dyDescent="0.2">
      <c r="A3363" s="6" t="s">
        <v>943</v>
      </c>
      <c r="B3363" s="6" t="s">
        <v>1596</v>
      </c>
      <c r="C3363" s="6" t="s">
        <v>1114</v>
      </c>
      <c r="D3363" s="6" t="s">
        <v>943</v>
      </c>
      <c r="E3363" s="6"/>
      <c r="G3363" s="6">
        <v>90</v>
      </c>
      <c r="H3363" s="6">
        <v>200</v>
      </c>
      <c r="K3363" s="7">
        <v>44007534</v>
      </c>
      <c r="L3363" s="6" t="str">
        <f t="shared" si="315"/>
        <v>YT BERGAMA  YATAK  90x200</v>
      </c>
      <c r="M3363" s="12">
        <v>0.1</v>
      </c>
      <c r="N3363" s="12">
        <v>0.1</v>
      </c>
      <c r="O3363" s="8">
        <v>7110</v>
      </c>
      <c r="P3363" s="8">
        <f t="shared" si="316"/>
        <v>6399</v>
      </c>
      <c r="Q3363" s="12">
        <f t="shared" si="317"/>
        <v>13437.900000000001</v>
      </c>
      <c r="R3363" s="31">
        <f t="shared" si="318"/>
        <v>13400</v>
      </c>
    </row>
    <row r="3364" spans="1:18" ht="21.95" customHeight="1" x14ac:dyDescent="0.2">
      <c r="A3364" s="6" t="s">
        <v>943</v>
      </c>
      <c r="B3364" s="6" t="s">
        <v>1596</v>
      </c>
      <c r="C3364" s="6" t="s">
        <v>1114</v>
      </c>
      <c r="D3364" s="6" t="s">
        <v>943</v>
      </c>
      <c r="E3364" s="6"/>
      <c r="G3364" s="6">
        <v>100</v>
      </c>
      <c r="H3364" s="6">
        <v>200</v>
      </c>
      <c r="K3364" s="7">
        <v>44007535</v>
      </c>
      <c r="L3364" s="6" t="str">
        <f t="shared" si="315"/>
        <v>YT BERGAMA  YATAK  100x200</v>
      </c>
      <c r="M3364" s="12">
        <v>0.1</v>
      </c>
      <c r="N3364" s="12">
        <v>0.1</v>
      </c>
      <c r="O3364" s="8">
        <v>7370</v>
      </c>
      <c r="P3364" s="8">
        <f t="shared" si="316"/>
        <v>6633</v>
      </c>
      <c r="Q3364" s="12">
        <f t="shared" si="317"/>
        <v>13929.300000000001</v>
      </c>
      <c r="R3364" s="31">
        <f t="shared" si="318"/>
        <v>13900</v>
      </c>
    </row>
    <row r="3365" spans="1:18" ht="21.95" customHeight="1" x14ac:dyDescent="0.2">
      <c r="A3365" s="6" t="s">
        <v>943</v>
      </c>
      <c r="B3365" s="6" t="s">
        <v>1596</v>
      </c>
      <c r="C3365" s="6" t="s">
        <v>1114</v>
      </c>
      <c r="D3365" s="6" t="s">
        <v>943</v>
      </c>
      <c r="E3365" s="6"/>
      <c r="G3365" s="6">
        <v>120</v>
      </c>
      <c r="H3365" s="6">
        <v>200</v>
      </c>
      <c r="K3365" s="7">
        <v>44007536</v>
      </c>
      <c r="L3365" s="6" t="str">
        <f t="shared" si="315"/>
        <v>YT BERGAMA  YATAK  120x200</v>
      </c>
      <c r="M3365" s="12">
        <v>0.1</v>
      </c>
      <c r="N3365" s="12">
        <v>0.1</v>
      </c>
      <c r="O3365" s="8">
        <v>8930</v>
      </c>
      <c r="P3365" s="8">
        <f t="shared" si="316"/>
        <v>8037</v>
      </c>
      <c r="Q3365" s="12">
        <f t="shared" si="317"/>
        <v>16877.7</v>
      </c>
      <c r="R3365" s="31">
        <f t="shared" si="318"/>
        <v>16800</v>
      </c>
    </row>
    <row r="3366" spans="1:18" ht="21.95" customHeight="1" x14ac:dyDescent="0.2">
      <c r="A3366" s="6" t="s">
        <v>943</v>
      </c>
      <c r="B3366" s="6" t="s">
        <v>1596</v>
      </c>
      <c r="C3366" s="6" t="s">
        <v>1114</v>
      </c>
      <c r="D3366" s="6" t="s">
        <v>943</v>
      </c>
      <c r="E3366" s="6"/>
      <c r="G3366" s="6">
        <v>140</v>
      </c>
      <c r="H3366" s="6">
        <v>190</v>
      </c>
      <c r="K3366" s="7">
        <v>44007537</v>
      </c>
      <c r="L3366" s="6" t="str">
        <f t="shared" si="315"/>
        <v>YT BERGAMA  YATAK  140x190</v>
      </c>
      <c r="M3366" s="12">
        <v>0.1</v>
      </c>
      <c r="N3366" s="12">
        <v>0.1</v>
      </c>
      <c r="O3366" s="8">
        <v>10070</v>
      </c>
      <c r="P3366" s="8">
        <f t="shared" si="316"/>
        <v>9063</v>
      </c>
      <c r="Q3366" s="12">
        <f t="shared" si="317"/>
        <v>19032.3</v>
      </c>
      <c r="R3366" s="31">
        <f t="shared" si="318"/>
        <v>19000</v>
      </c>
    </row>
    <row r="3367" spans="1:18" ht="21.95" customHeight="1" x14ac:dyDescent="0.2">
      <c r="A3367" s="6" t="s">
        <v>943</v>
      </c>
      <c r="B3367" s="6" t="s">
        <v>1596</v>
      </c>
      <c r="C3367" s="6" t="s">
        <v>1114</v>
      </c>
      <c r="D3367" s="6" t="s">
        <v>943</v>
      </c>
      <c r="E3367" s="6"/>
      <c r="G3367" s="6">
        <v>140</v>
      </c>
      <c r="H3367" s="6">
        <v>200</v>
      </c>
      <c r="K3367" s="7">
        <v>44007538</v>
      </c>
      <c r="L3367" s="6" t="str">
        <f t="shared" si="315"/>
        <v>YT BERGAMA  YATAK  140x200</v>
      </c>
      <c r="M3367" s="12">
        <v>0.1</v>
      </c>
      <c r="N3367" s="12">
        <v>0.1</v>
      </c>
      <c r="O3367" s="8">
        <v>10520</v>
      </c>
      <c r="P3367" s="8">
        <f t="shared" si="316"/>
        <v>9468</v>
      </c>
      <c r="Q3367" s="12">
        <f t="shared" si="317"/>
        <v>19882.8</v>
      </c>
      <c r="R3367" s="31">
        <f t="shared" si="318"/>
        <v>19800</v>
      </c>
    </row>
    <row r="3368" spans="1:18" ht="21.95" customHeight="1" x14ac:dyDescent="0.2">
      <c r="A3368" s="6" t="s">
        <v>943</v>
      </c>
      <c r="B3368" s="6" t="s">
        <v>1596</v>
      </c>
      <c r="C3368" s="6" t="s">
        <v>1114</v>
      </c>
      <c r="D3368" s="6" t="s">
        <v>943</v>
      </c>
      <c r="E3368" s="6"/>
      <c r="G3368" s="6">
        <v>150</v>
      </c>
      <c r="H3368" s="6">
        <v>200</v>
      </c>
      <c r="K3368" s="7">
        <v>44007539</v>
      </c>
      <c r="L3368" s="6" t="str">
        <f t="shared" si="315"/>
        <v>YT BERGAMA  YATAK  150x200</v>
      </c>
      <c r="M3368" s="12">
        <v>0.1</v>
      </c>
      <c r="N3368" s="12">
        <v>0.1</v>
      </c>
      <c r="O3368" s="8">
        <v>11280</v>
      </c>
      <c r="P3368" s="8">
        <f t="shared" si="316"/>
        <v>10152</v>
      </c>
      <c r="Q3368" s="12">
        <f t="shared" si="317"/>
        <v>21319.200000000001</v>
      </c>
      <c r="R3368" s="31">
        <f t="shared" si="318"/>
        <v>21300</v>
      </c>
    </row>
    <row r="3369" spans="1:18" ht="21.95" customHeight="1" x14ac:dyDescent="0.2">
      <c r="A3369" s="6" t="s">
        <v>943</v>
      </c>
      <c r="B3369" s="6" t="s">
        <v>1596</v>
      </c>
      <c r="C3369" s="6" t="s">
        <v>1114</v>
      </c>
      <c r="D3369" s="6" t="s">
        <v>943</v>
      </c>
      <c r="E3369" s="6"/>
      <c r="G3369" s="6">
        <v>160</v>
      </c>
      <c r="H3369" s="6">
        <v>200</v>
      </c>
      <c r="K3369" s="7">
        <v>44007540</v>
      </c>
      <c r="L3369" s="6" t="str">
        <f t="shared" si="315"/>
        <v>YT BERGAMA  YATAK  160x200</v>
      </c>
      <c r="M3369" s="12">
        <v>0.1</v>
      </c>
      <c r="N3369" s="12">
        <v>0.1</v>
      </c>
      <c r="O3369" s="8">
        <v>12090</v>
      </c>
      <c r="P3369" s="8">
        <f t="shared" si="316"/>
        <v>10881</v>
      </c>
      <c r="Q3369" s="12">
        <f t="shared" si="317"/>
        <v>22850.100000000002</v>
      </c>
      <c r="R3369" s="31">
        <f t="shared" si="318"/>
        <v>22800</v>
      </c>
    </row>
    <row r="3370" spans="1:18" ht="21.95" customHeight="1" x14ac:dyDescent="0.2">
      <c r="A3370" s="6" t="s">
        <v>943</v>
      </c>
      <c r="B3370" s="6" t="s">
        <v>1596</v>
      </c>
      <c r="C3370" s="6" t="s">
        <v>1114</v>
      </c>
      <c r="D3370" s="6" t="s">
        <v>943</v>
      </c>
      <c r="E3370" s="6"/>
      <c r="G3370" s="6">
        <v>180</v>
      </c>
      <c r="H3370" s="6">
        <v>200</v>
      </c>
      <c r="K3370" s="7">
        <v>44007541</v>
      </c>
      <c r="L3370" s="6" t="str">
        <f t="shared" si="315"/>
        <v>YT BERGAMA  YATAK  180x200</v>
      </c>
      <c r="M3370" s="12">
        <v>0.1</v>
      </c>
      <c r="N3370" s="12">
        <v>0.1</v>
      </c>
      <c r="O3370" s="8">
        <v>13020</v>
      </c>
      <c r="P3370" s="8">
        <f t="shared" si="316"/>
        <v>11718</v>
      </c>
      <c r="Q3370" s="12">
        <f t="shared" si="317"/>
        <v>24607.8</v>
      </c>
      <c r="R3370" s="31">
        <f t="shared" si="318"/>
        <v>24600</v>
      </c>
    </row>
    <row r="3371" spans="1:18" ht="21.95" customHeight="1" x14ac:dyDescent="0.2">
      <c r="A3371" s="6" t="s">
        <v>943</v>
      </c>
      <c r="B3371" s="6" t="s">
        <v>1596</v>
      </c>
      <c r="C3371" s="6" t="s">
        <v>1114</v>
      </c>
      <c r="D3371" s="6" t="s">
        <v>943</v>
      </c>
      <c r="E3371" s="6"/>
      <c r="G3371" s="6">
        <v>200</v>
      </c>
      <c r="H3371" s="6">
        <v>200</v>
      </c>
      <c r="K3371" s="7">
        <v>44007542</v>
      </c>
      <c r="L3371" s="6" t="str">
        <f t="shared" si="315"/>
        <v>YT BERGAMA  YATAK  200x200</v>
      </c>
      <c r="M3371" s="12">
        <v>0.1</v>
      </c>
      <c r="N3371" s="12">
        <v>0.1</v>
      </c>
      <c r="O3371" s="8">
        <v>14930</v>
      </c>
      <c r="P3371" s="8">
        <f t="shared" si="316"/>
        <v>13437</v>
      </c>
      <c r="Q3371" s="12">
        <f t="shared" si="317"/>
        <v>28217.7</v>
      </c>
      <c r="R3371" s="31">
        <f t="shared" si="318"/>
        <v>28200</v>
      </c>
    </row>
    <row r="3372" spans="1:18" ht="21.95" customHeight="1" x14ac:dyDescent="0.2">
      <c r="A3372" s="6" t="s">
        <v>943</v>
      </c>
      <c r="B3372" s="6" t="s">
        <v>1596</v>
      </c>
      <c r="C3372" s="6" t="s">
        <v>1115</v>
      </c>
      <c r="D3372" s="6" t="s">
        <v>943</v>
      </c>
      <c r="E3372" s="6"/>
      <c r="G3372" s="6">
        <v>90</v>
      </c>
      <c r="H3372" s="6">
        <v>190</v>
      </c>
      <c r="K3372" s="7">
        <v>44007543</v>
      </c>
      <c r="L3372" s="6" t="str">
        <f t="shared" si="315"/>
        <v>YT DUVİVER  YATAK  90x190</v>
      </c>
      <c r="M3372" s="12">
        <v>0.1</v>
      </c>
      <c r="N3372" s="12">
        <v>0.1</v>
      </c>
      <c r="O3372" s="8">
        <v>6780</v>
      </c>
      <c r="P3372" s="8">
        <f t="shared" si="316"/>
        <v>6102</v>
      </c>
      <c r="Q3372" s="12">
        <f t="shared" si="317"/>
        <v>12814.2</v>
      </c>
      <c r="R3372" s="31">
        <f t="shared" si="318"/>
        <v>12800</v>
      </c>
    </row>
    <row r="3373" spans="1:18" ht="21.95" customHeight="1" x14ac:dyDescent="0.2">
      <c r="A3373" s="6" t="s">
        <v>943</v>
      </c>
      <c r="B3373" s="6" t="s">
        <v>1596</v>
      </c>
      <c r="C3373" s="6" t="s">
        <v>1115</v>
      </c>
      <c r="D3373" s="6" t="s">
        <v>943</v>
      </c>
      <c r="E3373" s="6"/>
      <c r="G3373" s="6">
        <v>90</v>
      </c>
      <c r="H3373" s="6">
        <v>200</v>
      </c>
      <c r="K3373" s="7">
        <v>44007544</v>
      </c>
      <c r="L3373" s="6" t="str">
        <f t="shared" si="315"/>
        <v>YT DUVİVER  YATAK  90x200</v>
      </c>
      <c r="M3373" s="12">
        <v>0.1</v>
      </c>
      <c r="N3373" s="12">
        <v>0.1</v>
      </c>
      <c r="O3373" s="8">
        <v>7170</v>
      </c>
      <c r="P3373" s="8">
        <f t="shared" si="316"/>
        <v>6453</v>
      </c>
      <c r="Q3373" s="12">
        <f t="shared" si="317"/>
        <v>13551.300000000001</v>
      </c>
      <c r="R3373" s="31">
        <f t="shared" si="318"/>
        <v>13500</v>
      </c>
    </row>
    <row r="3374" spans="1:18" ht="21.95" customHeight="1" x14ac:dyDescent="0.2">
      <c r="A3374" s="6" t="s">
        <v>943</v>
      </c>
      <c r="B3374" s="6" t="s">
        <v>1596</v>
      </c>
      <c r="C3374" s="6" t="s">
        <v>1115</v>
      </c>
      <c r="D3374" s="6" t="s">
        <v>943</v>
      </c>
      <c r="E3374" s="6"/>
      <c r="G3374" s="6">
        <v>100</v>
      </c>
      <c r="H3374" s="6">
        <v>200</v>
      </c>
      <c r="K3374" s="7">
        <v>44007545</v>
      </c>
      <c r="L3374" s="6" t="str">
        <f t="shared" si="315"/>
        <v>YT DUVİVER  YATAK  100x200</v>
      </c>
      <c r="M3374" s="12">
        <v>0.1</v>
      </c>
      <c r="N3374" s="12">
        <v>0.1</v>
      </c>
      <c r="O3374" s="8">
        <v>7940</v>
      </c>
      <c r="P3374" s="8">
        <f t="shared" si="316"/>
        <v>7146</v>
      </c>
      <c r="Q3374" s="12">
        <f t="shared" si="317"/>
        <v>15006.6</v>
      </c>
      <c r="R3374" s="31">
        <f t="shared" si="318"/>
        <v>15000</v>
      </c>
    </row>
    <row r="3375" spans="1:18" ht="21.95" customHeight="1" x14ac:dyDescent="0.2">
      <c r="A3375" s="6" t="s">
        <v>943</v>
      </c>
      <c r="B3375" s="6" t="s">
        <v>1596</v>
      </c>
      <c r="C3375" s="6" t="s">
        <v>1115</v>
      </c>
      <c r="D3375" s="6" t="s">
        <v>943</v>
      </c>
      <c r="E3375" s="6"/>
      <c r="G3375" s="6">
        <v>120</v>
      </c>
      <c r="H3375" s="6">
        <v>200</v>
      </c>
      <c r="K3375" s="7">
        <v>44007546</v>
      </c>
      <c r="L3375" s="6" t="str">
        <f t="shared" si="315"/>
        <v>YT DUVİVER  YATAK  120x200</v>
      </c>
      <c r="M3375" s="12">
        <v>0.1</v>
      </c>
      <c r="N3375" s="12">
        <v>0.1</v>
      </c>
      <c r="O3375" s="8">
        <v>9500</v>
      </c>
      <c r="P3375" s="8">
        <f t="shared" si="316"/>
        <v>8550</v>
      </c>
      <c r="Q3375" s="12">
        <f t="shared" si="317"/>
        <v>17955</v>
      </c>
      <c r="R3375" s="31">
        <f t="shared" si="318"/>
        <v>17900</v>
      </c>
    </row>
    <row r="3376" spans="1:18" ht="21.95" customHeight="1" x14ac:dyDescent="0.2">
      <c r="A3376" s="6" t="s">
        <v>943</v>
      </c>
      <c r="B3376" s="6" t="s">
        <v>1596</v>
      </c>
      <c r="C3376" s="6" t="s">
        <v>1115</v>
      </c>
      <c r="D3376" s="6" t="s">
        <v>943</v>
      </c>
      <c r="E3376" s="6"/>
      <c r="G3376" s="6">
        <v>140</v>
      </c>
      <c r="H3376" s="6">
        <v>190</v>
      </c>
      <c r="K3376" s="7">
        <v>44007547</v>
      </c>
      <c r="L3376" s="6" t="str">
        <f t="shared" si="315"/>
        <v>YT DUVİVER  YATAK  140x190</v>
      </c>
      <c r="M3376" s="12">
        <v>0.1</v>
      </c>
      <c r="N3376" s="12">
        <v>0.1</v>
      </c>
      <c r="O3376" s="8">
        <v>10560</v>
      </c>
      <c r="P3376" s="8">
        <f t="shared" si="316"/>
        <v>9504</v>
      </c>
      <c r="Q3376" s="12">
        <f t="shared" si="317"/>
        <v>19958.400000000001</v>
      </c>
      <c r="R3376" s="31">
        <f t="shared" si="318"/>
        <v>19900</v>
      </c>
    </row>
    <row r="3377" spans="1:18" ht="21.95" customHeight="1" x14ac:dyDescent="0.2">
      <c r="A3377" s="6" t="s">
        <v>943</v>
      </c>
      <c r="B3377" s="6" t="s">
        <v>1596</v>
      </c>
      <c r="C3377" s="6" t="s">
        <v>1115</v>
      </c>
      <c r="D3377" s="6" t="s">
        <v>943</v>
      </c>
      <c r="E3377" s="6"/>
      <c r="G3377" s="6">
        <v>140</v>
      </c>
      <c r="H3377" s="6">
        <v>200</v>
      </c>
      <c r="K3377" s="7">
        <v>44007548</v>
      </c>
      <c r="L3377" s="6" t="str">
        <f t="shared" si="315"/>
        <v>YT DUVİVER  YATAK  140x200</v>
      </c>
      <c r="M3377" s="12">
        <v>0.1</v>
      </c>
      <c r="N3377" s="12">
        <v>0.1</v>
      </c>
      <c r="O3377" s="8">
        <v>11100</v>
      </c>
      <c r="P3377" s="8">
        <f t="shared" si="316"/>
        <v>9990</v>
      </c>
      <c r="Q3377" s="12">
        <f t="shared" si="317"/>
        <v>20979</v>
      </c>
      <c r="R3377" s="31">
        <f t="shared" si="318"/>
        <v>20900</v>
      </c>
    </row>
    <row r="3378" spans="1:18" ht="21.95" customHeight="1" x14ac:dyDescent="0.2">
      <c r="A3378" s="6" t="s">
        <v>943</v>
      </c>
      <c r="B3378" s="6" t="s">
        <v>1596</v>
      </c>
      <c r="C3378" s="6" t="s">
        <v>1115</v>
      </c>
      <c r="D3378" s="6" t="s">
        <v>943</v>
      </c>
      <c r="E3378" s="6"/>
      <c r="G3378" s="6">
        <v>150</v>
      </c>
      <c r="H3378" s="6">
        <v>200</v>
      </c>
      <c r="K3378" s="7">
        <v>44007549</v>
      </c>
      <c r="L3378" s="6" t="str">
        <f t="shared" si="315"/>
        <v>YT DUVİVER  YATAK  150x200</v>
      </c>
      <c r="M3378" s="12">
        <v>0.1</v>
      </c>
      <c r="N3378" s="12">
        <v>0.1</v>
      </c>
      <c r="O3378" s="8">
        <v>11910</v>
      </c>
      <c r="P3378" s="8">
        <f t="shared" si="316"/>
        <v>10719</v>
      </c>
      <c r="Q3378" s="12">
        <f t="shared" si="317"/>
        <v>22509.9</v>
      </c>
      <c r="R3378" s="31">
        <f t="shared" si="318"/>
        <v>22500</v>
      </c>
    </row>
    <row r="3379" spans="1:18" ht="21.95" customHeight="1" x14ac:dyDescent="0.2">
      <c r="A3379" s="6" t="s">
        <v>943</v>
      </c>
      <c r="B3379" s="6" t="s">
        <v>1596</v>
      </c>
      <c r="C3379" s="6" t="s">
        <v>1115</v>
      </c>
      <c r="D3379" s="6" t="s">
        <v>943</v>
      </c>
      <c r="E3379" s="6"/>
      <c r="G3379" s="6">
        <v>160</v>
      </c>
      <c r="H3379" s="6">
        <v>200</v>
      </c>
      <c r="K3379" s="7">
        <v>44007550</v>
      </c>
      <c r="L3379" s="6" t="str">
        <f t="shared" si="315"/>
        <v>YT DUVİVER  YATAK  160x200</v>
      </c>
      <c r="M3379" s="12">
        <v>0.1</v>
      </c>
      <c r="N3379" s="12">
        <v>0.1</v>
      </c>
      <c r="O3379" s="8">
        <v>12740</v>
      </c>
      <c r="P3379" s="8">
        <f t="shared" si="316"/>
        <v>11466</v>
      </c>
      <c r="Q3379" s="12">
        <f t="shared" si="317"/>
        <v>24078.600000000002</v>
      </c>
      <c r="R3379" s="31">
        <f t="shared" si="318"/>
        <v>24000</v>
      </c>
    </row>
    <row r="3380" spans="1:18" ht="21.95" customHeight="1" x14ac:dyDescent="0.2">
      <c r="A3380" s="6" t="s">
        <v>943</v>
      </c>
      <c r="B3380" s="6" t="s">
        <v>1596</v>
      </c>
      <c r="C3380" s="6" t="s">
        <v>1115</v>
      </c>
      <c r="D3380" s="6" t="s">
        <v>943</v>
      </c>
      <c r="E3380" s="6"/>
      <c r="G3380" s="6">
        <v>180</v>
      </c>
      <c r="H3380" s="6">
        <v>200</v>
      </c>
      <c r="K3380" s="7">
        <v>44007551</v>
      </c>
      <c r="L3380" s="6" t="str">
        <f t="shared" si="315"/>
        <v>YT DUVİVER  YATAK  180x200</v>
      </c>
      <c r="M3380" s="12">
        <v>0.1</v>
      </c>
      <c r="N3380" s="12">
        <v>0.1</v>
      </c>
      <c r="O3380" s="8">
        <v>14270</v>
      </c>
      <c r="P3380" s="8">
        <f t="shared" si="316"/>
        <v>12843</v>
      </c>
      <c r="Q3380" s="12">
        <f t="shared" si="317"/>
        <v>26970.300000000003</v>
      </c>
      <c r="R3380" s="31">
        <f t="shared" si="318"/>
        <v>26900</v>
      </c>
    </row>
    <row r="3381" spans="1:18" ht="21.95" customHeight="1" x14ac:dyDescent="0.2">
      <c r="A3381" s="6" t="s">
        <v>943</v>
      </c>
      <c r="B3381" s="6" t="s">
        <v>1596</v>
      </c>
      <c r="C3381" s="6" t="s">
        <v>1115</v>
      </c>
      <c r="D3381" s="6" t="s">
        <v>943</v>
      </c>
      <c r="E3381" s="6"/>
      <c r="G3381" s="6">
        <v>200</v>
      </c>
      <c r="H3381" s="6">
        <v>200</v>
      </c>
      <c r="K3381" s="7">
        <v>44007552</v>
      </c>
      <c r="L3381" s="6" t="str">
        <f t="shared" si="315"/>
        <v>YT DUVİVER  YATAK  200x200</v>
      </c>
      <c r="M3381" s="12">
        <v>0.1</v>
      </c>
      <c r="N3381" s="12">
        <v>0.1</v>
      </c>
      <c r="O3381" s="8">
        <v>15870</v>
      </c>
      <c r="P3381" s="8">
        <f t="shared" si="316"/>
        <v>14283</v>
      </c>
      <c r="Q3381" s="12">
        <f t="shared" si="317"/>
        <v>29994.300000000003</v>
      </c>
      <c r="R3381" s="31">
        <f t="shared" si="318"/>
        <v>29900</v>
      </c>
    </row>
    <row r="3382" spans="1:18" ht="21.95" customHeight="1" x14ac:dyDescent="0.2">
      <c r="A3382" s="6" t="s">
        <v>943</v>
      </c>
      <c r="B3382" s="6" t="s">
        <v>1596</v>
      </c>
      <c r="C3382" s="6" t="s">
        <v>1116</v>
      </c>
      <c r="D3382" s="6" t="s">
        <v>943</v>
      </c>
      <c r="E3382" s="6"/>
      <c r="G3382" s="6">
        <v>90</v>
      </c>
      <c r="H3382" s="6">
        <v>190</v>
      </c>
      <c r="K3382" s="7">
        <v>44007553</v>
      </c>
      <c r="L3382" s="6" t="str">
        <f t="shared" si="315"/>
        <v>YT KİNG MEDİCAL  YATAK  90x190</v>
      </c>
      <c r="M3382" s="12">
        <v>0.1</v>
      </c>
      <c r="N3382" s="12">
        <v>0.1</v>
      </c>
      <c r="O3382" s="8">
        <v>6120</v>
      </c>
      <c r="P3382" s="8">
        <f t="shared" si="316"/>
        <v>5508</v>
      </c>
      <c r="Q3382" s="12">
        <f t="shared" si="317"/>
        <v>11566.800000000001</v>
      </c>
      <c r="R3382" s="31">
        <f t="shared" si="318"/>
        <v>11500</v>
      </c>
    </row>
    <row r="3383" spans="1:18" ht="21.95" customHeight="1" x14ac:dyDescent="0.2">
      <c r="A3383" s="6" t="s">
        <v>943</v>
      </c>
      <c r="B3383" s="6" t="s">
        <v>1596</v>
      </c>
      <c r="C3383" s="6" t="s">
        <v>1116</v>
      </c>
      <c r="D3383" s="6" t="s">
        <v>943</v>
      </c>
      <c r="E3383" s="6"/>
      <c r="G3383" s="6">
        <v>90</v>
      </c>
      <c r="H3383" s="6">
        <v>200</v>
      </c>
      <c r="K3383" s="7">
        <v>44007554</v>
      </c>
      <c r="L3383" s="6" t="str">
        <f t="shared" si="315"/>
        <v>YT KİNG MEDİCAL  YATAK  90x200</v>
      </c>
      <c r="M3383" s="12">
        <v>0.1</v>
      </c>
      <c r="N3383" s="12">
        <v>0.1</v>
      </c>
      <c r="O3383" s="8">
        <v>6420</v>
      </c>
      <c r="P3383" s="8">
        <f t="shared" si="316"/>
        <v>5778</v>
      </c>
      <c r="Q3383" s="12">
        <f t="shared" si="317"/>
        <v>12133.800000000001</v>
      </c>
      <c r="R3383" s="31">
        <f t="shared" si="318"/>
        <v>12100</v>
      </c>
    </row>
    <row r="3384" spans="1:18" ht="21.95" customHeight="1" x14ac:dyDescent="0.2">
      <c r="A3384" s="6" t="s">
        <v>943</v>
      </c>
      <c r="B3384" s="6" t="s">
        <v>1596</v>
      </c>
      <c r="C3384" s="6" t="s">
        <v>1116</v>
      </c>
      <c r="D3384" s="6" t="s">
        <v>943</v>
      </c>
      <c r="E3384" s="6"/>
      <c r="G3384" s="6">
        <v>100</v>
      </c>
      <c r="H3384" s="6">
        <v>200</v>
      </c>
      <c r="K3384" s="7">
        <v>44007555</v>
      </c>
      <c r="L3384" s="6" t="str">
        <f t="shared" si="315"/>
        <v>YT KİNG MEDİCAL  YATAK  100x200</v>
      </c>
      <c r="M3384" s="12">
        <v>0.1</v>
      </c>
      <c r="N3384" s="12">
        <v>0.1</v>
      </c>
      <c r="O3384" s="8">
        <v>7180</v>
      </c>
      <c r="P3384" s="8">
        <f t="shared" si="316"/>
        <v>6462</v>
      </c>
      <c r="Q3384" s="12">
        <f t="shared" si="317"/>
        <v>13570.2</v>
      </c>
      <c r="R3384" s="31">
        <f t="shared" si="318"/>
        <v>13500</v>
      </c>
    </row>
    <row r="3385" spans="1:18" ht="21.95" customHeight="1" x14ac:dyDescent="0.2">
      <c r="A3385" s="6" t="s">
        <v>943</v>
      </c>
      <c r="B3385" s="6" t="s">
        <v>1596</v>
      </c>
      <c r="C3385" s="6" t="s">
        <v>1116</v>
      </c>
      <c r="D3385" s="6" t="s">
        <v>943</v>
      </c>
      <c r="E3385" s="6"/>
      <c r="G3385" s="6">
        <v>120</v>
      </c>
      <c r="H3385" s="6">
        <v>200</v>
      </c>
      <c r="K3385" s="7">
        <v>44007556</v>
      </c>
      <c r="L3385" s="6" t="str">
        <f t="shared" si="315"/>
        <v>YT KİNG MEDİCAL  YATAK  120x200</v>
      </c>
      <c r="M3385" s="12">
        <v>0.1</v>
      </c>
      <c r="N3385" s="12">
        <v>0.1</v>
      </c>
      <c r="O3385" s="8">
        <v>8620</v>
      </c>
      <c r="P3385" s="8">
        <f t="shared" si="316"/>
        <v>7758</v>
      </c>
      <c r="Q3385" s="12">
        <f t="shared" si="317"/>
        <v>16291.800000000001</v>
      </c>
      <c r="R3385" s="31">
        <f t="shared" si="318"/>
        <v>16200</v>
      </c>
    </row>
    <row r="3386" spans="1:18" ht="21.95" customHeight="1" x14ac:dyDescent="0.2">
      <c r="A3386" s="6" t="s">
        <v>943</v>
      </c>
      <c r="B3386" s="6" t="s">
        <v>1596</v>
      </c>
      <c r="C3386" s="6" t="s">
        <v>1116</v>
      </c>
      <c r="D3386" s="6" t="s">
        <v>943</v>
      </c>
      <c r="E3386" s="6"/>
      <c r="G3386" s="6">
        <v>140</v>
      </c>
      <c r="H3386" s="6">
        <v>190</v>
      </c>
      <c r="K3386" s="7">
        <v>44007557</v>
      </c>
      <c r="L3386" s="6" t="str">
        <f t="shared" si="315"/>
        <v>YT KİNG MEDİCAL  YATAK  140x190</v>
      </c>
      <c r="M3386" s="12">
        <v>0.1</v>
      </c>
      <c r="N3386" s="12">
        <v>0.1</v>
      </c>
      <c r="O3386" s="8">
        <v>9330</v>
      </c>
      <c r="P3386" s="8">
        <f t="shared" si="316"/>
        <v>8397</v>
      </c>
      <c r="Q3386" s="12">
        <f t="shared" si="317"/>
        <v>17633.7</v>
      </c>
      <c r="R3386" s="31">
        <f t="shared" si="318"/>
        <v>17600</v>
      </c>
    </row>
    <row r="3387" spans="1:18" ht="21.95" customHeight="1" x14ac:dyDescent="0.2">
      <c r="A3387" s="6" t="s">
        <v>943</v>
      </c>
      <c r="B3387" s="6" t="s">
        <v>1596</v>
      </c>
      <c r="C3387" s="6" t="s">
        <v>1116</v>
      </c>
      <c r="D3387" s="6" t="s">
        <v>943</v>
      </c>
      <c r="E3387" s="6"/>
      <c r="G3387" s="6">
        <v>140</v>
      </c>
      <c r="H3387" s="6">
        <v>200</v>
      </c>
      <c r="K3387" s="7">
        <v>44007558</v>
      </c>
      <c r="L3387" s="6" t="str">
        <f t="shared" si="315"/>
        <v>YT KİNG MEDİCAL  YATAK  140x200</v>
      </c>
      <c r="M3387" s="12">
        <v>0.1</v>
      </c>
      <c r="N3387" s="12">
        <v>0.1</v>
      </c>
      <c r="O3387" s="8">
        <v>9400</v>
      </c>
      <c r="P3387" s="8">
        <f t="shared" si="316"/>
        <v>8460</v>
      </c>
      <c r="Q3387" s="12">
        <f t="shared" si="317"/>
        <v>17766</v>
      </c>
      <c r="R3387" s="31">
        <f t="shared" si="318"/>
        <v>17700</v>
      </c>
    </row>
    <row r="3388" spans="1:18" ht="21.95" customHeight="1" x14ac:dyDescent="0.2">
      <c r="A3388" s="6" t="s">
        <v>943</v>
      </c>
      <c r="B3388" s="6" t="s">
        <v>1596</v>
      </c>
      <c r="C3388" s="6" t="s">
        <v>1117</v>
      </c>
      <c r="D3388" s="6" t="s">
        <v>943</v>
      </c>
      <c r="E3388" s="6"/>
      <c r="G3388" s="6">
        <v>90</v>
      </c>
      <c r="H3388" s="6">
        <v>190</v>
      </c>
      <c r="K3388" s="7">
        <v>44007559</v>
      </c>
      <c r="L3388" s="6" t="str">
        <f t="shared" si="315"/>
        <v>YT MEDİ COOT  YATAK  90x190</v>
      </c>
      <c r="M3388" s="12">
        <v>0.1</v>
      </c>
      <c r="N3388" s="12">
        <v>0.1</v>
      </c>
      <c r="O3388" s="8">
        <v>5320</v>
      </c>
      <c r="P3388" s="8">
        <f t="shared" si="316"/>
        <v>4788</v>
      </c>
      <c r="Q3388" s="12">
        <f t="shared" si="317"/>
        <v>10054.800000000001</v>
      </c>
      <c r="R3388" s="31">
        <f t="shared" si="318"/>
        <v>10000</v>
      </c>
    </row>
    <row r="3389" spans="1:18" ht="21.95" customHeight="1" x14ac:dyDescent="0.2">
      <c r="A3389" s="6" t="s">
        <v>943</v>
      </c>
      <c r="B3389" s="6" t="s">
        <v>1596</v>
      </c>
      <c r="C3389" s="6" t="s">
        <v>1117</v>
      </c>
      <c r="D3389" s="6" t="s">
        <v>943</v>
      </c>
      <c r="E3389" s="6"/>
      <c r="G3389" s="6">
        <v>90</v>
      </c>
      <c r="H3389" s="6">
        <v>200</v>
      </c>
      <c r="K3389" s="7">
        <v>44007560</v>
      </c>
      <c r="L3389" s="6" t="str">
        <f t="shared" si="315"/>
        <v>YT MEDİ COOT  YATAK  90x200</v>
      </c>
      <c r="M3389" s="12">
        <v>0.1</v>
      </c>
      <c r="N3389" s="12">
        <v>0.1</v>
      </c>
      <c r="O3389" s="8">
        <v>5610</v>
      </c>
      <c r="P3389" s="8">
        <f t="shared" si="316"/>
        <v>5049</v>
      </c>
      <c r="Q3389" s="12">
        <f t="shared" si="317"/>
        <v>10602.9</v>
      </c>
      <c r="R3389" s="31">
        <f t="shared" si="318"/>
        <v>10600</v>
      </c>
    </row>
    <row r="3390" spans="1:18" ht="21.95" customHeight="1" x14ac:dyDescent="0.2">
      <c r="A3390" s="6" t="s">
        <v>943</v>
      </c>
      <c r="B3390" s="6" t="s">
        <v>1596</v>
      </c>
      <c r="C3390" s="6" t="s">
        <v>1117</v>
      </c>
      <c r="D3390" s="6" t="s">
        <v>943</v>
      </c>
      <c r="E3390" s="6"/>
      <c r="G3390" s="6">
        <v>100</v>
      </c>
      <c r="H3390" s="6">
        <v>200</v>
      </c>
      <c r="K3390" s="7">
        <v>44007561</v>
      </c>
      <c r="L3390" s="6" t="str">
        <f t="shared" si="315"/>
        <v>YT MEDİ COOT  YATAK  100x200</v>
      </c>
      <c r="M3390" s="12">
        <v>0.1</v>
      </c>
      <c r="N3390" s="12">
        <v>0.1</v>
      </c>
      <c r="O3390" s="8">
        <v>6260</v>
      </c>
      <c r="P3390" s="8">
        <f t="shared" si="316"/>
        <v>5634</v>
      </c>
      <c r="Q3390" s="12">
        <f t="shared" si="317"/>
        <v>11831.4</v>
      </c>
      <c r="R3390" s="31">
        <f t="shared" si="318"/>
        <v>11800</v>
      </c>
    </row>
    <row r="3391" spans="1:18" ht="21.95" customHeight="1" x14ac:dyDescent="0.2">
      <c r="A3391" s="6" t="s">
        <v>943</v>
      </c>
      <c r="B3391" s="6" t="s">
        <v>1596</v>
      </c>
      <c r="C3391" s="6" t="s">
        <v>1117</v>
      </c>
      <c r="D3391" s="6" t="s">
        <v>943</v>
      </c>
      <c r="E3391" s="6"/>
      <c r="G3391" s="6">
        <v>120</v>
      </c>
      <c r="H3391" s="6">
        <v>200</v>
      </c>
      <c r="K3391" s="7">
        <v>44007562</v>
      </c>
      <c r="L3391" s="6" t="str">
        <f t="shared" si="315"/>
        <v>YT MEDİ COOT  YATAK  120x200</v>
      </c>
      <c r="M3391" s="12">
        <v>0.1</v>
      </c>
      <c r="N3391" s="12">
        <v>0.1</v>
      </c>
      <c r="O3391" s="8">
        <v>7510</v>
      </c>
      <c r="P3391" s="8">
        <f t="shared" si="316"/>
        <v>6759</v>
      </c>
      <c r="Q3391" s="12">
        <f t="shared" si="317"/>
        <v>14193.900000000001</v>
      </c>
      <c r="R3391" s="31">
        <f t="shared" si="318"/>
        <v>14100</v>
      </c>
    </row>
    <row r="3392" spans="1:18" ht="21.95" customHeight="1" x14ac:dyDescent="0.2">
      <c r="A3392" s="6" t="s">
        <v>943</v>
      </c>
      <c r="B3392" s="6" t="s">
        <v>1596</v>
      </c>
      <c r="C3392" s="6" t="s">
        <v>1117</v>
      </c>
      <c r="D3392" s="6" t="s">
        <v>943</v>
      </c>
      <c r="E3392" s="6"/>
      <c r="G3392" s="6">
        <v>140</v>
      </c>
      <c r="H3392" s="6">
        <v>190</v>
      </c>
      <c r="K3392" s="7">
        <v>44007563</v>
      </c>
      <c r="L3392" s="6" t="str">
        <f t="shared" si="315"/>
        <v>YT MEDİ COOT  YATAK  140x190</v>
      </c>
      <c r="M3392" s="12">
        <v>0.1</v>
      </c>
      <c r="N3392" s="12">
        <v>0.1</v>
      </c>
      <c r="O3392" s="8">
        <v>8130</v>
      </c>
      <c r="P3392" s="8">
        <f t="shared" si="316"/>
        <v>7317</v>
      </c>
      <c r="Q3392" s="12">
        <f t="shared" si="317"/>
        <v>15365.7</v>
      </c>
      <c r="R3392" s="31">
        <f t="shared" si="318"/>
        <v>15300</v>
      </c>
    </row>
    <row r="3393" spans="1:18" ht="21.95" customHeight="1" x14ac:dyDescent="0.2">
      <c r="A3393" s="6" t="s">
        <v>943</v>
      </c>
      <c r="B3393" s="6" t="s">
        <v>1596</v>
      </c>
      <c r="C3393" s="6" t="s">
        <v>1117</v>
      </c>
      <c r="D3393" s="6" t="s">
        <v>943</v>
      </c>
      <c r="E3393" s="6"/>
      <c r="G3393" s="6">
        <v>140</v>
      </c>
      <c r="H3393" s="6">
        <v>200</v>
      </c>
      <c r="K3393" s="7">
        <v>44007564</v>
      </c>
      <c r="L3393" s="6" t="str">
        <f t="shared" si="315"/>
        <v>YT MEDİ COOT  YATAK  140x200</v>
      </c>
      <c r="M3393" s="12">
        <v>0.1</v>
      </c>
      <c r="N3393" s="12">
        <v>0.1</v>
      </c>
      <c r="O3393" s="8">
        <v>8170</v>
      </c>
      <c r="P3393" s="8">
        <f t="shared" si="316"/>
        <v>7353</v>
      </c>
      <c r="Q3393" s="12">
        <f t="shared" si="317"/>
        <v>15441.300000000001</v>
      </c>
      <c r="R3393" s="31">
        <f t="shared" si="318"/>
        <v>15400</v>
      </c>
    </row>
    <row r="3394" spans="1:18" ht="21.95" customHeight="1" x14ac:dyDescent="0.2">
      <c r="A3394" s="6" t="s">
        <v>943</v>
      </c>
      <c r="B3394" s="6" t="s">
        <v>1596</v>
      </c>
      <c r="C3394" s="6" t="s">
        <v>1117</v>
      </c>
      <c r="D3394" s="6" t="s">
        <v>943</v>
      </c>
      <c r="E3394" s="6"/>
      <c r="G3394" s="6">
        <v>150</v>
      </c>
      <c r="H3394" s="6">
        <v>200</v>
      </c>
      <c r="K3394" s="7">
        <v>44007565</v>
      </c>
      <c r="L3394" s="6" t="str">
        <f t="shared" si="315"/>
        <v>YT MEDİ COOT  YATAK  150x200</v>
      </c>
      <c r="M3394" s="12">
        <v>0.1</v>
      </c>
      <c r="N3394" s="12">
        <v>0.1</v>
      </c>
      <c r="O3394" s="8">
        <v>8300</v>
      </c>
      <c r="P3394" s="8">
        <f t="shared" si="316"/>
        <v>7470</v>
      </c>
      <c r="Q3394" s="12">
        <f t="shared" si="317"/>
        <v>15687</v>
      </c>
      <c r="R3394" s="31">
        <f t="shared" si="318"/>
        <v>15600</v>
      </c>
    </row>
    <row r="3395" spans="1:18" ht="21.95" customHeight="1" x14ac:dyDescent="0.2">
      <c r="A3395" s="6" t="s">
        <v>943</v>
      </c>
      <c r="B3395" s="6" t="s">
        <v>1596</v>
      </c>
      <c r="C3395" s="6" t="s">
        <v>1117</v>
      </c>
      <c r="D3395" s="6" t="s">
        <v>943</v>
      </c>
      <c r="E3395" s="6"/>
      <c r="G3395" s="6">
        <v>160</v>
      </c>
      <c r="H3395" s="6">
        <v>200</v>
      </c>
      <c r="K3395" s="7">
        <v>44007566</v>
      </c>
      <c r="L3395" s="6" t="str">
        <f t="shared" si="315"/>
        <v>YT MEDİ COOT  YATAK  160x200</v>
      </c>
      <c r="M3395" s="12">
        <v>0.1</v>
      </c>
      <c r="N3395" s="12">
        <v>0.1</v>
      </c>
      <c r="O3395" s="8">
        <v>8630</v>
      </c>
      <c r="P3395" s="8">
        <f t="shared" si="316"/>
        <v>7767</v>
      </c>
      <c r="Q3395" s="12">
        <f t="shared" si="317"/>
        <v>16310.7</v>
      </c>
      <c r="R3395" s="31">
        <f t="shared" si="318"/>
        <v>16300</v>
      </c>
    </row>
    <row r="3396" spans="1:18" ht="21.95" customHeight="1" x14ac:dyDescent="0.2">
      <c r="A3396" s="6" t="s">
        <v>943</v>
      </c>
      <c r="B3396" s="6" t="s">
        <v>1596</v>
      </c>
      <c r="C3396" s="6" t="s">
        <v>1117</v>
      </c>
      <c r="D3396" s="6" t="s">
        <v>943</v>
      </c>
      <c r="E3396" s="6"/>
      <c r="G3396" s="6">
        <v>180</v>
      </c>
      <c r="H3396" s="6">
        <v>200</v>
      </c>
      <c r="K3396" s="7">
        <v>44007567</v>
      </c>
      <c r="L3396" s="6" t="str">
        <f t="shared" ref="L3396:L3459" si="319">B3396&amp;" "&amp;C3396&amp;" "&amp;D3396&amp;" "&amp;G3396&amp;"x"&amp;H3396</f>
        <v>YT MEDİ COOT  YATAK  180x200</v>
      </c>
      <c r="M3396" s="12">
        <v>0.1</v>
      </c>
      <c r="N3396" s="12">
        <v>0.1</v>
      </c>
      <c r="O3396" s="8">
        <v>9400</v>
      </c>
      <c r="P3396" s="8">
        <f t="shared" si="316"/>
        <v>8460</v>
      </c>
      <c r="Q3396" s="12">
        <f t="shared" si="317"/>
        <v>17766</v>
      </c>
      <c r="R3396" s="31">
        <f t="shared" si="318"/>
        <v>17700</v>
      </c>
    </row>
    <row r="3397" spans="1:18" ht="21.95" customHeight="1" x14ac:dyDescent="0.2">
      <c r="A3397" s="6" t="s">
        <v>943</v>
      </c>
      <c r="B3397" s="6" t="s">
        <v>1596</v>
      </c>
      <c r="C3397" s="6" t="s">
        <v>1117</v>
      </c>
      <c r="D3397" s="6" t="s">
        <v>943</v>
      </c>
      <c r="E3397" s="6"/>
      <c r="G3397" s="6">
        <v>200</v>
      </c>
      <c r="H3397" s="6">
        <v>200</v>
      </c>
      <c r="K3397" s="7">
        <v>44007568</v>
      </c>
      <c r="L3397" s="6" t="str">
        <f t="shared" si="319"/>
        <v>YT MEDİ COOT  YATAK  200x200</v>
      </c>
      <c r="M3397" s="12">
        <v>0.1</v>
      </c>
      <c r="N3397" s="12">
        <v>0.1</v>
      </c>
      <c r="O3397" s="8">
        <v>10550</v>
      </c>
      <c r="P3397" s="8">
        <f t="shared" si="316"/>
        <v>9495</v>
      </c>
      <c r="Q3397" s="12">
        <f t="shared" si="317"/>
        <v>19939.5</v>
      </c>
      <c r="R3397" s="31">
        <f t="shared" si="318"/>
        <v>19900</v>
      </c>
    </row>
    <row r="3398" spans="1:18" ht="21.95" customHeight="1" x14ac:dyDescent="0.2">
      <c r="A3398" s="6" t="s">
        <v>943</v>
      </c>
      <c r="B3398" s="6" t="s">
        <v>1596</v>
      </c>
      <c r="C3398" s="6" t="s">
        <v>1118</v>
      </c>
      <c r="D3398" s="6" t="s">
        <v>943</v>
      </c>
      <c r="E3398" s="6"/>
      <c r="G3398" s="6">
        <v>90</v>
      </c>
      <c r="H3398" s="6">
        <v>190</v>
      </c>
      <c r="K3398" s="7">
        <v>44007569</v>
      </c>
      <c r="L3398" s="6" t="str">
        <f t="shared" si="319"/>
        <v>YT LOVELY MOON  YATAK  90x190</v>
      </c>
      <c r="M3398" s="12">
        <v>0.1</v>
      </c>
      <c r="N3398" s="12">
        <v>0.1</v>
      </c>
      <c r="O3398" s="8">
        <v>5240</v>
      </c>
      <c r="P3398" s="8">
        <f t="shared" si="316"/>
        <v>4716</v>
      </c>
      <c r="Q3398" s="12">
        <f t="shared" si="317"/>
        <v>9903.6</v>
      </c>
      <c r="R3398" s="31">
        <f t="shared" si="318"/>
        <v>9900</v>
      </c>
    </row>
    <row r="3399" spans="1:18" ht="21.95" customHeight="1" x14ac:dyDescent="0.2">
      <c r="A3399" s="6" t="s">
        <v>943</v>
      </c>
      <c r="B3399" s="6" t="s">
        <v>1596</v>
      </c>
      <c r="C3399" s="6" t="s">
        <v>1118</v>
      </c>
      <c r="D3399" s="6" t="s">
        <v>943</v>
      </c>
      <c r="E3399" s="6"/>
      <c r="G3399" s="6">
        <v>90</v>
      </c>
      <c r="H3399" s="6">
        <v>200</v>
      </c>
      <c r="K3399" s="7">
        <v>44007570</v>
      </c>
      <c r="L3399" s="6" t="str">
        <f t="shared" si="319"/>
        <v>YT LOVELY MOON  YATAK  90x200</v>
      </c>
      <c r="M3399" s="12">
        <v>0.1</v>
      </c>
      <c r="N3399" s="12">
        <v>0.1</v>
      </c>
      <c r="O3399" s="8">
        <v>5400</v>
      </c>
      <c r="P3399" s="8">
        <f t="shared" si="316"/>
        <v>4860</v>
      </c>
      <c r="Q3399" s="12">
        <f t="shared" si="317"/>
        <v>10206</v>
      </c>
      <c r="R3399" s="31">
        <f t="shared" si="318"/>
        <v>10200</v>
      </c>
    </row>
    <row r="3400" spans="1:18" ht="21.95" customHeight="1" x14ac:dyDescent="0.2">
      <c r="A3400" s="6" t="s">
        <v>943</v>
      </c>
      <c r="B3400" s="6" t="s">
        <v>1596</v>
      </c>
      <c r="C3400" s="6" t="s">
        <v>1118</v>
      </c>
      <c r="D3400" s="6" t="s">
        <v>943</v>
      </c>
      <c r="E3400" s="6"/>
      <c r="G3400" s="6">
        <v>100</v>
      </c>
      <c r="H3400" s="6">
        <v>200</v>
      </c>
      <c r="K3400" s="7">
        <v>44007571</v>
      </c>
      <c r="L3400" s="6" t="str">
        <f t="shared" si="319"/>
        <v>YT LOVELY MOON  YATAK  100x200</v>
      </c>
      <c r="M3400" s="12">
        <v>0.1</v>
      </c>
      <c r="N3400" s="12">
        <v>0.1</v>
      </c>
      <c r="O3400" s="8">
        <v>5590</v>
      </c>
      <c r="P3400" s="8">
        <f t="shared" si="316"/>
        <v>5031</v>
      </c>
      <c r="Q3400" s="12">
        <f t="shared" si="317"/>
        <v>10565.1</v>
      </c>
      <c r="R3400" s="31">
        <f t="shared" si="318"/>
        <v>10500</v>
      </c>
    </row>
    <row r="3401" spans="1:18" ht="21.95" customHeight="1" x14ac:dyDescent="0.2">
      <c r="A3401" s="6" t="s">
        <v>943</v>
      </c>
      <c r="B3401" s="6" t="s">
        <v>1596</v>
      </c>
      <c r="C3401" s="6" t="s">
        <v>1118</v>
      </c>
      <c r="D3401" s="6" t="s">
        <v>943</v>
      </c>
      <c r="E3401" s="6"/>
      <c r="G3401" s="6">
        <v>120</v>
      </c>
      <c r="H3401" s="6">
        <v>200</v>
      </c>
      <c r="K3401" s="7">
        <v>44007572</v>
      </c>
      <c r="L3401" s="6" t="str">
        <f t="shared" si="319"/>
        <v>YT LOVELY MOON  YATAK  120x200</v>
      </c>
      <c r="M3401" s="12">
        <v>0.1</v>
      </c>
      <c r="N3401" s="12">
        <v>0.1</v>
      </c>
      <c r="O3401" s="8">
        <v>6710</v>
      </c>
      <c r="P3401" s="8">
        <f t="shared" si="316"/>
        <v>6039</v>
      </c>
      <c r="Q3401" s="12">
        <f t="shared" si="317"/>
        <v>12681.9</v>
      </c>
      <c r="R3401" s="31">
        <f t="shared" si="318"/>
        <v>12600</v>
      </c>
    </row>
    <row r="3402" spans="1:18" ht="21.95" customHeight="1" x14ac:dyDescent="0.2">
      <c r="A3402" s="6" t="s">
        <v>943</v>
      </c>
      <c r="B3402" s="6" t="s">
        <v>1596</v>
      </c>
      <c r="C3402" s="6" t="s">
        <v>1118</v>
      </c>
      <c r="D3402" s="6" t="s">
        <v>943</v>
      </c>
      <c r="E3402" s="6"/>
      <c r="G3402" s="6">
        <v>140</v>
      </c>
      <c r="H3402" s="6">
        <v>190</v>
      </c>
      <c r="K3402" s="7">
        <v>44007573</v>
      </c>
      <c r="L3402" s="6" t="str">
        <f t="shared" si="319"/>
        <v>YT LOVELY MOON  YATAK  140x190</v>
      </c>
      <c r="M3402" s="12">
        <v>0.1</v>
      </c>
      <c r="N3402" s="12">
        <v>0.1</v>
      </c>
      <c r="O3402" s="8">
        <v>7420</v>
      </c>
      <c r="P3402" s="8">
        <f t="shared" si="316"/>
        <v>6678</v>
      </c>
      <c r="Q3402" s="12">
        <f t="shared" si="317"/>
        <v>14023.800000000001</v>
      </c>
      <c r="R3402" s="31">
        <f t="shared" si="318"/>
        <v>14000</v>
      </c>
    </row>
    <row r="3403" spans="1:18" ht="21.95" customHeight="1" x14ac:dyDescent="0.2">
      <c r="A3403" s="6" t="s">
        <v>943</v>
      </c>
      <c r="B3403" s="6" t="s">
        <v>1596</v>
      </c>
      <c r="C3403" s="6" t="s">
        <v>1118</v>
      </c>
      <c r="D3403" s="6" t="s">
        <v>943</v>
      </c>
      <c r="E3403" s="6"/>
      <c r="G3403" s="6">
        <v>140</v>
      </c>
      <c r="H3403" s="6">
        <v>200</v>
      </c>
      <c r="K3403" s="7">
        <v>44007574</v>
      </c>
      <c r="L3403" s="6" t="str">
        <f t="shared" si="319"/>
        <v>YT LOVELY MOON  YATAK  140x200</v>
      </c>
      <c r="M3403" s="12">
        <v>0.1</v>
      </c>
      <c r="N3403" s="12">
        <v>0.1</v>
      </c>
      <c r="O3403" s="8">
        <v>7800</v>
      </c>
      <c r="P3403" s="8">
        <f t="shared" si="316"/>
        <v>7020</v>
      </c>
      <c r="Q3403" s="12">
        <f t="shared" si="317"/>
        <v>14742</v>
      </c>
      <c r="R3403" s="31">
        <f t="shared" si="318"/>
        <v>14700</v>
      </c>
    </row>
    <row r="3404" spans="1:18" ht="21.95" customHeight="1" x14ac:dyDescent="0.2">
      <c r="A3404" s="6" t="s">
        <v>943</v>
      </c>
      <c r="B3404" s="6" t="s">
        <v>1596</v>
      </c>
      <c r="C3404" s="6" t="s">
        <v>1118</v>
      </c>
      <c r="D3404" s="6" t="s">
        <v>943</v>
      </c>
      <c r="E3404" s="6"/>
      <c r="G3404" s="6">
        <v>150</v>
      </c>
      <c r="H3404" s="6">
        <v>200</v>
      </c>
      <c r="K3404" s="7">
        <v>44007575</v>
      </c>
      <c r="L3404" s="6" t="str">
        <f t="shared" si="319"/>
        <v>YT LOVELY MOON  YATAK  150x200</v>
      </c>
      <c r="M3404" s="12">
        <v>0.1</v>
      </c>
      <c r="N3404" s="12">
        <v>0.1</v>
      </c>
      <c r="O3404" s="8">
        <v>8280</v>
      </c>
      <c r="P3404" s="8">
        <f t="shared" si="316"/>
        <v>7452</v>
      </c>
      <c r="Q3404" s="12">
        <f t="shared" si="317"/>
        <v>15649.2</v>
      </c>
      <c r="R3404" s="31">
        <f t="shared" si="318"/>
        <v>15600</v>
      </c>
    </row>
    <row r="3405" spans="1:18" ht="21.95" customHeight="1" x14ac:dyDescent="0.2">
      <c r="A3405" s="6" t="s">
        <v>943</v>
      </c>
      <c r="B3405" s="6" t="s">
        <v>1596</v>
      </c>
      <c r="C3405" s="6" t="s">
        <v>1118</v>
      </c>
      <c r="D3405" s="6" t="s">
        <v>943</v>
      </c>
      <c r="E3405" s="6"/>
      <c r="G3405" s="6">
        <v>160</v>
      </c>
      <c r="H3405" s="6">
        <v>200</v>
      </c>
      <c r="K3405" s="7">
        <v>44007576</v>
      </c>
      <c r="L3405" s="6" t="str">
        <f t="shared" si="319"/>
        <v>YT LOVELY MOON  YATAK  160x200</v>
      </c>
      <c r="M3405" s="12">
        <v>0.1</v>
      </c>
      <c r="N3405" s="12">
        <v>0.1</v>
      </c>
      <c r="O3405" s="8">
        <v>8800</v>
      </c>
      <c r="P3405" s="8">
        <f t="shared" si="316"/>
        <v>7920</v>
      </c>
      <c r="Q3405" s="12">
        <f t="shared" si="317"/>
        <v>16632</v>
      </c>
      <c r="R3405" s="31">
        <f t="shared" si="318"/>
        <v>16600</v>
      </c>
    </row>
    <row r="3406" spans="1:18" ht="21.95" customHeight="1" x14ac:dyDescent="0.2">
      <c r="A3406" s="6" t="s">
        <v>943</v>
      </c>
      <c r="B3406" s="6" t="s">
        <v>1596</v>
      </c>
      <c r="C3406" s="6" t="s">
        <v>1118</v>
      </c>
      <c r="D3406" s="6" t="s">
        <v>943</v>
      </c>
      <c r="E3406" s="6"/>
      <c r="G3406" s="6">
        <v>180</v>
      </c>
      <c r="H3406" s="6">
        <v>200</v>
      </c>
      <c r="K3406" s="7">
        <v>44007577</v>
      </c>
      <c r="L3406" s="6" t="str">
        <f t="shared" si="319"/>
        <v>YT LOVELY MOON  YATAK  180x200</v>
      </c>
      <c r="M3406" s="12">
        <v>0.1</v>
      </c>
      <c r="N3406" s="12">
        <v>0.1</v>
      </c>
      <c r="O3406" s="8">
        <v>9420</v>
      </c>
      <c r="P3406" s="8">
        <f t="shared" ref="P3406:P3469" si="320">O3406*(1-N3406)</f>
        <v>8478</v>
      </c>
      <c r="Q3406" s="12">
        <f t="shared" ref="Q3406:Q3469" si="321">O3406*(1-N3406)*2.1</f>
        <v>17803.8</v>
      </c>
      <c r="R3406" s="31">
        <f t="shared" ref="R3406:R3469" si="322">ROUNDDOWN(Q3406,-2)</f>
        <v>17800</v>
      </c>
    </row>
    <row r="3407" spans="1:18" ht="21.95" customHeight="1" x14ac:dyDescent="0.2">
      <c r="A3407" s="6" t="s">
        <v>943</v>
      </c>
      <c r="B3407" s="6" t="s">
        <v>1596</v>
      </c>
      <c r="C3407" s="6" t="s">
        <v>1118</v>
      </c>
      <c r="D3407" s="6" t="s">
        <v>943</v>
      </c>
      <c r="E3407" s="6"/>
      <c r="G3407" s="6">
        <v>200</v>
      </c>
      <c r="H3407" s="6">
        <v>200</v>
      </c>
      <c r="K3407" s="7">
        <v>44007578</v>
      </c>
      <c r="L3407" s="6" t="str">
        <f t="shared" si="319"/>
        <v>YT LOVELY MOON  YATAK  200x200</v>
      </c>
      <c r="M3407" s="12">
        <v>0.1</v>
      </c>
      <c r="N3407" s="12">
        <v>0.1</v>
      </c>
      <c r="O3407" s="8">
        <v>10560</v>
      </c>
      <c r="P3407" s="8">
        <f t="shared" si="320"/>
        <v>9504</v>
      </c>
      <c r="Q3407" s="12">
        <f t="shared" si="321"/>
        <v>19958.400000000001</v>
      </c>
      <c r="R3407" s="31">
        <f t="shared" si="322"/>
        <v>19900</v>
      </c>
    </row>
    <row r="3408" spans="1:18" ht="21.95" customHeight="1" x14ac:dyDescent="0.2">
      <c r="A3408" s="6" t="s">
        <v>943</v>
      </c>
      <c r="B3408" s="6" t="s">
        <v>1596</v>
      </c>
      <c r="C3408" s="6" t="s">
        <v>967</v>
      </c>
      <c r="D3408" s="6" t="s">
        <v>943</v>
      </c>
      <c r="E3408" s="6"/>
      <c r="G3408" s="6">
        <v>140</v>
      </c>
      <c r="H3408" s="6">
        <v>190</v>
      </c>
      <c r="K3408" s="7">
        <v>44007579</v>
      </c>
      <c r="L3408" s="6" t="str">
        <f t="shared" si="319"/>
        <v>YT HERMES YATAK  140x190</v>
      </c>
      <c r="M3408" s="12">
        <v>0.1</v>
      </c>
      <c r="N3408" s="12">
        <v>0.1</v>
      </c>
      <c r="O3408" s="8">
        <v>7760</v>
      </c>
      <c r="P3408" s="8">
        <f t="shared" si="320"/>
        <v>6984</v>
      </c>
      <c r="Q3408" s="12">
        <f t="shared" si="321"/>
        <v>14666.400000000001</v>
      </c>
      <c r="R3408" s="31">
        <f t="shared" si="322"/>
        <v>14600</v>
      </c>
    </row>
    <row r="3409" spans="1:18" ht="21.95" customHeight="1" x14ac:dyDescent="0.2">
      <c r="A3409" s="6" t="s">
        <v>943</v>
      </c>
      <c r="B3409" s="6" t="s">
        <v>1596</v>
      </c>
      <c r="C3409" s="6" t="s">
        <v>967</v>
      </c>
      <c r="D3409" s="6" t="s">
        <v>943</v>
      </c>
      <c r="E3409" s="6"/>
      <c r="G3409" s="6">
        <v>140</v>
      </c>
      <c r="H3409" s="6">
        <v>200</v>
      </c>
      <c r="K3409" s="7">
        <v>44007580</v>
      </c>
      <c r="L3409" s="6" t="str">
        <f t="shared" si="319"/>
        <v>YT HERMES YATAK  140x200</v>
      </c>
      <c r="M3409" s="12">
        <v>0.1</v>
      </c>
      <c r="N3409" s="12">
        <v>0.1</v>
      </c>
      <c r="O3409" s="8">
        <v>8090</v>
      </c>
      <c r="P3409" s="8">
        <f t="shared" si="320"/>
        <v>7281</v>
      </c>
      <c r="Q3409" s="12">
        <f t="shared" si="321"/>
        <v>15290.1</v>
      </c>
      <c r="R3409" s="31">
        <f t="shared" si="322"/>
        <v>15200</v>
      </c>
    </row>
    <row r="3410" spans="1:18" ht="21.95" customHeight="1" x14ac:dyDescent="0.2">
      <c r="A3410" s="6" t="s">
        <v>943</v>
      </c>
      <c r="B3410" s="6" t="s">
        <v>1596</v>
      </c>
      <c r="C3410" s="6" t="s">
        <v>1119</v>
      </c>
      <c r="D3410" s="6" t="s">
        <v>943</v>
      </c>
      <c r="E3410" s="6"/>
      <c r="G3410" s="6">
        <v>90</v>
      </c>
      <c r="H3410" s="6">
        <v>190</v>
      </c>
      <c r="K3410" s="7">
        <v>44007581</v>
      </c>
      <c r="L3410" s="6" t="str">
        <f t="shared" si="319"/>
        <v>YT MİRAY  YATAK  90x190</v>
      </c>
      <c r="M3410" s="12">
        <v>0.1</v>
      </c>
      <c r="N3410" s="12">
        <v>0.1</v>
      </c>
      <c r="O3410" s="8">
        <v>4090</v>
      </c>
      <c r="P3410" s="8">
        <f t="shared" si="320"/>
        <v>3681</v>
      </c>
      <c r="Q3410" s="12">
        <f t="shared" si="321"/>
        <v>7730.1</v>
      </c>
      <c r="R3410" s="31">
        <f t="shared" si="322"/>
        <v>7700</v>
      </c>
    </row>
    <row r="3411" spans="1:18" ht="21.95" customHeight="1" x14ac:dyDescent="0.2">
      <c r="A3411" s="6" t="s">
        <v>943</v>
      </c>
      <c r="B3411" s="6" t="s">
        <v>1596</v>
      </c>
      <c r="C3411" s="6" t="s">
        <v>1119</v>
      </c>
      <c r="D3411" s="6" t="s">
        <v>943</v>
      </c>
      <c r="E3411" s="6"/>
      <c r="G3411" s="6">
        <v>90</v>
      </c>
      <c r="H3411" s="6">
        <v>200</v>
      </c>
      <c r="K3411" s="7">
        <v>44007582</v>
      </c>
      <c r="L3411" s="6" t="str">
        <f t="shared" si="319"/>
        <v>YT MİRAY  YATAK  90x200</v>
      </c>
      <c r="M3411" s="12">
        <v>0.1</v>
      </c>
      <c r="N3411" s="12">
        <v>0.1</v>
      </c>
      <c r="O3411" s="8">
        <v>4370</v>
      </c>
      <c r="P3411" s="8">
        <f t="shared" si="320"/>
        <v>3933</v>
      </c>
      <c r="Q3411" s="12">
        <f t="shared" si="321"/>
        <v>8259.3000000000011</v>
      </c>
      <c r="R3411" s="31">
        <f t="shared" si="322"/>
        <v>8200</v>
      </c>
    </row>
    <row r="3412" spans="1:18" ht="21.95" customHeight="1" x14ac:dyDescent="0.2">
      <c r="A3412" s="6" t="s">
        <v>943</v>
      </c>
      <c r="B3412" s="6" t="s">
        <v>1596</v>
      </c>
      <c r="C3412" s="6" t="s">
        <v>1119</v>
      </c>
      <c r="D3412" s="6" t="s">
        <v>943</v>
      </c>
      <c r="E3412" s="6"/>
      <c r="G3412" s="6">
        <v>100</v>
      </c>
      <c r="H3412" s="6">
        <v>200</v>
      </c>
      <c r="K3412" s="7">
        <v>44007583</v>
      </c>
      <c r="L3412" s="6" t="str">
        <f t="shared" si="319"/>
        <v>YT MİRAY  YATAK  100x200</v>
      </c>
      <c r="M3412" s="12">
        <v>0.1</v>
      </c>
      <c r="N3412" s="12">
        <v>0.1</v>
      </c>
      <c r="O3412" s="8">
        <v>4720</v>
      </c>
      <c r="P3412" s="8">
        <f t="shared" si="320"/>
        <v>4248</v>
      </c>
      <c r="Q3412" s="12">
        <f t="shared" si="321"/>
        <v>8920.8000000000011</v>
      </c>
      <c r="R3412" s="31">
        <f t="shared" si="322"/>
        <v>8900</v>
      </c>
    </row>
    <row r="3413" spans="1:18" ht="21.95" customHeight="1" x14ac:dyDescent="0.2">
      <c r="A3413" s="6" t="s">
        <v>943</v>
      </c>
      <c r="B3413" s="6" t="s">
        <v>1596</v>
      </c>
      <c r="C3413" s="6" t="s">
        <v>1119</v>
      </c>
      <c r="D3413" s="6" t="s">
        <v>943</v>
      </c>
      <c r="E3413" s="6"/>
      <c r="G3413" s="6">
        <v>120</v>
      </c>
      <c r="H3413" s="6">
        <v>200</v>
      </c>
      <c r="K3413" s="7">
        <v>44007584</v>
      </c>
      <c r="L3413" s="6" t="str">
        <f t="shared" si="319"/>
        <v>YT MİRAY  YATAK  120x200</v>
      </c>
      <c r="M3413" s="12">
        <v>0.1</v>
      </c>
      <c r="N3413" s="12">
        <v>0.1</v>
      </c>
      <c r="O3413" s="8">
        <v>5430</v>
      </c>
      <c r="P3413" s="8">
        <f t="shared" si="320"/>
        <v>4887</v>
      </c>
      <c r="Q3413" s="12">
        <f t="shared" si="321"/>
        <v>10262.700000000001</v>
      </c>
      <c r="R3413" s="31">
        <f t="shared" si="322"/>
        <v>10200</v>
      </c>
    </row>
    <row r="3414" spans="1:18" ht="21.95" customHeight="1" x14ac:dyDescent="0.2">
      <c r="A3414" s="6" t="s">
        <v>943</v>
      </c>
      <c r="B3414" s="6" t="s">
        <v>1596</v>
      </c>
      <c r="C3414" s="6" t="s">
        <v>1119</v>
      </c>
      <c r="D3414" s="6" t="s">
        <v>943</v>
      </c>
      <c r="E3414" s="6"/>
      <c r="G3414" s="6">
        <v>140</v>
      </c>
      <c r="H3414" s="6">
        <v>190</v>
      </c>
      <c r="K3414" s="7">
        <v>44007585</v>
      </c>
      <c r="L3414" s="6" t="str">
        <f t="shared" si="319"/>
        <v>YT MİRAY  YATAK  140x190</v>
      </c>
      <c r="M3414" s="12">
        <v>0.1</v>
      </c>
      <c r="N3414" s="12">
        <v>0.1</v>
      </c>
      <c r="O3414" s="8">
        <v>6210</v>
      </c>
      <c r="P3414" s="8">
        <f t="shared" si="320"/>
        <v>5589</v>
      </c>
      <c r="Q3414" s="12">
        <f t="shared" si="321"/>
        <v>11736.9</v>
      </c>
      <c r="R3414" s="31">
        <f t="shared" si="322"/>
        <v>11700</v>
      </c>
    </row>
    <row r="3415" spans="1:18" ht="21.95" customHeight="1" x14ac:dyDescent="0.2">
      <c r="A3415" s="6" t="s">
        <v>943</v>
      </c>
      <c r="B3415" s="6" t="s">
        <v>1596</v>
      </c>
      <c r="C3415" s="6" t="s">
        <v>1119</v>
      </c>
      <c r="D3415" s="6" t="s">
        <v>943</v>
      </c>
      <c r="E3415" s="6"/>
      <c r="G3415" s="6">
        <v>140</v>
      </c>
      <c r="H3415" s="6">
        <v>200</v>
      </c>
      <c r="K3415" s="7">
        <v>44007586</v>
      </c>
      <c r="L3415" s="6" t="str">
        <f t="shared" si="319"/>
        <v>YT MİRAY  YATAK  140x200</v>
      </c>
      <c r="M3415" s="12">
        <v>0.1</v>
      </c>
      <c r="N3415" s="12">
        <v>0.1</v>
      </c>
      <c r="O3415" s="8">
        <v>6410</v>
      </c>
      <c r="P3415" s="8">
        <f t="shared" si="320"/>
        <v>5769</v>
      </c>
      <c r="Q3415" s="12">
        <f t="shared" si="321"/>
        <v>12114.9</v>
      </c>
      <c r="R3415" s="31">
        <f t="shared" si="322"/>
        <v>12100</v>
      </c>
    </row>
    <row r="3416" spans="1:18" ht="21.95" customHeight="1" x14ac:dyDescent="0.2">
      <c r="A3416" s="6" t="s">
        <v>943</v>
      </c>
      <c r="B3416" s="6" t="s">
        <v>1596</v>
      </c>
      <c r="C3416" s="6" t="s">
        <v>1065</v>
      </c>
      <c r="D3416" s="6" t="s">
        <v>943</v>
      </c>
      <c r="E3416" s="6"/>
      <c r="G3416" s="6">
        <v>90</v>
      </c>
      <c r="H3416" s="6">
        <v>190</v>
      </c>
      <c r="K3416" s="7">
        <v>44007587</v>
      </c>
      <c r="L3416" s="6" t="str">
        <f t="shared" si="319"/>
        <v>YT NOVA  YATAK  90x190</v>
      </c>
      <c r="M3416" s="12">
        <v>0.1</v>
      </c>
      <c r="N3416" s="12">
        <v>0.1</v>
      </c>
      <c r="O3416" s="8">
        <v>5080</v>
      </c>
      <c r="P3416" s="8">
        <f t="shared" si="320"/>
        <v>4572</v>
      </c>
      <c r="Q3416" s="12">
        <f t="shared" si="321"/>
        <v>9601.2000000000007</v>
      </c>
      <c r="R3416" s="31">
        <f t="shared" si="322"/>
        <v>9600</v>
      </c>
    </row>
    <row r="3417" spans="1:18" ht="21.95" customHeight="1" x14ac:dyDescent="0.2">
      <c r="A3417" s="6" t="s">
        <v>943</v>
      </c>
      <c r="B3417" s="6" t="s">
        <v>1596</v>
      </c>
      <c r="C3417" s="6" t="s">
        <v>1065</v>
      </c>
      <c r="D3417" s="6" t="s">
        <v>943</v>
      </c>
      <c r="E3417" s="6"/>
      <c r="G3417" s="6">
        <v>90</v>
      </c>
      <c r="H3417" s="6">
        <v>200</v>
      </c>
      <c r="K3417" s="7">
        <v>44007588</v>
      </c>
      <c r="L3417" s="6" t="str">
        <f t="shared" si="319"/>
        <v>YT NOVA  YATAK  90x200</v>
      </c>
      <c r="M3417" s="12">
        <v>0.1</v>
      </c>
      <c r="N3417" s="12">
        <v>0.1</v>
      </c>
      <c r="O3417" s="8">
        <v>5370</v>
      </c>
      <c r="P3417" s="8">
        <f t="shared" si="320"/>
        <v>4833</v>
      </c>
      <c r="Q3417" s="12">
        <f t="shared" si="321"/>
        <v>10149.300000000001</v>
      </c>
      <c r="R3417" s="31">
        <f t="shared" si="322"/>
        <v>10100</v>
      </c>
    </row>
    <row r="3418" spans="1:18" ht="21.95" customHeight="1" x14ac:dyDescent="0.2">
      <c r="A3418" s="6" t="s">
        <v>943</v>
      </c>
      <c r="B3418" s="6" t="s">
        <v>1596</v>
      </c>
      <c r="C3418" s="6" t="s">
        <v>1065</v>
      </c>
      <c r="D3418" s="6" t="s">
        <v>943</v>
      </c>
      <c r="E3418" s="6"/>
      <c r="G3418" s="6">
        <v>100</v>
      </c>
      <c r="H3418" s="6">
        <v>200</v>
      </c>
      <c r="K3418" s="7">
        <v>44007589</v>
      </c>
      <c r="L3418" s="6" t="str">
        <f t="shared" si="319"/>
        <v>YT NOVA  YATAK  100x200</v>
      </c>
      <c r="M3418" s="12">
        <v>0.1</v>
      </c>
      <c r="N3418" s="12">
        <v>0.1</v>
      </c>
      <c r="O3418" s="8">
        <v>5950</v>
      </c>
      <c r="P3418" s="8">
        <f t="shared" si="320"/>
        <v>5355</v>
      </c>
      <c r="Q3418" s="12">
        <f t="shared" si="321"/>
        <v>11245.5</v>
      </c>
      <c r="R3418" s="31">
        <f t="shared" si="322"/>
        <v>11200</v>
      </c>
    </row>
    <row r="3419" spans="1:18" ht="21.95" customHeight="1" x14ac:dyDescent="0.2">
      <c r="A3419" s="6" t="s">
        <v>943</v>
      </c>
      <c r="B3419" s="6" t="s">
        <v>1596</v>
      </c>
      <c r="C3419" s="6" t="s">
        <v>1065</v>
      </c>
      <c r="D3419" s="6" t="s">
        <v>943</v>
      </c>
      <c r="E3419" s="6"/>
      <c r="G3419" s="6">
        <v>140</v>
      </c>
      <c r="H3419" s="6">
        <v>190</v>
      </c>
      <c r="K3419" s="7">
        <v>44007590</v>
      </c>
      <c r="L3419" s="6" t="str">
        <f t="shared" si="319"/>
        <v>YT NOVA  YATAK  140x190</v>
      </c>
      <c r="M3419" s="12">
        <v>0.1</v>
      </c>
      <c r="N3419" s="12">
        <v>0.1</v>
      </c>
      <c r="O3419" s="8">
        <v>7910</v>
      </c>
      <c r="P3419" s="8">
        <f t="shared" si="320"/>
        <v>7119</v>
      </c>
      <c r="Q3419" s="12">
        <f t="shared" si="321"/>
        <v>14949.900000000001</v>
      </c>
      <c r="R3419" s="31">
        <f t="shared" si="322"/>
        <v>14900</v>
      </c>
    </row>
    <row r="3420" spans="1:18" ht="21.95" customHeight="1" x14ac:dyDescent="0.2">
      <c r="A3420" s="6" t="s">
        <v>943</v>
      </c>
      <c r="B3420" s="6" t="s">
        <v>1596</v>
      </c>
      <c r="C3420" s="6" t="s">
        <v>1065</v>
      </c>
      <c r="D3420" s="6" t="s">
        <v>943</v>
      </c>
      <c r="E3420" s="6"/>
      <c r="G3420" s="6">
        <v>140</v>
      </c>
      <c r="H3420" s="6">
        <v>200</v>
      </c>
      <c r="K3420" s="7">
        <v>44007591</v>
      </c>
      <c r="L3420" s="6" t="str">
        <f t="shared" si="319"/>
        <v>YT NOVA  YATAK  140x200</v>
      </c>
      <c r="M3420" s="12">
        <v>0.1</v>
      </c>
      <c r="N3420" s="12">
        <v>0.1</v>
      </c>
      <c r="O3420" s="8">
        <v>8310</v>
      </c>
      <c r="P3420" s="8">
        <f t="shared" si="320"/>
        <v>7479</v>
      </c>
      <c r="Q3420" s="12">
        <f t="shared" si="321"/>
        <v>15705.900000000001</v>
      </c>
      <c r="R3420" s="31">
        <f t="shared" si="322"/>
        <v>15700</v>
      </c>
    </row>
    <row r="3421" spans="1:18" ht="21.95" customHeight="1" x14ac:dyDescent="0.2">
      <c r="A3421" s="6" t="s">
        <v>943</v>
      </c>
      <c r="B3421" s="6" t="s">
        <v>1596</v>
      </c>
      <c r="C3421" s="6" t="s">
        <v>1120</v>
      </c>
      <c r="D3421" s="6" t="s">
        <v>943</v>
      </c>
      <c r="E3421" s="6"/>
      <c r="G3421" s="6">
        <v>90</v>
      </c>
      <c r="H3421" s="6">
        <v>190</v>
      </c>
      <c r="K3421" s="7">
        <v>44007592</v>
      </c>
      <c r="L3421" s="6" t="str">
        <f t="shared" si="319"/>
        <v>YT FİRUZE + YATAK  90x190</v>
      </c>
      <c r="M3421" s="12">
        <v>0.1</v>
      </c>
      <c r="N3421" s="12">
        <v>0.1</v>
      </c>
      <c r="O3421" s="8">
        <v>5040</v>
      </c>
      <c r="P3421" s="8">
        <f t="shared" si="320"/>
        <v>4536</v>
      </c>
      <c r="Q3421" s="12">
        <f t="shared" si="321"/>
        <v>9525.6</v>
      </c>
      <c r="R3421" s="31">
        <f t="shared" si="322"/>
        <v>9500</v>
      </c>
    </row>
    <row r="3422" spans="1:18" ht="21.95" customHeight="1" x14ac:dyDescent="0.2">
      <c r="A3422" s="6" t="s">
        <v>943</v>
      </c>
      <c r="B3422" s="6" t="s">
        <v>1596</v>
      </c>
      <c r="C3422" s="6" t="s">
        <v>1120</v>
      </c>
      <c r="D3422" s="6" t="s">
        <v>943</v>
      </c>
      <c r="E3422" s="6"/>
      <c r="G3422" s="6">
        <v>90</v>
      </c>
      <c r="H3422" s="6">
        <v>200</v>
      </c>
      <c r="K3422" s="7">
        <v>44007593</v>
      </c>
      <c r="L3422" s="6" t="str">
        <f t="shared" si="319"/>
        <v>YT FİRUZE + YATAK  90x200</v>
      </c>
      <c r="M3422" s="12">
        <v>0.1</v>
      </c>
      <c r="N3422" s="12">
        <v>0.1</v>
      </c>
      <c r="O3422" s="8">
        <v>5410</v>
      </c>
      <c r="P3422" s="8">
        <f t="shared" si="320"/>
        <v>4869</v>
      </c>
      <c r="Q3422" s="12">
        <f t="shared" si="321"/>
        <v>10224.9</v>
      </c>
      <c r="R3422" s="31">
        <f t="shared" si="322"/>
        <v>10200</v>
      </c>
    </row>
    <row r="3423" spans="1:18" ht="21.95" customHeight="1" x14ac:dyDescent="0.2">
      <c r="A3423" s="6" t="s">
        <v>943</v>
      </c>
      <c r="B3423" s="6" t="s">
        <v>1596</v>
      </c>
      <c r="C3423" s="6" t="s">
        <v>1120</v>
      </c>
      <c r="D3423" s="6" t="s">
        <v>943</v>
      </c>
      <c r="E3423" s="6"/>
      <c r="G3423" s="6">
        <v>100</v>
      </c>
      <c r="H3423" s="6">
        <v>200</v>
      </c>
      <c r="K3423" s="7">
        <v>44007594</v>
      </c>
      <c r="L3423" s="6" t="str">
        <f t="shared" si="319"/>
        <v>YT FİRUZE + YATAK  100x200</v>
      </c>
      <c r="M3423" s="12">
        <v>0.1</v>
      </c>
      <c r="N3423" s="12">
        <v>0.1</v>
      </c>
      <c r="O3423" s="8">
        <v>5900</v>
      </c>
      <c r="P3423" s="8">
        <f t="shared" si="320"/>
        <v>5310</v>
      </c>
      <c r="Q3423" s="12">
        <f t="shared" si="321"/>
        <v>11151</v>
      </c>
      <c r="R3423" s="31">
        <f t="shared" si="322"/>
        <v>11100</v>
      </c>
    </row>
    <row r="3424" spans="1:18" ht="21.95" customHeight="1" x14ac:dyDescent="0.2">
      <c r="A3424" s="6" t="s">
        <v>943</v>
      </c>
      <c r="B3424" s="6" t="s">
        <v>1596</v>
      </c>
      <c r="C3424" s="6" t="s">
        <v>1120</v>
      </c>
      <c r="D3424" s="6" t="s">
        <v>943</v>
      </c>
      <c r="E3424" s="6"/>
      <c r="G3424" s="6">
        <v>120</v>
      </c>
      <c r="H3424" s="6">
        <v>200</v>
      </c>
      <c r="K3424" s="7">
        <v>44007595</v>
      </c>
      <c r="L3424" s="6" t="str">
        <f t="shared" si="319"/>
        <v>YT FİRUZE + YATAK  120x200</v>
      </c>
      <c r="M3424" s="12">
        <v>0.1</v>
      </c>
      <c r="N3424" s="12">
        <v>0.1</v>
      </c>
      <c r="O3424" s="8">
        <v>6570</v>
      </c>
      <c r="P3424" s="8">
        <f t="shared" si="320"/>
        <v>5913</v>
      </c>
      <c r="Q3424" s="12">
        <f t="shared" si="321"/>
        <v>12417.300000000001</v>
      </c>
      <c r="R3424" s="31">
        <f t="shared" si="322"/>
        <v>12400</v>
      </c>
    </row>
    <row r="3425" spans="1:18" ht="21.95" customHeight="1" x14ac:dyDescent="0.2">
      <c r="A3425" s="6" t="s">
        <v>943</v>
      </c>
      <c r="B3425" s="6" t="s">
        <v>1596</v>
      </c>
      <c r="C3425" s="6" t="s">
        <v>1120</v>
      </c>
      <c r="D3425" s="6" t="s">
        <v>943</v>
      </c>
      <c r="E3425" s="6"/>
      <c r="G3425" s="6">
        <v>140</v>
      </c>
      <c r="H3425" s="6">
        <v>190</v>
      </c>
      <c r="K3425" s="7">
        <v>44007596</v>
      </c>
      <c r="L3425" s="6" t="str">
        <f t="shared" si="319"/>
        <v>YT FİRUZE + YATAK  140x190</v>
      </c>
      <c r="M3425" s="12">
        <v>0.1</v>
      </c>
      <c r="N3425" s="12">
        <v>0.1</v>
      </c>
      <c r="O3425" s="8">
        <v>7530</v>
      </c>
      <c r="P3425" s="8">
        <f t="shared" si="320"/>
        <v>6777</v>
      </c>
      <c r="Q3425" s="12">
        <f t="shared" si="321"/>
        <v>14231.7</v>
      </c>
      <c r="R3425" s="31">
        <f t="shared" si="322"/>
        <v>14200</v>
      </c>
    </row>
    <row r="3426" spans="1:18" ht="21.95" customHeight="1" x14ac:dyDescent="0.2">
      <c r="A3426" s="6" t="s">
        <v>943</v>
      </c>
      <c r="B3426" s="6" t="s">
        <v>1596</v>
      </c>
      <c r="C3426" s="6" t="s">
        <v>1120</v>
      </c>
      <c r="D3426" s="6" t="s">
        <v>943</v>
      </c>
      <c r="E3426" s="6"/>
      <c r="G3426" s="6">
        <v>140</v>
      </c>
      <c r="H3426" s="6">
        <v>200</v>
      </c>
      <c r="K3426" s="7">
        <v>44007597</v>
      </c>
      <c r="L3426" s="6" t="str">
        <f t="shared" si="319"/>
        <v>YT FİRUZE + YATAK  140x200</v>
      </c>
      <c r="M3426" s="12">
        <v>0.1</v>
      </c>
      <c r="N3426" s="12">
        <v>0.1</v>
      </c>
      <c r="O3426" s="8">
        <v>7660</v>
      </c>
      <c r="P3426" s="8">
        <f t="shared" si="320"/>
        <v>6894</v>
      </c>
      <c r="Q3426" s="12">
        <f t="shared" si="321"/>
        <v>14477.400000000001</v>
      </c>
      <c r="R3426" s="31">
        <f t="shared" si="322"/>
        <v>14400</v>
      </c>
    </row>
    <row r="3427" spans="1:18" ht="21.95" customHeight="1" x14ac:dyDescent="0.2">
      <c r="A3427" s="6" t="s">
        <v>943</v>
      </c>
      <c r="B3427" s="6" t="s">
        <v>1596</v>
      </c>
      <c r="C3427" s="6" t="s">
        <v>1055</v>
      </c>
      <c r="D3427" s="6" t="s">
        <v>943</v>
      </c>
      <c r="E3427" s="6"/>
      <c r="G3427" s="6">
        <v>140</v>
      </c>
      <c r="H3427" s="6">
        <v>190</v>
      </c>
      <c r="K3427" s="7">
        <v>44007598</v>
      </c>
      <c r="L3427" s="6" t="str">
        <f t="shared" si="319"/>
        <v>YT FİRUZE  YATAK  140x190</v>
      </c>
      <c r="M3427" s="12">
        <v>0.1</v>
      </c>
      <c r="N3427" s="12">
        <v>0.1</v>
      </c>
      <c r="O3427" s="8">
        <v>6860</v>
      </c>
      <c r="P3427" s="8">
        <f t="shared" si="320"/>
        <v>6174</v>
      </c>
      <c r="Q3427" s="12">
        <f t="shared" si="321"/>
        <v>12965.400000000001</v>
      </c>
      <c r="R3427" s="31">
        <f t="shared" si="322"/>
        <v>12900</v>
      </c>
    </row>
    <row r="3428" spans="1:18" ht="21.95" customHeight="1" x14ac:dyDescent="0.2">
      <c r="A3428" s="6" t="s">
        <v>943</v>
      </c>
      <c r="B3428" s="6" t="s">
        <v>1596</v>
      </c>
      <c r="C3428" s="6" t="s">
        <v>1055</v>
      </c>
      <c r="D3428" s="6" t="s">
        <v>943</v>
      </c>
      <c r="E3428" s="6"/>
      <c r="G3428" s="6">
        <v>140</v>
      </c>
      <c r="H3428" s="6">
        <v>200</v>
      </c>
      <c r="K3428" s="7">
        <v>44007599</v>
      </c>
      <c r="L3428" s="6" t="str">
        <f t="shared" si="319"/>
        <v>YT FİRUZE  YATAK  140x200</v>
      </c>
      <c r="M3428" s="12">
        <v>0.1</v>
      </c>
      <c r="N3428" s="12">
        <v>0.1</v>
      </c>
      <c r="O3428" s="8">
        <v>6990</v>
      </c>
      <c r="P3428" s="8">
        <f t="shared" si="320"/>
        <v>6291</v>
      </c>
      <c r="Q3428" s="12">
        <f t="shared" si="321"/>
        <v>13211.1</v>
      </c>
      <c r="R3428" s="31">
        <f t="shared" si="322"/>
        <v>13200</v>
      </c>
    </row>
    <row r="3429" spans="1:18" ht="21.95" customHeight="1" x14ac:dyDescent="0.2">
      <c r="A3429" s="6" t="s">
        <v>943</v>
      </c>
      <c r="B3429" s="6" t="s">
        <v>1596</v>
      </c>
      <c r="C3429" s="6" t="s">
        <v>979</v>
      </c>
      <c r="D3429" s="6" t="s">
        <v>943</v>
      </c>
      <c r="E3429" s="6"/>
      <c r="G3429" s="6">
        <v>140</v>
      </c>
      <c r="H3429" s="6">
        <v>190</v>
      </c>
      <c r="K3429" s="7">
        <v>44007600</v>
      </c>
      <c r="L3429" s="6" t="str">
        <f t="shared" si="319"/>
        <v>YT BEGONYA + YATAK  140x190</v>
      </c>
      <c r="M3429" s="12">
        <v>0.1</v>
      </c>
      <c r="N3429" s="12">
        <v>0.1</v>
      </c>
      <c r="O3429" s="8">
        <v>6020</v>
      </c>
      <c r="P3429" s="8">
        <f t="shared" si="320"/>
        <v>5418</v>
      </c>
      <c r="Q3429" s="12">
        <f t="shared" si="321"/>
        <v>11377.800000000001</v>
      </c>
      <c r="R3429" s="31">
        <f t="shared" si="322"/>
        <v>11300</v>
      </c>
    </row>
    <row r="3430" spans="1:18" ht="21.95" customHeight="1" x14ac:dyDescent="0.2">
      <c r="A3430" s="6" t="s">
        <v>943</v>
      </c>
      <c r="B3430" s="6" t="s">
        <v>1596</v>
      </c>
      <c r="C3430" s="6" t="s">
        <v>979</v>
      </c>
      <c r="D3430" s="6" t="s">
        <v>943</v>
      </c>
      <c r="E3430" s="6"/>
      <c r="G3430" s="6">
        <v>140</v>
      </c>
      <c r="H3430" s="6">
        <v>200</v>
      </c>
      <c r="K3430" s="7">
        <v>44007601</v>
      </c>
      <c r="L3430" s="6" t="str">
        <f t="shared" si="319"/>
        <v>YT BEGONYA + YATAK  140x200</v>
      </c>
      <c r="M3430" s="12">
        <v>0.1</v>
      </c>
      <c r="N3430" s="12">
        <v>0.1</v>
      </c>
      <c r="O3430" s="8">
        <v>6120</v>
      </c>
      <c r="P3430" s="8">
        <f t="shared" si="320"/>
        <v>5508</v>
      </c>
      <c r="Q3430" s="12">
        <f t="shared" si="321"/>
        <v>11566.800000000001</v>
      </c>
      <c r="R3430" s="31">
        <f t="shared" si="322"/>
        <v>11500</v>
      </c>
    </row>
    <row r="3431" spans="1:18" ht="21.95" customHeight="1" x14ac:dyDescent="0.2">
      <c r="A3431" s="6" t="s">
        <v>943</v>
      </c>
      <c r="B3431" s="6" t="s">
        <v>1596</v>
      </c>
      <c r="C3431" s="6" t="s">
        <v>1041</v>
      </c>
      <c r="D3431" s="6" t="s">
        <v>943</v>
      </c>
      <c r="E3431" s="6"/>
      <c r="G3431" s="6">
        <v>140</v>
      </c>
      <c r="H3431" s="6">
        <v>190</v>
      </c>
      <c r="K3431" s="7">
        <v>44007602</v>
      </c>
      <c r="L3431" s="6" t="str">
        <f t="shared" si="319"/>
        <v>YT BEGONYA  YATAK  140x190</v>
      </c>
      <c r="M3431" s="12">
        <v>0.1</v>
      </c>
      <c r="N3431" s="12">
        <v>0.1</v>
      </c>
      <c r="O3431" s="8">
        <v>5370</v>
      </c>
      <c r="P3431" s="8">
        <f t="shared" si="320"/>
        <v>4833</v>
      </c>
      <c r="Q3431" s="12">
        <f t="shared" si="321"/>
        <v>10149.300000000001</v>
      </c>
      <c r="R3431" s="31">
        <f t="shared" si="322"/>
        <v>10100</v>
      </c>
    </row>
    <row r="3432" spans="1:18" ht="21.95" customHeight="1" x14ac:dyDescent="0.2">
      <c r="A3432" s="6" t="s">
        <v>943</v>
      </c>
      <c r="B3432" s="6" t="s">
        <v>1596</v>
      </c>
      <c r="C3432" s="6" t="s">
        <v>1041</v>
      </c>
      <c r="D3432" s="6" t="s">
        <v>943</v>
      </c>
      <c r="E3432" s="6"/>
      <c r="G3432" s="6">
        <v>140</v>
      </c>
      <c r="H3432" s="6">
        <v>200</v>
      </c>
      <c r="K3432" s="7">
        <v>44007603</v>
      </c>
      <c r="L3432" s="6" t="str">
        <f t="shared" si="319"/>
        <v>YT BEGONYA  YATAK  140x200</v>
      </c>
      <c r="M3432" s="12">
        <v>0.1</v>
      </c>
      <c r="N3432" s="12">
        <v>0.1</v>
      </c>
      <c r="O3432" s="8">
        <v>5470</v>
      </c>
      <c r="P3432" s="8">
        <f t="shared" si="320"/>
        <v>4923</v>
      </c>
      <c r="Q3432" s="12">
        <f t="shared" si="321"/>
        <v>10338.300000000001</v>
      </c>
      <c r="R3432" s="31">
        <f t="shared" si="322"/>
        <v>10300</v>
      </c>
    </row>
    <row r="3433" spans="1:18" ht="21.95" customHeight="1" x14ac:dyDescent="0.2">
      <c r="A3433" s="6" t="s">
        <v>943</v>
      </c>
      <c r="B3433" s="6" t="s">
        <v>1596</v>
      </c>
      <c r="C3433" s="6" t="s">
        <v>1035</v>
      </c>
      <c r="D3433" s="6" t="s">
        <v>943</v>
      </c>
      <c r="E3433" s="6"/>
      <c r="G3433" s="6">
        <v>140</v>
      </c>
      <c r="H3433" s="6">
        <v>190</v>
      </c>
      <c r="K3433" s="7">
        <v>44007604</v>
      </c>
      <c r="L3433" s="6" t="str">
        <f t="shared" si="319"/>
        <v>YT AÇELYA  YATAK  140x190</v>
      </c>
      <c r="M3433" s="12">
        <v>0.1</v>
      </c>
      <c r="N3433" s="12">
        <v>0.1</v>
      </c>
      <c r="O3433" s="8">
        <v>4490</v>
      </c>
      <c r="P3433" s="8">
        <f t="shared" si="320"/>
        <v>4041</v>
      </c>
      <c r="Q3433" s="12">
        <f t="shared" si="321"/>
        <v>8486.1</v>
      </c>
      <c r="R3433" s="31">
        <f t="shared" si="322"/>
        <v>8400</v>
      </c>
    </row>
    <row r="3434" spans="1:18" ht="21.95" customHeight="1" x14ac:dyDescent="0.2">
      <c r="A3434" s="6" t="s">
        <v>943</v>
      </c>
      <c r="B3434" s="6" t="s">
        <v>1596</v>
      </c>
      <c r="C3434" s="6" t="s">
        <v>1035</v>
      </c>
      <c r="D3434" s="6" t="s">
        <v>943</v>
      </c>
      <c r="E3434" s="6"/>
      <c r="G3434" s="6">
        <v>140</v>
      </c>
      <c r="H3434" s="6">
        <v>200</v>
      </c>
      <c r="K3434" s="7">
        <v>44007605</v>
      </c>
      <c r="L3434" s="6" t="str">
        <f t="shared" si="319"/>
        <v>YT AÇELYA  YATAK  140x200</v>
      </c>
      <c r="M3434" s="12">
        <v>0.1</v>
      </c>
      <c r="N3434" s="12">
        <v>0.1</v>
      </c>
      <c r="O3434" s="8">
        <v>4590</v>
      </c>
      <c r="P3434" s="8">
        <f t="shared" si="320"/>
        <v>4131</v>
      </c>
      <c r="Q3434" s="12">
        <f t="shared" si="321"/>
        <v>8675.1</v>
      </c>
      <c r="R3434" s="31">
        <f t="shared" si="322"/>
        <v>8600</v>
      </c>
    </row>
    <row r="3435" spans="1:18" ht="21.95" customHeight="1" x14ac:dyDescent="0.2">
      <c r="A3435" s="6" t="s">
        <v>943</v>
      </c>
      <c r="B3435" s="6" t="s">
        <v>1596</v>
      </c>
      <c r="C3435" s="6" t="s">
        <v>1121</v>
      </c>
      <c r="D3435" s="6" t="s">
        <v>943</v>
      </c>
      <c r="E3435" s="6"/>
      <c r="G3435" s="6">
        <v>90</v>
      </c>
      <c r="H3435" s="6">
        <v>190</v>
      </c>
      <c r="K3435" s="7">
        <v>44007606</v>
      </c>
      <c r="L3435" s="6" t="str">
        <f t="shared" si="319"/>
        <v>YT MENEKŞE  YATAK  90x190</v>
      </c>
      <c r="M3435" s="12">
        <v>0.1</v>
      </c>
      <c r="N3435" s="12">
        <v>0.1</v>
      </c>
      <c r="O3435" s="8">
        <v>2560</v>
      </c>
      <c r="P3435" s="8">
        <f t="shared" si="320"/>
        <v>2304</v>
      </c>
      <c r="Q3435" s="12">
        <f t="shared" si="321"/>
        <v>4838.4000000000005</v>
      </c>
      <c r="R3435" s="31">
        <f t="shared" si="322"/>
        <v>4800</v>
      </c>
    </row>
    <row r="3436" spans="1:18" ht="21.95" customHeight="1" x14ac:dyDescent="0.2">
      <c r="A3436" s="6" t="s">
        <v>943</v>
      </c>
      <c r="B3436" s="6" t="s">
        <v>1596</v>
      </c>
      <c r="C3436" s="6" t="s">
        <v>1121</v>
      </c>
      <c r="D3436" s="6" t="s">
        <v>943</v>
      </c>
      <c r="E3436" s="6"/>
      <c r="G3436" s="6">
        <v>90</v>
      </c>
      <c r="H3436" s="6">
        <v>200</v>
      </c>
      <c r="K3436" s="7">
        <v>44007607</v>
      </c>
      <c r="L3436" s="6" t="str">
        <f t="shared" si="319"/>
        <v>YT MENEKŞE  YATAK  90x200</v>
      </c>
      <c r="M3436" s="12">
        <v>0.1</v>
      </c>
      <c r="N3436" s="12">
        <v>0.1</v>
      </c>
      <c r="O3436" s="8">
        <v>2700</v>
      </c>
      <c r="P3436" s="8">
        <f t="shared" si="320"/>
        <v>2430</v>
      </c>
      <c r="Q3436" s="12">
        <f t="shared" si="321"/>
        <v>5103</v>
      </c>
      <c r="R3436" s="31">
        <f t="shared" si="322"/>
        <v>5100</v>
      </c>
    </row>
    <row r="3437" spans="1:18" ht="21.95" customHeight="1" x14ac:dyDescent="0.2">
      <c r="A3437" s="6" t="s">
        <v>943</v>
      </c>
      <c r="B3437" s="6" t="s">
        <v>1596</v>
      </c>
      <c r="C3437" s="6" t="s">
        <v>1121</v>
      </c>
      <c r="D3437" s="6" t="s">
        <v>943</v>
      </c>
      <c r="E3437" s="6"/>
      <c r="G3437" s="6">
        <v>100</v>
      </c>
      <c r="H3437" s="6">
        <v>200</v>
      </c>
      <c r="K3437" s="7">
        <v>44007608</v>
      </c>
      <c r="L3437" s="6" t="str">
        <f t="shared" si="319"/>
        <v>YT MENEKŞE  YATAK  100x200</v>
      </c>
      <c r="M3437" s="12">
        <v>0.1</v>
      </c>
      <c r="N3437" s="12">
        <v>0.1</v>
      </c>
      <c r="O3437" s="8">
        <v>2860</v>
      </c>
      <c r="P3437" s="8">
        <f t="shared" si="320"/>
        <v>2574</v>
      </c>
      <c r="Q3437" s="12">
        <f t="shared" si="321"/>
        <v>5405.4000000000005</v>
      </c>
      <c r="R3437" s="31">
        <f t="shared" si="322"/>
        <v>5400</v>
      </c>
    </row>
    <row r="3438" spans="1:18" ht="21.95" customHeight="1" x14ac:dyDescent="0.2">
      <c r="A3438" s="6" t="s">
        <v>943</v>
      </c>
      <c r="B3438" s="6" t="s">
        <v>1596</v>
      </c>
      <c r="C3438" s="6" t="s">
        <v>1121</v>
      </c>
      <c r="D3438" s="6" t="s">
        <v>943</v>
      </c>
      <c r="E3438" s="6"/>
      <c r="G3438" s="6">
        <v>120</v>
      </c>
      <c r="H3438" s="6">
        <v>200</v>
      </c>
      <c r="K3438" s="7">
        <v>44007609</v>
      </c>
      <c r="L3438" s="6" t="str">
        <f t="shared" si="319"/>
        <v>YT MENEKŞE  YATAK  120x200</v>
      </c>
      <c r="M3438" s="12">
        <v>0.1</v>
      </c>
      <c r="N3438" s="12">
        <v>0.1</v>
      </c>
      <c r="O3438" s="8">
        <v>3280</v>
      </c>
      <c r="P3438" s="8">
        <f t="shared" si="320"/>
        <v>2952</v>
      </c>
      <c r="Q3438" s="12">
        <f t="shared" si="321"/>
        <v>6199.2</v>
      </c>
      <c r="R3438" s="31">
        <f t="shared" si="322"/>
        <v>6100</v>
      </c>
    </row>
    <row r="3439" spans="1:18" ht="21.95" customHeight="1" x14ac:dyDescent="0.2">
      <c r="A3439" s="6" t="s">
        <v>943</v>
      </c>
      <c r="B3439" s="6" t="s">
        <v>1596</v>
      </c>
      <c r="C3439" s="6" t="s">
        <v>1121</v>
      </c>
      <c r="D3439" s="6" t="s">
        <v>943</v>
      </c>
      <c r="E3439" s="6"/>
      <c r="G3439" s="6">
        <v>140</v>
      </c>
      <c r="H3439" s="6">
        <v>190</v>
      </c>
      <c r="K3439" s="7">
        <v>44007610</v>
      </c>
      <c r="L3439" s="6" t="str">
        <f t="shared" si="319"/>
        <v>YT MENEKŞE  YATAK  140x190</v>
      </c>
      <c r="M3439" s="12">
        <v>0.1</v>
      </c>
      <c r="N3439" s="12">
        <v>0.1</v>
      </c>
      <c r="O3439" s="8">
        <v>3690</v>
      </c>
      <c r="P3439" s="8">
        <f t="shared" si="320"/>
        <v>3321</v>
      </c>
      <c r="Q3439" s="12">
        <f t="shared" si="321"/>
        <v>6974.1</v>
      </c>
      <c r="R3439" s="31">
        <f t="shared" si="322"/>
        <v>6900</v>
      </c>
    </row>
    <row r="3440" spans="1:18" ht="21.95" customHeight="1" x14ac:dyDescent="0.2">
      <c r="A3440" s="6" t="s">
        <v>943</v>
      </c>
      <c r="B3440" s="6" t="s">
        <v>1596</v>
      </c>
      <c r="C3440" s="6" t="s">
        <v>1121</v>
      </c>
      <c r="D3440" s="6" t="s">
        <v>943</v>
      </c>
      <c r="E3440" s="6"/>
      <c r="G3440" s="6">
        <v>140</v>
      </c>
      <c r="H3440" s="6">
        <v>200</v>
      </c>
      <c r="K3440" s="7">
        <v>44007611</v>
      </c>
      <c r="L3440" s="6" t="str">
        <f t="shared" si="319"/>
        <v>YT MENEKŞE  YATAK  140x200</v>
      </c>
      <c r="M3440" s="12">
        <v>0.1</v>
      </c>
      <c r="N3440" s="12">
        <v>0.1</v>
      </c>
      <c r="O3440" s="8">
        <v>3860</v>
      </c>
      <c r="P3440" s="8">
        <f t="shared" si="320"/>
        <v>3474</v>
      </c>
      <c r="Q3440" s="12">
        <f t="shared" si="321"/>
        <v>7295.4000000000005</v>
      </c>
      <c r="R3440" s="31">
        <f t="shared" si="322"/>
        <v>7200</v>
      </c>
    </row>
    <row r="3441" spans="1:18" ht="21.95" customHeight="1" x14ac:dyDescent="0.2">
      <c r="A3441" s="6" t="s">
        <v>943</v>
      </c>
      <c r="B3441" s="6" t="s">
        <v>1596</v>
      </c>
      <c r="C3441" s="6" t="s">
        <v>1121</v>
      </c>
      <c r="D3441" s="6" t="s">
        <v>943</v>
      </c>
      <c r="E3441" s="6"/>
      <c r="G3441" s="6">
        <v>150</v>
      </c>
      <c r="H3441" s="6">
        <v>200</v>
      </c>
      <c r="K3441" s="7">
        <v>44007612</v>
      </c>
      <c r="L3441" s="6" t="str">
        <f t="shared" si="319"/>
        <v>YT MENEKŞE  YATAK  150x200</v>
      </c>
      <c r="M3441" s="12">
        <v>0.1</v>
      </c>
      <c r="N3441" s="12">
        <v>0.1</v>
      </c>
      <c r="O3441" s="8">
        <v>3990</v>
      </c>
      <c r="P3441" s="8">
        <f t="shared" si="320"/>
        <v>3591</v>
      </c>
      <c r="Q3441" s="12">
        <f t="shared" si="321"/>
        <v>7541.1</v>
      </c>
      <c r="R3441" s="31">
        <f t="shared" si="322"/>
        <v>7500</v>
      </c>
    </row>
    <row r="3442" spans="1:18" ht="21.95" customHeight="1" x14ac:dyDescent="0.2">
      <c r="A3442" s="6" t="s">
        <v>943</v>
      </c>
      <c r="B3442" s="6" t="s">
        <v>1596</v>
      </c>
      <c r="C3442" s="6" t="s">
        <v>1121</v>
      </c>
      <c r="D3442" s="6" t="s">
        <v>943</v>
      </c>
      <c r="E3442" s="6"/>
      <c r="G3442" s="6">
        <v>160</v>
      </c>
      <c r="H3442" s="6">
        <v>200</v>
      </c>
      <c r="K3442" s="7">
        <v>44007613</v>
      </c>
      <c r="L3442" s="6" t="str">
        <f t="shared" si="319"/>
        <v>YT MENEKŞE  YATAK  160x200</v>
      </c>
      <c r="M3442" s="12">
        <v>0.1</v>
      </c>
      <c r="N3442" s="12">
        <v>0.1</v>
      </c>
      <c r="O3442" s="8">
        <v>4260</v>
      </c>
      <c r="P3442" s="8">
        <f t="shared" si="320"/>
        <v>3834</v>
      </c>
      <c r="Q3442" s="12">
        <f t="shared" si="321"/>
        <v>8051.4000000000005</v>
      </c>
      <c r="R3442" s="31">
        <f t="shared" si="322"/>
        <v>8000</v>
      </c>
    </row>
    <row r="3443" spans="1:18" ht="21.95" customHeight="1" x14ac:dyDescent="0.2">
      <c r="A3443" s="6" t="s">
        <v>943</v>
      </c>
      <c r="B3443" s="6" t="s">
        <v>1596</v>
      </c>
      <c r="C3443" s="6" t="s">
        <v>1122</v>
      </c>
      <c r="D3443" s="6" t="s">
        <v>943</v>
      </c>
      <c r="E3443" s="6"/>
      <c r="G3443" s="6">
        <v>90</v>
      </c>
      <c r="H3443" s="6">
        <v>190</v>
      </c>
      <c r="K3443" s="7">
        <v>44007614</v>
      </c>
      <c r="L3443" s="6" t="str">
        <f t="shared" si="319"/>
        <v>YT MANOLYA  YATAK  90x190</v>
      </c>
      <c r="M3443" s="12">
        <v>0.1</v>
      </c>
      <c r="N3443" s="12">
        <v>0.1</v>
      </c>
      <c r="O3443" s="8">
        <v>2300</v>
      </c>
      <c r="P3443" s="8">
        <f t="shared" si="320"/>
        <v>2070</v>
      </c>
      <c r="Q3443" s="12">
        <f t="shared" si="321"/>
        <v>4347</v>
      </c>
      <c r="R3443" s="31">
        <f t="shared" si="322"/>
        <v>4300</v>
      </c>
    </row>
    <row r="3444" spans="1:18" ht="21.95" customHeight="1" x14ac:dyDescent="0.2">
      <c r="A3444" s="6" t="s">
        <v>943</v>
      </c>
      <c r="B3444" s="6" t="s">
        <v>1596</v>
      </c>
      <c r="C3444" s="6" t="s">
        <v>1122</v>
      </c>
      <c r="D3444" s="6" t="s">
        <v>943</v>
      </c>
      <c r="E3444" s="6"/>
      <c r="G3444" s="6">
        <v>90</v>
      </c>
      <c r="H3444" s="6">
        <v>200</v>
      </c>
      <c r="K3444" s="7">
        <v>44007615</v>
      </c>
      <c r="L3444" s="6" t="str">
        <f t="shared" si="319"/>
        <v>YT MANOLYA  YATAK  90x200</v>
      </c>
      <c r="M3444" s="12">
        <v>0.1</v>
      </c>
      <c r="N3444" s="12">
        <v>0.1</v>
      </c>
      <c r="O3444" s="8">
        <v>2450</v>
      </c>
      <c r="P3444" s="8">
        <f t="shared" si="320"/>
        <v>2205</v>
      </c>
      <c r="Q3444" s="12">
        <f t="shared" si="321"/>
        <v>4630.5</v>
      </c>
      <c r="R3444" s="31">
        <f t="shared" si="322"/>
        <v>4600</v>
      </c>
    </row>
    <row r="3445" spans="1:18" ht="21.95" customHeight="1" x14ac:dyDescent="0.2">
      <c r="A3445" s="6" t="s">
        <v>943</v>
      </c>
      <c r="B3445" s="6" t="s">
        <v>1596</v>
      </c>
      <c r="C3445" s="6" t="s">
        <v>1122</v>
      </c>
      <c r="D3445" s="6" t="s">
        <v>943</v>
      </c>
      <c r="E3445" s="6"/>
      <c r="G3445" s="6">
        <v>100</v>
      </c>
      <c r="H3445" s="6">
        <v>200</v>
      </c>
      <c r="K3445" s="7">
        <v>44007616</v>
      </c>
      <c r="L3445" s="6" t="str">
        <f t="shared" si="319"/>
        <v>YT MANOLYA  YATAK  100x200</v>
      </c>
      <c r="M3445" s="12">
        <v>0.1</v>
      </c>
      <c r="N3445" s="12">
        <v>0.1</v>
      </c>
      <c r="O3445" s="8">
        <v>2630</v>
      </c>
      <c r="P3445" s="8">
        <f t="shared" si="320"/>
        <v>2367</v>
      </c>
      <c r="Q3445" s="12">
        <f t="shared" si="321"/>
        <v>4970.7</v>
      </c>
      <c r="R3445" s="31">
        <f t="shared" si="322"/>
        <v>4900</v>
      </c>
    </row>
    <row r="3446" spans="1:18" ht="21.95" customHeight="1" x14ac:dyDescent="0.2">
      <c r="A3446" s="6" t="s">
        <v>943</v>
      </c>
      <c r="B3446" s="6" t="s">
        <v>1596</v>
      </c>
      <c r="C3446" s="6" t="s">
        <v>1122</v>
      </c>
      <c r="D3446" s="6" t="s">
        <v>943</v>
      </c>
      <c r="E3446" s="6"/>
      <c r="G3446" s="6">
        <v>120</v>
      </c>
      <c r="H3446" s="6">
        <v>200</v>
      </c>
      <c r="K3446" s="7">
        <v>44007617</v>
      </c>
      <c r="L3446" s="6" t="str">
        <f t="shared" si="319"/>
        <v>YT MANOLYA  YATAK  120x200</v>
      </c>
      <c r="M3446" s="12">
        <v>0.1</v>
      </c>
      <c r="N3446" s="12">
        <v>0.1</v>
      </c>
      <c r="O3446" s="8">
        <v>3000</v>
      </c>
      <c r="P3446" s="8">
        <f t="shared" si="320"/>
        <v>2700</v>
      </c>
      <c r="Q3446" s="12">
        <f t="shared" si="321"/>
        <v>5670</v>
      </c>
      <c r="R3446" s="31">
        <f t="shared" si="322"/>
        <v>5600</v>
      </c>
    </row>
    <row r="3447" spans="1:18" ht="21.95" customHeight="1" x14ac:dyDescent="0.2">
      <c r="A3447" s="6" t="s">
        <v>943</v>
      </c>
      <c r="B3447" s="6" t="s">
        <v>1596</v>
      </c>
      <c r="C3447" s="6" t="s">
        <v>1122</v>
      </c>
      <c r="D3447" s="6" t="s">
        <v>943</v>
      </c>
      <c r="E3447" s="6"/>
      <c r="G3447" s="6">
        <v>140</v>
      </c>
      <c r="H3447" s="6">
        <v>190</v>
      </c>
      <c r="K3447" s="7">
        <v>44007618</v>
      </c>
      <c r="L3447" s="6" t="str">
        <f t="shared" si="319"/>
        <v>YT MANOLYA  YATAK  140x190</v>
      </c>
      <c r="M3447" s="12">
        <v>0.1</v>
      </c>
      <c r="N3447" s="12">
        <v>0.1</v>
      </c>
      <c r="O3447" s="8">
        <v>3540</v>
      </c>
      <c r="P3447" s="8">
        <f t="shared" si="320"/>
        <v>3186</v>
      </c>
      <c r="Q3447" s="12">
        <f t="shared" si="321"/>
        <v>6690.6</v>
      </c>
      <c r="R3447" s="31">
        <f t="shared" si="322"/>
        <v>6600</v>
      </c>
    </row>
    <row r="3448" spans="1:18" ht="21.95" customHeight="1" x14ac:dyDescent="0.2">
      <c r="A3448" s="6" t="s">
        <v>943</v>
      </c>
      <c r="B3448" s="6" t="s">
        <v>1596</v>
      </c>
      <c r="C3448" s="6" t="s">
        <v>1122</v>
      </c>
      <c r="D3448" s="6" t="s">
        <v>943</v>
      </c>
      <c r="E3448" s="6"/>
      <c r="G3448" s="6">
        <v>140</v>
      </c>
      <c r="H3448" s="6">
        <v>200</v>
      </c>
      <c r="K3448" s="7">
        <v>44007619</v>
      </c>
      <c r="L3448" s="6" t="str">
        <f t="shared" si="319"/>
        <v>YT MANOLYA  YATAK  140x200</v>
      </c>
      <c r="M3448" s="12">
        <v>0.1</v>
      </c>
      <c r="N3448" s="12">
        <v>0.1</v>
      </c>
      <c r="O3448" s="8">
        <v>3590</v>
      </c>
      <c r="P3448" s="8">
        <f t="shared" si="320"/>
        <v>3231</v>
      </c>
      <c r="Q3448" s="12">
        <f t="shared" si="321"/>
        <v>6785.1</v>
      </c>
      <c r="R3448" s="31">
        <f t="shared" si="322"/>
        <v>6700</v>
      </c>
    </row>
    <row r="3449" spans="1:18" ht="21.95" customHeight="1" x14ac:dyDescent="0.2">
      <c r="A3449" s="6" t="s">
        <v>943</v>
      </c>
      <c r="B3449" s="6" t="s">
        <v>1596</v>
      </c>
      <c r="C3449" s="6" t="s">
        <v>1122</v>
      </c>
      <c r="D3449" s="6" t="s">
        <v>943</v>
      </c>
      <c r="E3449" s="6"/>
      <c r="G3449" s="6">
        <v>150</v>
      </c>
      <c r="H3449" s="6">
        <v>200</v>
      </c>
      <c r="K3449" s="7">
        <v>44007620</v>
      </c>
      <c r="L3449" s="6" t="str">
        <f t="shared" si="319"/>
        <v>YT MANOLYA  YATAK  150x200</v>
      </c>
      <c r="M3449" s="12">
        <v>0.1</v>
      </c>
      <c r="N3449" s="12">
        <v>0.1</v>
      </c>
      <c r="O3449" s="8">
        <v>3700</v>
      </c>
      <c r="P3449" s="8">
        <f t="shared" si="320"/>
        <v>3330</v>
      </c>
      <c r="Q3449" s="12">
        <f t="shared" si="321"/>
        <v>6993</v>
      </c>
      <c r="R3449" s="31">
        <f t="shared" si="322"/>
        <v>6900</v>
      </c>
    </row>
    <row r="3450" spans="1:18" ht="21.95" customHeight="1" x14ac:dyDescent="0.2">
      <c r="A3450" s="6" t="s">
        <v>943</v>
      </c>
      <c r="B3450" s="6" t="s">
        <v>1596</v>
      </c>
      <c r="C3450" s="6" t="s">
        <v>1122</v>
      </c>
      <c r="D3450" s="6" t="s">
        <v>943</v>
      </c>
      <c r="E3450" s="6"/>
      <c r="G3450" s="6">
        <v>160</v>
      </c>
      <c r="H3450" s="6">
        <v>200</v>
      </c>
      <c r="K3450" s="7">
        <v>44007621</v>
      </c>
      <c r="L3450" s="6" t="str">
        <f t="shared" si="319"/>
        <v>YT MANOLYA  YATAK  160x200</v>
      </c>
      <c r="M3450" s="12">
        <v>0.1</v>
      </c>
      <c r="N3450" s="12">
        <v>0.1</v>
      </c>
      <c r="O3450" s="8">
        <v>3920</v>
      </c>
      <c r="P3450" s="8">
        <f t="shared" si="320"/>
        <v>3528</v>
      </c>
      <c r="Q3450" s="12">
        <f t="shared" si="321"/>
        <v>7408.8</v>
      </c>
      <c r="R3450" s="31">
        <f t="shared" si="322"/>
        <v>7400</v>
      </c>
    </row>
    <row r="3451" spans="1:18" ht="21.95" customHeight="1" x14ac:dyDescent="0.2">
      <c r="A3451" s="6" t="s">
        <v>943</v>
      </c>
      <c r="B3451" s="6" t="s">
        <v>1596</v>
      </c>
      <c r="C3451" s="6" t="s">
        <v>972</v>
      </c>
      <c r="D3451" s="6" t="s">
        <v>943</v>
      </c>
      <c r="E3451" s="6"/>
      <c r="G3451" s="6">
        <v>90</v>
      </c>
      <c r="H3451" s="6">
        <v>190</v>
      </c>
      <c r="K3451" s="7">
        <v>44007622</v>
      </c>
      <c r="L3451" s="6" t="str">
        <f t="shared" si="319"/>
        <v>YT VİSCO FLEX  YATAK  90x190</v>
      </c>
      <c r="M3451" s="12">
        <v>0.1</v>
      </c>
      <c r="N3451" s="12">
        <v>0.1</v>
      </c>
      <c r="O3451" s="8">
        <v>6530</v>
      </c>
      <c r="P3451" s="8">
        <f t="shared" si="320"/>
        <v>5877</v>
      </c>
      <c r="Q3451" s="12">
        <f t="shared" si="321"/>
        <v>12341.7</v>
      </c>
      <c r="R3451" s="31">
        <f t="shared" si="322"/>
        <v>12300</v>
      </c>
    </row>
    <row r="3452" spans="1:18" ht="21.95" customHeight="1" x14ac:dyDescent="0.2">
      <c r="A3452" s="6" t="s">
        <v>943</v>
      </c>
      <c r="B3452" s="6" t="s">
        <v>1596</v>
      </c>
      <c r="C3452" s="6" t="s">
        <v>972</v>
      </c>
      <c r="D3452" s="6" t="s">
        <v>943</v>
      </c>
      <c r="E3452" s="6"/>
      <c r="G3452" s="6">
        <v>100</v>
      </c>
      <c r="H3452" s="6">
        <v>200</v>
      </c>
      <c r="K3452" s="7">
        <v>44007623</v>
      </c>
      <c r="L3452" s="6" t="str">
        <f t="shared" si="319"/>
        <v>YT VİSCO FLEX  YATAK  100x200</v>
      </c>
      <c r="M3452" s="12">
        <v>0.1</v>
      </c>
      <c r="N3452" s="12">
        <v>0.1</v>
      </c>
      <c r="O3452" s="8">
        <v>7660</v>
      </c>
      <c r="P3452" s="8">
        <f t="shared" si="320"/>
        <v>6894</v>
      </c>
      <c r="Q3452" s="12">
        <f t="shared" si="321"/>
        <v>14477.400000000001</v>
      </c>
      <c r="R3452" s="31">
        <f t="shared" si="322"/>
        <v>14400</v>
      </c>
    </row>
    <row r="3453" spans="1:18" ht="21.95" customHeight="1" x14ac:dyDescent="0.2">
      <c r="A3453" s="6" t="s">
        <v>943</v>
      </c>
      <c r="B3453" s="6" t="s">
        <v>1596</v>
      </c>
      <c r="C3453" s="6" t="s">
        <v>972</v>
      </c>
      <c r="D3453" s="6" t="s">
        <v>943</v>
      </c>
      <c r="E3453" s="6"/>
      <c r="G3453" s="6">
        <v>120</v>
      </c>
      <c r="H3453" s="6">
        <v>200</v>
      </c>
      <c r="K3453" s="7">
        <v>44007624</v>
      </c>
      <c r="L3453" s="6" t="str">
        <f t="shared" si="319"/>
        <v>YT VİSCO FLEX  YATAK  120x200</v>
      </c>
      <c r="M3453" s="12">
        <v>0.1</v>
      </c>
      <c r="N3453" s="12">
        <v>0.1</v>
      </c>
      <c r="O3453" s="8">
        <v>9150</v>
      </c>
      <c r="P3453" s="8">
        <f t="shared" si="320"/>
        <v>8235</v>
      </c>
      <c r="Q3453" s="12">
        <f t="shared" si="321"/>
        <v>17293.5</v>
      </c>
      <c r="R3453" s="31">
        <f t="shared" si="322"/>
        <v>17200</v>
      </c>
    </row>
    <row r="3454" spans="1:18" ht="21.95" customHeight="1" x14ac:dyDescent="0.2">
      <c r="A3454" s="6" t="s">
        <v>943</v>
      </c>
      <c r="B3454" s="6" t="s">
        <v>1596</v>
      </c>
      <c r="C3454" s="6" t="s">
        <v>972</v>
      </c>
      <c r="D3454" s="6" t="s">
        <v>943</v>
      </c>
      <c r="E3454" s="6"/>
      <c r="G3454" s="6">
        <v>140</v>
      </c>
      <c r="H3454" s="6">
        <v>190</v>
      </c>
      <c r="K3454" s="7">
        <v>44007625</v>
      </c>
      <c r="L3454" s="6" t="str">
        <f t="shared" si="319"/>
        <v>YT VİSCO FLEX  YATAK  140x190</v>
      </c>
      <c r="M3454" s="12">
        <v>0.1</v>
      </c>
      <c r="N3454" s="12">
        <v>0.1</v>
      </c>
      <c r="O3454" s="8">
        <v>10130</v>
      </c>
      <c r="P3454" s="8">
        <f t="shared" si="320"/>
        <v>9117</v>
      </c>
      <c r="Q3454" s="12">
        <f t="shared" si="321"/>
        <v>19145.7</v>
      </c>
      <c r="R3454" s="31">
        <f t="shared" si="322"/>
        <v>19100</v>
      </c>
    </row>
    <row r="3455" spans="1:18" ht="21.95" customHeight="1" x14ac:dyDescent="0.2">
      <c r="A3455" s="6" t="s">
        <v>943</v>
      </c>
      <c r="B3455" s="6" t="s">
        <v>1596</v>
      </c>
      <c r="C3455" s="6" t="s">
        <v>972</v>
      </c>
      <c r="D3455" s="6" t="s">
        <v>943</v>
      </c>
      <c r="E3455" s="6"/>
      <c r="G3455" s="6">
        <v>140</v>
      </c>
      <c r="H3455" s="6">
        <v>200</v>
      </c>
      <c r="K3455" s="7">
        <v>44007626</v>
      </c>
      <c r="L3455" s="6" t="str">
        <f t="shared" si="319"/>
        <v>YT VİSCO FLEX  YATAK  140x200</v>
      </c>
      <c r="M3455" s="12">
        <v>0.1</v>
      </c>
      <c r="N3455" s="12">
        <v>0.1</v>
      </c>
      <c r="O3455" s="8">
        <v>10670</v>
      </c>
      <c r="P3455" s="8">
        <f t="shared" si="320"/>
        <v>9603</v>
      </c>
      <c r="Q3455" s="12">
        <f t="shared" si="321"/>
        <v>20166.3</v>
      </c>
      <c r="R3455" s="31">
        <f t="shared" si="322"/>
        <v>20100</v>
      </c>
    </row>
    <row r="3456" spans="1:18" ht="21.95" customHeight="1" x14ac:dyDescent="0.2">
      <c r="A3456" s="6" t="s">
        <v>943</v>
      </c>
      <c r="B3456" s="6" t="s">
        <v>1596</v>
      </c>
      <c r="C3456" s="6" t="s">
        <v>972</v>
      </c>
      <c r="D3456" s="6" t="s">
        <v>943</v>
      </c>
      <c r="E3456" s="6"/>
      <c r="G3456" s="6">
        <v>150</v>
      </c>
      <c r="H3456" s="6">
        <v>200</v>
      </c>
      <c r="K3456" s="7">
        <v>44007627</v>
      </c>
      <c r="L3456" s="6" t="str">
        <f t="shared" si="319"/>
        <v>YT VİSCO FLEX  YATAK  150x200</v>
      </c>
      <c r="M3456" s="12">
        <v>0.1</v>
      </c>
      <c r="N3456" s="12">
        <v>0.1</v>
      </c>
      <c r="O3456" s="8">
        <v>11460</v>
      </c>
      <c r="P3456" s="8">
        <f t="shared" si="320"/>
        <v>10314</v>
      </c>
      <c r="Q3456" s="12">
        <f t="shared" si="321"/>
        <v>21659.4</v>
      </c>
      <c r="R3456" s="31">
        <f t="shared" si="322"/>
        <v>21600</v>
      </c>
    </row>
    <row r="3457" spans="1:18" ht="21.95" customHeight="1" x14ac:dyDescent="0.2">
      <c r="A3457" s="6" t="s">
        <v>943</v>
      </c>
      <c r="B3457" s="6" t="s">
        <v>1596</v>
      </c>
      <c r="C3457" s="6" t="s">
        <v>972</v>
      </c>
      <c r="D3457" s="6" t="s">
        <v>943</v>
      </c>
      <c r="E3457" s="6"/>
      <c r="G3457" s="6">
        <v>160</v>
      </c>
      <c r="H3457" s="6">
        <v>200</v>
      </c>
      <c r="K3457" s="7">
        <v>44007628</v>
      </c>
      <c r="L3457" s="6" t="str">
        <f t="shared" si="319"/>
        <v>YT VİSCO FLEX  YATAK  160x200</v>
      </c>
      <c r="M3457" s="12">
        <v>0.1</v>
      </c>
      <c r="N3457" s="12">
        <v>0.1</v>
      </c>
      <c r="O3457" s="8">
        <v>12200</v>
      </c>
      <c r="P3457" s="8">
        <f t="shared" si="320"/>
        <v>10980</v>
      </c>
      <c r="Q3457" s="12">
        <f t="shared" si="321"/>
        <v>23058</v>
      </c>
      <c r="R3457" s="31">
        <f t="shared" si="322"/>
        <v>23000</v>
      </c>
    </row>
    <row r="3458" spans="1:18" ht="21.95" customHeight="1" x14ac:dyDescent="0.2">
      <c r="A3458" s="6" t="s">
        <v>943</v>
      </c>
      <c r="B3458" s="6" t="s">
        <v>1596</v>
      </c>
      <c r="C3458" s="6" t="s">
        <v>1123</v>
      </c>
      <c r="D3458" s="6" t="s">
        <v>1124</v>
      </c>
      <c r="E3458" s="6"/>
      <c r="G3458" s="6">
        <v>90</v>
      </c>
      <c r="H3458" s="6">
        <v>190</v>
      </c>
      <c r="K3458" s="7">
        <v>44007629</v>
      </c>
      <c r="L3458" s="6" t="str">
        <f t="shared" si="319"/>
        <v>YT VİSCO  YATAK PEDİ  90x190</v>
      </c>
      <c r="M3458" s="12">
        <v>0.1</v>
      </c>
      <c r="N3458" s="12">
        <v>0.1</v>
      </c>
      <c r="O3458" s="8">
        <v>4350</v>
      </c>
      <c r="P3458" s="8">
        <f t="shared" si="320"/>
        <v>3915</v>
      </c>
      <c r="Q3458" s="12">
        <f t="shared" si="321"/>
        <v>8221.5</v>
      </c>
      <c r="R3458" s="31">
        <f t="shared" si="322"/>
        <v>8200</v>
      </c>
    </row>
    <row r="3459" spans="1:18" ht="21.95" customHeight="1" x14ac:dyDescent="0.2">
      <c r="A3459" s="6" t="s">
        <v>943</v>
      </c>
      <c r="B3459" s="6" t="s">
        <v>1596</v>
      </c>
      <c r="C3459" s="6" t="s">
        <v>1123</v>
      </c>
      <c r="D3459" s="6" t="s">
        <v>1124</v>
      </c>
      <c r="E3459" s="6"/>
      <c r="G3459" s="6">
        <v>90</v>
      </c>
      <c r="H3459" s="6">
        <v>200</v>
      </c>
      <c r="K3459" s="7">
        <v>44007630</v>
      </c>
      <c r="L3459" s="6" t="str">
        <f t="shared" si="319"/>
        <v>YT VİSCO  YATAK PEDİ  90x200</v>
      </c>
      <c r="M3459" s="12">
        <v>0.1</v>
      </c>
      <c r="N3459" s="12">
        <v>0.1</v>
      </c>
      <c r="O3459" s="8">
        <v>4610</v>
      </c>
      <c r="P3459" s="8">
        <f t="shared" si="320"/>
        <v>4149</v>
      </c>
      <c r="Q3459" s="12">
        <f t="shared" si="321"/>
        <v>8712.9</v>
      </c>
      <c r="R3459" s="31">
        <f t="shared" si="322"/>
        <v>8700</v>
      </c>
    </row>
    <row r="3460" spans="1:18" ht="21.95" customHeight="1" x14ac:dyDescent="0.2">
      <c r="A3460" s="6" t="s">
        <v>943</v>
      </c>
      <c r="B3460" s="6" t="s">
        <v>1596</v>
      </c>
      <c r="C3460" s="6" t="s">
        <v>1123</v>
      </c>
      <c r="D3460" s="6" t="s">
        <v>1124</v>
      </c>
      <c r="E3460" s="6"/>
      <c r="G3460" s="6">
        <v>100</v>
      </c>
      <c r="H3460" s="6">
        <v>200</v>
      </c>
      <c r="K3460" s="7">
        <v>44007631</v>
      </c>
      <c r="L3460" s="6" t="str">
        <f t="shared" ref="L3460:L3517" si="323">B3460&amp;" "&amp;C3460&amp;" "&amp;D3460&amp;" "&amp;G3460&amp;"x"&amp;H3460</f>
        <v>YT VİSCO  YATAK PEDİ  100x200</v>
      </c>
      <c r="M3460" s="12">
        <v>0.1</v>
      </c>
      <c r="N3460" s="12">
        <v>0.1</v>
      </c>
      <c r="O3460" s="8">
        <v>5120</v>
      </c>
      <c r="P3460" s="8">
        <f t="shared" si="320"/>
        <v>4608</v>
      </c>
      <c r="Q3460" s="12">
        <f t="shared" si="321"/>
        <v>9676.8000000000011</v>
      </c>
      <c r="R3460" s="31">
        <f t="shared" si="322"/>
        <v>9600</v>
      </c>
    </row>
    <row r="3461" spans="1:18" ht="21.95" customHeight="1" x14ac:dyDescent="0.2">
      <c r="A3461" s="6" t="s">
        <v>943</v>
      </c>
      <c r="B3461" s="6" t="s">
        <v>1596</v>
      </c>
      <c r="C3461" s="6" t="s">
        <v>1123</v>
      </c>
      <c r="D3461" s="6" t="s">
        <v>1124</v>
      </c>
      <c r="E3461" s="6"/>
      <c r="G3461" s="6">
        <v>120</v>
      </c>
      <c r="H3461" s="6">
        <v>200</v>
      </c>
      <c r="K3461" s="7">
        <v>44007632</v>
      </c>
      <c r="L3461" s="6" t="str">
        <f t="shared" si="323"/>
        <v>YT VİSCO  YATAK PEDİ  120x200</v>
      </c>
      <c r="M3461" s="12">
        <v>0.1</v>
      </c>
      <c r="N3461" s="12">
        <v>0.1</v>
      </c>
      <c r="O3461" s="8">
        <v>6150</v>
      </c>
      <c r="P3461" s="8">
        <f t="shared" si="320"/>
        <v>5535</v>
      </c>
      <c r="Q3461" s="12">
        <f t="shared" si="321"/>
        <v>11623.5</v>
      </c>
      <c r="R3461" s="31">
        <f t="shared" si="322"/>
        <v>11600</v>
      </c>
    </row>
    <row r="3462" spans="1:18" ht="21.95" customHeight="1" x14ac:dyDescent="0.2">
      <c r="A3462" s="6" t="s">
        <v>943</v>
      </c>
      <c r="B3462" s="6" t="s">
        <v>1596</v>
      </c>
      <c r="C3462" s="6" t="s">
        <v>1123</v>
      </c>
      <c r="D3462" s="6" t="s">
        <v>1124</v>
      </c>
      <c r="E3462" s="6"/>
      <c r="G3462" s="6">
        <v>140</v>
      </c>
      <c r="H3462" s="6">
        <v>190</v>
      </c>
      <c r="K3462" s="7">
        <v>44007633</v>
      </c>
      <c r="L3462" s="6" t="str">
        <f t="shared" si="323"/>
        <v>YT VİSCO  YATAK PEDİ  140x190</v>
      </c>
      <c r="M3462" s="12">
        <v>0.1</v>
      </c>
      <c r="N3462" s="12">
        <v>0.1</v>
      </c>
      <c r="O3462" s="8">
        <v>6780</v>
      </c>
      <c r="P3462" s="8">
        <f t="shared" si="320"/>
        <v>6102</v>
      </c>
      <c r="Q3462" s="12">
        <f t="shared" si="321"/>
        <v>12814.2</v>
      </c>
      <c r="R3462" s="31">
        <f t="shared" si="322"/>
        <v>12800</v>
      </c>
    </row>
    <row r="3463" spans="1:18" ht="21.95" customHeight="1" x14ac:dyDescent="0.2">
      <c r="A3463" s="6" t="s">
        <v>943</v>
      </c>
      <c r="B3463" s="6" t="s">
        <v>1596</v>
      </c>
      <c r="C3463" s="6" t="s">
        <v>1123</v>
      </c>
      <c r="D3463" s="6" t="s">
        <v>1124</v>
      </c>
      <c r="E3463" s="6"/>
      <c r="G3463" s="6">
        <v>140</v>
      </c>
      <c r="H3463" s="6">
        <v>200</v>
      </c>
      <c r="K3463" s="7">
        <v>44007634</v>
      </c>
      <c r="L3463" s="6" t="str">
        <f t="shared" si="323"/>
        <v>YT VİSCO  YATAK PEDİ  140x200</v>
      </c>
      <c r="M3463" s="12">
        <v>0.1</v>
      </c>
      <c r="N3463" s="12">
        <v>0.1</v>
      </c>
      <c r="O3463" s="8">
        <v>7170</v>
      </c>
      <c r="P3463" s="8">
        <f t="shared" si="320"/>
        <v>6453</v>
      </c>
      <c r="Q3463" s="12">
        <f t="shared" si="321"/>
        <v>13551.300000000001</v>
      </c>
      <c r="R3463" s="31">
        <f t="shared" si="322"/>
        <v>13500</v>
      </c>
    </row>
    <row r="3464" spans="1:18" ht="21.95" customHeight="1" x14ac:dyDescent="0.2">
      <c r="A3464" s="6" t="s">
        <v>943</v>
      </c>
      <c r="B3464" s="6" t="s">
        <v>1596</v>
      </c>
      <c r="C3464" s="6" t="s">
        <v>1123</v>
      </c>
      <c r="D3464" s="6" t="s">
        <v>1124</v>
      </c>
      <c r="E3464" s="6"/>
      <c r="G3464" s="6">
        <v>150</v>
      </c>
      <c r="H3464" s="6">
        <v>200</v>
      </c>
      <c r="K3464" s="7">
        <v>44007635</v>
      </c>
      <c r="L3464" s="6" t="str">
        <f t="shared" si="323"/>
        <v>YT VİSCO  YATAK PEDİ  150x200</v>
      </c>
      <c r="M3464" s="12">
        <v>0.1</v>
      </c>
      <c r="N3464" s="12">
        <v>0.1</v>
      </c>
      <c r="O3464" s="8">
        <v>7690</v>
      </c>
      <c r="P3464" s="8">
        <f t="shared" si="320"/>
        <v>6921</v>
      </c>
      <c r="Q3464" s="12">
        <f t="shared" si="321"/>
        <v>14534.1</v>
      </c>
      <c r="R3464" s="31">
        <f t="shared" si="322"/>
        <v>14500</v>
      </c>
    </row>
    <row r="3465" spans="1:18" ht="21.95" customHeight="1" x14ac:dyDescent="0.2">
      <c r="A3465" s="6" t="s">
        <v>943</v>
      </c>
      <c r="B3465" s="6" t="s">
        <v>1596</v>
      </c>
      <c r="C3465" s="6" t="s">
        <v>1123</v>
      </c>
      <c r="D3465" s="6" t="s">
        <v>1124</v>
      </c>
      <c r="E3465" s="6"/>
      <c r="G3465" s="6">
        <v>160</v>
      </c>
      <c r="H3465" s="6">
        <v>200</v>
      </c>
      <c r="K3465" s="7">
        <v>44007636</v>
      </c>
      <c r="L3465" s="6" t="str">
        <f t="shared" si="323"/>
        <v>YT VİSCO  YATAK PEDİ  160x200</v>
      </c>
      <c r="M3465" s="12">
        <v>0.1</v>
      </c>
      <c r="N3465" s="12">
        <v>0.1</v>
      </c>
      <c r="O3465" s="8">
        <v>8170</v>
      </c>
      <c r="P3465" s="8">
        <f t="shared" si="320"/>
        <v>7353</v>
      </c>
      <c r="Q3465" s="12">
        <f t="shared" si="321"/>
        <v>15441.300000000001</v>
      </c>
      <c r="R3465" s="31">
        <f t="shared" si="322"/>
        <v>15400</v>
      </c>
    </row>
    <row r="3466" spans="1:18" ht="21.95" customHeight="1" x14ac:dyDescent="0.2">
      <c r="A3466" s="6" t="s">
        <v>943</v>
      </c>
      <c r="B3466" s="6" t="s">
        <v>1596</v>
      </c>
      <c r="C3466" s="6" t="s">
        <v>1123</v>
      </c>
      <c r="D3466" s="6" t="s">
        <v>1124</v>
      </c>
      <c r="E3466" s="6"/>
      <c r="G3466" s="6">
        <v>180</v>
      </c>
      <c r="H3466" s="6">
        <v>200</v>
      </c>
      <c r="K3466" s="7">
        <v>44007637</v>
      </c>
      <c r="L3466" s="6" t="str">
        <f t="shared" si="323"/>
        <v>YT VİSCO  YATAK PEDİ  180x200</v>
      </c>
      <c r="M3466" s="12">
        <v>0.1</v>
      </c>
      <c r="N3466" s="12">
        <v>0.1</v>
      </c>
      <c r="O3466" s="8">
        <v>9320</v>
      </c>
      <c r="P3466" s="8">
        <f t="shared" si="320"/>
        <v>8388</v>
      </c>
      <c r="Q3466" s="12">
        <f t="shared" si="321"/>
        <v>17614.8</v>
      </c>
      <c r="R3466" s="31">
        <f t="shared" si="322"/>
        <v>17600</v>
      </c>
    </row>
    <row r="3467" spans="1:18" ht="22.5" customHeight="1" x14ac:dyDescent="0.2">
      <c r="A3467" s="6" t="s">
        <v>943</v>
      </c>
      <c r="B3467" s="6" t="s">
        <v>1596</v>
      </c>
      <c r="C3467" s="6" t="s">
        <v>1123</v>
      </c>
      <c r="D3467" s="6" t="s">
        <v>1124</v>
      </c>
      <c r="E3467" s="6"/>
      <c r="G3467" s="6">
        <v>200</v>
      </c>
      <c r="H3467" s="6">
        <v>200</v>
      </c>
      <c r="K3467" s="7">
        <v>44007638</v>
      </c>
      <c r="L3467" s="6" t="str">
        <f t="shared" si="323"/>
        <v>YT VİSCO  YATAK PEDİ  200x200</v>
      </c>
      <c r="M3467" s="12">
        <v>0.1</v>
      </c>
      <c r="N3467" s="12">
        <v>0.1</v>
      </c>
      <c r="O3467" s="8">
        <v>10310</v>
      </c>
      <c r="P3467" s="8">
        <f t="shared" si="320"/>
        <v>9279</v>
      </c>
      <c r="Q3467" s="12">
        <f t="shared" si="321"/>
        <v>19485.900000000001</v>
      </c>
      <c r="R3467" s="31">
        <f t="shared" si="322"/>
        <v>19400</v>
      </c>
    </row>
    <row r="3468" spans="1:18" ht="21.95" customHeight="1" x14ac:dyDescent="0.2">
      <c r="A3468" s="6" t="s">
        <v>943</v>
      </c>
      <c r="B3468" s="6" t="s">
        <v>1596</v>
      </c>
      <c r="C3468" s="6" t="s">
        <v>1125</v>
      </c>
      <c r="D3468" s="6" t="s">
        <v>1124</v>
      </c>
      <c r="E3468" s="6"/>
      <c r="G3468" s="6">
        <v>90</v>
      </c>
      <c r="H3468" s="6">
        <v>190</v>
      </c>
      <c r="K3468" s="7">
        <v>44007639</v>
      </c>
      <c r="L3468" s="6" t="str">
        <f t="shared" si="323"/>
        <v>YT SULTAN  YATAK PEDİ  90x190</v>
      </c>
      <c r="M3468" s="12">
        <v>0.1</v>
      </c>
      <c r="N3468" s="12">
        <v>0.1</v>
      </c>
      <c r="O3468" s="8">
        <v>1910</v>
      </c>
      <c r="P3468" s="8">
        <f t="shared" si="320"/>
        <v>1719</v>
      </c>
      <c r="Q3468" s="12">
        <f t="shared" si="321"/>
        <v>3609.9</v>
      </c>
      <c r="R3468" s="31">
        <f t="shared" si="322"/>
        <v>3600</v>
      </c>
    </row>
    <row r="3469" spans="1:18" ht="21.95" customHeight="1" x14ac:dyDescent="0.2">
      <c r="A3469" s="6" t="s">
        <v>943</v>
      </c>
      <c r="B3469" s="6" t="s">
        <v>1596</v>
      </c>
      <c r="C3469" s="6" t="s">
        <v>1125</v>
      </c>
      <c r="D3469" s="6" t="s">
        <v>1124</v>
      </c>
      <c r="E3469" s="6"/>
      <c r="G3469" s="6">
        <v>90</v>
      </c>
      <c r="H3469" s="6">
        <v>200</v>
      </c>
      <c r="K3469" s="7">
        <v>44007640</v>
      </c>
      <c r="L3469" s="6" t="str">
        <f t="shared" si="323"/>
        <v>YT SULTAN  YATAK PEDİ  90x200</v>
      </c>
      <c r="M3469" s="12">
        <v>0.1</v>
      </c>
      <c r="N3469" s="12">
        <v>0.1</v>
      </c>
      <c r="O3469" s="8">
        <v>2130</v>
      </c>
      <c r="P3469" s="8">
        <f t="shared" si="320"/>
        <v>1917</v>
      </c>
      <c r="Q3469" s="12">
        <f t="shared" si="321"/>
        <v>4025.7000000000003</v>
      </c>
      <c r="R3469" s="31">
        <f t="shared" si="322"/>
        <v>4000</v>
      </c>
    </row>
    <row r="3470" spans="1:18" ht="21.95" customHeight="1" x14ac:dyDescent="0.2">
      <c r="A3470" s="6" t="s">
        <v>943</v>
      </c>
      <c r="B3470" s="6" t="s">
        <v>1596</v>
      </c>
      <c r="C3470" s="6" t="s">
        <v>1125</v>
      </c>
      <c r="D3470" s="6" t="s">
        <v>1124</v>
      </c>
      <c r="E3470" s="6"/>
      <c r="G3470" s="6">
        <v>100</v>
      </c>
      <c r="H3470" s="6">
        <v>200</v>
      </c>
      <c r="K3470" s="7">
        <v>44007641</v>
      </c>
      <c r="L3470" s="6" t="str">
        <f t="shared" si="323"/>
        <v>YT SULTAN  YATAK PEDİ  100x200</v>
      </c>
      <c r="M3470" s="12">
        <v>0.1</v>
      </c>
      <c r="N3470" s="12">
        <v>0.1</v>
      </c>
      <c r="O3470" s="8">
        <v>2380</v>
      </c>
      <c r="P3470" s="8">
        <f t="shared" ref="P3470:P3533" si="324">O3470*(1-N3470)</f>
        <v>2142</v>
      </c>
      <c r="Q3470" s="12">
        <f t="shared" ref="Q3470:Q3533" si="325">O3470*(1-N3470)*2.1</f>
        <v>4498.2</v>
      </c>
      <c r="R3470" s="31">
        <f t="shared" ref="R3470:R3533" si="326">ROUNDDOWN(Q3470,-2)</f>
        <v>4400</v>
      </c>
    </row>
    <row r="3471" spans="1:18" ht="21.95" customHeight="1" x14ac:dyDescent="0.2">
      <c r="A3471" s="6" t="s">
        <v>943</v>
      </c>
      <c r="B3471" s="6" t="s">
        <v>1596</v>
      </c>
      <c r="C3471" s="6" t="s">
        <v>1125</v>
      </c>
      <c r="D3471" s="6" t="s">
        <v>1124</v>
      </c>
      <c r="E3471" s="6"/>
      <c r="G3471" s="6">
        <v>120</v>
      </c>
      <c r="H3471" s="6">
        <v>200</v>
      </c>
      <c r="K3471" s="7">
        <v>44007642</v>
      </c>
      <c r="L3471" s="6" t="str">
        <f t="shared" si="323"/>
        <v>YT SULTAN  YATAK PEDİ  120x200</v>
      </c>
      <c r="M3471" s="12">
        <v>0.1</v>
      </c>
      <c r="N3471" s="12">
        <v>0.1</v>
      </c>
      <c r="O3471" s="8">
        <v>2670</v>
      </c>
      <c r="P3471" s="8">
        <f t="shared" si="324"/>
        <v>2403</v>
      </c>
      <c r="Q3471" s="12">
        <f t="shared" si="325"/>
        <v>5046.3</v>
      </c>
      <c r="R3471" s="31">
        <f t="shared" si="326"/>
        <v>5000</v>
      </c>
    </row>
    <row r="3472" spans="1:18" ht="21.95" customHeight="1" x14ac:dyDescent="0.2">
      <c r="A3472" s="6" t="s">
        <v>943</v>
      </c>
      <c r="B3472" s="6" t="s">
        <v>1596</v>
      </c>
      <c r="C3472" s="6" t="s">
        <v>1125</v>
      </c>
      <c r="D3472" s="6" t="s">
        <v>1124</v>
      </c>
      <c r="E3472" s="6"/>
      <c r="G3472" s="6">
        <v>140</v>
      </c>
      <c r="H3472" s="6">
        <v>190</v>
      </c>
      <c r="K3472" s="7">
        <v>44007643</v>
      </c>
      <c r="L3472" s="6" t="str">
        <f t="shared" si="323"/>
        <v>YT SULTAN  YATAK PEDİ  140x190</v>
      </c>
      <c r="M3472" s="12">
        <v>0.1</v>
      </c>
      <c r="N3472" s="12">
        <v>0.1</v>
      </c>
      <c r="O3472" s="8">
        <v>2960</v>
      </c>
      <c r="P3472" s="8">
        <f t="shared" si="324"/>
        <v>2664</v>
      </c>
      <c r="Q3472" s="12">
        <f t="shared" si="325"/>
        <v>5594.4000000000005</v>
      </c>
      <c r="R3472" s="31">
        <f t="shared" si="326"/>
        <v>5500</v>
      </c>
    </row>
    <row r="3473" spans="1:18" ht="21.95" customHeight="1" x14ac:dyDescent="0.2">
      <c r="A3473" s="6" t="s">
        <v>943</v>
      </c>
      <c r="B3473" s="6" t="s">
        <v>1596</v>
      </c>
      <c r="C3473" s="6" t="s">
        <v>1125</v>
      </c>
      <c r="D3473" s="6" t="s">
        <v>1124</v>
      </c>
      <c r="E3473" s="6"/>
      <c r="G3473" s="6">
        <v>140</v>
      </c>
      <c r="H3473" s="6">
        <v>200</v>
      </c>
      <c r="K3473" s="7">
        <v>44007644</v>
      </c>
      <c r="L3473" s="6" t="str">
        <f t="shared" si="323"/>
        <v>YT SULTAN  YATAK PEDİ  140x200</v>
      </c>
      <c r="M3473" s="12">
        <v>0.1</v>
      </c>
      <c r="N3473" s="12">
        <v>0.1</v>
      </c>
      <c r="O3473" s="8">
        <v>3110</v>
      </c>
      <c r="P3473" s="8">
        <f t="shared" si="324"/>
        <v>2799</v>
      </c>
      <c r="Q3473" s="12">
        <f t="shared" si="325"/>
        <v>5877.9000000000005</v>
      </c>
      <c r="R3473" s="31">
        <f t="shared" si="326"/>
        <v>5800</v>
      </c>
    </row>
    <row r="3474" spans="1:18" ht="21.95" customHeight="1" x14ac:dyDescent="0.2">
      <c r="A3474" s="6" t="s">
        <v>943</v>
      </c>
      <c r="B3474" s="6" t="s">
        <v>1596</v>
      </c>
      <c r="C3474" s="6" t="s">
        <v>1125</v>
      </c>
      <c r="D3474" s="6" t="s">
        <v>1124</v>
      </c>
      <c r="E3474" s="6"/>
      <c r="G3474" s="6">
        <v>150</v>
      </c>
      <c r="H3474" s="6">
        <v>200</v>
      </c>
      <c r="K3474" s="7">
        <v>44007645</v>
      </c>
      <c r="L3474" s="6" t="str">
        <f t="shared" si="323"/>
        <v>YT SULTAN  YATAK PEDİ  150x200</v>
      </c>
      <c r="M3474" s="12">
        <v>0.1</v>
      </c>
      <c r="N3474" s="12">
        <v>0.1</v>
      </c>
      <c r="O3474" s="8">
        <v>3330</v>
      </c>
      <c r="P3474" s="8">
        <f t="shared" si="324"/>
        <v>2997</v>
      </c>
      <c r="Q3474" s="12">
        <f t="shared" si="325"/>
        <v>6293.7</v>
      </c>
      <c r="R3474" s="31">
        <f t="shared" si="326"/>
        <v>6200</v>
      </c>
    </row>
    <row r="3475" spans="1:18" ht="21.95" customHeight="1" x14ac:dyDescent="0.2">
      <c r="A3475" s="6" t="s">
        <v>943</v>
      </c>
      <c r="B3475" s="6" t="s">
        <v>1596</v>
      </c>
      <c r="C3475" s="6" t="s">
        <v>1125</v>
      </c>
      <c r="D3475" s="6" t="s">
        <v>1124</v>
      </c>
      <c r="E3475" s="6"/>
      <c r="G3475" s="6">
        <v>160</v>
      </c>
      <c r="H3475" s="6">
        <v>200</v>
      </c>
      <c r="K3475" s="7">
        <v>44007646</v>
      </c>
      <c r="L3475" s="6" t="str">
        <f t="shared" si="323"/>
        <v>YT SULTAN  YATAK PEDİ  160x200</v>
      </c>
      <c r="M3475" s="12">
        <v>0.1</v>
      </c>
      <c r="N3475" s="12">
        <v>0.1</v>
      </c>
      <c r="O3475" s="8">
        <v>3550</v>
      </c>
      <c r="P3475" s="8">
        <f t="shared" si="324"/>
        <v>3195</v>
      </c>
      <c r="Q3475" s="12">
        <f t="shared" si="325"/>
        <v>6709.5</v>
      </c>
      <c r="R3475" s="31">
        <f t="shared" si="326"/>
        <v>6700</v>
      </c>
    </row>
    <row r="3476" spans="1:18" ht="21.95" customHeight="1" x14ac:dyDescent="0.2">
      <c r="A3476" s="6" t="s">
        <v>943</v>
      </c>
      <c r="B3476" s="6" t="s">
        <v>1596</v>
      </c>
      <c r="C3476" s="6" t="s">
        <v>1125</v>
      </c>
      <c r="D3476" s="6" t="s">
        <v>1124</v>
      </c>
      <c r="E3476" s="6"/>
      <c r="G3476" s="6">
        <v>180</v>
      </c>
      <c r="H3476" s="6">
        <v>200</v>
      </c>
      <c r="K3476" s="7">
        <v>44007647</v>
      </c>
      <c r="L3476" s="6" t="str">
        <f t="shared" si="323"/>
        <v>YT SULTAN  YATAK PEDİ  180x200</v>
      </c>
      <c r="M3476" s="12">
        <v>0.1</v>
      </c>
      <c r="N3476" s="12">
        <v>0.1</v>
      </c>
      <c r="O3476" s="8">
        <v>4030</v>
      </c>
      <c r="P3476" s="8">
        <f t="shared" si="324"/>
        <v>3627</v>
      </c>
      <c r="Q3476" s="12">
        <f t="shared" si="325"/>
        <v>7616.7000000000007</v>
      </c>
      <c r="R3476" s="31">
        <f t="shared" si="326"/>
        <v>7600</v>
      </c>
    </row>
    <row r="3477" spans="1:18" ht="21.95" customHeight="1" x14ac:dyDescent="0.2">
      <c r="A3477" s="6" t="s">
        <v>943</v>
      </c>
      <c r="B3477" s="6" t="s">
        <v>1596</v>
      </c>
      <c r="C3477" s="6" t="s">
        <v>1125</v>
      </c>
      <c r="D3477" s="6" t="s">
        <v>1124</v>
      </c>
      <c r="E3477" s="6"/>
      <c r="G3477" s="6">
        <v>200</v>
      </c>
      <c r="H3477" s="6">
        <v>200</v>
      </c>
      <c r="K3477" s="7">
        <v>44007648</v>
      </c>
      <c r="L3477" s="6" t="str">
        <f t="shared" si="323"/>
        <v>YT SULTAN  YATAK PEDİ  200x200</v>
      </c>
      <c r="M3477" s="12">
        <v>0.1</v>
      </c>
      <c r="N3477" s="12">
        <v>0.1</v>
      </c>
      <c r="O3477" s="8">
        <v>4500</v>
      </c>
      <c r="P3477" s="8">
        <f t="shared" si="324"/>
        <v>4050</v>
      </c>
      <c r="Q3477" s="12">
        <f t="shared" si="325"/>
        <v>8505</v>
      </c>
      <c r="R3477" s="31">
        <f t="shared" si="326"/>
        <v>8500</v>
      </c>
    </row>
    <row r="3478" spans="1:18" ht="21.95" customHeight="1" x14ac:dyDescent="0.2">
      <c r="A3478" s="6" t="s">
        <v>943</v>
      </c>
      <c r="B3478" s="6" t="s">
        <v>1596</v>
      </c>
      <c r="C3478" s="6" t="s">
        <v>1126</v>
      </c>
      <c r="D3478" s="6" t="s">
        <v>1127</v>
      </c>
      <c r="E3478" s="6"/>
      <c r="G3478" s="6">
        <v>90</v>
      </c>
      <c r="H3478" s="6">
        <v>190</v>
      </c>
      <c r="K3478" s="7">
        <v>44007649</v>
      </c>
      <c r="L3478" s="6" t="str">
        <f t="shared" si="323"/>
        <v>YT SIVI GEÇİRMEZ  FİTTED ALEZ  90x190</v>
      </c>
      <c r="M3478" s="12">
        <v>0.1</v>
      </c>
      <c r="N3478" s="12">
        <v>0.1</v>
      </c>
      <c r="O3478" s="8">
        <v>960</v>
      </c>
      <c r="P3478" s="8">
        <f t="shared" si="324"/>
        <v>864</v>
      </c>
      <c r="Q3478" s="12">
        <f t="shared" si="325"/>
        <v>1814.4</v>
      </c>
      <c r="R3478" s="31">
        <f t="shared" si="326"/>
        <v>1800</v>
      </c>
    </row>
    <row r="3479" spans="1:18" ht="21.95" customHeight="1" x14ac:dyDescent="0.2">
      <c r="A3479" s="6" t="s">
        <v>943</v>
      </c>
      <c r="B3479" s="6" t="s">
        <v>1596</v>
      </c>
      <c r="C3479" s="6" t="s">
        <v>1126</v>
      </c>
      <c r="D3479" s="6" t="s">
        <v>1127</v>
      </c>
      <c r="E3479" s="6"/>
      <c r="G3479" s="6">
        <v>90</v>
      </c>
      <c r="H3479" s="6">
        <v>200</v>
      </c>
      <c r="K3479" s="7">
        <v>44007650</v>
      </c>
      <c r="L3479" s="6" t="str">
        <f t="shared" si="323"/>
        <v>YT SIVI GEÇİRMEZ  FİTTED ALEZ  90x200</v>
      </c>
      <c r="M3479" s="12">
        <v>0.1</v>
      </c>
      <c r="N3479" s="12">
        <v>0.1</v>
      </c>
      <c r="O3479" s="8">
        <v>980</v>
      </c>
      <c r="P3479" s="8">
        <f t="shared" si="324"/>
        <v>882</v>
      </c>
      <c r="Q3479" s="12">
        <f t="shared" si="325"/>
        <v>1852.2</v>
      </c>
      <c r="R3479" s="31">
        <f t="shared" si="326"/>
        <v>1800</v>
      </c>
    </row>
    <row r="3480" spans="1:18" ht="21.95" customHeight="1" x14ac:dyDescent="0.2">
      <c r="A3480" s="6" t="s">
        <v>943</v>
      </c>
      <c r="B3480" s="6" t="s">
        <v>1596</v>
      </c>
      <c r="C3480" s="6" t="s">
        <v>1126</v>
      </c>
      <c r="D3480" s="6" t="s">
        <v>1127</v>
      </c>
      <c r="E3480" s="6"/>
      <c r="G3480" s="6">
        <v>100</v>
      </c>
      <c r="H3480" s="6">
        <v>200</v>
      </c>
      <c r="K3480" s="7">
        <v>44007651</v>
      </c>
      <c r="L3480" s="6" t="str">
        <f t="shared" si="323"/>
        <v>YT SIVI GEÇİRMEZ  FİTTED ALEZ  100x200</v>
      </c>
      <c r="M3480" s="12">
        <v>0.1</v>
      </c>
      <c r="N3480" s="12">
        <v>0.1</v>
      </c>
      <c r="O3480" s="8">
        <v>1040</v>
      </c>
      <c r="P3480" s="8">
        <f t="shared" si="324"/>
        <v>936</v>
      </c>
      <c r="Q3480" s="12">
        <f t="shared" si="325"/>
        <v>1965.6000000000001</v>
      </c>
      <c r="R3480" s="31">
        <f t="shared" si="326"/>
        <v>1900</v>
      </c>
    </row>
    <row r="3481" spans="1:18" ht="21.95" customHeight="1" x14ac:dyDescent="0.2">
      <c r="A3481" s="6" t="s">
        <v>943</v>
      </c>
      <c r="B3481" s="6" t="s">
        <v>1596</v>
      </c>
      <c r="C3481" s="6" t="s">
        <v>1126</v>
      </c>
      <c r="D3481" s="6" t="s">
        <v>1127</v>
      </c>
      <c r="E3481" s="6"/>
      <c r="G3481" s="6">
        <v>120</v>
      </c>
      <c r="H3481" s="6">
        <v>200</v>
      </c>
      <c r="K3481" s="7">
        <v>44007652</v>
      </c>
      <c r="L3481" s="6" t="str">
        <f t="shared" si="323"/>
        <v>YT SIVI GEÇİRMEZ  FİTTED ALEZ  120x200</v>
      </c>
      <c r="M3481" s="12">
        <v>0.1</v>
      </c>
      <c r="N3481" s="12">
        <v>0.1</v>
      </c>
      <c r="O3481" s="8">
        <v>1140</v>
      </c>
      <c r="P3481" s="8">
        <f t="shared" si="324"/>
        <v>1026</v>
      </c>
      <c r="Q3481" s="12">
        <f t="shared" si="325"/>
        <v>2154.6</v>
      </c>
      <c r="R3481" s="31">
        <f t="shared" si="326"/>
        <v>2100</v>
      </c>
    </row>
    <row r="3482" spans="1:18" ht="21.95" customHeight="1" x14ac:dyDescent="0.2">
      <c r="A3482" s="6" t="s">
        <v>943</v>
      </c>
      <c r="B3482" s="6" t="s">
        <v>1596</v>
      </c>
      <c r="C3482" s="6" t="s">
        <v>1126</v>
      </c>
      <c r="D3482" s="6" t="s">
        <v>1127</v>
      </c>
      <c r="E3482" s="6"/>
      <c r="G3482" s="6">
        <v>140</v>
      </c>
      <c r="H3482" s="6">
        <v>190</v>
      </c>
      <c r="K3482" s="7">
        <v>44007653</v>
      </c>
      <c r="L3482" s="6" t="str">
        <f t="shared" si="323"/>
        <v>YT SIVI GEÇİRMEZ  FİTTED ALEZ  140x190</v>
      </c>
      <c r="M3482" s="12">
        <v>0.1</v>
      </c>
      <c r="N3482" s="12">
        <v>0.1</v>
      </c>
      <c r="O3482" s="8">
        <v>1240</v>
      </c>
      <c r="P3482" s="8">
        <f t="shared" si="324"/>
        <v>1116</v>
      </c>
      <c r="Q3482" s="12">
        <f t="shared" si="325"/>
        <v>2343.6</v>
      </c>
      <c r="R3482" s="31">
        <f t="shared" si="326"/>
        <v>2300</v>
      </c>
    </row>
    <row r="3483" spans="1:18" ht="21.95" customHeight="1" x14ac:dyDescent="0.2">
      <c r="A3483" s="6" t="s">
        <v>943</v>
      </c>
      <c r="B3483" s="6" t="s">
        <v>1596</v>
      </c>
      <c r="C3483" s="6" t="s">
        <v>1126</v>
      </c>
      <c r="D3483" s="6" t="s">
        <v>1127</v>
      </c>
      <c r="E3483" s="6"/>
      <c r="G3483" s="6">
        <v>140</v>
      </c>
      <c r="H3483" s="6">
        <v>200</v>
      </c>
      <c r="K3483" s="7">
        <v>44007654</v>
      </c>
      <c r="L3483" s="6" t="str">
        <f t="shared" si="323"/>
        <v>YT SIVI GEÇİRMEZ  FİTTED ALEZ  140x200</v>
      </c>
      <c r="M3483" s="12">
        <v>0.1</v>
      </c>
      <c r="N3483" s="12">
        <v>0.1</v>
      </c>
      <c r="O3483" s="8">
        <v>1270</v>
      </c>
      <c r="P3483" s="8">
        <f t="shared" si="324"/>
        <v>1143</v>
      </c>
      <c r="Q3483" s="12">
        <f t="shared" si="325"/>
        <v>2400.3000000000002</v>
      </c>
      <c r="R3483" s="31">
        <f t="shared" si="326"/>
        <v>2400</v>
      </c>
    </row>
    <row r="3484" spans="1:18" ht="21.95" customHeight="1" x14ac:dyDescent="0.2">
      <c r="A3484" s="6" t="s">
        <v>943</v>
      </c>
      <c r="B3484" s="6" t="s">
        <v>1596</v>
      </c>
      <c r="C3484" s="6" t="s">
        <v>1126</v>
      </c>
      <c r="D3484" s="6" t="s">
        <v>1127</v>
      </c>
      <c r="E3484" s="6"/>
      <c r="G3484" s="6">
        <v>150</v>
      </c>
      <c r="H3484" s="6">
        <v>200</v>
      </c>
      <c r="K3484" s="7">
        <v>44007655</v>
      </c>
      <c r="L3484" s="6" t="str">
        <f t="shared" si="323"/>
        <v>YT SIVI GEÇİRMEZ  FİTTED ALEZ  150x200</v>
      </c>
      <c r="M3484" s="12">
        <v>0.1</v>
      </c>
      <c r="N3484" s="12">
        <v>0.1</v>
      </c>
      <c r="O3484" s="8">
        <v>1330</v>
      </c>
      <c r="P3484" s="8">
        <f t="shared" si="324"/>
        <v>1197</v>
      </c>
      <c r="Q3484" s="12">
        <f t="shared" si="325"/>
        <v>2513.7000000000003</v>
      </c>
      <c r="R3484" s="31">
        <f t="shared" si="326"/>
        <v>2500</v>
      </c>
    </row>
    <row r="3485" spans="1:18" ht="21.95" customHeight="1" x14ac:dyDescent="0.2">
      <c r="A3485" s="6" t="s">
        <v>943</v>
      </c>
      <c r="B3485" s="6" t="s">
        <v>1596</v>
      </c>
      <c r="C3485" s="6" t="s">
        <v>1126</v>
      </c>
      <c r="D3485" s="6" t="s">
        <v>1127</v>
      </c>
      <c r="E3485" s="6"/>
      <c r="G3485" s="6">
        <v>160</v>
      </c>
      <c r="H3485" s="6">
        <v>200</v>
      </c>
      <c r="K3485" s="7">
        <v>44007656</v>
      </c>
      <c r="L3485" s="6" t="str">
        <f t="shared" si="323"/>
        <v>YT SIVI GEÇİRMEZ  FİTTED ALEZ  160x200</v>
      </c>
      <c r="M3485" s="12">
        <v>0.1</v>
      </c>
      <c r="N3485" s="12">
        <v>0.1</v>
      </c>
      <c r="O3485" s="8">
        <v>1400</v>
      </c>
      <c r="P3485" s="8">
        <f t="shared" si="324"/>
        <v>1260</v>
      </c>
      <c r="Q3485" s="12">
        <f t="shared" si="325"/>
        <v>2646</v>
      </c>
      <c r="R3485" s="31">
        <f t="shared" si="326"/>
        <v>2600</v>
      </c>
    </row>
    <row r="3486" spans="1:18" ht="21.95" customHeight="1" x14ac:dyDescent="0.2">
      <c r="A3486" s="6" t="s">
        <v>943</v>
      </c>
      <c r="B3486" s="6" t="s">
        <v>1596</v>
      </c>
      <c r="C3486" s="6" t="s">
        <v>1126</v>
      </c>
      <c r="D3486" s="6" t="s">
        <v>1127</v>
      </c>
      <c r="E3486" s="6"/>
      <c r="G3486" s="6">
        <v>180</v>
      </c>
      <c r="H3486" s="6">
        <v>200</v>
      </c>
      <c r="K3486" s="7">
        <v>44007657</v>
      </c>
      <c r="L3486" s="6" t="str">
        <f t="shared" si="323"/>
        <v>YT SIVI GEÇİRMEZ  FİTTED ALEZ  180x200</v>
      </c>
      <c r="M3486" s="12">
        <v>0.1</v>
      </c>
      <c r="N3486" s="12">
        <v>0.1</v>
      </c>
      <c r="O3486" s="8">
        <v>1530</v>
      </c>
      <c r="P3486" s="8">
        <f t="shared" si="324"/>
        <v>1377</v>
      </c>
      <c r="Q3486" s="12">
        <f t="shared" si="325"/>
        <v>2891.7000000000003</v>
      </c>
      <c r="R3486" s="31">
        <f t="shared" si="326"/>
        <v>2800</v>
      </c>
    </row>
    <row r="3487" spans="1:18" ht="21.95" customHeight="1" x14ac:dyDescent="0.2">
      <c r="A3487" s="6" t="s">
        <v>943</v>
      </c>
      <c r="B3487" s="6" t="s">
        <v>1596</v>
      </c>
      <c r="C3487" s="6" t="s">
        <v>1126</v>
      </c>
      <c r="D3487" s="6" t="s">
        <v>1127</v>
      </c>
      <c r="E3487" s="6"/>
      <c r="G3487" s="6">
        <v>200</v>
      </c>
      <c r="H3487" s="6">
        <v>200</v>
      </c>
      <c r="K3487" s="7">
        <v>44007658</v>
      </c>
      <c r="L3487" s="6" t="str">
        <f t="shared" si="323"/>
        <v>YT SIVI GEÇİRMEZ  FİTTED ALEZ  200x200</v>
      </c>
      <c r="M3487" s="12">
        <v>0.1</v>
      </c>
      <c r="N3487" s="12">
        <v>0.1</v>
      </c>
      <c r="O3487" s="8">
        <v>1630</v>
      </c>
      <c r="P3487" s="8">
        <f t="shared" si="324"/>
        <v>1467</v>
      </c>
      <c r="Q3487" s="12">
        <f t="shared" si="325"/>
        <v>3080.7000000000003</v>
      </c>
      <c r="R3487" s="31">
        <f t="shared" si="326"/>
        <v>3000</v>
      </c>
    </row>
    <row r="3488" spans="1:18" ht="21.95" customHeight="1" x14ac:dyDescent="0.2">
      <c r="A3488" s="6" t="s">
        <v>943</v>
      </c>
      <c r="B3488" s="6" t="s">
        <v>1596</v>
      </c>
      <c r="C3488" s="6" t="s">
        <v>1128</v>
      </c>
      <c r="D3488" s="6" t="s">
        <v>1127</v>
      </c>
      <c r="E3488" s="6"/>
      <c r="G3488" s="6">
        <v>90</v>
      </c>
      <c r="H3488" s="6">
        <v>190</v>
      </c>
      <c r="K3488" s="7">
        <v>44007659</v>
      </c>
      <c r="L3488" s="6" t="str">
        <f t="shared" si="323"/>
        <v>YT KAPİTONELİ  FİTTED ALEZ  90x190</v>
      </c>
      <c r="M3488" s="12">
        <v>0.1</v>
      </c>
      <c r="N3488" s="12">
        <v>0.1</v>
      </c>
      <c r="O3488" s="8">
        <v>810</v>
      </c>
      <c r="P3488" s="8">
        <f t="shared" si="324"/>
        <v>729</v>
      </c>
      <c r="Q3488" s="12">
        <f t="shared" si="325"/>
        <v>1530.9</v>
      </c>
      <c r="R3488" s="31">
        <f t="shared" si="326"/>
        <v>1500</v>
      </c>
    </row>
    <row r="3489" spans="1:18" ht="21.95" customHeight="1" x14ac:dyDescent="0.2">
      <c r="A3489" s="6" t="s">
        <v>943</v>
      </c>
      <c r="B3489" s="6" t="s">
        <v>1596</v>
      </c>
      <c r="C3489" s="6" t="s">
        <v>1128</v>
      </c>
      <c r="D3489" s="6" t="s">
        <v>1127</v>
      </c>
      <c r="E3489" s="6"/>
      <c r="G3489" s="6">
        <v>90</v>
      </c>
      <c r="H3489" s="6">
        <v>200</v>
      </c>
      <c r="K3489" s="7">
        <v>44007660</v>
      </c>
      <c r="L3489" s="6" t="str">
        <f t="shared" si="323"/>
        <v>YT KAPİTONELİ  FİTTED ALEZ  90x200</v>
      </c>
      <c r="M3489" s="12">
        <v>0.1</v>
      </c>
      <c r="N3489" s="12">
        <v>0.1</v>
      </c>
      <c r="O3489" s="8">
        <v>840</v>
      </c>
      <c r="P3489" s="8">
        <f t="shared" si="324"/>
        <v>756</v>
      </c>
      <c r="Q3489" s="12">
        <f t="shared" si="325"/>
        <v>1587.6000000000001</v>
      </c>
      <c r="R3489" s="31">
        <f t="shared" si="326"/>
        <v>1500</v>
      </c>
    </row>
    <row r="3490" spans="1:18" ht="21.95" customHeight="1" x14ac:dyDescent="0.2">
      <c r="A3490" s="6" t="s">
        <v>943</v>
      </c>
      <c r="B3490" s="6" t="s">
        <v>1596</v>
      </c>
      <c r="C3490" s="6" t="s">
        <v>1128</v>
      </c>
      <c r="D3490" s="6" t="s">
        <v>1127</v>
      </c>
      <c r="E3490" s="6"/>
      <c r="G3490" s="6">
        <v>100</v>
      </c>
      <c r="H3490" s="6">
        <v>200</v>
      </c>
      <c r="K3490" s="7">
        <v>44007661</v>
      </c>
      <c r="L3490" s="6" t="str">
        <f t="shared" si="323"/>
        <v>YT KAPİTONELİ  FİTTED ALEZ  100x200</v>
      </c>
      <c r="M3490" s="12">
        <v>0.1</v>
      </c>
      <c r="N3490" s="12">
        <v>0.1</v>
      </c>
      <c r="O3490" s="8">
        <v>870</v>
      </c>
      <c r="P3490" s="8">
        <f t="shared" si="324"/>
        <v>783</v>
      </c>
      <c r="Q3490" s="12">
        <f t="shared" si="325"/>
        <v>1644.3000000000002</v>
      </c>
      <c r="R3490" s="31">
        <f t="shared" si="326"/>
        <v>1600</v>
      </c>
    </row>
    <row r="3491" spans="1:18" ht="21.95" customHeight="1" x14ac:dyDescent="0.2">
      <c r="A3491" s="6" t="s">
        <v>943</v>
      </c>
      <c r="B3491" s="6" t="s">
        <v>1596</v>
      </c>
      <c r="C3491" s="6" t="s">
        <v>1128</v>
      </c>
      <c r="D3491" s="6" t="s">
        <v>1127</v>
      </c>
      <c r="E3491" s="6"/>
      <c r="G3491" s="6">
        <v>120</v>
      </c>
      <c r="H3491" s="6">
        <v>200</v>
      </c>
      <c r="K3491" s="7">
        <v>44007662</v>
      </c>
      <c r="L3491" s="6" t="str">
        <f t="shared" si="323"/>
        <v>YT KAPİTONELİ  FİTTED ALEZ  120x200</v>
      </c>
      <c r="M3491" s="12">
        <v>0.1</v>
      </c>
      <c r="N3491" s="12">
        <v>0.1</v>
      </c>
      <c r="O3491" s="8">
        <v>970</v>
      </c>
      <c r="P3491" s="8">
        <f t="shared" si="324"/>
        <v>873</v>
      </c>
      <c r="Q3491" s="12">
        <f t="shared" si="325"/>
        <v>1833.3000000000002</v>
      </c>
      <c r="R3491" s="31">
        <f t="shared" si="326"/>
        <v>1800</v>
      </c>
    </row>
    <row r="3492" spans="1:18" ht="21.95" customHeight="1" x14ac:dyDescent="0.2">
      <c r="A3492" s="6" t="s">
        <v>943</v>
      </c>
      <c r="B3492" s="6" t="s">
        <v>1596</v>
      </c>
      <c r="C3492" s="6" t="s">
        <v>1128</v>
      </c>
      <c r="D3492" s="6" t="s">
        <v>1127</v>
      </c>
      <c r="E3492" s="6"/>
      <c r="G3492" s="6">
        <v>140</v>
      </c>
      <c r="H3492" s="6">
        <v>190</v>
      </c>
      <c r="K3492" s="7">
        <v>44007663</v>
      </c>
      <c r="L3492" s="6" t="str">
        <f t="shared" si="323"/>
        <v>YT KAPİTONELİ  FİTTED ALEZ  140x190</v>
      </c>
      <c r="M3492" s="12">
        <v>0.1</v>
      </c>
      <c r="N3492" s="12">
        <v>0.1</v>
      </c>
      <c r="O3492" s="8">
        <v>1060</v>
      </c>
      <c r="P3492" s="8">
        <f t="shared" si="324"/>
        <v>954</v>
      </c>
      <c r="Q3492" s="12">
        <f t="shared" si="325"/>
        <v>2003.4</v>
      </c>
      <c r="R3492" s="31">
        <f t="shared" si="326"/>
        <v>2000</v>
      </c>
    </row>
    <row r="3493" spans="1:18" ht="21.95" customHeight="1" x14ac:dyDescent="0.2">
      <c r="A3493" s="6" t="s">
        <v>943</v>
      </c>
      <c r="B3493" s="6" t="s">
        <v>1596</v>
      </c>
      <c r="C3493" s="6" t="s">
        <v>1128</v>
      </c>
      <c r="D3493" s="6" t="s">
        <v>1127</v>
      </c>
      <c r="E3493" s="6"/>
      <c r="G3493" s="6">
        <v>140</v>
      </c>
      <c r="H3493" s="6">
        <v>200</v>
      </c>
      <c r="K3493" s="7">
        <v>44007664</v>
      </c>
      <c r="L3493" s="6" t="str">
        <f t="shared" si="323"/>
        <v>YT KAPİTONELİ  FİTTED ALEZ  140x200</v>
      </c>
      <c r="M3493" s="12">
        <v>0.1</v>
      </c>
      <c r="N3493" s="12">
        <v>0.1</v>
      </c>
      <c r="O3493" s="8">
        <v>1070</v>
      </c>
      <c r="P3493" s="8">
        <f t="shared" si="324"/>
        <v>963</v>
      </c>
      <c r="Q3493" s="12">
        <f t="shared" si="325"/>
        <v>2022.3000000000002</v>
      </c>
      <c r="R3493" s="31">
        <f t="shared" si="326"/>
        <v>2000</v>
      </c>
    </row>
    <row r="3494" spans="1:18" ht="21.95" customHeight="1" x14ac:dyDescent="0.2">
      <c r="A3494" s="6" t="s">
        <v>943</v>
      </c>
      <c r="B3494" s="6" t="s">
        <v>1596</v>
      </c>
      <c r="C3494" s="6" t="s">
        <v>1128</v>
      </c>
      <c r="D3494" s="6" t="s">
        <v>1127</v>
      </c>
      <c r="E3494" s="6"/>
      <c r="G3494" s="6">
        <v>150</v>
      </c>
      <c r="H3494" s="6">
        <v>200</v>
      </c>
      <c r="K3494" s="7">
        <v>44007665</v>
      </c>
      <c r="L3494" s="6" t="str">
        <f t="shared" si="323"/>
        <v>YT KAPİTONELİ  FİTTED ALEZ  150x200</v>
      </c>
      <c r="M3494" s="12">
        <v>0.1</v>
      </c>
      <c r="N3494" s="12">
        <v>0.1</v>
      </c>
      <c r="O3494" s="8">
        <v>1140</v>
      </c>
      <c r="P3494" s="8">
        <f t="shared" si="324"/>
        <v>1026</v>
      </c>
      <c r="Q3494" s="12">
        <f t="shared" si="325"/>
        <v>2154.6</v>
      </c>
      <c r="R3494" s="31">
        <f t="shared" si="326"/>
        <v>2100</v>
      </c>
    </row>
    <row r="3495" spans="1:18" ht="21.95" customHeight="1" x14ac:dyDescent="0.2">
      <c r="A3495" s="6" t="s">
        <v>943</v>
      </c>
      <c r="B3495" s="6" t="s">
        <v>1596</v>
      </c>
      <c r="C3495" s="6" t="s">
        <v>1128</v>
      </c>
      <c r="D3495" s="6" t="s">
        <v>1127</v>
      </c>
      <c r="E3495" s="6"/>
      <c r="G3495" s="6">
        <v>160</v>
      </c>
      <c r="H3495" s="6">
        <v>200</v>
      </c>
      <c r="K3495" s="7">
        <v>44007666</v>
      </c>
      <c r="L3495" s="6" t="str">
        <f t="shared" si="323"/>
        <v>YT KAPİTONELİ  FİTTED ALEZ  160x200</v>
      </c>
      <c r="M3495" s="12">
        <v>0.1</v>
      </c>
      <c r="N3495" s="12">
        <v>0.1</v>
      </c>
      <c r="O3495" s="8">
        <v>1200</v>
      </c>
      <c r="P3495" s="8">
        <f t="shared" si="324"/>
        <v>1080</v>
      </c>
      <c r="Q3495" s="12">
        <f t="shared" si="325"/>
        <v>2268</v>
      </c>
      <c r="R3495" s="31">
        <f t="shared" si="326"/>
        <v>2200</v>
      </c>
    </row>
    <row r="3496" spans="1:18" ht="21.95" customHeight="1" x14ac:dyDescent="0.2">
      <c r="A3496" s="6" t="s">
        <v>943</v>
      </c>
      <c r="B3496" s="6" t="s">
        <v>1596</v>
      </c>
      <c r="C3496" s="6" t="s">
        <v>1128</v>
      </c>
      <c r="D3496" s="6" t="s">
        <v>1127</v>
      </c>
      <c r="E3496" s="6"/>
      <c r="G3496" s="6">
        <v>180</v>
      </c>
      <c r="H3496" s="6">
        <v>200</v>
      </c>
      <c r="K3496" s="7">
        <v>44007667</v>
      </c>
      <c r="L3496" s="6" t="str">
        <f t="shared" si="323"/>
        <v>YT KAPİTONELİ  FİTTED ALEZ  180x200</v>
      </c>
      <c r="M3496" s="12">
        <v>0.1</v>
      </c>
      <c r="N3496" s="12">
        <v>0.1</v>
      </c>
      <c r="O3496" s="8">
        <v>1300</v>
      </c>
      <c r="P3496" s="8">
        <f t="shared" si="324"/>
        <v>1170</v>
      </c>
      <c r="Q3496" s="12">
        <f t="shared" si="325"/>
        <v>2457</v>
      </c>
      <c r="R3496" s="31">
        <f t="shared" si="326"/>
        <v>2400</v>
      </c>
    </row>
    <row r="3497" spans="1:18" ht="21.95" customHeight="1" x14ac:dyDescent="0.2">
      <c r="A3497" s="6" t="s">
        <v>943</v>
      </c>
      <c r="B3497" s="6" t="s">
        <v>1596</v>
      </c>
      <c r="C3497" s="6" t="s">
        <v>1128</v>
      </c>
      <c r="D3497" s="6" t="s">
        <v>1127</v>
      </c>
      <c r="E3497" s="6"/>
      <c r="G3497" s="6">
        <v>200</v>
      </c>
      <c r="H3497" s="6">
        <v>200</v>
      </c>
      <c r="K3497" s="7">
        <v>44007668</v>
      </c>
      <c r="L3497" s="6" t="str">
        <f t="shared" si="323"/>
        <v>YT KAPİTONELİ  FİTTED ALEZ  200x200</v>
      </c>
      <c r="M3497" s="12">
        <v>0.1</v>
      </c>
      <c r="N3497" s="12">
        <v>0.1</v>
      </c>
      <c r="O3497" s="8">
        <v>1370</v>
      </c>
      <c r="P3497" s="8">
        <f t="shared" si="324"/>
        <v>1233</v>
      </c>
      <c r="Q3497" s="12">
        <f t="shared" si="325"/>
        <v>2589.3000000000002</v>
      </c>
      <c r="R3497" s="31">
        <f t="shared" si="326"/>
        <v>2500</v>
      </c>
    </row>
    <row r="3498" spans="1:18" ht="21.95" customHeight="1" x14ac:dyDescent="0.2">
      <c r="A3498" s="6" t="s">
        <v>943</v>
      </c>
      <c r="B3498" s="6" t="s">
        <v>1596</v>
      </c>
      <c r="C3498" s="6" t="s">
        <v>1126</v>
      </c>
      <c r="D3498" s="6" t="s">
        <v>1129</v>
      </c>
      <c r="E3498" s="6"/>
      <c r="G3498" s="6">
        <v>90</v>
      </c>
      <c r="H3498" s="6">
        <v>190</v>
      </c>
      <c r="K3498" s="7">
        <v>44007669</v>
      </c>
      <c r="L3498" s="6" t="str">
        <f t="shared" si="323"/>
        <v>YT SIVI GEÇİRMEZ  ALEZ 90x190</v>
      </c>
      <c r="M3498" s="12">
        <v>0.1</v>
      </c>
      <c r="N3498" s="12">
        <v>0.1</v>
      </c>
      <c r="O3498" s="8">
        <v>550</v>
      </c>
      <c r="P3498" s="8">
        <f t="shared" si="324"/>
        <v>495</v>
      </c>
      <c r="Q3498" s="12">
        <f t="shared" si="325"/>
        <v>1039.5</v>
      </c>
      <c r="R3498" s="31">
        <f t="shared" si="326"/>
        <v>1000</v>
      </c>
    </row>
    <row r="3499" spans="1:18" ht="21.95" customHeight="1" x14ac:dyDescent="0.2">
      <c r="A3499" s="6" t="s">
        <v>943</v>
      </c>
      <c r="B3499" s="6" t="s">
        <v>1596</v>
      </c>
      <c r="C3499" s="6" t="s">
        <v>1126</v>
      </c>
      <c r="D3499" s="6" t="s">
        <v>1129</v>
      </c>
      <c r="E3499" s="6"/>
      <c r="G3499" s="6">
        <v>90</v>
      </c>
      <c r="H3499" s="6">
        <v>200</v>
      </c>
      <c r="K3499" s="7">
        <v>44007670</v>
      </c>
      <c r="L3499" s="6" t="str">
        <f t="shared" si="323"/>
        <v>YT SIVI GEÇİRMEZ  ALEZ 90x200</v>
      </c>
      <c r="M3499" s="12">
        <v>0.1</v>
      </c>
      <c r="N3499" s="12">
        <v>0.1</v>
      </c>
      <c r="O3499" s="8">
        <v>580</v>
      </c>
      <c r="P3499" s="8">
        <f t="shared" si="324"/>
        <v>522</v>
      </c>
      <c r="Q3499" s="12">
        <f t="shared" si="325"/>
        <v>1096.2</v>
      </c>
      <c r="R3499" s="31">
        <f t="shared" si="326"/>
        <v>1000</v>
      </c>
    </row>
    <row r="3500" spans="1:18" ht="21.95" customHeight="1" x14ac:dyDescent="0.2">
      <c r="A3500" s="6" t="s">
        <v>943</v>
      </c>
      <c r="B3500" s="6" t="s">
        <v>1596</v>
      </c>
      <c r="C3500" s="6" t="s">
        <v>1126</v>
      </c>
      <c r="D3500" s="6" t="s">
        <v>1129</v>
      </c>
      <c r="E3500" s="6"/>
      <c r="G3500" s="6">
        <v>100</v>
      </c>
      <c r="H3500" s="6">
        <v>200</v>
      </c>
      <c r="K3500" s="7">
        <v>44007671</v>
      </c>
      <c r="L3500" s="6" t="str">
        <f t="shared" si="323"/>
        <v>YT SIVI GEÇİRMEZ  ALEZ 100x200</v>
      </c>
      <c r="M3500" s="12">
        <v>0.1</v>
      </c>
      <c r="N3500" s="12">
        <v>0.1</v>
      </c>
      <c r="O3500" s="8">
        <v>600</v>
      </c>
      <c r="P3500" s="8">
        <f t="shared" si="324"/>
        <v>540</v>
      </c>
      <c r="Q3500" s="12">
        <f t="shared" si="325"/>
        <v>1134</v>
      </c>
      <c r="R3500" s="31">
        <f t="shared" si="326"/>
        <v>1100</v>
      </c>
    </row>
    <row r="3501" spans="1:18" ht="21.95" customHeight="1" x14ac:dyDescent="0.2">
      <c r="A3501" s="6" t="s">
        <v>943</v>
      </c>
      <c r="B3501" s="6" t="s">
        <v>1596</v>
      </c>
      <c r="C3501" s="6" t="s">
        <v>1126</v>
      </c>
      <c r="D3501" s="6" t="s">
        <v>1129</v>
      </c>
      <c r="E3501" s="6"/>
      <c r="G3501" s="6">
        <v>120</v>
      </c>
      <c r="H3501" s="6">
        <v>200</v>
      </c>
      <c r="K3501" s="7">
        <v>44007672</v>
      </c>
      <c r="L3501" s="6" t="str">
        <f t="shared" si="323"/>
        <v>YT SIVI GEÇİRMEZ  ALEZ 120x200</v>
      </c>
      <c r="M3501" s="12">
        <v>0.1</v>
      </c>
      <c r="N3501" s="12">
        <v>0.1</v>
      </c>
      <c r="O3501" s="8">
        <v>650</v>
      </c>
      <c r="P3501" s="8">
        <f t="shared" si="324"/>
        <v>585</v>
      </c>
      <c r="Q3501" s="12">
        <f t="shared" si="325"/>
        <v>1228.5</v>
      </c>
      <c r="R3501" s="31">
        <f t="shared" si="326"/>
        <v>1200</v>
      </c>
    </row>
    <row r="3502" spans="1:18" ht="21.95" customHeight="1" x14ac:dyDescent="0.2">
      <c r="A3502" s="6" t="s">
        <v>943</v>
      </c>
      <c r="B3502" s="6" t="s">
        <v>1596</v>
      </c>
      <c r="C3502" s="6" t="s">
        <v>1126</v>
      </c>
      <c r="D3502" s="6" t="s">
        <v>1129</v>
      </c>
      <c r="E3502" s="6"/>
      <c r="G3502" s="6">
        <v>140</v>
      </c>
      <c r="H3502" s="6">
        <v>190</v>
      </c>
      <c r="K3502" s="7">
        <v>44007673</v>
      </c>
      <c r="L3502" s="6" t="str">
        <f t="shared" si="323"/>
        <v>YT SIVI GEÇİRMEZ  ALEZ 140x190</v>
      </c>
      <c r="M3502" s="12">
        <v>0.1</v>
      </c>
      <c r="N3502" s="12">
        <v>0.1</v>
      </c>
      <c r="O3502" s="8">
        <v>750</v>
      </c>
      <c r="P3502" s="8">
        <f t="shared" si="324"/>
        <v>675</v>
      </c>
      <c r="Q3502" s="12">
        <f t="shared" si="325"/>
        <v>1417.5</v>
      </c>
      <c r="R3502" s="31">
        <f t="shared" si="326"/>
        <v>1400</v>
      </c>
    </row>
    <row r="3503" spans="1:18" ht="21.95" customHeight="1" x14ac:dyDescent="0.2">
      <c r="A3503" s="6" t="s">
        <v>943</v>
      </c>
      <c r="B3503" s="6" t="s">
        <v>1596</v>
      </c>
      <c r="C3503" s="6" t="s">
        <v>1126</v>
      </c>
      <c r="D3503" s="6" t="s">
        <v>1129</v>
      </c>
      <c r="E3503" s="6"/>
      <c r="G3503" s="6">
        <v>140</v>
      </c>
      <c r="H3503" s="6">
        <v>200</v>
      </c>
      <c r="K3503" s="7">
        <v>44007674</v>
      </c>
      <c r="L3503" s="6" t="str">
        <f t="shared" si="323"/>
        <v>YT SIVI GEÇİRMEZ  ALEZ 140x200</v>
      </c>
      <c r="M3503" s="12">
        <v>0.1</v>
      </c>
      <c r="N3503" s="12">
        <v>0.1</v>
      </c>
      <c r="O3503" s="8">
        <v>750</v>
      </c>
      <c r="P3503" s="8">
        <f t="shared" si="324"/>
        <v>675</v>
      </c>
      <c r="Q3503" s="12">
        <f t="shared" si="325"/>
        <v>1417.5</v>
      </c>
      <c r="R3503" s="31">
        <f t="shared" si="326"/>
        <v>1400</v>
      </c>
    </row>
    <row r="3504" spans="1:18" ht="21.95" customHeight="1" x14ac:dyDescent="0.2">
      <c r="A3504" s="6" t="s">
        <v>943</v>
      </c>
      <c r="B3504" s="6" t="s">
        <v>1596</v>
      </c>
      <c r="C3504" s="6" t="s">
        <v>1126</v>
      </c>
      <c r="D3504" s="6" t="s">
        <v>1129</v>
      </c>
      <c r="E3504" s="6"/>
      <c r="G3504" s="6">
        <v>150</v>
      </c>
      <c r="H3504" s="6">
        <v>200</v>
      </c>
      <c r="K3504" s="7">
        <v>44007675</v>
      </c>
      <c r="L3504" s="6" t="str">
        <f t="shared" si="323"/>
        <v>YT SIVI GEÇİRMEZ  ALEZ 150x200</v>
      </c>
      <c r="M3504" s="12">
        <v>0.1</v>
      </c>
      <c r="N3504" s="12">
        <v>0.1</v>
      </c>
      <c r="O3504" s="8">
        <v>800</v>
      </c>
      <c r="P3504" s="8">
        <f t="shared" si="324"/>
        <v>720</v>
      </c>
      <c r="Q3504" s="12">
        <f t="shared" si="325"/>
        <v>1512</v>
      </c>
      <c r="R3504" s="31">
        <f t="shared" si="326"/>
        <v>1500</v>
      </c>
    </row>
    <row r="3505" spans="1:18" ht="21.95" customHeight="1" x14ac:dyDescent="0.2">
      <c r="A3505" s="6" t="s">
        <v>943</v>
      </c>
      <c r="B3505" s="6" t="s">
        <v>1596</v>
      </c>
      <c r="C3505" s="6" t="s">
        <v>1126</v>
      </c>
      <c r="D3505" s="6" t="s">
        <v>1129</v>
      </c>
      <c r="E3505" s="6"/>
      <c r="G3505" s="6">
        <v>160</v>
      </c>
      <c r="H3505" s="6">
        <v>200</v>
      </c>
      <c r="K3505" s="7">
        <v>44007676</v>
      </c>
      <c r="L3505" s="6" t="str">
        <f t="shared" si="323"/>
        <v>YT SIVI GEÇİRMEZ  ALEZ 160x200</v>
      </c>
      <c r="M3505" s="12">
        <v>0.1</v>
      </c>
      <c r="N3505" s="12">
        <v>0.1</v>
      </c>
      <c r="O3505" s="8">
        <v>870</v>
      </c>
      <c r="P3505" s="8">
        <f t="shared" si="324"/>
        <v>783</v>
      </c>
      <c r="Q3505" s="12">
        <f t="shared" si="325"/>
        <v>1644.3000000000002</v>
      </c>
      <c r="R3505" s="31">
        <f t="shared" si="326"/>
        <v>1600</v>
      </c>
    </row>
    <row r="3506" spans="1:18" ht="21.95" customHeight="1" x14ac:dyDescent="0.2">
      <c r="A3506" s="6" t="s">
        <v>943</v>
      </c>
      <c r="B3506" s="6" t="s">
        <v>1596</v>
      </c>
      <c r="C3506" s="6" t="s">
        <v>1126</v>
      </c>
      <c r="D3506" s="6" t="s">
        <v>1129</v>
      </c>
      <c r="E3506" s="6"/>
      <c r="G3506" s="6">
        <v>180</v>
      </c>
      <c r="H3506" s="6">
        <v>200</v>
      </c>
      <c r="K3506" s="7">
        <v>44007677</v>
      </c>
      <c r="L3506" s="6" t="str">
        <f t="shared" si="323"/>
        <v>YT SIVI GEÇİRMEZ  ALEZ 180x200</v>
      </c>
      <c r="M3506" s="12">
        <v>0.1</v>
      </c>
      <c r="N3506" s="12">
        <v>0.1</v>
      </c>
      <c r="O3506" s="8">
        <v>910</v>
      </c>
      <c r="P3506" s="8">
        <f t="shared" si="324"/>
        <v>819</v>
      </c>
      <c r="Q3506" s="12">
        <f t="shared" si="325"/>
        <v>1719.9</v>
      </c>
      <c r="R3506" s="31">
        <f t="shared" si="326"/>
        <v>1700</v>
      </c>
    </row>
    <row r="3507" spans="1:18" ht="21.95" customHeight="1" x14ac:dyDescent="0.2">
      <c r="A3507" s="6" t="s">
        <v>943</v>
      </c>
      <c r="B3507" s="6" t="s">
        <v>1596</v>
      </c>
      <c r="C3507" s="6" t="s">
        <v>1126</v>
      </c>
      <c r="D3507" s="6" t="s">
        <v>1129</v>
      </c>
      <c r="E3507" s="6"/>
      <c r="G3507" s="6">
        <v>200</v>
      </c>
      <c r="H3507" s="6">
        <v>200</v>
      </c>
      <c r="K3507" s="7">
        <v>44007678</v>
      </c>
      <c r="L3507" s="6" t="str">
        <f t="shared" si="323"/>
        <v>YT SIVI GEÇİRMEZ  ALEZ 200x200</v>
      </c>
      <c r="M3507" s="12">
        <v>0.1</v>
      </c>
      <c r="N3507" s="12">
        <v>0.1</v>
      </c>
      <c r="O3507" s="8">
        <v>970</v>
      </c>
      <c r="P3507" s="8">
        <f t="shared" si="324"/>
        <v>873</v>
      </c>
      <c r="Q3507" s="12">
        <f t="shared" si="325"/>
        <v>1833.3000000000002</v>
      </c>
      <c r="R3507" s="31">
        <f t="shared" si="326"/>
        <v>1800</v>
      </c>
    </row>
    <row r="3508" spans="1:18" ht="21.95" customHeight="1" x14ac:dyDescent="0.2">
      <c r="A3508" s="6" t="s">
        <v>943</v>
      </c>
      <c r="B3508" s="6" t="s">
        <v>1596</v>
      </c>
      <c r="C3508" s="6" t="s">
        <v>1130</v>
      </c>
      <c r="D3508" s="6" t="s">
        <v>1131</v>
      </c>
      <c r="E3508" s="6"/>
      <c r="G3508" s="6">
        <v>90</v>
      </c>
      <c r="H3508" s="6">
        <v>190</v>
      </c>
      <c r="K3508" s="7">
        <v>44007679</v>
      </c>
      <c r="L3508" s="6" t="str">
        <f t="shared" si="323"/>
        <v>YT İNCİ ALEZ  90x190</v>
      </c>
      <c r="M3508" s="12">
        <v>0.1</v>
      </c>
      <c r="N3508" s="12">
        <v>0.1</v>
      </c>
      <c r="O3508" s="8">
        <v>600</v>
      </c>
      <c r="P3508" s="8">
        <f t="shared" si="324"/>
        <v>540</v>
      </c>
      <c r="Q3508" s="12">
        <f t="shared" si="325"/>
        <v>1134</v>
      </c>
      <c r="R3508" s="31">
        <f t="shared" si="326"/>
        <v>1100</v>
      </c>
    </row>
    <row r="3509" spans="1:18" ht="21.95" customHeight="1" x14ac:dyDescent="0.2">
      <c r="A3509" s="6" t="s">
        <v>943</v>
      </c>
      <c r="B3509" s="6" t="s">
        <v>1596</v>
      </c>
      <c r="C3509" s="6" t="s">
        <v>1130</v>
      </c>
      <c r="D3509" s="6" t="s">
        <v>1131</v>
      </c>
      <c r="E3509" s="6"/>
      <c r="G3509" s="6">
        <v>90</v>
      </c>
      <c r="H3509" s="6">
        <v>200</v>
      </c>
      <c r="K3509" s="7">
        <v>44007680</v>
      </c>
      <c r="L3509" s="6" t="str">
        <f t="shared" si="323"/>
        <v>YT İNCİ ALEZ  90x200</v>
      </c>
      <c r="M3509" s="12">
        <v>0.1</v>
      </c>
      <c r="N3509" s="12">
        <v>0.1</v>
      </c>
      <c r="O3509" s="8">
        <v>640</v>
      </c>
      <c r="P3509" s="8">
        <f t="shared" si="324"/>
        <v>576</v>
      </c>
      <c r="Q3509" s="12">
        <f t="shared" si="325"/>
        <v>1209.6000000000001</v>
      </c>
      <c r="R3509" s="31">
        <f t="shared" si="326"/>
        <v>1200</v>
      </c>
    </row>
    <row r="3510" spans="1:18" ht="21.95" customHeight="1" x14ac:dyDescent="0.2">
      <c r="A3510" s="6" t="s">
        <v>943</v>
      </c>
      <c r="B3510" s="6" t="s">
        <v>1596</v>
      </c>
      <c r="C3510" s="6" t="s">
        <v>1130</v>
      </c>
      <c r="D3510" s="6" t="s">
        <v>1131</v>
      </c>
      <c r="E3510" s="6"/>
      <c r="G3510" s="6">
        <v>100</v>
      </c>
      <c r="H3510" s="6">
        <v>200</v>
      </c>
      <c r="K3510" s="7">
        <v>44007681</v>
      </c>
      <c r="L3510" s="6" t="str">
        <f t="shared" si="323"/>
        <v>YT İNCİ ALEZ  100x200</v>
      </c>
      <c r="M3510" s="12">
        <v>0.1</v>
      </c>
      <c r="N3510" s="12">
        <v>0.1</v>
      </c>
      <c r="O3510" s="8">
        <v>710</v>
      </c>
      <c r="P3510" s="8">
        <f t="shared" si="324"/>
        <v>639</v>
      </c>
      <c r="Q3510" s="12">
        <f t="shared" si="325"/>
        <v>1341.9</v>
      </c>
      <c r="R3510" s="31">
        <f t="shared" si="326"/>
        <v>1300</v>
      </c>
    </row>
    <row r="3511" spans="1:18" ht="21.95" customHeight="1" x14ac:dyDescent="0.2">
      <c r="A3511" s="6" t="s">
        <v>943</v>
      </c>
      <c r="B3511" s="6" t="s">
        <v>1596</v>
      </c>
      <c r="C3511" s="6" t="s">
        <v>1130</v>
      </c>
      <c r="D3511" s="6" t="s">
        <v>1131</v>
      </c>
      <c r="E3511" s="6"/>
      <c r="G3511" s="6">
        <v>120</v>
      </c>
      <c r="H3511" s="6">
        <v>200</v>
      </c>
      <c r="K3511" s="7">
        <v>44007682</v>
      </c>
      <c r="L3511" s="6" t="str">
        <f t="shared" si="323"/>
        <v>YT İNCİ ALEZ  120x200</v>
      </c>
      <c r="M3511" s="12">
        <v>0.1</v>
      </c>
      <c r="N3511" s="12">
        <v>0.1</v>
      </c>
      <c r="O3511" s="8">
        <v>850</v>
      </c>
      <c r="P3511" s="8">
        <f t="shared" si="324"/>
        <v>765</v>
      </c>
      <c r="Q3511" s="12">
        <f t="shared" si="325"/>
        <v>1606.5</v>
      </c>
      <c r="R3511" s="31">
        <f t="shared" si="326"/>
        <v>1600</v>
      </c>
    </row>
    <row r="3512" spans="1:18" ht="21.95" customHeight="1" x14ac:dyDescent="0.2">
      <c r="A3512" s="6" t="s">
        <v>943</v>
      </c>
      <c r="B3512" s="6" t="s">
        <v>1596</v>
      </c>
      <c r="C3512" s="6" t="s">
        <v>1130</v>
      </c>
      <c r="D3512" s="6" t="s">
        <v>1131</v>
      </c>
      <c r="E3512" s="6"/>
      <c r="G3512" s="6">
        <v>140</v>
      </c>
      <c r="H3512" s="6">
        <v>190</v>
      </c>
      <c r="K3512" s="7">
        <v>44007683</v>
      </c>
      <c r="L3512" s="6" t="str">
        <f t="shared" si="323"/>
        <v>YT İNCİ ALEZ  140x190</v>
      </c>
      <c r="M3512" s="12">
        <v>0.1</v>
      </c>
      <c r="N3512" s="12">
        <v>0.1</v>
      </c>
      <c r="O3512" s="8">
        <v>960</v>
      </c>
      <c r="P3512" s="8">
        <f t="shared" si="324"/>
        <v>864</v>
      </c>
      <c r="Q3512" s="12">
        <f t="shared" si="325"/>
        <v>1814.4</v>
      </c>
      <c r="R3512" s="31">
        <f t="shared" si="326"/>
        <v>1800</v>
      </c>
    </row>
    <row r="3513" spans="1:18" ht="21.95" customHeight="1" x14ac:dyDescent="0.2">
      <c r="A3513" s="6" t="s">
        <v>943</v>
      </c>
      <c r="B3513" s="6" t="s">
        <v>1596</v>
      </c>
      <c r="C3513" s="6" t="s">
        <v>1130</v>
      </c>
      <c r="D3513" s="6" t="s">
        <v>1131</v>
      </c>
      <c r="E3513" s="6"/>
      <c r="G3513" s="6">
        <v>140</v>
      </c>
      <c r="H3513" s="6">
        <v>200</v>
      </c>
      <c r="K3513" s="7">
        <v>44007684</v>
      </c>
      <c r="L3513" s="6" t="str">
        <f t="shared" si="323"/>
        <v>YT İNCİ ALEZ  140x200</v>
      </c>
      <c r="M3513" s="12">
        <v>0.1</v>
      </c>
      <c r="N3513" s="12">
        <v>0.1</v>
      </c>
      <c r="O3513" s="8">
        <v>1000</v>
      </c>
      <c r="P3513" s="8">
        <f t="shared" si="324"/>
        <v>900</v>
      </c>
      <c r="Q3513" s="12">
        <f t="shared" si="325"/>
        <v>1890</v>
      </c>
      <c r="R3513" s="31">
        <f t="shared" si="326"/>
        <v>1800</v>
      </c>
    </row>
    <row r="3514" spans="1:18" ht="21.95" customHeight="1" x14ac:dyDescent="0.2">
      <c r="A3514" s="6" t="s">
        <v>943</v>
      </c>
      <c r="B3514" s="6" t="s">
        <v>1596</v>
      </c>
      <c r="C3514" s="6" t="s">
        <v>1130</v>
      </c>
      <c r="D3514" s="6" t="s">
        <v>1131</v>
      </c>
      <c r="E3514" s="6"/>
      <c r="G3514" s="6">
        <v>150</v>
      </c>
      <c r="H3514" s="6">
        <v>200</v>
      </c>
      <c r="K3514" s="7">
        <v>44007685</v>
      </c>
      <c r="L3514" s="6" t="str">
        <f t="shared" si="323"/>
        <v>YT İNCİ ALEZ  150x200</v>
      </c>
      <c r="M3514" s="12">
        <v>0.1</v>
      </c>
      <c r="N3514" s="12">
        <v>0.1</v>
      </c>
      <c r="O3514" s="8">
        <v>1070</v>
      </c>
      <c r="P3514" s="8">
        <f t="shared" si="324"/>
        <v>963</v>
      </c>
      <c r="Q3514" s="12">
        <f t="shared" si="325"/>
        <v>2022.3000000000002</v>
      </c>
      <c r="R3514" s="31">
        <f t="shared" si="326"/>
        <v>2000</v>
      </c>
    </row>
    <row r="3515" spans="1:18" ht="21.95" customHeight="1" x14ac:dyDescent="0.2">
      <c r="A3515" s="6" t="s">
        <v>943</v>
      </c>
      <c r="B3515" s="6" t="s">
        <v>1596</v>
      </c>
      <c r="C3515" s="6" t="s">
        <v>1130</v>
      </c>
      <c r="D3515" s="6" t="s">
        <v>1131</v>
      </c>
      <c r="E3515" s="6"/>
      <c r="G3515" s="6">
        <v>160</v>
      </c>
      <c r="H3515" s="6">
        <v>200</v>
      </c>
      <c r="K3515" s="7">
        <v>44007686</v>
      </c>
      <c r="L3515" s="6" t="str">
        <f t="shared" si="323"/>
        <v>YT İNCİ ALEZ  160x200</v>
      </c>
      <c r="M3515" s="12">
        <v>0.1</v>
      </c>
      <c r="N3515" s="12">
        <v>0.1</v>
      </c>
      <c r="O3515" s="8">
        <v>1170</v>
      </c>
      <c r="P3515" s="8">
        <f t="shared" si="324"/>
        <v>1053</v>
      </c>
      <c r="Q3515" s="12">
        <f t="shared" si="325"/>
        <v>2211.3000000000002</v>
      </c>
      <c r="R3515" s="31">
        <f t="shared" si="326"/>
        <v>2200</v>
      </c>
    </row>
    <row r="3516" spans="1:18" ht="21.95" customHeight="1" x14ac:dyDescent="0.2">
      <c r="A3516" s="6" t="s">
        <v>943</v>
      </c>
      <c r="B3516" s="6" t="s">
        <v>1596</v>
      </c>
      <c r="C3516" s="6" t="s">
        <v>1130</v>
      </c>
      <c r="D3516" s="6" t="s">
        <v>1131</v>
      </c>
      <c r="E3516" s="6"/>
      <c r="G3516" s="6">
        <v>180</v>
      </c>
      <c r="H3516" s="6">
        <v>200</v>
      </c>
      <c r="K3516" s="7">
        <v>44007687</v>
      </c>
      <c r="L3516" s="6" t="str">
        <f t="shared" si="323"/>
        <v>YT İNCİ ALEZ  180x200</v>
      </c>
      <c r="M3516" s="12">
        <v>0.1</v>
      </c>
      <c r="N3516" s="12">
        <v>0.1</v>
      </c>
      <c r="O3516" s="8">
        <v>1300</v>
      </c>
      <c r="P3516" s="8">
        <f t="shared" si="324"/>
        <v>1170</v>
      </c>
      <c r="Q3516" s="12">
        <f t="shared" si="325"/>
        <v>2457</v>
      </c>
      <c r="R3516" s="31">
        <f t="shared" si="326"/>
        <v>2400</v>
      </c>
    </row>
    <row r="3517" spans="1:18" ht="21.95" customHeight="1" x14ac:dyDescent="0.2">
      <c r="A3517" s="6" t="s">
        <v>943</v>
      </c>
      <c r="B3517" s="6" t="s">
        <v>1596</v>
      </c>
      <c r="C3517" s="6" t="s">
        <v>1130</v>
      </c>
      <c r="D3517" s="6" t="s">
        <v>1131</v>
      </c>
      <c r="E3517" s="6"/>
      <c r="G3517" s="6">
        <v>200</v>
      </c>
      <c r="H3517" s="6">
        <v>200</v>
      </c>
      <c r="K3517" s="7">
        <v>44007688</v>
      </c>
      <c r="L3517" s="6" t="str">
        <f t="shared" si="323"/>
        <v>YT İNCİ ALEZ  200x200</v>
      </c>
      <c r="M3517" s="12">
        <v>0.1</v>
      </c>
      <c r="N3517" s="12">
        <v>0.1</v>
      </c>
      <c r="O3517" s="8">
        <v>1530</v>
      </c>
      <c r="P3517" s="8">
        <f t="shared" si="324"/>
        <v>1377</v>
      </c>
      <c r="Q3517" s="12">
        <f t="shared" si="325"/>
        <v>2891.7000000000003</v>
      </c>
      <c r="R3517" s="31">
        <f t="shared" si="326"/>
        <v>2800</v>
      </c>
    </row>
    <row r="3518" spans="1:18" ht="21.95" customHeight="1" x14ac:dyDescent="0.2">
      <c r="A3518" s="6" t="s">
        <v>943</v>
      </c>
      <c r="B3518" s="6" t="s">
        <v>1596</v>
      </c>
      <c r="C3518" s="6" t="s">
        <v>1132</v>
      </c>
      <c r="D3518" s="6" t="s">
        <v>1133</v>
      </c>
      <c r="E3518" s="6"/>
      <c r="K3518" s="7">
        <v>44007689</v>
      </c>
      <c r="L3518" s="6" t="str">
        <f t="shared" ref="L3518:L3531" si="327">B3518&amp;" "&amp;C3518&amp;" "&amp;D3518&amp;" "</f>
        <v xml:space="preserve">YT BONNİ JELLİ VİSCO YASTIK  </v>
      </c>
      <c r="M3518" s="12">
        <v>0.1</v>
      </c>
      <c r="N3518" s="12">
        <v>0.1</v>
      </c>
      <c r="O3518" s="8">
        <v>1720</v>
      </c>
      <c r="P3518" s="8">
        <f t="shared" si="324"/>
        <v>1548</v>
      </c>
      <c r="Q3518" s="12">
        <f t="shared" si="325"/>
        <v>3250.8</v>
      </c>
      <c r="R3518" s="31">
        <f t="shared" si="326"/>
        <v>3200</v>
      </c>
    </row>
    <row r="3519" spans="1:18" ht="21.95" customHeight="1" x14ac:dyDescent="0.2">
      <c r="A3519" s="6" t="s">
        <v>943</v>
      </c>
      <c r="B3519" s="6" t="s">
        <v>1596</v>
      </c>
      <c r="C3519" s="6" t="s">
        <v>1134</v>
      </c>
      <c r="D3519" s="6" t="s">
        <v>1135</v>
      </c>
      <c r="E3519" s="6"/>
      <c r="K3519" s="7">
        <v>44007690</v>
      </c>
      <c r="L3519" s="6" t="str">
        <f t="shared" si="327"/>
        <v xml:space="preserve">YT SİLİKONLU  YASTIK </v>
      </c>
      <c r="M3519" s="12">
        <v>0.1</v>
      </c>
      <c r="N3519" s="12">
        <v>0.1</v>
      </c>
      <c r="O3519" s="8">
        <v>180</v>
      </c>
      <c r="P3519" s="8">
        <f t="shared" si="324"/>
        <v>162</v>
      </c>
      <c r="Q3519" s="12">
        <f t="shared" si="325"/>
        <v>340.2</v>
      </c>
      <c r="R3519" s="31">
        <f t="shared" si="326"/>
        <v>300</v>
      </c>
    </row>
    <row r="3520" spans="1:18" ht="21.95" customHeight="1" x14ac:dyDescent="0.2">
      <c r="A3520" s="6" t="s">
        <v>943</v>
      </c>
      <c r="B3520" s="6" t="s">
        <v>1596</v>
      </c>
      <c r="C3520" s="6" t="s">
        <v>1136</v>
      </c>
      <c r="D3520" s="6" t="s">
        <v>1137</v>
      </c>
      <c r="E3520" s="6"/>
      <c r="K3520" s="7">
        <v>44007691</v>
      </c>
      <c r="L3520" s="6" t="str">
        <f t="shared" si="327"/>
        <v xml:space="preserve">YT BAMBOO YORGAN TEK KİŞİLİK </v>
      </c>
      <c r="M3520" s="12">
        <v>0.1</v>
      </c>
      <c r="N3520" s="12">
        <v>0.1</v>
      </c>
      <c r="O3520" s="8">
        <v>1410</v>
      </c>
      <c r="P3520" s="8">
        <f t="shared" si="324"/>
        <v>1269</v>
      </c>
      <c r="Q3520" s="12">
        <f t="shared" si="325"/>
        <v>2664.9</v>
      </c>
      <c r="R3520" s="31">
        <f t="shared" si="326"/>
        <v>2600</v>
      </c>
    </row>
    <row r="3521" spans="1:18" ht="21.95" customHeight="1" x14ac:dyDescent="0.2">
      <c r="A3521" s="6" t="s">
        <v>943</v>
      </c>
      <c r="B3521" s="6" t="s">
        <v>1596</v>
      </c>
      <c r="C3521" s="6" t="s">
        <v>1136</v>
      </c>
      <c r="D3521" s="6" t="s">
        <v>1138</v>
      </c>
      <c r="E3521" s="6"/>
      <c r="K3521" s="7">
        <v>44007692</v>
      </c>
      <c r="L3521" s="6" t="str">
        <f t="shared" si="327"/>
        <v xml:space="preserve">YT BAMBOO YORGAN ÇİFT KİŞİLİK </v>
      </c>
      <c r="M3521" s="12">
        <v>0.1</v>
      </c>
      <c r="N3521" s="12">
        <v>0.1</v>
      </c>
      <c r="O3521" s="8">
        <v>1670</v>
      </c>
      <c r="P3521" s="8">
        <f t="shared" si="324"/>
        <v>1503</v>
      </c>
      <c r="Q3521" s="12">
        <f t="shared" si="325"/>
        <v>3156.3</v>
      </c>
      <c r="R3521" s="31">
        <f t="shared" si="326"/>
        <v>3100</v>
      </c>
    </row>
    <row r="3522" spans="1:18" ht="21.95" customHeight="1" x14ac:dyDescent="0.2">
      <c r="A3522" s="6" t="s">
        <v>943</v>
      </c>
      <c r="B3522" s="6" t="s">
        <v>1596</v>
      </c>
      <c r="C3522" s="6" t="s">
        <v>1139</v>
      </c>
      <c r="D3522" s="6" t="s">
        <v>1137</v>
      </c>
      <c r="E3522" s="6"/>
      <c r="K3522" s="7">
        <v>44007693</v>
      </c>
      <c r="L3522" s="6" t="str">
        <f t="shared" si="327"/>
        <v xml:space="preserve">YT ALEOVERA  YORGAN TEK KİŞİLİK </v>
      </c>
      <c r="M3522" s="12">
        <v>0.1</v>
      </c>
      <c r="N3522" s="12">
        <v>0.1</v>
      </c>
      <c r="O3522" s="8">
        <v>1410</v>
      </c>
      <c r="P3522" s="8">
        <f t="shared" si="324"/>
        <v>1269</v>
      </c>
      <c r="Q3522" s="12">
        <f t="shared" si="325"/>
        <v>2664.9</v>
      </c>
      <c r="R3522" s="31">
        <f t="shared" si="326"/>
        <v>2600</v>
      </c>
    </row>
    <row r="3523" spans="1:18" ht="21.95" customHeight="1" x14ac:dyDescent="0.2">
      <c r="A3523" s="6" t="s">
        <v>943</v>
      </c>
      <c r="B3523" s="6" t="s">
        <v>1596</v>
      </c>
      <c r="C3523" s="6" t="s">
        <v>1139</v>
      </c>
      <c r="D3523" s="6" t="s">
        <v>1138</v>
      </c>
      <c r="E3523" s="6"/>
      <c r="K3523" s="7">
        <v>44007694</v>
      </c>
      <c r="L3523" s="6" t="str">
        <f t="shared" si="327"/>
        <v xml:space="preserve">YT ALEOVERA  YORGAN ÇİFT KİŞİLİK </v>
      </c>
      <c r="M3523" s="12">
        <v>0.1</v>
      </c>
      <c r="N3523" s="12">
        <v>0.1</v>
      </c>
      <c r="O3523" s="8">
        <v>1670</v>
      </c>
      <c r="P3523" s="8">
        <f t="shared" si="324"/>
        <v>1503</v>
      </c>
      <c r="Q3523" s="12">
        <f t="shared" si="325"/>
        <v>3156.3</v>
      </c>
      <c r="R3523" s="31">
        <f t="shared" si="326"/>
        <v>3100</v>
      </c>
    </row>
    <row r="3524" spans="1:18" ht="21.95" customHeight="1" x14ac:dyDescent="0.2">
      <c r="A3524" s="6" t="s">
        <v>943</v>
      </c>
      <c r="B3524" s="6" t="s">
        <v>1596</v>
      </c>
      <c r="C3524" s="6" t="s">
        <v>1140</v>
      </c>
      <c r="D3524" s="6" t="s">
        <v>1137</v>
      </c>
      <c r="E3524" s="6"/>
      <c r="K3524" s="7">
        <v>44007695</v>
      </c>
      <c r="L3524" s="6" t="str">
        <f t="shared" si="327"/>
        <v xml:space="preserve">YT ANTİ STRESS YORGAN TEK KİŞİLİK </v>
      </c>
      <c r="M3524" s="12">
        <v>0.1</v>
      </c>
      <c r="N3524" s="12">
        <v>0.1</v>
      </c>
      <c r="O3524" s="8">
        <v>1410</v>
      </c>
      <c r="P3524" s="8">
        <f t="shared" si="324"/>
        <v>1269</v>
      </c>
      <c r="Q3524" s="12">
        <f t="shared" si="325"/>
        <v>2664.9</v>
      </c>
      <c r="R3524" s="31">
        <f t="shared" si="326"/>
        <v>2600</v>
      </c>
    </row>
    <row r="3525" spans="1:18" ht="21.95" customHeight="1" x14ac:dyDescent="0.2">
      <c r="A3525" s="6" t="s">
        <v>943</v>
      </c>
      <c r="B3525" s="6" t="s">
        <v>1596</v>
      </c>
      <c r="C3525" s="6" t="s">
        <v>1140</v>
      </c>
      <c r="D3525" s="6" t="s">
        <v>1138</v>
      </c>
      <c r="E3525" s="6"/>
      <c r="K3525" s="7">
        <v>44007696</v>
      </c>
      <c r="L3525" s="6" t="str">
        <f t="shared" si="327"/>
        <v xml:space="preserve">YT ANTİ STRESS YORGAN ÇİFT KİŞİLİK </v>
      </c>
      <c r="M3525" s="12">
        <v>0.1</v>
      </c>
      <c r="N3525" s="12">
        <v>0.1</v>
      </c>
      <c r="O3525" s="8">
        <v>1670</v>
      </c>
      <c r="P3525" s="8">
        <f t="shared" si="324"/>
        <v>1503</v>
      </c>
      <c r="Q3525" s="12">
        <f t="shared" si="325"/>
        <v>3156.3</v>
      </c>
      <c r="R3525" s="31">
        <f t="shared" si="326"/>
        <v>3100</v>
      </c>
    </row>
    <row r="3526" spans="1:18" ht="21.95" customHeight="1" x14ac:dyDescent="0.2">
      <c r="A3526" s="6" t="s">
        <v>943</v>
      </c>
      <c r="B3526" s="6" t="s">
        <v>1596</v>
      </c>
      <c r="C3526" s="6" t="s">
        <v>1141</v>
      </c>
      <c r="D3526" s="6" t="s">
        <v>1137</v>
      </c>
      <c r="E3526" s="6"/>
      <c r="K3526" s="7">
        <v>44007697</v>
      </c>
      <c r="L3526" s="6" t="str">
        <f t="shared" si="327"/>
        <v xml:space="preserve">YT YÜN  YORGAN TEK KİŞİLİK </v>
      </c>
      <c r="M3526" s="12">
        <v>0.1</v>
      </c>
      <c r="N3526" s="12">
        <v>0.1</v>
      </c>
      <c r="O3526" s="8">
        <v>1890</v>
      </c>
      <c r="P3526" s="8">
        <f t="shared" si="324"/>
        <v>1701</v>
      </c>
      <c r="Q3526" s="12">
        <f t="shared" si="325"/>
        <v>3572.1000000000004</v>
      </c>
      <c r="R3526" s="31">
        <f t="shared" si="326"/>
        <v>3500</v>
      </c>
    </row>
    <row r="3527" spans="1:18" ht="21.95" customHeight="1" x14ac:dyDescent="0.2">
      <c r="A3527" s="6" t="s">
        <v>943</v>
      </c>
      <c r="B3527" s="6" t="s">
        <v>1596</v>
      </c>
      <c r="C3527" s="6" t="s">
        <v>1141</v>
      </c>
      <c r="D3527" s="6" t="s">
        <v>1138</v>
      </c>
      <c r="E3527" s="6"/>
      <c r="K3527" s="7">
        <v>44007698</v>
      </c>
      <c r="L3527" s="6" t="str">
        <f t="shared" si="327"/>
        <v xml:space="preserve">YT YÜN  YORGAN ÇİFT KİŞİLİK </v>
      </c>
      <c r="M3527" s="12">
        <v>0.1</v>
      </c>
      <c r="N3527" s="12">
        <v>0.1</v>
      </c>
      <c r="O3527" s="8">
        <v>2240</v>
      </c>
      <c r="P3527" s="8">
        <f t="shared" si="324"/>
        <v>2016</v>
      </c>
      <c r="Q3527" s="12">
        <f t="shared" si="325"/>
        <v>4233.6000000000004</v>
      </c>
      <c r="R3527" s="31">
        <f t="shared" si="326"/>
        <v>4200</v>
      </c>
    </row>
    <row r="3528" spans="1:18" ht="21.95" customHeight="1" x14ac:dyDescent="0.2">
      <c r="A3528" s="6" t="s">
        <v>943</v>
      </c>
      <c r="B3528" s="6" t="s">
        <v>1596</v>
      </c>
      <c r="C3528" s="6" t="s">
        <v>1142</v>
      </c>
      <c r="D3528" s="6" t="s">
        <v>1137</v>
      </c>
      <c r="E3528" s="6"/>
      <c r="K3528" s="7">
        <v>44007699</v>
      </c>
      <c r="L3528" s="6" t="str">
        <f t="shared" si="327"/>
        <v xml:space="preserve">YT PAMUK  YORGAN TEK KİŞİLİK </v>
      </c>
      <c r="M3528" s="12">
        <v>0.1</v>
      </c>
      <c r="N3528" s="12">
        <v>0.1</v>
      </c>
      <c r="O3528" s="8">
        <v>1640</v>
      </c>
      <c r="P3528" s="8">
        <f t="shared" si="324"/>
        <v>1476</v>
      </c>
      <c r="Q3528" s="12">
        <f t="shared" si="325"/>
        <v>3099.6</v>
      </c>
      <c r="R3528" s="31">
        <f t="shared" si="326"/>
        <v>3000</v>
      </c>
    </row>
    <row r="3529" spans="1:18" ht="21.95" customHeight="1" x14ac:dyDescent="0.2">
      <c r="A3529" s="6" t="s">
        <v>943</v>
      </c>
      <c r="B3529" s="6" t="s">
        <v>1596</v>
      </c>
      <c r="C3529" s="6" t="s">
        <v>1142</v>
      </c>
      <c r="D3529" s="6" t="s">
        <v>1138</v>
      </c>
      <c r="E3529" s="6"/>
      <c r="K3529" s="7">
        <v>44007700</v>
      </c>
      <c r="L3529" s="6" t="str">
        <f t="shared" si="327"/>
        <v xml:space="preserve">YT PAMUK  YORGAN ÇİFT KİŞİLİK </v>
      </c>
      <c r="M3529" s="12">
        <v>0.1</v>
      </c>
      <c r="N3529" s="12">
        <v>0.1</v>
      </c>
      <c r="O3529" s="8">
        <v>1890</v>
      </c>
      <c r="P3529" s="8">
        <f t="shared" si="324"/>
        <v>1701</v>
      </c>
      <c r="Q3529" s="12">
        <f t="shared" si="325"/>
        <v>3572.1000000000004</v>
      </c>
      <c r="R3529" s="31">
        <f t="shared" si="326"/>
        <v>3500</v>
      </c>
    </row>
    <row r="3530" spans="1:18" ht="21.95" customHeight="1" x14ac:dyDescent="0.2">
      <c r="A3530" s="6" t="s">
        <v>943</v>
      </c>
      <c r="B3530" s="6" t="s">
        <v>1596</v>
      </c>
      <c r="C3530" s="6" t="s">
        <v>1143</v>
      </c>
      <c r="D3530" s="6" t="s">
        <v>1144</v>
      </c>
      <c r="E3530" s="6"/>
      <c r="K3530" s="7">
        <v>44007701</v>
      </c>
      <c r="L3530" s="6" t="str">
        <f t="shared" si="327"/>
        <v xml:space="preserve">YT YORGAN  TEK KİŞİLİK  </v>
      </c>
      <c r="M3530" s="12">
        <v>0.1</v>
      </c>
      <c r="N3530" s="12">
        <v>0.1</v>
      </c>
      <c r="O3530" s="8">
        <v>630</v>
      </c>
      <c r="P3530" s="8">
        <f t="shared" si="324"/>
        <v>567</v>
      </c>
      <c r="Q3530" s="12">
        <f t="shared" si="325"/>
        <v>1190.7</v>
      </c>
      <c r="R3530" s="31">
        <f t="shared" si="326"/>
        <v>1100</v>
      </c>
    </row>
    <row r="3531" spans="1:18" ht="21.95" customHeight="1" x14ac:dyDescent="0.2">
      <c r="A3531" s="6" t="s">
        <v>943</v>
      </c>
      <c r="B3531" s="6" t="s">
        <v>1596</v>
      </c>
      <c r="C3531" s="6" t="s">
        <v>1143</v>
      </c>
      <c r="D3531" s="6" t="s">
        <v>1145</v>
      </c>
      <c r="E3531" s="6"/>
      <c r="K3531" s="7">
        <v>44007702</v>
      </c>
      <c r="L3531" s="6" t="str">
        <f t="shared" si="327"/>
        <v xml:space="preserve">YT YORGAN  ÇİFT KİŞİLİK </v>
      </c>
      <c r="M3531" s="12">
        <v>0.1</v>
      </c>
      <c r="N3531" s="12">
        <v>0.1</v>
      </c>
      <c r="O3531" s="8">
        <v>840</v>
      </c>
      <c r="P3531" s="8">
        <f t="shared" si="324"/>
        <v>756</v>
      </c>
      <c r="Q3531" s="12">
        <f t="shared" si="325"/>
        <v>1587.6000000000001</v>
      </c>
      <c r="R3531" s="31">
        <f t="shared" si="326"/>
        <v>1500</v>
      </c>
    </row>
    <row r="3532" spans="1:18" ht="21.95" customHeight="1" x14ac:dyDescent="0.2">
      <c r="A3532" s="6" t="s">
        <v>943</v>
      </c>
      <c r="B3532" s="6" t="s">
        <v>1596</v>
      </c>
      <c r="C3532" s="6" t="s">
        <v>1146</v>
      </c>
      <c r="D3532" s="6" t="s">
        <v>943</v>
      </c>
      <c r="E3532" s="6"/>
      <c r="G3532" s="5">
        <v>90</v>
      </c>
      <c r="H3532" s="5">
        <v>190</v>
      </c>
      <c r="K3532" s="7">
        <v>44007703</v>
      </c>
      <c r="L3532" s="6" t="str">
        <f t="shared" ref="L3532:L3566" si="328">B3532&amp;" "&amp;C3532&amp;" "&amp;D3532&amp;" "&amp;G3532&amp;"x"&amp;H3532</f>
        <v>YT TERMO  YATAK  90x190</v>
      </c>
      <c r="M3532" s="12">
        <v>0.1</v>
      </c>
      <c r="N3532" s="12">
        <v>0.1</v>
      </c>
      <c r="O3532" s="8">
        <v>4230</v>
      </c>
      <c r="P3532" s="8">
        <f t="shared" si="324"/>
        <v>3807</v>
      </c>
      <c r="Q3532" s="12">
        <f t="shared" si="325"/>
        <v>7994.7000000000007</v>
      </c>
      <c r="R3532" s="31">
        <f t="shared" si="326"/>
        <v>7900</v>
      </c>
    </row>
    <row r="3533" spans="1:18" ht="21.95" customHeight="1" x14ac:dyDescent="0.2">
      <c r="A3533" s="6" t="s">
        <v>943</v>
      </c>
      <c r="B3533" s="6" t="s">
        <v>1596</v>
      </c>
      <c r="C3533" s="6" t="s">
        <v>1146</v>
      </c>
      <c r="D3533" s="6" t="s">
        <v>943</v>
      </c>
      <c r="E3533" s="6"/>
      <c r="G3533" s="5">
        <v>90</v>
      </c>
      <c r="H3533" s="5">
        <v>200</v>
      </c>
      <c r="K3533" s="7">
        <v>44007704</v>
      </c>
      <c r="L3533" s="6" t="str">
        <f t="shared" si="328"/>
        <v>YT TERMO  YATAK  90x200</v>
      </c>
      <c r="M3533" s="12">
        <v>0.1</v>
      </c>
      <c r="N3533" s="12">
        <v>0.1</v>
      </c>
      <c r="O3533" s="8">
        <v>4460</v>
      </c>
      <c r="P3533" s="8">
        <f t="shared" si="324"/>
        <v>4014</v>
      </c>
      <c r="Q3533" s="12">
        <f t="shared" si="325"/>
        <v>8429.4</v>
      </c>
      <c r="R3533" s="31">
        <f t="shared" si="326"/>
        <v>8400</v>
      </c>
    </row>
    <row r="3534" spans="1:18" ht="21.95" customHeight="1" x14ac:dyDescent="0.2">
      <c r="A3534" s="6" t="s">
        <v>943</v>
      </c>
      <c r="B3534" s="6" t="s">
        <v>1596</v>
      </c>
      <c r="C3534" s="6" t="s">
        <v>1146</v>
      </c>
      <c r="D3534" s="6" t="s">
        <v>943</v>
      </c>
      <c r="E3534" s="6"/>
      <c r="G3534" s="5">
        <v>100</v>
      </c>
      <c r="H3534" s="5">
        <v>200</v>
      </c>
      <c r="K3534" s="7">
        <v>44007705</v>
      </c>
      <c r="L3534" s="6" t="str">
        <f t="shared" si="328"/>
        <v>YT TERMO  YATAK  100x200</v>
      </c>
      <c r="M3534" s="12">
        <v>0.1</v>
      </c>
      <c r="N3534" s="12">
        <v>0.1</v>
      </c>
      <c r="O3534" s="8">
        <v>4950</v>
      </c>
      <c r="P3534" s="8">
        <f t="shared" ref="P3534:P3573" si="329">O3534*(1-N3534)</f>
        <v>4455</v>
      </c>
      <c r="Q3534" s="12">
        <f t="shared" ref="Q3534:Q3573" si="330">O3534*(1-N3534)*2.1</f>
        <v>9355.5</v>
      </c>
      <c r="R3534" s="31">
        <f t="shared" ref="R3534:R3573" si="331">ROUNDDOWN(Q3534,-2)</f>
        <v>9300</v>
      </c>
    </row>
    <row r="3535" spans="1:18" ht="21.95" customHeight="1" x14ac:dyDescent="0.2">
      <c r="A3535" s="6" t="s">
        <v>943</v>
      </c>
      <c r="B3535" s="6" t="s">
        <v>1596</v>
      </c>
      <c r="C3535" s="6" t="s">
        <v>1146</v>
      </c>
      <c r="D3535" s="6" t="s">
        <v>943</v>
      </c>
      <c r="E3535" s="6"/>
      <c r="G3535" s="6">
        <v>120</v>
      </c>
      <c r="H3535" s="6">
        <v>200</v>
      </c>
      <c r="K3535" s="7">
        <v>44007706</v>
      </c>
      <c r="L3535" s="6" t="str">
        <f t="shared" si="328"/>
        <v>YT TERMO  YATAK  120x200</v>
      </c>
      <c r="M3535" s="12">
        <v>0.1</v>
      </c>
      <c r="N3535" s="12">
        <v>0.1</v>
      </c>
      <c r="O3535" s="8">
        <v>5930</v>
      </c>
      <c r="P3535" s="8">
        <f t="shared" si="329"/>
        <v>5337</v>
      </c>
      <c r="Q3535" s="12">
        <f t="shared" si="330"/>
        <v>11207.7</v>
      </c>
      <c r="R3535" s="31">
        <f t="shared" si="331"/>
        <v>11200</v>
      </c>
    </row>
    <row r="3536" spans="1:18" ht="21.95" customHeight="1" x14ac:dyDescent="0.2">
      <c r="A3536" s="6" t="s">
        <v>943</v>
      </c>
      <c r="B3536" s="6" t="s">
        <v>1596</v>
      </c>
      <c r="C3536" s="6" t="s">
        <v>1146</v>
      </c>
      <c r="D3536" s="6" t="s">
        <v>943</v>
      </c>
      <c r="E3536" s="6"/>
      <c r="G3536" s="6">
        <v>140</v>
      </c>
      <c r="H3536" s="6">
        <v>190</v>
      </c>
      <c r="K3536" s="7">
        <v>44007707</v>
      </c>
      <c r="L3536" s="6" t="str">
        <f t="shared" si="328"/>
        <v>YT TERMO  YATAK  140x190</v>
      </c>
      <c r="M3536" s="12">
        <v>0.1</v>
      </c>
      <c r="N3536" s="12">
        <v>0.1</v>
      </c>
      <c r="O3536" s="8">
        <v>6570</v>
      </c>
      <c r="P3536" s="8">
        <f t="shared" si="329"/>
        <v>5913</v>
      </c>
      <c r="Q3536" s="12">
        <f t="shared" si="330"/>
        <v>12417.300000000001</v>
      </c>
      <c r="R3536" s="31">
        <f t="shared" si="331"/>
        <v>12400</v>
      </c>
    </row>
    <row r="3537" spans="1:18" ht="21.95" customHeight="1" x14ac:dyDescent="0.2">
      <c r="A3537" s="6" t="s">
        <v>943</v>
      </c>
      <c r="B3537" s="6" t="s">
        <v>1596</v>
      </c>
      <c r="C3537" s="6" t="s">
        <v>1146</v>
      </c>
      <c r="D3537" s="6" t="s">
        <v>943</v>
      </c>
      <c r="E3537" s="6"/>
      <c r="G3537" s="6">
        <v>140</v>
      </c>
      <c r="H3537" s="6">
        <v>200</v>
      </c>
      <c r="K3537" s="7">
        <v>44007708</v>
      </c>
      <c r="L3537" s="6" t="str">
        <f t="shared" si="328"/>
        <v>YT TERMO  YATAK  140x200</v>
      </c>
      <c r="M3537" s="12">
        <v>0.1</v>
      </c>
      <c r="N3537" s="12">
        <v>0.1</v>
      </c>
      <c r="O3537" s="8">
        <v>6920</v>
      </c>
      <c r="P3537" s="8">
        <f t="shared" si="329"/>
        <v>6228</v>
      </c>
      <c r="Q3537" s="12">
        <f t="shared" si="330"/>
        <v>13078.800000000001</v>
      </c>
      <c r="R3537" s="31">
        <f t="shared" si="331"/>
        <v>13000</v>
      </c>
    </row>
    <row r="3538" spans="1:18" ht="21.95" customHeight="1" x14ac:dyDescent="0.2">
      <c r="A3538" s="6" t="s">
        <v>943</v>
      </c>
      <c r="B3538" s="6" t="s">
        <v>1596</v>
      </c>
      <c r="C3538" s="6" t="s">
        <v>1146</v>
      </c>
      <c r="D3538" s="6" t="s">
        <v>943</v>
      </c>
      <c r="E3538" s="6"/>
      <c r="G3538" s="6">
        <v>150</v>
      </c>
      <c r="H3538" s="6">
        <v>200</v>
      </c>
      <c r="K3538" s="7">
        <v>44007709</v>
      </c>
      <c r="L3538" s="6" t="str">
        <f t="shared" si="328"/>
        <v>YT TERMO  YATAK  150x200</v>
      </c>
      <c r="M3538" s="12">
        <v>0.1</v>
      </c>
      <c r="N3538" s="12">
        <v>0.1</v>
      </c>
      <c r="O3538" s="8">
        <v>7420</v>
      </c>
      <c r="P3538" s="8">
        <f t="shared" si="329"/>
        <v>6678</v>
      </c>
      <c r="Q3538" s="12">
        <f t="shared" si="330"/>
        <v>14023.800000000001</v>
      </c>
      <c r="R3538" s="31">
        <f t="shared" si="331"/>
        <v>14000</v>
      </c>
    </row>
    <row r="3539" spans="1:18" ht="21.95" customHeight="1" x14ac:dyDescent="0.2">
      <c r="A3539" s="6" t="s">
        <v>943</v>
      </c>
      <c r="B3539" s="6" t="s">
        <v>1596</v>
      </c>
      <c r="C3539" s="6" t="s">
        <v>1146</v>
      </c>
      <c r="D3539" s="6" t="s">
        <v>943</v>
      </c>
      <c r="E3539" s="6"/>
      <c r="G3539" s="6">
        <v>160</v>
      </c>
      <c r="H3539" s="6">
        <v>200</v>
      </c>
      <c r="K3539" s="7">
        <v>44007710</v>
      </c>
      <c r="L3539" s="6" t="str">
        <f t="shared" si="328"/>
        <v>YT TERMO  YATAK  160x200</v>
      </c>
      <c r="M3539" s="12">
        <v>0.1</v>
      </c>
      <c r="N3539" s="12">
        <v>0.1</v>
      </c>
      <c r="O3539" s="8">
        <v>7930</v>
      </c>
      <c r="P3539" s="8">
        <f t="shared" si="329"/>
        <v>7137</v>
      </c>
      <c r="Q3539" s="12">
        <f t="shared" si="330"/>
        <v>14987.7</v>
      </c>
      <c r="R3539" s="31">
        <f t="shared" si="331"/>
        <v>14900</v>
      </c>
    </row>
    <row r="3540" spans="1:18" ht="21.95" customHeight="1" x14ac:dyDescent="0.2">
      <c r="A3540" s="6" t="s">
        <v>943</v>
      </c>
      <c r="B3540" s="6" t="s">
        <v>1596</v>
      </c>
      <c r="C3540" s="6" t="s">
        <v>1146</v>
      </c>
      <c r="D3540" s="6" t="s">
        <v>943</v>
      </c>
      <c r="E3540" s="6"/>
      <c r="G3540" s="6">
        <v>180</v>
      </c>
      <c r="H3540" s="6">
        <v>200</v>
      </c>
      <c r="K3540" s="7">
        <v>44007711</v>
      </c>
      <c r="L3540" s="6" t="str">
        <f t="shared" si="328"/>
        <v>YT TERMO  YATAK  180x200</v>
      </c>
      <c r="M3540" s="12">
        <v>0.1</v>
      </c>
      <c r="N3540" s="12">
        <v>0.1</v>
      </c>
      <c r="O3540" s="8">
        <v>8890</v>
      </c>
      <c r="P3540" s="8">
        <f t="shared" si="329"/>
        <v>8001</v>
      </c>
      <c r="Q3540" s="12">
        <f t="shared" si="330"/>
        <v>16802.100000000002</v>
      </c>
      <c r="R3540" s="31">
        <f t="shared" si="331"/>
        <v>16800</v>
      </c>
    </row>
    <row r="3541" spans="1:18" ht="21.95" customHeight="1" x14ac:dyDescent="0.2">
      <c r="A3541" s="6" t="s">
        <v>943</v>
      </c>
      <c r="B3541" s="6" t="s">
        <v>1596</v>
      </c>
      <c r="C3541" s="6" t="s">
        <v>1146</v>
      </c>
      <c r="D3541" s="6" t="s">
        <v>943</v>
      </c>
      <c r="E3541" s="6"/>
      <c r="G3541" s="6">
        <v>200</v>
      </c>
      <c r="H3541" s="6">
        <v>200</v>
      </c>
      <c r="K3541" s="7">
        <v>44007712</v>
      </c>
      <c r="L3541" s="6" t="str">
        <f t="shared" si="328"/>
        <v>YT TERMO  YATAK  200x200</v>
      </c>
      <c r="M3541" s="12">
        <v>0.1</v>
      </c>
      <c r="N3541" s="12">
        <v>0.1</v>
      </c>
      <c r="O3541" s="8">
        <v>9890</v>
      </c>
      <c r="P3541" s="8">
        <f t="shared" si="329"/>
        <v>8901</v>
      </c>
      <c r="Q3541" s="12">
        <f t="shared" si="330"/>
        <v>18692.100000000002</v>
      </c>
      <c r="R3541" s="31">
        <f t="shared" si="331"/>
        <v>18600</v>
      </c>
    </row>
    <row r="3542" spans="1:18" ht="21.95" customHeight="1" x14ac:dyDescent="0.2">
      <c r="A3542" s="6" t="s">
        <v>943</v>
      </c>
      <c r="B3542" s="6" t="s">
        <v>1596</v>
      </c>
      <c r="C3542" s="6" t="s">
        <v>1147</v>
      </c>
      <c r="D3542" s="6" t="s">
        <v>943</v>
      </c>
      <c r="E3542" s="6"/>
      <c r="G3542" s="6">
        <v>90</v>
      </c>
      <c r="H3542" s="6">
        <v>200</v>
      </c>
      <c r="K3542" s="7">
        <v>44007713</v>
      </c>
      <c r="L3542" s="6" t="str">
        <f t="shared" si="328"/>
        <v>YT ATİGO  YATAK  90x200</v>
      </c>
      <c r="M3542" s="12">
        <v>0.1</v>
      </c>
      <c r="N3542" s="12">
        <v>0.1</v>
      </c>
      <c r="O3542" s="8">
        <v>3450</v>
      </c>
      <c r="P3542" s="8">
        <f t="shared" si="329"/>
        <v>3105</v>
      </c>
      <c r="Q3542" s="12">
        <f t="shared" si="330"/>
        <v>6520.5</v>
      </c>
      <c r="R3542" s="31">
        <f t="shared" si="331"/>
        <v>6500</v>
      </c>
    </row>
    <row r="3543" spans="1:18" ht="21.95" customHeight="1" x14ac:dyDescent="0.2">
      <c r="A3543" s="6" t="s">
        <v>943</v>
      </c>
      <c r="B3543" s="6" t="s">
        <v>1596</v>
      </c>
      <c r="C3543" s="6" t="s">
        <v>1147</v>
      </c>
      <c r="D3543" s="6" t="s">
        <v>943</v>
      </c>
      <c r="E3543" s="6"/>
      <c r="G3543" s="6">
        <v>100</v>
      </c>
      <c r="H3543" s="6">
        <v>200</v>
      </c>
      <c r="K3543" s="7">
        <v>44007714</v>
      </c>
      <c r="L3543" s="6" t="str">
        <f t="shared" si="328"/>
        <v>YT ATİGO  YATAK  100x200</v>
      </c>
      <c r="M3543" s="12">
        <v>0.1</v>
      </c>
      <c r="N3543" s="12">
        <v>0.1</v>
      </c>
      <c r="O3543" s="8">
        <v>3840</v>
      </c>
      <c r="P3543" s="8">
        <f t="shared" si="329"/>
        <v>3456</v>
      </c>
      <c r="Q3543" s="12">
        <f t="shared" si="330"/>
        <v>7257.6</v>
      </c>
      <c r="R3543" s="31">
        <f t="shared" si="331"/>
        <v>7200</v>
      </c>
    </row>
    <row r="3544" spans="1:18" ht="21.95" customHeight="1" x14ac:dyDescent="0.2">
      <c r="A3544" s="6" t="s">
        <v>943</v>
      </c>
      <c r="B3544" s="6" t="s">
        <v>1596</v>
      </c>
      <c r="C3544" s="6" t="s">
        <v>1147</v>
      </c>
      <c r="D3544" s="6" t="s">
        <v>943</v>
      </c>
      <c r="E3544" s="6"/>
      <c r="G3544" s="6">
        <v>120</v>
      </c>
      <c r="H3544" s="6">
        <v>200</v>
      </c>
      <c r="K3544" s="7">
        <v>44007715</v>
      </c>
      <c r="L3544" s="6" t="str">
        <f t="shared" si="328"/>
        <v>YT ATİGO  YATAK  120x200</v>
      </c>
      <c r="M3544" s="12">
        <v>0.1</v>
      </c>
      <c r="N3544" s="12">
        <v>0.1</v>
      </c>
      <c r="O3544" s="8">
        <v>4590</v>
      </c>
      <c r="P3544" s="8">
        <f t="shared" si="329"/>
        <v>4131</v>
      </c>
      <c r="Q3544" s="12">
        <f t="shared" si="330"/>
        <v>8675.1</v>
      </c>
      <c r="R3544" s="31">
        <f t="shared" si="331"/>
        <v>8600</v>
      </c>
    </row>
    <row r="3545" spans="1:18" ht="21.95" customHeight="1" x14ac:dyDescent="0.2">
      <c r="A3545" s="6" t="s">
        <v>943</v>
      </c>
      <c r="B3545" s="6" t="s">
        <v>1596</v>
      </c>
      <c r="C3545" s="6" t="s">
        <v>1147</v>
      </c>
      <c r="D3545" s="6" t="s">
        <v>943</v>
      </c>
      <c r="E3545" s="6"/>
      <c r="G3545" s="6">
        <v>140</v>
      </c>
      <c r="H3545" s="6">
        <v>190</v>
      </c>
      <c r="K3545" s="7">
        <v>44007716</v>
      </c>
      <c r="L3545" s="6" t="str">
        <f t="shared" si="328"/>
        <v>YT ATİGO  YATAK  140x190</v>
      </c>
      <c r="M3545" s="12">
        <v>0.1</v>
      </c>
      <c r="N3545" s="12">
        <v>0.1</v>
      </c>
      <c r="O3545" s="8">
        <v>5100</v>
      </c>
      <c r="P3545" s="8">
        <f t="shared" si="329"/>
        <v>4590</v>
      </c>
      <c r="Q3545" s="12">
        <f t="shared" si="330"/>
        <v>9639</v>
      </c>
      <c r="R3545" s="31">
        <f t="shared" si="331"/>
        <v>9600</v>
      </c>
    </row>
    <row r="3546" spans="1:18" ht="21.95" customHeight="1" x14ac:dyDescent="0.2">
      <c r="A3546" s="6" t="s">
        <v>943</v>
      </c>
      <c r="B3546" s="6" t="s">
        <v>1596</v>
      </c>
      <c r="C3546" s="6" t="s">
        <v>1147</v>
      </c>
      <c r="D3546" s="6" t="s">
        <v>943</v>
      </c>
      <c r="E3546" s="6"/>
      <c r="G3546" s="6">
        <v>140</v>
      </c>
      <c r="H3546" s="6">
        <v>200</v>
      </c>
      <c r="K3546" s="7">
        <v>44007717</v>
      </c>
      <c r="L3546" s="6" t="str">
        <f t="shared" si="328"/>
        <v>YT ATİGO  YATAK  140x200</v>
      </c>
      <c r="M3546" s="12">
        <v>0.1</v>
      </c>
      <c r="N3546" s="12">
        <v>0.1</v>
      </c>
      <c r="O3546" s="8">
        <v>5360</v>
      </c>
      <c r="P3546" s="8">
        <f t="shared" si="329"/>
        <v>4824</v>
      </c>
      <c r="Q3546" s="12">
        <f t="shared" si="330"/>
        <v>10130.4</v>
      </c>
      <c r="R3546" s="31">
        <f t="shared" si="331"/>
        <v>10100</v>
      </c>
    </row>
    <row r="3547" spans="1:18" ht="21.95" customHeight="1" x14ac:dyDescent="0.2">
      <c r="A3547" s="6" t="s">
        <v>943</v>
      </c>
      <c r="B3547" s="6" t="s">
        <v>1596</v>
      </c>
      <c r="C3547" s="6" t="s">
        <v>1147</v>
      </c>
      <c r="D3547" s="6" t="s">
        <v>943</v>
      </c>
      <c r="E3547" s="6"/>
      <c r="G3547" s="6">
        <v>150</v>
      </c>
      <c r="H3547" s="6">
        <v>200</v>
      </c>
      <c r="K3547" s="7">
        <v>44007718</v>
      </c>
      <c r="L3547" s="6" t="str">
        <f t="shared" si="328"/>
        <v>YT ATİGO  YATAK  150x200</v>
      </c>
      <c r="M3547" s="12">
        <v>0.1</v>
      </c>
      <c r="N3547" s="12">
        <v>0.1</v>
      </c>
      <c r="O3547" s="8">
        <v>5760</v>
      </c>
      <c r="P3547" s="8">
        <f t="shared" si="329"/>
        <v>5184</v>
      </c>
      <c r="Q3547" s="12">
        <f t="shared" si="330"/>
        <v>10886.4</v>
      </c>
      <c r="R3547" s="31">
        <f t="shared" si="331"/>
        <v>10800</v>
      </c>
    </row>
    <row r="3548" spans="1:18" ht="21.95" customHeight="1" x14ac:dyDescent="0.2">
      <c r="A3548" s="6" t="s">
        <v>943</v>
      </c>
      <c r="B3548" s="6" t="s">
        <v>1596</v>
      </c>
      <c r="C3548" s="6" t="s">
        <v>1147</v>
      </c>
      <c r="D3548" s="6" t="s">
        <v>943</v>
      </c>
      <c r="E3548" s="6"/>
      <c r="G3548" s="6">
        <v>160</v>
      </c>
      <c r="H3548" s="6">
        <v>200</v>
      </c>
      <c r="K3548" s="7">
        <v>44007719</v>
      </c>
      <c r="L3548" s="6" t="str">
        <f t="shared" si="328"/>
        <v>YT ATİGO  YATAK  160x200</v>
      </c>
      <c r="M3548" s="12">
        <v>0.1</v>
      </c>
      <c r="N3548" s="12">
        <v>0.1</v>
      </c>
      <c r="O3548" s="8">
        <v>6150</v>
      </c>
      <c r="P3548" s="8">
        <f t="shared" si="329"/>
        <v>5535</v>
      </c>
      <c r="Q3548" s="12">
        <f t="shared" si="330"/>
        <v>11623.5</v>
      </c>
      <c r="R3548" s="31">
        <f t="shared" si="331"/>
        <v>11600</v>
      </c>
    </row>
    <row r="3549" spans="1:18" ht="21.95" customHeight="1" x14ac:dyDescent="0.2">
      <c r="A3549" s="6" t="s">
        <v>943</v>
      </c>
      <c r="B3549" s="6" t="s">
        <v>1596</v>
      </c>
      <c r="C3549" s="6" t="s">
        <v>1147</v>
      </c>
      <c r="D3549" s="6" t="s">
        <v>943</v>
      </c>
      <c r="E3549" s="6"/>
      <c r="G3549" s="6">
        <v>180</v>
      </c>
      <c r="H3549" s="6">
        <v>200</v>
      </c>
      <c r="K3549" s="7">
        <v>44007720</v>
      </c>
      <c r="L3549" s="6" t="str">
        <f t="shared" si="328"/>
        <v>YT ATİGO  YATAK  180x200</v>
      </c>
      <c r="M3549" s="12">
        <v>0.1</v>
      </c>
      <c r="N3549" s="12">
        <v>0.1</v>
      </c>
      <c r="O3549" s="8">
        <v>6890</v>
      </c>
      <c r="P3549" s="8">
        <f t="shared" si="329"/>
        <v>6201</v>
      </c>
      <c r="Q3549" s="12">
        <f t="shared" si="330"/>
        <v>13022.1</v>
      </c>
      <c r="R3549" s="31">
        <f t="shared" si="331"/>
        <v>13000</v>
      </c>
    </row>
    <row r="3550" spans="1:18" ht="21.95" customHeight="1" x14ac:dyDescent="0.2">
      <c r="A3550" s="6" t="s">
        <v>943</v>
      </c>
      <c r="B3550" s="6" t="s">
        <v>1596</v>
      </c>
      <c r="C3550" s="6" t="s">
        <v>1147</v>
      </c>
      <c r="D3550" s="6" t="s">
        <v>943</v>
      </c>
      <c r="E3550" s="6"/>
      <c r="G3550" s="6">
        <v>200</v>
      </c>
      <c r="H3550" s="6">
        <v>200</v>
      </c>
      <c r="K3550" s="7">
        <v>44007721</v>
      </c>
      <c r="L3550" s="6" t="str">
        <f t="shared" si="328"/>
        <v>YT ATİGO  YATAK  200x200</v>
      </c>
      <c r="M3550" s="12">
        <v>0.1</v>
      </c>
      <c r="N3550" s="12">
        <v>0.1</v>
      </c>
      <c r="O3550" s="8">
        <v>7660</v>
      </c>
      <c r="P3550" s="8">
        <f t="shared" si="329"/>
        <v>6894</v>
      </c>
      <c r="Q3550" s="12">
        <f t="shared" si="330"/>
        <v>14477.400000000001</v>
      </c>
      <c r="R3550" s="31">
        <f t="shared" si="331"/>
        <v>14400</v>
      </c>
    </row>
    <row r="3551" spans="1:18" ht="21.95" customHeight="1" x14ac:dyDescent="0.2">
      <c r="A3551" s="6" t="s">
        <v>943</v>
      </c>
      <c r="B3551" s="6" t="s">
        <v>1596</v>
      </c>
      <c r="C3551" s="6" t="s">
        <v>1148</v>
      </c>
      <c r="D3551" s="6" t="s">
        <v>943</v>
      </c>
      <c r="E3551" s="6"/>
      <c r="G3551" s="6">
        <v>60</v>
      </c>
      <c r="H3551" s="6">
        <v>120</v>
      </c>
      <c r="K3551" s="7">
        <v>44007722</v>
      </c>
      <c r="L3551" s="6" t="str">
        <f t="shared" si="328"/>
        <v>YT SİNDERELLA YATAK  60x120</v>
      </c>
      <c r="M3551" s="12">
        <v>0.1</v>
      </c>
      <c r="N3551" s="12">
        <v>0.1</v>
      </c>
      <c r="O3551" s="8">
        <v>2310</v>
      </c>
      <c r="P3551" s="8">
        <f t="shared" si="329"/>
        <v>2079</v>
      </c>
      <c r="Q3551" s="12">
        <f t="shared" si="330"/>
        <v>4365.9000000000005</v>
      </c>
      <c r="R3551" s="31">
        <f t="shared" si="331"/>
        <v>4300</v>
      </c>
    </row>
    <row r="3552" spans="1:18" ht="21.95" customHeight="1" x14ac:dyDescent="0.2">
      <c r="A3552" s="6" t="s">
        <v>943</v>
      </c>
      <c r="B3552" s="6" t="s">
        <v>1596</v>
      </c>
      <c r="C3552" s="6" t="s">
        <v>1148</v>
      </c>
      <c r="D3552" s="6" t="s">
        <v>943</v>
      </c>
      <c r="E3552" s="6"/>
      <c r="G3552" s="6">
        <v>60</v>
      </c>
      <c r="H3552" s="6">
        <v>130</v>
      </c>
      <c r="K3552" s="7">
        <v>44007723</v>
      </c>
      <c r="L3552" s="6" t="str">
        <f t="shared" si="328"/>
        <v>YT SİNDERELLA YATAK  60x130</v>
      </c>
      <c r="M3552" s="12">
        <v>0.1</v>
      </c>
      <c r="N3552" s="12">
        <v>0.1</v>
      </c>
      <c r="O3552" s="8">
        <v>2430</v>
      </c>
      <c r="P3552" s="8">
        <f t="shared" si="329"/>
        <v>2187</v>
      </c>
      <c r="Q3552" s="12">
        <f t="shared" si="330"/>
        <v>4592.7</v>
      </c>
      <c r="R3552" s="31">
        <f t="shared" si="331"/>
        <v>4500</v>
      </c>
    </row>
    <row r="3553" spans="1:18" ht="21.95" customHeight="1" x14ac:dyDescent="0.2">
      <c r="A3553" s="6" t="s">
        <v>943</v>
      </c>
      <c r="B3553" s="6" t="s">
        <v>1596</v>
      </c>
      <c r="C3553" s="6" t="s">
        <v>1148</v>
      </c>
      <c r="D3553" s="6" t="s">
        <v>943</v>
      </c>
      <c r="E3553" s="6"/>
      <c r="G3553" s="6">
        <v>70</v>
      </c>
      <c r="H3553" s="6">
        <v>120</v>
      </c>
      <c r="K3553" s="7">
        <v>44007724</v>
      </c>
      <c r="L3553" s="6" t="str">
        <f t="shared" si="328"/>
        <v>YT SİNDERELLA YATAK  70x120</v>
      </c>
      <c r="M3553" s="12">
        <v>0.1</v>
      </c>
      <c r="N3553" s="12">
        <v>0.1</v>
      </c>
      <c r="O3553" s="8">
        <v>2680</v>
      </c>
      <c r="P3553" s="8">
        <f t="shared" si="329"/>
        <v>2412</v>
      </c>
      <c r="Q3553" s="12">
        <f t="shared" si="330"/>
        <v>5065.2</v>
      </c>
      <c r="R3553" s="31">
        <f t="shared" si="331"/>
        <v>5000</v>
      </c>
    </row>
    <row r="3554" spans="1:18" ht="21.95" customHeight="1" x14ac:dyDescent="0.2">
      <c r="A3554" s="6" t="s">
        <v>943</v>
      </c>
      <c r="B3554" s="6" t="s">
        <v>1596</v>
      </c>
      <c r="C3554" s="6" t="s">
        <v>1148</v>
      </c>
      <c r="D3554" s="6" t="s">
        <v>943</v>
      </c>
      <c r="E3554" s="6"/>
      <c r="G3554" s="6">
        <v>70</v>
      </c>
      <c r="H3554" s="6">
        <v>130</v>
      </c>
      <c r="K3554" s="7">
        <v>44007725</v>
      </c>
      <c r="L3554" s="6" t="str">
        <f t="shared" si="328"/>
        <v>YT SİNDERELLA YATAK  70x130</v>
      </c>
      <c r="M3554" s="12">
        <v>0.1</v>
      </c>
      <c r="N3554" s="12">
        <v>0.1</v>
      </c>
      <c r="O3554" s="8">
        <v>2880</v>
      </c>
      <c r="P3554" s="8">
        <f t="shared" si="329"/>
        <v>2592</v>
      </c>
      <c r="Q3554" s="12">
        <f t="shared" si="330"/>
        <v>5443.2</v>
      </c>
      <c r="R3554" s="31">
        <f t="shared" si="331"/>
        <v>5400</v>
      </c>
    </row>
    <row r="3555" spans="1:18" ht="21.95" customHeight="1" x14ac:dyDescent="0.2">
      <c r="A3555" s="6" t="s">
        <v>943</v>
      </c>
      <c r="B3555" s="6" t="s">
        <v>1596</v>
      </c>
      <c r="C3555" s="6" t="s">
        <v>1149</v>
      </c>
      <c r="D3555" s="6" t="s">
        <v>943</v>
      </c>
      <c r="E3555" s="6"/>
      <c r="G3555" s="6">
        <v>60</v>
      </c>
      <c r="H3555" s="6">
        <v>120</v>
      </c>
      <c r="K3555" s="7">
        <v>44007726</v>
      </c>
      <c r="L3555" s="6" t="str">
        <f t="shared" si="328"/>
        <v>YT HEİDİ YATAK  60x120</v>
      </c>
      <c r="M3555" s="12">
        <v>0.1</v>
      </c>
      <c r="N3555" s="12">
        <v>0.1</v>
      </c>
      <c r="O3555" s="8">
        <v>3280</v>
      </c>
      <c r="P3555" s="8">
        <f t="shared" si="329"/>
        <v>2952</v>
      </c>
      <c r="Q3555" s="12">
        <f t="shared" si="330"/>
        <v>6199.2</v>
      </c>
      <c r="R3555" s="31">
        <f t="shared" si="331"/>
        <v>6100</v>
      </c>
    </row>
    <row r="3556" spans="1:18" ht="21.95" customHeight="1" x14ac:dyDescent="0.2">
      <c r="A3556" s="6" t="s">
        <v>943</v>
      </c>
      <c r="B3556" s="6" t="s">
        <v>1596</v>
      </c>
      <c r="C3556" s="6" t="s">
        <v>1149</v>
      </c>
      <c r="D3556" s="6" t="s">
        <v>943</v>
      </c>
      <c r="E3556" s="6"/>
      <c r="G3556" s="6">
        <v>60</v>
      </c>
      <c r="H3556" s="6">
        <v>130</v>
      </c>
      <c r="K3556" s="7">
        <v>44007727</v>
      </c>
      <c r="L3556" s="6" t="str">
        <f t="shared" si="328"/>
        <v>YT HEİDİ YATAK  60x130</v>
      </c>
      <c r="M3556" s="12">
        <v>0.1</v>
      </c>
      <c r="N3556" s="12">
        <v>0.1</v>
      </c>
      <c r="O3556" s="8">
        <v>3620</v>
      </c>
      <c r="P3556" s="8">
        <f t="shared" si="329"/>
        <v>3258</v>
      </c>
      <c r="Q3556" s="12">
        <f t="shared" si="330"/>
        <v>6841.8</v>
      </c>
      <c r="R3556" s="31">
        <f t="shared" si="331"/>
        <v>6800</v>
      </c>
    </row>
    <row r="3557" spans="1:18" ht="21.95" customHeight="1" x14ac:dyDescent="0.2">
      <c r="A3557" s="6" t="s">
        <v>943</v>
      </c>
      <c r="B3557" s="6" t="s">
        <v>1596</v>
      </c>
      <c r="C3557" s="6" t="s">
        <v>1149</v>
      </c>
      <c r="D3557" s="6" t="s">
        <v>943</v>
      </c>
      <c r="E3557" s="6"/>
      <c r="G3557" s="6">
        <v>70</v>
      </c>
      <c r="H3557" s="6">
        <v>120</v>
      </c>
      <c r="K3557" s="7">
        <v>44007728</v>
      </c>
      <c r="L3557" s="6" t="str">
        <f t="shared" si="328"/>
        <v>YT HEİDİ YATAK  70x120</v>
      </c>
      <c r="M3557" s="12">
        <v>0.1</v>
      </c>
      <c r="N3557" s="12">
        <v>0.1</v>
      </c>
      <c r="O3557" s="8">
        <v>3950</v>
      </c>
      <c r="P3557" s="8">
        <f t="shared" si="329"/>
        <v>3555</v>
      </c>
      <c r="Q3557" s="12">
        <f t="shared" si="330"/>
        <v>7465.5</v>
      </c>
      <c r="R3557" s="31">
        <f t="shared" si="331"/>
        <v>7400</v>
      </c>
    </row>
    <row r="3558" spans="1:18" ht="21.95" customHeight="1" x14ac:dyDescent="0.2">
      <c r="A3558" s="6" t="s">
        <v>943</v>
      </c>
      <c r="B3558" s="6" t="s">
        <v>1596</v>
      </c>
      <c r="C3558" s="6" t="s">
        <v>1149</v>
      </c>
      <c r="D3558" s="6" t="s">
        <v>943</v>
      </c>
      <c r="E3558" s="6"/>
      <c r="G3558" s="6">
        <v>70</v>
      </c>
      <c r="H3558" s="6">
        <v>130</v>
      </c>
      <c r="K3558" s="7">
        <v>44007729</v>
      </c>
      <c r="L3558" s="6" t="str">
        <f t="shared" si="328"/>
        <v>YT HEİDİ YATAK  70x130</v>
      </c>
      <c r="M3558" s="12">
        <v>0.1</v>
      </c>
      <c r="N3558" s="12">
        <v>0.1</v>
      </c>
      <c r="O3558" s="8">
        <v>4240</v>
      </c>
      <c r="P3558" s="8">
        <f t="shared" si="329"/>
        <v>3816</v>
      </c>
      <c r="Q3558" s="12">
        <f t="shared" si="330"/>
        <v>8013.6</v>
      </c>
      <c r="R3558" s="31">
        <f t="shared" si="331"/>
        <v>8000</v>
      </c>
    </row>
    <row r="3559" spans="1:18" ht="21.95" customHeight="1" x14ac:dyDescent="0.2">
      <c r="A3559" s="6" t="s">
        <v>943</v>
      </c>
      <c r="B3559" s="6" t="s">
        <v>1596</v>
      </c>
      <c r="C3559" s="6" t="s">
        <v>1150</v>
      </c>
      <c r="D3559" s="6" t="s">
        <v>943</v>
      </c>
      <c r="E3559" s="6"/>
      <c r="G3559" s="6">
        <v>60</v>
      </c>
      <c r="H3559" s="6">
        <v>120</v>
      </c>
      <c r="K3559" s="7">
        <v>44007730</v>
      </c>
      <c r="L3559" s="6" t="str">
        <f t="shared" si="328"/>
        <v>YT BABY VİSCO  YATAK  60x120</v>
      </c>
      <c r="M3559" s="12">
        <v>0.1</v>
      </c>
      <c r="N3559" s="12">
        <v>0.1</v>
      </c>
      <c r="O3559" s="8">
        <v>2360</v>
      </c>
      <c r="P3559" s="8">
        <f t="shared" si="329"/>
        <v>2124</v>
      </c>
      <c r="Q3559" s="12">
        <f t="shared" si="330"/>
        <v>4460.4000000000005</v>
      </c>
      <c r="R3559" s="31">
        <f t="shared" si="331"/>
        <v>4400</v>
      </c>
    </row>
    <row r="3560" spans="1:18" ht="21.95" customHeight="1" x14ac:dyDescent="0.2">
      <c r="A3560" s="6" t="s">
        <v>943</v>
      </c>
      <c r="B3560" s="6" t="s">
        <v>1596</v>
      </c>
      <c r="C3560" s="6" t="s">
        <v>1150</v>
      </c>
      <c r="D3560" s="6" t="s">
        <v>943</v>
      </c>
      <c r="E3560" s="6"/>
      <c r="G3560" s="6">
        <v>60</v>
      </c>
      <c r="H3560" s="6">
        <v>130</v>
      </c>
      <c r="K3560" s="7">
        <v>44007731</v>
      </c>
      <c r="L3560" s="6" t="str">
        <f t="shared" si="328"/>
        <v>YT BABY VİSCO  YATAK  60x130</v>
      </c>
      <c r="M3560" s="12">
        <v>0.1</v>
      </c>
      <c r="N3560" s="12">
        <v>0.1</v>
      </c>
      <c r="O3560" s="8">
        <v>2500</v>
      </c>
      <c r="P3560" s="8">
        <f t="shared" si="329"/>
        <v>2250</v>
      </c>
      <c r="Q3560" s="12">
        <f t="shared" si="330"/>
        <v>4725</v>
      </c>
      <c r="R3560" s="31">
        <f t="shared" si="331"/>
        <v>4700</v>
      </c>
    </row>
    <row r="3561" spans="1:18" ht="21.95" customHeight="1" x14ac:dyDescent="0.2">
      <c r="A3561" s="6" t="s">
        <v>943</v>
      </c>
      <c r="B3561" s="6" t="s">
        <v>1596</v>
      </c>
      <c r="C3561" s="6" t="s">
        <v>1150</v>
      </c>
      <c r="D3561" s="6" t="s">
        <v>943</v>
      </c>
      <c r="E3561" s="6"/>
      <c r="G3561" s="6">
        <v>70</v>
      </c>
      <c r="H3561" s="6">
        <v>120</v>
      </c>
      <c r="K3561" s="7">
        <v>44007732</v>
      </c>
      <c r="L3561" s="6" t="str">
        <f t="shared" si="328"/>
        <v>YT BABY VİSCO  YATAK  70x120</v>
      </c>
      <c r="M3561" s="12">
        <v>0.1</v>
      </c>
      <c r="N3561" s="12">
        <v>0.1</v>
      </c>
      <c r="O3561" s="8">
        <v>2740</v>
      </c>
      <c r="P3561" s="8">
        <f t="shared" si="329"/>
        <v>2466</v>
      </c>
      <c r="Q3561" s="12">
        <f t="shared" si="330"/>
        <v>5178.6000000000004</v>
      </c>
      <c r="R3561" s="31">
        <f t="shared" si="331"/>
        <v>5100</v>
      </c>
    </row>
    <row r="3562" spans="1:18" ht="21.95" customHeight="1" x14ac:dyDescent="0.2">
      <c r="A3562" s="6" t="s">
        <v>943</v>
      </c>
      <c r="B3562" s="6" t="s">
        <v>1596</v>
      </c>
      <c r="C3562" s="6" t="s">
        <v>1150</v>
      </c>
      <c r="D3562" s="6" t="s">
        <v>943</v>
      </c>
      <c r="E3562" s="6"/>
      <c r="G3562" s="6">
        <v>70</v>
      </c>
      <c r="H3562" s="6">
        <v>130</v>
      </c>
      <c r="K3562" s="7">
        <v>44007733</v>
      </c>
      <c r="L3562" s="6" t="str">
        <f t="shared" si="328"/>
        <v>YT BABY VİSCO  YATAK  70x130</v>
      </c>
      <c r="M3562" s="12">
        <v>0.1</v>
      </c>
      <c r="N3562" s="12">
        <v>0.1</v>
      </c>
      <c r="O3562" s="8">
        <v>2960</v>
      </c>
      <c r="P3562" s="8">
        <f t="shared" si="329"/>
        <v>2664</v>
      </c>
      <c r="Q3562" s="12">
        <f t="shared" si="330"/>
        <v>5594.4000000000005</v>
      </c>
      <c r="R3562" s="31">
        <f t="shared" si="331"/>
        <v>5500</v>
      </c>
    </row>
    <row r="3563" spans="1:18" ht="21.95" customHeight="1" x14ac:dyDescent="0.2">
      <c r="A3563" s="6" t="s">
        <v>943</v>
      </c>
      <c r="B3563" s="6" t="s">
        <v>1596</v>
      </c>
      <c r="C3563" s="6" t="s">
        <v>1121</v>
      </c>
      <c r="D3563" s="6" t="s">
        <v>943</v>
      </c>
      <c r="E3563" s="6"/>
      <c r="G3563" s="6">
        <v>60</v>
      </c>
      <c r="H3563" s="6">
        <v>120</v>
      </c>
      <c r="K3563" s="7">
        <v>44007734</v>
      </c>
      <c r="L3563" s="6" t="str">
        <f t="shared" si="328"/>
        <v>YT MENEKŞE  YATAK  60x120</v>
      </c>
      <c r="M3563" s="12">
        <v>0.1</v>
      </c>
      <c r="N3563" s="12">
        <v>0.1</v>
      </c>
      <c r="O3563" s="8">
        <v>1260</v>
      </c>
      <c r="P3563" s="8">
        <f t="shared" si="329"/>
        <v>1134</v>
      </c>
      <c r="Q3563" s="12">
        <f t="shared" si="330"/>
        <v>2381.4</v>
      </c>
      <c r="R3563" s="31">
        <f t="shared" si="331"/>
        <v>2300</v>
      </c>
    </row>
    <row r="3564" spans="1:18" ht="21.95" customHeight="1" x14ac:dyDescent="0.2">
      <c r="A3564" s="6" t="s">
        <v>943</v>
      </c>
      <c r="B3564" s="6" t="s">
        <v>1596</v>
      </c>
      <c r="C3564" s="6" t="s">
        <v>1121</v>
      </c>
      <c r="D3564" s="6" t="s">
        <v>943</v>
      </c>
      <c r="E3564" s="6"/>
      <c r="G3564" s="6">
        <v>60</v>
      </c>
      <c r="H3564" s="6">
        <v>130</v>
      </c>
      <c r="K3564" s="7">
        <v>44007735</v>
      </c>
      <c r="L3564" s="6" t="str">
        <f t="shared" si="328"/>
        <v>YT MENEKŞE  YATAK  60x130</v>
      </c>
      <c r="M3564" s="12">
        <v>0.1</v>
      </c>
      <c r="N3564" s="12">
        <v>0.1</v>
      </c>
      <c r="O3564" s="8">
        <v>1410</v>
      </c>
      <c r="P3564" s="8">
        <f t="shared" si="329"/>
        <v>1269</v>
      </c>
      <c r="Q3564" s="12">
        <f t="shared" si="330"/>
        <v>2664.9</v>
      </c>
      <c r="R3564" s="31">
        <f t="shared" si="331"/>
        <v>2600</v>
      </c>
    </row>
    <row r="3565" spans="1:18" ht="21.95" customHeight="1" x14ac:dyDescent="0.2">
      <c r="A3565" s="6" t="s">
        <v>943</v>
      </c>
      <c r="B3565" s="6" t="s">
        <v>1596</v>
      </c>
      <c r="C3565" s="6" t="s">
        <v>1121</v>
      </c>
      <c r="D3565" s="6" t="s">
        <v>943</v>
      </c>
      <c r="E3565" s="6"/>
      <c r="G3565" s="6">
        <v>70</v>
      </c>
      <c r="H3565" s="6">
        <v>120</v>
      </c>
      <c r="K3565" s="7">
        <v>44007736</v>
      </c>
      <c r="L3565" s="6" t="str">
        <f t="shared" si="328"/>
        <v>YT MENEKŞE  YATAK  70x120</v>
      </c>
      <c r="M3565" s="12">
        <v>0.1</v>
      </c>
      <c r="N3565" s="12">
        <v>0.1</v>
      </c>
      <c r="O3565" s="8">
        <v>1560</v>
      </c>
      <c r="P3565" s="8">
        <f t="shared" si="329"/>
        <v>1404</v>
      </c>
      <c r="Q3565" s="12">
        <f t="shared" si="330"/>
        <v>2948.4</v>
      </c>
      <c r="R3565" s="31">
        <f t="shared" si="331"/>
        <v>2900</v>
      </c>
    </row>
    <row r="3566" spans="1:18" ht="21.95" customHeight="1" x14ac:dyDescent="0.2">
      <c r="A3566" s="6" t="s">
        <v>943</v>
      </c>
      <c r="B3566" s="6" t="s">
        <v>1596</v>
      </c>
      <c r="C3566" s="6" t="s">
        <v>1121</v>
      </c>
      <c r="D3566" s="6" t="s">
        <v>943</v>
      </c>
      <c r="E3566" s="6"/>
      <c r="G3566" s="6">
        <v>70</v>
      </c>
      <c r="H3566" s="6">
        <v>130</v>
      </c>
      <c r="K3566" s="7">
        <v>44007737</v>
      </c>
      <c r="L3566" s="6" t="str">
        <f t="shared" si="328"/>
        <v>YT MENEKŞE  YATAK  70x130</v>
      </c>
      <c r="M3566" s="12">
        <v>0.1</v>
      </c>
      <c r="N3566" s="12">
        <v>0.1</v>
      </c>
      <c r="O3566" s="8">
        <v>1770</v>
      </c>
      <c r="P3566" s="8">
        <f t="shared" si="329"/>
        <v>1593</v>
      </c>
      <c r="Q3566" s="12">
        <f t="shared" si="330"/>
        <v>3345.3</v>
      </c>
      <c r="R3566" s="31">
        <f t="shared" si="331"/>
        <v>3300</v>
      </c>
    </row>
    <row r="3567" spans="1:18" ht="21.95" customHeight="1" x14ac:dyDescent="0.2">
      <c r="A3567" s="21" t="s">
        <v>1151</v>
      </c>
      <c r="B3567" s="21" t="s">
        <v>1593</v>
      </c>
      <c r="C3567" s="21" t="s">
        <v>1152</v>
      </c>
      <c r="D3567" s="21" t="s">
        <v>49</v>
      </c>
      <c r="E3567" s="21" t="s">
        <v>1153</v>
      </c>
      <c r="F3567" s="21"/>
      <c r="G3567" s="21">
        <v>200</v>
      </c>
      <c r="H3567" s="21">
        <v>44</v>
      </c>
      <c r="I3567" s="22">
        <v>82</v>
      </c>
      <c r="J3567" s="22"/>
      <c r="K3567" s="22">
        <v>44007738</v>
      </c>
      <c r="L3567" s="21" t="str">
        <f t="shared" ref="L3567:L3597" si="332">B3567&amp;" "&amp;C3567&amp;" "&amp;D3567&amp;" "&amp;E3567&amp;" "&amp;G3567&amp;"x"&amp;H3567&amp;"x"&amp;I3567</f>
        <v>SK MİSTO KONSOL FRN-21009 200x44x82</v>
      </c>
      <c r="M3567" s="23">
        <v>0.3</v>
      </c>
      <c r="N3567" s="23">
        <v>0.25</v>
      </c>
      <c r="O3567" s="23">
        <v>14860</v>
      </c>
      <c r="P3567" s="23">
        <f t="shared" si="329"/>
        <v>11145</v>
      </c>
      <c r="Q3567" s="23">
        <f t="shared" si="330"/>
        <v>23404.5</v>
      </c>
      <c r="R3567" s="32">
        <f t="shared" si="331"/>
        <v>23400</v>
      </c>
    </row>
    <row r="3568" spans="1:18" ht="21.95" customHeight="1" x14ac:dyDescent="0.2">
      <c r="A3568" s="21" t="s">
        <v>1151</v>
      </c>
      <c r="B3568" s="21" t="s">
        <v>1593</v>
      </c>
      <c r="C3568" s="21" t="s">
        <v>1152</v>
      </c>
      <c r="D3568" s="21" t="s">
        <v>49</v>
      </c>
      <c r="E3568" s="21" t="s">
        <v>1154</v>
      </c>
      <c r="F3568" s="21"/>
      <c r="G3568" s="21">
        <v>185</v>
      </c>
      <c r="H3568" s="21">
        <v>44</v>
      </c>
      <c r="I3568" s="22">
        <v>82</v>
      </c>
      <c r="J3568" s="22"/>
      <c r="K3568" s="22">
        <v>44007739</v>
      </c>
      <c r="L3568" s="21" t="str">
        <f t="shared" si="332"/>
        <v>SK MİSTO KONSOL FRN-21010 185x44x82</v>
      </c>
      <c r="M3568" s="23">
        <v>0.3</v>
      </c>
      <c r="N3568" s="23">
        <v>0.25</v>
      </c>
      <c r="O3568" s="23">
        <v>13240</v>
      </c>
      <c r="P3568" s="23">
        <f t="shared" si="329"/>
        <v>9930</v>
      </c>
      <c r="Q3568" s="23">
        <f t="shared" si="330"/>
        <v>20853</v>
      </c>
      <c r="R3568" s="32">
        <f t="shared" si="331"/>
        <v>20800</v>
      </c>
    </row>
    <row r="3569" spans="1:18" ht="21.95" customHeight="1" x14ac:dyDescent="0.2">
      <c r="A3569" s="6" t="s">
        <v>1151</v>
      </c>
      <c r="B3569" s="6" t="s">
        <v>1593</v>
      </c>
      <c r="C3569" s="6" t="s">
        <v>1155</v>
      </c>
      <c r="D3569" s="6" t="s">
        <v>49</v>
      </c>
      <c r="E3569" s="6" t="s">
        <v>1156</v>
      </c>
      <c r="G3569" s="6">
        <v>201</v>
      </c>
      <c r="H3569" s="6">
        <v>44</v>
      </c>
      <c r="I3569" s="7">
        <v>82</v>
      </c>
      <c r="K3569" s="7">
        <v>44007740</v>
      </c>
      <c r="L3569" s="6" t="str">
        <f t="shared" si="332"/>
        <v>SK MİSTO  KONSOL FRN-21008 201x44x82</v>
      </c>
      <c r="M3569" s="12">
        <v>0.3</v>
      </c>
      <c r="N3569" s="12">
        <v>0.25</v>
      </c>
      <c r="O3569" s="8">
        <v>12360</v>
      </c>
      <c r="P3569" s="8">
        <f t="shared" si="329"/>
        <v>9270</v>
      </c>
      <c r="Q3569" s="12">
        <f t="shared" si="330"/>
        <v>19467</v>
      </c>
      <c r="R3569" s="31">
        <f t="shared" si="331"/>
        <v>19400</v>
      </c>
    </row>
    <row r="3570" spans="1:18" ht="21.95" customHeight="1" x14ac:dyDescent="0.2">
      <c r="A3570" s="21" t="s">
        <v>1151</v>
      </c>
      <c r="B3570" s="21" t="s">
        <v>1593</v>
      </c>
      <c r="C3570" s="21" t="s">
        <v>1155</v>
      </c>
      <c r="D3570" s="21" t="s">
        <v>1157</v>
      </c>
      <c r="E3570" s="21" t="s">
        <v>1158</v>
      </c>
      <c r="F3570" s="21"/>
      <c r="G3570" s="21">
        <v>136</v>
      </c>
      <c r="H3570" s="21">
        <v>46</v>
      </c>
      <c r="I3570" s="22">
        <v>137</v>
      </c>
      <c r="J3570" s="22"/>
      <c r="K3570" s="22">
        <v>44007741</v>
      </c>
      <c r="L3570" s="21" t="str">
        <f t="shared" si="332"/>
        <v>SK MİSTO  VİTRİN BÜFE  FRN-21029 136x46x137</v>
      </c>
      <c r="M3570" s="23">
        <v>0.3</v>
      </c>
      <c r="N3570" s="23">
        <v>0.25</v>
      </c>
      <c r="O3570" s="23">
        <v>19400</v>
      </c>
      <c r="P3570" s="23">
        <f t="shared" si="329"/>
        <v>14550</v>
      </c>
      <c r="Q3570" s="23">
        <f t="shared" si="330"/>
        <v>30555</v>
      </c>
      <c r="R3570" s="32">
        <f t="shared" si="331"/>
        <v>30500</v>
      </c>
    </row>
    <row r="3571" spans="1:18" ht="21.95" customHeight="1" x14ac:dyDescent="0.2">
      <c r="A3571" s="6" t="s">
        <v>1151</v>
      </c>
      <c r="B3571" s="6" t="s">
        <v>1593</v>
      </c>
      <c r="C3571" s="6" t="s">
        <v>1155</v>
      </c>
      <c r="D3571" s="6" t="s">
        <v>1157</v>
      </c>
      <c r="E3571" s="6" t="s">
        <v>1159</v>
      </c>
      <c r="G3571" s="6">
        <v>88</v>
      </c>
      <c r="H3571" s="6">
        <v>44</v>
      </c>
      <c r="I3571" s="7">
        <v>194</v>
      </c>
      <c r="K3571" s="7">
        <v>44007742</v>
      </c>
      <c r="L3571" s="6" t="str">
        <f t="shared" si="332"/>
        <v>SK MİSTO  VİTRİN BÜFE  FRN-21020 88x44x194</v>
      </c>
      <c r="M3571" s="12">
        <v>0.3</v>
      </c>
      <c r="N3571" s="12">
        <v>0.25</v>
      </c>
      <c r="O3571" s="8">
        <v>16040</v>
      </c>
      <c r="P3571" s="8">
        <f t="shared" si="329"/>
        <v>12030</v>
      </c>
      <c r="Q3571" s="12">
        <f t="shared" si="330"/>
        <v>25263</v>
      </c>
      <c r="R3571" s="31">
        <f t="shared" si="331"/>
        <v>25200</v>
      </c>
    </row>
    <row r="3572" spans="1:18" ht="21.95" customHeight="1" x14ac:dyDescent="0.2">
      <c r="A3572" s="6" t="s">
        <v>1151</v>
      </c>
      <c r="B3572" s="6" t="s">
        <v>1593</v>
      </c>
      <c r="C3572" s="6" t="s">
        <v>1155</v>
      </c>
      <c r="D3572" s="6" t="s">
        <v>1157</v>
      </c>
      <c r="E3572" s="6" t="s">
        <v>1160</v>
      </c>
      <c r="G3572" s="6">
        <v>60</v>
      </c>
      <c r="H3572" s="6">
        <v>44</v>
      </c>
      <c r="I3572" s="7">
        <v>194</v>
      </c>
      <c r="K3572" s="7">
        <v>44007743</v>
      </c>
      <c r="L3572" s="6" t="str">
        <f t="shared" si="332"/>
        <v>SK MİSTO  VİTRİN BÜFE  FRN-21021 60x44x194</v>
      </c>
      <c r="M3572" s="12">
        <v>0.3</v>
      </c>
      <c r="N3572" s="12">
        <v>0.25</v>
      </c>
      <c r="O3572" s="8">
        <v>7850</v>
      </c>
      <c r="P3572" s="8">
        <f t="shared" si="329"/>
        <v>5887.5</v>
      </c>
      <c r="Q3572" s="12">
        <f t="shared" si="330"/>
        <v>12363.75</v>
      </c>
      <c r="R3572" s="31">
        <f t="shared" si="331"/>
        <v>12300</v>
      </c>
    </row>
    <row r="3573" spans="1:18" ht="21.95" customHeight="1" x14ac:dyDescent="0.2">
      <c r="A3573" s="6" t="s">
        <v>1151</v>
      </c>
      <c r="B3573" s="6" t="s">
        <v>1593</v>
      </c>
      <c r="C3573" s="6" t="s">
        <v>1155</v>
      </c>
      <c r="D3573" s="6" t="s">
        <v>1157</v>
      </c>
      <c r="E3573" s="5" t="s">
        <v>1161</v>
      </c>
      <c r="G3573" s="6">
        <v>110</v>
      </c>
      <c r="H3573" s="6">
        <v>44</v>
      </c>
      <c r="I3573" s="7">
        <v>120</v>
      </c>
      <c r="K3573" s="7">
        <v>44007744</v>
      </c>
      <c r="L3573" s="6" t="str">
        <f t="shared" si="332"/>
        <v>SK MİSTO  VİTRİN BÜFE  FRN-21022 110x44x120</v>
      </c>
      <c r="M3573" s="12">
        <v>0.3</v>
      </c>
      <c r="N3573" s="12">
        <v>0.25</v>
      </c>
      <c r="O3573" s="8">
        <v>11670</v>
      </c>
      <c r="P3573" s="8">
        <f t="shared" si="329"/>
        <v>8752.5</v>
      </c>
      <c r="Q3573" s="12">
        <f t="shared" si="330"/>
        <v>18380.25</v>
      </c>
      <c r="R3573" s="31">
        <f t="shared" si="331"/>
        <v>18300</v>
      </c>
    </row>
    <row r="3574" spans="1:18" ht="21.95" customHeight="1" x14ac:dyDescent="0.2">
      <c r="A3574" s="6"/>
      <c r="B3574" s="6" t="s">
        <v>1593</v>
      </c>
      <c r="C3574" s="6" t="s">
        <v>1155</v>
      </c>
      <c r="D3574" s="6" t="s">
        <v>1162</v>
      </c>
      <c r="E3574" s="6" t="s">
        <v>1976</v>
      </c>
      <c r="G3574" s="6">
        <v>160</v>
      </c>
      <c r="H3574" s="6">
        <v>90</v>
      </c>
      <c r="I3574" s="7">
        <v>78</v>
      </c>
      <c r="K3574" s="7">
        <v>44007745</v>
      </c>
      <c r="L3574" s="6" t="str">
        <f t="shared" si="332"/>
        <v>SK MİSTO  YEMEK MASASI  FRN-21023-160 160x90x78</v>
      </c>
      <c r="M3574" s="12"/>
      <c r="N3574" s="12"/>
      <c r="P3574" s="8"/>
      <c r="Q3574" s="12"/>
    </row>
    <row r="3575" spans="1:18" ht="21.95" customHeight="1" x14ac:dyDescent="0.2">
      <c r="A3575" s="6" t="s">
        <v>1151</v>
      </c>
      <c r="B3575" s="6" t="s">
        <v>1593</v>
      </c>
      <c r="C3575" s="6" t="s">
        <v>1155</v>
      </c>
      <c r="D3575" s="6" t="s">
        <v>1162</v>
      </c>
      <c r="E3575" s="6" t="s">
        <v>1163</v>
      </c>
      <c r="G3575" s="6">
        <v>180</v>
      </c>
      <c r="H3575" s="6">
        <v>90</v>
      </c>
      <c r="I3575" s="7">
        <v>78</v>
      </c>
      <c r="K3575" s="7">
        <v>44007746</v>
      </c>
      <c r="L3575" s="6" t="str">
        <f t="shared" si="332"/>
        <v>SK MİSTO  YEMEK MASASI  FRN-21023 180x90x78</v>
      </c>
      <c r="M3575" s="12">
        <v>0.3</v>
      </c>
      <c r="N3575" s="12">
        <v>0.25</v>
      </c>
      <c r="O3575" s="8">
        <v>7100</v>
      </c>
      <c r="P3575" s="8">
        <f t="shared" ref="P3575:P3597" si="333">O3575*(1-N3575)</f>
        <v>5325</v>
      </c>
      <c r="Q3575" s="12">
        <f t="shared" ref="Q3575:Q3597" si="334">O3575*(1-N3575)*2.1</f>
        <v>11182.5</v>
      </c>
      <c r="R3575" s="31">
        <f t="shared" ref="R3575:R3597" si="335">ROUNDDOWN(Q3575,-2)</f>
        <v>11100</v>
      </c>
    </row>
    <row r="3576" spans="1:18" ht="21.95" customHeight="1" x14ac:dyDescent="0.2">
      <c r="A3576" s="21" t="s">
        <v>1151</v>
      </c>
      <c r="B3576" s="21" t="s">
        <v>1593</v>
      </c>
      <c r="C3576" s="21" t="s">
        <v>1155</v>
      </c>
      <c r="D3576" s="21" t="s">
        <v>1164</v>
      </c>
      <c r="E3576" s="21" t="s">
        <v>1165</v>
      </c>
      <c r="F3576" s="21"/>
      <c r="G3576" s="21">
        <v>181</v>
      </c>
      <c r="H3576" s="21">
        <v>44</v>
      </c>
      <c r="I3576" s="22">
        <v>62</v>
      </c>
      <c r="J3576" s="22"/>
      <c r="K3576" s="22">
        <v>44007747</v>
      </c>
      <c r="L3576" s="21" t="str">
        <f t="shared" si="332"/>
        <v>SK MİSTO  TV ÜNİTESİ  FRN-21026 181x44x62</v>
      </c>
      <c r="M3576" s="23">
        <v>0.3</v>
      </c>
      <c r="N3576" s="23">
        <v>0.25</v>
      </c>
      <c r="O3576" s="23">
        <v>10640</v>
      </c>
      <c r="P3576" s="23">
        <f t="shared" si="333"/>
        <v>7980</v>
      </c>
      <c r="Q3576" s="23">
        <f t="shared" si="334"/>
        <v>16758</v>
      </c>
      <c r="R3576" s="32">
        <f t="shared" si="335"/>
        <v>16700</v>
      </c>
    </row>
    <row r="3577" spans="1:18" ht="21.95" customHeight="1" x14ac:dyDescent="0.2">
      <c r="A3577" s="21" t="s">
        <v>1151</v>
      </c>
      <c r="B3577" s="21" t="s">
        <v>1593</v>
      </c>
      <c r="C3577" s="21" t="s">
        <v>1155</v>
      </c>
      <c r="D3577" s="21" t="s">
        <v>1164</v>
      </c>
      <c r="E3577" s="21" t="s">
        <v>1166</v>
      </c>
      <c r="F3577" s="21"/>
      <c r="G3577" s="21">
        <v>181</v>
      </c>
      <c r="H3577" s="21">
        <v>44</v>
      </c>
      <c r="I3577" s="22">
        <v>62</v>
      </c>
      <c r="J3577" s="22"/>
      <c r="K3577" s="22">
        <v>44007748</v>
      </c>
      <c r="L3577" s="21" t="str">
        <f t="shared" si="332"/>
        <v>SK MİSTO  TV ÜNİTESİ  FRN-21025 181x44x62</v>
      </c>
      <c r="M3577" s="23">
        <v>0.3</v>
      </c>
      <c r="N3577" s="23">
        <v>0.25</v>
      </c>
      <c r="O3577" s="23">
        <v>9500</v>
      </c>
      <c r="P3577" s="23">
        <f t="shared" si="333"/>
        <v>7125</v>
      </c>
      <c r="Q3577" s="23">
        <f t="shared" si="334"/>
        <v>14962.5</v>
      </c>
      <c r="R3577" s="32">
        <f t="shared" si="335"/>
        <v>14900</v>
      </c>
    </row>
    <row r="3578" spans="1:18" ht="21.95" customHeight="1" x14ac:dyDescent="0.2">
      <c r="A3578" s="6" t="s">
        <v>1151</v>
      </c>
      <c r="B3578" s="6" t="s">
        <v>1593</v>
      </c>
      <c r="C3578" s="6" t="s">
        <v>1155</v>
      </c>
      <c r="D3578" s="6" t="s">
        <v>1164</v>
      </c>
      <c r="E3578" s="6" t="s">
        <v>1167</v>
      </c>
      <c r="G3578" s="6">
        <v>181</v>
      </c>
      <c r="H3578" s="6">
        <v>44</v>
      </c>
      <c r="I3578" s="7">
        <v>58</v>
      </c>
      <c r="K3578" s="7">
        <v>44007749</v>
      </c>
      <c r="L3578" s="6" t="str">
        <f t="shared" si="332"/>
        <v>SK MİSTO  TV ÜNİTESİ  FRN-21011 181x44x58</v>
      </c>
      <c r="M3578" s="12">
        <v>0.3</v>
      </c>
      <c r="N3578" s="12">
        <v>0.25</v>
      </c>
      <c r="O3578" s="8">
        <v>9320</v>
      </c>
      <c r="P3578" s="8">
        <f t="shared" si="333"/>
        <v>6990</v>
      </c>
      <c r="Q3578" s="12">
        <f t="shared" si="334"/>
        <v>14679</v>
      </c>
      <c r="R3578" s="31">
        <f t="shared" si="335"/>
        <v>14600</v>
      </c>
    </row>
    <row r="3579" spans="1:18" ht="21.95" customHeight="1" x14ac:dyDescent="0.2">
      <c r="A3579" s="6" t="s">
        <v>1151</v>
      </c>
      <c r="B3579" s="6" t="s">
        <v>1593</v>
      </c>
      <c r="C3579" s="6" t="s">
        <v>1155</v>
      </c>
      <c r="D3579" s="6" t="s">
        <v>1164</v>
      </c>
      <c r="E3579" s="6" t="s">
        <v>1168</v>
      </c>
      <c r="G3579" s="6">
        <v>150</v>
      </c>
      <c r="H3579" s="6">
        <v>44</v>
      </c>
      <c r="I3579" s="7">
        <v>58</v>
      </c>
      <c r="K3579" s="7">
        <v>44007750</v>
      </c>
      <c r="L3579" s="6" t="str">
        <f t="shared" si="332"/>
        <v>SK MİSTO  TV ÜNİTESİ  FRN-21030 150x44x58</v>
      </c>
      <c r="M3579" s="12">
        <v>0.3</v>
      </c>
      <c r="N3579" s="12">
        <v>0.25</v>
      </c>
      <c r="O3579" s="8">
        <v>8120</v>
      </c>
      <c r="P3579" s="8">
        <f t="shared" si="333"/>
        <v>6090</v>
      </c>
      <c r="Q3579" s="12">
        <f t="shared" si="334"/>
        <v>12789</v>
      </c>
      <c r="R3579" s="31">
        <f t="shared" si="335"/>
        <v>12700</v>
      </c>
    </row>
    <row r="3580" spans="1:18" ht="21.95" customHeight="1" x14ac:dyDescent="0.2">
      <c r="A3580" s="21" t="s">
        <v>1151</v>
      </c>
      <c r="B3580" s="21" t="s">
        <v>1593</v>
      </c>
      <c r="C3580" s="21" t="s">
        <v>1155</v>
      </c>
      <c r="D3580" s="21" t="s">
        <v>1164</v>
      </c>
      <c r="E3580" s="21" t="s">
        <v>1169</v>
      </c>
      <c r="F3580" s="21"/>
      <c r="G3580" s="21">
        <v>150</v>
      </c>
      <c r="H3580" s="21">
        <v>44</v>
      </c>
      <c r="I3580" s="22">
        <v>62</v>
      </c>
      <c r="J3580" s="22"/>
      <c r="K3580" s="22">
        <v>44007751</v>
      </c>
      <c r="L3580" s="21" t="str">
        <f t="shared" si="332"/>
        <v>SK MİSTO  TV ÜNİTESİ  FRN-21012 150x44x62</v>
      </c>
      <c r="M3580" s="23">
        <v>0.3</v>
      </c>
      <c r="N3580" s="23">
        <v>0.25</v>
      </c>
      <c r="O3580" s="23">
        <v>10060</v>
      </c>
      <c r="P3580" s="23">
        <f t="shared" si="333"/>
        <v>7545</v>
      </c>
      <c r="Q3580" s="23">
        <f t="shared" si="334"/>
        <v>15844.5</v>
      </c>
      <c r="R3580" s="32">
        <f t="shared" si="335"/>
        <v>15800</v>
      </c>
    </row>
    <row r="3581" spans="1:18" ht="21.95" customHeight="1" x14ac:dyDescent="0.2">
      <c r="A3581" s="6" t="s">
        <v>1151</v>
      </c>
      <c r="B3581" s="6" t="s">
        <v>1593</v>
      </c>
      <c r="C3581" s="6" t="s">
        <v>1155</v>
      </c>
      <c r="D3581" s="6" t="s">
        <v>660</v>
      </c>
      <c r="E3581" s="6" t="s">
        <v>1170</v>
      </c>
      <c r="G3581" s="6">
        <v>100</v>
      </c>
      <c r="H3581" s="6">
        <v>70</v>
      </c>
      <c r="I3581" s="7">
        <v>44</v>
      </c>
      <c r="K3581" s="7">
        <v>44007752</v>
      </c>
      <c r="L3581" s="6" t="str">
        <f t="shared" si="332"/>
        <v>SK MİSTO  ORTA SEHPA  FRN-21024 100x70x44</v>
      </c>
      <c r="M3581" s="12">
        <v>0.3</v>
      </c>
      <c r="N3581" s="12">
        <v>0.25</v>
      </c>
      <c r="O3581" s="8">
        <v>4260</v>
      </c>
      <c r="P3581" s="8">
        <f t="shared" si="333"/>
        <v>3195</v>
      </c>
      <c r="Q3581" s="12">
        <f t="shared" si="334"/>
        <v>6709.5</v>
      </c>
      <c r="R3581" s="31">
        <f t="shared" si="335"/>
        <v>6700</v>
      </c>
    </row>
    <row r="3582" spans="1:18" ht="21.95" customHeight="1" x14ac:dyDescent="0.2">
      <c r="A3582" s="6" t="s">
        <v>1151</v>
      </c>
      <c r="B3582" s="6" t="s">
        <v>1593</v>
      </c>
      <c r="C3582" s="6" t="s">
        <v>1155</v>
      </c>
      <c r="D3582" s="6" t="s">
        <v>1171</v>
      </c>
      <c r="E3582" s="6" t="s">
        <v>1172</v>
      </c>
      <c r="G3582" s="6">
        <v>125</v>
      </c>
      <c r="H3582" s="6">
        <v>52</v>
      </c>
      <c r="I3582" s="7">
        <v>210</v>
      </c>
      <c r="K3582" s="7">
        <v>44007753</v>
      </c>
      <c r="L3582" s="6" t="str">
        <f t="shared" si="332"/>
        <v>SK MİSTO  KAHVE DOLABI  FRN-21027 125x52x210</v>
      </c>
      <c r="M3582" s="12">
        <v>0.3</v>
      </c>
      <c r="N3582" s="12">
        <v>0.25</v>
      </c>
      <c r="O3582" s="8">
        <v>15600</v>
      </c>
      <c r="P3582" s="8">
        <f t="shared" si="333"/>
        <v>11700</v>
      </c>
      <c r="Q3582" s="12">
        <f t="shared" si="334"/>
        <v>24570</v>
      </c>
      <c r="R3582" s="31">
        <f t="shared" si="335"/>
        <v>24500</v>
      </c>
    </row>
    <row r="3583" spans="1:18" ht="21.95" customHeight="1" x14ac:dyDescent="0.2">
      <c r="A3583" s="21" t="s">
        <v>1151</v>
      </c>
      <c r="B3583" s="21" t="s">
        <v>1593</v>
      </c>
      <c r="C3583" s="21" t="s">
        <v>1155</v>
      </c>
      <c r="D3583" s="21" t="s">
        <v>1171</v>
      </c>
      <c r="E3583" s="21" t="s">
        <v>1173</v>
      </c>
      <c r="F3583" s="21"/>
      <c r="G3583" s="21">
        <v>125</v>
      </c>
      <c r="H3583" s="21">
        <v>52</v>
      </c>
      <c r="I3583" s="22">
        <v>210</v>
      </c>
      <c r="J3583" s="22"/>
      <c r="K3583" s="22">
        <v>44007754</v>
      </c>
      <c r="L3583" s="21" t="str">
        <f t="shared" si="332"/>
        <v>SK MİSTO  KAHVE DOLABI  FRN-21027-1 125x52x210</v>
      </c>
      <c r="M3583" s="23">
        <v>0.3</v>
      </c>
      <c r="N3583" s="23">
        <v>0.25</v>
      </c>
      <c r="O3583" s="23">
        <v>15600</v>
      </c>
      <c r="P3583" s="23">
        <f t="shared" si="333"/>
        <v>11700</v>
      </c>
      <c r="Q3583" s="23">
        <f t="shared" si="334"/>
        <v>24570</v>
      </c>
      <c r="R3583" s="32">
        <f t="shared" si="335"/>
        <v>24500</v>
      </c>
    </row>
    <row r="3584" spans="1:18" ht="21.95" customHeight="1" x14ac:dyDescent="0.2">
      <c r="A3584" s="6" t="s">
        <v>1151</v>
      </c>
      <c r="B3584" s="6" t="s">
        <v>1593</v>
      </c>
      <c r="C3584" s="6" t="s">
        <v>1155</v>
      </c>
      <c r="D3584" s="6" t="s">
        <v>1171</v>
      </c>
      <c r="E3584" s="6" t="s">
        <v>1174</v>
      </c>
      <c r="G3584" s="6">
        <v>80</v>
      </c>
      <c r="H3584" s="6">
        <v>52</v>
      </c>
      <c r="I3584" s="7">
        <v>210</v>
      </c>
      <c r="K3584" s="7">
        <v>44007755</v>
      </c>
      <c r="L3584" s="6" t="str">
        <f t="shared" si="332"/>
        <v>SK MİSTO  KAHVE DOLABI  FRN-21028 80x52x210</v>
      </c>
      <c r="M3584" s="12">
        <v>0.3</v>
      </c>
      <c r="N3584" s="12">
        <v>0.25</v>
      </c>
      <c r="O3584" s="8">
        <v>11700</v>
      </c>
      <c r="P3584" s="8">
        <f t="shared" si="333"/>
        <v>8775</v>
      </c>
      <c r="Q3584" s="12">
        <f t="shared" si="334"/>
        <v>18427.5</v>
      </c>
      <c r="R3584" s="31">
        <f t="shared" si="335"/>
        <v>18400</v>
      </c>
    </row>
    <row r="3585" spans="1:18" ht="21.95" customHeight="1" x14ac:dyDescent="0.2">
      <c r="A3585" s="21" t="s">
        <v>1151</v>
      </c>
      <c r="B3585" s="21" t="s">
        <v>1593</v>
      </c>
      <c r="C3585" s="21" t="s">
        <v>1155</v>
      </c>
      <c r="D3585" s="21" t="s">
        <v>1171</v>
      </c>
      <c r="E3585" s="21" t="s">
        <v>1175</v>
      </c>
      <c r="F3585" s="21"/>
      <c r="G3585" s="21">
        <v>80</v>
      </c>
      <c r="H3585" s="21">
        <v>52</v>
      </c>
      <c r="I3585" s="22">
        <v>210</v>
      </c>
      <c r="J3585" s="22"/>
      <c r="K3585" s="22">
        <v>44007756</v>
      </c>
      <c r="L3585" s="21" t="str">
        <f t="shared" si="332"/>
        <v>SK MİSTO  KAHVE DOLABI  FRN-21028-1 80x52x210</v>
      </c>
      <c r="M3585" s="23">
        <v>0.3</v>
      </c>
      <c r="N3585" s="23">
        <v>0.25</v>
      </c>
      <c r="O3585" s="23">
        <v>11700</v>
      </c>
      <c r="P3585" s="23">
        <f t="shared" si="333"/>
        <v>8775</v>
      </c>
      <c r="Q3585" s="23">
        <f t="shared" si="334"/>
        <v>18427.5</v>
      </c>
      <c r="R3585" s="32">
        <f t="shared" si="335"/>
        <v>18400</v>
      </c>
    </row>
    <row r="3586" spans="1:18" ht="21.95" customHeight="1" x14ac:dyDescent="0.2">
      <c r="A3586" s="21" t="s">
        <v>1151</v>
      </c>
      <c r="B3586" s="21" t="s">
        <v>1593</v>
      </c>
      <c r="C3586" s="21" t="s">
        <v>1155</v>
      </c>
      <c r="D3586" s="21" t="s">
        <v>1171</v>
      </c>
      <c r="E3586" s="21" t="s">
        <v>1176</v>
      </c>
      <c r="F3586" s="21"/>
      <c r="G3586" s="21">
        <v>125</v>
      </c>
      <c r="H3586" s="21">
        <v>52</v>
      </c>
      <c r="I3586" s="22">
        <v>90</v>
      </c>
      <c r="J3586" s="22"/>
      <c r="K3586" s="22">
        <v>44007757</v>
      </c>
      <c r="L3586" s="21" t="str">
        <f t="shared" si="332"/>
        <v>SK MİSTO  KAHVE DOLABI  FRN-21034 125x52x90</v>
      </c>
      <c r="M3586" s="23">
        <v>0.3</v>
      </c>
      <c r="N3586" s="23">
        <v>0.25</v>
      </c>
      <c r="O3586" s="23">
        <v>10100</v>
      </c>
      <c r="P3586" s="23">
        <f t="shared" si="333"/>
        <v>7575</v>
      </c>
      <c r="Q3586" s="23">
        <f t="shared" si="334"/>
        <v>15907.5</v>
      </c>
      <c r="R3586" s="32">
        <f t="shared" si="335"/>
        <v>15900</v>
      </c>
    </row>
    <row r="3587" spans="1:18" ht="21.95" customHeight="1" x14ac:dyDescent="0.2">
      <c r="A3587" s="21" t="s">
        <v>1151</v>
      </c>
      <c r="B3587" s="21" t="s">
        <v>1593</v>
      </c>
      <c r="C3587" s="21" t="s">
        <v>1155</v>
      </c>
      <c r="D3587" s="21" t="s">
        <v>1171</v>
      </c>
      <c r="E3587" s="21" t="s">
        <v>1177</v>
      </c>
      <c r="F3587" s="21"/>
      <c r="G3587" s="21">
        <v>80</v>
      </c>
      <c r="H3587" s="21">
        <v>52</v>
      </c>
      <c r="I3587" s="22">
        <v>90</v>
      </c>
      <c r="J3587" s="22"/>
      <c r="K3587" s="22">
        <v>44007758</v>
      </c>
      <c r="L3587" s="21" t="str">
        <f t="shared" si="332"/>
        <v>SK MİSTO  KAHVE DOLABI  FRN-21035 80x52x90</v>
      </c>
      <c r="M3587" s="23">
        <v>0.3</v>
      </c>
      <c r="N3587" s="23">
        <v>0.25</v>
      </c>
      <c r="O3587" s="23">
        <v>6730</v>
      </c>
      <c r="P3587" s="23">
        <f t="shared" si="333"/>
        <v>5047.5</v>
      </c>
      <c r="Q3587" s="23">
        <f t="shared" si="334"/>
        <v>10599.75</v>
      </c>
      <c r="R3587" s="32">
        <f t="shared" si="335"/>
        <v>10500</v>
      </c>
    </row>
    <row r="3588" spans="1:18" ht="21.95" customHeight="1" x14ac:dyDescent="0.2">
      <c r="A3588" s="6" t="s">
        <v>1151</v>
      </c>
      <c r="B3588" s="6" t="s">
        <v>1593</v>
      </c>
      <c r="C3588" s="6" t="s">
        <v>1155</v>
      </c>
      <c r="D3588" s="6" t="s">
        <v>1178</v>
      </c>
      <c r="E3588" s="6" t="s">
        <v>1179</v>
      </c>
      <c r="G3588" s="6">
        <v>165</v>
      </c>
      <c r="H3588" s="6">
        <v>60</v>
      </c>
      <c r="I3588" s="7">
        <v>196</v>
      </c>
      <c r="K3588" s="7">
        <v>44007759</v>
      </c>
      <c r="L3588" s="6" t="str">
        <f t="shared" si="332"/>
        <v>SK MİSTO  GARDIROP FRN-21001 165x60x196</v>
      </c>
      <c r="M3588" s="12">
        <v>0.3</v>
      </c>
      <c r="N3588" s="12">
        <v>0.25</v>
      </c>
      <c r="O3588" s="8">
        <v>22380</v>
      </c>
      <c r="P3588" s="8">
        <f t="shared" si="333"/>
        <v>16785</v>
      </c>
      <c r="Q3588" s="12">
        <f t="shared" si="334"/>
        <v>35248.5</v>
      </c>
      <c r="R3588" s="31">
        <f t="shared" si="335"/>
        <v>35200</v>
      </c>
    </row>
    <row r="3589" spans="1:18" ht="21.95" customHeight="1" x14ac:dyDescent="0.2">
      <c r="A3589" s="21" t="s">
        <v>1151</v>
      </c>
      <c r="B3589" s="21" t="s">
        <v>1593</v>
      </c>
      <c r="C3589" s="21" t="s">
        <v>1155</v>
      </c>
      <c r="D3589" s="21" t="s">
        <v>1178</v>
      </c>
      <c r="E3589" s="21" t="s">
        <v>1180</v>
      </c>
      <c r="F3589" s="21"/>
      <c r="G3589" s="21">
        <v>186</v>
      </c>
      <c r="H3589" s="21">
        <v>61</v>
      </c>
      <c r="I3589" s="22">
        <v>216</v>
      </c>
      <c r="J3589" s="22"/>
      <c r="K3589" s="22">
        <v>44007760</v>
      </c>
      <c r="L3589" s="21" t="str">
        <f t="shared" si="332"/>
        <v>SK MİSTO  GARDIROP FRN-21003 186x61x216</v>
      </c>
      <c r="M3589" s="23">
        <v>0.3</v>
      </c>
      <c r="N3589" s="23">
        <v>0.25</v>
      </c>
      <c r="O3589" s="23">
        <v>25610</v>
      </c>
      <c r="P3589" s="23">
        <f t="shared" si="333"/>
        <v>19207.5</v>
      </c>
      <c r="Q3589" s="23">
        <f t="shared" si="334"/>
        <v>40335.75</v>
      </c>
      <c r="R3589" s="32">
        <f t="shared" si="335"/>
        <v>40300</v>
      </c>
    </row>
    <row r="3590" spans="1:18" ht="21.95" customHeight="1" x14ac:dyDescent="0.2">
      <c r="A3590" s="6" t="s">
        <v>1151</v>
      </c>
      <c r="B3590" s="6" t="s">
        <v>1593</v>
      </c>
      <c r="C3590" s="6" t="s">
        <v>1155</v>
      </c>
      <c r="D3590" s="6" t="s">
        <v>1178</v>
      </c>
      <c r="E3590" s="6" t="s">
        <v>1181</v>
      </c>
      <c r="G3590" s="6">
        <v>186</v>
      </c>
      <c r="H3590" s="6">
        <v>61</v>
      </c>
      <c r="I3590" s="7">
        <v>216</v>
      </c>
      <c r="K3590" s="7">
        <v>44007761</v>
      </c>
      <c r="L3590" s="6" t="str">
        <f t="shared" si="332"/>
        <v>SK MİSTO  GARDIROP FRN-21004 186x61x216</v>
      </c>
      <c r="M3590" s="12">
        <v>0.3</v>
      </c>
      <c r="N3590" s="12">
        <v>0.25</v>
      </c>
      <c r="O3590" s="8">
        <v>26030</v>
      </c>
      <c r="P3590" s="8">
        <f t="shared" si="333"/>
        <v>19522.5</v>
      </c>
      <c r="Q3590" s="12">
        <f t="shared" si="334"/>
        <v>40997.25</v>
      </c>
      <c r="R3590" s="31">
        <f t="shared" si="335"/>
        <v>40900</v>
      </c>
    </row>
    <row r="3591" spans="1:18" ht="21.95" customHeight="1" x14ac:dyDescent="0.2">
      <c r="A3591" s="6" t="s">
        <v>1151</v>
      </c>
      <c r="B3591" s="6" t="s">
        <v>1593</v>
      </c>
      <c r="C3591" s="6" t="s">
        <v>1155</v>
      </c>
      <c r="D3591" s="6" t="s">
        <v>1178</v>
      </c>
      <c r="E3591" s="6" t="s">
        <v>1182</v>
      </c>
      <c r="G3591" s="6">
        <v>229</v>
      </c>
      <c r="H3591" s="6">
        <v>61</v>
      </c>
      <c r="I3591" s="7">
        <v>216</v>
      </c>
      <c r="K3591" s="7">
        <v>44007762</v>
      </c>
      <c r="L3591" s="6" t="str">
        <f t="shared" si="332"/>
        <v>SK MİSTO  GARDIROP FRN-21005 229x61x216</v>
      </c>
      <c r="M3591" s="12">
        <v>0.3</v>
      </c>
      <c r="N3591" s="12">
        <v>0.25</v>
      </c>
      <c r="O3591" s="8">
        <v>28470</v>
      </c>
      <c r="P3591" s="8">
        <f t="shared" si="333"/>
        <v>21352.5</v>
      </c>
      <c r="Q3591" s="12">
        <f t="shared" si="334"/>
        <v>44840.25</v>
      </c>
      <c r="R3591" s="31">
        <f t="shared" si="335"/>
        <v>44800</v>
      </c>
    </row>
    <row r="3592" spans="1:18" ht="21.95" customHeight="1" x14ac:dyDescent="0.2">
      <c r="A3592" s="21" t="s">
        <v>1151</v>
      </c>
      <c r="B3592" s="21" t="s">
        <v>1593</v>
      </c>
      <c r="C3592" s="21" t="s">
        <v>1155</v>
      </c>
      <c r="D3592" s="21" t="s">
        <v>1178</v>
      </c>
      <c r="E3592" s="21" t="s">
        <v>1183</v>
      </c>
      <c r="F3592" s="21"/>
      <c r="G3592" s="21">
        <v>266</v>
      </c>
      <c r="H3592" s="21">
        <v>61</v>
      </c>
      <c r="I3592" s="22">
        <v>216</v>
      </c>
      <c r="J3592" s="22"/>
      <c r="K3592" s="22">
        <v>44007763</v>
      </c>
      <c r="L3592" s="21" t="str">
        <f t="shared" si="332"/>
        <v>SK MİSTO  GARDIROP FRN-21006 266x61x216</v>
      </c>
      <c r="M3592" s="23">
        <v>0.3</v>
      </c>
      <c r="N3592" s="23">
        <v>0.25</v>
      </c>
      <c r="O3592" s="23">
        <v>32570</v>
      </c>
      <c r="P3592" s="23">
        <f t="shared" si="333"/>
        <v>24427.5</v>
      </c>
      <c r="Q3592" s="23">
        <f t="shared" si="334"/>
        <v>51297.75</v>
      </c>
      <c r="R3592" s="32">
        <f t="shared" si="335"/>
        <v>51200</v>
      </c>
    </row>
    <row r="3593" spans="1:18" ht="21.95" customHeight="1" x14ac:dyDescent="0.2">
      <c r="A3593" s="6" t="s">
        <v>1151</v>
      </c>
      <c r="B3593" s="6" t="s">
        <v>1593</v>
      </c>
      <c r="C3593" s="6" t="s">
        <v>1155</v>
      </c>
      <c r="D3593" s="6" t="s">
        <v>1178</v>
      </c>
      <c r="E3593" s="6" t="s">
        <v>1184</v>
      </c>
      <c r="G3593" s="6">
        <v>273</v>
      </c>
      <c r="H3593" s="6">
        <v>61</v>
      </c>
      <c r="I3593" s="7">
        <v>216</v>
      </c>
      <c r="K3593" s="7">
        <v>44007764</v>
      </c>
      <c r="L3593" s="6" t="str">
        <f t="shared" si="332"/>
        <v>SK MİSTO  GARDIROP FRN-21007 273x61x216</v>
      </c>
      <c r="M3593" s="12">
        <v>0.3</v>
      </c>
      <c r="N3593" s="12">
        <v>0.25</v>
      </c>
      <c r="O3593" s="8">
        <v>34320</v>
      </c>
      <c r="P3593" s="8">
        <f t="shared" si="333"/>
        <v>25740</v>
      </c>
      <c r="Q3593" s="12">
        <f t="shared" si="334"/>
        <v>54054</v>
      </c>
      <c r="R3593" s="31">
        <f t="shared" si="335"/>
        <v>54000</v>
      </c>
    </row>
    <row r="3594" spans="1:18" ht="21.95" customHeight="1" x14ac:dyDescent="0.2">
      <c r="A3594" s="6" t="s">
        <v>1151</v>
      </c>
      <c r="B3594" s="6" t="s">
        <v>1593</v>
      </c>
      <c r="C3594" s="6" t="s">
        <v>1155</v>
      </c>
      <c r="D3594" s="6" t="s">
        <v>78</v>
      </c>
      <c r="E3594" s="6" t="s">
        <v>1185</v>
      </c>
      <c r="G3594" s="6">
        <v>110</v>
      </c>
      <c r="H3594" s="6">
        <v>44</v>
      </c>
      <c r="I3594" s="7">
        <v>103</v>
      </c>
      <c r="K3594" s="7">
        <v>44007765</v>
      </c>
      <c r="L3594" s="6" t="str">
        <f t="shared" si="332"/>
        <v>SK MİSTO  ŞİFONYER FRN-21013 110x44x103</v>
      </c>
      <c r="M3594" s="12">
        <v>0.3</v>
      </c>
      <c r="N3594" s="12">
        <v>0.25</v>
      </c>
      <c r="O3594" s="8">
        <v>10920</v>
      </c>
      <c r="P3594" s="8">
        <f t="shared" si="333"/>
        <v>8190</v>
      </c>
      <c r="Q3594" s="12">
        <f t="shared" si="334"/>
        <v>17199</v>
      </c>
      <c r="R3594" s="31">
        <f t="shared" si="335"/>
        <v>17100</v>
      </c>
    </row>
    <row r="3595" spans="1:18" ht="21.95" customHeight="1" x14ac:dyDescent="0.2">
      <c r="A3595" s="21" t="s">
        <v>1151</v>
      </c>
      <c r="B3595" s="21" t="s">
        <v>1593</v>
      </c>
      <c r="C3595" s="21" t="s">
        <v>1155</v>
      </c>
      <c r="D3595" s="21" t="s">
        <v>78</v>
      </c>
      <c r="E3595" s="21" t="s">
        <v>1186</v>
      </c>
      <c r="F3595" s="21"/>
      <c r="G3595" s="21">
        <v>155</v>
      </c>
      <c r="H3595" s="21">
        <v>44</v>
      </c>
      <c r="I3595" s="22">
        <v>92</v>
      </c>
      <c r="J3595" s="22"/>
      <c r="K3595" s="22">
        <v>44007766</v>
      </c>
      <c r="L3595" s="21" t="str">
        <f t="shared" si="332"/>
        <v>SK MİSTO  ŞİFONYER FRN-21014 155x44x92</v>
      </c>
      <c r="M3595" s="23">
        <v>0.3</v>
      </c>
      <c r="N3595" s="23">
        <v>0.25</v>
      </c>
      <c r="O3595" s="23">
        <v>12790</v>
      </c>
      <c r="P3595" s="23">
        <f t="shared" si="333"/>
        <v>9592.5</v>
      </c>
      <c r="Q3595" s="23">
        <f t="shared" si="334"/>
        <v>20144.25</v>
      </c>
      <c r="R3595" s="32">
        <f t="shared" si="335"/>
        <v>20100</v>
      </c>
    </row>
    <row r="3596" spans="1:18" ht="21.95" customHeight="1" x14ac:dyDescent="0.2">
      <c r="A3596" s="6" t="s">
        <v>1151</v>
      </c>
      <c r="B3596" s="6" t="s">
        <v>1593</v>
      </c>
      <c r="C3596" s="6" t="s">
        <v>1155</v>
      </c>
      <c r="D3596" s="6" t="s">
        <v>78</v>
      </c>
      <c r="E3596" s="6" t="s">
        <v>1187</v>
      </c>
      <c r="G3596" s="6">
        <v>63</v>
      </c>
      <c r="H3596" s="6">
        <v>42</v>
      </c>
      <c r="I3596" s="7">
        <v>116</v>
      </c>
      <c r="K3596" s="7">
        <v>44007767</v>
      </c>
      <c r="L3596" s="6" t="str">
        <f t="shared" si="332"/>
        <v>SK MİSTO  ŞİFONYER FRN-21031 63x42x116</v>
      </c>
      <c r="M3596" s="12">
        <v>0.3</v>
      </c>
      <c r="N3596" s="12">
        <v>0.25</v>
      </c>
      <c r="O3596" s="8">
        <v>8630</v>
      </c>
      <c r="P3596" s="8">
        <f t="shared" si="333"/>
        <v>6472.5</v>
      </c>
      <c r="Q3596" s="12">
        <f t="shared" si="334"/>
        <v>13592.25</v>
      </c>
      <c r="R3596" s="31">
        <f t="shared" si="335"/>
        <v>13500</v>
      </c>
    </row>
    <row r="3597" spans="1:18" ht="21.95" customHeight="1" x14ac:dyDescent="0.2">
      <c r="A3597" s="6" t="s">
        <v>1151</v>
      </c>
      <c r="B3597" s="6" t="s">
        <v>1593</v>
      </c>
      <c r="C3597" s="6" t="s">
        <v>1155</v>
      </c>
      <c r="D3597" s="6" t="s">
        <v>1188</v>
      </c>
      <c r="E3597" s="6" t="s">
        <v>1189</v>
      </c>
      <c r="G3597" s="6">
        <v>132</v>
      </c>
      <c r="H3597" s="6">
        <v>50</v>
      </c>
      <c r="I3597" s="7">
        <v>91</v>
      </c>
      <c r="K3597" s="7">
        <v>44007768</v>
      </c>
      <c r="L3597" s="6" t="str">
        <f t="shared" si="332"/>
        <v>SK MİSTO  MAKYAJ MASASI  FRN-21032 132x50x91</v>
      </c>
      <c r="M3597" s="12">
        <v>0.3</v>
      </c>
      <c r="N3597" s="12">
        <v>0.25</v>
      </c>
      <c r="O3597" s="8">
        <v>7460</v>
      </c>
      <c r="P3597" s="8">
        <f t="shared" si="333"/>
        <v>5595</v>
      </c>
      <c r="Q3597" s="12">
        <f t="shared" si="334"/>
        <v>11749.5</v>
      </c>
      <c r="R3597" s="31">
        <f t="shared" si="335"/>
        <v>11700</v>
      </c>
    </row>
    <row r="3598" spans="1:18" ht="21.95" customHeight="1" x14ac:dyDescent="0.2">
      <c r="A3598" s="6"/>
      <c r="B3598" s="6" t="s">
        <v>1593</v>
      </c>
      <c r="C3598" s="6" t="s">
        <v>1155</v>
      </c>
      <c r="D3598" s="6" t="s">
        <v>1972</v>
      </c>
      <c r="E3598" s="6" t="s">
        <v>1973</v>
      </c>
      <c r="G3598" s="6">
        <v>60</v>
      </c>
      <c r="H3598" s="6"/>
      <c r="I3598" s="7">
        <v>60</v>
      </c>
      <c r="K3598" s="7">
        <v>44007769</v>
      </c>
      <c r="L3598" s="6" t="str">
        <f>B3598&amp;" "&amp;C3598&amp;" "&amp;D3598&amp;" "&amp;E3598&amp;" "&amp;G3598&amp;"x"&amp;I3598</f>
        <v>SK MİSTO  MAKYAJ MASASI AYNASI  FRN-21032-A1 60x60</v>
      </c>
      <c r="M3598" s="12"/>
      <c r="N3598" s="12"/>
      <c r="P3598" s="8"/>
      <c r="Q3598" s="12"/>
    </row>
    <row r="3599" spans="1:18" ht="21.95" customHeight="1" x14ac:dyDescent="0.2">
      <c r="A3599" s="21" t="s">
        <v>1151</v>
      </c>
      <c r="B3599" s="21" t="s">
        <v>1593</v>
      </c>
      <c r="C3599" s="21" t="s">
        <v>1155</v>
      </c>
      <c r="D3599" s="21" t="s">
        <v>362</v>
      </c>
      <c r="E3599" s="21" t="s">
        <v>1190</v>
      </c>
      <c r="F3599" s="21"/>
      <c r="G3599" s="21">
        <v>54</v>
      </c>
      <c r="H3599" s="21">
        <v>44</v>
      </c>
      <c r="I3599" s="22">
        <v>68</v>
      </c>
      <c r="J3599" s="22"/>
      <c r="K3599" s="22">
        <v>44007770</v>
      </c>
      <c r="L3599" s="21" t="str">
        <f t="shared" ref="L3599:L3630" si="336">B3599&amp;" "&amp;C3599&amp;" "&amp;D3599&amp;" "&amp;E3599&amp;" "&amp;G3599&amp;"x"&amp;H3599&amp;"x"&amp;I3599</f>
        <v>SK MİSTO  KOMODİN FRN-21015 54x44x68</v>
      </c>
      <c r="M3599" s="23">
        <v>0.3</v>
      </c>
      <c r="N3599" s="23">
        <v>0.25</v>
      </c>
      <c r="O3599" s="23">
        <v>4280</v>
      </c>
      <c r="P3599" s="23">
        <f>O3599*(1-N3599)</f>
        <v>3210</v>
      </c>
      <c r="Q3599" s="23">
        <f>O3599*(1-N3599)*2.1</f>
        <v>6741</v>
      </c>
      <c r="R3599" s="32">
        <f>ROUNDDOWN(Q3599,-2)</f>
        <v>6700</v>
      </c>
    </row>
    <row r="3600" spans="1:18" ht="21.95" customHeight="1" x14ac:dyDescent="0.2">
      <c r="A3600" s="6" t="s">
        <v>1151</v>
      </c>
      <c r="B3600" s="6" t="s">
        <v>1593</v>
      </c>
      <c r="C3600" s="6" t="s">
        <v>1155</v>
      </c>
      <c r="D3600" s="6" t="s">
        <v>362</v>
      </c>
      <c r="E3600" s="6" t="s">
        <v>1191</v>
      </c>
      <c r="G3600" s="6">
        <v>60</v>
      </c>
      <c r="H3600" s="6">
        <v>44</v>
      </c>
      <c r="I3600" s="7">
        <v>55</v>
      </c>
      <c r="K3600" s="7">
        <v>44007771</v>
      </c>
      <c r="L3600" s="6" t="str">
        <f t="shared" si="336"/>
        <v>SK MİSTO  KOMODİN FRN-21016 60x44x55</v>
      </c>
      <c r="M3600" s="12">
        <v>0.3</v>
      </c>
      <c r="N3600" s="12">
        <v>0.25</v>
      </c>
      <c r="O3600" s="8">
        <v>4300</v>
      </c>
      <c r="P3600" s="8">
        <f>O3600*(1-N3600)</f>
        <v>3225</v>
      </c>
      <c r="Q3600" s="12">
        <f>O3600*(1-N3600)*2.1</f>
        <v>6772.5</v>
      </c>
      <c r="R3600" s="31">
        <f>ROUNDDOWN(Q3600,-2)</f>
        <v>6700</v>
      </c>
    </row>
    <row r="3601" spans="1:18" ht="21.95" customHeight="1" x14ac:dyDescent="0.2">
      <c r="A3601" s="6" t="s">
        <v>1151</v>
      </c>
      <c r="B3601" s="6" t="s">
        <v>1593</v>
      </c>
      <c r="C3601" s="6" t="s">
        <v>1155</v>
      </c>
      <c r="D3601" s="6" t="s">
        <v>362</v>
      </c>
      <c r="E3601" s="6" t="s">
        <v>1192</v>
      </c>
      <c r="G3601" s="6">
        <v>60</v>
      </c>
      <c r="H3601" s="6">
        <v>44</v>
      </c>
      <c r="I3601" s="7">
        <v>48</v>
      </c>
      <c r="K3601" s="7">
        <v>44007772</v>
      </c>
      <c r="L3601" s="6" t="str">
        <f t="shared" si="336"/>
        <v>SK MİSTO  KOMODİN FRN-21017 60x44x48</v>
      </c>
      <c r="M3601" s="12">
        <v>0.3</v>
      </c>
      <c r="N3601" s="12">
        <v>0.25</v>
      </c>
      <c r="O3601" s="8">
        <v>3490</v>
      </c>
      <c r="P3601" s="8">
        <f>O3601*(1-N3601)</f>
        <v>2617.5</v>
      </c>
      <c r="Q3601" s="12">
        <f>O3601*(1-N3601)*2.1</f>
        <v>5496.75</v>
      </c>
      <c r="R3601" s="31">
        <f>ROUNDDOWN(Q3601,-2)</f>
        <v>5400</v>
      </c>
    </row>
    <row r="3602" spans="1:18" ht="21.95" customHeight="1" x14ac:dyDescent="0.2">
      <c r="A3602" s="6"/>
      <c r="B3602" s="6" t="s">
        <v>1593</v>
      </c>
      <c r="C3602" s="6" t="s">
        <v>1155</v>
      </c>
      <c r="D3602" s="6" t="s">
        <v>1974</v>
      </c>
      <c r="E3602" s="6" t="s">
        <v>1975</v>
      </c>
      <c r="F3602" s="6"/>
      <c r="G3602" s="6">
        <v>168</v>
      </c>
      <c r="H3602" s="6">
        <v>10</v>
      </c>
      <c r="I3602" s="9">
        <v>124</v>
      </c>
      <c r="J3602" s="9"/>
      <c r="K3602" s="7">
        <v>44007773</v>
      </c>
      <c r="L3602" s="6" t="str">
        <f t="shared" si="336"/>
        <v>SK MİSTO  KARYOLA BAŞLIĞI  FRN-21019-160B 168x10x124</v>
      </c>
      <c r="M3602" s="12"/>
      <c r="N3602" s="12"/>
      <c r="O3602" s="12"/>
      <c r="P3602" s="12"/>
      <c r="Q3602" s="12"/>
      <c r="R3602" s="33"/>
    </row>
    <row r="3603" spans="1:18" ht="21.95" customHeight="1" x14ac:dyDescent="0.2">
      <c r="A3603" s="6" t="s">
        <v>1151</v>
      </c>
      <c r="B3603" s="6" t="s">
        <v>1593</v>
      </c>
      <c r="C3603" s="6" t="s">
        <v>1155</v>
      </c>
      <c r="D3603" s="6" t="s">
        <v>1193</v>
      </c>
      <c r="E3603" s="6" t="s">
        <v>1194</v>
      </c>
      <c r="F3603" s="6"/>
      <c r="G3603" s="6">
        <v>187</v>
      </c>
      <c r="H3603" s="6">
        <v>215</v>
      </c>
      <c r="I3603" s="9">
        <v>127</v>
      </c>
      <c r="J3603" s="9"/>
      <c r="K3603" s="7">
        <v>44007774</v>
      </c>
      <c r="L3603" s="6" t="str">
        <f t="shared" si="336"/>
        <v>SK MİSTO  BAŞLIKLI KARYOLA FRN-21019 187x215x127</v>
      </c>
      <c r="M3603" s="12">
        <v>0.3</v>
      </c>
      <c r="N3603" s="12">
        <v>0.25</v>
      </c>
      <c r="O3603" s="12">
        <v>14440</v>
      </c>
      <c r="P3603" s="12">
        <f>O3603*(1-N3603)</f>
        <v>10830</v>
      </c>
      <c r="Q3603" s="12">
        <f>O3603*(1-N3603)*2.1</f>
        <v>22743</v>
      </c>
      <c r="R3603" s="33">
        <f>ROUNDDOWN(Q3603,-2)</f>
        <v>22700</v>
      </c>
    </row>
    <row r="3604" spans="1:18" ht="21.95" customHeight="1" x14ac:dyDescent="0.2">
      <c r="A3604" s="6" t="s">
        <v>1151</v>
      </c>
      <c r="B3604" s="6" t="s">
        <v>1593</v>
      </c>
      <c r="C3604" s="6" t="s">
        <v>1155</v>
      </c>
      <c r="D3604" s="6" t="s">
        <v>1193</v>
      </c>
      <c r="E3604" s="6" t="s">
        <v>1195</v>
      </c>
      <c r="F3604" s="6"/>
      <c r="G3604" s="6">
        <v>117</v>
      </c>
      <c r="H3604" s="6">
        <v>215</v>
      </c>
      <c r="I3604" s="9">
        <v>123</v>
      </c>
      <c r="J3604" s="9"/>
      <c r="K3604" s="7">
        <v>44007775</v>
      </c>
      <c r="L3604" s="6" t="str">
        <f t="shared" si="336"/>
        <v>SK MİSTO  BAŞLIKLI KARYOLA FRN-21018 117x215x123</v>
      </c>
      <c r="M3604" s="12">
        <v>0.3</v>
      </c>
      <c r="N3604" s="12">
        <v>0.25</v>
      </c>
      <c r="O3604" s="12">
        <v>10580</v>
      </c>
      <c r="P3604" s="12">
        <f>O3604*(1-N3604)</f>
        <v>7935</v>
      </c>
      <c r="Q3604" s="12">
        <f>O3604*(1-N3604)*2.1</f>
        <v>16663.5</v>
      </c>
      <c r="R3604" s="33">
        <f>ROUNDDOWN(Q3604,-2)</f>
        <v>16600</v>
      </c>
    </row>
    <row r="3605" spans="1:18" ht="21.95" customHeight="1" x14ac:dyDescent="0.2">
      <c r="A3605" s="6"/>
      <c r="B3605" s="6" t="s">
        <v>1593</v>
      </c>
      <c r="C3605" s="6" t="s">
        <v>1155</v>
      </c>
      <c r="D3605" s="6" t="s">
        <v>1974</v>
      </c>
      <c r="E3605" s="6" t="s">
        <v>1981</v>
      </c>
      <c r="G3605" s="6">
        <v>98</v>
      </c>
      <c r="H3605" s="6">
        <v>10</v>
      </c>
      <c r="I3605" s="7">
        <v>124</v>
      </c>
      <c r="K3605" s="7">
        <v>44007776</v>
      </c>
      <c r="L3605" s="6" t="str">
        <f t="shared" si="336"/>
        <v>SK MİSTO  KARYOLA BAŞLIĞI  FRN-21018-90B 98x10x124</v>
      </c>
      <c r="M3605" s="12"/>
      <c r="N3605" s="12"/>
      <c r="P3605" s="8"/>
      <c r="Q3605" s="12"/>
    </row>
    <row r="3606" spans="1:18" ht="21.95" customHeight="1" x14ac:dyDescent="0.2">
      <c r="A3606" s="6" t="s">
        <v>1151</v>
      </c>
      <c r="B3606" s="6" t="s">
        <v>1593</v>
      </c>
      <c r="C3606" s="6" t="s">
        <v>1155</v>
      </c>
      <c r="D3606" s="6" t="s">
        <v>1196</v>
      </c>
      <c r="E3606" s="6" t="s">
        <v>1197</v>
      </c>
      <c r="G3606" s="6">
        <v>132</v>
      </c>
      <c r="H3606" s="6">
        <v>50</v>
      </c>
      <c r="I3606" s="7">
        <v>80</v>
      </c>
      <c r="K3606" s="7">
        <v>44007777</v>
      </c>
      <c r="L3606" s="6" t="str">
        <f t="shared" si="336"/>
        <v>SK MİSTO  ÇALIŞMA MASASI  FRN-21033 132x50x80</v>
      </c>
      <c r="M3606" s="12">
        <v>0.3</v>
      </c>
      <c r="N3606" s="12">
        <v>0.25</v>
      </c>
      <c r="O3606" s="8">
        <v>6680</v>
      </c>
      <c r="P3606" s="8">
        <f t="shared" ref="P3606:P3619" si="337">O3606*(1-N3606)</f>
        <v>5010</v>
      </c>
      <c r="Q3606" s="12">
        <f t="shared" ref="Q3606:Q3619" si="338">O3606*(1-N3606)*2.1</f>
        <v>10521</v>
      </c>
      <c r="R3606" s="31">
        <f t="shared" ref="R3606:R3619" si="339">ROUNDDOWN(Q3606,-2)</f>
        <v>10500</v>
      </c>
    </row>
    <row r="3607" spans="1:18" ht="21.95" customHeight="1" x14ac:dyDescent="0.2">
      <c r="A3607" s="21" t="s">
        <v>1151</v>
      </c>
      <c r="B3607" s="21" t="s">
        <v>1593</v>
      </c>
      <c r="C3607" s="21" t="s">
        <v>1198</v>
      </c>
      <c r="D3607" s="21" t="s">
        <v>194</v>
      </c>
      <c r="E3607" s="21" t="s">
        <v>1199</v>
      </c>
      <c r="F3607" s="21"/>
      <c r="G3607" s="21">
        <v>200</v>
      </c>
      <c r="H3607" s="21">
        <v>44</v>
      </c>
      <c r="I3607" s="22">
        <v>82</v>
      </c>
      <c r="J3607" s="22"/>
      <c r="K3607" s="22">
        <v>44007778</v>
      </c>
      <c r="L3607" s="21" t="str">
        <f t="shared" si="336"/>
        <v>SK HELEN  KONSOL  FRN-20009 200x44x82</v>
      </c>
      <c r="M3607" s="23">
        <v>0.3</v>
      </c>
      <c r="N3607" s="23">
        <v>0.25</v>
      </c>
      <c r="O3607" s="23">
        <v>8090</v>
      </c>
      <c r="P3607" s="23">
        <f t="shared" si="337"/>
        <v>6067.5</v>
      </c>
      <c r="Q3607" s="23">
        <f t="shared" si="338"/>
        <v>12741.75</v>
      </c>
      <c r="R3607" s="32">
        <f t="shared" si="339"/>
        <v>12700</v>
      </c>
    </row>
    <row r="3608" spans="1:18" ht="21.95" customHeight="1" x14ac:dyDescent="0.2">
      <c r="A3608" s="6" t="s">
        <v>1151</v>
      </c>
      <c r="B3608" s="6" t="s">
        <v>1593</v>
      </c>
      <c r="C3608" s="6" t="s">
        <v>1198</v>
      </c>
      <c r="D3608" s="6" t="s">
        <v>49</v>
      </c>
      <c r="E3608" s="6" t="s">
        <v>1200</v>
      </c>
      <c r="G3608" s="6">
        <v>180</v>
      </c>
      <c r="H3608" s="6">
        <v>44</v>
      </c>
      <c r="I3608" s="7">
        <v>82</v>
      </c>
      <c r="K3608" s="7">
        <v>44007779</v>
      </c>
      <c r="L3608" s="6" t="str">
        <f t="shared" si="336"/>
        <v>SK HELEN  KONSOL FRN-20010 180x44x82</v>
      </c>
      <c r="M3608" s="12">
        <v>0.3</v>
      </c>
      <c r="N3608" s="12">
        <v>0.25</v>
      </c>
      <c r="O3608" s="8">
        <v>7560</v>
      </c>
      <c r="P3608" s="8">
        <f t="shared" si="337"/>
        <v>5670</v>
      </c>
      <c r="Q3608" s="12">
        <f t="shared" si="338"/>
        <v>11907</v>
      </c>
      <c r="R3608" s="31">
        <f t="shared" si="339"/>
        <v>11900</v>
      </c>
    </row>
    <row r="3609" spans="1:18" ht="21.95" customHeight="1" x14ac:dyDescent="0.2">
      <c r="A3609" s="21" t="s">
        <v>1151</v>
      </c>
      <c r="B3609" s="21" t="s">
        <v>1593</v>
      </c>
      <c r="C3609" s="21" t="s">
        <v>1198</v>
      </c>
      <c r="D3609" s="21" t="s">
        <v>49</v>
      </c>
      <c r="E3609" s="21" t="s">
        <v>1201</v>
      </c>
      <c r="F3609" s="21"/>
      <c r="G3609" s="21">
        <v>150</v>
      </c>
      <c r="H3609" s="21">
        <v>44</v>
      </c>
      <c r="I3609" s="22">
        <v>82</v>
      </c>
      <c r="J3609" s="22"/>
      <c r="K3609" s="22">
        <v>44007780</v>
      </c>
      <c r="L3609" s="21" t="str">
        <f t="shared" si="336"/>
        <v>SK HELEN  KONSOL FRN-20008 150x44x82</v>
      </c>
      <c r="M3609" s="23">
        <v>0.3</v>
      </c>
      <c r="N3609" s="23">
        <v>0.25</v>
      </c>
      <c r="O3609" s="23">
        <v>6720</v>
      </c>
      <c r="P3609" s="23">
        <f t="shared" si="337"/>
        <v>5040</v>
      </c>
      <c r="Q3609" s="23">
        <f t="shared" si="338"/>
        <v>10584</v>
      </c>
      <c r="R3609" s="32">
        <f t="shared" si="339"/>
        <v>10500</v>
      </c>
    </row>
    <row r="3610" spans="1:18" ht="21.95" customHeight="1" x14ac:dyDescent="0.2">
      <c r="A3610" s="21" t="s">
        <v>1151</v>
      </c>
      <c r="B3610" s="21" t="s">
        <v>1593</v>
      </c>
      <c r="C3610" s="21" t="s">
        <v>1198</v>
      </c>
      <c r="D3610" s="21" t="s">
        <v>49</v>
      </c>
      <c r="E3610" s="21" t="s">
        <v>1202</v>
      </c>
      <c r="F3610" s="21"/>
      <c r="G3610" s="21">
        <v>160</v>
      </c>
      <c r="H3610" s="21">
        <v>44</v>
      </c>
      <c r="I3610" s="22">
        <v>82</v>
      </c>
      <c r="J3610" s="22"/>
      <c r="K3610" s="22">
        <v>44007781</v>
      </c>
      <c r="L3610" s="21" t="str">
        <f t="shared" si="336"/>
        <v>SK HELEN  KONSOL FRN-20007 160x44x82</v>
      </c>
      <c r="M3610" s="23">
        <v>0.3</v>
      </c>
      <c r="N3610" s="23">
        <v>0.25</v>
      </c>
      <c r="O3610" s="23">
        <v>5900</v>
      </c>
      <c r="P3610" s="23">
        <f t="shared" si="337"/>
        <v>4425</v>
      </c>
      <c r="Q3610" s="23">
        <f t="shared" si="338"/>
        <v>9292.5</v>
      </c>
      <c r="R3610" s="32">
        <f t="shared" si="339"/>
        <v>9200</v>
      </c>
    </row>
    <row r="3611" spans="1:18" ht="21.95" customHeight="1" x14ac:dyDescent="0.2">
      <c r="A3611" s="6" t="s">
        <v>1151</v>
      </c>
      <c r="B3611" s="6" t="s">
        <v>1593</v>
      </c>
      <c r="C3611" s="6" t="s">
        <v>1198</v>
      </c>
      <c r="D3611" s="6" t="s">
        <v>1203</v>
      </c>
      <c r="E3611" s="6" t="s">
        <v>1204</v>
      </c>
      <c r="G3611" s="6">
        <v>83</v>
      </c>
      <c r="H3611" s="6">
        <v>47</v>
      </c>
      <c r="I3611" s="7">
        <v>194</v>
      </c>
      <c r="K3611" s="7">
        <v>44007782</v>
      </c>
      <c r="L3611" s="6" t="str">
        <f t="shared" si="336"/>
        <v>SK HELEN  KİTAPLIK BÜFE  FRN-20070 83x47x194</v>
      </c>
      <c r="M3611" s="12">
        <v>0.3</v>
      </c>
      <c r="N3611" s="12">
        <v>0.25</v>
      </c>
      <c r="O3611" s="8">
        <v>8350</v>
      </c>
      <c r="P3611" s="8">
        <f t="shared" si="337"/>
        <v>6262.5</v>
      </c>
      <c r="Q3611" s="12">
        <f t="shared" si="338"/>
        <v>13151.25</v>
      </c>
      <c r="R3611" s="31">
        <f t="shared" si="339"/>
        <v>13100</v>
      </c>
    </row>
    <row r="3612" spans="1:18" ht="21.95" customHeight="1" x14ac:dyDescent="0.2">
      <c r="A3612" s="21" t="s">
        <v>1151</v>
      </c>
      <c r="B3612" s="21" t="s">
        <v>1593</v>
      </c>
      <c r="C3612" s="21" t="s">
        <v>1198</v>
      </c>
      <c r="D3612" s="21" t="s">
        <v>1203</v>
      </c>
      <c r="E3612" s="21" t="s">
        <v>1205</v>
      </c>
      <c r="F3612" s="21"/>
      <c r="G3612" s="21">
        <v>130</v>
      </c>
      <c r="H3612" s="21">
        <v>44</v>
      </c>
      <c r="I3612" s="22">
        <v>136</v>
      </c>
      <c r="J3612" s="22"/>
      <c r="K3612" s="22">
        <v>44007783</v>
      </c>
      <c r="L3612" s="21" t="str">
        <f t="shared" si="336"/>
        <v>SK HELEN  KİTAPLIK BÜFE  FRN-20071 130x44x136</v>
      </c>
      <c r="M3612" s="23">
        <v>0.3</v>
      </c>
      <c r="N3612" s="23">
        <v>0.25</v>
      </c>
      <c r="O3612" s="23">
        <v>10210</v>
      </c>
      <c r="P3612" s="23">
        <f t="shared" si="337"/>
        <v>7657.5</v>
      </c>
      <c r="Q3612" s="23">
        <f t="shared" si="338"/>
        <v>16080.75</v>
      </c>
      <c r="R3612" s="32">
        <f t="shared" si="339"/>
        <v>16000</v>
      </c>
    </row>
    <row r="3613" spans="1:18" ht="21.95" customHeight="1" x14ac:dyDescent="0.2">
      <c r="A3613" s="6" t="s">
        <v>1151</v>
      </c>
      <c r="B3613" s="6" t="s">
        <v>1593</v>
      </c>
      <c r="C3613" s="6" t="s">
        <v>1198</v>
      </c>
      <c r="D3613" s="6" t="s">
        <v>1203</v>
      </c>
      <c r="E3613" s="6" t="s">
        <v>1206</v>
      </c>
      <c r="G3613" s="6">
        <v>83</v>
      </c>
      <c r="H3613" s="6">
        <v>35</v>
      </c>
      <c r="I3613" s="7">
        <v>194</v>
      </c>
      <c r="K3613" s="7">
        <v>44007784</v>
      </c>
      <c r="L3613" s="6" t="str">
        <f t="shared" si="336"/>
        <v>SK HELEN  KİTAPLIK BÜFE  FRN-20069 83x35x194</v>
      </c>
      <c r="M3613" s="12">
        <v>0.3</v>
      </c>
      <c r="N3613" s="12">
        <v>0.25</v>
      </c>
      <c r="O3613" s="8">
        <v>9710</v>
      </c>
      <c r="P3613" s="8">
        <f t="shared" si="337"/>
        <v>7282.5</v>
      </c>
      <c r="Q3613" s="12">
        <f t="shared" si="338"/>
        <v>15293.25</v>
      </c>
      <c r="R3613" s="31">
        <f t="shared" si="339"/>
        <v>15200</v>
      </c>
    </row>
    <row r="3614" spans="1:18" ht="21.95" customHeight="1" x14ac:dyDescent="0.2">
      <c r="A3614" s="6" t="s">
        <v>1151</v>
      </c>
      <c r="B3614" s="6" t="s">
        <v>1593</v>
      </c>
      <c r="C3614" s="6" t="s">
        <v>1198</v>
      </c>
      <c r="D3614" s="6" t="s">
        <v>1203</v>
      </c>
      <c r="E3614" s="6" t="s">
        <v>1207</v>
      </c>
      <c r="G3614" s="6">
        <v>83</v>
      </c>
      <c r="H3614" s="6">
        <v>35</v>
      </c>
      <c r="I3614" s="7">
        <v>194</v>
      </c>
      <c r="K3614" s="7">
        <v>44007785</v>
      </c>
      <c r="L3614" s="6" t="str">
        <f t="shared" si="336"/>
        <v>SK HELEN  KİTAPLIK BÜFE  FRN-20068 83x35x194</v>
      </c>
      <c r="M3614" s="12">
        <v>0.3</v>
      </c>
      <c r="N3614" s="12">
        <v>0.25</v>
      </c>
      <c r="O3614" s="8">
        <v>5200</v>
      </c>
      <c r="P3614" s="8">
        <f t="shared" si="337"/>
        <v>3900</v>
      </c>
      <c r="Q3614" s="12">
        <f t="shared" si="338"/>
        <v>8190</v>
      </c>
      <c r="R3614" s="31">
        <f t="shared" si="339"/>
        <v>8100</v>
      </c>
    </row>
    <row r="3615" spans="1:18" ht="21.95" customHeight="1" x14ac:dyDescent="0.2">
      <c r="A3615" s="21" t="s">
        <v>1151</v>
      </c>
      <c r="B3615" s="21" t="s">
        <v>1593</v>
      </c>
      <c r="C3615" s="21" t="s">
        <v>1198</v>
      </c>
      <c r="D3615" s="21" t="s">
        <v>1203</v>
      </c>
      <c r="E3615" s="21" t="s">
        <v>1208</v>
      </c>
      <c r="F3615" s="21"/>
      <c r="G3615" s="21">
        <v>83</v>
      </c>
      <c r="H3615" s="21">
        <v>35</v>
      </c>
      <c r="I3615" s="22">
        <v>194</v>
      </c>
      <c r="J3615" s="22"/>
      <c r="K3615" s="22">
        <v>44007786</v>
      </c>
      <c r="L3615" s="21" t="str">
        <f t="shared" si="336"/>
        <v>SK HELEN  KİTAPLIK BÜFE  FRN-20074 83x35x194</v>
      </c>
      <c r="M3615" s="23">
        <v>0.3</v>
      </c>
      <c r="N3615" s="23">
        <v>0.25</v>
      </c>
      <c r="O3615" s="23">
        <v>8460</v>
      </c>
      <c r="P3615" s="23">
        <f t="shared" si="337"/>
        <v>6345</v>
      </c>
      <c r="Q3615" s="23">
        <f t="shared" si="338"/>
        <v>13324.5</v>
      </c>
      <c r="R3615" s="32">
        <f t="shared" si="339"/>
        <v>13300</v>
      </c>
    </row>
    <row r="3616" spans="1:18" ht="21.95" customHeight="1" x14ac:dyDescent="0.2">
      <c r="A3616" s="21" t="s">
        <v>1151</v>
      </c>
      <c r="B3616" s="21" t="s">
        <v>1593</v>
      </c>
      <c r="C3616" s="21" t="s">
        <v>1198</v>
      </c>
      <c r="D3616" s="21" t="s">
        <v>1203</v>
      </c>
      <c r="E3616" s="21" t="s">
        <v>1209</v>
      </c>
      <c r="F3616" s="21"/>
      <c r="G3616" s="21">
        <v>112</v>
      </c>
      <c r="H3616" s="21">
        <v>40</v>
      </c>
      <c r="I3616" s="22">
        <v>123</v>
      </c>
      <c r="J3616" s="22"/>
      <c r="K3616" s="22">
        <v>44007787</v>
      </c>
      <c r="L3616" s="21" t="str">
        <f t="shared" si="336"/>
        <v>SK HELEN  KİTAPLIK BÜFE  FRN-20073 112x40x123</v>
      </c>
      <c r="M3616" s="23">
        <v>0.3</v>
      </c>
      <c r="N3616" s="23">
        <v>0.25</v>
      </c>
      <c r="O3616" s="23">
        <v>7630</v>
      </c>
      <c r="P3616" s="23">
        <f t="shared" si="337"/>
        <v>5722.5</v>
      </c>
      <c r="Q3616" s="23">
        <f t="shared" si="338"/>
        <v>12017.25</v>
      </c>
      <c r="R3616" s="32">
        <f t="shared" si="339"/>
        <v>12000</v>
      </c>
    </row>
    <row r="3617" spans="1:18" ht="21.95" customHeight="1" x14ac:dyDescent="0.2">
      <c r="A3617" s="6" t="s">
        <v>1151</v>
      </c>
      <c r="B3617" s="6" t="s">
        <v>1593</v>
      </c>
      <c r="C3617" s="6" t="s">
        <v>1198</v>
      </c>
      <c r="D3617" s="6" t="s">
        <v>1203</v>
      </c>
      <c r="E3617" s="6" t="s">
        <v>1210</v>
      </c>
      <c r="G3617" s="6">
        <v>80</v>
      </c>
      <c r="H3617" s="6">
        <v>35</v>
      </c>
      <c r="I3617" s="7">
        <v>180</v>
      </c>
      <c r="K3617" s="7">
        <v>44007788</v>
      </c>
      <c r="L3617" s="6" t="str">
        <f t="shared" si="336"/>
        <v>SK HELEN  KİTAPLIK BÜFE  FRN-20032 80x35x180</v>
      </c>
      <c r="M3617" s="12">
        <v>0.3</v>
      </c>
      <c r="N3617" s="12">
        <v>0.25</v>
      </c>
      <c r="O3617" s="8">
        <v>7800</v>
      </c>
      <c r="P3617" s="8">
        <f t="shared" si="337"/>
        <v>5850</v>
      </c>
      <c r="Q3617" s="12">
        <f t="shared" si="338"/>
        <v>12285</v>
      </c>
      <c r="R3617" s="31">
        <f t="shared" si="339"/>
        <v>12200</v>
      </c>
    </row>
    <row r="3618" spans="1:18" ht="21.95" customHeight="1" x14ac:dyDescent="0.2">
      <c r="A3618" s="6" t="s">
        <v>1151</v>
      </c>
      <c r="B3618" s="6" t="s">
        <v>1593</v>
      </c>
      <c r="C3618" s="6" t="s">
        <v>1198</v>
      </c>
      <c r="D3618" s="6" t="s">
        <v>1162</v>
      </c>
      <c r="E3618" s="6" t="s">
        <v>1211</v>
      </c>
      <c r="G3618" s="6">
        <v>180</v>
      </c>
      <c r="H3618" s="6">
        <v>90</v>
      </c>
      <c r="I3618" s="7">
        <v>76</v>
      </c>
      <c r="K3618" s="7">
        <v>44007789</v>
      </c>
      <c r="L3618" s="6" t="str">
        <f t="shared" si="336"/>
        <v>SK HELEN  YEMEK MASASI  FRN-20082 180x90x76</v>
      </c>
      <c r="M3618" s="12">
        <v>0.3</v>
      </c>
      <c r="N3618" s="12">
        <v>0.25</v>
      </c>
      <c r="O3618" s="8">
        <v>4390</v>
      </c>
      <c r="P3618" s="8">
        <f t="shared" si="337"/>
        <v>3292.5</v>
      </c>
      <c r="Q3618" s="12">
        <f t="shared" si="338"/>
        <v>6914.25</v>
      </c>
      <c r="R3618" s="31">
        <f t="shared" si="339"/>
        <v>6900</v>
      </c>
    </row>
    <row r="3619" spans="1:18" ht="21.95" customHeight="1" x14ac:dyDescent="0.2">
      <c r="A3619" s="21" t="s">
        <v>1151</v>
      </c>
      <c r="B3619" s="21" t="s">
        <v>1593</v>
      </c>
      <c r="C3619" s="21" t="s">
        <v>1198</v>
      </c>
      <c r="D3619" s="21" t="s">
        <v>1164</v>
      </c>
      <c r="E3619" s="21" t="s">
        <v>1212</v>
      </c>
      <c r="F3619" s="21"/>
      <c r="G3619" s="21">
        <v>140</v>
      </c>
      <c r="H3619" s="21">
        <v>35</v>
      </c>
      <c r="I3619" s="22">
        <v>58</v>
      </c>
      <c r="J3619" s="22"/>
      <c r="K3619" s="22">
        <v>44007790</v>
      </c>
      <c r="L3619" s="21" t="str">
        <f t="shared" si="336"/>
        <v>SK HELEN  TV ÜNİTESİ  FRN-20001 140x35x58</v>
      </c>
      <c r="M3619" s="23">
        <v>0.3</v>
      </c>
      <c r="N3619" s="23">
        <v>0.25</v>
      </c>
      <c r="O3619" s="23">
        <v>4330</v>
      </c>
      <c r="P3619" s="23">
        <f t="shared" si="337"/>
        <v>3247.5</v>
      </c>
      <c r="Q3619" s="23">
        <f t="shared" si="338"/>
        <v>6819.75</v>
      </c>
      <c r="R3619" s="32">
        <f t="shared" si="339"/>
        <v>6800</v>
      </c>
    </row>
    <row r="3620" spans="1:18" ht="21.95" customHeight="1" x14ac:dyDescent="0.2">
      <c r="A3620" s="6"/>
      <c r="B3620" s="6" t="s">
        <v>1593</v>
      </c>
      <c r="C3620" s="6" t="s">
        <v>1198</v>
      </c>
      <c r="D3620" s="6" t="s">
        <v>1979</v>
      </c>
      <c r="E3620" s="6" t="s">
        <v>1980</v>
      </c>
      <c r="G3620" s="6">
        <v>160</v>
      </c>
      <c r="H3620" s="6">
        <v>90</v>
      </c>
      <c r="I3620" s="7">
        <v>76</v>
      </c>
      <c r="K3620" s="7">
        <v>44007791</v>
      </c>
      <c r="L3620" s="6" t="str">
        <f t="shared" si="336"/>
        <v>SK HELEN  YEMEK MASASI 160 CM  FRN-20082-160 160x90x76</v>
      </c>
      <c r="M3620" s="12"/>
      <c r="N3620" s="12"/>
      <c r="P3620" s="8"/>
      <c r="Q3620" s="12"/>
    </row>
    <row r="3621" spans="1:18" ht="21.95" customHeight="1" x14ac:dyDescent="0.2">
      <c r="A3621" s="6" t="s">
        <v>1151</v>
      </c>
      <c r="B3621" s="6" t="s">
        <v>1593</v>
      </c>
      <c r="C3621" s="6" t="s">
        <v>1198</v>
      </c>
      <c r="D3621" s="6" t="s">
        <v>1164</v>
      </c>
      <c r="E3621" s="6" t="s">
        <v>1213</v>
      </c>
      <c r="G3621" s="6">
        <v>150</v>
      </c>
      <c r="H3621" s="6">
        <v>35</v>
      </c>
      <c r="I3621" s="7">
        <v>58</v>
      </c>
      <c r="K3621" s="7">
        <v>44007792</v>
      </c>
      <c r="L3621" s="6" t="str">
        <f t="shared" si="336"/>
        <v>SK HELEN  TV ÜNİTESİ  FRN-20057 150x35x58</v>
      </c>
      <c r="M3621" s="12">
        <v>0.3</v>
      </c>
      <c r="N3621" s="12">
        <v>0.25</v>
      </c>
      <c r="O3621" s="8">
        <v>4420</v>
      </c>
      <c r="P3621" s="8">
        <f t="shared" ref="P3621:P3646" si="340">O3621*(1-N3621)</f>
        <v>3315</v>
      </c>
      <c r="Q3621" s="12">
        <f t="shared" ref="Q3621:Q3646" si="341">O3621*(1-N3621)*2.1</f>
        <v>6961.5</v>
      </c>
      <c r="R3621" s="31">
        <f t="shared" ref="R3621:R3646" si="342">ROUNDDOWN(Q3621,-2)</f>
        <v>6900</v>
      </c>
    </row>
    <row r="3622" spans="1:18" ht="21.95" customHeight="1" x14ac:dyDescent="0.2">
      <c r="A3622" s="6" t="s">
        <v>1151</v>
      </c>
      <c r="B3622" s="6" t="s">
        <v>1593</v>
      </c>
      <c r="C3622" s="6" t="s">
        <v>1198</v>
      </c>
      <c r="D3622" s="6" t="s">
        <v>1164</v>
      </c>
      <c r="E3622" s="6" t="s">
        <v>1214</v>
      </c>
      <c r="G3622" s="6">
        <v>160</v>
      </c>
      <c r="H3622" s="6">
        <v>35</v>
      </c>
      <c r="I3622" s="7">
        <v>58</v>
      </c>
      <c r="K3622" s="7">
        <v>44007793</v>
      </c>
      <c r="L3622" s="6" t="str">
        <f t="shared" si="336"/>
        <v>SK HELEN  TV ÜNİTESİ  FRN-20055 160x35x58</v>
      </c>
      <c r="M3622" s="12">
        <v>0.3</v>
      </c>
      <c r="N3622" s="12">
        <v>0.25</v>
      </c>
      <c r="O3622" s="8">
        <v>5270</v>
      </c>
      <c r="P3622" s="8">
        <f t="shared" si="340"/>
        <v>3952.5</v>
      </c>
      <c r="Q3622" s="12">
        <f t="shared" si="341"/>
        <v>8300.25</v>
      </c>
      <c r="R3622" s="31">
        <f t="shared" si="342"/>
        <v>8300</v>
      </c>
    </row>
    <row r="3623" spans="1:18" ht="21.95" customHeight="1" x14ac:dyDescent="0.2">
      <c r="A3623" s="21" t="s">
        <v>1151</v>
      </c>
      <c r="B3623" s="21" t="s">
        <v>1593</v>
      </c>
      <c r="C3623" s="21" t="s">
        <v>1198</v>
      </c>
      <c r="D3623" s="21" t="s">
        <v>1164</v>
      </c>
      <c r="E3623" s="21" t="s">
        <v>1215</v>
      </c>
      <c r="F3623" s="21"/>
      <c r="G3623" s="21">
        <v>160</v>
      </c>
      <c r="H3623" s="21">
        <v>35</v>
      </c>
      <c r="I3623" s="22">
        <v>62</v>
      </c>
      <c r="J3623" s="22"/>
      <c r="K3623" s="22">
        <v>44007794</v>
      </c>
      <c r="L3623" s="21" t="str">
        <f t="shared" si="336"/>
        <v>SK HELEN  TV ÜNİTESİ  FRN-20002 160x35x62</v>
      </c>
      <c r="M3623" s="23">
        <v>0.3</v>
      </c>
      <c r="N3623" s="23">
        <v>0.25</v>
      </c>
      <c r="O3623" s="23">
        <v>5280</v>
      </c>
      <c r="P3623" s="23">
        <f t="shared" si="340"/>
        <v>3960</v>
      </c>
      <c r="Q3623" s="23">
        <f t="shared" si="341"/>
        <v>8316</v>
      </c>
      <c r="R3623" s="32">
        <f t="shared" si="342"/>
        <v>8300</v>
      </c>
    </row>
    <row r="3624" spans="1:18" ht="21.95" customHeight="1" x14ac:dyDescent="0.2">
      <c r="A3624" s="6" t="s">
        <v>1151</v>
      </c>
      <c r="B3624" s="6" t="s">
        <v>1593</v>
      </c>
      <c r="C3624" s="6" t="s">
        <v>1198</v>
      </c>
      <c r="D3624" s="6" t="s">
        <v>1164</v>
      </c>
      <c r="E3624" s="6" t="s">
        <v>1216</v>
      </c>
      <c r="G3624" s="6">
        <v>180</v>
      </c>
      <c r="H3624" s="6">
        <v>35</v>
      </c>
      <c r="I3624" s="7">
        <v>58</v>
      </c>
      <c r="K3624" s="7">
        <v>44007795</v>
      </c>
      <c r="L3624" s="6" t="str">
        <f t="shared" si="336"/>
        <v>SK HELEN  TV ÜNİTESİ  FRN-20056 180x35x58</v>
      </c>
      <c r="M3624" s="12">
        <v>0.3</v>
      </c>
      <c r="N3624" s="12">
        <v>0.25</v>
      </c>
      <c r="O3624" s="8">
        <v>5240</v>
      </c>
      <c r="P3624" s="8">
        <f t="shared" si="340"/>
        <v>3930</v>
      </c>
      <c r="Q3624" s="12">
        <f t="shared" si="341"/>
        <v>8253</v>
      </c>
      <c r="R3624" s="31">
        <f t="shared" si="342"/>
        <v>8200</v>
      </c>
    </row>
    <row r="3625" spans="1:18" ht="21.95" customHeight="1" x14ac:dyDescent="0.2">
      <c r="A3625" s="21" t="s">
        <v>1151</v>
      </c>
      <c r="B3625" s="21" t="s">
        <v>1593</v>
      </c>
      <c r="C3625" s="21" t="s">
        <v>1198</v>
      </c>
      <c r="D3625" s="21" t="s">
        <v>1164</v>
      </c>
      <c r="E3625" s="21" t="s">
        <v>1217</v>
      </c>
      <c r="F3625" s="21"/>
      <c r="G3625" s="21">
        <v>200</v>
      </c>
      <c r="H3625" s="21">
        <v>35</v>
      </c>
      <c r="I3625" s="22">
        <v>58</v>
      </c>
      <c r="J3625" s="22"/>
      <c r="K3625" s="22">
        <v>44007796</v>
      </c>
      <c r="L3625" s="21" t="str">
        <f t="shared" si="336"/>
        <v>SK HELEN  TV ÜNİTESİ  FRN-20006 200x35x58</v>
      </c>
      <c r="M3625" s="23">
        <v>0.3</v>
      </c>
      <c r="N3625" s="23">
        <v>0.25</v>
      </c>
      <c r="O3625" s="23">
        <v>6260</v>
      </c>
      <c r="P3625" s="23">
        <f t="shared" si="340"/>
        <v>4695</v>
      </c>
      <c r="Q3625" s="23">
        <f t="shared" si="341"/>
        <v>9859.5</v>
      </c>
      <c r="R3625" s="32">
        <f t="shared" si="342"/>
        <v>9800</v>
      </c>
    </row>
    <row r="3626" spans="1:18" ht="21.95" customHeight="1" x14ac:dyDescent="0.2">
      <c r="A3626" s="21" t="s">
        <v>1151</v>
      </c>
      <c r="B3626" s="21" t="s">
        <v>1593</v>
      </c>
      <c r="C3626" s="21" t="s">
        <v>1198</v>
      </c>
      <c r="D3626" s="21" t="s">
        <v>1203</v>
      </c>
      <c r="E3626" s="21" t="s">
        <v>1218</v>
      </c>
      <c r="F3626" s="21"/>
      <c r="G3626" s="21">
        <v>50</v>
      </c>
      <c r="H3626" s="21">
        <v>34</v>
      </c>
      <c r="I3626" s="22">
        <v>180</v>
      </c>
      <c r="J3626" s="22"/>
      <c r="K3626" s="22">
        <v>44007797</v>
      </c>
      <c r="L3626" s="21" t="str">
        <f t="shared" si="336"/>
        <v>SK HELEN  KİTAPLIK BÜFE  FRN-20034 50x34x180</v>
      </c>
      <c r="M3626" s="23">
        <v>0.3</v>
      </c>
      <c r="N3626" s="23">
        <v>0.25</v>
      </c>
      <c r="O3626" s="23">
        <v>4960</v>
      </c>
      <c r="P3626" s="23">
        <f t="shared" si="340"/>
        <v>3720</v>
      </c>
      <c r="Q3626" s="23">
        <f t="shared" si="341"/>
        <v>7812</v>
      </c>
      <c r="R3626" s="32">
        <f t="shared" si="342"/>
        <v>7800</v>
      </c>
    </row>
    <row r="3627" spans="1:18" ht="21.95" customHeight="1" x14ac:dyDescent="0.2">
      <c r="A3627" s="6" t="s">
        <v>1151</v>
      </c>
      <c r="B3627" s="6" t="s">
        <v>1593</v>
      </c>
      <c r="C3627" s="6" t="s">
        <v>1198</v>
      </c>
      <c r="D3627" s="6" t="s">
        <v>660</v>
      </c>
      <c r="E3627" s="6" t="s">
        <v>1219</v>
      </c>
      <c r="G3627" s="6">
        <v>100</v>
      </c>
      <c r="H3627" s="6">
        <v>70</v>
      </c>
      <c r="I3627" s="7">
        <v>43</v>
      </c>
      <c r="K3627" s="7">
        <v>44007798</v>
      </c>
      <c r="L3627" s="6" t="str">
        <f t="shared" si="336"/>
        <v>SK HELEN  ORTA SEHPA  FRN-20081 100x70x43</v>
      </c>
      <c r="M3627" s="12">
        <v>0.3</v>
      </c>
      <c r="N3627" s="12">
        <v>0.25</v>
      </c>
      <c r="O3627" s="8">
        <v>3420</v>
      </c>
      <c r="P3627" s="8">
        <f t="shared" si="340"/>
        <v>2565</v>
      </c>
      <c r="Q3627" s="12">
        <f t="shared" si="341"/>
        <v>5386.5</v>
      </c>
      <c r="R3627" s="31">
        <f t="shared" si="342"/>
        <v>5300</v>
      </c>
    </row>
    <row r="3628" spans="1:18" ht="21.95" customHeight="1" x14ac:dyDescent="0.2">
      <c r="A3628" s="6" t="s">
        <v>1151</v>
      </c>
      <c r="B3628" s="6" t="s">
        <v>1593</v>
      </c>
      <c r="C3628" s="6" t="s">
        <v>1198</v>
      </c>
      <c r="D3628" s="6" t="s">
        <v>1171</v>
      </c>
      <c r="E3628" s="6" t="s">
        <v>1220</v>
      </c>
      <c r="G3628" s="6">
        <v>120</v>
      </c>
      <c r="H3628" s="6">
        <v>50</v>
      </c>
      <c r="I3628" s="7">
        <v>210</v>
      </c>
      <c r="K3628" s="7">
        <v>44007799</v>
      </c>
      <c r="L3628" s="6" t="str">
        <f t="shared" si="336"/>
        <v>SK HELEN  KAHVE DOLABI  FRN-20075 120x50x210</v>
      </c>
      <c r="M3628" s="12">
        <v>0.3</v>
      </c>
      <c r="N3628" s="12">
        <v>0.25</v>
      </c>
      <c r="O3628" s="8">
        <v>10350</v>
      </c>
      <c r="P3628" s="8">
        <f t="shared" si="340"/>
        <v>7762.5</v>
      </c>
      <c r="Q3628" s="12">
        <f t="shared" si="341"/>
        <v>16301.25</v>
      </c>
      <c r="R3628" s="31">
        <f t="shared" si="342"/>
        <v>16300</v>
      </c>
    </row>
    <row r="3629" spans="1:18" ht="21.95" customHeight="1" x14ac:dyDescent="0.2">
      <c r="A3629" s="21" t="s">
        <v>1151</v>
      </c>
      <c r="B3629" s="21" t="s">
        <v>1593</v>
      </c>
      <c r="C3629" s="21" t="s">
        <v>1198</v>
      </c>
      <c r="D3629" s="21" t="s">
        <v>1171</v>
      </c>
      <c r="E3629" s="21" t="s">
        <v>1221</v>
      </c>
      <c r="F3629" s="21"/>
      <c r="G3629" s="21">
        <v>120</v>
      </c>
      <c r="H3629" s="21">
        <v>50</v>
      </c>
      <c r="I3629" s="22">
        <v>210</v>
      </c>
      <c r="J3629" s="22"/>
      <c r="K3629" s="22">
        <v>44007800</v>
      </c>
      <c r="L3629" s="21" t="str">
        <f t="shared" si="336"/>
        <v>SK HELEN  KAHVE DOLABI  FRN-20075-1 120x50x210</v>
      </c>
      <c r="M3629" s="23">
        <v>0.3</v>
      </c>
      <c r="N3629" s="23">
        <v>0.25</v>
      </c>
      <c r="O3629" s="23">
        <v>10350</v>
      </c>
      <c r="P3629" s="23">
        <f t="shared" si="340"/>
        <v>7762.5</v>
      </c>
      <c r="Q3629" s="23">
        <f t="shared" si="341"/>
        <v>16301.25</v>
      </c>
      <c r="R3629" s="32">
        <f t="shared" si="342"/>
        <v>16300</v>
      </c>
    </row>
    <row r="3630" spans="1:18" ht="21.95" customHeight="1" x14ac:dyDescent="0.2">
      <c r="A3630" s="6" t="s">
        <v>1151</v>
      </c>
      <c r="B3630" s="6" t="s">
        <v>1593</v>
      </c>
      <c r="C3630" s="6" t="s">
        <v>1198</v>
      </c>
      <c r="D3630" s="6" t="s">
        <v>1171</v>
      </c>
      <c r="E3630" s="5" t="s">
        <v>1222</v>
      </c>
      <c r="G3630" s="6">
        <v>75</v>
      </c>
      <c r="H3630" s="6">
        <v>50</v>
      </c>
      <c r="I3630" s="7">
        <v>210</v>
      </c>
      <c r="K3630" s="7">
        <v>44007801</v>
      </c>
      <c r="L3630" s="6" t="str">
        <f t="shared" si="336"/>
        <v>SK HELEN  KAHVE DOLABI  FRN-20076 75x50x210</v>
      </c>
      <c r="M3630" s="12">
        <v>0.3</v>
      </c>
      <c r="N3630" s="12">
        <v>0.25</v>
      </c>
      <c r="O3630" s="8">
        <v>8110</v>
      </c>
      <c r="P3630" s="8">
        <f t="shared" si="340"/>
        <v>6082.5</v>
      </c>
      <c r="Q3630" s="12">
        <f t="shared" si="341"/>
        <v>12773.25</v>
      </c>
      <c r="R3630" s="31">
        <f t="shared" si="342"/>
        <v>12700</v>
      </c>
    </row>
    <row r="3631" spans="1:18" ht="21.95" customHeight="1" x14ac:dyDescent="0.2">
      <c r="A3631" s="21" t="s">
        <v>1151</v>
      </c>
      <c r="B3631" s="21" t="s">
        <v>1593</v>
      </c>
      <c r="C3631" s="21" t="s">
        <v>1198</v>
      </c>
      <c r="D3631" s="21" t="s">
        <v>1171</v>
      </c>
      <c r="E3631" s="21" t="s">
        <v>1223</v>
      </c>
      <c r="F3631" s="21"/>
      <c r="G3631" s="21">
        <v>75</v>
      </c>
      <c r="H3631" s="21">
        <v>50</v>
      </c>
      <c r="I3631" s="22">
        <v>210</v>
      </c>
      <c r="J3631" s="22"/>
      <c r="K3631" s="22">
        <v>44007802</v>
      </c>
      <c r="L3631" s="21" t="str">
        <f t="shared" ref="L3631:L3655" si="343">B3631&amp;" "&amp;C3631&amp;" "&amp;D3631&amp;" "&amp;E3631&amp;" "&amp;G3631&amp;"x"&amp;H3631&amp;"x"&amp;I3631</f>
        <v>SK HELEN  KAHVE DOLABI  FRN-20076-1 75x50x210</v>
      </c>
      <c r="M3631" s="23">
        <v>0.3</v>
      </c>
      <c r="N3631" s="23">
        <v>0.25</v>
      </c>
      <c r="O3631" s="23">
        <v>8110</v>
      </c>
      <c r="P3631" s="23">
        <f t="shared" si="340"/>
        <v>6082.5</v>
      </c>
      <c r="Q3631" s="23">
        <f t="shared" si="341"/>
        <v>12773.25</v>
      </c>
      <c r="R3631" s="32">
        <f t="shared" si="342"/>
        <v>12700</v>
      </c>
    </row>
    <row r="3632" spans="1:18" ht="21.95" customHeight="1" x14ac:dyDescent="0.2">
      <c r="A3632" s="21" t="s">
        <v>1151</v>
      </c>
      <c r="B3632" s="21" t="s">
        <v>1593</v>
      </c>
      <c r="C3632" s="21" t="s">
        <v>1198</v>
      </c>
      <c r="D3632" s="21" t="s">
        <v>1178</v>
      </c>
      <c r="E3632" s="21" t="s">
        <v>1224</v>
      </c>
      <c r="F3632" s="21"/>
      <c r="G3632" s="21">
        <v>70</v>
      </c>
      <c r="H3632" s="21">
        <v>50</v>
      </c>
      <c r="I3632" s="22">
        <v>195</v>
      </c>
      <c r="J3632" s="22"/>
      <c r="K3632" s="22">
        <v>44007803</v>
      </c>
      <c r="L3632" s="21" t="str">
        <f t="shared" si="343"/>
        <v>SK HELEN  GARDIROP FRN-20014 70x50x195</v>
      </c>
      <c r="M3632" s="23">
        <v>0.3</v>
      </c>
      <c r="N3632" s="23">
        <v>0.25</v>
      </c>
      <c r="O3632" s="23">
        <v>6560</v>
      </c>
      <c r="P3632" s="23">
        <f t="shared" si="340"/>
        <v>4920</v>
      </c>
      <c r="Q3632" s="23">
        <f t="shared" si="341"/>
        <v>10332</v>
      </c>
      <c r="R3632" s="32">
        <f t="shared" si="342"/>
        <v>10300</v>
      </c>
    </row>
    <row r="3633" spans="1:18" ht="21.95" customHeight="1" x14ac:dyDescent="0.2">
      <c r="A3633" s="21" t="s">
        <v>1151</v>
      </c>
      <c r="B3633" s="21" t="s">
        <v>1593</v>
      </c>
      <c r="C3633" s="21" t="s">
        <v>1198</v>
      </c>
      <c r="D3633" s="21" t="s">
        <v>1178</v>
      </c>
      <c r="E3633" s="21" t="s">
        <v>1225</v>
      </c>
      <c r="F3633" s="21"/>
      <c r="G3633" s="21">
        <v>98</v>
      </c>
      <c r="H3633" s="21">
        <v>57</v>
      </c>
      <c r="I3633" s="22">
        <v>195</v>
      </c>
      <c r="J3633" s="22"/>
      <c r="K3633" s="22">
        <v>44007804</v>
      </c>
      <c r="L3633" s="21" t="str">
        <f t="shared" si="343"/>
        <v>SK HELEN  GARDIROP FRN-20067 98x57x195</v>
      </c>
      <c r="M3633" s="23">
        <v>0.3</v>
      </c>
      <c r="N3633" s="23">
        <v>0.25</v>
      </c>
      <c r="O3633" s="23">
        <v>9180</v>
      </c>
      <c r="P3633" s="23">
        <f t="shared" si="340"/>
        <v>6885</v>
      </c>
      <c r="Q3633" s="23">
        <f t="shared" si="341"/>
        <v>14458.5</v>
      </c>
      <c r="R3633" s="32">
        <f t="shared" si="342"/>
        <v>14400</v>
      </c>
    </row>
    <row r="3634" spans="1:18" ht="21.95" customHeight="1" x14ac:dyDescent="0.2">
      <c r="A3634" s="6" t="s">
        <v>1151</v>
      </c>
      <c r="B3634" s="6" t="s">
        <v>1593</v>
      </c>
      <c r="C3634" s="6" t="s">
        <v>1198</v>
      </c>
      <c r="D3634" s="6" t="s">
        <v>1178</v>
      </c>
      <c r="E3634" s="6" t="s">
        <v>1226</v>
      </c>
      <c r="G3634" s="6">
        <v>140</v>
      </c>
      <c r="H3634" s="6">
        <v>57</v>
      </c>
      <c r="I3634" s="7">
        <v>195</v>
      </c>
      <c r="K3634" s="7">
        <v>44007805</v>
      </c>
      <c r="L3634" s="6" t="str">
        <f t="shared" si="343"/>
        <v>SK HELEN  GARDIROP FRN-20012 140x57x195</v>
      </c>
      <c r="M3634" s="12">
        <v>0.3</v>
      </c>
      <c r="N3634" s="12">
        <v>0.25</v>
      </c>
      <c r="O3634" s="8">
        <v>13960</v>
      </c>
      <c r="P3634" s="8">
        <f t="shared" si="340"/>
        <v>10470</v>
      </c>
      <c r="Q3634" s="12">
        <f t="shared" si="341"/>
        <v>21987</v>
      </c>
      <c r="R3634" s="31">
        <f t="shared" si="342"/>
        <v>21900</v>
      </c>
    </row>
    <row r="3635" spans="1:18" ht="21.95" customHeight="1" x14ac:dyDescent="0.2">
      <c r="A3635" s="6" t="s">
        <v>1151</v>
      </c>
      <c r="B3635" s="6" t="s">
        <v>1593</v>
      </c>
      <c r="C3635" s="6" t="s">
        <v>1198</v>
      </c>
      <c r="D3635" s="6" t="s">
        <v>1178</v>
      </c>
      <c r="E3635" s="6" t="s">
        <v>1227</v>
      </c>
      <c r="G3635" s="6">
        <v>160</v>
      </c>
      <c r="H3635" s="6">
        <v>57</v>
      </c>
      <c r="I3635" s="7">
        <v>195</v>
      </c>
      <c r="K3635" s="7">
        <v>44007806</v>
      </c>
      <c r="L3635" s="6" t="str">
        <f t="shared" si="343"/>
        <v>SK HELEN  GARDIROP FRN-20013 160x57x195</v>
      </c>
      <c r="M3635" s="12">
        <v>0.3</v>
      </c>
      <c r="N3635" s="12">
        <v>0.25</v>
      </c>
      <c r="O3635" s="8">
        <v>13650</v>
      </c>
      <c r="P3635" s="8">
        <f t="shared" si="340"/>
        <v>10237.5</v>
      </c>
      <c r="Q3635" s="12">
        <f t="shared" si="341"/>
        <v>21498.75</v>
      </c>
      <c r="R3635" s="31">
        <f t="shared" si="342"/>
        <v>21400</v>
      </c>
    </row>
    <row r="3636" spans="1:18" ht="21.95" customHeight="1" x14ac:dyDescent="0.2">
      <c r="A3636" s="21" t="s">
        <v>1151</v>
      </c>
      <c r="B3636" s="21" t="s">
        <v>1593</v>
      </c>
      <c r="C3636" s="21" t="s">
        <v>1198</v>
      </c>
      <c r="D3636" s="21" t="s">
        <v>1178</v>
      </c>
      <c r="E3636" s="21" t="s">
        <v>1228</v>
      </c>
      <c r="F3636" s="21"/>
      <c r="G3636" s="21">
        <v>181</v>
      </c>
      <c r="H3636" s="21">
        <v>59</v>
      </c>
      <c r="I3636" s="22">
        <v>215</v>
      </c>
      <c r="J3636" s="22"/>
      <c r="K3636" s="22">
        <v>44007807</v>
      </c>
      <c r="L3636" s="21" t="str">
        <f t="shared" si="343"/>
        <v>SK HELEN  GARDIROP FRN-20018 181x59x215</v>
      </c>
      <c r="M3636" s="23">
        <v>0.3</v>
      </c>
      <c r="N3636" s="23">
        <v>0.25</v>
      </c>
      <c r="O3636" s="23">
        <v>18720</v>
      </c>
      <c r="P3636" s="23">
        <f t="shared" si="340"/>
        <v>14040</v>
      </c>
      <c r="Q3636" s="23">
        <f t="shared" si="341"/>
        <v>29484</v>
      </c>
      <c r="R3636" s="32">
        <f t="shared" si="342"/>
        <v>29400</v>
      </c>
    </row>
    <row r="3637" spans="1:18" ht="21.95" customHeight="1" x14ac:dyDescent="0.2">
      <c r="A3637" s="21" t="s">
        <v>1151</v>
      </c>
      <c r="B3637" s="21" t="s">
        <v>1593</v>
      </c>
      <c r="C3637" s="21" t="s">
        <v>1198</v>
      </c>
      <c r="D3637" s="21" t="s">
        <v>1178</v>
      </c>
      <c r="E3637" s="21" t="s">
        <v>1229</v>
      </c>
      <c r="F3637" s="21"/>
      <c r="G3637" s="21">
        <v>224</v>
      </c>
      <c r="H3637" s="21">
        <v>59</v>
      </c>
      <c r="I3637" s="22">
        <v>215</v>
      </c>
      <c r="J3637" s="22"/>
      <c r="K3637" s="22">
        <v>44007808</v>
      </c>
      <c r="L3637" s="21" t="str">
        <f t="shared" si="343"/>
        <v>SK HELEN  GARDIROP FRN-20019 224x59x215</v>
      </c>
      <c r="M3637" s="23">
        <v>0.3</v>
      </c>
      <c r="N3637" s="23">
        <v>0.25</v>
      </c>
      <c r="O3637" s="23">
        <v>20570</v>
      </c>
      <c r="P3637" s="23">
        <f t="shared" si="340"/>
        <v>15427.5</v>
      </c>
      <c r="Q3637" s="23">
        <f t="shared" si="341"/>
        <v>32397.75</v>
      </c>
      <c r="R3637" s="32">
        <f t="shared" si="342"/>
        <v>32300</v>
      </c>
    </row>
    <row r="3638" spans="1:18" ht="21.95" customHeight="1" x14ac:dyDescent="0.2">
      <c r="A3638" s="6" t="s">
        <v>1151</v>
      </c>
      <c r="B3638" s="6" t="s">
        <v>1593</v>
      </c>
      <c r="C3638" s="6" t="s">
        <v>1198</v>
      </c>
      <c r="D3638" s="6" t="s">
        <v>1178</v>
      </c>
      <c r="E3638" s="6" t="s">
        <v>1230</v>
      </c>
      <c r="G3638" s="6">
        <v>240</v>
      </c>
      <c r="H3638" s="6">
        <v>57</v>
      </c>
      <c r="I3638" s="7">
        <v>195</v>
      </c>
      <c r="K3638" s="7">
        <v>44007809</v>
      </c>
      <c r="L3638" s="6" t="str">
        <f t="shared" si="343"/>
        <v>SK HELEN  GARDIROP FRN-20011 240x57x195</v>
      </c>
      <c r="M3638" s="12">
        <v>0.3</v>
      </c>
      <c r="N3638" s="12">
        <v>0.25</v>
      </c>
      <c r="O3638" s="8">
        <v>18930</v>
      </c>
      <c r="P3638" s="8">
        <f t="shared" si="340"/>
        <v>14197.5</v>
      </c>
      <c r="Q3638" s="12">
        <f t="shared" si="341"/>
        <v>29814.75</v>
      </c>
      <c r="R3638" s="31">
        <f t="shared" si="342"/>
        <v>29800</v>
      </c>
    </row>
    <row r="3639" spans="1:18" ht="21.95" customHeight="1" x14ac:dyDescent="0.2">
      <c r="A3639" s="6" t="s">
        <v>1151</v>
      </c>
      <c r="B3639" s="6" t="s">
        <v>1593</v>
      </c>
      <c r="C3639" s="6" t="s">
        <v>1198</v>
      </c>
      <c r="D3639" s="6" t="s">
        <v>1178</v>
      </c>
      <c r="E3639" s="6" t="s">
        <v>1231</v>
      </c>
      <c r="G3639" s="6">
        <v>261</v>
      </c>
      <c r="H3639" s="6">
        <v>59</v>
      </c>
      <c r="I3639" s="7">
        <v>215</v>
      </c>
      <c r="K3639" s="7">
        <v>44007810</v>
      </c>
      <c r="L3639" s="6" t="str">
        <f t="shared" si="343"/>
        <v>SK HELEN  GARDIROP FRN-20020 261x59x215</v>
      </c>
      <c r="M3639" s="12">
        <v>0.3</v>
      </c>
      <c r="N3639" s="12">
        <v>0.25</v>
      </c>
      <c r="O3639" s="8">
        <v>22980</v>
      </c>
      <c r="P3639" s="8">
        <f t="shared" si="340"/>
        <v>17235</v>
      </c>
      <c r="Q3639" s="12">
        <f t="shared" si="341"/>
        <v>36193.5</v>
      </c>
      <c r="R3639" s="31">
        <f t="shared" si="342"/>
        <v>36100</v>
      </c>
    </row>
    <row r="3640" spans="1:18" ht="21.95" customHeight="1" x14ac:dyDescent="0.2">
      <c r="A3640" s="21" t="s">
        <v>1151</v>
      </c>
      <c r="B3640" s="21" t="s">
        <v>1593</v>
      </c>
      <c r="C3640" s="21" t="s">
        <v>1198</v>
      </c>
      <c r="D3640" s="21" t="s">
        <v>78</v>
      </c>
      <c r="E3640" s="21" t="s">
        <v>1232</v>
      </c>
      <c r="F3640" s="21"/>
      <c r="G3640" s="21">
        <v>154</v>
      </c>
      <c r="H3640" s="21">
        <v>40</v>
      </c>
      <c r="I3640" s="22">
        <v>93</v>
      </c>
      <c r="J3640" s="22"/>
      <c r="K3640" s="22">
        <v>44007811</v>
      </c>
      <c r="L3640" s="21" t="str">
        <f t="shared" si="343"/>
        <v>SK HELEN  ŞİFONYER FRN-20017 154x40x93</v>
      </c>
      <c r="M3640" s="23">
        <v>0.3</v>
      </c>
      <c r="N3640" s="23">
        <v>0.25</v>
      </c>
      <c r="O3640" s="23">
        <v>7630</v>
      </c>
      <c r="P3640" s="23">
        <f t="shared" si="340"/>
        <v>5722.5</v>
      </c>
      <c r="Q3640" s="23">
        <f t="shared" si="341"/>
        <v>12017.25</v>
      </c>
      <c r="R3640" s="32">
        <f t="shared" si="342"/>
        <v>12000</v>
      </c>
    </row>
    <row r="3641" spans="1:18" ht="21.95" customHeight="1" x14ac:dyDescent="0.2">
      <c r="A3641" s="6" t="s">
        <v>1151</v>
      </c>
      <c r="B3641" s="6" t="s">
        <v>1593</v>
      </c>
      <c r="C3641" s="6" t="s">
        <v>1198</v>
      </c>
      <c r="D3641" s="6" t="s">
        <v>78</v>
      </c>
      <c r="E3641" s="6" t="s">
        <v>1233</v>
      </c>
      <c r="G3641" s="6">
        <v>108</v>
      </c>
      <c r="H3641" s="6">
        <v>45</v>
      </c>
      <c r="I3641" s="7">
        <v>123</v>
      </c>
      <c r="K3641" s="7">
        <v>44007812</v>
      </c>
      <c r="L3641" s="6" t="str">
        <f t="shared" si="343"/>
        <v>SK HELEN  ŞİFONYER FRN-20024 108x45x123</v>
      </c>
      <c r="M3641" s="12">
        <v>0.3</v>
      </c>
      <c r="N3641" s="12">
        <v>0.25</v>
      </c>
      <c r="O3641" s="8">
        <v>8720</v>
      </c>
      <c r="P3641" s="8">
        <f t="shared" si="340"/>
        <v>6540</v>
      </c>
      <c r="Q3641" s="12">
        <f t="shared" si="341"/>
        <v>13734</v>
      </c>
      <c r="R3641" s="31">
        <f t="shared" si="342"/>
        <v>13700</v>
      </c>
    </row>
    <row r="3642" spans="1:18" ht="21.95" customHeight="1" x14ac:dyDescent="0.2">
      <c r="A3642" s="6" t="s">
        <v>1151</v>
      </c>
      <c r="B3642" s="6" t="s">
        <v>1593</v>
      </c>
      <c r="C3642" s="6" t="s">
        <v>1198</v>
      </c>
      <c r="D3642" s="5" t="s">
        <v>78</v>
      </c>
      <c r="E3642" s="6" t="s">
        <v>1234</v>
      </c>
      <c r="G3642" s="6">
        <v>90</v>
      </c>
      <c r="H3642" s="6">
        <v>40</v>
      </c>
      <c r="I3642" s="7">
        <v>85</v>
      </c>
      <c r="K3642" s="7">
        <v>44007813</v>
      </c>
      <c r="L3642" s="6" t="str">
        <f t="shared" si="343"/>
        <v>SK HELEN  ŞİFONYER FRN-20061 90x40x85</v>
      </c>
      <c r="M3642" s="12">
        <v>0.3</v>
      </c>
      <c r="N3642" s="12">
        <v>0.25</v>
      </c>
      <c r="O3642" s="8">
        <v>5800</v>
      </c>
      <c r="P3642" s="8">
        <f t="shared" si="340"/>
        <v>4350</v>
      </c>
      <c r="Q3642" s="12">
        <f t="shared" si="341"/>
        <v>9135</v>
      </c>
      <c r="R3642" s="31">
        <f t="shared" si="342"/>
        <v>9100</v>
      </c>
    </row>
    <row r="3643" spans="1:18" ht="21.95" customHeight="1" x14ac:dyDescent="0.2">
      <c r="A3643" s="21" t="s">
        <v>1151</v>
      </c>
      <c r="B3643" s="21" t="s">
        <v>1593</v>
      </c>
      <c r="C3643" s="21" t="s">
        <v>1198</v>
      </c>
      <c r="D3643" s="21" t="s">
        <v>78</v>
      </c>
      <c r="E3643" s="21" t="s">
        <v>1235</v>
      </c>
      <c r="F3643" s="21"/>
      <c r="G3643" s="21">
        <v>77</v>
      </c>
      <c r="H3643" s="21">
        <v>40</v>
      </c>
      <c r="I3643" s="22">
        <v>115</v>
      </c>
      <c r="J3643" s="22"/>
      <c r="K3643" s="22">
        <v>44007814</v>
      </c>
      <c r="L3643" s="21" t="str">
        <f t="shared" si="343"/>
        <v>SK HELEN  ŞİFONYER FRN-20023 77x40x115</v>
      </c>
      <c r="M3643" s="23">
        <v>0.3</v>
      </c>
      <c r="N3643" s="23">
        <v>0.25</v>
      </c>
      <c r="O3643" s="23">
        <v>5490</v>
      </c>
      <c r="P3643" s="23">
        <f t="shared" si="340"/>
        <v>4117.5</v>
      </c>
      <c r="Q3643" s="23">
        <f t="shared" si="341"/>
        <v>8646.75</v>
      </c>
      <c r="R3643" s="32">
        <f t="shared" si="342"/>
        <v>8600</v>
      </c>
    </row>
    <row r="3644" spans="1:18" ht="21.95" customHeight="1" x14ac:dyDescent="0.2">
      <c r="A3644" s="6" t="s">
        <v>1151</v>
      </c>
      <c r="B3644" s="6" t="s">
        <v>1593</v>
      </c>
      <c r="C3644" s="6" t="s">
        <v>1198</v>
      </c>
      <c r="D3644" s="6" t="s">
        <v>78</v>
      </c>
      <c r="E3644" s="6" t="s">
        <v>1236</v>
      </c>
      <c r="G3644" s="6">
        <v>58</v>
      </c>
      <c r="H3644" s="6">
        <v>40</v>
      </c>
      <c r="I3644" s="7">
        <v>116</v>
      </c>
      <c r="K3644" s="7">
        <v>44007815</v>
      </c>
      <c r="L3644" s="6" t="str">
        <f t="shared" si="343"/>
        <v>SK HELEN  ŞİFONYER FRN-20027 58x40x116</v>
      </c>
      <c r="M3644" s="12">
        <v>0.3</v>
      </c>
      <c r="N3644" s="12">
        <v>0.25</v>
      </c>
      <c r="O3644" s="8">
        <v>5380</v>
      </c>
      <c r="P3644" s="8">
        <f t="shared" si="340"/>
        <v>4035</v>
      </c>
      <c r="Q3644" s="12">
        <f t="shared" si="341"/>
        <v>8473.5</v>
      </c>
      <c r="R3644" s="31">
        <f t="shared" si="342"/>
        <v>8400</v>
      </c>
    </row>
    <row r="3645" spans="1:18" ht="21.95" customHeight="1" x14ac:dyDescent="0.2">
      <c r="A3645" s="6" t="s">
        <v>1151</v>
      </c>
      <c r="B3645" s="6" t="s">
        <v>1593</v>
      </c>
      <c r="C3645" s="6" t="s">
        <v>1198</v>
      </c>
      <c r="D3645" s="6" t="s">
        <v>362</v>
      </c>
      <c r="E3645" s="6" t="s">
        <v>1237</v>
      </c>
      <c r="G3645" s="6">
        <v>50</v>
      </c>
      <c r="H3645" s="6">
        <v>38</v>
      </c>
      <c r="I3645" s="7">
        <v>62</v>
      </c>
      <c r="K3645" s="7">
        <v>44007816</v>
      </c>
      <c r="L3645" s="6" t="str">
        <f t="shared" si="343"/>
        <v>SK HELEN  KOMODİN FRN-20029 50x38x62</v>
      </c>
      <c r="M3645" s="12">
        <v>0.3</v>
      </c>
      <c r="N3645" s="12">
        <v>0.25</v>
      </c>
      <c r="O3645" s="8">
        <v>2600</v>
      </c>
      <c r="P3645" s="8">
        <f t="shared" si="340"/>
        <v>1950</v>
      </c>
      <c r="Q3645" s="12">
        <f t="shared" si="341"/>
        <v>4095</v>
      </c>
      <c r="R3645" s="31">
        <f t="shared" si="342"/>
        <v>4000</v>
      </c>
    </row>
    <row r="3646" spans="1:18" ht="21.95" customHeight="1" x14ac:dyDescent="0.2">
      <c r="A3646" s="6" t="s">
        <v>1151</v>
      </c>
      <c r="B3646" s="6" t="s">
        <v>1593</v>
      </c>
      <c r="C3646" s="6" t="s">
        <v>1198</v>
      </c>
      <c r="D3646" s="6" t="s">
        <v>362</v>
      </c>
      <c r="E3646" s="6" t="s">
        <v>1238</v>
      </c>
      <c r="G3646" s="6">
        <v>40</v>
      </c>
      <c r="H3646" s="6">
        <v>30</v>
      </c>
      <c r="I3646" s="7">
        <v>71</v>
      </c>
      <c r="K3646" s="7">
        <v>44007817</v>
      </c>
      <c r="L3646" s="6" t="str">
        <f t="shared" si="343"/>
        <v>SK HELEN  KOMODİN FRN-20030 40x30x71</v>
      </c>
      <c r="M3646" s="12">
        <v>0.3</v>
      </c>
      <c r="N3646" s="12">
        <v>0.25</v>
      </c>
      <c r="O3646" s="8">
        <v>2100</v>
      </c>
      <c r="P3646" s="8">
        <f t="shared" si="340"/>
        <v>1575</v>
      </c>
      <c r="Q3646" s="12">
        <f t="shared" si="341"/>
        <v>3307.5</v>
      </c>
      <c r="R3646" s="31">
        <f t="shared" si="342"/>
        <v>3300</v>
      </c>
    </row>
    <row r="3647" spans="1:18" ht="21.95" customHeight="1" x14ac:dyDescent="0.2">
      <c r="A3647" s="6"/>
      <c r="B3647" s="6" t="s">
        <v>1593</v>
      </c>
      <c r="C3647" s="6" t="s">
        <v>1198</v>
      </c>
      <c r="D3647" s="6" t="s">
        <v>1974</v>
      </c>
      <c r="E3647" s="6" t="s">
        <v>1977</v>
      </c>
      <c r="G3647" s="6">
        <v>170</v>
      </c>
      <c r="H3647" s="6">
        <v>7</v>
      </c>
      <c r="I3647" s="7">
        <v>102</v>
      </c>
      <c r="K3647" s="7">
        <v>44007818</v>
      </c>
      <c r="L3647" s="6" t="str">
        <f t="shared" si="343"/>
        <v>SK HELEN  KARYOLA BAŞLIĞI  FRN-20063-160B 170x7x102</v>
      </c>
      <c r="M3647" s="12"/>
      <c r="N3647" s="12"/>
      <c r="P3647" s="8"/>
      <c r="Q3647" s="12"/>
    </row>
    <row r="3648" spans="1:18" ht="21.95" customHeight="1" x14ac:dyDescent="0.2">
      <c r="A3648" s="6" t="s">
        <v>1151</v>
      </c>
      <c r="B3648" s="6" t="s">
        <v>1593</v>
      </c>
      <c r="C3648" s="6" t="s">
        <v>1198</v>
      </c>
      <c r="D3648" s="6" t="s">
        <v>1193</v>
      </c>
      <c r="E3648" s="6" t="s">
        <v>1239</v>
      </c>
      <c r="G3648" s="6">
        <v>205</v>
      </c>
      <c r="H3648" s="6">
        <v>169</v>
      </c>
      <c r="I3648" s="7">
        <v>95</v>
      </c>
      <c r="K3648" s="7">
        <v>44007819</v>
      </c>
      <c r="L3648" s="6" t="str">
        <f t="shared" si="343"/>
        <v>SK HELEN  BAŞLIKLI KARYOLA FRN-20063 205x169x95</v>
      </c>
      <c r="M3648" s="12">
        <v>0.3</v>
      </c>
      <c r="N3648" s="12">
        <v>0.25</v>
      </c>
      <c r="O3648" s="8">
        <v>10650</v>
      </c>
      <c r="P3648" s="8">
        <f t="shared" ref="P3648:P3653" si="344">O3648*(1-N3648)</f>
        <v>7987.5</v>
      </c>
      <c r="Q3648" s="12">
        <f t="shared" ref="Q3648:Q3653" si="345">O3648*(1-N3648)*2.1</f>
        <v>16773.75</v>
      </c>
      <c r="R3648" s="31">
        <f t="shared" ref="R3648:R3653" si="346">ROUNDDOWN(Q3648,-2)</f>
        <v>16700</v>
      </c>
    </row>
    <row r="3649" spans="1:18" ht="21.95" customHeight="1" x14ac:dyDescent="0.2">
      <c r="A3649" s="6" t="s">
        <v>1151</v>
      </c>
      <c r="B3649" s="6" t="s">
        <v>1593</v>
      </c>
      <c r="C3649" s="6" t="s">
        <v>1198</v>
      </c>
      <c r="D3649" s="6" t="s">
        <v>1196</v>
      </c>
      <c r="E3649" s="6" t="s">
        <v>1240</v>
      </c>
      <c r="G3649" s="6">
        <v>120</v>
      </c>
      <c r="H3649" s="6">
        <v>60</v>
      </c>
      <c r="I3649" s="7">
        <v>75</v>
      </c>
      <c r="K3649" s="7">
        <v>44007820</v>
      </c>
      <c r="L3649" s="6" t="str">
        <f t="shared" si="343"/>
        <v>SK HELEN  ÇALIŞMA MASASI  FRN-20036 120x60x75</v>
      </c>
      <c r="M3649" s="12">
        <v>0.3</v>
      </c>
      <c r="N3649" s="12">
        <v>0.25</v>
      </c>
      <c r="O3649" s="8">
        <v>4800</v>
      </c>
      <c r="P3649" s="8">
        <f t="shared" si="344"/>
        <v>3600</v>
      </c>
      <c r="Q3649" s="12">
        <f t="shared" si="345"/>
        <v>7560</v>
      </c>
      <c r="R3649" s="31">
        <f t="shared" si="346"/>
        <v>7500</v>
      </c>
    </row>
    <row r="3650" spans="1:18" ht="21.95" customHeight="1" x14ac:dyDescent="0.2">
      <c r="A3650" s="6" t="s">
        <v>1151</v>
      </c>
      <c r="B3650" s="6" t="s">
        <v>1593</v>
      </c>
      <c r="C3650" s="6" t="s">
        <v>1198</v>
      </c>
      <c r="D3650" s="6" t="s">
        <v>1196</v>
      </c>
      <c r="E3650" s="6" t="s">
        <v>1241</v>
      </c>
      <c r="G3650" s="6">
        <v>120</v>
      </c>
      <c r="H3650" s="6">
        <v>50</v>
      </c>
      <c r="I3650" s="7">
        <v>73</v>
      </c>
      <c r="K3650" s="7">
        <v>44007821</v>
      </c>
      <c r="L3650" s="6" t="str">
        <f t="shared" si="343"/>
        <v>SK HELEN  ÇALIŞMA MASASI  FRN-20037 120x50x73</v>
      </c>
      <c r="M3650" s="12">
        <v>0.3</v>
      </c>
      <c r="N3650" s="12">
        <v>0.25</v>
      </c>
      <c r="O3650" s="8">
        <v>3580</v>
      </c>
      <c r="P3650" s="8">
        <f t="shared" si="344"/>
        <v>2685</v>
      </c>
      <c r="Q3650" s="12">
        <f t="shared" si="345"/>
        <v>5638.5</v>
      </c>
      <c r="R3650" s="31">
        <f t="shared" si="346"/>
        <v>5600</v>
      </c>
    </row>
    <row r="3651" spans="1:18" ht="21.95" customHeight="1" x14ac:dyDescent="0.2">
      <c r="A3651" s="21" t="s">
        <v>1151</v>
      </c>
      <c r="B3651" s="21" t="s">
        <v>1593</v>
      </c>
      <c r="C3651" s="21" t="s">
        <v>1198</v>
      </c>
      <c r="D3651" s="21" t="s">
        <v>1196</v>
      </c>
      <c r="E3651" s="21" t="s">
        <v>1242</v>
      </c>
      <c r="F3651" s="21"/>
      <c r="G3651" s="21">
        <v>132</v>
      </c>
      <c r="H3651" s="21">
        <v>60</v>
      </c>
      <c r="I3651" s="22">
        <v>73</v>
      </c>
      <c r="J3651" s="22"/>
      <c r="K3651" s="22">
        <v>44007822</v>
      </c>
      <c r="L3651" s="21" t="str">
        <f t="shared" si="343"/>
        <v>SK HELEN  ÇALIŞMA MASASI  FRN-20038 132x60x73</v>
      </c>
      <c r="M3651" s="23">
        <v>0.3</v>
      </c>
      <c r="N3651" s="23">
        <v>0.25</v>
      </c>
      <c r="O3651" s="23">
        <v>4320</v>
      </c>
      <c r="P3651" s="23">
        <f t="shared" si="344"/>
        <v>3240</v>
      </c>
      <c r="Q3651" s="23">
        <f t="shared" si="345"/>
        <v>6804</v>
      </c>
      <c r="R3651" s="32">
        <f t="shared" si="346"/>
        <v>6800</v>
      </c>
    </row>
    <row r="3652" spans="1:18" ht="21.95" customHeight="1" x14ac:dyDescent="0.2">
      <c r="A3652" s="21" t="s">
        <v>1151</v>
      </c>
      <c r="B3652" s="21" t="s">
        <v>1593</v>
      </c>
      <c r="C3652" s="21" t="s">
        <v>1198</v>
      </c>
      <c r="D3652" s="21" t="s">
        <v>1203</v>
      </c>
      <c r="E3652" s="21" t="s">
        <v>1243</v>
      </c>
      <c r="F3652" s="21"/>
      <c r="G3652" s="21">
        <v>112</v>
      </c>
      <c r="H3652" s="21">
        <v>40</v>
      </c>
      <c r="I3652" s="22">
        <v>123</v>
      </c>
      <c r="J3652" s="22"/>
      <c r="K3652" s="22">
        <v>44007823</v>
      </c>
      <c r="L3652" s="21" t="str">
        <f t="shared" si="343"/>
        <v>SK HELEN  KİTAPLIK BÜFE  FRN-20072 112x40x123</v>
      </c>
      <c r="M3652" s="23">
        <v>0.3</v>
      </c>
      <c r="N3652" s="23">
        <v>0.25</v>
      </c>
      <c r="O3652" s="23">
        <v>4840</v>
      </c>
      <c r="P3652" s="23">
        <f t="shared" si="344"/>
        <v>3630</v>
      </c>
      <c r="Q3652" s="23">
        <f t="shared" si="345"/>
        <v>7623</v>
      </c>
      <c r="R3652" s="32">
        <f t="shared" si="346"/>
        <v>7600</v>
      </c>
    </row>
    <row r="3653" spans="1:18" ht="21.95" customHeight="1" x14ac:dyDescent="0.2">
      <c r="A3653" s="6" t="s">
        <v>1151</v>
      </c>
      <c r="B3653" s="6" t="s">
        <v>1593</v>
      </c>
      <c r="C3653" s="6" t="s">
        <v>1198</v>
      </c>
      <c r="D3653" s="6" t="s">
        <v>1193</v>
      </c>
      <c r="E3653" s="6" t="s">
        <v>1244</v>
      </c>
      <c r="F3653" s="6"/>
      <c r="G3653" s="6">
        <v>195</v>
      </c>
      <c r="H3653" s="6">
        <v>100</v>
      </c>
      <c r="I3653" s="9">
        <v>95</v>
      </c>
      <c r="J3653" s="9"/>
      <c r="K3653" s="7">
        <v>44007824</v>
      </c>
      <c r="L3653" s="6" t="str">
        <f t="shared" si="343"/>
        <v>SK HELEN  BAŞLIKLI KARYOLA FRN-20064 195x100x95</v>
      </c>
      <c r="M3653" s="12">
        <v>0.3</v>
      </c>
      <c r="N3653" s="12">
        <v>0.25</v>
      </c>
      <c r="O3653" s="12">
        <v>7050</v>
      </c>
      <c r="P3653" s="12">
        <f t="shared" si="344"/>
        <v>5287.5</v>
      </c>
      <c r="Q3653" s="12">
        <f t="shared" si="345"/>
        <v>11103.75</v>
      </c>
      <c r="R3653" s="33">
        <f t="shared" si="346"/>
        <v>11100</v>
      </c>
    </row>
    <row r="3654" spans="1:18" ht="21.95" customHeight="1" x14ac:dyDescent="0.2">
      <c r="A3654" s="6"/>
      <c r="B3654" s="6" t="s">
        <v>1593</v>
      </c>
      <c r="C3654" s="6" t="s">
        <v>1198</v>
      </c>
      <c r="D3654" s="6" t="s">
        <v>1974</v>
      </c>
      <c r="E3654" s="6" t="s">
        <v>1982</v>
      </c>
      <c r="G3654" s="6">
        <v>100</v>
      </c>
      <c r="H3654" s="6">
        <v>7</v>
      </c>
      <c r="I3654" s="7">
        <v>102</v>
      </c>
      <c r="K3654" s="7">
        <v>44007825</v>
      </c>
      <c r="L3654" s="6" t="str">
        <f t="shared" si="343"/>
        <v>SK HELEN  KARYOLA BAŞLIĞI  FRN-20064-90B  100x7x102</v>
      </c>
      <c r="M3654" s="12"/>
      <c r="N3654" s="12"/>
      <c r="P3654" s="8"/>
      <c r="Q3654" s="12"/>
    </row>
    <row r="3655" spans="1:18" ht="21.95" customHeight="1" x14ac:dyDescent="0.2">
      <c r="A3655" s="6" t="s">
        <v>1151</v>
      </c>
      <c r="B3655" s="6" t="s">
        <v>1593</v>
      </c>
      <c r="C3655" s="6" t="s">
        <v>1198</v>
      </c>
      <c r="D3655" s="6" t="s">
        <v>1188</v>
      </c>
      <c r="E3655" s="6" t="s">
        <v>1245</v>
      </c>
      <c r="G3655" s="6">
        <v>120</v>
      </c>
      <c r="H3655" s="6">
        <v>59</v>
      </c>
      <c r="I3655" s="7">
        <v>98</v>
      </c>
      <c r="K3655" s="7">
        <v>44007826</v>
      </c>
      <c r="L3655" s="6" t="str">
        <f t="shared" si="343"/>
        <v>SK HELEN  MAKYAJ MASASI  FRN-20083 120x59x98</v>
      </c>
      <c r="M3655" s="12">
        <v>0.3</v>
      </c>
      <c r="N3655" s="12">
        <v>0.25</v>
      </c>
      <c r="O3655" s="8">
        <v>4510</v>
      </c>
      <c r="P3655" s="8">
        <f>O3655*(1-N3655)</f>
        <v>3382.5</v>
      </c>
      <c r="Q3655" s="12">
        <f>O3655*(1-N3655)*2.1</f>
        <v>7103.25</v>
      </c>
      <c r="R3655" s="31">
        <f>ROUNDDOWN(Q3655,-2)</f>
        <v>7100</v>
      </c>
    </row>
    <row r="3656" spans="1:18" ht="21.95" customHeight="1" x14ac:dyDescent="0.2">
      <c r="A3656" s="6"/>
      <c r="B3656" s="6" t="s">
        <v>1593</v>
      </c>
      <c r="C3656" s="6" t="s">
        <v>1198</v>
      </c>
      <c r="D3656" s="6" t="s">
        <v>1972</v>
      </c>
      <c r="E3656" s="6" t="s">
        <v>1978</v>
      </c>
      <c r="G3656" s="6">
        <v>60</v>
      </c>
      <c r="H3656" s="6"/>
      <c r="I3656" s="7">
        <v>60</v>
      </c>
      <c r="K3656" s="7">
        <v>44007827</v>
      </c>
      <c r="L3656" s="6" t="str">
        <f>B3656&amp;" "&amp;C3656&amp;" "&amp;D3656&amp;" "&amp;E3656&amp;" "&amp;G3656&amp;"x"&amp;I3656</f>
        <v>SK HELEN  MAKYAJ MASASI AYNASI  FRN-20083-A1 60x60</v>
      </c>
      <c r="M3656" s="12"/>
      <c r="N3656" s="12"/>
      <c r="P3656" s="8"/>
      <c r="Q3656" s="12"/>
    </row>
    <row r="3657" spans="1:18" ht="21.95" customHeight="1" x14ac:dyDescent="0.2">
      <c r="A3657" s="6" t="s">
        <v>1151</v>
      </c>
      <c r="B3657" s="6" t="s">
        <v>1593</v>
      </c>
      <c r="C3657" s="6" t="s">
        <v>1198</v>
      </c>
      <c r="D3657" s="6" t="s">
        <v>1246</v>
      </c>
      <c r="E3657" s="6" t="s">
        <v>1247</v>
      </c>
      <c r="G3657" s="6">
        <v>63</v>
      </c>
      <c r="H3657" s="6">
        <v>38</v>
      </c>
      <c r="I3657" s="7">
        <v>190</v>
      </c>
      <c r="K3657" s="7">
        <v>44007828</v>
      </c>
      <c r="L3657" s="6" t="str">
        <f t="shared" ref="L3657:L3692" si="347">B3657&amp;" "&amp;C3657&amp;" "&amp;D3657&amp;" "&amp;E3657&amp;" "&amp;G3657&amp;"x"&amp;H3657&amp;"x"&amp;I3657</f>
        <v>SK HELEN  PORTMANTO FRN-20077 63x38x190</v>
      </c>
      <c r="M3657" s="12">
        <v>0.3</v>
      </c>
      <c r="N3657" s="12">
        <v>0.25</v>
      </c>
      <c r="O3657" s="8">
        <v>3600</v>
      </c>
      <c r="P3657" s="8">
        <f t="shared" ref="P3657:P3679" si="348">O3657*(1-N3657)</f>
        <v>2700</v>
      </c>
      <c r="Q3657" s="12">
        <f t="shared" ref="Q3657:Q3679" si="349">O3657*(1-N3657)*2.1</f>
        <v>5670</v>
      </c>
      <c r="R3657" s="31">
        <f t="shared" ref="R3657:R3679" si="350">ROUNDDOWN(Q3657,-2)</f>
        <v>5600</v>
      </c>
    </row>
    <row r="3658" spans="1:18" ht="21.95" customHeight="1" x14ac:dyDescent="0.2">
      <c r="A3658" s="6" t="s">
        <v>1151</v>
      </c>
      <c r="B3658" s="6" t="s">
        <v>1593</v>
      </c>
      <c r="C3658" s="6" t="s">
        <v>1198</v>
      </c>
      <c r="D3658" s="6" t="s">
        <v>1246</v>
      </c>
      <c r="E3658" s="6" t="s">
        <v>1248</v>
      </c>
      <c r="G3658" s="6">
        <v>63</v>
      </c>
      <c r="H3658" s="6">
        <v>38</v>
      </c>
      <c r="I3658" s="7">
        <v>190</v>
      </c>
      <c r="K3658" s="7">
        <v>44007829</v>
      </c>
      <c r="L3658" s="6" t="str">
        <f t="shared" si="347"/>
        <v>SK HELEN  PORTMANTO FRN-20078 63x38x190</v>
      </c>
      <c r="M3658" s="12">
        <v>0.3</v>
      </c>
      <c r="N3658" s="12">
        <v>0.25</v>
      </c>
      <c r="O3658" s="8">
        <v>4830</v>
      </c>
      <c r="P3658" s="8">
        <f t="shared" si="348"/>
        <v>3622.5</v>
      </c>
      <c r="Q3658" s="12">
        <f t="shared" si="349"/>
        <v>7607.25</v>
      </c>
      <c r="R3658" s="31">
        <f t="shared" si="350"/>
        <v>7600</v>
      </c>
    </row>
    <row r="3659" spans="1:18" ht="21.95" customHeight="1" x14ac:dyDescent="0.2">
      <c r="A3659" s="6" t="s">
        <v>1151</v>
      </c>
      <c r="B3659" s="6" t="s">
        <v>1593</v>
      </c>
      <c r="C3659" s="6" t="s">
        <v>1198</v>
      </c>
      <c r="D3659" s="6" t="s">
        <v>1246</v>
      </c>
      <c r="E3659" s="6" t="s">
        <v>1249</v>
      </c>
      <c r="G3659" s="6">
        <v>63</v>
      </c>
      <c r="H3659" s="6">
        <v>38</v>
      </c>
      <c r="I3659" s="7">
        <v>190</v>
      </c>
      <c r="K3659" s="7">
        <v>44007830</v>
      </c>
      <c r="L3659" s="6" t="str">
        <f t="shared" si="347"/>
        <v>SK HELEN  PORTMANTO FRN-20079 63x38x190</v>
      </c>
      <c r="M3659" s="12">
        <v>0.3</v>
      </c>
      <c r="N3659" s="12">
        <v>0.25</v>
      </c>
      <c r="O3659" s="8">
        <v>5790</v>
      </c>
      <c r="P3659" s="8">
        <f t="shared" si="348"/>
        <v>4342.5</v>
      </c>
      <c r="Q3659" s="12">
        <f t="shared" si="349"/>
        <v>9119.25</v>
      </c>
      <c r="R3659" s="31">
        <f t="shared" si="350"/>
        <v>9100</v>
      </c>
    </row>
    <row r="3660" spans="1:18" ht="21.95" customHeight="1" x14ac:dyDescent="0.2">
      <c r="A3660" s="6" t="s">
        <v>1151</v>
      </c>
      <c r="B3660" s="6" t="s">
        <v>1593</v>
      </c>
      <c r="C3660" s="6" t="s">
        <v>1198</v>
      </c>
      <c r="D3660" s="6" t="s">
        <v>1246</v>
      </c>
      <c r="E3660" s="6" t="s">
        <v>1250</v>
      </c>
      <c r="G3660" s="6">
        <v>63</v>
      </c>
      <c r="H3660" s="6">
        <v>38</v>
      </c>
      <c r="I3660" s="7">
        <v>190</v>
      </c>
      <c r="K3660" s="7">
        <v>44007831</v>
      </c>
      <c r="L3660" s="6" t="str">
        <f t="shared" si="347"/>
        <v>SK HELEN  PORTMANTO FRN-20080 63x38x190</v>
      </c>
      <c r="M3660" s="12">
        <v>0.3</v>
      </c>
      <c r="N3660" s="12">
        <v>0.25</v>
      </c>
      <c r="O3660" s="8">
        <v>5420</v>
      </c>
      <c r="P3660" s="8">
        <f t="shared" si="348"/>
        <v>4065</v>
      </c>
      <c r="Q3660" s="12">
        <f t="shared" si="349"/>
        <v>8536.5</v>
      </c>
      <c r="R3660" s="31">
        <f t="shared" si="350"/>
        <v>8500</v>
      </c>
    </row>
    <row r="3661" spans="1:18" ht="21.95" customHeight="1" x14ac:dyDescent="0.2">
      <c r="A3661" s="6" t="s">
        <v>1151</v>
      </c>
      <c r="B3661" s="6" t="s">
        <v>1593</v>
      </c>
      <c r="C3661" s="6" t="s">
        <v>1198</v>
      </c>
      <c r="D3661" s="6" t="s">
        <v>1251</v>
      </c>
      <c r="E3661" s="6" t="s">
        <v>1252</v>
      </c>
      <c r="G3661" s="6">
        <v>90</v>
      </c>
      <c r="H3661" s="6">
        <v>35</v>
      </c>
      <c r="I3661" s="7">
        <v>118</v>
      </c>
      <c r="K3661" s="7">
        <v>44007832</v>
      </c>
      <c r="L3661" s="6" t="str">
        <f t="shared" si="347"/>
        <v>SK HELEN  AYAKKABILIK  FRN-20046 90x35x118</v>
      </c>
      <c r="M3661" s="12">
        <v>0.3</v>
      </c>
      <c r="N3661" s="12">
        <v>0.25</v>
      </c>
      <c r="O3661" s="8">
        <v>5270</v>
      </c>
      <c r="P3661" s="8">
        <f t="shared" si="348"/>
        <v>3952.5</v>
      </c>
      <c r="Q3661" s="12">
        <f t="shared" si="349"/>
        <v>8300.25</v>
      </c>
      <c r="R3661" s="31">
        <f t="shared" si="350"/>
        <v>8300</v>
      </c>
    </row>
    <row r="3662" spans="1:18" ht="21.95" customHeight="1" x14ac:dyDescent="0.2">
      <c r="A3662" s="21" t="s">
        <v>1151</v>
      </c>
      <c r="B3662" s="21" t="s">
        <v>1593</v>
      </c>
      <c r="C3662" s="21" t="s">
        <v>1198</v>
      </c>
      <c r="D3662" s="21" t="s">
        <v>1251</v>
      </c>
      <c r="E3662" s="21" t="s">
        <v>1253</v>
      </c>
      <c r="F3662" s="21"/>
      <c r="G3662" s="21">
        <v>92</v>
      </c>
      <c r="H3662" s="21">
        <v>38</v>
      </c>
      <c r="I3662" s="22">
        <v>106</v>
      </c>
      <c r="J3662" s="22"/>
      <c r="K3662" s="22">
        <v>44007833</v>
      </c>
      <c r="L3662" s="21" t="str">
        <f t="shared" si="347"/>
        <v>SK HELEN  AYAKKABILIK  FRN-20047 92x38x106</v>
      </c>
      <c r="M3662" s="23">
        <v>0.3</v>
      </c>
      <c r="N3662" s="23">
        <v>0.25</v>
      </c>
      <c r="O3662" s="23">
        <v>5390</v>
      </c>
      <c r="P3662" s="23">
        <f t="shared" si="348"/>
        <v>4042.5</v>
      </c>
      <c r="Q3662" s="23">
        <f t="shared" si="349"/>
        <v>8489.25</v>
      </c>
      <c r="R3662" s="32">
        <f t="shared" si="350"/>
        <v>8400</v>
      </c>
    </row>
    <row r="3663" spans="1:18" ht="21.95" customHeight="1" x14ac:dyDescent="0.2">
      <c r="A3663" s="6" t="s">
        <v>1151</v>
      </c>
      <c r="B3663" s="6" t="s">
        <v>1593</v>
      </c>
      <c r="C3663" s="6" t="s">
        <v>1198</v>
      </c>
      <c r="D3663" s="6" t="s">
        <v>1251</v>
      </c>
      <c r="E3663" s="6" t="s">
        <v>1254</v>
      </c>
      <c r="G3663" s="6">
        <v>101</v>
      </c>
      <c r="H3663" s="6">
        <v>29</v>
      </c>
      <c r="I3663" s="7">
        <v>100</v>
      </c>
      <c r="K3663" s="7">
        <v>44007834</v>
      </c>
      <c r="L3663" s="6" t="str">
        <f t="shared" si="347"/>
        <v>SK HELEN  AYAKKABILIK  FRN-20048 101x29x100</v>
      </c>
      <c r="M3663" s="12">
        <v>0.3</v>
      </c>
      <c r="N3663" s="12">
        <v>0.25</v>
      </c>
      <c r="O3663" s="8">
        <v>4480</v>
      </c>
      <c r="P3663" s="8">
        <f t="shared" si="348"/>
        <v>3360</v>
      </c>
      <c r="Q3663" s="12">
        <f t="shared" si="349"/>
        <v>7056</v>
      </c>
      <c r="R3663" s="31">
        <f t="shared" si="350"/>
        <v>7000</v>
      </c>
    </row>
    <row r="3664" spans="1:18" ht="21.95" customHeight="1" x14ac:dyDescent="0.2">
      <c r="A3664" s="6" t="s">
        <v>1151</v>
      </c>
      <c r="B3664" s="6" t="s">
        <v>1593</v>
      </c>
      <c r="C3664" s="6" t="s">
        <v>1198</v>
      </c>
      <c r="D3664" s="6" t="s">
        <v>1251</v>
      </c>
      <c r="E3664" s="6" t="s">
        <v>1255</v>
      </c>
      <c r="G3664" s="6">
        <v>101</v>
      </c>
      <c r="H3664" s="6">
        <v>29</v>
      </c>
      <c r="I3664" s="7">
        <v>114</v>
      </c>
      <c r="K3664" s="7">
        <v>44007835</v>
      </c>
      <c r="L3664" s="6" t="str">
        <f t="shared" si="347"/>
        <v>SK HELEN  AYAKKABILIK  FRN-20049 101x29x114</v>
      </c>
      <c r="M3664" s="12">
        <v>0.3</v>
      </c>
      <c r="N3664" s="12">
        <v>0.25</v>
      </c>
      <c r="O3664" s="8">
        <v>5370</v>
      </c>
      <c r="P3664" s="8">
        <f t="shared" si="348"/>
        <v>4027.5</v>
      </c>
      <c r="Q3664" s="12">
        <f t="shared" si="349"/>
        <v>8457.75</v>
      </c>
      <c r="R3664" s="31">
        <f t="shared" si="350"/>
        <v>8400</v>
      </c>
    </row>
    <row r="3665" spans="1:18" ht="21.95" customHeight="1" x14ac:dyDescent="0.2">
      <c r="A3665" s="21" t="s">
        <v>1151</v>
      </c>
      <c r="B3665" s="21" t="s">
        <v>1593</v>
      </c>
      <c r="C3665" s="21" t="s">
        <v>1198</v>
      </c>
      <c r="D3665" s="21" t="s">
        <v>1256</v>
      </c>
      <c r="E3665" s="21" t="s">
        <v>1257</v>
      </c>
      <c r="F3665" s="21"/>
      <c r="G3665" s="21">
        <v>70</v>
      </c>
      <c r="H3665" s="21">
        <v>45</v>
      </c>
      <c r="I3665" s="22">
        <v>195</v>
      </c>
      <c r="J3665" s="22"/>
      <c r="K3665" s="22">
        <v>44007836</v>
      </c>
      <c r="L3665" s="21" t="str">
        <f t="shared" si="347"/>
        <v>SK HELEN  ÇOK AMAÇLI DOLAP  FRN-20040 70x45x195</v>
      </c>
      <c r="M3665" s="23">
        <v>0.3</v>
      </c>
      <c r="N3665" s="23">
        <v>0.25</v>
      </c>
      <c r="O3665" s="23">
        <v>7560</v>
      </c>
      <c r="P3665" s="23">
        <f t="shared" si="348"/>
        <v>5670</v>
      </c>
      <c r="Q3665" s="23">
        <f t="shared" si="349"/>
        <v>11907</v>
      </c>
      <c r="R3665" s="32">
        <f t="shared" si="350"/>
        <v>11900</v>
      </c>
    </row>
    <row r="3666" spans="1:18" ht="21.95" customHeight="1" x14ac:dyDescent="0.2">
      <c r="A3666" s="6" t="s">
        <v>1151</v>
      </c>
      <c r="B3666" s="6" t="s">
        <v>1593</v>
      </c>
      <c r="C3666" s="6" t="s">
        <v>1198</v>
      </c>
      <c r="D3666" s="6" t="s">
        <v>1256</v>
      </c>
      <c r="E3666" s="6" t="s">
        <v>1258</v>
      </c>
      <c r="G3666" s="6">
        <v>93</v>
      </c>
      <c r="H3666" s="6">
        <v>40</v>
      </c>
      <c r="I3666" s="7">
        <v>159</v>
      </c>
      <c r="K3666" s="7">
        <v>44007837</v>
      </c>
      <c r="L3666" s="6" t="str">
        <f t="shared" si="347"/>
        <v>SK HELEN  ÇOK AMAÇLI DOLAP  FRN-20041 93x40x159</v>
      </c>
      <c r="M3666" s="12">
        <v>0.3</v>
      </c>
      <c r="N3666" s="12">
        <v>0.25</v>
      </c>
      <c r="O3666" s="8">
        <v>6450</v>
      </c>
      <c r="P3666" s="8">
        <f t="shared" si="348"/>
        <v>4837.5</v>
      </c>
      <c r="Q3666" s="12">
        <f t="shared" si="349"/>
        <v>10158.75</v>
      </c>
      <c r="R3666" s="31">
        <f t="shared" si="350"/>
        <v>10100</v>
      </c>
    </row>
    <row r="3667" spans="1:18" ht="21.95" customHeight="1" x14ac:dyDescent="0.2">
      <c r="A3667" s="21" t="s">
        <v>1151</v>
      </c>
      <c r="B3667" s="21" t="s">
        <v>1593</v>
      </c>
      <c r="C3667" s="21" t="s">
        <v>1259</v>
      </c>
      <c r="D3667" s="21" t="s">
        <v>49</v>
      </c>
      <c r="E3667" s="21" t="s">
        <v>1260</v>
      </c>
      <c r="F3667" s="21"/>
      <c r="G3667" s="21">
        <v>150</v>
      </c>
      <c r="H3667" s="21">
        <v>35</v>
      </c>
      <c r="I3667" s="22">
        <v>90</v>
      </c>
      <c r="J3667" s="22"/>
      <c r="K3667" s="22">
        <v>44007838</v>
      </c>
      <c r="L3667" s="21" t="str">
        <f t="shared" si="347"/>
        <v>SK INDEPENDENT KONSOL FRN-22046 150x35x90</v>
      </c>
      <c r="M3667" s="23">
        <v>0.3</v>
      </c>
      <c r="N3667" s="23">
        <v>0.25</v>
      </c>
      <c r="O3667" s="23">
        <v>7480</v>
      </c>
      <c r="P3667" s="23">
        <f t="shared" si="348"/>
        <v>5610</v>
      </c>
      <c r="Q3667" s="23">
        <f t="shared" si="349"/>
        <v>11781</v>
      </c>
      <c r="R3667" s="32">
        <f t="shared" si="350"/>
        <v>11700</v>
      </c>
    </row>
    <row r="3668" spans="1:18" ht="21.95" customHeight="1" x14ac:dyDescent="0.2">
      <c r="A3668" s="21" t="s">
        <v>1151</v>
      </c>
      <c r="B3668" s="21" t="s">
        <v>1593</v>
      </c>
      <c r="C3668" s="21" t="s">
        <v>1259</v>
      </c>
      <c r="D3668" s="21" t="s">
        <v>1164</v>
      </c>
      <c r="E3668" s="21" t="s">
        <v>1261</v>
      </c>
      <c r="F3668" s="21"/>
      <c r="G3668" s="21">
        <v>160</v>
      </c>
      <c r="H3668" s="21">
        <v>35</v>
      </c>
      <c r="I3668" s="22">
        <v>60</v>
      </c>
      <c r="J3668" s="22"/>
      <c r="K3668" s="22">
        <v>44007839</v>
      </c>
      <c r="L3668" s="21" t="str">
        <f t="shared" si="347"/>
        <v>SK INDEPENDENT TV ÜNİTESİ  FRN-22001 160x35x60</v>
      </c>
      <c r="M3668" s="23">
        <v>0.3</v>
      </c>
      <c r="N3668" s="23">
        <v>0.25</v>
      </c>
      <c r="O3668" s="23">
        <v>5290</v>
      </c>
      <c r="P3668" s="23">
        <f t="shared" si="348"/>
        <v>3967.5</v>
      </c>
      <c r="Q3668" s="23">
        <f t="shared" si="349"/>
        <v>8331.75</v>
      </c>
      <c r="R3668" s="32">
        <f t="shared" si="350"/>
        <v>8300</v>
      </c>
    </row>
    <row r="3669" spans="1:18" ht="21.95" customHeight="1" x14ac:dyDescent="0.2">
      <c r="A3669" s="21" t="s">
        <v>1151</v>
      </c>
      <c r="B3669" s="21" t="s">
        <v>1593</v>
      </c>
      <c r="C3669" s="21" t="s">
        <v>1259</v>
      </c>
      <c r="D3669" s="21" t="s">
        <v>1164</v>
      </c>
      <c r="E3669" s="21" t="s">
        <v>1262</v>
      </c>
      <c r="F3669" s="21"/>
      <c r="G3669" s="21">
        <v>160</v>
      </c>
      <c r="H3669" s="21">
        <v>35</v>
      </c>
      <c r="I3669" s="22">
        <v>60</v>
      </c>
      <c r="J3669" s="22"/>
      <c r="K3669" s="22">
        <v>44007840</v>
      </c>
      <c r="L3669" s="21" t="str">
        <f t="shared" si="347"/>
        <v>SK INDEPENDENT TV ÜNİTESİ  FRN-22000 160x35x60</v>
      </c>
      <c r="M3669" s="23">
        <v>0.3</v>
      </c>
      <c r="N3669" s="23">
        <v>0.25</v>
      </c>
      <c r="O3669" s="23">
        <v>4910</v>
      </c>
      <c r="P3669" s="23">
        <f t="shared" si="348"/>
        <v>3682.5</v>
      </c>
      <c r="Q3669" s="23">
        <f t="shared" si="349"/>
        <v>7733.25</v>
      </c>
      <c r="R3669" s="32">
        <f t="shared" si="350"/>
        <v>7700</v>
      </c>
    </row>
    <row r="3670" spans="1:18" ht="21.95" customHeight="1" x14ac:dyDescent="0.2">
      <c r="A3670" s="21" t="s">
        <v>1151</v>
      </c>
      <c r="B3670" s="21" t="s">
        <v>1593</v>
      </c>
      <c r="C3670" s="21" t="s">
        <v>1259</v>
      </c>
      <c r="D3670" s="21" t="s">
        <v>1164</v>
      </c>
      <c r="E3670" s="21" t="s">
        <v>1263</v>
      </c>
      <c r="F3670" s="21"/>
      <c r="G3670" s="21">
        <v>180</v>
      </c>
      <c r="H3670" s="21">
        <v>35</v>
      </c>
      <c r="I3670" s="22">
        <v>51</v>
      </c>
      <c r="J3670" s="22"/>
      <c r="K3670" s="22">
        <v>44007841</v>
      </c>
      <c r="L3670" s="21" t="str">
        <f t="shared" si="347"/>
        <v>SK INDEPENDENT TV ÜNİTESİ  FRN-22045 180x35x51</v>
      </c>
      <c r="M3670" s="23">
        <v>0.3</v>
      </c>
      <c r="N3670" s="23">
        <v>0.25</v>
      </c>
      <c r="O3670" s="23">
        <v>5080</v>
      </c>
      <c r="P3670" s="23">
        <f t="shared" si="348"/>
        <v>3810</v>
      </c>
      <c r="Q3670" s="23">
        <f t="shared" si="349"/>
        <v>8001</v>
      </c>
      <c r="R3670" s="32">
        <f t="shared" si="350"/>
        <v>8000</v>
      </c>
    </row>
    <row r="3671" spans="1:18" ht="21.95" customHeight="1" x14ac:dyDescent="0.2">
      <c r="A3671" s="21" t="s">
        <v>1151</v>
      </c>
      <c r="B3671" s="21" t="s">
        <v>1593</v>
      </c>
      <c r="C3671" s="21" t="s">
        <v>1259</v>
      </c>
      <c r="D3671" s="21" t="s">
        <v>1164</v>
      </c>
      <c r="E3671" s="21" t="s">
        <v>1264</v>
      </c>
      <c r="F3671" s="21"/>
      <c r="G3671" s="21">
        <v>150</v>
      </c>
      <c r="H3671" s="21">
        <v>35</v>
      </c>
      <c r="I3671" s="22">
        <v>52</v>
      </c>
      <c r="J3671" s="22"/>
      <c r="K3671" s="22">
        <v>44007842</v>
      </c>
      <c r="L3671" s="21" t="str">
        <f t="shared" si="347"/>
        <v>SK INDEPENDENT TV ÜNİTESİ  FRN-22008 150x35x52</v>
      </c>
      <c r="M3671" s="23">
        <v>0.3</v>
      </c>
      <c r="N3671" s="23">
        <v>0.25</v>
      </c>
      <c r="O3671" s="23">
        <v>4110</v>
      </c>
      <c r="P3671" s="23">
        <f t="shared" si="348"/>
        <v>3082.5</v>
      </c>
      <c r="Q3671" s="23">
        <f t="shared" si="349"/>
        <v>6473.25</v>
      </c>
      <c r="R3671" s="32">
        <f t="shared" si="350"/>
        <v>6400</v>
      </c>
    </row>
    <row r="3672" spans="1:18" ht="21.95" customHeight="1" x14ac:dyDescent="0.2">
      <c r="A3672" s="21" t="s">
        <v>1151</v>
      </c>
      <c r="B3672" s="21" t="s">
        <v>1593</v>
      </c>
      <c r="C3672" s="21" t="s">
        <v>1259</v>
      </c>
      <c r="D3672" s="21" t="s">
        <v>1203</v>
      </c>
      <c r="E3672" s="21" t="s">
        <v>1265</v>
      </c>
      <c r="F3672" s="21"/>
      <c r="G3672" s="21">
        <v>120</v>
      </c>
      <c r="H3672" s="21">
        <v>30</v>
      </c>
      <c r="I3672" s="22">
        <v>140</v>
      </c>
      <c r="J3672" s="22"/>
      <c r="K3672" s="22">
        <v>44007843</v>
      </c>
      <c r="L3672" s="21" t="str">
        <f t="shared" si="347"/>
        <v>SK INDEPENDENT KİTAPLIK BÜFE  FRN-22049 120x30x140</v>
      </c>
      <c r="M3672" s="23">
        <v>0.3</v>
      </c>
      <c r="N3672" s="23">
        <v>0.25</v>
      </c>
      <c r="O3672" s="23">
        <v>6180</v>
      </c>
      <c r="P3672" s="23">
        <f t="shared" si="348"/>
        <v>4635</v>
      </c>
      <c r="Q3672" s="23">
        <f t="shared" si="349"/>
        <v>9733.5</v>
      </c>
      <c r="R3672" s="32">
        <f t="shared" si="350"/>
        <v>9700</v>
      </c>
    </row>
    <row r="3673" spans="1:18" ht="21.95" customHeight="1" x14ac:dyDescent="0.2">
      <c r="A3673" s="21" t="s">
        <v>1151</v>
      </c>
      <c r="B3673" s="21" t="s">
        <v>1593</v>
      </c>
      <c r="C3673" s="21" t="s">
        <v>1259</v>
      </c>
      <c r="D3673" s="21" t="s">
        <v>530</v>
      </c>
      <c r="E3673" s="21" t="s">
        <v>1266</v>
      </c>
      <c r="F3673" s="21"/>
      <c r="G3673" s="21">
        <v>120</v>
      </c>
      <c r="H3673" s="21">
        <v>25</v>
      </c>
      <c r="I3673" s="22">
        <v>145</v>
      </c>
      <c r="J3673" s="22"/>
      <c r="K3673" s="22">
        <v>44007844</v>
      </c>
      <c r="L3673" s="21" t="str">
        <f t="shared" si="347"/>
        <v>SK INDEPENDENT KİTAPLIK  FRN-22033 120x25x145</v>
      </c>
      <c r="M3673" s="23">
        <v>0.3</v>
      </c>
      <c r="N3673" s="23">
        <v>0.25</v>
      </c>
      <c r="O3673" s="23">
        <v>5800</v>
      </c>
      <c r="P3673" s="23">
        <f t="shared" si="348"/>
        <v>4350</v>
      </c>
      <c r="Q3673" s="23">
        <f t="shared" si="349"/>
        <v>9135</v>
      </c>
      <c r="R3673" s="32">
        <f t="shared" si="350"/>
        <v>9100</v>
      </c>
    </row>
    <row r="3674" spans="1:18" ht="21.95" customHeight="1" x14ac:dyDescent="0.2">
      <c r="A3674" s="21" t="s">
        <v>1151</v>
      </c>
      <c r="B3674" s="21" t="s">
        <v>1593</v>
      </c>
      <c r="C3674" s="21" t="s">
        <v>1259</v>
      </c>
      <c r="D3674" s="21" t="s">
        <v>1196</v>
      </c>
      <c r="E3674" s="21" t="s">
        <v>1267</v>
      </c>
      <c r="F3674" s="21"/>
      <c r="G3674" s="21">
        <v>120</v>
      </c>
      <c r="H3674" s="21">
        <v>60</v>
      </c>
      <c r="I3674" s="22">
        <v>120</v>
      </c>
      <c r="J3674" s="22"/>
      <c r="K3674" s="22">
        <v>44007845</v>
      </c>
      <c r="L3674" s="21" t="str">
        <f t="shared" si="347"/>
        <v>SK INDEPENDENT ÇALIŞMA MASASI  FRN-22037 120x60x120</v>
      </c>
      <c r="M3674" s="23">
        <v>0.3</v>
      </c>
      <c r="N3674" s="23">
        <v>0.25</v>
      </c>
      <c r="O3674" s="23">
        <v>5880</v>
      </c>
      <c r="P3674" s="23">
        <f t="shared" si="348"/>
        <v>4410</v>
      </c>
      <c r="Q3674" s="23">
        <f t="shared" si="349"/>
        <v>9261</v>
      </c>
      <c r="R3674" s="32">
        <f t="shared" si="350"/>
        <v>9200</v>
      </c>
    </row>
    <row r="3675" spans="1:18" ht="21.95" customHeight="1" x14ac:dyDescent="0.2">
      <c r="A3675" s="21" t="s">
        <v>1151</v>
      </c>
      <c r="B3675" s="21" t="s">
        <v>1593</v>
      </c>
      <c r="C3675" s="21" t="s">
        <v>1259</v>
      </c>
      <c r="D3675" s="21" t="s">
        <v>1196</v>
      </c>
      <c r="E3675" s="21" t="s">
        <v>1268</v>
      </c>
      <c r="F3675" s="21"/>
      <c r="G3675" s="21">
        <v>90</v>
      </c>
      <c r="H3675" s="21">
        <v>60</v>
      </c>
      <c r="I3675" s="22">
        <v>120</v>
      </c>
      <c r="J3675" s="22"/>
      <c r="K3675" s="22">
        <v>44007846</v>
      </c>
      <c r="L3675" s="21" t="str">
        <f t="shared" si="347"/>
        <v>SK INDEPENDENT ÇALIŞMA MASASI  FRN-22047 90x60x120</v>
      </c>
      <c r="M3675" s="23">
        <v>0.3</v>
      </c>
      <c r="N3675" s="23">
        <v>0.25</v>
      </c>
      <c r="O3675" s="23">
        <v>5590</v>
      </c>
      <c r="P3675" s="23">
        <f t="shared" si="348"/>
        <v>4192.5</v>
      </c>
      <c r="Q3675" s="23">
        <f t="shared" si="349"/>
        <v>8804.25</v>
      </c>
      <c r="R3675" s="32">
        <f t="shared" si="350"/>
        <v>8800</v>
      </c>
    </row>
    <row r="3676" spans="1:18" ht="21.95" customHeight="1" x14ac:dyDescent="0.2">
      <c r="A3676" s="21" t="s">
        <v>1151</v>
      </c>
      <c r="B3676" s="21" t="s">
        <v>1593</v>
      </c>
      <c r="C3676" s="21" t="s">
        <v>1259</v>
      </c>
      <c r="D3676" s="21" t="s">
        <v>1196</v>
      </c>
      <c r="E3676" s="21" t="s">
        <v>1269</v>
      </c>
      <c r="F3676" s="21"/>
      <c r="G3676" s="21">
        <v>120</v>
      </c>
      <c r="H3676" s="21">
        <v>45</v>
      </c>
      <c r="I3676" s="22">
        <v>72</v>
      </c>
      <c r="J3676" s="22"/>
      <c r="K3676" s="22">
        <v>44007847</v>
      </c>
      <c r="L3676" s="21" t="str">
        <f t="shared" si="347"/>
        <v>SK INDEPENDENT ÇALIŞMA MASASI  FRN-22040 120x45x72</v>
      </c>
      <c r="M3676" s="23">
        <v>0.3</v>
      </c>
      <c r="N3676" s="23">
        <v>0.25</v>
      </c>
      <c r="O3676" s="23">
        <v>3750</v>
      </c>
      <c r="P3676" s="23">
        <f t="shared" si="348"/>
        <v>2812.5</v>
      </c>
      <c r="Q3676" s="23">
        <f t="shared" si="349"/>
        <v>5906.25</v>
      </c>
      <c r="R3676" s="32">
        <f t="shared" si="350"/>
        <v>5900</v>
      </c>
    </row>
    <row r="3677" spans="1:18" ht="21.95" customHeight="1" x14ac:dyDescent="0.2">
      <c r="A3677" s="21" t="s">
        <v>1151</v>
      </c>
      <c r="B3677" s="21" t="s">
        <v>1593</v>
      </c>
      <c r="C3677" s="21" t="s">
        <v>1259</v>
      </c>
      <c r="D3677" s="21" t="s">
        <v>1196</v>
      </c>
      <c r="E3677" s="21" t="s">
        <v>1270</v>
      </c>
      <c r="F3677" s="21"/>
      <c r="G3677" s="22" t="s">
        <v>1271</v>
      </c>
      <c r="H3677" s="22" t="s">
        <v>1272</v>
      </c>
      <c r="I3677" s="22" t="s">
        <v>1273</v>
      </c>
      <c r="J3677" s="22"/>
      <c r="K3677" s="22">
        <v>44007848</v>
      </c>
      <c r="L3677" s="21" t="str">
        <f t="shared" si="347"/>
        <v>SK INDEPENDENT ÇALIŞMA MASASI  FRN-22048 115-115x27-138x93-93</v>
      </c>
      <c r="M3677" s="23">
        <v>0.3</v>
      </c>
      <c r="N3677" s="23">
        <v>0.25</v>
      </c>
      <c r="O3677" s="23">
        <v>5550</v>
      </c>
      <c r="P3677" s="23">
        <f t="shared" si="348"/>
        <v>4162.5</v>
      </c>
      <c r="Q3677" s="23">
        <f t="shared" si="349"/>
        <v>8741.25</v>
      </c>
      <c r="R3677" s="32">
        <f t="shared" si="350"/>
        <v>8700</v>
      </c>
    </row>
    <row r="3678" spans="1:18" ht="21.95" customHeight="1" x14ac:dyDescent="0.2">
      <c r="A3678" s="21" t="s">
        <v>1151</v>
      </c>
      <c r="B3678" s="21" t="s">
        <v>1593</v>
      </c>
      <c r="C3678" s="21" t="s">
        <v>1259</v>
      </c>
      <c r="D3678" s="21" t="s">
        <v>362</v>
      </c>
      <c r="E3678" s="21" t="s">
        <v>1274</v>
      </c>
      <c r="F3678" s="21"/>
      <c r="G3678" s="21">
        <v>45</v>
      </c>
      <c r="H3678" s="21">
        <v>30</v>
      </c>
      <c r="I3678" s="22">
        <v>70</v>
      </c>
      <c r="J3678" s="22"/>
      <c r="K3678" s="22">
        <v>44007849</v>
      </c>
      <c r="L3678" s="21" t="str">
        <f t="shared" si="347"/>
        <v>SK INDEPENDENT KOMODİN FRN-22031 45x30x70</v>
      </c>
      <c r="M3678" s="23">
        <v>0.3</v>
      </c>
      <c r="N3678" s="23">
        <v>0.25</v>
      </c>
      <c r="O3678" s="23">
        <v>2780</v>
      </c>
      <c r="P3678" s="23">
        <f t="shared" si="348"/>
        <v>2085</v>
      </c>
      <c r="Q3678" s="23">
        <f t="shared" si="349"/>
        <v>4378.5</v>
      </c>
      <c r="R3678" s="32">
        <f t="shared" si="350"/>
        <v>4300</v>
      </c>
    </row>
    <row r="3679" spans="1:18" ht="21.95" customHeight="1" x14ac:dyDescent="0.2">
      <c r="A3679" s="6" t="s">
        <v>1151</v>
      </c>
      <c r="B3679" s="6" t="s">
        <v>1593</v>
      </c>
      <c r="C3679" s="6" t="s">
        <v>1259</v>
      </c>
      <c r="D3679" s="6" t="s">
        <v>1251</v>
      </c>
      <c r="E3679" s="6" t="s">
        <v>1275</v>
      </c>
      <c r="G3679" s="6">
        <v>100</v>
      </c>
      <c r="H3679" s="6">
        <v>28</v>
      </c>
      <c r="I3679" s="7">
        <v>134</v>
      </c>
      <c r="K3679" s="7">
        <v>44007850</v>
      </c>
      <c r="L3679" s="6" t="str">
        <f t="shared" si="347"/>
        <v>SK INDEPENDENT AYAKKABILIK  FRN-22044 100x28x134</v>
      </c>
      <c r="M3679" s="12">
        <v>0.3</v>
      </c>
      <c r="N3679" s="12">
        <v>0.25</v>
      </c>
      <c r="O3679" s="8">
        <v>6000</v>
      </c>
      <c r="P3679" s="8">
        <f t="shared" si="348"/>
        <v>4500</v>
      </c>
      <c r="Q3679" s="12">
        <f t="shared" si="349"/>
        <v>9450</v>
      </c>
      <c r="R3679" s="31">
        <f t="shared" si="350"/>
        <v>9400</v>
      </c>
    </row>
    <row r="3680" spans="1:18" ht="21.95" customHeight="1" x14ac:dyDescent="0.2">
      <c r="B3680" s="6" t="s">
        <v>1593</v>
      </c>
      <c r="C3680" s="6" t="s">
        <v>1983</v>
      </c>
      <c r="D3680" s="6" t="s">
        <v>1983</v>
      </c>
      <c r="E3680" s="6" t="s">
        <v>1984</v>
      </c>
      <c r="G3680" s="6">
        <v>200</v>
      </c>
      <c r="H3680" s="6">
        <v>59</v>
      </c>
      <c r="I3680" s="7">
        <v>210</v>
      </c>
      <c r="K3680" s="7">
        <v>44007851</v>
      </c>
      <c r="L3680" s="6" t="str">
        <f t="shared" si="347"/>
        <v>SK GARDIROP  GARDIROP  FRN-26002 200x59x210</v>
      </c>
    </row>
    <row r="3681" spans="1:18" ht="21.95" customHeight="1" x14ac:dyDescent="0.2">
      <c r="B3681" s="6" t="s">
        <v>1593</v>
      </c>
      <c r="C3681" s="6" t="s">
        <v>1983</v>
      </c>
      <c r="D3681" s="6" t="s">
        <v>1983</v>
      </c>
      <c r="E3681" s="6" t="s">
        <v>1985</v>
      </c>
      <c r="G3681" s="6">
        <v>180</v>
      </c>
      <c r="H3681" s="6">
        <v>59</v>
      </c>
      <c r="I3681" s="7">
        <v>210</v>
      </c>
      <c r="K3681" s="7">
        <v>44007852</v>
      </c>
      <c r="L3681" s="6" t="str">
        <f t="shared" si="347"/>
        <v>SK GARDIROP  GARDIROP  FRN-26001 180x59x210</v>
      </c>
    </row>
    <row r="3682" spans="1:18" ht="21.95" customHeight="1" x14ac:dyDescent="0.2">
      <c r="B3682" s="6" t="s">
        <v>1593</v>
      </c>
      <c r="C3682" s="6" t="s">
        <v>1983</v>
      </c>
      <c r="D3682" s="6" t="s">
        <v>1983</v>
      </c>
      <c r="E3682" s="6" t="s">
        <v>1986</v>
      </c>
      <c r="G3682" s="6">
        <v>160</v>
      </c>
      <c r="H3682" s="6">
        <v>59</v>
      </c>
      <c r="I3682" s="7">
        <v>210</v>
      </c>
      <c r="K3682" s="7">
        <v>44007853</v>
      </c>
      <c r="L3682" s="6" t="str">
        <f t="shared" si="347"/>
        <v>SK GARDIROP  GARDIROP  FRN-26000 160x59x210</v>
      </c>
    </row>
    <row r="3683" spans="1:18" ht="21.95" customHeight="1" x14ac:dyDescent="0.2">
      <c r="B3683" s="6" t="s">
        <v>1593</v>
      </c>
      <c r="C3683" s="6" t="s">
        <v>1987</v>
      </c>
      <c r="D3683" s="6" t="s">
        <v>1988</v>
      </c>
      <c r="E3683" s="6" t="s">
        <v>1989</v>
      </c>
      <c r="G3683" s="6">
        <v>88</v>
      </c>
      <c r="H3683" s="6">
        <v>60</v>
      </c>
      <c r="I3683" s="7">
        <v>222</v>
      </c>
      <c r="K3683" s="7">
        <v>44007854</v>
      </c>
      <c r="L3683" s="6" t="str">
        <f t="shared" si="347"/>
        <v>SK INFINITY TEK BOY ASKILIKLI MODÜL  FRN-25001 88x60x222</v>
      </c>
    </row>
    <row r="3684" spans="1:18" ht="21.95" customHeight="1" x14ac:dyDescent="0.2">
      <c r="B3684" s="6" t="s">
        <v>1593</v>
      </c>
      <c r="C3684" s="6" t="s">
        <v>1987</v>
      </c>
      <c r="D3684" s="6" t="s">
        <v>1990</v>
      </c>
      <c r="E3684" s="6" t="s">
        <v>1999</v>
      </c>
      <c r="G3684" s="6">
        <v>88</v>
      </c>
      <c r="H3684" s="6">
        <v>60</v>
      </c>
      <c r="I3684" s="7">
        <v>222</v>
      </c>
      <c r="K3684" s="7">
        <v>44007855</v>
      </c>
      <c r="L3684" s="6" t="str">
        <f t="shared" si="347"/>
        <v>SK INFINITY ÇİFT ASKILIKLI MODÜL  FRN-25002 88x60x222</v>
      </c>
    </row>
    <row r="3685" spans="1:18" ht="21.95" customHeight="1" x14ac:dyDescent="0.2">
      <c r="B3685" s="6" t="s">
        <v>1593</v>
      </c>
      <c r="C3685" s="6" t="s">
        <v>1987</v>
      </c>
      <c r="D3685" s="6" t="s">
        <v>1991</v>
      </c>
      <c r="E3685" s="6" t="s">
        <v>2000</v>
      </c>
      <c r="G3685" s="6">
        <v>88</v>
      </c>
      <c r="H3685" s="6">
        <v>60</v>
      </c>
      <c r="I3685" s="7">
        <v>222</v>
      </c>
      <c r="K3685" s="7">
        <v>44007856</v>
      </c>
      <c r="L3685" s="6" t="str">
        <f t="shared" si="347"/>
        <v>SK INFINITY PANTOLON VE AKSESUAR ÇEKMECELİ VE ASKILIKLI MODÜL  FRN-25003 88x60x222</v>
      </c>
    </row>
    <row r="3686" spans="1:18" ht="21.95" customHeight="1" x14ac:dyDescent="0.2">
      <c r="B3686" s="6" t="s">
        <v>1593</v>
      </c>
      <c r="C3686" s="6" t="s">
        <v>1987</v>
      </c>
      <c r="D3686" s="6" t="s">
        <v>1992</v>
      </c>
      <c r="E3686" s="6" t="s">
        <v>2001</v>
      </c>
      <c r="G3686" s="6">
        <v>91</v>
      </c>
      <c r="H3686" s="6">
        <v>60</v>
      </c>
      <c r="I3686" s="7">
        <v>222</v>
      </c>
      <c r="K3686" s="7">
        <v>44007857</v>
      </c>
      <c r="L3686" s="6" t="str">
        <f t="shared" si="347"/>
        <v>SK INFINITY ASKILIKLI RAFLI KÖŞE MODÜL  FRN-25004 91x60x222</v>
      </c>
    </row>
    <row r="3687" spans="1:18" ht="21.95" customHeight="1" x14ac:dyDescent="0.2">
      <c r="B3687" s="6" t="s">
        <v>1593</v>
      </c>
      <c r="C3687" s="6" t="s">
        <v>1987</v>
      </c>
      <c r="D3687" s="6" t="s">
        <v>1993</v>
      </c>
      <c r="E3687" s="6" t="s">
        <v>2002</v>
      </c>
      <c r="G3687" s="6">
        <v>44</v>
      </c>
      <c r="H3687" s="6">
        <v>60</v>
      </c>
      <c r="I3687" s="7">
        <v>222</v>
      </c>
      <c r="K3687" s="7">
        <v>44007858</v>
      </c>
      <c r="L3687" s="6" t="str">
        <f t="shared" si="347"/>
        <v>SK INFINITY TEKLİ RAFLI MODÜL  FRN-25005 44x60x222</v>
      </c>
    </row>
    <row r="3688" spans="1:18" ht="21.95" customHeight="1" x14ac:dyDescent="0.2">
      <c r="B3688" s="6" t="s">
        <v>1593</v>
      </c>
      <c r="C3688" s="6" t="s">
        <v>1987</v>
      </c>
      <c r="D3688" s="6" t="s">
        <v>1994</v>
      </c>
      <c r="E3688" s="6" t="s">
        <v>2003</v>
      </c>
      <c r="G3688" s="6">
        <v>44</v>
      </c>
      <c r="H3688" s="6">
        <v>60</v>
      </c>
      <c r="I3688" s="7">
        <v>222</v>
      </c>
      <c r="K3688" s="7">
        <v>44007859</v>
      </c>
      <c r="L3688" s="6" t="str">
        <f t="shared" si="347"/>
        <v>SK INFINITY BOY ASKILIKLI MODÜL FRN-25006 44x60x222</v>
      </c>
    </row>
    <row r="3689" spans="1:18" ht="21.95" customHeight="1" x14ac:dyDescent="0.2">
      <c r="B3689" s="6" t="s">
        <v>1593</v>
      </c>
      <c r="C3689" s="6" t="s">
        <v>1987</v>
      </c>
      <c r="D3689" s="6" t="s">
        <v>1995</v>
      </c>
      <c r="E3689" s="6" t="s">
        <v>2004</v>
      </c>
      <c r="G3689" s="6">
        <v>88</v>
      </c>
      <c r="H3689" s="6">
        <v>60</v>
      </c>
      <c r="I3689" s="7">
        <v>222</v>
      </c>
      <c r="K3689" s="7">
        <v>44007860</v>
      </c>
      <c r="L3689" s="6" t="str">
        <f t="shared" si="347"/>
        <v>SK INFINITY BOY ASKILIKLI RAFLI MODÜL  FRN-25007 88x60x222</v>
      </c>
    </row>
    <row r="3690" spans="1:18" ht="21.95" customHeight="1" x14ac:dyDescent="0.2">
      <c r="B3690" s="6" t="s">
        <v>1593</v>
      </c>
      <c r="C3690" s="6" t="s">
        <v>1987</v>
      </c>
      <c r="D3690" s="6" t="s">
        <v>1996</v>
      </c>
      <c r="E3690" s="6" t="s">
        <v>2005</v>
      </c>
      <c r="G3690" s="6">
        <v>88</v>
      </c>
      <c r="H3690" s="6">
        <v>60</v>
      </c>
      <c r="I3690" s="7">
        <v>222</v>
      </c>
      <c r="K3690" s="7">
        <v>44007861</v>
      </c>
      <c r="L3690" s="6" t="str">
        <f t="shared" si="347"/>
        <v>SK INFINITY ÜÇ ÇEKMECELİ AKSESUAR ÇEKMECELİ VE ASKILIKLI MODÜL FRN-25008 88x60x222</v>
      </c>
    </row>
    <row r="3691" spans="1:18" ht="21.95" customHeight="1" x14ac:dyDescent="0.2">
      <c r="B3691" s="6" t="s">
        <v>1593</v>
      </c>
      <c r="C3691" s="6" t="s">
        <v>1987</v>
      </c>
      <c r="D3691" s="6" t="s">
        <v>1997</v>
      </c>
      <c r="E3691" s="6" t="s">
        <v>2006</v>
      </c>
      <c r="G3691" s="6">
        <v>88</v>
      </c>
      <c r="H3691" s="6">
        <v>60</v>
      </c>
      <c r="I3691" s="7">
        <v>222</v>
      </c>
      <c r="K3691" s="7">
        <v>44007862</v>
      </c>
      <c r="L3691" s="6" t="str">
        <f t="shared" si="347"/>
        <v>SK INFINITY RAFLI MODÜL  FRN-25009 88x60x222</v>
      </c>
    </row>
    <row r="3692" spans="1:18" ht="21.95" customHeight="1" x14ac:dyDescent="0.2">
      <c r="B3692" s="6" t="s">
        <v>1593</v>
      </c>
      <c r="C3692" s="6" t="s">
        <v>1987</v>
      </c>
      <c r="D3692" s="6" t="s">
        <v>1998</v>
      </c>
      <c r="E3692" s="6" t="s">
        <v>2007</v>
      </c>
      <c r="G3692" s="6">
        <v>100</v>
      </c>
      <c r="H3692" s="6">
        <v>90</v>
      </c>
      <c r="I3692" s="7">
        <v>87</v>
      </c>
      <c r="K3692" s="7">
        <v>44007863</v>
      </c>
      <c r="L3692" s="6" t="str">
        <f t="shared" si="347"/>
        <v>SK INFINITY ADA ŞİFONYER  FRN-25010 100x90x87</v>
      </c>
    </row>
    <row r="3693" spans="1:18" ht="21.95" customHeight="1" x14ac:dyDescent="0.2">
      <c r="A3693" s="6" t="s">
        <v>1276</v>
      </c>
      <c r="B3693" s="6" t="s">
        <v>1594</v>
      </c>
      <c r="C3693" s="6" t="s">
        <v>1277</v>
      </c>
      <c r="D3693" s="6" t="s">
        <v>93</v>
      </c>
      <c r="E3693" s="6"/>
      <c r="G3693" s="6">
        <v>55</v>
      </c>
      <c r="H3693" s="6">
        <v>40</v>
      </c>
      <c r="I3693" s="7">
        <v>55</v>
      </c>
      <c r="K3693" s="7">
        <v>44007864</v>
      </c>
      <c r="L3693" s="6" t="str">
        <f t="shared" ref="L3693:L3720" si="351">B3693&amp;" "&amp;C3693&amp;" "&amp;D3693&amp;" "&amp;G3693&amp;"x"&amp;H3693&amp;"x"&amp;I3693</f>
        <v>TK TS-101 ZİGON SEHPA 55x40x55</v>
      </c>
      <c r="M3693" s="12">
        <v>0</v>
      </c>
      <c r="N3693" s="12">
        <v>0</v>
      </c>
      <c r="O3693" s="8">
        <v>3800</v>
      </c>
      <c r="P3693" s="8">
        <f t="shared" ref="P3693:P3756" si="352">O3693*(1-N3693)</f>
        <v>3800</v>
      </c>
      <c r="Q3693" s="12">
        <f t="shared" ref="Q3693:Q3724" si="353">O3693*2.1</f>
        <v>7980</v>
      </c>
      <c r="R3693" s="31">
        <f t="shared" ref="R3693:R3756" si="354">ROUNDDOWN(Q3693,-2)</f>
        <v>7900</v>
      </c>
    </row>
    <row r="3694" spans="1:18" ht="21.95" customHeight="1" x14ac:dyDescent="0.2">
      <c r="A3694" s="6" t="s">
        <v>1276</v>
      </c>
      <c r="B3694" s="6" t="s">
        <v>1594</v>
      </c>
      <c r="C3694" s="6" t="s">
        <v>1278</v>
      </c>
      <c r="D3694" s="6" t="s">
        <v>660</v>
      </c>
      <c r="G3694" s="6">
        <v>60</v>
      </c>
      <c r="H3694" s="6">
        <v>110</v>
      </c>
      <c r="I3694" s="7">
        <v>45</v>
      </c>
      <c r="K3694" s="7">
        <v>44007865</v>
      </c>
      <c r="L3694" s="6" t="str">
        <f t="shared" si="351"/>
        <v>TK TS-102 ORTA SEHPA  60x110x45</v>
      </c>
      <c r="M3694" s="12">
        <v>0</v>
      </c>
      <c r="N3694" s="12">
        <v>0</v>
      </c>
      <c r="O3694" s="8">
        <v>3800</v>
      </c>
      <c r="P3694" s="8">
        <f t="shared" si="352"/>
        <v>3800</v>
      </c>
      <c r="Q3694" s="12">
        <f t="shared" si="353"/>
        <v>7980</v>
      </c>
      <c r="R3694" s="31">
        <f t="shared" si="354"/>
        <v>7900</v>
      </c>
    </row>
    <row r="3695" spans="1:18" ht="21.95" customHeight="1" x14ac:dyDescent="0.2">
      <c r="A3695" s="6" t="s">
        <v>1276</v>
      </c>
      <c r="B3695" s="6" t="s">
        <v>1594</v>
      </c>
      <c r="C3695" s="6" t="s">
        <v>1279</v>
      </c>
      <c r="D3695" s="6" t="s">
        <v>93</v>
      </c>
      <c r="G3695" s="6">
        <v>55</v>
      </c>
      <c r="H3695" s="6">
        <v>40</v>
      </c>
      <c r="I3695" s="7">
        <v>55</v>
      </c>
      <c r="K3695" s="7">
        <v>44007866</v>
      </c>
      <c r="L3695" s="6" t="str">
        <f t="shared" si="351"/>
        <v>TK TS-103 ZİGON SEHPA 55x40x55</v>
      </c>
      <c r="M3695" s="12">
        <v>0</v>
      </c>
      <c r="N3695" s="12">
        <v>0</v>
      </c>
      <c r="O3695" s="8">
        <v>3900</v>
      </c>
      <c r="P3695" s="8">
        <f t="shared" si="352"/>
        <v>3900</v>
      </c>
      <c r="Q3695" s="12">
        <f t="shared" si="353"/>
        <v>8190</v>
      </c>
      <c r="R3695" s="31">
        <f t="shared" si="354"/>
        <v>8100</v>
      </c>
    </row>
    <row r="3696" spans="1:18" ht="21.95" customHeight="1" x14ac:dyDescent="0.2">
      <c r="A3696" s="6" t="s">
        <v>1276</v>
      </c>
      <c r="B3696" s="6" t="s">
        <v>1594</v>
      </c>
      <c r="C3696" s="6" t="s">
        <v>1280</v>
      </c>
      <c r="D3696" s="6" t="s">
        <v>660</v>
      </c>
      <c r="G3696" s="6">
        <v>60</v>
      </c>
      <c r="H3696" s="6">
        <v>110</v>
      </c>
      <c r="I3696" s="7">
        <v>45</v>
      </c>
      <c r="K3696" s="7">
        <v>44007867</v>
      </c>
      <c r="L3696" s="6" t="str">
        <f t="shared" si="351"/>
        <v>TK TS-104 ORTA SEHPA  60x110x45</v>
      </c>
      <c r="M3696" s="12">
        <v>0</v>
      </c>
      <c r="N3696" s="12">
        <v>0</v>
      </c>
      <c r="O3696" s="8">
        <v>3900</v>
      </c>
      <c r="P3696" s="8">
        <f t="shared" si="352"/>
        <v>3900</v>
      </c>
      <c r="Q3696" s="12">
        <f t="shared" si="353"/>
        <v>8190</v>
      </c>
      <c r="R3696" s="31">
        <f t="shared" si="354"/>
        <v>8100</v>
      </c>
    </row>
    <row r="3697" spans="1:18" ht="21.95" customHeight="1" x14ac:dyDescent="0.2">
      <c r="A3697" s="6" t="s">
        <v>1276</v>
      </c>
      <c r="B3697" s="6" t="s">
        <v>1594</v>
      </c>
      <c r="C3697" s="6" t="s">
        <v>1281</v>
      </c>
      <c r="D3697" s="6" t="s">
        <v>93</v>
      </c>
      <c r="G3697" s="6">
        <v>55</v>
      </c>
      <c r="H3697" s="6">
        <v>45</v>
      </c>
      <c r="I3697" s="7">
        <v>55</v>
      </c>
      <c r="K3697" s="7">
        <v>44007868</v>
      </c>
      <c r="L3697" s="6" t="str">
        <f t="shared" si="351"/>
        <v>TK TS-105 ZİGON SEHPA 55x45x55</v>
      </c>
      <c r="M3697" s="12">
        <v>0</v>
      </c>
      <c r="N3697" s="12">
        <v>0</v>
      </c>
      <c r="O3697" s="8">
        <v>3900</v>
      </c>
      <c r="P3697" s="8">
        <f t="shared" si="352"/>
        <v>3900</v>
      </c>
      <c r="Q3697" s="12">
        <f t="shared" si="353"/>
        <v>8190</v>
      </c>
      <c r="R3697" s="31">
        <f t="shared" si="354"/>
        <v>8100</v>
      </c>
    </row>
    <row r="3698" spans="1:18" ht="21.95" customHeight="1" x14ac:dyDescent="0.2">
      <c r="A3698" s="6" t="s">
        <v>1276</v>
      </c>
      <c r="B3698" s="6" t="s">
        <v>1594</v>
      </c>
      <c r="C3698" s="6" t="s">
        <v>1282</v>
      </c>
      <c r="D3698" s="6" t="s">
        <v>660</v>
      </c>
      <c r="G3698" s="6">
        <v>60</v>
      </c>
      <c r="H3698" s="6">
        <v>110</v>
      </c>
      <c r="I3698" s="7">
        <v>45</v>
      </c>
      <c r="K3698" s="7">
        <v>44007869</v>
      </c>
      <c r="L3698" s="6" t="str">
        <f t="shared" si="351"/>
        <v>TK TS-106 ORTA SEHPA  60x110x45</v>
      </c>
      <c r="M3698" s="12">
        <v>0</v>
      </c>
      <c r="N3698" s="12">
        <v>0</v>
      </c>
      <c r="O3698" s="8">
        <v>3900</v>
      </c>
      <c r="P3698" s="8">
        <f t="shared" si="352"/>
        <v>3900</v>
      </c>
      <c r="Q3698" s="12">
        <f t="shared" si="353"/>
        <v>8190</v>
      </c>
      <c r="R3698" s="31">
        <f t="shared" si="354"/>
        <v>8100</v>
      </c>
    </row>
    <row r="3699" spans="1:18" ht="21.95" customHeight="1" x14ac:dyDescent="0.2">
      <c r="A3699" s="6" t="s">
        <v>1276</v>
      </c>
      <c r="B3699" s="6" t="s">
        <v>1594</v>
      </c>
      <c r="C3699" s="6" t="s">
        <v>1283</v>
      </c>
      <c r="D3699" s="6" t="s">
        <v>93</v>
      </c>
      <c r="G3699" s="6">
        <v>55</v>
      </c>
      <c r="H3699" s="6">
        <v>40</v>
      </c>
      <c r="I3699" s="7">
        <v>55</v>
      </c>
      <c r="K3699" s="7">
        <v>44007870</v>
      </c>
      <c r="L3699" s="6" t="str">
        <f t="shared" si="351"/>
        <v>TK TS-107 ZİGON SEHPA 55x40x55</v>
      </c>
      <c r="M3699" s="12">
        <v>0</v>
      </c>
      <c r="N3699" s="12">
        <v>0</v>
      </c>
      <c r="O3699" s="8">
        <v>3900</v>
      </c>
      <c r="P3699" s="8">
        <f t="shared" si="352"/>
        <v>3900</v>
      </c>
      <c r="Q3699" s="12">
        <f t="shared" si="353"/>
        <v>8190</v>
      </c>
      <c r="R3699" s="31">
        <f t="shared" si="354"/>
        <v>8100</v>
      </c>
    </row>
    <row r="3700" spans="1:18" ht="21.95" customHeight="1" x14ac:dyDescent="0.2">
      <c r="A3700" s="6" t="s">
        <v>1276</v>
      </c>
      <c r="B3700" s="6" t="s">
        <v>1594</v>
      </c>
      <c r="C3700" s="6" t="s">
        <v>1284</v>
      </c>
      <c r="D3700" s="6" t="s">
        <v>660</v>
      </c>
      <c r="G3700" s="6">
        <v>60</v>
      </c>
      <c r="H3700" s="6">
        <v>110</v>
      </c>
      <c r="I3700" s="7">
        <v>45</v>
      </c>
      <c r="K3700" s="7">
        <v>44007871</v>
      </c>
      <c r="L3700" s="6" t="str">
        <f t="shared" si="351"/>
        <v>TK TS-108 ORTA SEHPA  60x110x45</v>
      </c>
      <c r="M3700" s="12">
        <v>0</v>
      </c>
      <c r="N3700" s="12">
        <v>0</v>
      </c>
      <c r="O3700" s="8">
        <v>3900</v>
      </c>
      <c r="P3700" s="8">
        <f t="shared" si="352"/>
        <v>3900</v>
      </c>
      <c r="Q3700" s="12">
        <f t="shared" si="353"/>
        <v>8190</v>
      </c>
      <c r="R3700" s="31">
        <f t="shared" si="354"/>
        <v>8100</v>
      </c>
    </row>
    <row r="3701" spans="1:18" ht="21.95" customHeight="1" x14ac:dyDescent="0.2">
      <c r="A3701" s="6" t="s">
        <v>1276</v>
      </c>
      <c r="B3701" s="6" t="s">
        <v>1594</v>
      </c>
      <c r="C3701" s="6" t="s">
        <v>1285</v>
      </c>
      <c r="D3701" s="6" t="s">
        <v>1286</v>
      </c>
      <c r="G3701" s="6">
        <v>40</v>
      </c>
      <c r="H3701" s="6">
        <v>40</v>
      </c>
      <c r="I3701" s="7">
        <v>65</v>
      </c>
      <c r="K3701" s="7">
        <v>44007872</v>
      </c>
      <c r="L3701" s="6" t="str">
        <f t="shared" si="351"/>
        <v>TK TS-117 ZİGON DAİRE SEHPA 40x40x65</v>
      </c>
      <c r="M3701" s="12">
        <v>0</v>
      </c>
      <c r="N3701" s="12">
        <v>0</v>
      </c>
      <c r="O3701" s="8">
        <v>2750</v>
      </c>
      <c r="P3701" s="8">
        <f t="shared" si="352"/>
        <v>2750</v>
      </c>
      <c r="Q3701" s="12">
        <f t="shared" si="353"/>
        <v>5775</v>
      </c>
      <c r="R3701" s="31">
        <f t="shared" si="354"/>
        <v>5700</v>
      </c>
    </row>
    <row r="3702" spans="1:18" ht="21.95" customHeight="1" x14ac:dyDescent="0.2">
      <c r="A3702" s="6" t="s">
        <v>1276</v>
      </c>
      <c r="B3702" s="6" t="s">
        <v>1594</v>
      </c>
      <c r="C3702" s="6" t="s">
        <v>1287</v>
      </c>
      <c r="D3702" s="6" t="s">
        <v>1286</v>
      </c>
      <c r="G3702" s="6">
        <v>40</v>
      </c>
      <c r="H3702" s="6">
        <v>40</v>
      </c>
      <c r="I3702" s="7">
        <v>65</v>
      </c>
      <c r="K3702" s="7">
        <v>44007873</v>
      </c>
      <c r="L3702" s="6" t="str">
        <f t="shared" si="351"/>
        <v>TK TS-118 ZİGON DAİRE SEHPA 40x40x65</v>
      </c>
      <c r="M3702" s="12">
        <v>0</v>
      </c>
      <c r="N3702" s="12">
        <v>0</v>
      </c>
      <c r="O3702" s="8">
        <v>2900</v>
      </c>
      <c r="P3702" s="8">
        <f t="shared" si="352"/>
        <v>2900</v>
      </c>
      <c r="Q3702" s="12">
        <f t="shared" si="353"/>
        <v>6090</v>
      </c>
      <c r="R3702" s="31">
        <f t="shared" si="354"/>
        <v>6000</v>
      </c>
    </row>
    <row r="3703" spans="1:18" ht="21.95" customHeight="1" x14ac:dyDescent="0.2">
      <c r="A3703" s="6" t="s">
        <v>1276</v>
      </c>
      <c r="B3703" s="6" t="s">
        <v>1594</v>
      </c>
      <c r="C3703" s="6" t="s">
        <v>1288</v>
      </c>
      <c r="D3703" s="6" t="s">
        <v>1289</v>
      </c>
      <c r="G3703" s="6">
        <v>90</v>
      </c>
      <c r="H3703" s="6">
        <v>90</v>
      </c>
      <c r="I3703" s="7">
        <v>50</v>
      </c>
      <c r="K3703" s="7">
        <v>44007874</v>
      </c>
      <c r="L3703" s="6" t="str">
        <f t="shared" si="351"/>
        <v>TK TS-125 ORTA DAİRE SEHPA  90x90x50</v>
      </c>
      <c r="M3703" s="12">
        <v>0</v>
      </c>
      <c r="N3703" s="12">
        <v>0</v>
      </c>
      <c r="O3703" s="8">
        <v>2900</v>
      </c>
      <c r="P3703" s="8">
        <f t="shared" si="352"/>
        <v>2900</v>
      </c>
      <c r="Q3703" s="12">
        <f t="shared" si="353"/>
        <v>6090</v>
      </c>
      <c r="R3703" s="31">
        <f t="shared" si="354"/>
        <v>6000</v>
      </c>
    </row>
    <row r="3704" spans="1:18" ht="21.95" customHeight="1" x14ac:dyDescent="0.2">
      <c r="A3704" s="6" t="s">
        <v>1276</v>
      </c>
      <c r="B3704" s="6" t="s">
        <v>1594</v>
      </c>
      <c r="C3704" s="6" t="s">
        <v>1290</v>
      </c>
      <c r="D3704" s="6" t="s">
        <v>93</v>
      </c>
      <c r="G3704" s="5">
        <v>48</v>
      </c>
      <c r="H3704" s="5">
        <v>48</v>
      </c>
      <c r="I3704" s="7">
        <v>62</v>
      </c>
      <c r="K3704" s="7">
        <v>44007875</v>
      </c>
      <c r="L3704" s="6" t="str">
        <f t="shared" si="351"/>
        <v>TK TS-126 ZİGON SEHPA 48x48x62</v>
      </c>
      <c r="M3704" s="12">
        <v>0</v>
      </c>
      <c r="N3704" s="12">
        <v>0</v>
      </c>
      <c r="O3704" s="8">
        <v>2700</v>
      </c>
      <c r="P3704" s="8">
        <f t="shared" si="352"/>
        <v>2700</v>
      </c>
      <c r="Q3704" s="12">
        <f t="shared" si="353"/>
        <v>5670</v>
      </c>
      <c r="R3704" s="31">
        <f t="shared" si="354"/>
        <v>5600</v>
      </c>
    </row>
    <row r="3705" spans="1:18" ht="21.95" customHeight="1" x14ac:dyDescent="0.2">
      <c r="A3705" s="6" t="s">
        <v>1276</v>
      </c>
      <c r="B3705" s="6" t="s">
        <v>1594</v>
      </c>
      <c r="C3705" s="6" t="s">
        <v>1291</v>
      </c>
      <c r="D3705" s="6" t="s">
        <v>1289</v>
      </c>
      <c r="G3705" s="6">
        <v>90</v>
      </c>
      <c r="H3705" s="6">
        <v>90</v>
      </c>
      <c r="I3705" s="7">
        <v>50</v>
      </c>
      <c r="K3705" s="7">
        <v>44007876</v>
      </c>
      <c r="L3705" s="6" t="str">
        <f t="shared" si="351"/>
        <v>TK TS-127 ORTA DAİRE SEHPA  90x90x50</v>
      </c>
      <c r="M3705" s="12">
        <v>0</v>
      </c>
      <c r="N3705" s="12">
        <v>0</v>
      </c>
      <c r="O3705" s="8">
        <v>3750</v>
      </c>
      <c r="P3705" s="8">
        <f t="shared" si="352"/>
        <v>3750</v>
      </c>
      <c r="Q3705" s="12">
        <f t="shared" si="353"/>
        <v>7875</v>
      </c>
      <c r="R3705" s="31">
        <f t="shared" si="354"/>
        <v>7800</v>
      </c>
    </row>
    <row r="3706" spans="1:18" ht="21.95" customHeight="1" x14ac:dyDescent="0.2">
      <c r="A3706" s="6" t="s">
        <v>1276</v>
      </c>
      <c r="B3706" s="6" t="s">
        <v>1594</v>
      </c>
      <c r="C3706" s="6" t="s">
        <v>1292</v>
      </c>
      <c r="D3706" s="6" t="s">
        <v>93</v>
      </c>
      <c r="G3706" s="5">
        <v>48</v>
      </c>
      <c r="H3706" s="5">
        <v>48</v>
      </c>
      <c r="I3706" s="7">
        <v>62</v>
      </c>
      <c r="K3706" s="7">
        <v>44007877</v>
      </c>
      <c r="L3706" s="6" t="str">
        <f t="shared" si="351"/>
        <v>TK TS-128 ZİGON SEHPA 48x48x62</v>
      </c>
      <c r="M3706" s="12">
        <v>0</v>
      </c>
      <c r="N3706" s="12">
        <v>0</v>
      </c>
      <c r="O3706" s="8">
        <v>3750</v>
      </c>
      <c r="P3706" s="8">
        <f t="shared" si="352"/>
        <v>3750</v>
      </c>
      <c r="Q3706" s="12">
        <f t="shared" si="353"/>
        <v>7875</v>
      </c>
      <c r="R3706" s="31">
        <f t="shared" si="354"/>
        <v>7800</v>
      </c>
    </row>
    <row r="3707" spans="1:18" ht="21.95" customHeight="1" x14ac:dyDescent="0.2">
      <c r="A3707" s="6" t="s">
        <v>1276</v>
      </c>
      <c r="B3707" s="6" t="s">
        <v>1594</v>
      </c>
      <c r="C3707" s="6" t="s">
        <v>1293</v>
      </c>
      <c r="D3707" s="6" t="s">
        <v>1289</v>
      </c>
      <c r="G3707" s="6">
        <v>90</v>
      </c>
      <c r="H3707" s="6">
        <v>90</v>
      </c>
      <c r="I3707" s="7">
        <v>50</v>
      </c>
      <c r="K3707" s="7">
        <v>44007878</v>
      </c>
      <c r="L3707" s="6" t="str">
        <f t="shared" si="351"/>
        <v>TK TS-129 ORTA DAİRE SEHPA  90x90x50</v>
      </c>
      <c r="M3707" s="12">
        <v>0</v>
      </c>
      <c r="N3707" s="12">
        <v>0</v>
      </c>
      <c r="O3707" s="8">
        <v>3750</v>
      </c>
      <c r="P3707" s="8">
        <f t="shared" si="352"/>
        <v>3750</v>
      </c>
      <c r="Q3707" s="12">
        <f t="shared" si="353"/>
        <v>7875</v>
      </c>
      <c r="R3707" s="31">
        <f t="shared" si="354"/>
        <v>7800</v>
      </c>
    </row>
    <row r="3708" spans="1:18" ht="21.95" customHeight="1" x14ac:dyDescent="0.2">
      <c r="A3708" s="6" t="s">
        <v>1276</v>
      </c>
      <c r="B3708" s="6" t="s">
        <v>1594</v>
      </c>
      <c r="C3708" s="6" t="s">
        <v>1294</v>
      </c>
      <c r="D3708" s="6" t="s">
        <v>93</v>
      </c>
      <c r="G3708" s="5">
        <v>48</v>
      </c>
      <c r="H3708" s="5">
        <v>48</v>
      </c>
      <c r="I3708" s="7">
        <v>62</v>
      </c>
      <c r="K3708" s="7">
        <v>44007879</v>
      </c>
      <c r="L3708" s="6" t="str">
        <f t="shared" si="351"/>
        <v>TK TS-130 ZİGON SEHPA 48x48x62</v>
      </c>
      <c r="M3708" s="12">
        <v>0</v>
      </c>
      <c r="N3708" s="12">
        <v>0</v>
      </c>
      <c r="O3708" s="8">
        <v>3750</v>
      </c>
      <c r="P3708" s="8">
        <f t="shared" si="352"/>
        <v>3750</v>
      </c>
      <c r="Q3708" s="12">
        <f t="shared" si="353"/>
        <v>7875</v>
      </c>
      <c r="R3708" s="31">
        <f t="shared" si="354"/>
        <v>7800</v>
      </c>
    </row>
    <row r="3709" spans="1:18" ht="21.95" customHeight="1" x14ac:dyDescent="0.2">
      <c r="A3709" s="6" t="s">
        <v>1276</v>
      </c>
      <c r="B3709" s="6" t="s">
        <v>1594</v>
      </c>
      <c r="C3709" s="6" t="s">
        <v>1295</v>
      </c>
      <c r="D3709" s="6" t="s">
        <v>1289</v>
      </c>
      <c r="G3709" s="6">
        <v>90</v>
      </c>
      <c r="H3709" s="6">
        <v>90</v>
      </c>
      <c r="I3709" s="7">
        <v>50</v>
      </c>
      <c r="K3709" s="7">
        <v>44007880</v>
      </c>
      <c r="L3709" s="6" t="str">
        <f t="shared" si="351"/>
        <v>TK TS-135 ORTA DAİRE SEHPA  90x90x50</v>
      </c>
      <c r="M3709" s="12">
        <v>0</v>
      </c>
      <c r="N3709" s="12">
        <v>0</v>
      </c>
      <c r="O3709" s="8">
        <v>3750</v>
      </c>
      <c r="P3709" s="8">
        <f t="shared" si="352"/>
        <v>3750</v>
      </c>
      <c r="Q3709" s="12">
        <f t="shared" si="353"/>
        <v>7875</v>
      </c>
      <c r="R3709" s="31">
        <f t="shared" si="354"/>
        <v>7800</v>
      </c>
    </row>
    <row r="3710" spans="1:18" ht="21.95" customHeight="1" x14ac:dyDescent="0.2">
      <c r="A3710" s="6" t="s">
        <v>1276</v>
      </c>
      <c r="B3710" s="6" t="s">
        <v>1594</v>
      </c>
      <c r="C3710" s="6" t="s">
        <v>1296</v>
      </c>
      <c r="D3710" s="6" t="s">
        <v>93</v>
      </c>
      <c r="G3710" s="5">
        <v>48</v>
      </c>
      <c r="H3710" s="5">
        <v>48</v>
      </c>
      <c r="I3710" s="7">
        <v>62</v>
      </c>
      <c r="K3710" s="7">
        <v>44007881</v>
      </c>
      <c r="L3710" s="6" t="str">
        <f t="shared" si="351"/>
        <v>TK TS-136 ZİGON SEHPA 48x48x62</v>
      </c>
      <c r="M3710" s="12">
        <v>0</v>
      </c>
      <c r="N3710" s="12">
        <v>0</v>
      </c>
      <c r="O3710" s="8">
        <v>3750</v>
      </c>
      <c r="P3710" s="8">
        <f t="shared" si="352"/>
        <v>3750</v>
      </c>
      <c r="Q3710" s="12">
        <f t="shared" si="353"/>
        <v>7875</v>
      </c>
      <c r="R3710" s="31">
        <f t="shared" si="354"/>
        <v>7800</v>
      </c>
    </row>
    <row r="3711" spans="1:18" ht="21.95" customHeight="1" x14ac:dyDescent="0.2">
      <c r="A3711" s="6" t="s">
        <v>1276</v>
      </c>
      <c r="B3711" s="6" t="s">
        <v>1594</v>
      </c>
      <c r="C3711" s="6" t="s">
        <v>1297</v>
      </c>
      <c r="D3711" s="6" t="s">
        <v>660</v>
      </c>
      <c r="G3711" s="6">
        <v>65</v>
      </c>
      <c r="H3711" s="6">
        <v>115</v>
      </c>
      <c r="I3711" s="7">
        <v>47</v>
      </c>
      <c r="K3711" s="7">
        <v>44007882</v>
      </c>
      <c r="L3711" s="6" t="str">
        <f t="shared" si="351"/>
        <v>TK TS-137 ORTA SEHPA  65x115x47</v>
      </c>
      <c r="M3711" s="12">
        <v>0</v>
      </c>
      <c r="N3711" s="12">
        <v>0</v>
      </c>
      <c r="O3711" s="8">
        <v>4200</v>
      </c>
      <c r="P3711" s="8">
        <f t="shared" si="352"/>
        <v>4200</v>
      </c>
      <c r="Q3711" s="12">
        <f t="shared" si="353"/>
        <v>8820</v>
      </c>
      <c r="R3711" s="31">
        <f t="shared" si="354"/>
        <v>8800</v>
      </c>
    </row>
    <row r="3712" spans="1:18" ht="21.95" customHeight="1" x14ac:dyDescent="0.2">
      <c r="A3712" s="6" t="s">
        <v>1276</v>
      </c>
      <c r="B3712" s="6" t="s">
        <v>1594</v>
      </c>
      <c r="C3712" s="6" t="s">
        <v>1298</v>
      </c>
      <c r="D3712" s="6" t="s">
        <v>93</v>
      </c>
      <c r="G3712" s="6">
        <v>48</v>
      </c>
      <c r="H3712" s="6">
        <v>48</v>
      </c>
      <c r="I3712" s="7">
        <v>62</v>
      </c>
      <c r="K3712" s="7">
        <v>44007883</v>
      </c>
      <c r="L3712" s="6" t="str">
        <f t="shared" si="351"/>
        <v>TK TS-138 ZİGON SEHPA 48x48x62</v>
      </c>
      <c r="M3712" s="12">
        <v>0</v>
      </c>
      <c r="N3712" s="12">
        <v>0</v>
      </c>
      <c r="O3712" s="8">
        <v>4500</v>
      </c>
      <c r="P3712" s="8">
        <f t="shared" si="352"/>
        <v>4500</v>
      </c>
      <c r="Q3712" s="12">
        <f t="shared" si="353"/>
        <v>9450</v>
      </c>
      <c r="R3712" s="31">
        <f t="shared" si="354"/>
        <v>9400</v>
      </c>
    </row>
    <row r="3713" spans="1:18" ht="21.95" customHeight="1" x14ac:dyDescent="0.2">
      <c r="A3713" s="6" t="s">
        <v>1276</v>
      </c>
      <c r="B3713" s="6" t="s">
        <v>1594</v>
      </c>
      <c r="C3713" s="6" t="s">
        <v>1299</v>
      </c>
      <c r="D3713" s="6" t="s">
        <v>1289</v>
      </c>
      <c r="G3713" s="6">
        <v>90</v>
      </c>
      <c r="H3713" s="6">
        <v>90</v>
      </c>
      <c r="I3713" s="7">
        <v>50</v>
      </c>
      <c r="K3713" s="7">
        <v>44007884</v>
      </c>
      <c r="L3713" s="6" t="str">
        <f t="shared" si="351"/>
        <v>TK TS-145 ORTA DAİRE SEHPA  90x90x50</v>
      </c>
      <c r="M3713" s="12">
        <v>0</v>
      </c>
      <c r="N3713" s="12">
        <v>0</v>
      </c>
      <c r="O3713" s="8">
        <v>3300</v>
      </c>
      <c r="P3713" s="8">
        <f t="shared" si="352"/>
        <v>3300</v>
      </c>
      <c r="Q3713" s="12">
        <f t="shared" si="353"/>
        <v>6930</v>
      </c>
      <c r="R3713" s="31">
        <f t="shared" si="354"/>
        <v>6900</v>
      </c>
    </row>
    <row r="3714" spans="1:18" ht="21.95" customHeight="1" x14ac:dyDescent="0.2">
      <c r="A3714" s="6" t="s">
        <v>1276</v>
      </c>
      <c r="B3714" s="6" t="s">
        <v>1594</v>
      </c>
      <c r="C3714" s="6" t="s">
        <v>1300</v>
      </c>
      <c r="D3714" s="6" t="s">
        <v>93</v>
      </c>
      <c r="G3714" s="6">
        <v>48</v>
      </c>
      <c r="H3714" s="6">
        <v>48</v>
      </c>
      <c r="I3714" s="7">
        <v>62</v>
      </c>
      <c r="K3714" s="7">
        <v>44007885</v>
      </c>
      <c r="L3714" s="6" t="str">
        <f t="shared" si="351"/>
        <v>TK TS-146 ZİGON SEHPA 48x48x62</v>
      </c>
      <c r="M3714" s="12">
        <v>0</v>
      </c>
      <c r="N3714" s="12">
        <v>0</v>
      </c>
      <c r="O3714" s="8">
        <v>3750</v>
      </c>
      <c r="P3714" s="8">
        <f t="shared" si="352"/>
        <v>3750</v>
      </c>
      <c r="Q3714" s="12">
        <f t="shared" si="353"/>
        <v>7875</v>
      </c>
      <c r="R3714" s="31">
        <f t="shared" si="354"/>
        <v>7800</v>
      </c>
    </row>
    <row r="3715" spans="1:18" ht="21.95" customHeight="1" x14ac:dyDescent="0.2">
      <c r="A3715" s="6" t="s">
        <v>1276</v>
      </c>
      <c r="B3715" s="6" t="s">
        <v>1594</v>
      </c>
      <c r="C3715" s="6" t="s">
        <v>1301</v>
      </c>
      <c r="D3715" s="6" t="s">
        <v>1289</v>
      </c>
      <c r="G3715" s="6">
        <v>90</v>
      </c>
      <c r="H3715" s="6">
        <v>90</v>
      </c>
      <c r="I3715" s="7">
        <v>50</v>
      </c>
      <c r="K3715" s="7">
        <v>44007886</v>
      </c>
      <c r="L3715" s="6" t="str">
        <f t="shared" si="351"/>
        <v>TK TS-147 ORTA DAİRE SEHPA  90x90x50</v>
      </c>
      <c r="M3715" s="12">
        <v>0</v>
      </c>
      <c r="N3715" s="12">
        <v>0</v>
      </c>
      <c r="O3715" s="8">
        <v>3000</v>
      </c>
      <c r="P3715" s="8">
        <f t="shared" si="352"/>
        <v>3000</v>
      </c>
      <c r="Q3715" s="12">
        <f t="shared" si="353"/>
        <v>6300</v>
      </c>
      <c r="R3715" s="31">
        <f t="shared" si="354"/>
        <v>6300</v>
      </c>
    </row>
    <row r="3716" spans="1:18" ht="21.95" customHeight="1" x14ac:dyDescent="0.2">
      <c r="A3716" s="6" t="s">
        <v>1276</v>
      </c>
      <c r="B3716" s="6" t="s">
        <v>1594</v>
      </c>
      <c r="C3716" s="6" t="s">
        <v>1302</v>
      </c>
      <c r="D3716" s="6" t="s">
        <v>93</v>
      </c>
      <c r="G3716" s="6">
        <v>48</v>
      </c>
      <c r="H3716" s="6">
        <v>48</v>
      </c>
      <c r="I3716" s="7">
        <v>62</v>
      </c>
      <c r="K3716" s="7">
        <v>44007887</v>
      </c>
      <c r="L3716" s="6" t="str">
        <f t="shared" si="351"/>
        <v>TK TS-148 ZİGON SEHPA 48x48x62</v>
      </c>
      <c r="M3716" s="12">
        <v>0</v>
      </c>
      <c r="N3716" s="12">
        <v>0</v>
      </c>
      <c r="O3716" s="8">
        <v>3450</v>
      </c>
      <c r="P3716" s="8">
        <f t="shared" si="352"/>
        <v>3450</v>
      </c>
      <c r="Q3716" s="12">
        <f t="shared" si="353"/>
        <v>7245</v>
      </c>
      <c r="R3716" s="31">
        <f t="shared" si="354"/>
        <v>7200</v>
      </c>
    </row>
    <row r="3717" spans="1:18" ht="21.95" customHeight="1" x14ac:dyDescent="0.2">
      <c r="A3717" s="6" t="s">
        <v>1276</v>
      </c>
      <c r="B3717" s="6" t="s">
        <v>1594</v>
      </c>
      <c r="C3717" s="6" t="s">
        <v>1303</v>
      </c>
      <c r="D3717" s="6" t="s">
        <v>93</v>
      </c>
      <c r="G3717" s="6">
        <v>40</v>
      </c>
      <c r="H3717" s="6">
        <v>55</v>
      </c>
      <c r="I3717" s="7">
        <v>55</v>
      </c>
      <c r="K3717" s="7">
        <v>44007888</v>
      </c>
      <c r="L3717" s="6" t="str">
        <f t="shared" si="351"/>
        <v>TK TS-149 ZİGON SEHPA 40x55x55</v>
      </c>
      <c r="M3717" s="12">
        <v>0</v>
      </c>
      <c r="N3717" s="12">
        <v>0</v>
      </c>
      <c r="O3717" s="8">
        <v>4400</v>
      </c>
      <c r="P3717" s="8">
        <f t="shared" si="352"/>
        <v>4400</v>
      </c>
      <c r="Q3717" s="12">
        <f t="shared" si="353"/>
        <v>9240</v>
      </c>
      <c r="R3717" s="31">
        <f t="shared" si="354"/>
        <v>9200</v>
      </c>
    </row>
    <row r="3718" spans="1:18" ht="21.95" customHeight="1" x14ac:dyDescent="0.2">
      <c r="A3718" s="6" t="s">
        <v>1276</v>
      </c>
      <c r="B3718" s="6" t="s">
        <v>1594</v>
      </c>
      <c r="C3718" s="6" t="s">
        <v>1304</v>
      </c>
      <c r="D3718" s="6" t="s">
        <v>660</v>
      </c>
      <c r="G3718" s="6">
        <v>60</v>
      </c>
      <c r="H3718" s="6">
        <v>110</v>
      </c>
      <c r="I3718" s="7">
        <v>50</v>
      </c>
      <c r="K3718" s="7">
        <v>44007889</v>
      </c>
      <c r="L3718" s="6" t="str">
        <f t="shared" si="351"/>
        <v>TK TS-150 ORTA SEHPA  60x110x50</v>
      </c>
      <c r="M3718" s="12">
        <v>0</v>
      </c>
      <c r="N3718" s="12">
        <v>0</v>
      </c>
      <c r="O3718" s="8">
        <v>3850</v>
      </c>
      <c r="P3718" s="8">
        <f t="shared" si="352"/>
        <v>3850</v>
      </c>
      <c r="Q3718" s="12">
        <f t="shared" si="353"/>
        <v>8085</v>
      </c>
      <c r="R3718" s="31">
        <f t="shared" si="354"/>
        <v>8000</v>
      </c>
    </row>
    <row r="3719" spans="1:18" ht="21.95" customHeight="1" x14ac:dyDescent="0.2">
      <c r="A3719" s="6" t="s">
        <v>1276</v>
      </c>
      <c r="B3719" s="6" t="s">
        <v>1594</v>
      </c>
      <c r="C3719" s="6" t="s">
        <v>1305</v>
      </c>
      <c r="D3719" s="6" t="s">
        <v>93</v>
      </c>
      <c r="G3719" s="6">
        <v>40</v>
      </c>
      <c r="H3719" s="6">
        <v>55</v>
      </c>
      <c r="I3719" s="7">
        <v>55</v>
      </c>
      <c r="K3719" s="7">
        <v>44007890</v>
      </c>
      <c r="L3719" s="6" t="str">
        <f t="shared" si="351"/>
        <v>TK TS-153 ZİGON SEHPA 40x55x55</v>
      </c>
      <c r="M3719" s="12">
        <v>0</v>
      </c>
      <c r="N3719" s="12">
        <v>0</v>
      </c>
      <c r="O3719" s="8">
        <v>4400</v>
      </c>
      <c r="P3719" s="8">
        <f t="shared" si="352"/>
        <v>4400</v>
      </c>
      <c r="Q3719" s="12">
        <f t="shared" si="353"/>
        <v>9240</v>
      </c>
      <c r="R3719" s="31">
        <f t="shared" si="354"/>
        <v>9200</v>
      </c>
    </row>
    <row r="3720" spans="1:18" ht="21.95" customHeight="1" x14ac:dyDescent="0.2">
      <c r="A3720" s="6" t="s">
        <v>1276</v>
      </c>
      <c r="B3720" s="6" t="s">
        <v>1594</v>
      </c>
      <c r="C3720" s="6" t="s">
        <v>1306</v>
      </c>
      <c r="D3720" s="6" t="s">
        <v>660</v>
      </c>
      <c r="G3720" s="6">
        <v>60</v>
      </c>
      <c r="H3720" s="6">
        <v>110</v>
      </c>
      <c r="I3720" s="7">
        <v>50</v>
      </c>
      <c r="K3720" s="7">
        <v>44007891</v>
      </c>
      <c r="L3720" s="6" t="str">
        <f t="shared" si="351"/>
        <v>TK TS-154 ORTA SEHPA  60x110x50</v>
      </c>
      <c r="M3720" s="12">
        <v>0</v>
      </c>
      <c r="N3720" s="12">
        <v>0</v>
      </c>
      <c r="O3720" s="8">
        <v>3850</v>
      </c>
      <c r="P3720" s="8">
        <f t="shared" si="352"/>
        <v>3850</v>
      </c>
      <c r="Q3720" s="12">
        <f t="shared" si="353"/>
        <v>8085</v>
      </c>
      <c r="R3720" s="31">
        <f t="shared" si="354"/>
        <v>8000</v>
      </c>
    </row>
    <row r="3721" spans="1:18" ht="21.95" customHeight="1" x14ac:dyDescent="0.2">
      <c r="A3721" s="6" t="s">
        <v>1276</v>
      </c>
      <c r="B3721" s="6" t="s">
        <v>1594</v>
      </c>
      <c r="C3721" s="6" t="s">
        <v>1307</v>
      </c>
      <c r="D3721" s="6" t="s">
        <v>93</v>
      </c>
      <c r="K3721" s="7">
        <v>44007892</v>
      </c>
      <c r="L3721" s="6" t="str">
        <f>B3721&amp;" "&amp;C3721&amp;" "&amp;D3721</f>
        <v>TK TS-155 ZİGON SEHPA</v>
      </c>
      <c r="M3721" s="12">
        <v>0</v>
      </c>
      <c r="N3721" s="12">
        <v>0</v>
      </c>
      <c r="O3721" s="8">
        <v>3300</v>
      </c>
      <c r="P3721" s="8">
        <f t="shared" si="352"/>
        <v>3300</v>
      </c>
      <c r="Q3721" s="12">
        <f t="shared" si="353"/>
        <v>6930</v>
      </c>
      <c r="R3721" s="31">
        <f t="shared" si="354"/>
        <v>6900</v>
      </c>
    </row>
    <row r="3722" spans="1:18" ht="21.95" customHeight="1" x14ac:dyDescent="0.2">
      <c r="A3722" s="6" t="s">
        <v>1276</v>
      </c>
      <c r="B3722" s="6" t="s">
        <v>1594</v>
      </c>
      <c r="C3722" s="6" t="s">
        <v>1308</v>
      </c>
      <c r="D3722" s="6" t="s">
        <v>1309</v>
      </c>
      <c r="G3722" s="6">
        <v>90</v>
      </c>
      <c r="H3722" s="6">
        <v>90</v>
      </c>
      <c r="I3722" s="7">
        <v>50</v>
      </c>
      <c r="K3722" s="7">
        <v>44007893</v>
      </c>
      <c r="L3722" s="6" t="str">
        <f t="shared" ref="L3722:L3730" si="355">B3722&amp;" "&amp;C3722&amp;" "&amp;D3722&amp;" "&amp;G3722&amp;"x"&amp;H3722&amp;"x"&amp;I3722</f>
        <v>TK TS-172 YAVRULU ORTA SEHPA  90x90x50</v>
      </c>
      <c r="M3722" s="12">
        <v>0</v>
      </c>
      <c r="N3722" s="12">
        <v>0</v>
      </c>
      <c r="O3722" s="8">
        <v>5600</v>
      </c>
      <c r="P3722" s="8">
        <f t="shared" si="352"/>
        <v>5600</v>
      </c>
      <c r="Q3722" s="12">
        <f t="shared" si="353"/>
        <v>11760</v>
      </c>
      <c r="R3722" s="31">
        <f t="shared" si="354"/>
        <v>11700</v>
      </c>
    </row>
    <row r="3723" spans="1:18" ht="21.95" customHeight="1" x14ac:dyDescent="0.2">
      <c r="A3723" s="6" t="s">
        <v>1276</v>
      </c>
      <c r="B3723" s="6" t="s">
        <v>1594</v>
      </c>
      <c r="C3723" s="6" t="s">
        <v>1310</v>
      </c>
      <c r="D3723" s="6" t="s">
        <v>1309</v>
      </c>
      <c r="G3723" s="6">
        <v>90</v>
      </c>
      <c r="H3723" s="6">
        <v>90</v>
      </c>
      <c r="I3723" s="7">
        <v>50</v>
      </c>
      <c r="K3723" s="7">
        <v>44007894</v>
      </c>
      <c r="L3723" s="6" t="str">
        <f t="shared" si="355"/>
        <v>TK TS-173 YAVRULU ORTA SEHPA  90x90x50</v>
      </c>
      <c r="M3723" s="12">
        <v>0</v>
      </c>
      <c r="N3723" s="12">
        <v>0</v>
      </c>
      <c r="O3723" s="8">
        <v>5600</v>
      </c>
      <c r="P3723" s="8">
        <f t="shared" si="352"/>
        <v>5600</v>
      </c>
      <c r="Q3723" s="12">
        <f t="shared" si="353"/>
        <v>11760</v>
      </c>
      <c r="R3723" s="31">
        <f t="shared" si="354"/>
        <v>11700</v>
      </c>
    </row>
    <row r="3724" spans="1:18" ht="21.95" customHeight="1" x14ac:dyDescent="0.2">
      <c r="A3724" s="6" t="s">
        <v>1276</v>
      </c>
      <c r="B3724" s="6" t="s">
        <v>1594</v>
      </c>
      <c r="C3724" s="6" t="s">
        <v>1311</v>
      </c>
      <c r="D3724" s="6" t="s">
        <v>1309</v>
      </c>
      <c r="G3724" s="6">
        <v>90</v>
      </c>
      <c r="H3724" s="6">
        <v>90</v>
      </c>
      <c r="I3724" s="7">
        <v>50</v>
      </c>
      <c r="K3724" s="7">
        <v>44007895</v>
      </c>
      <c r="L3724" s="6" t="str">
        <f t="shared" si="355"/>
        <v>TK TS-175 YAVRULU ORTA SEHPA  90x90x50</v>
      </c>
      <c r="M3724" s="12">
        <v>0</v>
      </c>
      <c r="N3724" s="12">
        <v>0</v>
      </c>
      <c r="O3724" s="8">
        <v>6800</v>
      </c>
      <c r="P3724" s="8">
        <f t="shared" si="352"/>
        <v>6800</v>
      </c>
      <c r="Q3724" s="12">
        <f t="shared" si="353"/>
        <v>14280</v>
      </c>
      <c r="R3724" s="31">
        <f t="shared" si="354"/>
        <v>14200</v>
      </c>
    </row>
    <row r="3725" spans="1:18" ht="21.95" customHeight="1" x14ac:dyDescent="0.2">
      <c r="A3725" s="6" t="s">
        <v>1276</v>
      </c>
      <c r="B3725" s="6" t="s">
        <v>1594</v>
      </c>
      <c r="C3725" s="6" t="s">
        <v>1312</v>
      </c>
      <c r="D3725" s="6" t="s">
        <v>1289</v>
      </c>
      <c r="G3725" s="6">
        <v>90</v>
      </c>
      <c r="H3725" s="6">
        <v>90</v>
      </c>
      <c r="I3725" s="7">
        <v>45</v>
      </c>
      <c r="K3725" s="7">
        <v>44007896</v>
      </c>
      <c r="L3725" s="6" t="str">
        <f t="shared" si="355"/>
        <v>TK TS-207 ORTA DAİRE SEHPA  90x90x45</v>
      </c>
      <c r="M3725" s="12">
        <v>0</v>
      </c>
      <c r="N3725" s="12">
        <v>0</v>
      </c>
      <c r="O3725" s="8">
        <v>2250</v>
      </c>
      <c r="P3725" s="8">
        <f t="shared" si="352"/>
        <v>2250</v>
      </c>
      <c r="Q3725" s="12">
        <f t="shared" ref="Q3725:Q3756" si="356">O3725*2.1</f>
        <v>4725</v>
      </c>
      <c r="R3725" s="31">
        <f t="shared" si="354"/>
        <v>4700</v>
      </c>
    </row>
    <row r="3726" spans="1:18" ht="21.95" customHeight="1" x14ac:dyDescent="0.2">
      <c r="A3726" s="6" t="s">
        <v>1276</v>
      </c>
      <c r="B3726" s="6" t="s">
        <v>1594</v>
      </c>
      <c r="C3726" s="6" t="s">
        <v>1313</v>
      </c>
      <c r="D3726" s="6" t="s">
        <v>1289</v>
      </c>
      <c r="G3726" s="6">
        <v>90</v>
      </c>
      <c r="H3726" s="6">
        <v>90</v>
      </c>
      <c r="I3726" s="7">
        <v>45</v>
      </c>
      <c r="K3726" s="7">
        <v>44007897</v>
      </c>
      <c r="L3726" s="6" t="str">
        <f t="shared" si="355"/>
        <v>TK TS-208 ORTA DAİRE SEHPA  90x90x45</v>
      </c>
      <c r="M3726" s="12">
        <v>0</v>
      </c>
      <c r="N3726" s="12">
        <v>0</v>
      </c>
      <c r="O3726" s="8">
        <v>2350</v>
      </c>
      <c r="P3726" s="8">
        <f t="shared" si="352"/>
        <v>2350</v>
      </c>
      <c r="Q3726" s="12">
        <f t="shared" si="356"/>
        <v>4935</v>
      </c>
      <c r="R3726" s="31">
        <f t="shared" si="354"/>
        <v>4900</v>
      </c>
    </row>
    <row r="3727" spans="1:18" ht="21.95" customHeight="1" x14ac:dyDescent="0.2">
      <c r="A3727" s="6" t="s">
        <v>1276</v>
      </c>
      <c r="B3727" s="6" t="s">
        <v>1594</v>
      </c>
      <c r="C3727" s="6" t="s">
        <v>1314</v>
      </c>
      <c r="D3727" s="6" t="s">
        <v>1289</v>
      </c>
      <c r="G3727" s="6">
        <v>80</v>
      </c>
      <c r="H3727" s="6">
        <v>80</v>
      </c>
      <c r="I3727" s="7">
        <v>50</v>
      </c>
      <c r="K3727" s="7">
        <v>44007898</v>
      </c>
      <c r="L3727" s="6" t="str">
        <f t="shared" si="355"/>
        <v>TK TS-221 ORTA DAİRE SEHPA  80x80x50</v>
      </c>
      <c r="M3727" s="12">
        <v>0</v>
      </c>
      <c r="N3727" s="12">
        <v>0</v>
      </c>
      <c r="O3727" s="8">
        <v>4900</v>
      </c>
      <c r="P3727" s="8">
        <f t="shared" si="352"/>
        <v>4900</v>
      </c>
      <c r="Q3727" s="12">
        <f t="shared" si="356"/>
        <v>10290</v>
      </c>
      <c r="R3727" s="31">
        <f t="shared" si="354"/>
        <v>10200</v>
      </c>
    </row>
    <row r="3728" spans="1:18" ht="21.95" customHeight="1" x14ac:dyDescent="0.2">
      <c r="A3728" s="6" t="s">
        <v>1276</v>
      </c>
      <c r="B3728" s="6" t="s">
        <v>1594</v>
      </c>
      <c r="C3728" s="6" t="s">
        <v>1315</v>
      </c>
      <c r="D3728" s="6" t="s">
        <v>660</v>
      </c>
      <c r="G3728" s="5">
        <v>65</v>
      </c>
      <c r="H3728" s="5">
        <v>115</v>
      </c>
      <c r="I3728" s="7">
        <v>47</v>
      </c>
      <c r="K3728" s="7">
        <v>44007899</v>
      </c>
      <c r="L3728" s="6" t="str">
        <f t="shared" si="355"/>
        <v>TK TS-226 ORTA SEHPA  65x115x47</v>
      </c>
      <c r="M3728" s="12">
        <v>0</v>
      </c>
      <c r="N3728" s="12">
        <v>0</v>
      </c>
      <c r="O3728" s="8">
        <v>5300</v>
      </c>
      <c r="P3728" s="8">
        <f t="shared" si="352"/>
        <v>5300</v>
      </c>
      <c r="Q3728" s="12">
        <f t="shared" si="356"/>
        <v>11130</v>
      </c>
      <c r="R3728" s="31">
        <f t="shared" si="354"/>
        <v>11100</v>
      </c>
    </row>
    <row r="3729" spans="1:18" ht="21.95" customHeight="1" x14ac:dyDescent="0.2">
      <c r="A3729" s="6" t="s">
        <v>1276</v>
      </c>
      <c r="B3729" s="6" t="s">
        <v>1594</v>
      </c>
      <c r="C3729" s="6" t="s">
        <v>1316</v>
      </c>
      <c r="D3729" s="6" t="s">
        <v>660</v>
      </c>
      <c r="G3729" s="5">
        <v>65</v>
      </c>
      <c r="H3729" s="5">
        <v>115</v>
      </c>
      <c r="I3729" s="7">
        <v>47</v>
      </c>
      <c r="K3729" s="7">
        <v>44007900</v>
      </c>
      <c r="L3729" s="6" t="str">
        <f t="shared" si="355"/>
        <v>TK TS-227 ORTA SEHPA  65x115x47</v>
      </c>
      <c r="M3729" s="12">
        <v>0</v>
      </c>
      <c r="N3729" s="12">
        <v>0</v>
      </c>
      <c r="O3729" s="8">
        <v>5300</v>
      </c>
      <c r="P3729" s="8">
        <f t="shared" si="352"/>
        <v>5300</v>
      </c>
      <c r="Q3729" s="12">
        <f t="shared" si="356"/>
        <v>11130</v>
      </c>
      <c r="R3729" s="31">
        <f t="shared" si="354"/>
        <v>11100</v>
      </c>
    </row>
    <row r="3730" spans="1:18" ht="21.95" customHeight="1" x14ac:dyDescent="0.2">
      <c r="A3730" s="6" t="s">
        <v>1276</v>
      </c>
      <c r="B3730" s="6" t="s">
        <v>1594</v>
      </c>
      <c r="C3730" s="6" t="s">
        <v>1317</v>
      </c>
      <c r="D3730" s="6" t="s">
        <v>660</v>
      </c>
      <c r="G3730" s="5">
        <v>65</v>
      </c>
      <c r="H3730" s="5">
        <v>115</v>
      </c>
      <c r="I3730" s="7">
        <v>47</v>
      </c>
      <c r="K3730" s="7">
        <v>44007901</v>
      </c>
      <c r="L3730" s="6" t="str">
        <f t="shared" si="355"/>
        <v>TK TS-228 ORTA SEHPA  65x115x47</v>
      </c>
      <c r="M3730" s="12">
        <v>0</v>
      </c>
      <c r="N3730" s="12">
        <v>0</v>
      </c>
      <c r="O3730" s="8">
        <v>5300</v>
      </c>
      <c r="P3730" s="8">
        <f t="shared" si="352"/>
        <v>5300</v>
      </c>
      <c r="Q3730" s="12">
        <f t="shared" si="356"/>
        <v>11130</v>
      </c>
      <c r="R3730" s="31">
        <f t="shared" si="354"/>
        <v>11100</v>
      </c>
    </row>
    <row r="3731" spans="1:18" ht="21.95" customHeight="1" x14ac:dyDescent="0.2">
      <c r="A3731" s="6" t="s">
        <v>1276</v>
      </c>
      <c r="B3731" s="6" t="s">
        <v>1594</v>
      </c>
      <c r="C3731" s="6" t="s">
        <v>1318</v>
      </c>
      <c r="D3731" s="6" t="s">
        <v>152</v>
      </c>
      <c r="G3731" s="6">
        <v>59</v>
      </c>
      <c r="I3731" s="7">
        <v>175</v>
      </c>
      <c r="K3731" s="7">
        <v>44007902</v>
      </c>
      <c r="L3731" s="6" t="str">
        <f>B3731&amp;" "&amp;C3731&amp;" "&amp;D3731&amp;" "&amp;G3731&amp;"x"&amp;I3731</f>
        <v>TK TS-231 AYNA 59x175</v>
      </c>
      <c r="M3731" s="12">
        <v>0</v>
      </c>
      <c r="N3731" s="12">
        <v>0</v>
      </c>
      <c r="O3731" s="8">
        <v>3000</v>
      </c>
      <c r="P3731" s="8">
        <f t="shared" si="352"/>
        <v>3000</v>
      </c>
      <c r="Q3731" s="12">
        <f t="shared" si="356"/>
        <v>6300</v>
      </c>
      <c r="R3731" s="31">
        <f t="shared" si="354"/>
        <v>6300</v>
      </c>
    </row>
    <row r="3732" spans="1:18" ht="21.95" customHeight="1" x14ac:dyDescent="0.2">
      <c r="A3732" s="6" t="s">
        <v>1276</v>
      </c>
      <c r="B3732" s="6" t="s">
        <v>1594</v>
      </c>
      <c r="C3732" s="6" t="s">
        <v>1319</v>
      </c>
      <c r="D3732" s="6" t="s">
        <v>152</v>
      </c>
      <c r="G3732" s="6">
        <v>59</v>
      </c>
      <c r="I3732" s="7">
        <v>175</v>
      </c>
      <c r="K3732" s="7">
        <v>44007903</v>
      </c>
      <c r="L3732" s="6" t="str">
        <f>B3732&amp;" "&amp;C3732&amp;" "&amp;D3732&amp;" "&amp;G3732&amp;"x"&amp;I3732</f>
        <v>TK TS-232 AYNA 59x175</v>
      </c>
      <c r="M3732" s="12">
        <v>0</v>
      </c>
      <c r="N3732" s="12">
        <v>0</v>
      </c>
      <c r="O3732" s="8">
        <v>3000</v>
      </c>
      <c r="P3732" s="8">
        <f t="shared" si="352"/>
        <v>3000</v>
      </c>
      <c r="Q3732" s="12">
        <f t="shared" si="356"/>
        <v>6300</v>
      </c>
      <c r="R3732" s="31">
        <f t="shared" si="354"/>
        <v>6300</v>
      </c>
    </row>
    <row r="3733" spans="1:18" ht="21.95" customHeight="1" x14ac:dyDescent="0.2">
      <c r="A3733" s="6" t="s">
        <v>1276</v>
      </c>
      <c r="B3733" s="6" t="s">
        <v>1594</v>
      </c>
      <c r="C3733" s="6" t="s">
        <v>1320</v>
      </c>
      <c r="D3733" s="6" t="s">
        <v>1321</v>
      </c>
      <c r="G3733" s="6">
        <v>60</v>
      </c>
      <c r="H3733" s="6">
        <v>120</v>
      </c>
      <c r="I3733" s="7">
        <v>47</v>
      </c>
      <c r="K3733" s="7">
        <v>44007904</v>
      </c>
      <c r="L3733" s="6" t="str">
        <f t="shared" ref="L3733:L3774" si="357">B3733&amp;" "&amp;C3733&amp;" "&amp;D3733&amp;" "&amp;G3733&amp;"x"&amp;H3733&amp;"x"&amp;I3733</f>
        <v>TK TS-237 AKILLI SEHPA 60x120x47</v>
      </c>
      <c r="M3733" s="12">
        <v>0</v>
      </c>
      <c r="N3733" s="12">
        <v>0</v>
      </c>
      <c r="O3733" s="8">
        <v>4500</v>
      </c>
      <c r="P3733" s="8">
        <f t="shared" si="352"/>
        <v>4500</v>
      </c>
      <c r="Q3733" s="12">
        <f t="shared" si="356"/>
        <v>9450</v>
      </c>
      <c r="R3733" s="31">
        <f t="shared" si="354"/>
        <v>9400</v>
      </c>
    </row>
    <row r="3734" spans="1:18" ht="21.95" customHeight="1" x14ac:dyDescent="0.2">
      <c r="A3734" s="6" t="s">
        <v>1276</v>
      </c>
      <c r="B3734" s="6" t="s">
        <v>1594</v>
      </c>
      <c r="C3734" s="6" t="s">
        <v>1322</v>
      </c>
      <c r="D3734" s="6" t="s">
        <v>660</v>
      </c>
      <c r="G3734" s="6">
        <v>60</v>
      </c>
      <c r="H3734" s="6">
        <v>120</v>
      </c>
      <c r="I3734" s="7">
        <v>45</v>
      </c>
      <c r="K3734" s="7">
        <v>44007905</v>
      </c>
      <c r="L3734" s="6" t="str">
        <f t="shared" si="357"/>
        <v>TK TS-239 ORTA SEHPA  60x120x45</v>
      </c>
      <c r="M3734" s="12">
        <v>0</v>
      </c>
      <c r="N3734" s="12">
        <v>0</v>
      </c>
      <c r="O3734" s="8">
        <v>2800</v>
      </c>
      <c r="P3734" s="8">
        <f t="shared" si="352"/>
        <v>2800</v>
      </c>
      <c r="Q3734" s="12">
        <f t="shared" si="356"/>
        <v>5880</v>
      </c>
      <c r="R3734" s="31">
        <f t="shared" si="354"/>
        <v>5800</v>
      </c>
    </row>
    <row r="3735" spans="1:18" ht="21.95" customHeight="1" x14ac:dyDescent="0.2">
      <c r="A3735" s="6" t="s">
        <v>1276</v>
      </c>
      <c r="B3735" s="6" t="s">
        <v>1594</v>
      </c>
      <c r="C3735" s="6" t="s">
        <v>1323</v>
      </c>
      <c r="D3735" s="6" t="s">
        <v>93</v>
      </c>
      <c r="G3735" s="6">
        <v>55</v>
      </c>
      <c r="H3735" s="6">
        <v>40</v>
      </c>
      <c r="I3735" s="7">
        <v>55</v>
      </c>
      <c r="K3735" s="7">
        <v>44007906</v>
      </c>
      <c r="L3735" s="6" t="str">
        <f t="shared" si="357"/>
        <v>TK TS-240 ZİGON SEHPA 55x40x55</v>
      </c>
      <c r="M3735" s="12">
        <v>0</v>
      </c>
      <c r="N3735" s="12">
        <v>0</v>
      </c>
      <c r="O3735" s="8">
        <v>3850</v>
      </c>
      <c r="P3735" s="8">
        <f t="shared" si="352"/>
        <v>3850</v>
      </c>
      <c r="Q3735" s="12">
        <f t="shared" si="356"/>
        <v>8085</v>
      </c>
      <c r="R3735" s="31">
        <f t="shared" si="354"/>
        <v>8000</v>
      </c>
    </row>
    <row r="3736" spans="1:18" ht="21.95" customHeight="1" x14ac:dyDescent="0.2">
      <c r="A3736" s="6" t="s">
        <v>1276</v>
      </c>
      <c r="B3736" s="6" t="s">
        <v>1594</v>
      </c>
      <c r="C3736" s="6" t="s">
        <v>1324</v>
      </c>
      <c r="D3736" s="6" t="s">
        <v>660</v>
      </c>
      <c r="G3736" s="6">
        <v>105</v>
      </c>
      <c r="H3736" s="6">
        <v>60</v>
      </c>
      <c r="I3736" s="7">
        <v>40</v>
      </c>
      <c r="K3736" s="7">
        <v>44007907</v>
      </c>
      <c r="L3736" s="6" t="str">
        <f t="shared" si="357"/>
        <v>TK TS-248 ORTA SEHPA  105x60x40</v>
      </c>
      <c r="M3736" s="12">
        <v>0</v>
      </c>
      <c r="N3736" s="12">
        <v>0</v>
      </c>
      <c r="O3736" s="8">
        <v>2000</v>
      </c>
      <c r="P3736" s="8">
        <f t="shared" si="352"/>
        <v>2000</v>
      </c>
      <c r="Q3736" s="12">
        <f t="shared" si="356"/>
        <v>4200</v>
      </c>
      <c r="R3736" s="31">
        <f t="shared" si="354"/>
        <v>4200</v>
      </c>
    </row>
    <row r="3737" spans="1:18" ht="21.95" customHeight="1" x14ac:dyDescent="0.2">
      <c r="A3737" s="6" t="s">
        <v>1276</v>
      </c>
      <c r="B3737" s="6" t="s">
        <v>1594</v>
      </c>
      <c r="C3737" s="6" t="s">
        <v>1325</v>
      </c>
      <c r="D3737" s="6" t="s">
        <v>93</v>
      </c>
      <c r="G3737" s="6">
        <v>58</v>
      </c>
      <c r="H3737" s="6">
        <v>38</v>
      </c>
      <c r="I3737" s="7">
        <v>60</v>
      </c>
      <c r="K3737" s="7">
        <v>44007908</v>
      </c>
      <c r="L3737" s="6" t="str">
        <f t="shared" si="357"/>
        <v>TK TS-249 ZİGON SEHPA 58x38x60</v>
      </c>
      <c r="M3737" s="12">
        <v>0</v>
      </c>
      <c r="N3737" s="12">
        <v>0</v>
      </c>
      <c r="O3737" s="8">
        <v>2500</v>
      </c>
      <c r="P3737" s="8">
        <f t="shared" si="352"/>
        <v>2500</v>
      </c>
      <c r="Q3737" s="12">
        <f t="shared" si="356"/>
        <v>5250</v>
      </c>
      <c r="R3737" s="31">
        <f t="shared" si="354"/>
        <v>5200</v>
      </c>
    </row>
    <row r="3738" spans="1:18" ht="21.95" customHeight="1" x14ac:dyDescent="0.2">
      <c r="A3738" s="6" t="s">
        <v>1276</v>
      </c>
      <c r="B3738" s="6" t="s">
        <v>1594</v>
      </c>
      <c r="C3738" s="6" t="s">
        <v>1326</v>
      </c>
      <c r="D3738" s="6" t="s">
        <v>660</v>
      </c>
      <c r="G3738" s="6">
        <v>105</v>
      </c>
      <c r="H3738" s="6">
        <v>60</v>
      </c>
      <c r="I3738" s="7">
        <v>40</v>
      </c>
      <c r="K3738" s="7">
        <v>44007909</v>
      </c>
      <c r="L3738" s="6" t="str">
        <f t="shared" si="357"/>
        <v>TK TS-250 ORTA SEHPA  105x60x40</v>
      </c>
      <c r="M3738" s="12">
        <v>0</v>
      </c>
      <c r="N3738" s="12">
        <v>0</v>
      </c>
      <c r="O3738" s="8">
        <v>2000</v>
      </c>
      <c r="P3738" s="8">
        <f t="shared" si="352"/>
        <v>2000</v>
      </c>
      <c r="Q3738" s="12">
        <f t="shared" si="356"/>
        <v>4200</v>
      </c>
      <c r="R3738" s="31">
        <f t="shared" si="354"/>
        <v>4200</v>
      </c>
    </row>
    <row r="3739" spans="1:18" ht="21.95" customHeight="1" x14ac:dyDescent="0.2">
      <c r="A3739" s="6" t="s">
        <v>1276</v>
      </c>
      <c r="B3739" s="6" t="s">
        <v>1594</v>
      </c>
      <c r="C3739" s="6" t="s">
        <v>1327</v>
      </c>
      <c r="D3739" s="6" t="s">
        <v>93</v>
      </c>
      <c r="G3739" s="6">
        <v>58</v>
      </c>
      <c r="H3739" s="6">
        <v>38</v>
      </c>
      <c r="I3739" s="7">
        <v>60</v>
      </c>
      <c r="K3739" s="7">
        <v>44007910</v>
      </c>
      <c r="L3739" s="6" t="str">
        <f t="shared" si="357"/>
        <v>TK TS-251 ZİGON SEHPA 58x38x60</v>
      </c>
      <c r="M3739" s="12">
        <v>0</v>
      </c>
      <c r="N3739" s="12">
        <v>0</v>
      </c>
      <c r="O3739" s="8">
        <v>2500</v>
      </c>
      <c r="P3739" s="8">
        <f t="shared" si="352"/>
        <v>2500</v>
      </c>
      <c r="Q3739" s="12">
        <f t="shared" si="356"/>
        <v>5250</v>
      </c>
      <c r="R3739" s="31">
        <f t="shared" si="354"/>
        <v>5200</v>
      </c>
    </row>
    <row r="3740" spans="1:18" ht="21.95" customHeight="1" x14ac:dyDescent="0.2">
      <c r="A3740" s="6" t="s">
        <v>1276</v>
      </c>
      <c r="B3740" s="6" t="s">
        <v>1594</v>
      </c>
      <c r="C3740" s="6" t="s">
        <v>1328</v>
      </c>
      <c r="D3740" s="6" t="s">
        <v>660</v>
      </c>
      <c r="G3740" s="6">
        <v>105</v>
      </c>
      <c r="H3740" s="6">
        <v>60</v>
      </c>
      <c r="I3740" s="7">
        <v>40</v>
      </c>
      <c r="K3740" s="7">
        <v>44007911</v>
      </c>
      <c r="L3740" s="6" t="str">
        <f t="shared" si="357"/>
        <v>TK TS-252 ORTA SEHPA  105x60x40</v>
      </c>
      <c r="M3740" s="12">
        <v>0</v>
      </c>
      <c r="N3740" s="12">
        <v>0</v>
      </c>
      <c r="O3740" s="8">
        <v>2000</v>
      </c>
      <c r="P3740" s="8">
        <f t="shared" si="352"/>
        <v>2000</v>
      </c>
      <c r="Q3740" s="12">
        <f t="shared" si="356"/>
        <v>4200</v>
      </c>
      <c r="R3740" s="31">
        <f t="shared" si="354"/>
        <v>4200</v>
      </c>
    </row>
    <row r="3741" spans="1:18" ht="21.95" customHeight="1" x14ac:dyDescent="0.2">
      <c r="A3741" s="6" t="s">
        <v>1276</v>
      </c>
      <c r="B3741" s="6" t="s">
        <v>1594</v>
      </c>
      <c r="C3741" s="6" t="s">
        <v>1329</v>
      </c>
      <c r="D3741" s="6" t="s">
        <v>93</v>
      </c>
      <c r="G3741" s="6">
        <v>58</v>
      </c>
      <c r="H3741" s="6">
        <v>38</v>
      </c>
      <c r="I3741" s="7">
        <v>60</v>
      </c>
      <c r="K3741" s="7">
        <v>44007912</v>
      </c>
      <c r="L3741" s="6" t="str">
        <f t="shared" si="357"/>
        <v>TK TS-253 ZİGON SEHPA 58x38x60</v>
      </c>
      <c r="M3741" s="12">
        <v>0</v>
      </c>
      <c r="N3741" s="12">
        <v>0</v>
      </c>
      <c r="O3741" s="8">
        <v>2500</v>
      </c>
      <c r="P3741" s="8">
        <f t="shared" si="352"/>
        <v>2500</v>
      </c>
      <c r="Q3741" s="12">
        <f t="shared" si="356"/>
        <v>5250</v>
      </c>
      <c r="R3741" s="31">
        <f t="shared" si="354"/>
        <v>5200</v>
      </c>
    </row>
    <row r="3742" spans="1:18" ht="21.95" customHeight="1" x14ac:dyDescent="0.2">
      <c r="A3742" s="6" t="s">
        <v>1276</v>
      </c>
      <c r="B3742" s="6" t="s">
        <v>1594</v>
      </c>
      <c r="C3742" s="6" t="s">
        <v>1330</v>
      </c>
      <c r="D3742" s="6" t="s">
        <v>93</v>
      </c>
      <c r="G3742" s="6">
        <v>45</v>
      </c>
      <c r="H3742" s="6">
        <v>50</v>
      </c>
      <c r="I3742" s="7">
        <v>58</v>
      </c>
      <c r="K3742" s="7">
        <v>44007913</v>
      </c>
      <c r="L3742" s="6" t="str">
        <f t="shared" si="357"/>
        <v>TK TS-254 ZİGON SEHPA 45x50x58</v>
      </c>
      <c r="M3742" s="12">
        <v>0</v>
      </c>
      <c r="N3742" s="12">
        <v>0</v>
      </c>
      <c r="O3742" s="8">
        <v>2350</v>
      </c>
      <c r="P3742" s="8">
        <f t="shared" si="352"/>
        <v>2350</v>
      </c>
      <c r="Q3742" s="12">
        <f t="shared" si="356"/>
        <v>4935</v>
      </c>
      <c r="R3742" s="31">
        <f t="shared" si="354"/>
        <v>4900</v>
      </c>
    </row>
    <row r="3743" spans="1:18" ht="21.95" customHeight="1" x14ac:dyDescent="0.2">
      <c r="A3743" s="6" t="s">
        <v>1276</v>
      </c>
      <c r="B3743" s="6" t="s">
        <v>1594</v>
      </c>
      <c r="C3743" s="6" t="s">
        <v>1331</v>
      </c>
      <c r="D3743" s="6" t="s">
        <v>93</v>
      </c>
      <c r="G3743" s="6">
        <v>45</v>
      </c>
      <c r="H3743" s="6">
        <v>50</v>
      </c>
      <c r="I3743" s="7">
        <v>58</v>
      </c>
      <c r="K3743" s="7">
        <v>44007914</v>
      </c>
      <c r="L3743" s="6" t="str">
        <f t="shared" si="357"/>
        <v>TK TS-255 ZİGON SEHPA 45x50x58</v>
      </c>
      <c r="M3743" s="12">
        <v>0</v>
      </c>
      <c r="N3743" s="12">
        <v>0</v>
      </c>
      <c r="O3743" s="8">
        <v>2350</v>
      </c>
      <c r="P3743" s="8">
        <f t="shared" si="352"/>
        <v>2350</v>
      </c>
      <c r="Q3743" s="12">
        <f t="shared" si="356"/>
        <v>4935</v>
      </c>
      <c r="R3743" s="31">
        <f t="shared" si="354"/>
        <v>4900</v>
      </c>
    </row>
    <row r="3744" spans="1:18" ht="21.95" customHeight="1" x14ac:dyDescent="0.2">
      <c r="A3744" s="6" t="s">
        <v>1276</v>
      </c>
      <c r="B3744" s="6" t="s">
        <v>1594</v>
      </c>
      <c r="C3744" s="6" t="s">
        <v>1332</v>
      </c>
      <c r="D3744" s="6" t="s">
        <v>93</v>
      </c>
      <c r="G3744" s="6">
        <v>45</v>
      </c>
      <c r="H3744" s="6">
        <v>50</v>
      </c>
      <c r="I3744" s="7">
        <v>58</v>
      </c>
      <c r="K3744" s="7">
        <v>44007915</v>
      </c>
      <c r="L3744" s="6" t="str">
        <f t="shared" si="357"/>
        <v>TK TS-256 ZİGON SEHPA 45x50x58</v>
      </c>
      <c r="M3744" s="12">
        <v>0</v>
      </c>
      <c r="N3744" s="12">
        <v>0</v>
      </c>
      <c r="O3744" s="8">
        <v>2350</v>
      </c>
      <c r="P3744" s="8">
        <f t="shared" si="352"/>
        <v>2350</v>
      </c>
      <c r="Q3744" s="12">
        <f t="shared" si="356"/>
        <v>4935</v>
      </c>
      <c r="R3744" s="31">
        <f t="shared" si="354"/>
        <v>4900</v>
      </c>
    </row>
    <row r="3745" spans="1:18" ht="21.95" customHeight="1" x14ac:dyDescent="0.2">
      <c r="A3745" s="6" t="s">
        <v>1276</v>
      </c>
      <c r="B3745" s="6" t="s">
        <v>1594</v>
      </c>
      <c r="C3745" s="6" t="s">
        <v>1333</v>
      </c>
      <c r="D3745" s="6" t="s">
        <v>660</v>
      </c>
      <c r="G3745" s="6">
        <v>65</v>
      </c>
      <c r="H3745" s="6">
        <v>104</v>
      </c>
      <c r="I3745" s="7">
        <v>43</v>
      </c>
      <c r="K3745" s="7">
        <v>44007916</v>
      </c>
      <c r="L3745" s="6" t="str">
        <f t="shared" si="357"/>
        <v>TK TS-257 ORTA SEHPA  65x104x43</v>
      </c>
      <c r="M3745" s="12">
        <v>0</v>
      </c>
      <c r="N3745" s="12">
        <v>0</v>
      </c>
      <c r="O3745" s="8">
        <v>2850</v>
      </c>
      <c r="P3745" s="8">
        <f t="shared" si="352"/>
        <v>2850</v>
      </c>
      <c r="Q3745" s="12">
        <f t="shared" si="356"/>
        <v>5985</v>
      </c>
      <c r="R3745" s="31">
        <f t="shared" si="354"/>
        <v>5900</v>
      </c>
    </row>
    <row r="3746" spans="1:18" ht="21.95" customHeight="1" x14ac:dyDescent="0.2">
      <c r="A3746" s="6" t="s">
        <v>1276</v>
      </c>
      <c r="B3746" s="6" t="s">
        <v>1594</v>
      </c>
      <c r="C3746" s="6" t="s">
        <v>1334</v>
      </c>
      <c r="D3746" s="6" t="s">
        <v>93</v>
      </c>
      <c r="G3746" s="6">
        <v>40</v>
      </c>
      <c r="H3746" s="6">
        <v>63</v>
      </c>
      <c r="I3746" s="7">
        <v>55</v>
      </c>
      <c r="K3746" s="7">
        <v>44007917</v>
      </c>
      <c r="L3746" s="6" t="str">
        <f t="shared" si="357"/>
        <v>TK TS-258 ZİGON SEHPA 40x63x55</v>
      </c>
      <c r="M3746" s="12">
        <v>0</v>
      </c>
      <c r="N3746" s="12">
        <v>0</v>
      </c>
      <c r="O3746" s="8">
        <v>3500</v>
      </c>
      <c r="P3746" s="8">
        <f t="shared" si="352"/>
        <v>3500</v>
      </c>
      <c r="Q3746" s="12">
        <f t="shared" si="356"/>
        <v>7350</v>
      </c>
      <c r="R3746" s="31">
        <f t="shared" si="354"/>
        <v>7300</v>
      </c>
    </row>
    <row r="3747" spans="1:18" ht="21.95" customHeight="1" x14ac:dyDescent="0.2">
      <c r="A3747" s="6" t="s">
        <v>1276</v>
      </c>
      <c r="B3747" s="6" t="s">
        <v>1594</v>
      </c>
      <c r="C3747" s="6" t="s">
        <v>1335</v>
      </c>
      <c r="D3747" s="6" t="s">
        <v>660</v>
      </c>
      <c r="G3747" s="6">
        <v>65</v>
      </c>
      <c r="H3747" s="6">
        <v>104</v>
      </c>
      <c r="I3747" s="7">
        <v>43</v>
      </c>
      <c r="K3747" s="7">
        <v>44007918</v>
      </c>
      <c r="L3747" s="6" t="str">
        <f t="shared" si="357"/>
        <v>TK TS-259 ORTA SEHPA  65x104x43</v>
      </c>
      <c r="M3747" s="12">
        <v>0</v>
      </c>
      <c r="N3747" s="12">
        <v>0</v>
      </c>
      <c r="O3747" s="8">
        <v>2850</v>
      </c>
      <c r="P3747" s="8">
        <f t="shared" si="352"/>
        <v>2850</v>
      </c>
      <c r="Q3747" s="12">
        <f t="shared" si="356"/>
        <v>5985</v>
      </c>
      <c r="R3747" s="31">
        <f t="shared" si="354"/>
        <v>5900</v>
      </c>
    </row>
    <row r="3748" spans="1:18" ht="21.95" customHeight="1" x14ac:dyDescent="0.2">
      <c r="A3748" s="6" t="s">
        <v>1276</v>
      </c>
      <c r="B3748" s="6" t="s">
        <v>1594</v>
      </c>
      <c r="C3748" s="6" t="s">
        <v>1336</v>
      </c>
      <c r="D3748" s="6" t="s">
        <v>93</v>
      </c>
      <c r="G3748" s="6">
        <v>40</v>
      </c>
      <c r="H3748" s="6">
        <v>63</v>
      </c>
      <c r="I3748" s="7">
        <v>55</v>
      </c>
      <c r="K3748" s="7">
        <v>44007919</v>
      </c>
      <c r="L3748" s="6" t="str">
        <f t="shared" si="357"/>
        <v>TK TS-260 ZİGON SEHPA 40x63x55</v>
      </c>
      <c r="M3748" s="12">
        <v>0</v>
      </c>
      <c r="N3748" s="12">
        <v>0</v>
      </c>
      <c r="O3748" s="8">
        <v>3500</v>
      </c>
      <c r="P3748" s="8">
        <f t="shared" si="352"/>
        <v>3500</v>
      </c>
      <c r="Q3748" s="12">
        <f t="shared" si="356"/>
        <v>7350</v>
      </c>
      <c r="R3748" s="31">
        <f t="shared" si="354"/>
        <v>7300</v>
      </c>
    </row>
    <row r="3749" spans="1:18" ht="21.95" customHeight="1" x14ac:dyDescent="0.2">
      <c r="A3749" s="6" t="s">
        <v>1276</v>
      </c>
      <c r="B3749" s="6" t="s">
        <v>1594</v>
      </c>
      <c r="C3749" s="6" t="s">
        <v>1337</v>
      </c>
      <c r="D3749" s="6" t="s">
        <v>660</v>
      </c>
      <c r="G3749" s="6">
        <v>65</v>
      </c>
      <c r="H3749" s="6">
        <v>104</v>
      </c>
      <c r="I3749" s="7">
        <v>43</v>
      </c>
      <c r="K3749" s="7">
        <v>44007920</v>
      </c>
      <c r="L3749" s="6" t="str">
        <f t="shared" si="357"/>
        <v>TK TS-261 ORTA SEHPA  65x104x43</v>
      </c>
      <c r="M3749" s="12">
        <v>0</v>
      </c>
      <c r="N3749" s="12">
        <v>0</v>
      </c>
      <c r="O3749" s="8">
        <v>2850</v>
      </c>
      <c r="P3749" s="8">
        <f t="shared" si="352"/>
        <v>2850</v>
      </c>
      <c r="Q3749" s="12">
        <f t="shared" si="356"/>
        <v>5985</v>
      </c>
      <c r="R3749" s="31">
        <f t="shared" si="354"/>
        <v>5900</v>
      </c>
    </row>
    <row r="3750" spans="1:18" ht="21.95" customHeight="1" x14ac:dyDescent="0.2">
      <c r="A3750" s="6" t="s">
        <v>1276</v>
      </c>
      <c r="B3750" s="6" t="s">
        <v>1594</v>
      </c>
      <c r="C3750" s="6" t="s">
        <v>1338</v>
      </c>
      <c r="D3750" s="6" t="s">
        <v>93</v>
      </c>
      <c r="G3750" s="6">
        <v>40</v>
      </c>
      <c r="H3750" s="6">
        <v>63</v>
      </c>
      <c r="I3750" s="7">
        <v>55</v>
      </c>
      <c r="K3750" s="7">
        <v>44007921</v>
      </c>
      <c r="L3750" s="6" t="str">
        <f t="shared" si="357"/>
        <v>TK TS-262 ZİGON SEHPA 40x63x55</v>
      </c>
      <c r="M3750" s="12">
        <v>0</v>
      </c>
      <c r="N3750" s="12">
        <v>0</v>
      </c>
      <c r="O3750" s="8">
        <v>3500</v>
      </c>
      <c r="P3750" s="8">
        <f t="shared" si="352"/>
        <v>3500</v>
      </c>
      <c r="Q3750" s="12">
        <f t="shared" si="356"/>
        <v>7350</v>
      </c>
      <c r="R3750" s="31">
        <f t="shared" si="354"/>
        <v>7300</v>
      </c>
    </row>
    <row r="3751" spans="1:18" ht="21.95" customHeight="1" x14ac:dyDescent="0.2">
      <c r="A3751" s="6" t="s">
        <v>1276</v>
      </c>
      <c r="B3751" s="6" t="s">
        <v>1594</v>
      </c>
      <c r="C3751" s="6" t="s">
        <v>1339</v>
      </c>
      <c r="D3751" s="6" t="s">
        <v>660</v>
      </c>
      <c r="G3751" s="6">
        <v>65</v>
      </c>
      <c r="H3751" s="6">
        <v>104</v>
      </c>
      <c r="I3751" s="7">
        <v>43</v>
      </c>
      <c r="K3751" s="7">
        <v>44007922</v>
      </c>
      <c r="L3751" s="6" t="str">
        <f t="shared" si="357"/>
        <v>TK TS-263 ORTA SEHPA  65x104x43</v>
      </c>
      <c r="M3751" s="12">
        <v>0</v>
      </c>
      <c r="N3751" s="12">
        <v>0</v>
      </c>
      <c r="O3751" s="8">
        <v>2850</v>
      </c>
      <c r="P3751" s="8">
        <f t="shared" si="352"/>
        <v>2850</v>
      </c>
      <c r="Q3751" s="12">
        <f t="shared" si="356"/>
        <v>5985</v>
      </c>
      <c r="R3751" s="31">
        <f t="shared" si="354"/>
        <v>5900</v>
      </c>
    </row>
    <row r="3752" spans="1:18" ht="21.95" customHeight="1" x14ac:dyDescent="0.2">
      <c r="A3752" s="6" t="s">
        <v>1276</v>
      </c>
      <c r="B3752" s="6" t="s">
        <v>1594</v>
      </c>
      <c r="C3752" s="6" t="s">
        <v>1340</v>
      </c>
      <c r="D3752" s="6" t="s">
        <v>93</v>
      </c>
      <c r="G3752" s="6">
        <v>40</v>
      </c>
      <c r="H3752" s="6">
        <v>63</v>
      </c>
      <c r="I3752" s="7">
        <v>55</v>
      </c>
      <c r="K3752" s="7">
        <v>44007923</v>
      </c>
      <c r="L3752" s="6" t="str">
        <f t="shared" si="357"/>
        <v>TK TS-264 ZİGON SEHPA 40x63x55</v>
      </c>
      <c r="M3752" s="12">
        <v>0</v>
      </c>
      <c r="N3752" s="12">
        <v>0</v>
      </c>
      <c r="O3752" s="8">
        <v>3500</v>
      </c>
      <c r="P3752" s="8">
        <f t="shared" si="352"/>
        <v>3500</v>
      </c>
      <c r="Q3752" s="12">
        <f t="shared" si="356"/>
        <v>7350</v>
      </c>
      <c r="R3752" s="31">
        <f t="shared" si="354"/>
        <v>7300</v>
      </c>
    </row>
    <row r="3753" spans="1:18" ht="21.95" customHeight="1" x14ac:dyDescent="0.2">
      <c r="A3753" s="6" t="s">
        <v>1276</v>
      </c>
      <c r="B3753" s="6" t="s">
        <v>1594</v>
      </c>
      <c r="C3753" s="6" t="s">
        <v>1341</v>
      </c>
      <c r="D3753" s="6" t="s">
        <v>93</v>
      </c>
      <c r="G3753" s="6">
        <v>55</v>
      </c>
      <c r="H3753" s="6">
        <v>40</v>
      </c>
      <c r="I3753" s="7">
        <v>55</v>
      </c>
      <c r="K3753" s="7">
        <v>44007924</v>
      </c>
      <c r="L3753" s="6" t="str">
        <f t="shared" si="357"/>
        <v>TK TS-265 ZİGON SEHPA 55x40x55</v>
      </c>
      <c r="M3753" s="12">
        <v>0</v>
      </c>
      <c r="N3753" s="12">
        <v>0</v>
      </c>
      <c r="O3753" s="8">
        <v>3900</v>
      </c>
      <c r="P3753" s="8">
        <f t="shared" si="352"/>
        <v>3900</v>
      </c>
      <c r="Q3753" s="12">
        <f t="shared" si="356"/>
        <v>8190</v>
      </c>
      <c r="R3753" s="31">
        <f t="shared" si="354"/>
        <v>8100</v>
      </c>
    </row>
    <row r="3754" spans="1:18" ht="21.95" customHeight="1" x14ac:dyDescent="0.2">
      <c r="A3754" s="6" t="s">
        <v>1276</v>
      </c>
      <c r="B3754" s="6" t="s">
        <v>1594</v>
      </c>
      <c r="C3754" s="6" t="s">
        <v>1342</v>
      </c>
      <c r="D3754" s="6" t="s">
        <v>660</v>
      </c>
      <c r="G3754" s="6">
        <v>60</v>
      </c>
      <c r="H3754" s="6">
        <v>110</v>
      </c>
      <c r="I3754" s="7">
        <v>45</v>
      </c>
      <c r="K3754" s="7">
        <v>44007925</v>
      </c>
      <c r="L3754" s="6" t="str">
        <f t="shared" si="357"/>
        <v>TK TS-266 ORTA SEHPA  60x110x45</v>
      </c>
      <c r="M3754" s="12">
        <v>0</v>
      </c>
      <c r="N3754" s="12">
        <v>0</v>
      </c>
      <c r="O3754" s="8">
        <v>3900</v>
      </c>
      <c r="P3754" s="8">
        <f t="shared" si="352"/>
        <v>3900</v>
      </c>
      <c r="Q3754" s="12">
        <f t="shared" si="356"/>
        <v>8190</v>
      </c>
      <c r="R3754" s="31">
        <f t="shared" si="354"/>
        <v>8100</v>
      </c>
    </row>
    <row r="3755" spans="1:18" ht="21.95" customHeight="1" x14ac:dyDescent="0.2">
      <c r="A3755" s="6" t="s">
        <v>1276</v>
      </c>
      <c r="B3755" s="6" t="s">
        <v>1594</v>
      </c>
      <c r="C3755" s="6" t="s">
        <v>1343</v>
      </c>
      <c r="D3755" s="6" t="s">
        <v>93</v>
      </c>
      <c r="G3755" s="6">
        <v>40</v>
      </c>
      <c r="H3755" s="6">
        <v>55</v>
      </c>
      <c r="I3755" s="7">
        <v>55</v>
      </c>
      <c r="K3755" s="7">
        <v>44007926</v>
      </c>
      <c r="L3755" s="6" t="str">
        <f t="shared" si="357"/>
        <v>TK TS-267 ZİGON SEHPA 40x55x55</v>
      </c>
      <c r="M3755" s="12">
        <v>0</v>
      </c>
      <c r="N3755" s="12">
        <v>0</v>
      </c>
      <c r="O3755" s="8">
        <v>4400</v>
      </c>
      <c r="P3755" s="8">
        <f t="shared" si="352"/>
        <v>4400</v>
      </c>
      <c r="Q3755" s="12">
        <f t="shared" si="356"/>
        <v>9240</v>
      </c>
      <c r="R3755" s="31">
        <f t="shared" si="354"/>
        <v>9200</v>
      </c>
    </row>
    <row r="3756" spans="1:18" ht="21.95" customHeight="1" x14ac:dyDescent="0.2">
      <c r="A3756" s="6" t="s">
        <v>1276</v>
      </c>
      <c r="B3756" s="6" t="s">
        <v>1594</v>
      </c>
      <c r="C3756" s="6" t="s">
        <v>1344</v>
      </c>
      <c r="D3756" s="6" t="s">
        <v>660</v>
      </c>
      <c r="G3756" s="6">
        <v>60</v>
      </c>
      <c r="H3756" s="6">
        <v>110</v>
      </c>
      <c r="I3756" s="7">
        <v>50</v>
      </c>
      <c r="K3756" s="7">
        <v>44007927</v>
      </c>
      <c r="L3756" s="6" t="str">
        <f t="shared" si="357"/>
        <v>TK TS-268 ORTA SEHPA  60x110x50</v>
      </c>
      <c r="M3756" s="12">
        <v>0</v>
      </c>
      <c r="N3756" s="12">
        <v>0</v>
      </c>
      <c r="O3756" s="8">
        <v>3850</v>
      </c>
      <c r="P3756" s="8">
        <f t="shared" si="352"/>
        <v>3850</v>
      </c>
      <c r="Q3756" s="12">
        <f t="shared" si="356"/>
        <v>8085</v>
      </c>
      <c r="R3756" s="31">
        <f t="shared" si="354"/>
        <v>8000</v>
      </c>
    </row>
    <row r="3757" spans="1:18" ht="21.95" customHeight="1" x14ac:dyDescent="0.2">
      <c r="A3757" s="6" t="s">
        <v>1276</v>
      </c>
      <c r="B3757" s="6" t="s">
        <v>1594</v>
      </c>
      <c r="C3757" s="6" t="s">
        <v>1345</v>
      </c>
      <c r="D3757" s="6" t="s">
        <v>660</v>
      </c>
      <c r="G3757" s="6">
        <v>60</v>
      </c>
      <c r="H3757" s="6">
        <v>110</v>
      </c>
      <c r="I3757" s="7">
        <v>45</v>
      </c>
      <c r="K3757" s="7">
        <v>44007928</v>
      </c>
      <c r="L3757" s="6" t="str">
        <f t="shared" si="357"/>
        <v>TK TS-269 ORTA SEHPA  60x110x45</v>
      </c>
      <c r="M3757" s="12">
        <v>0</v>
      </c>
      <c r="N3757" s="12">
        <v>0</v>
      </c>
      <c r="O3757" s="8">
        <v>3900</v>
      </c>
      <c r="P3757" s="8">
        <f t="shared" ref="P3757:P3820" si="358">O3757*(1-N3757)</f>
        <v>3900</v>
      </c>
      <c r="Q3757" s="12">
        <f t="shared" ref="Q3757:Q3788" si="359">O3757*2.1</f>
        <v>8190</v>
      </c>
      <c r="R3757" s="31">
        <f t="shared" ref="R3757:R3820" si="360">ROUNDDOWN(Q3757,-2)</f>
        <v>8100</v>
      </c>
    </row>
    <row r="3758" spans="1:18" ht="21.95" customHeight="1" x14ac:dyDescent="0.2">
      <c r="A3758" s="6" t="s">
        <v>1276</v>
      </c>
      <c r="B3758" s="6" t="s">
        <v>1594</v>
      </c>
      <c r="C3758" s="6" t="s">
        <v>1346</v>
      </c>
      <c r="D3758" s="6" t="s">
        <v>93</v>
      </c>
      <c r="G3758" s="6">
        <v>55</v>
      </c>
      <c r="H3758" s="6">
        <v>40</v>
      </c>
      <c r="I3758" s="7">
        <v>55</v>
      </c>
      <c r="K3758" s="7">
        <v>44007929</v>
      </c>
      <c r="L3758" s="6" t="str">
        <f t="shared" si="357"/>
        <v>TK TS-270 ZİGON SEHPA 55x40x55</v>
      </c>
      <c r="M3758" s="12">
        <v>0</v>
      </c>
      <c r="N3758" s="12">
        <v>0</v>
      </c>
      <c r="O3758" s="8">
        <v>3900</v>
      </c>
      <c r="P3758" s="8">
        <f t="shared" si="358"/>
        <v>3900</v>
      </c>
      <c r="Q3758" s="12">
        <f t="shared" si="359"/>
        <v>8190</v>
      </c>
      <c r="R3758" s="31">
        <f t="shared" si="360"/>
        <v>8100</v>
      </c>
    </row>
    <row r="3759" spans="1:18" ht="21.95" customHeight="1" x14ac:dyDescent="0.2">
      <c r="A3759" s="6" t="s">
        <v>1276</v>
      </c>
      <c r="B3759" s="6" t="s">
        <v>1594</v>
      </c>
      <c r="C3759" s="6" t="s">
        <v>1347</v>
      </c>
      <c r="D3759" s="6" t="s">
        <v>93</v>
      </c>
      <c r="G3759" s="6">
        <v>40</v>
      </c>
      <c r="H3759" s="6">
        <v>55</v>
      </c>
      <c r="I3759" s="7">
        <v>55</v>
      </c>
      <c r="K3759" s="7">
        <v>44007930</v>
      </c>
      <c r="L3759" s="6" t="str">
        <f t="shared" si="357"/>
        <v>TK TS-271 ZİGON SEHPA 40x55x55</v>
      </c>
      <c r="M3759" s="12">
        <v>0</v>
      </c>
      <c r="N3759" s="12">
        <v>0</v>
      </c>
      <c r="O3759" s="8">
        <v>4400</v>
      </c>
      <c r="P3759" s="8">
        <f t="shared" si="358"/>
        <v>4400</v>
      </c>
      <c r="Q3759" s="12">
        <f t="shared" si="359"/>
        <v>9240</v>
      </c>
      <c r="R3759" s="31">
        <f t="shared" si="360"/>
        <v>9200</v>
      </c>
    </row>
    <row r="3760" spans="1:18" ht="21.95" customHeight="1" x14ac:dyDescent="0.2">
      <c r="A3760" s="6" t="s">
        <v>1276</v>
      </c>
      <c r="B3760" s="6" t="s">
        <v>1594</v>
      </c>
      <c r="C3760" s="6" t="s">
        <v>1348</v>
      </c>
      <c r="D3760" s="6" t="s">
        <v>660</v>
      </c>
      <c r="G3760" s="6">
        <v>60</v>
      </c>
      <c r="H3760" s="6">
        <v>110</v>
      </c>
      <c r="I3760" s="7">
        <v>50</v>
      </c>
      <c r="K3760" s="7">
        <v>44007931</v>
      </c>
      <c r="L3760" s="6" t="str">
        <f t="shared" si="357"/>
        <v>TK TS-272 ORTA SEHPA  60x110x50</v>
      </c>
      <c r="M3760" s="12">
        <v>0</v>
      </c>
      <c r="N3760" s="12">
        <v>0</v>
      </c>
      <c r="O3760" s="8">
        <v>3850</v>
      </c>
      <c r="P3760" s="8">
        <f t="shared" si="358"/>
        <v>3850</v>
      </c>
      <c r="Q3760" s="12">
        <f t="shared" si="359"/>
        <v>8085</v>
      </c>
      <c r="R3760" s="31">
        <f t="shared" si="360"/>
        <v>8000</v>
      </c>
    </row>
    <row r="3761" spans="1:18" ht="21.95" customHeight="1" x14ac:dyDescent="0.2">
      <c r="A3761" s="6" t="s">
        <v>1276</v>
      </c>
      <c r="B3761" s="6" t="s">
        <v>1594</v>
      </c>
      <c r="C3761" s="6" t="s">
        <v>1349</v>
      </c>
      <c r="D3761" s="6" t="s">
        <v>93</v>
      </c>
      <c r="G3761" s="6">
        <v>48</v>
      </c>
      <c r="H3761" s="6">
        <v>48</v>
      </c>
      <c r="I3761" s="7">
        <v>62</v>
      </c>
      <c r="K3761" s="7">
        <v>44007932</v>
      </c>
      <c r="L3761" s="6" t="str">
        <f t="shared" si="357"/>
        <v>TK TS-273 ZİGON SEHPA 48x48x62</v>
      </c>
      <c r="M3761" s="12">
        <v>0</v>
      </c>
      <c r="N3761" s="12">
        <v>0</v>
      </c>
      <c r="O3761" s="8">
        <v>3750</v>
      </c>
      <c r="P3761" s="8">
        <f t="shared" si="358"/>
        <v>3750</v>
      </c>
      <c r="Q3761" s="12">
        <f t="shared" si="359"/>
        <v>7875</v>
      </c>
      <c r="R3761" s="31">
        <f t="shared" si="360"/>
        <v>7800</v>
      </c>
    </row>
    <row r="3762" spans="1:18" ht="21.95" customHeight="1" x14ac:dyDescent="0.2">
      <c r="A3762" s="6" t="s">
        <v>1276</v>
      </c>
      <c r="B3762" s="6" t="s">
        <v>1594</v>
      </c>
      <c r="C3762" s="6" t="s">
        <v>1350</v>
      </c>
      <c r="D3762" s="6" t="s">
        <v>660</v>
      </c>
      <c r="G3762" s="6">
        <v>65</v>
      </c>
      <c r="H3762" s="6">
        <v>115</v>
      </c>
      <c r="I3762" s="7">
        <v>47</v>
      </c>
      <c r="K3762" s="7">
        <v>44007933</v>
      </c>
      <c r="L3762" s="6" t="str">
        <f t="shared" si="357"/>
        <v>TK TS-274 ORTA SEHPA  65x115x47</v>
      </c>
      <c r="M3762" s="12">
        <v>0</v>
      </c>
      <c r="N3762" s="12">
        <v>0</v>
      </c>
      <c r="O3762" s="8">
        <v>3750</v>
      </c>
      <c r="P3762" s="8">
        <f t="shared" si="358"/>
        <v>3750</v>
      </c>
      <c r="Q3762" s="12">
        <f t="shared" si="359"/>
        <v>7875</v>
      </c>
      <c r="R3762" s="31">
        <f t="shared" si="360"/>
        <v>7800</v>
      </c>
    </row>
    <row r="3763" spans="1:18" ht="21.95" customHeight="1" x14ac:dyDescent="0.2">
      <c r="A3763" s="6" t="s">
        <v>1276</v>
      </c>
      <c r="B3763" s="6" t="s">
        <v>1594</v>
      </c>
      <c r="C3763" s="6" t="s">
        <v>1351</v>
      </c>
      <c r="D3763" s="6" t="s">
        <v>1289</v>
      </c>
      <c r="G3763" s="6">
        <v>90</v>
      </c>
      <c r="H3763" s="6">
        <v>90</v>
      </c>
      <c r="I3763" s="7">
        <v>45</v>
      </c>
      <c r="K3763" s="7">
        <v>44007934</v>
      </c>
      <c r="L3763" s="6" t="str">
        <f t="shared" si="357"/>
        <v>TK TS-275 ORTA DAİRE SEHPA  90x90x45</v>
      </c>
      <c r="M3763" s="12">
        <v>0</v>
      </c>
      <c r="N3763" s="12">
        <v>0</v>
      </c>
      <c r="O3763" s="8">
        <v>2000</v>
      </c>
      <c r="P3763" s="8">
        <f t="shared" si="358"/>
        <v>2000</v>
      </c>
      <c r="Q3763" s="12">
        <f t="shared" si="359"/>
        <v>4200</v>
      </c>
      <c r="R3763" s="31">
        <f t="shared" si="360"/>
        <v>4200</v>
      </c>
    </row>
    <row r="3764" spans="1:18" ht="21.95" customHeight="1" x14ac:dyDescent="0.2">
      <c r="A3764" s="6" t="s">
        <v>1276</v>
      </c>
      <c r="B3764" s="6" t="s">
        <v>1594</v>
      </c>
      <c r="C3764" s="6" t="s">
        <v>1352</v>
      </c>
      <c r="D3764" s="6" t="s">
        <v>1286</v>
      </c>
      <c r="G3764" s="6">
        <v>40</v>
      </c>
      <c r="H3764" s="6">
        <v>40</v>
      </c>
      <c r="I3764" s="7">
        <v>65</v>
      </c>
      <c r="K3764" s="7">
        <v>44007935</v>
      </c>
      <c r="L3764" s="6" t="str">
        <f t="shared" si="357"/>
        <v>TK TS-276 ZİGON DAİRE SEHPA 40x40x65</v>
      </c>
      <c r="M3764" s="12">
        <v>0</v>
      </c>
      <c r="N3764" s="12">
        <v>0</v>
      </c>
      <c r="O3764" s="8">
        <v>2400</v>
      </c>
      <c r="P3764" s="8">
        <f t="shared" si="358"/>
        <v>2400</v>
      </c>
      <c r="Q3764" s="12">
        <f t="shared" si="359"/>
        <v>5040</v>
      </c>
      <c r="R3764" s="31">
        <f t="shared" si="360"/>
        <v>5000</v>
      </c>
    </row>
    <row r="3765" spans="1:18" ht="21.95" customHeight="1" x14ac:dyDescent="0.2">
      <c r="A3765" s="6" t="s">
        <v>1276</v>
      </c>
      <c r="B3765" s="6" t="s">
        <v>1594</v>
      </c>
      <c r="C3765" s="6" t="s">
        <v>1353</v>
      </c>
      <c r="D3765" s="6" t="s">
        <v>660</v>
      </c>
      <c r="G3765" s="6">
        <v>65</v>
      </c>
      <c r="H3765" s="6">
        <v>115</v>
      </c>
      <c r="I3765" s="7">
        <v>47</v>
      </c>
      <c r="K3765" s="7">
        <v>44007936</v>
      </c>
      <c r="L3765" s="6" t="str">
        <f t="shared" si="357"/>
        <v>TK TS-277 ORTA SEHPA  65x115x47</v>
      </c>
      <c r="M3765" s="12">
        <v>0</v>
      </c>
      <c r="N3765" s="12">
        <v>0</v>
      </c>
      <c r="O3765" s="8">
        <v>5300</v>
      </c>
      <c r="P3765" s="8">
        <f t="shared" si="358"/>
        <v>5300</v>
      </c>
      <c r="Q3765" s="12">
        <f t="shared" si="359"/>
        <v>11130</v>
      </c>
      <c r="R3765" s="31">
        <f t="shared" si="360"/>
        <v>11100</v>
      </c>
    </row>
    <row r="3766" spans="1:18" ht="21.95" customHeight="1" x14ac:dyDescent="0.2">
      <c r="A3766" s="6" t="s">
        <v>1276</v>
      </c>
      <c r="B3766" s="6" t="s">
        <v>1594</v>
      </c>
      <c r="C3766" s="6" t="s">
        <v>1354</v>
      </c>
      <c r="D3766" s="6" t="s">
        <v>660</v>
      </c>
      <c r="G3766" s="6">
        <v>65</v>
      </c>
      <c r="H3766" s="6">
        <v>115</v>
      </c>
      <c r="I3766" s="7">
        <v>47</v>
      </c>
      <c r="K3766" s="7">
        <v>44007937</v>
      </c>
      <c r="L3766" s="6" t="str">
        <f t="shared" si="357"/>
        <v>TK TS-278 ORTA SEHPA  65x115x47</v>
      </c>
      <c r="M3766" s="12">
        <v>0</v>
      </c>
      <c r="N3766" s="12">
        <v>0</v>
      </c>
      <c r="O3766" s="8">
        <v>5300</v>
      </c>
      <c r="P3766" s="8">
        <f t="shared" si="358"/>
        <v>5300</v>
      </c>
      <c r="Q3766" s="12">
        <f t="shared" si="359"/>
        <v>11130</v>
      </c>
      <c r="R3766" s="31">
        <f t="shared" si="360"/>
        <v>11100</v>
      </c>
    </row>
    <row r="3767" spans="1:18" ht="21.95" customHeight="1" x14ac:dyDescent="0.2">
      <c r="A3767" s="6" t="s">
        <v>1276</v>
      </c>
      <c r="B3767" s="6" t="s">
        <v>1594</v>
      </c>
      <c r="C3767" s="6" t="s">
        <v>1355</v>
      </c>
      <c r="D3767" s="6" t="s">
        <v>1309</v>
      </c>
      <c r="G3767" s="6">
        <v>90</v>
      </c>
      <c r="H3767" s="6">
        <v>90</v>
      </c>
      <c r="I3767" s="7">
        <v>50</v>
      </c>
      <c r="K3767" s="7">
        <v>44007938</v>
      </c>
      <c r="L3767" s="6" t="str">
        <f t="shared" si="357"/>
        <v>TK TS-279 YAVRULU ORTA SEHPA  90x90x50</v>
      </c>
      <c r="M3767" s="12">
        <v>0</v>
      </c>
      <c r="N3767" s="12">
        <v>0</v>
      </c>
      <c r="O3767" s="8">
        <v>5600</v>
      </c>
      <c r="P3767" s="8">
        <f t="shared" si="358"/>
        <v>5600</v>
      </c>
      <c r="Q3767" s="12">
        <f t="shared" si="359"/>
        <v>11760</v>
      </c>
      <c r="R3767" s="31">
        <f t="shared" si="360"/>
        <v>11700</v>
      </c>
    </row>
    <row r="3768" spans="1:18" ht="21.95" customHeight="1" x14ac:dyDescent="0.2">
      <c r="A3768" s="6" t="s">
        <v>1276</v>
      </c>
      <c r="B3768" s="6" t="s">
        <v>1594</v>
      </c>
      <c r="C3768" s="6" t="s">
        <v>1356</v>
      </c>
      <c r="D3768" s="6" t="s">
        <v>1289</v>
      </c>
      <c r="G3768" s="6">
        <v>90</v>
      </c>
      <c r="H3768" s="6">
        <v>90</v>
      </c>
      <c r="I3768" s="7">
        <v>45</v>
      </c>
      <c r="K3768" s="7">
        <v>44007939</v>
      </c>
      <c r="L3768" s="6" t="str">
        <f t="shared" si="357"/>
        <v>TK TS-280 ORTA DAİRE SEHPA  90x90x45</v>
      </c>
      <c r="M3768" s="12">
        <v>0</v>
      </c>
      <c r="N3768" s="12">
        <v>0</v>
      </c>
      <c r="O3768" s="8">
        <v>3400</v>
      </c>
      <c r="P3768" s="8">
        <f t="shared" si="358"/>
        <v>3400</v>
      </c>
      <c r="Q3768" s="12">
        <f t="shared" si="359"/>
        <v>7140</v>
      </c>
      <c r="R3768" s="31">
        <f t="shared" si="360"/>
        <v>7100</v>
      </c>
    </row>
    <row r="3769" spans="1:18" ht="21.95" customHeight="1" x14ac:dyDescent="0.2">
      <c r="A3769" s="6" t="s">
        <v>1276</v>
      </c>
      <c r="B3769" s="6" t="s">
        <v>1594</v>
      </c>
      <c r="C3769" s="6" t="s">
        <v>1357</v>
      </c>
      <c r="D3769" s="6" t="s">
        <v>1286</v>
      </c>
      <c r="G3769" s="6">
        <v>40</v>
      </c>
      <c r="H3769" s="6">
        <v>40</v>
      </c>
      <c r="I3769" s="7">
        <v>65</v>
      </c>
      <c r="K3769" s="7">
        <v>44007940</v>
      </c>
      <c r="L3769" s="6" t="str">
        <f t="shared" si="357"/>
        <v>TK TS-281 ZİGON DAİRE SEHPA 40x40x65</v>
      </c>
      <c r="M3769" s="12">
        <v>0</v>
      </c>
      <c r="N3769" s="12">
        <v>0</v>
      </c>
      <c r="O3769" s="8">
        <v>3400</v>
      </c>
      <c r="P3769" s="8">
        <f t="shared" si="358"/>
        <v>3400</v>
      </c>
      <c r="Q3769" s="12">
        <f t="shared" si="359"/>
        <v>7140</v>
      </c>
      <c r="R3769" s="31">
        <f t="shared" si="360"/>
        <v>7100</v>
      </c>
    </row>
    <row r="3770" spans="1:18" ht="21.95" customHeight="1" x14ac:dyDescent="0.2">
      <c r="A3770" s="6" t="s">
        <v>1276</v>
      </c>
      <c r="B3770" s="6" t="s">
        <v>1594</v>
      </c>
      <c r="C3770" s="6" t="s">
        <v>1358</v>
      </c>
      <c r="D3770" s="6" t="s">
        <v>1289</v>
      </c>
      <c r="G3770" s="6">
        <v>90</v>
      </c>
      <c r="H3770" s="6">
        <v>90</v>
      </c>
      <c r="I3770" s="7">
        <v>45</v>
      </c>
      <c r="K3770" s="7">
        <v>44007941</v>
      </c>
      <c r="L3770" s="6" t="str">
        <f t="shared" si="357"/>
        <v>TK TS-282 ORTA DAİRE SEHPA  90x90x45</v>
      </c>
      <c r="M3770" s="12">
        <v>0</v>
      </c>
      <c r="N3770" s="12">
        <v>0</v>
      </c>
      <c r="O3770" s="8">
        <v>3000</v>
      </c>
      <c r="P3770" s="8">
        <f t="shared" si="358"/>
        <v>3000</v>
      </c>
      <c r="Q3770" s="12">
        <f t="shared" si="359"/>
        <v>6300</v>
      </c>
      <c r="R3770" s="31">
        <f t="shared" si="360"/>
        <v>6300</v>
      </c>
    </row>
    <row r="3771" spans="1:18" ht="21.95" customHeight="1" x14ac:dyDescent="0.2">
      <c r="A3771" s="6" t="s">
        <v>1276</v>
      </c>
      <c r="B3771" s="6" t="s">
        <v>1594</v>
      </c>
      <c r="C3771" s="6" t="s">
        <v>1359</v>
      </c>
      <c r="D3771" s="6" t="s">
        <v>1286</v>
      </c>
      <c r="G3771" s="6">
        <v>40</v>
      </c>
      <c r="H3771" s="6">
        <v>40</v>
      </c>
      <c r="I3771" s="7">
        <v>65</v>
      </c>
      <c r="K3771" s="7">
        <v>44007942</v>
      </c>
      <c r="L3771" s="6" t="str">
        <f t="shared" si="357"/>
        <v>TK TS-283 ZİGON DAİRE SEHPA 40x40x65</v>
      </c>
      <c r="M3771" s="12">
        <v>0</v>
      </c>
      <c r="N3771" s="12">
        <v>0</v>
      </c>
      <c r="O3771" s="8">
        <v>3000</v>
      </c>
      <c r="P3771" s="8">
        <f t="shared" si="358"/>
        <v>3000</v>
      </c>
      <c r="Q3771" s="12">
        <f t="shared" si="359"/>
        <v>6300</v>
      </c>
      <c r="R3771" s="31">
        <f t="shared" si="360"/>
        <v>6300</v>
      </c>
    </row>
    <row r="3772" spans="1:18" ht="21.95" customHeight="1" x14ac:dyDescent="0.2">
      <c r="A3772" s="6" t="s">
        <v>1276</v>
      </c>
      <c r="B3772" s="6" t="s">
        <v>1594</v>
      </c>
      <c r="C3772" s="6" t="s">
        <v>1360</v>
      </c>
      <c r="D3772" s="6" t="s">
        <v>1289</v>
      </c>
      <c r="G3772" s="6">
        <v>90</v>
      </c>
      <c r="H3772" s="6">
        <v>90</v>
      </c>
      <c r="I3772" s="7">
        <v>45</v>
      </c>
      <c r="K3772" s="7">
        <v>44007943</v>
      </c>
      <c r="L3772" s="6" t="str">
        <f t="shared" si="357"/>
        <v>TK TS-284 ORTA DAİRE SEHPA  90x90x45</v>
      </c>
      <c r="M3772" s="12">
        <v>0</v>
      </c>
      <c r="N3772" s="12">
        <v>0</v>
      </c>
      <c r="O3772" s="8">
        <v>3000</v>
      </c>
      <c r="P3772" s="8">
        <f t="shared" si="358"/>
        <v>3000</v>
      </c>
      <c r="Q3772" s="12">
        <f t="shared" si="359"/>
        <v>6300</v>
      </c>
      <c r="R3772" s="31">
        <f t="shared" si="360"/>
        <v>6300</v>
      </c>
    </row>
    <row r="3773" spans="1:18" ht="21.95" customHeight="1" x14ac:dyDescent="0.2">
      <c r="A3773" s="6" t="s">
        <v>1276</v>
      </c>
      <c r="B3773" s="6" t="s">
        <v>1594</v>
      </c>
      <c r="C3773" s="6" t="s">
        <v>1361</v>
      </c>
      <c r="D3773" s="6" t="s">
        <v>1286</v>
      </c>
      <c r="G3773" s="6">
        <v>90</v>
      </c>
      <c r="H3773" s="6">
        <v>90</v>
      </c>
      <c r="I3773" s="7">
        <v>45</v>
      </c>
      <c r="K3773" s="7">
        <v>44007944</v>
      </c>
      <c r="L3773" s="6" t="str">
        <f t="shared" si="357"/>
        <v>TK TS-285 ZİGON DAİRE SEHPA 90x90x45</v>
      </c>
      <c r="M3773" s="12">
        <v>0</v>
      </c>
      <c r="N3773" s="12">
        <v>0</v>
      </c>
      <c r="O3773" s="8">
        <v>3000</v>
      </c>
      <c r="P3773" s="8">
        <f t="shared" si="358"/>
        <v>3000</v>
      </c>
      <c r="Q3773" s="12">
        <f t="shared" si="359"/>
        <v>6300</v>
      </c>
      <c r="R3773" s="31">
        <f t="shared" si="360"/>
        <v>6300</v>
      </c>
    </row>
    <row r="3774" spans="1:18" ht="21.95" customHeight="1" x14ac:dyDescent="0.2">
      <c r="A3774" s="6" t="s">
        <v>1276</v>
      </c>
      <c r="B3774" s="6" t="s">
        <v>1594</v>
      </c>
      <c r="C3774" s="6" t="s">
        <v>1362</v>
      </c>
      <c r="D3774" s="6" t="s">
        <v>1363</v>
      </c>
      <c r="G3774" s="6">
        <v>80</v>
      </c>
      <c r="H3774" s="6">
        <v>130</v>
      </c>
      <c r="I3774" s="7">
        <v>75</v>
      </c>
      <c r="K3774" s="7">
        <v>44007945</v>
      </c>
      <c r="L3774" s="6" t="str">
        <f t="shared" si="357"/>
        <v>TK TS-176 AÇILIR MUTFAK MASASI  80x130x75</v>
      </c>
      <c r="M3774" s="12">
        <v>0</v>
      </c>
      <c r="N3774" s="12">
        <v>0</v>
      </c>
      <c r="O3774" s="8">
        <v>7700</v>
      </c>
      <c r="P3774" s="8">
        <f t="shared" si="358"/>
        <v>7700</v>
      </c>
      <c r="Q3774" s="12">
        <f t="shared" si="359"/>
        <v>16170</v>
      </c>
      <c r="R3774" s="31">
        <f t="shared" si="360"/>
        <v>16100</v>
      </c>
    </row>
    <row r="3775" spans="1:18" ht="21.95" customHeight="1" x14ac:dyDescent="0.2">
      <c r="A3775" s="6" t="s">
        <v>1276</v>
      </c>
      <c r="B3775" s="6" t="s">
        <v>1594</v>
      </c>
      <c r="C3775" s="6" t="s">
        <v>1362</v>
      </c>
      <c r="D3775" s="6" t="s">
        <v>358</v>
      </c>
      <c r="K3775" s="7">
        <v>44007946</v>
      </c>
      <c r="L3775" s="6" t="str">
        <f>B3775&amp;" "&amp;C3775&amp;" "&amp;D3775</f>
        <v xml:space="preserve">TK TS-176 SANDALYE </v>
      </c>
      <c r="M3775" s="12">
        <v>0</v>
      </c>
      <c r="N3775" s="12">
        <v>0</v>
      </c>
      <c r="O3775" s="8">
        <v>2400</v>
      </c>
      <c r="P3775" s="8">
        <f t="shared" si="358"/>
        <v>2400</v>
      </c>
      <c r="Q3775" s="12">
        <f t="shared" si="359"/>
        <v>5040</v>
      </c>
      <c r="R3775" s="31">
        <f t="shared" si="360"/>
        <v>5000</v>
      </c>
    </row>
    <row r="3776" spans="1:18" ht="21.95" customHeight="1" x14ac:dyDescent="0.2">
      <c r="A3776" s="6" t="s">
        <v>1276</v>
      </c>
      <c r="B3776" s="6" t="s">
        <v>1594</v>
      </c>
      <c r="C3776" s="6" t="s">
        <v>1364</v>
      </c>
      <c r="D3776" s="6" t="s">
        <v>1363</v>
      </c>
      <c r="G3776" s="6">
        <v>80</v>
      </c>
      <c r="H3776" s="6">
        <v>130</v>
      </c>
      <c r="I3776" s="7">
        <v>75</v>
      </c>
      <c r="K3776" s="7">
        <v>44007947</v>
      </c>
      <c r="L3776" s="6" t="str">
        <f>B3776&amp;" "&amp;C3776&amp;" "&amp;D3776&amp;" "&amp;G3776&amp;"x"&amp;H3776&amp;"x"&amp;I3776</f>
        <v>TK TS-177 AÇILIR MUTFAK MASASI  80x130x75</v>
      </c>
      <c r="M3776" s="12">
        <v>0</v>
      </c>
      <c r="N3776" s="12">
        <v>0</v>
      </c>
      <c r="O3776" s="8">
        <v>7250</v>
      </c>
      <c r="P3776" s="8">
        <f t="shared" si="358"/>
        <v>7250</v>
      </c>
      <c r="Q3776" s="12">
        <f t="shared" si="359"/>
        <v>15225</v>
      </c>
      <c r="R3776" s="31">
        <f t="shared" si="360"/>
        <v>15200</v>
      </c>
    </row>
    <row r="3777" spans="1:18" ht="21.95" customHeight="1" x14ac:dyDescent="0.2">
      <c r="A3777" s="6" t="s">
        <v>1276</v>
      </c>
      <c r="B3777" s="6" t="s">
        <v>1594</v>
      </c>
      <c r="C3777" s="6" t="s">
        <v>1364</v>
      </c>
      <c r="D3777" s="6" t="s">
        <v>358</v>
      </c>
      <c r="K3777" s="7">
        <v>44007948</v>
      </c>
      <c r="L3777" s="6" t="str">
        <f>B3777&amp;" "&amp;C3777&amp;" "&amp;D3777</f>
        <v xml:space="preserve">TK TS-177 SANDALYE </v>
      </c>
      <c r="M3777" s="12">
        <v>0</v>
      </c>
      <c r="N3777" s="12">
        <v>0</v>
      </c>
      <c r="O3777" s="8">
        <v>1300</v>
      </c>
      <c r="P3777" s="8">
        <f t="shared" si="358"/>
        <v>1300</v>
      </c>
      <c r="Q3777" s="12">
        <f t="shared" si="359"/>
        <v>2730</v>
      </c>
      <c r="R3777" s="31">
        <f t="shared" si="360"/>
        <v>2700</v>
      </c>
    </row>
    <row r="3778" spans="1:18" ht="21.95" customHeight="1" x14ac:dyDescent="0.2">
      <c r="A3778" s="6" t="s">
        <v>1276</v>
      </c>
      <c r="B3778" s="6" t="s">
        <v>1594</v>
      </c>
      <c r="C3778" s="6" t="s">
        <v>1365</v>
      </c>
      <c r="D3778" s="6" t="s">
        <v>1363</v>
      </c>
      <c r="G3778" s="6">
        <v>80</v>
      </c>
      <c r="H3778" s="6">
        <v>130</v>
      </c>
      <c r="I3778" s="7">
        <v>75</v>
      </c>
      <c r="K3778" s="7">
        <v>44007949</v>
      </c>
      <c r="L3778" s="6" t="str">
        <f>B3778&amp;" "&amp;C3778&amp;" "&amp;D3778&amp;" "&amp;G3778&amp;"x"&amp;H3778&amp;"x"&amp;I3778</f>
        <v>TK TS-180 AÇILIR MUTFAK MASASI  80x130x75</v>
      </c>
      <c r="M3778" s="12">
        <v>0</v>
      </c>
      <c r="N3778" s="12">
        <v>0</v>
      </c>
      <c r="O3778" s="8">
        <v>7250</v>
      </c>
      <c r="P3778" s="8">
        <f t="shared" si="358"/>
        <v>7250</v>
      </c>
      <c r="Q3778" s="12">
        <f t="shared" si="359"/>
        <v>15225</v>
      </c>
      <c r="R3778" s="31">
        <f t="shared" si="360"/>
        <v>15200</v>
      </c>
    </row>
    <row r="3779" spans="1:18" ht="21.95" customHeight="1" x14ac:dyDescent="0.2">
      <c r="A3779" s="6" t="s">
        <v>1276</v>
      </c>
      <c r="B3779" s="6" t="s">
        <v>1594</v>
      </c>
      <c r="C3779" s="6" t="s">
        <v>1365</v>
      </c>
      <c r="D3779" s="6" t="s">
        <v>358</v>
      </c>
      <c r="K3779" s="7">
        <v>44007950</v>
      </c>
      <c r="L3779" s="6" t="str">
        <f>B3779&amp;" "&amp;C3779&amp;" "&amp;D3779</f>
        <v xml:space="preserve">TK TS-180 SANDALYE </v>
      </c>
      <c r="M3779" s="12">
        <v>0</v>
      </c>
      <c r="N3779" s="12">
        <v>0</v>
      </c>
      <c r="O3779" s="8">
        <v>1600</v>
      </c>
      <c r="P3779" s="8">
        <f t="shared" si="358"/>
        <v>1600</v>
      </c>
      <c r="Q3779" s="12">
        <f t="shared" si="359"/>
        <v>3360</v>
      </c>
      <c r="R3779" s="31">
        <f t="shared" si="360"/>
        <v>3300</v>
      </c>
    </row>
    <row r="3780" spans="1:18" ht="21.95" customHeight="1" x14ac:dyDescent="0.2">
      <c r="A3780" s="6" t="s">
        <v>1276</v>
      </c>
      <c r="B3780" s="6" t="s">
        <v>1594</v>
      </c>
      <c r="C3780" s="6" t="s">
        <v>1366</v>
      </c>
      <c r="D3780" s="6" t="s">
        <v>1367</v>
      </c>
      <c r="G3780" s="5">
        <v>90</v>
      </c>
      <c r="H3780" s="5">
        <v>90</v>
      </c>
      <c r="I3780" s="7">
        <v>75</v>
      </c>
      <c r="K3780" s="7">
        <v>44007951</v>
      </c>
      <c r="L3780" s="6" t="str">
        <f>B3780&amp;" "&amp;C3780&amp;" "&amp;D3780&amp;" "&amp;G3780&amp;"x"&amp;H3780&amp;"x"&amp;I3780</f>
        <v>TK TS-186 YUVARLAK MUTFAK MASASI  90x90x75</v>
      </c>
      <c r="M3780" s="12">
        <v>0</v>
      </c>
      <c r="N3780" s="12">
        <v>0</v>
      </c>
      <c r="O3780" s="8">
        <v>4000</v>
      </c>
      <c r="P3780" s="8">
        <f t="shared" si="358"/>
        <v>4000</v>
      </c>
      <c r="Q3780" s="12">
        <f t="shared" si="359"/>
        <v>8400</v>
      </c>
      <c r="R3780" s="31">
        <f t="shared" si="360"/>
        <v>8400</v>
      </c>
    </row>
    <row r="3781" spans="1:18" ht="21.95" customHeight="1" x14ac:dyDescent="0.2">
      <c r="A3781" s="6" t="s">
        <v>1276</v>
      </c>
      <c r="B3781" s="6" t="s">
        <v>1594</v>
      </c>
      <c r="C3781" s="6" t="s">
        <v>1366</v>
      </c>
      <c r="D3781" s="6" t="s">
        <v>358</v>
      </c>
      <c r="K3781" s="7">
        <v>44007952</v>
      </c>
      <c r="L3781" s="6" t="str">
        <f>B3781&amp;" "&amp;C3781&amp;" "&amp;D3781</f>
        <v xml:space="preserve">TK TS-186 SANDALYE </v>
      </c>
      <c r="M3781" s="12">
        <v>0</v>
      </c>
      <c r="N3781" s="12">
        <v>0</v>
      </c>
      <c r="O3781" s="8">
        <v>1300</v>
      </c>
      <c r="P3781" s="8">
        <f t="shared" si="358"/>
        <v>1300</v>
      </c>
      <c r="Q3781" s="12">
        <f t="shared" si="359"/>
        <v>2730</v>
      </c>
      <c r="R3781" s="31">
        <f t="shared" si="360"/>
        <v>2700</v>
      </c>
    </row>
    <row r="3782" spans="1:18" ht="21.95" customHeight="1" x14ac:dyDescent="0.2">
      <c r="A3782" s="6" t="s">
        <v>1276</v>
      </c>
      <c r="B3782" s="6" t="s">
        <v>1594</v>
      </c>
      <c r="C3782" s="6" t="s">
        <v>1368</v>
      </c>
      <c r="D3782" t="s">
        <v>1369</v>
      </c>
      <c r="G3782" s="5">
        <v>90</v>
      </c>
      <c r="H3782" s="5">
        <v>160</v>
      </c>
      <c r="I3782" s="7">
        <v>75</v>
      </c>
      <c r="K3782" s="7">
        <v>44007953</v>
      </c>
      <c r="L3782" s="6" t="str">
        <f>B3782&amp;" "&amp;C3782&amp;" "&amp;D3782&amp;" "&amp;G3782&amp;"x"&amp;H3782&amp;"x"&amp;I3782</f>
        <v>TK TS-243 AÇILIR MUTFAK MASASI KELEBEK MASA 90x160x75</v>
      </c>
      <c r="M3782" s="12">
        <v>0</v>
      </c>
      <c r="N3782" s="12">
        <v>0</v>
      </c>
      <c r="O3782" s="8">
        <v>13400</v>
      </c>
      <c r="P3782" s="8">
        <f t="shared" si="358"/>
        <v>13400</v>
      </c>
      <c r="Q3782" s="12">
        <f t="shared" si="359"/>
        <v>28140</v>
      </c>
      <c r="R3782" s="31">
        <f t="shared" si="360"/>
        <v>28100</v>
      </c>
    </row>
    <row r="3783" spans="1:18" ht="21.95" customHeight="1" x14ac:dyDescent="0.2">
      <c r="A3783" s="6" t="s">
        <v>1276</v>
      </c>
      <c r="B3783" s="6" t="s">
        <v>1594</v>
      </c>
      <c r="C3783" s="6" t="s">
        <v>1368</v>
      </c>
      <c r="D3783" s="6" t="s">
        <v>358</v>
      </c>
      <c r="K3783" s="7">
        <v>44007954</v>
      </c>
      <c r="L3783" s="6" t="str">
        <f>B3783&amp;" "&amp;C3783&amp;" "&amp;D3783</f>
        <v xml:space="preserve">TK TS-243 SANDALYE </v>
      </c>
      <c r="M3783" s="12">
        <v>0</v>
      </c>
      <c r="N3783" s="12">
        <v>0</v>
      </c>
      <c r="O3783" s="8">
        <v>2800</v>
      </c>
      <c r="P3783" s="8">
        <f t="shared" si="358"/>
        <v>2800</v>
      </c>
      <c r="Q3783" s="12">
        <f t="shared" si="359"/>
        <v>5880</v>
      </c>
      <c r="R3783" s="31">
        <f t="shared" si="360"/>
        <v>5800</v>
      </c>
    </row>
    <row r="3784" spans="1:18" ht="21.95" customHeight="1" x14ac:dyDescent="0.2">
      <c r="A3784" s="6" t="s">
        <v>1276</v>
      </c>
      <c r="B3784" s="6" t="s">
        <v>1594</v>
      </c>
      <c r="C3784" s="6" t="s">
        <v>1370</v>
      </c>
      <c r="D3784" s="6" t="s">
        <v>1367</v>
      </c>
      <c r="G3784" s="5">
        <v>100</v>
      </c>
      <c r="H3784" s="5">
        <v>100</v>
      </c>
      <c r="I3784" s="7">
        <v>75</v>
      </c>
      <c r="K3784" s="7">
        <v>44007955</v>
      </c>
      <c r="L3784" s="6" t="str">
        <f>B3784&amp;" "&amp;C3784&amp;" "&amp;D3784&amp;" "&amp;G3784&amp;"x"&amp;H3784&amp;"x"&amp;I3784</f>
        <v>TK TS-247 YUVARLAK MUTFAK MASASI  100x100x75</v>
      </c>
      <c r="M3784" s="12">
        <v>0</v>
      </c>
      <c r="N3784" s="12">
        <v>0</v>
      </c>
      <c r="O3784" s="8">
        <v>7500</v>
      </c>
      <c r="P3784" s="8">
        <f t="shared" si="358"/>
        <v>7500</v>
      </c>
      <c r="Q3784" s="12">
        <f t="shared" si="359"/>
        <v>15750</v>
      </c>
      <c r="R3784" s="31">
        <f t="shared" si="360"/>
        <v>15700</v>
      </c>
    </row>
    <row r="3785" spans="1:18" ht="21.95" customHeight="1" x14ac:dyDescent="0.2">
      <c r="A3785" s="6" t="s">
        <v>1276</v>
      </c>
      <c r="B3785" s="6" t="s">
        <v>1594</v>
      </c>
      <c r="C3785" s="6" t="s">
        <v>1370</v>
      </c>
      <c r="D3785" s="6" t="s">
        <v>358</v>
      </c>
      <c r="K3785" s="7">
        <v>44007956</v>
      </c>
      <c r="L3785" s="6" t="str">
        <f t="shared" ref="L3785:L3790" si="361">B3785&amp;" "&amp;C3785&amp;" "&amp;D3785</f>
        <v xml:space="preserve">TK TS-247 SANDALYE </v>
      </c>
      <c r="M3785" s="12">
        <v>0</v>
      </c>
      <c r="N3785" s="12">
        <v>0</v>
      </c>
      <c r="O3785" s="8">
        <v>2800</v>
      </c>
      <c r="P3785" s="8">
        <f t="shared" si="358"/>
        <v>2800</v>
      </c>
      <c r="Q3785" s="12">
        <f t="shared" si="359"/>
        <v>5880</v>
      </c>
      <c r="R3785" s="31">
        <f t="shared" si="360"/>
        <v>5800</v>
      </c>
    </row>
    <row r="3786" spans="1:18" ht="21.95" customHeight="1" x14ac:dyDescent="0.2">
      <c r="A3786" s="6" t="s">
        <v>1276</v>
      </c>
      <c r="B3786" s="6" t="s">
        <v>1594</v>
      </c>
      <c r="C3786" s="6" t="s">
        <v>1371</v>
      </c>
      <c r="D3786" s="6" t="s">
        <v>1372</v>
      </c>
      <c r="K3786" s="7">
        <v>44007957</v>
      </c>
      <c r="L3786" s="6" t="str">
        <f t="shared" si="361"/>
        <v xml:space="preserve">TK TS-286 MUTFAK MASASI </v>
      </c>
      <c r="M3786" s="12">
        <v>0</v>
      </c>
      <c r="N3786" s="12">
        <v>0</v>
      </c>
      <c r="O3786" s="8">
        <v>8500</v>
      </c>
      <c r="P3786" s="8">
        <f t="shared" si="358"/>
        <v>8500</v>
      </c>
      <c r="Q3786" s="12">
        <f t="shared" si="359"/>
        <v>17850</v>
      </c>
      <c r="R3786" s="31">
        <f t="shared" si="360"/>
        <v>17800</v>
      </c>
    </row>
    <row r="3787" spans="1:18" ht="21.95" customHeight="1" x14ac:dyDescent="0.2">
      <c r="A3787" s="6" t="s">
        <v>1276</v>
      </c>
      <c r="B3787" s="6" t="s">
        <v>1594</v>
      </c>
      <c r="C3787" s="6" t="s">
        <v>1371</v>
      </c>
      <c r="D3787" s="6" t="s">
        <v>358</v>
      </c>
      <c r="K3787" s="7">
        <v>44007958</v>
      </c>
      <c r="L3787" s="6" t="str">
        <f t="shared" si="361"/>
        <v xml:space="preserve">TK TS-286 SANDALYE </v>
      </c>
      <c r="M3787" s="12">
        <v>0</v>
      </c>
      <c r="N3787" s="12">
        <v>0</v>
      </c>
      <c r="O3787" s="8">
        <v>2400</v>
      </c>
      <c r="P3787" s="8">
        <f t="shared" si="358"/>
        <v>2400</v>
      </c>
      <c r="Q3787" s="12">
        <f t="shared" si="359"/>
        <v>5040</v>
      </c>
      <c r="R3787" s="31">
        <f t="shared" si="360"/>
        <v>5000</v>
      </c>
    </row>
    <row r="3788" spans="1:18" ht="21.95" customHeight="1" x14ac:dyDescent="0.2">
      <c r="A3788" s="6" t="s">
        <v>1276</v>
      </c>
      <c r="B3788" s="6" t="s">
        <v>1594</v>
      </c>
      <c r="C3788" s="6" t="s">
        <v>1373</v>
      </c>
      <c r="D3788" s="6" t="s">
        <v>1374</v>
      </c>
      <c r="K3788" s="7">
        <v>44007959</v>
      </c>
      <c r="L3788" s="6" t="str">
        <f t="shared" si="361"/>
        <v xml:space="preserve">TK TS-287 BOHEM YEMEK MASASI </v>
      </c>
      <c r="M3788" s="12">
        <v>0</v>
      </c>
      <c r="N3788" s="12">
        <v>0</v>
      </c>
      <c r="O3788" s="8">
        <v>11500</v>
      </c>
      <c r="P3788" s="8">
        <f t="shared" si="358"/>
        <v>11500</v>
      </c>
      <c r="Q3788" s="12">
        <f t="shared" si="359"/>
        <v>24150</v>
      </c>
      <c r="R3788" s="31">
        <f t="shared" si="360"/>
        <v>24100</v>
      </c>
    </row>
    <row r="3789" spans="1:18" ht="21.95" customHeight="1" x14ac:dyDescent="0.2">
      <c r="A3789" s="6" t="s">
        <v>1276</v>
      </c>
      <c r="B3789" s="6" t="s">
        <v>1594</v>
      </c>
      <c r="C3789" s="6" t="s">
        <v>1373</v>
      </c>
      <c r="D3789" s="6" t="s">
        <v>1375</v>
      </c>
      <c r="K3789" s="7">
        <v>44007960</v>
      </c>
      <c r="L3789" s="6" t="str">
        <f t="shared" si="361"/>
        <v xml:space="preserve">TK TS-287 BOHEM SANDALYE </v>
      </c>
      <c r="M3789" s="12">
        <v>0</v>
      </c>
      <c r="N3789" s="12">
        <v>0</v>
      </c>
      <c r="O3789" s="8">
        <v>2800</v>
      </c>
      <c r="P3789" s="8">
        <f t="shared" si="358"/>
        <v>2800</v>
      </c>
      <c r="Q3789" s="12">
        <f t="shared" ref="Q3789:Q3794" si="362">O3789*2.1</f>
        <v>5880</v>
      </c>
      <c r="R3789" s="31">
        <f t="shared" si="360"/>
        <v>5800</v>
      </c>
    </row>
    <row r="3790" spans="1:18" ht="21.95" customHeight="1" x14ac:dyDescent="0.2">
      <c r="A3790" s="6" t="s">
        <v>1276</v>
      </c>
      <c r="B3790" s="6" t="s">
        <v>1594</v>
      </c>
      <c r="C3790" s="6" t="s">
        <v>1373</v>
      </c>
      <c r="D3790" s="6" t="s">
        <v>1376</v>
      </c>
      <c r="K3790" s="7">
        <v>44007961</v>
      </c>
      <c r="L3790" s="6" t="str">
        <f t="shared" si="361"/>
        <v xml:space="preserve">TK TS-287 BOHEM KONSOL </v>
      </c>
      <c r="M3790" s="12">
        <v>0</v>
      </c>
      <c r="N3790" s="12">
        <v>0</v>
      </c>
      <c r="O3790" s="8">
        <v>12500</v>
      </c>
      <c r="P3790" s="8">
        <f t="shared" si="358"/>
        <v>12500</v>
      </c>
      <c r="Q3790" s="12">
        <f t="shared" si="362"/>
        <v>26250</v>
      </c>
      <c r="R3790" s="31">
        <f t="shared" si="360"/>
        <v>26200</v>
      </c>
    </row>
    <row r="3791" spans="1:18" ht="21.95" customHeight="1" x14ac:dyDescent="0.2">
      <c r="A3791" s="6" t="s">
        <v>1276</v>
      </c>
      <c r="B3791" s="6" t="s">
        <v>1594</v>
      </c>
      <c r="C3791" s="6" t="s">
        <v>1377</v>
      </c>
      <c r="D3791" s="6" t="s">
        <v>1367</v>
      </c>
      <c r="G3791" s="5">
        <v>100</v>
      </c>
      <c r="H3791" s="5">
        <v>100</v>
      </c>
      <c r="I3791" s="7">
        <v>75</v>
      </c>
      <c r="K3791" s="7">
        <v>44007962</v>
      </c>
      <c r="L3791" s="6" t="str">
        <f>B3791&amp;" "&amp;C3791&amp;" "&amp;D3791&amp;" "&amp;G3791&amp;"x"&amp;H3791&amp;"x"&amp;I3791</f>
        <v>TK TS-288 YUVARLAK MUTFAK MASASI  100x100x75</v>
      </c>
      <c r="M3791" s="12">
        <v>0</v>
      </c>
      <c r="N3791" s="12">
        <v>0</v>
      </c>
      <c r="O3791" s="8">
        <v>6500</v>
      </c>
      <c r="P3791" s="8">
        <f t="shared" si="358"/>
        <v>6500</v>
      </c>
      <c r="Q3791" s="12">
        <f t="shared" si="362"/>
        <v>13650</v>
      </c>
      <c r="R3791" s="31">
        <f t="shared" si="360"/>
        <v>13600</v>
      </c>
    </row>
    <row r="3792" spans="1:18" ht="21.95" customHeight="1" x14ac:dyDescent="0.2">
      <c r="A3792" s="6" t="s">
        <v>1276</v>
      </c>
      <c r="B3792" s="6" t="s">
        <v>1594</v>
      </c>
      <c r="C3792" s="6" t="s">
        <v>1377</v>
      </c>
      <c r="D3792" s="6" t="s">
        <v>358</v>
      </c>
      <c r="K3792" s="7">
        <v>44007963</v>
      </c>
      <c r="L3792" s="6" t="str">
        <f>B3792&amp;" "&amp;C3792&amp;" "&amp;D3792</f>
        <v xml:space="preserve">TK TS-288 SANDALYE </v>
      </c>
      <c r="M3792" s="12">
        <v>0</v>
      </c>
      <c r="N3792" s="12">
        <v>0</v>
      </c>
      <c r="O3792" s="8">
        <v>2200</v>
      </c>
      <c r="P3792" s="8">
        <f t="shared" si="358"/>
        <v>2200</v>
      </c>
      <c r="Q3792" s="12">
        <f t="shared" si="362"/>
        <v>4620</v>
      </c>
      <c r="R3792" s="31">
        <f t="shared" si="360"/>
        <v>4600</v>
      </c>
    </row>
    <row r="3793" spans="1:23" ht="21.95" customHeight="1" x14ac:dyDescent="0.2">
      <c r="A3793" s="6" t="s">
        <v>1276</v>
      </c>
      <c r="B3793" s="6" t="s">
        <v>1594</v>
      </c>
      <c r="C3793" s="6" t="s">
        <v>1378</v>
      </c>
      <c r="D3793" s="6" t="s">
        <v>1367</v>
      </c>
      <c r="G3793" s="5">
        <v>100</v>
      </c>
      <c r="H3793" s="5">
        <v>100</v>
      </c>
      <c r="I3793" s="7">
        <v>75</v>
      </c>
      <c r="K3793" s="7">
        <v>44007964</v>
      </c>
      <c r="L3793" s="6" t="str">
        <f>B3793&amp;" "&amp;C3793&amp;" "&amp;D3793&amp;" "&amp;G3793&amp;"x"&amp;H3793&amp;"x"&amp;I3793</f>
        <v>TK TS-289 YUVARLAK MUTFAK MASASI  100x100x75</v>
      </c>
      <c r="M3793" s="12">
        <v>0</v>
      </c>
      <c r="N3793" s="12">
        <v>0</v>
      </c>
      <c r="O3793" s="8">
        <v>6500</v>
      </c>
      <c r="P3793" s="8">
        <f t="shared" si="358"/>
        <v>6500</v>
      </c>
      <c r="Q3793" s="12">
        <f t="shared" si="362"/>
        <v>13650</v>
      </c>
      <c r="R3793" s="31">
        <f t="shared" si="360"/>
        <v>13600</v>
      </c>
    </row>
    <row r="3794" spans="1:23" ht="21.95" customHeight="1" x14ac:dyDescent="0.2">
      <c r="A3794" s="6" t="s">
        <v>1276</v>
      </c>
      <c r="B3794" s="6" t="s">
        <v>1594</v>
      </c>
      <c r="C3794" s="6" t="s">
        <v>1378</v>
      </c>
      <c r="D3794" s="6" t="s">
        <v>358</v>
      </c>
      <c r="K3794" s="7">
        <v>44007965</v>
      </c>
      <c r="L3794" s="6" t="str">
        <f>B3794&amp;" "&amp;C3794&amp;" "&amp;D3794</f>
        <v xml:space="preserve">TK TS-289 SANDALYE </v>
      </c>
      <c r="M3794" s="12">
        <v>0</v>
      </c>
      <c r="N3794" s="12">
        <v>0</v>
      </c>
      <c r="O3794" s="8">
        <v>2200</v>
      </c>
      <c r="P3794" s="8">
        <f t="shared" si="358"/>
        <v>2200</v>
      </c>
      <c r="Q3794" s="12">
        <f t="shared" si="362"/>
        <v>4620</v>
      </c>
      <c r="R3794" s="31">
        <f t="shared" si="360"/>
        <v>4600</v>
      </c>
    </row>
    <row r="3795" spans="1:23" s="6" customFormat="1" ht="21.95" customHeight="1" x14ac:dyDescent="0.2">
      <c r="A3795" s="6" t="s">
        <v>943</v>
      </c>
      <c r="B3795" s="6" t="s">
        <v>1597</v>
      </c>
      <c r="C3795" s="6" t="s">
        <v>1379</v>
      </c>
      <c r="D3795" s="6" t="s">
        <v>989</v>
      </c>
      <c r="G3795" s="6">
        <v>90</v>
      </c>
      <c r="H3795" s="6">
        <v>190</v>
      </c>
      <c r="I3795" s="9"/>
      <c r="J3795" s="9"/>
      <c r="K3795" s="9">
        <v>44007993</v>
      </c>
      <c r="L3795" s="6" t="str">
        <f t="shared" ref="L3795:L3818" si="363">B3795&amp;" "&amp;C3795&amp;" "&amp;D3795&amp;" "&amp;G3795&amp;"x"&amp;H3795</f>
        <v>1D  ALLURE  BAZA  90x190</v>
      </c>
      <c r="M3795" s="12">
        <v>0.5</v>
      </c>
      <c r="N3795" s="12">
        <v>0.5</v>
      </c>
      <c r="O3795" s="12">
        <v>11600</v>
      </c>
      <c r="P3795" s="12">
        <f t="shared" si="358"/>
        <v>5800</v>
      </c>
      <c r="Q3795" s="12">
        <f t="shared" ref="Q3795:Q3858" si="364">O3795*(1-N3795)*2.1</f>
        <v>12180</v>
      </c>
      <c r="R3795" s="33">
        <f t="shared" si="360"/>
        <v>12100</v>
      </c>
      <c r="T3795" s="12"/>
      <c r="U3795" s="12"/>
      <c r="V3795" s="12"/>
      <c r="W3795" s="12"/>
    </row>
    <row r="3796" spans="1:23" s="6" customFormat="1" ht="21.95" customHeight="1" x14ac:dyDescent="0.2">
      <c r="A3796" s="6" t="s">
        <v>943</v>
      </c>
      <c r="B3796" s="6" t="s">
        <v>1597</v>
      </c>
      <c r="C3796" s="6" t="s">
        <v>1379</v>
      </c>
      <c r="D3796" s="6" t="s">
        <v>989</v>
      </c>
      <c r="G3796" s="6">
        <v>90</v>
      </c>
      <c r="H3796" s="6">
        <v>200</v>
      </c>
      <c r="I3796" s="9"/>
      <c r="J3796" s="9"/>
      <c r="K3796" s="9">
        <v>44007994</v>
      </c>
      <c r="L3796" s="6" t="str">
        <f t="shared" si="363"/>
        <v>1D  ALLURE  BAZA  90x200</v>
      </c>
      <c r="M3796" s="12">
        <v>0.5</v>
      </c>
      <c r="N3796" s="12">
        <v>0.5</v>
      </c>
      <c r="O3796" s="12">
        <v>12300</v>
      </c>
      <c r="P3796" s="12">
        <f t="shared" si="358"/>
        <v>6150</v>
      </c>
      <c r="Q3796" s="12">
        <f t="shared" si="364"/>
        <v>12915</v>
      </c>
      <c r="R3796" s="33">
        <f t="shared" si="360"/>
        <v>12900</v>
      </c>
      <c r="T3796" s="12"/>
      <c r="U3796" s="12"/>
      <c r="V3796" s="12"/>
      <c r="W3796" s="12"/>
    </row>
    <row r="3797" spans="1:23" s="6" customFormat="1" ht="21.95" customHeight="1" x14ac:dyDescent="0.2">
      <c r="A3797" s="6" t="s">
        <v>943</v>
      </c>
      <c r="B3797" s="6" t="s">
        <v>1597</v>
      </c>
      <c r="C3797" s="6" t="s">
        <v>1379</v>
      </c>
      <c r="D3797" s="6" t="s">
        <v>989</v>
      </c>
      <c r="G3797" s="6">
        <v>100</v>
      </c>
      <c r="H3797" s="6">
        <v>200</v>
      </c>
      <c r="I3797" s="9"/>
      <c r="J3797" s="9"/>
      <c r="K3797" s="9">
        <v>44007995</v>
      </c>
      <c r="L3797" s="6" t="str">
        <f t="shared" si="363"/>
        <v>1D  ALLURE  BAZA  100x200</v>
      </c>
      <c r="M3797" s="12">
        <v>0.5</v>
      </c>
      <c r="N3797" s="12">
        <v>0.5</v>
      </c>
      <c r="O3797" s="12">
        <v>13600</v>
      </c>
      <c r="P3797" s="12">
        <f t="shared" si="358"/>
        <v>6800</v>
      </c>
      <c r="Q3797" s="12">
        <f t="shared" si="364"/>
        <v>14280</v>
      </c>
      <c r="R3797" s="33">
        <f t="shared" si="360"/>
        <v>14200</v>
      </c>
      <c r="T3797" s="12"/>
      <c r="U3797" s="12"/>
      <c r="V3797" s="12"/>
      <c r="W3797" s="12"/>
    </row>
    <row r="3798" spans="1:23" s="6" customFormat="1" ht="21.95" customHeight="1" x14ac:dyDescent="0.2">
      <c r="A3798" s="6" t="s">
        <v>943</v>
      </c>
      <c r="B3798" s="6" t="s">
        <v>1597</v>
      </c>
      <c r="C3798" s="6" t="s">
        <v>1379</v>
      </c>
      <c r="D3798" s="6" t="s">
        <v>989</v>
      </c>
      <c r="G3798" s="6">
        <v>120</v>
      </c>
      <c r="H3798" s="6">
        <v>200</v>
      </c>
      <c r="I3798" s="9"/>
      <c r="J3798" s="9"/>
      <c r="K3798" s="9">
        <v>44007996</v>
      </c>
      <c r="L3798" s="6" t="str">
        <f t="shared" si="363"/>
        <v>1D  ALLURE  BAZA  120x200</v>
      </c>
      <c r="M3798" s="12">
        <v>0.5</v>
      </c>
      <c r="N3798" s="12">
        <v>0.5</v>
      </c>
      <c r="O3798" s="12">
        <v>16400</v>
      </c>
      <c r="P3798" s="12">
        <f t="shared" si="358"/>
        <v>8200</v>
      </c>
      <c r="Q3798" s="12">
        <f t="shared" si="364"/>
        <v>17220</v>
      </c>
      <c r="R3798" s="33">
        <f t="shared" si="360"/>
        <v>17200</v>
      </c>
      <c r="T3798" s="12"/>
      <c r="U3798" s="12"/>
      <c r="V3798" s="12"/>
      <c r="W3798" s="12"/>
    </row>
    <row r="3799" spans="1:23" s="6" customFormat="1" ht="21.95" customHeight="1" x14ac:dyDescent="0.2">
      <c r="A3799" s="6" t="s">
        <v>943</v>
      </c>
      <c r="B3799" s="6" t="s">
        <v>1597</v>
      </c>
      <c r="C3799" s="6" t="s">
        <v>1379</v>
      </c>
      <c r="D3799" s="6" t="s">
        <v>989</v>
      </c>
      <c r="G3799" s="6">
        <v>140</v>
      </c>
      <c r="H3799" s="6">
        <v>200</v>
      </c>
      <c r="I3799" s="9"/>
      <c r="J3799" s="9"/>
      <c r="K3799" s="9">
        <v>44007997</v>
      </c>
      <c r="L3799" s="6" t="str">
        <f t="shared" si="363"/>
        <v>1D  ALLURE  BAZA  140x200</v>
      </c>
      <c r="M3799" s="12">
        <v>0.5</v>
      </c>
      <c r="N3799" s="12">
        <v>0.5</v>
      </c>
      <c r="O3799" s="12">
        <v>19100</v>
      </c>
      <c r="P3799" s="12">
        <f t="shared" si="358"/>
        <v>9550</v>
      </c>
      <c r="Q3799" s="12">
        <f t="shared" si="364"/>
        <v>20055</v>
      </c>
      <c r="R3799" s="33">
        <f t="shared" si="360"/>
        <v>20000</v>
      </c>
      <c r="T3799" s="12"/>
      <c r="U3799" s="12"/>
      <c r="V3799" s="12"/>
      <c r="W3799" s="12"/>
    </row>
    <row r="3800" spans="1:23" s="6" customFormat="1" ht="21.95" customHeight="1" x14ac:dyDescent="0.2">
      <c r="A3800" s="6" t="s">
        <v>943</v>
      </c>
      <c r="B3800" s="6" t="s">
        <v>1597</v>
      </c>
      <c r="C3800" s="6" t="s">
        <v>1379</v>
      </c>
      <c r="D3800" s="6" t="s">
        <v>989</v>
      </c>
      <c r="G3800" s="6">
        <v>150</v>
      </c>
      <c r="H3800" s="6">
        <v>200</v>
      </c>
      <c r="I3800" s="9"/>
      <c r="J3800" s="9"/>
      <c r="K3800" s="9">
        <v>44007998</v>
      </c>
      <c r="L3800" s="6" t="str">
        <f t="shared" si="363"/>
        <v>1D  ALLURE  BAZA  150x200</v>
      </c>
      <c r="M3800" s="12">
        <v>0.5</v>
      </c>
      <c r="N3800" s="12">
        <v>0.5</v>
      </c>
      <c r="O3800" s="12">
        <v>20400</v>
      </c>
      <c r="P3800" s="12">
        <f t="shared" si="358"/>
        <v>10200</v>
      </c>
      <c r="Q3800" s="12">
        <f t="shared" si="364"/>
        <v>21420</v>
      </c>
      <c r="R3800" s="33">
        <f t="shared" si="360"/>
        <v>21400</v>
      </c>
      <c r="T3800" s="12"/>
      <c r="U3800" s="12"/>
      <c r="V3800" s="12"/>
      <c r="W3800" s="12"/>
    </row>
    <row r="3801" spans="1:23" s="6" customFormat="1" ht="21.95" customHeight="1" x14ac:dyDescent="0.2">
      <c r="A3801" s="6" t="s">
        <v>943</v>
      </c>
      <c r="B3801" s="6" t="s">
        <v>1597</v>
      </c>
      <c r="C3801" s="6" t="s">
        <v>1379</v>
      </c>
      <c r="D3801" s="6" t="s">
        <v>989</v>
      </c>
      <c r="G3801" s="6">
        <v>160</v>
      </c>
      <c r="H3801" s="6">
        <v>200</v>
      </c>
      <c r="I3801" s="9"/>
      <c r="J3801" s="9"/>
      <c r="K3801" s="9">
        <v>44007999</v>
      </c>
      <c r="L3801" s="6" t="str">
        <f t="shared" si="363"/>
        <v>1D  ALLURE  BAZA  160x200</v>
      </c>
      <c r="M3801" s="12">
        <v>0.5</v>
      </c>
      <c r="N3801" s="12">
        <v>0.5</v>
      </c>
      <c r="O3801" s="12">
        <v>21800</v>
      </c>
      <c r="P3801" s="12">
        <f t="shared" si="358"/>
        <v>10900</v>
      </c>
      <c r="Q3801" s="12">
        <f t="shared" si="364"/>
        <v>22890</v>
      </c>
      <c r="R3801" s="33">
        <f t="shared" si="360"/>
        <v>22800</v>
      </c>
      <c r="T3801" s="12"/>
      <c r="U3801" s="12"/>
      <c r="V3801" s="12"/>
      <c r="W3801" s="12"/>
    </row>
    <row r="3802" spans="1:23" s="6" customFormat="1" ht="21.95" customHeight="1" x14ac:dyDescent="0.2">
      <c r="A3802" s="6" t="s">
        <v>943</v>
      </c>
      <c r="B3802" s="6" t="s">
        <v>1597</v>
      </c>
      <c r="C3802" s="6" t="s">
        <v>1379</v>
      </c>
      <c r="D3802" s="6" t="s">
        <v>989</v>
      </c>
      <c r="G3802" s="6">
        <v>180</v>
      </c>
      <c r="H3802" s="6">
        <v>200</v>
      </c>
      <c r="I3802" s="9"/>
      <c r="J3802" s="9"/>
      <c r="K3802" s="9">
        <v>44008000</v>
      </c>
      <c r="L3802" s="6" t="str">
        <f t="shared" si="363"/>
        <v>1D  ALLURE  BAZA  180x200</v>
      </c>
      <c r="M3802" s="12">
        <v>0.5</v>
      </c>
      <c r="N3802" s="12">
        <v>0.5</v>
      </c>
      <c r="O3802" s="12">
        <v>24500</v>
      </c>
      <c r="P3802" s="12">
        <f t="shared" si="358"/>
        <v>12250</v>
      </c>
      <c r="Q3802" s="12">
        <f t="shared" si="364"/>
        <v>25725</v>
      </c>
      <c r="R3802" s="33">
        <f t="shared" si="360"/>
        <v>25700</v>
      </c>
      <c r="T3802" s="12"/>
      <c r="U3802" s="12"/>
      <c r="V3802" s="12"/>
      <c r="W3802" s="12"/>
    </row>
    <row r="3803" spans="1:23" s="6" customFormat="1" ht="21.95" customHeight="1" x14ac:dyDescent="0.2">
      <c r="A3803" s="6" t="s">
        <v>943</v>
      </c>
      <c r="B3803" s="6" t="s">
        <v>1597</v>
      </c>
      <c r="C3803" s="6" t="s">
        <v>1379</v>
      </c>
      <c r="D3803" s="6" t="s">
        <v>1003</v>
      </c>
      <c r="G3803" s="6">
        <v>90</v>
      </c>
      <c r="H3803" s="6">
        <v>190</v>
      </c>
      <c r="I3803" s="9"/>
      <c r="J3803" s="9"/>
      <c r="K3803" s="9">
        <v>44008001</v>
      </c>
      <c r="L3803" s="6" t="str">
        <f t="shared" si="363"/>
        <v>1D  ALLURE  BAŞLIK  90x190</v>
      </c>
      <c r="M3803" s="12">
        <v>0.5</v>
      </c>
      <c r="N3803" s="12">
        <v>0.5</v>
      </c>
      <c r="O3803" s="12">
        <v>13400</v>
      </c>
      <c r="P3803" s="12">
        <f t="shared" si="358"/>
        <v>6700</v>
      </c>
      <c r="Q3803" s="12">
        <f t="shared" si="364"/>
        <v>14070</v>
      </c>
      <c r="R3803" s="33">
        <f t="shared" si="360"/>
        <v>14000</v>
      </c>
      <c r="T3803" s="12"/>
      <c r="U3803" s="12"/>
      <c r="V3803" s="12"/>
      <c r="W3803" s="12"/>
    </row>
    <row r="3804" spans="1:23" s="6" customFormat="1" ht="21.95" customHeight="1" x14ac:dyDescent="0.2">
      <c r="A3804" s="6" t="s">
        <v>943</v>
      </c>
      <c r="B3804" s="6" t="s">
        <v>1597</v>
      </c>
      <c r="C3804" s="6" t="s">
        <v>1379</v>
      </c>
      <c r="D3804" s="6" t="s">
        <v>1003</v>
      </c>
      <c r="G3804" s="6">
        <v>90</v>
      </c>
      <c r="H3804" s="6">
        <v>200</v>
      </c>
      <c r="I3804" s="9"/>
      <c r="J3804" s="9"/>
      <c r="K3804" s="9">
        <v>44008002</v>
      </c>
      <c r="L3804" s="6" t="str">
        <f t="shared" si="363"/>
        <v>1D  ALLURE  BAŞLIK  90x200</v>
      </c>
      <c r="M3804" s="12">
        <v>0.5</v>
      </c>
      <c r="N3804" s="12">
        <v>0.5</v>
      </c>
      <c r="O3804" s="12">
        <v>14100</v>
      </c>
      <c r="P3804" s="12">
        <f t="shared" si="358"/>
        <v>7050</v>
      </c>
      <c r="Q3804" s="12">
        <f t="shared" si="364"/>
        <v>14805</v>
      </c>
      <c r="R3804" s="33">
        <f t="shared" si="360"/>
        <v>14800</v>
      </c>
      <c r="T3804" s="12"/>
      <c r="U3804" s="12"/>
      <c r="V3804" s="12"/>
      <c r="W3804" s="12"/>
    </row>
    <row r="3805" spans="1:23" s="6" customFormat="1" ht="21.95" customHeight="1" x14ac:dyDescent="0.2">
      <c r="A3805" s="6" t="s">
        <v>943</v>
      </c>
      <c r="B3805" s="6" t="s">
        <v>1597</v>
      </c>
      <c r="C3805" s="6" t="s">
        <v>1379</v>
      </c>
      <c r="D3805" s="6" t="s">
        <v>1003</v>
      </c>
      <c r="G3805" s="6">
        <v>100</v>
      </c>
      <c r="H3805" s="6">
        <v>200</v>
      </c>
      <c r="I3805" s="9"/>
      <c r="J3805" s="9"/>
      <c r="K3805" s="9">
        <v>44008003</v>
      </c>
      <c r="L3805" s="6" t="str">
        <f t="shared" si="363"/>
        <v>1D  ALLURE  BAŞLIK  100x200</v>
      </c>
      <c r="M3805" s="12">
        <v>0.5</v>
      </c>
      <c r="N3805" s="12">
        <v>0.5</v>
      </c>
      <c r="O3805" s="12">
        <v>15700</v>
      </c>
      <c r="P3805" s="12">
        <f t="shared" si="358"/>
        <v>7850</v>
      </c>
      <c r="Q3805" s="12">
        <f t="shared" si="364"/>
        <v>16485</v>
      </c>
      <c r="R3805" s="33">
        <f t="shared" si="360"/>
        <v>16400</v>
      </c>
      <c r="T3805" s="12"/>
      <c r="U3805" s="12"/>
      <c r="V3805" s="12"/>
      <c r="W3805" s="12"/>
    </row>
    <row r="3806" spans="1:23" s="6" customFormat="1" ht="21.95" customHeight="1" x14ac:dyDescent="0.2">
      <c r="A3806" s="6" t="s">
        <v>943</v>
      </c>
      <c r="B3806" s="6" t="s">
        <v>1597</v>
      </c>
      <c r="C3806" s="6" t="s">
        <v>1379</v>
      </c>
      <c r="D3806" s="6" t="s">
        <v>1003</v>
      </c>
      <c r="G3806" s="6">
        <v>120</v>
      </c>
      <c r="H3806" s="6">
        <v>200</v>
      </c>
      <c r="I3806" s="9"/>
      <c r="J3806" s="9"/>
      <c r="K3806" s="9">
        <v>44008004</v>
      </c>
      <c r="L3806" s="6" t="str">
        <f t="shared" si="363"/>
        <v>1D  ALLURE  BAŞLIK  120x200</v>
      </c>
      <c r="M3806" s="12">
        <v>0.5</v>
      </c>
      <c r="N3806" s="12">
        <v>0.5</v>
      </c>
      <c r="O3806" s="12">
        <v>18800</v>
      </c>
      <c r="P3806" s="12">
        <f t="shared" si="358"/>
        <v>9400</v>
      </c>
      <c r="Q3806" s="12">
        <f t="shared" si="364"/>
        <v>19740</v>
      </c>
      <c r="R3806" s="33">
        <f t="shared" si="360"/>
        <v>19700</v>
      </c>
      <c r="T3806" s="12"/>
      <c r="U3806" s="12"/>
      <c r="V3806" s="12"/>
      <c r="W3806" s="12"/>
    </row>
    <row r="3807" spans="1:23" s="6" customFormat="1" ht="21.95" customHeight="1" x14ac:dyDescent="0.2">
      <c r="A3807" s="6" t="s">
        <v>943</v>
      </c>
      <c r="B3807" s="6" t="s">
        <v>1597</v>
      </c>
      <c r="C3807" s="6" t="s">
        <v>1379</v>
      </c>
      <c r="D3807" s="6" t="s">
        <v>1003</v>
      </c>
      <c r="G3807" s="6">
        <v>140</v>
      </c>
      <c r="H3807" s="6">
        <v>200</v>
      </c>
      <c r="I3807" s="9"/>
      <c r="J3807" s="9"/>
      <c r="K3807" s="9">
        <v>44008005</v>
      </c>
      <c r="L3807" s="6" t="str">
        <f t="shared" si="363"/>
        <v>1D  ALLURE  BAŞLIK  140x200</v>
      </c>
      <c r="M3807" s="12">
        <v>0.5</v>
      </c>
      <c r="N3807" s="12">
        <v>0.5</v>
      </c>
      <c r="O3807" s="12">
        <v>22000</v>
      </c>
      <c r="P3807" s="12">
        <f t="shared" si="358"/>
        <v>11000</v>
      </c>
      <c r="Q3807" s="12">
        <f t="shared" si="364"/>
        <v>23100</v>
      </c>
      <c r="R3807" s="33">
        <f t="shared" si="360"/>
        <v>23100</v>
      </c>
      <c r="T3807" s="12"/>
      <c r="U3807" s="12"/>
      <c r="V3807" s="12"/>
      <c r="W3807" s="12"/>
    </row>
    <row r="3808" spans="1:23" s="6" customFormat="1" ht="21.95" customHeight="1" x14ac:dyDescent="0.2">
      <c r="A3808" s="6" t="s">
        <v>943</v>
      </c>
      <c r="B3808" s="6" t="s">
        <v>1597</v>
      </c>
      <c r="C3808" s="6" t="s">
        <v>1379</v>
      </c>
      <c r="D3808" s="6" t="s">
        <v>1003</v>
      </c>
      <c r="G3808" s="6">
        <v>150</v>
      </c>
      <c r="H3808" s="6">
        <v>200</v>
      </c>
      <c r="I3808" s="9"/>
      <c r="J3808" s="9"/>
      <c r="K3808" s="9">
        <v>44008006</v>
      </c>
      <c r="L3808" s="6" t="str">
        <f t="shared" si="363"/>
        <v>1D  ALLURE  BAŞLIK  150x200</v>
      </c>
      <c r="M3808" s="12">
        <v>0.5</v>
      </c>
      <c r="N3808" s="12">
        <v>0.5</v>
      </c>
      <c r="O3808" s="12">
        <v>23500</v>
      </c>
      <c r="P3808" s="12">
        <f t="shared" si="358"/>
        <v>11750</v>
      </c>
      <c r="Q3808" s="12">
        <f t="shared" si="364"/>
        <v>24675</v>
      </c>
      <c r="R3808" s="33">
        <f t="shared" si="360"/>
        <v>24600</v>
      </c>
      <c r="T3808" s="12"/>
      <c r="U3808" s="12"/>
      <c r="V3808" s="12"/>
      <c r="W3808" s="12"/>
    </row>
    <row r="3809" spans="1:23" s="6" customFormat="1" ht="21.95" customHeight="1" x14ac:dyDescent="0.2">
      <c r="A3809" s="6" t="s">
        <v>943</v>
      </c>
      <c r="B3809" s="6" t="s">
        <v>1597</v>
      </c>
      <c r="C3809" s="6" t="s">
        <v>1379</v>
      </c>
      <c r="D3809" s="6" t="s">
        <v>1003</v>
      </c>
      <c r="G3809" s="6">
        <v>160</v>
      </c>
      <c r="H3809" s="6">
        <v>200</v>
      </c>
      <c r="I3809" s="9"/>
      <c r="J3809" s="9"/>
      <c r="K3809" s="9">
        <v>44008007</v>
      </c>
      <c r="L3809" s="6" t="str">
        <f t="shared" si="363"/>
        <v>1D  ALLURE  BAŞLIK  160x200</v>
      </c>
      <c r="M3809" s="12">
        <v>0.5</v>
      </c>
      <c r="N3809" s="12">
        <v>0.5</v>
      </c>
      <c r="O3809" s="12">
        <v>25100</v>
      </c>
      <c r="P3809" s="12">
        <f t="shared" si="358"/>
        <v>12550</v>
      </c>
      <c r="Q3809" s="12">
        <f t="shared" si="364"/>
        <v>26355</v>
      </c>
      <c r="R3809" s="33">
        <f t="shared" si="360"/>
        <v>26300</v>
      </c>
      <c r="T3809" s="12"/>
      <c r="U3809" s="12"/>
      <c r="V3809" s="12"/>
      <c r="W3809" s="12"/>
    </row>
    <row r="3810" spans="1:23" s="6" customFormat="1" ht="21.95" customHeight="1" x14ac:dyDescent="0.2">
      <c r="A3810" s="6" t="s">
        <v>943</v>
      </c>
      <c r="B3810" s="6" t="s">
        <v>1597</v>
      </c>
      <c r="C3810" s="6" t="s">
        <v>1379</v>
      </c>
      <c r="D3810" s="6" t="s">
        <v>1003</v>
      </c>
      <c r="G3810" s="6">
        <v>180</v>
      </c>
      <c r="H3810" s="6">
        <v>200</v>
      </c>
      <c r="I3810" s="9"/>
      <c r="J3810" s="9"/>
      <c r="K3810" s="9">
        <v>44008008</v>
      </c>
      <c r="L3810" s="6" t="str">
        <f t="shared" si="363"/>
        <v>1D  ALLURE  BAŞLIK  180x200</v>
      </c>
      <c r="M3810" s="12">
        <v>0.5</v>
      </c>
      <c r="N3810" s="12">
        <v>0.5</v>
      </c>
      <c r="O3810" s="12">
        <v>28200</v>
      </c>
      <c r="P3810" s="12">
        <f t="shared" si="358"/>
        <v>14100</v>
      </c>
      <c r="Q3810" s="12">
        <f t="shared" si="364"/>
        <v>29610</v>
      </c>
      <c r="R3810" s="33">
        <f t="shared" si="360"/>
        <v>29600</v>
      </c>
      <c r="T3810" s="12"/>
      <c r="U3810" s="12"/>
      <c r="V3810" s="12"/>
      <c r="W3810" s="12"/>
    </row>
    <row r="3811" spans="1:23" s="6" customFormat="1" ht="21.95" customHeight="1" x14ac:dyDescent="0.2">
      <c r="A3811" s="6" t="s">
        <v>943</v>
      </c>
      <c r="B3811" s="6" t="s">
        <v>1597</v>
      </c>
      <c r="C3811" s="6" t="s">
        <v>1379</v>
      </c>
      <c r="D3811" s="6" t="s">
        <v>943</v>
      </c>
      <c r="G3811" s="6">
        <v>90</v>
      </c>
      <c r="H3811" s="6">
        <v>190</v>
      </c>
      <c r="I3811" s="9"/>
      <c r="J3811" s="9"/>
      <c r="K3811" s="9">
        <v>44008009</v>
      </c>
      <c r="L3811" s="6" t="str">
        <f t="shared" si="363"/>
        <v>1D  ALLURE  YATAK  90x190</v>
      </c>
      <c r="M3811" s="12">
        <v>0.5</v>
      </c>
      <c r="N3811" s="12">
        <v>0.5</v>
      </c>
      <c r="O3811" s="12">
        <v>12300</v>
      </c>
      <c r="P3811" s="12">
        <f t="shared" si="358"/>
        <v>6150</v>
      </c>
      <c r="Q3811" s="12">
        <f t="shared" si="364"/>
        <v>12915</v>
      </c>
      <c r="R3811" s="33">
        <f t="shared" si="360"/>
        <v>12900</v>
      </c>
      <c r="T3811" s="12"/>
      <c r="U3811" s="12"/>
      <c r="V3811" s="12"/>
      <c r="W3811" s="12"/>
    </row>
    <row r="3812" spans="1:23" s="6" customFormat="1" ht="21.95" customHeight="1" x14ac:dyDescent="0.2">
      <c r="A3812" s="6" t="s">
        <v>943</v>
      </c>
      <c r="B3812" s="6" t="s">
        <v>1597</v>
      </c>
      <c r="C3812" s="6" t="s">
        <v>1379</v>
      </c>
      <c r="D3812" s="6" t="s">
        <v>943</v>
      </c>
      <c r="G3812" s="6">
        <v>90</v>
      </c>
      <c r="H3812" s="6">
        <v>200</v>
      </c>
      <c r="I3812" s="9"/>
      <c r="J3812" s="9"/>
      <c r="K3812" s="9">
        <v>44008010</v>
      </c>
      <c r="L3812" s="6" t="str">
        <f t="shared" si="363"/>
        <v>1D  ALLURE  YATAK  90x200</v>
      </c>
      <c r="M3812" s="12">
        <v>0.5</v>
      </c>
      <c r="N3812" s="12">
        <v>0.5</v>
      </c>
      <c r="O3812" s="12">
        <v>13000</v>
      </c>
      <c r="P3812" s="12">
        <f t="shared" si="358"/>
        <v>6500</v>
      </c>
      <c r="Q3812" s="12">
        <f t="shared" si="364"/>
        <v>13650</v>
      </c>
      <c r="R3812" s="33">
        <f t="shared" si="360"/>
        <v>13600</v>
      </c>
      <c r="T3812" s="12"/>
      <c r="U3812" s="12"/>
      <c r="V3812" s="12"/>
      <c r="W3812" s="12"/>
    </row>
    <row r="3813" spans="1:23" s="6" customFormat="1" ht="21.95" customHeight="1" x14ac:dyDescent="0.2">
      <c r="A3813" s="6" t="s">
        <v>943</v>
      </c>
      <c r="B3813" s="6" t="s">
        <v>1597</v>
      </c>
      <c r="C3813" s="6" t="s">
        <v>1379</v>
      </c>
      <c r="D3813" s="6" t="s">
        <v>943</v>
      </c>
      <c r="G3813" s="6">
        <v>100</v>
      </c>
      <c r="H3813" s="6">
        <v>200</v>
      </c>
      <c r="I3813" s="9"/>
      <c r="J3813" s="9"/>
      <c r="K3813" s="9">
        <v>44008011</v>
      </c>
      <c r="L3813" s="6" t="str">
        <f t="shared" si="363"/>
        <v>1D  ALLURE  YATAK  100x200</v>
      </c>
      <c r="M3813" s="12">
        <v>0.5</v>
      </c>
      <c r="N3813" s="12">
        <v>0.5</v>
      </c>
      <c r="O3813" s="12">
        <v>14400</v>
      </c>
      <c r="P3813" s="12">
        <f t="shared" si="358"/>
        <v>7200</v>
      </c>
      <c r="Q3813" s="12">
        <f t="shared" si="364"/>
        <v>15120</v>
      </c>
      <c r="R3813" s="33">
        <f t="shared" si="360"/>
        <v>15100</v>
      </c>
      <c r="T3813" s="12"/>
      <c r="U3813" s="12"/>
      <c r="V3813" s="12"/>
      <c r="W3813" s="12"/>
    </row>
    <row r="3814" spans="1:23" s="6" customFormat="1" ht="21.95" customHeight="1" x14ac:dyDescent="0.2">
      <c r="A3814" s="6" t="s">
        <v>943</v>
      </c>
      <c r="B3814" s="6" t="s">
        <v>1597</v>
      </c>
      <c r="C3814" s="6" t="s">
        <v>1379</v>
      </c>
      <c r="D3814" s="6" t="s">
        <v>943</v>
      </c>
      <c r="G3814" s="6">
        <v>120</v>
      </c>
      <c r="H3814" s="6">
        <v>200</v>
      </c>
      <c r="I3814" s="9"/>
      <c r="J3814" s="9"/>
      <c r="K3814" s="9">
        <v>44008012</v>
      </c>
      <c r="L3814" s="6" t="str">
        <f t="shared" si="363"/>
        <v>1D  ALLURE  YATAK  120x200</v>
      </c>
      <c r="M3814" s="12">
        <v>0.5</v>
      </c>
      <c r="N3814" s="12">
        <v>0.5</v>
      </c>
      <c r="O3814" s="12">
        <v>17300</v>
      </c>
      <c r="P3814" s="12">
        <f t="shared" si="358"/>
        <v>8650</v>
      </c>
      <c r="Q3814" s="12">
        <f t="shared" si="364"/>
        <v>18165</v>
      </c>
      <c r="R3814" s="33">
        <f t="shared" si="360"/>
        <v>18100</v>
      </c>
      <c r="T3814" s="12"/>
      <c r="U3814" s="12"/>
      <c r="V3814" s="12"/>
      <c r="W3814" s="12"/>
    </row>
    <row r="3815" spans="1:23" s="6" customFormat="1" ht="21.95" customHeight="1" x14ac:dyDescent="0.2">
      <c r="A3815" s="6" t="s">
        <v>943</v>
      </c>
      <c r="B3815" s="6" t="s">
        <v>1597</v>
      </c>
      <c r="C3815" s="6" t="s">
        <v>1379</v>
      </c>
      <c r="D3815" s="6" t="s">
        <v>943</v>
      </c>
      <c r="G3815" s="6">
        <v>140</v>
      </c>
      <c r="H3815" s="6">
        <v>200</v>
      </c>
      <c r="I3815" s="9"/>
      <c r="J3815" s="9"/>
      <c r="K3815" s="9">
        <v>44008013</v>
      </c>
      <c r="L3815" s="6" t="str">
        <f t="shared" si="363"/>
        <v>1D  ALLURE  YATAK  140x200</v>
      </c>
      <c r="M3815" s="12">
        <v>0.5</v>
      </c>
      <c r="N3815" s="12">
        <v>0.5</v>
      </c>
      <c r="O3815" s="12">
        <v>20200</v>
      </c>
      <c r="P3815" s="12">
        <f t="shared" si="358"/>
        <v>10100</v>
      </c>
      <c r="Q3815" s="12">
        <f t="shared" si="364"/>
        <v>21210</v>
      </c>
      <c r="R3815" s="33">
        <f t="shared" si="360"/>
        <v>21200</v>
      </c>
      <c r="T3815" s="12"/>
      <c r="U3815" s="12"/>
      <c r="V3815" s="12"/>
      <c r="W3815" s="12"/>
    </row>
    <row r="3816" spans="1:23" s="6" customFormat="1" ht="21.95" customHeight="1" x14ac:dyDescent="0.2">
      <c r="A3816" s="6" t="s">
        <v>943</v>
      </c>
      <c r="B3816" s="6" t="s">
        <v>1597</v>
      </c>
      <c r="C3816" s="6" t="s">
        <v>1379</v>
      </c>
      <c r="D3816" s="6" t="s">
        <v>943</v>
      </c>
      <c r="G3816" s="6">
        <v>150</v>
      </c>
      <c r="H3816" s="6">
        <v>200</v>
      </c>
      <c r="I3816" s="9"/>
      <c r="J3816" s="9"/>
      <c r="K3816" s="9">
        <v>44008014</v>
      </c>
      <c r="L3816" s="6" t="str">
        <f t="shared" si="363"/>
        <v>1D  ALLURE  YATAK  150x200</v>
      </c>
      <c r="M3816" s="12">
        <v>0.5</v>
      </c>
      <c r="N3816" s="12">
        <v>0.5</v>
      </c>
      <c r="O3816" s="12">
        <v>21700</v>
      </c>
      <c r="P3816" s="12">
        <f t="shared" si="358"/>
        <v>10850</v>
      </c>
      <c r="Q3816" s="12">
        <f t="shared" si="364"/>
        <v>22785</v>
      </c>
      <c r="R3816" s="33">
        <f t="shared" si="360"/>
        <v>22700</v>
      </c>
      <c r="T3816" s="12"/>
      <c r="U3816" s="12"/>
      <c r="V3816" s="12"/>
      <c r="W3816" s="12"/>
    </row>
    <row r="3817" spans="1:23" s="6" customFormat="1" ht="21.95" customHeight="1" x14ac:dyDescent="0.2">
      <c r="A3817" s="6" t="s">
        <v>943</v>
      </c>
      <c r="B3817" s="6" t="s">
        <v>1597</v>
      </c>
      <c r="C3817" s="6" t="s">
        <v>1379</v>
      </c>
      <c r="D3817" s="6" t="s">
        <v>943</v>
      </c>
      <c r="G3817" s="6">
        <v>160</v>
      </c>
      <c r="H3817" s="6">
        <v>200</v>
      </c>
      <c r="I3817" s="9"/>
      <c r="J3817" s="9"/>
      <c r="K3817" s="9">
        <v>44008015</v>
      </c>
      <c r="L3817" s="6" t="str">
        <f t="shared" si="363"/>
        <v>1D  ALLURE  YATAK  160x200</v>
      </c>
      <c r="M3817" s="12">
        <v>0.5</v>
      </c>
      <c r="N3817" s="12">
        <v>0.5</v>
      </c>
      <c r="O3817" s="12">
        <v>23100</v>
      </c>
      <c r="P3817" s="12">
        <f t="shared" si="358"/>
        <v>11550</v>
      </c>
      <c r="Q3817" s="12">
        <f t="shared" si="364"/>
        <v>24255</v>
      </c>
      <c r="R3817" s="33">
        <f t="shared" si="360"/>
        <v>24200</v>
      </c>
      <c r="T3817" s="12"/>
      <c r="U3817" s="12"/>
      <c r="V3817" s="12"/>
      <c r="W3817" s="12"/>
    </row>
    <row r="3818" spans="1:23" s="6" customFormat="1" ht="21.95" customHeight="1" x14ac:dyDescent="0.2">
      <c r="A3818" s="6" t="s">
        <v>943</v>
      </c>
      <c r="B3818" s="6" t="s">
        <v>1597</v>
      </c>
      <c r="C3818" s="6" t="s">
        <v>1379</v>
      </c>
      <c r="D3818" s="6" t="s">
        <v>943</v>
      </c>
      <c r="G3818" s="6">
        <v>180</v>
      </c>
      <c r="H3818" s="6">
        <v>200</v>
      </c>
      <c r="I3818" s="9"/>
      <c r="J3818" s="9"/>
      <c r="K3818" s="9">
        <v>44008016</v>
      </c>
      <c r="L3818" s="6" t="str">
        <f t="shared" si="363"/>
        <v>1D  ALLURE  YATAK  180x200</v>
      </c>
      <c r="M3818" s="12">
        <v>0.5</v>
      </c>
      <c r="N3818" s="12">
        <v>0.5</v>
      </c>
      <c r="O3818" s="12">
        <v>26000</v>
      </c>
      <c r="P3818" s="12">
        <f t="shared" si="358"/>
        <v>13000</v>
      </c>
      <c r="Q3818" s="12">
        <f t="shared" si="364"/>
        <v>27300</v>
      </c>
      <c r="R3818" s="33">
        <f t="shared" si="360"/>
        <v>27300</v>
      </c>
      <c r="T3818" s="12"/>
      <c r="U3818" s="12"/>
      <c r="V3818" s="12"/>
      <c r="W3818" s="12"/>
    </row>
    <row r="3819" spans="1:23" s="6" customFormat="1" ht="21.95" customHeight="1" x14ac:dyDescent="0.2">
      <c r="A3819" s="6" t="s">
        <v>943</v>
      </c>
      <c r="B3819" s="6" t="s">
        <v>1597</v>
      </c>
      <c r="C3819" s="6" t="s">
        <v>1379</v>
      </c>
      <c r="D3819" s="6" t="s">
        <v>1380</v>
      </c>
      <c r="I3819" s="9"/>
      <c r="J3819" s="9"/>
      <c r="K3819" s="9">
        <v>44008017</v>
      </c>
      <c r="L3819" s="6" t="str">
        <f>B3819&amp;" "&amp;C3819&amp;" "&amp;D3819</f>
        <v>1D  ALLURE  KOMODİN (2 ADET)</v>
      </c>
      <c r="M3819" s="12">
        <v>0.5</v>
      </c>
      <c r="N3819" s="12">
        <v>0.5</v>
      </c>
      <c r="O3819" s="12">
        <v>14520</v>
      </c>
      <c r="P3819" s="12">
        <f t="shared" si="358"/>
        <v>7260</v>
      </c>
      <c r="Q3819" s="12">
        <f t="shared" si="364"/>
        <v>15246</v>
      </c>
      <c r="R3819" s="33">
        <f t="shared" si="360"/>
        <v>15200</v>
      </c>
      <c r="T3819" s="12"/>
      <c r="U3819" s="12"/>
      <c r="V3819" s="12"/>
      <c r="W3819" s="12"/>
    </row>
    <row r="3820" spans="1:23" s="6" customFormat="1" ht="21.95" customHeight="1" x14ac:dyDescent="0.2">
      <c r="A3820" s="6" t="s">
        <v>943</v>
      </c>
      <c r="B3820" s="6" t="s">
        <v>1597</v>
      </c>
      <c r="C3820" s="6" t="s">
        <v>1381</v>
      </c>
      <c r="D3820" s="6" t="s">
        <v>989</v>
      </c>
      <c r="G3820" s="6">
        <v>90</v>
      </c>
      <c r="H3820" s="6">
        <v>190</v>
      </c>
      <c r="I3820" s="9"/>
      <c r="J3820" s="9"/>
      <c r="K3820" s="9">
        <v>44008018</v>
      </c>
      <c r="L3820" s="6" t="str">
        <f t="shared" ref="L3820:L3843" si="365">B3820&amp;" "&amp;C3820&amp;" "&amp;D3820&amp;" "&amp;G3820&amp;"x"&amp;H3820</f>
        <v>1D  ARTE BAZA  90x190</v>
      </c>
      <c r="M3820" s="12">
        <v>0.5</v>
      </c>
      <c r="N3820" s="12">
        <v>0.5</v>
      </c>
      <c r="O3820" s="12">
        <v>10200</v>
      </c>
      <c r="P3820" s="12">
        <f t="shared" si="358"/>
        <v>5100</v>
      </c>
      <c r="Q3820" s="12">
        <f t="shared" si="364"/>
        <v>10710</v>
      </c>
      <c r="R3820" s="33">
        <f t="shared" si="360"/>
        <v>10700</v>
      </c>
      <c r="T3820" s="12"/>
      <c r="U3820" s="12"/>
      <c r="V3820" s="12"/>
      <c r="W3820" s="12"/>
    </row>
    <row r="3821" spans="1:23" s="6" customFormat="1" ht="21.95" customHeight="1" x14ac:dyDescent="0.2">
      <c r="A3821" s="6" t="s">
        <v>943</v>
      </c>
      <c r="B3821" s="6" t="s">
        <v>1597</v>
      </c>
      <c r="C3821" s="6" t="s">
        <v>1381</v>
      </c>
      <c r="D3821" s="6" t="s">
        <v>989</v>
      </c>
      <c r="G3821" s="6">
        <v>90</v>
      </c>
      <c r="H3821" s="6">
        <v>200</v>
      </c>
      <c r="I3821" s="9"/>
      <c r="J3821" s="9"/>
      <c r="K3821" s="9">
        <v>44008019</v>
      </c>
      <c r="L3821" s="6" t="str">
        <f t="shared" si="365"/>
        <v>1D  ARTE BAZA  90x200</v>
      </c>
      <c r="M3821" s="12">
        <v>0.5</v>
      </c>
      <c r="N3821" s="12">
        <v>0.5</v>
      </c>
      <c r="O3821" s="12">
        <v>10700</v>
      </c>
      <c r="P3821" s="12">
        <f t="shared" ref="P3821:P3884" si="366">O3821*(1-N3821)</f>
        <v>5350</v>
      </c>
      <c r="Q3821" s="12">
        <f t="shared" si="364"/>
        <v>11235</v>
      </c>
      <c r="R3821" s="33">
        <f t="shared" ref="R3821:R3884" si="367">ROUNDDOWN(Q3821,-2)</f>
        <v>11200</v>
      </c>
      <c r="T3821" s="12"/>
      <c r="U3821" s="12"/>
      <c r="V3821" s="12"/>
      <c r="W3821" s="12"/>
    </row>
    <row r="3822" spans="1:23" s="6" customFormat="1" ht="21.95" customHeight="1" x14ac:dyDescent="0.2">
      <c r="A3822" s="6" t="s">
        <v>943</v>
      </c>
      <c r="B3822" s="6" t="s">
        <v>1597</v>
      </c>
      <c r="C3822" s="6" t="s">
        <v>1381</v>
      </c>
      <c r="D3822" s="6" t="s">
        <v>989</v>
      </c>
      <c r="G3822" s="6">
        <v>100</v>
      </c>
      <c r="H3822" s="6">
        <v>200</v>
      </c>
      <c r="I3822" s="9"/>
      <c r="J3822" s="9"/>
      <c r="K3822" s="9">
        <v>44008020</v>
      </c>
      <c r="L3822" s="6" t="str">
        <f t="shared" si="365"/>
        <v>1D  ARTE BAZA  100x200</v>
      </c>
      <c r="M3822" s="12">
        <v>0.5</v>
      </c>
      <c r="N3822" s="12">
        <v>0.5</v>
      </c>
      <c r="O3822" s="12">
        <v>11900</v>
      </c>
      <c r="P3822" s="12">
        <f t="shared" si="366"/>
        <v>5950</v>
      </c>
      <c r="Q3822" s="12">
        <f t="shared" si="364"/>
        <v>12495</v>
      </c>
      <c r="R3822" s="33">
        <f t="shared" si="367"/>
        <v>12400</v>
      </c>
      <c r="T3822" s="12"/>
      <c r="U3822" s="12"/>
      <c r="V3822" s="12"/>
      <c r="W3822" s="12"/>
    </row>
    <row r="3823" spans="1:23" s="6" customFormat="1" ht="21.95" customHeight="1" x14ac:dyDescent="0.2">
      <c r="A3823" s="6" t="s">
        <v>943</v>
      </c>
      <c r="B3823" s="6" t="s">
        <v>1597</v>
      </c>
      <c r="C3823" s="6" t="s">
        <v>1381</v>
      </c>
      <c r="D3823" s="6" t="s">
        <v>989</v>
      </c>
      <c r="G3823" s="6">
        <v>120</v>
      </c>
      <c r="H3823" s="6">
        <v>200</v>
      </c>
      <c r="I3823" s="9"/>
      <c r="J3823" s="9"/>
      <c r="K3823" s="9">
        <v>44008021</v>
      </c>
      <c r="L3823" s="6" t="str">
        <f t="shared" si="365"/>
        <v>1D  ARTE BAZA  120x200</v>
      </c>
      <c r="M3823" s="12">
        <v>0.5</v>
      </c>
      <c r="N3823" s="12">
        <v>0.5</v>
      </c>
      <c r="O3823" s="12">
        <v>14300</v>
      </c>
      <c r="P3823" s="12">
        <f t="shared" si="366"/>
        <v>7150</v>
      </c>
      <c r="Q3823" s="12">
        <f t="shared" si="364"/>
        <v>15015</v>
      </c>
      <c r="R3823" s="33">
        <f t="shared" si="367"/>
        <v>15000</v>
      </c>
      <c r="T3823" s="12"/>
      <c r="U3823" s="12"/>
      <c r="V3823" s="12"/>
      <c r="W3823" s="12"/>
    </row>
    <row r="3824" spans="1:23" s="6" customFormat="1" ht="21.95" customHeight="1" x14ac:dyDescent="0.2">
      <c r="A3824" s="6" t="s">
        <v>943</v>
      </c>
      <c r="B3824" s="6" t="s">
        <v>1597</v>
      </c>
      <c r="C3824" s="6" t="s">
        <v>1381</v>
      </c>
      <c r="D3824" s="6" t="s">
        <v>989</v>
      </c>
      <c r="G3824" s="6">
        <v>140</v>
      </c>
      <c r="H3824" s="6">
        <v>200</v>
      </c>
      <c r="I3824" s="9"/>
      <c r="J3824" s="9"/>
      <c r="K3824" s="9">
        <v>44008022</v>
      </c>
      <c r="L3824" s="6" t="str">
        <f t="shared" si="365"/>
        <v>1D  ARTE BAZA  140x200</v>
      </c>
      <c r="M3824" s="12">
        <v>0.5</v>
      </c>
      <c r="N3824" s="12">
        <v>0.5</v>
      </c>
      <c r="O3824" s="12">
        <v>16700</v>
      </c>
      <c r="P3824" s="12">
        <f t="shared" si="366"/>
        <v>8350</v>
      </c>
      <c r="Q3824" s="12">
        <f t="shared" si="364"/>
        <v>17535</v>
      </c>
      <c r="R3824" s="33">
        <f t="shared" si="367"/>
        <v>17500</v>
      </c>
      <c r="T3824" s="12"/>
      <c r="U3824" s="12"/>
      <c r="V3824" s="12"/>
      <c r="W3824" s="12"/>
    </row>
    <row r="3825" spans="1:23" s="6" customFormat="1" ht="21.95" customHeight="1" x14ac:dyDescent="0.2">
      <c r="A3825" s="6" t="s">
        <v>943</v>
      </c>
      <c r="B3825" s="6" t="s">
        <v>1597</v>
      </c>
      <c r="C3825" s="6" t="s">
        <v>1381</v>
      </c>
      <c r="D3825" s="6" t="s">
        <v>989</v>
      </c>
      <c r="G3825" s="6">
        <v>150</v>
      </c>
      <c r="H3825" s="6">
        <v>200</v>
      </c>
      <c r="I3825" s="9"/>
      <c r="J3825" s="9"/>
      <c r="K3825" s="9">
        <v>44008023</v>
      </c>
      <c r="L3825" s="6" t="str">
        <f t="shared" si="365"/>
        <v>1D  ARTE BAZA  150x200</v>
      </c>
      <c r="M3825" s="12">
        <v>0.5</v>
      </c>
      <c r="N3825" s="12">
        <v>0.5</v>
      </c>
      <c r="O3825" s="12">
        <v>17900</v>
      </c>
      <c r="P3825" s="12">
        <f t="shared" si="366"/>
        <v>8950</v>
      </c>
      <c r="Q3825" s="12">
        <f t="shared" si="364"/>
        <v>18795</v>
      </c>
      <c r="R3825" s="33">
        <f t="shared" si="367"/>
        <v>18700</v>
      </c>
      <c r="T3825" s="12"/>
      <c r="U3825" s="12"/>
      <c r="V3825" s="12"/>
      <c r="W3825" s="12"/>
    </row>
    <row r="3826" spans="1:23" s="6" customFormat="1" ht="21.95" customHeight="1" x14ac:dyDescent="0.2">
      <c r="A3826" s="6" t="s">
        <v>943</v>
      </c>
      <c r="B3826" s="6" t="s">
        <v>1597</v>
      </c>
      <c r="C3826" s="6" t="s">
        <v>1381</v>
      </c>
      <c r="D3826" s="6" t="s">
        <v>989</v>
      </c>
      <c r="G3826" s="6">
        <v>160</v>
      </c>
      <c r="H3826" s="6">
        <v>200</v>
      </c>
      <c r="I3826" s="9"/>
      <c r="J3826" s="9"/>
      <c r="K3826" s="9">
        <v>44008024</v>
      </c>
      <c r="L3826" s="6" t="str">
        <f t="shared" si="365"/>
        <v>1D  ARTE BAZA  160x200</v>
      </c>
      <c r="M3826" s="12">
        <v>0.5</v>
      </c>
      <c r="N3826" s="12">
        <v>0.5</v>
      </c>
      <c r="O3826" s="12">
        <v>19100</v>
      </c>
      <c r="P3826" s="12">
        <f t="shared" si="366"/>
        <v>9550</v>
      </c>
      <c r="Q3826" s="12">
        <f t="shared" si="364"/>
        <v>20055</v>
      </c>
      <c r="R3826" s="33">
        <f t="shared" si="367"/>
        <v>20000</v>
      </c>
      <c r="T3826" s="12"/>
      <c r="U3826" s="12"/>
      <c r="V3826" s="12"/>
      <c r="W3826" s="12"/>
    </row>
    <row r="3827" spans="1:23" s="6" customFormat="1" ht="21.95" customHeight="1" x14ac:dyDescent="0.2">
      <c r="A3827" s="6" t="s">
        <v>943</v>
      </c>
      <c r="B3827" s="6" t="s">
        <v>1597</v>
      </c>
      <c r="C3827" s="6" t="s">
        <v>1381</v>
      </c>
      <c r="D3827" s="6" t="s">
        <v>989</v>
      </c>
      <c r="G3827" s="6">
        <v>180</v>
      </c>
      <c r="H3827" s="6">
        <v>200</v>
      </c>
      <c r="I3827" s="9"/>
      <c r="J3827" s="9"/>
      <c r="K3827" s="9">
        <v>44008025</v>
      </c>
      <c r="L3827" s="6" t="str">
        <f t="shared" si="365"/>
        <v>1D  ARTE BAZA  180x200</v>
      </c>
      <c r="M3827" s="12">
        <v>0.5</v>
      </c>
      <c r="N3827" s="12">
        <v>0.5</v>
      </c>
      <c r="O3827" s="12">
        <v>21500</v>
      </c>
      <c r="P3827" s="12">
        <f t="shared" si="366"/>
        <v>10750</v>
      </c>
      <c r="Q3827" s="12">
        <f t="shared" si="364"/>
        <v>22575</v>
      </c>
      <c r="R3827" s="33">
        <f t="shared" si="367"/>
        <v>22500</v>
      </c>
      <c r="T3827" s="12"/>
      <c r="U3827" s="12"/>
      <c r="V3827" s="12"/>
      <c r="W3827" s="12"/>
    </row>
    <row r="3828" spans="1:23" s="6" customFormat="1" ht="21.95" customHeight="1" x14ac:dyDescent="0.2">
      <c r="A3828" s="6" t="s">
        <v>943</v>
      </c>
      <c r="B3828" s="6" t="s">
        <v>1597</v>
      </c>
      <c r="C3828" s="6" t="s">
        <v>1381</v>
      </c>
      <c r="D3828" s="6" t="s">
        <v>1003</v>
      </c>
      <c r="G3828" s="6">
        <v>90</v>
      </c>
      <c r="H3828" s="6">
        <v>190</v>
      </c>
      <c r="I3828" s="9"/>
      <c r="J3828" s="9"/>
      <c r="K3828" s="9">
        <v>44008026</v>
      </c>
      <c r="L3828" s="6" t="str">
        <f t="shared" si="365"/>
        <v>1D  ARTE BAŞLIK  90x190</v>
      </c>
      <c r="M3828" s="12">
        <v>0.5</v>
      </c>
      <c r="N3828" s="12">
        <v>0.5</v>
      </c>
      <c r="O3828" s="12">
        <v>8200</v>
      </c>
      <c r="P3828" s="12">
        <f t="shared" si="366"/>
        <v>4100</v>
      </c>
      <c r="Q3828" s="12">
        <f t="shared" si="364"/>
        <v>8610</v>
      </c>
      <c r="R3828" s="33">
        <f t="shared" si="367"/>
        <v>8600</v>
      </c>
      <c r="T3828" s="12"/>
      <c r="U3828" s="12"/>
      <c r="V3828" s="12"/>
      <c r="W3828" s="12"/>
    </row>
    <row r="3829" spans="1:23" s="6" customFormat="1" ht="21.95" customHeight="1" x14ac:dyDescent="0.2">
      <c r="A3829" s="6" t="s">
        <v>943</v>
      </c>
      <c r="B3829" s="6" t="s">
        <v>1597</v>
      </c>
      <c r="C3829" s="6" t="s">
        <v>1381</v>
      </c>
      <c r="D3829" s="6" t="s">
        <v>1003</v>
      </c>
      <c r="G3829" s="6">
        <v>90</v>
      </c>
      <c r="H3829" s="6">
        <v>200</v>
      </c>
      <c r="I3829" s="9"/>
      <c r="J3829" s="9"/>
      <c r="K3829" s="9">
        <v>44008027</v>
      </c>
      <c r="L3829" s="6" t="str">
        <f t="shared" si="365"/>
        <v>1D  ARTE BAŞLIK  90x200</v>
      </c>
      <c r="M3829" s="12">
        <v>0.5</v>
      </c>
      <c r="N3829" s="12">
        <v>0.5</v>
      </c>
      <c r="O3829" s="12">
        <v>8600</v>
      </c>
      <c r="P3829" s="12">
        <f t="shared" si="366"/>
        <v>4300</v>
      </c>
      <c r="Q3829" s="12">
        <f t="shared" si="364"/>
        <v>9030</v>
      </c>
      <c r="R3829" s="33">
        <f t="shared" si="367"/>
        <v>9000</v>
      </c>
      <c r="T3829" s="12"/>
      <c r="U3829" s="12"/>
      <c r="V3829" s="12"/>
      <c r="W3829" s="12"/>
    </row>
    <row r="3830" spans="1:23" s="6" customFormat="1" ht="21.95" customHeight="1" x14ac:dyDescent="0.2">
      <c r="A3830" s="6" t="s">
        <v>943</v>
      </c>
      <c r="B3830" s="6" t="s">
        <v>1597</v>
      </c>
      <c r="C3830" s="6" t="s">
        <v>1381</v>
      </c>
      <c r="D3830" s="6" t="s">
        <v>1003</v>
      </c>
      <c r="G3830" s="6">
        <v>100</v>
      </c>
      <c r="H3830" s="6">
        <v>200</v>
      </c>
      <c r="I3830" s="9"/>
      <c r="J3830" s="9"/>
      <c r="K3830" s="9">
        <v>44008028</v>
      </c>
      <c r="L3830" s="6" t="str">
        <f t="shared" si="365"/>
        <v>1D  ARTE BAŞLIK  100x200</v>
      </c>
      <c r="M3830" s="12">
        <v>0.5</v>
      </c>
      <c r="N3830" s="12">
        <v>0.5</v>
      </c>
      <c r="O3830" s="12">
        <v>9600</v>
      </c>
      <c r="P3830" s="12">
        <f t="shared" si="366"/>
        <v>4800</v>
      </c>
      <c r="Q3830" s="12">
        <f t="shared" si="364"/>
        <v>10080</v>
      </c>
      <c r="R3830" s="33">
        <f t="shared" si="367"/>
        <v>10000</v>
      </c>
      <c r="T3830" s="12"/>
      <c r="U3830" s="12"/>
      <c r="V3830" s="12"/>
      <c r="W3830" s="12"/>
    </row>
    <row r="3831" spans="1:23" s="6" customFormat="1" ht="21.95" customHeight="1" x14ac:dyDescent="0.2">
      <c r="A3831" s="6" t="s">
        <v>943</v>
      </c>
      <c r="B3831" s="6" t="s">
        <v>1597</v>
      </c>
      <c r="C3831" s="6" t="s">
        <v>1381</v>
      </c>
      <c r="D3831" s="6" t="s">
        <v>1003</v>
      </c>
      <c r="G3831" s="6">
        <v>120</v>
      </c>
      <c r="H3831" s="6">
        <v>200</v>
      </c>
      <c r="I3831" s="9"/>
      <c r="J3831" s="9"/>
      <c r="K3831" s="9">
        <v>44008029</v>
      </c>
      <c r="L3831" s="6" t="str">
        <f t="shared" si="365"/>
        <v>1D  ARTE BAŞLIK  120x200</v>
      </c>
      <c r="M3831" s="12">
        <v>0.5</v>
      </c>
      <c r="N3831" s="12">
        <v>0.5</v>
      </c>
      <c r="O3831" s="12">
        <v>11500</v>
      </c>
      <c r="P3831" s="12">
        <f t="shared" si="366"/>
        <v>5750</v>
      </c>
      <c r="Q3831" s="12">
        <f t="shared" si="364"/>
        <v>12075</v>
      </c>
      <c r="R3831" s="33">
        <f t="shared" si="367"/>
        <v>12000</v>
      </c>
      <c r="T3831" s="12"/>
      <c r="U3831" s="12"/>
      <c r="V3831" s="12"/>
      <c r="W3831" s="12"/>
    </row>
    <row r="3832" spans="1:23" s="6" customFormat="1" ht="21.95" customHeight="1" x14ac:dyDescent="0.2">
      <c r="A3832" s="6" t="s">
        <v>943</v>
      </c>
      <c r="B3832" s="6" t="s">
        <v>1597</v>
      </c>
      <c r="C3832" s="6" t="s">
        <v>1381</v>
      </c>
      <c r="D3832" s="6" t="s">
        <v>1003</v>
      </c>
      <c r="G3832" s="6">
        <v>140</v>
      </c>
      <c r="H3832" s="6">
        <v>200</v>
      </c>
      <c r="I3832" s="9"/>
      <c r="J3832" s="9"/>
      <c r="K3832" s="9">
        <v>44008030</v>
      </c>
      <c r="L3832" s="6" t="str">
        <f t="shared" si="365"/>
        <v>1D  ARTE BAŞLIK  140x200</v>
      </c>
      <c r="M3832" s="12">
        <v>0.5</v>
      </c>
      <c r="N3832" s="12">
        <v>0.5</v>
      </c>
      <c r="O3832" s="12">
        <v>13400</v>
      </c>
      <c r="P3832" s="12">
        <f t="shared" si="366"/>
        <v>6700</v>
      </c>
      <c r="Q3832" s="12">
        <f t="shared" si="364"/>
        <v>14070</v>
      </c>
      <c r="R3832" s="33">
        <f t="shared" si="367"/>
        <v>14000</v>
      </c>
      <c r="T3832" s="12"/>
      <c r="U3832" s="12"/>
      <c r="V3832" s="12"/>
      <c r="W3832" s="12"/>
    </row>
    <row r="3833" spans="1:23" s="6" customFormat="1" ht="21.95" customHeight="1" x14ac:dyDescent="0.2">
      <c r="A3833" s="6" t="s">
        <v>943</v>
      </c>
      <c r="B3833" s="6" t="s">
        <v>1597</v>
      </c>
      <c r="C3833" s="6" t="s">
        <v>1381</v>
      </c>
      <c r="D3833" s="6" t="s">
        <v>1003</v>
      </c>
      <c r="G3833" s="6">
        <v>150</v>
      </c>
      <c r="H3833" s="6">
        <v>200</v>
      </c>
      <c r="I3833" s="9"/>
      <c r="J3833" s="9"/>
      <c r="K3833" s="9">
        <v>44008031</v>
      </c>
      <c r="L3833" s="6" t="str">
        <f t="shared" si="365"/>
        <v>1D  ARTE BAŞLIK  150x200</v>
      </c>
      <c r="M3833" s="12">
        <v>0.5</v>
      </c>
      <c r="N3833" s="12">
        <v>0.5</v>
      </c>
      <c r="O3833" s="12">
        <v>14300</v>
      </c>
      <c r="P3833" s="12">
        <f t="shared" si="366"/>
        <v>7150</v>
      </c>
      <c r="Q3833" s="12">
        <f t="shared" si="364"/>
        <v>15015</v>
      </c>
      <c r="R3833" s="33">
        <f t="shared" si="367"/>
        <v>15000</v>
      </c>
      <c r="T3833" s="12"/>
      <c r="U3833" s="12"/>
      <c r="V3833" s="12"/>
      <c r="W3833" s="12"/>
    </row>
    <row r="3834" spans="1:23" s="6" customFormat="1" ht="21.95" customHeight="1" x14ac:dyDescent="0.2">
      <c r="A3834" s="6" t="s">
        <v>943</v>
      </c>
      <c r="B3834" s="6" t="s">
        <v>1597</v>
      </c>
      <c r="C3834" s="6" t="s">
        <v>1381</v>
      </c>
      <c r="D3834" s="6" t="s">
        <v>1003</v>
      </c>
      <c r="G3834" s="6">
        <v>160</v>
      </c>
      <c r="H3834" s="6">
        <v>200</v>
      </c>
      <c r="I3834" s="9"/>
      <c r="J3834" s="9"/>
      <c r="K3834" s="9">
        <v>44008032</v>
      </c>
      <c r="L3834" s="6" t="str">
        <f t="shared" si="365"/>
        <v>1D  ARTE BAŞLIK  160x200</v>
      </c>
      <c r="M3834" s="12">
        <v>0.5</v>
      </c>
      <c r="N3834" s="12">
        <v>0.5</v>
      </c>
      <c r="O3834" s="12">
        <v>15300</v>
      </c>
      <c r="P3834" s="12">
        <f t="shared" si="366"/>
        <v>7650</v>
      </c>
      <c r="Q3834" s="12">
        <f t="shared" si="364"/>
        <v>16065</v>
      </c>
      <c r="R3834" s="33">
        <f t="shared" si="367"/>
        <v>16000</v>
      </c>
      <c r="T3834" s="12"/>
      <c r="U3834" s="12"/>
      <c r="V3834" s="12"/>
      <c r="W3834" s="12"/>
    </row>
    <row r="3835" spans="1:23" s="6" customFormat="1" ht="21.95" customHeight="1" x14ac:dyDescent="0.2">
      <c r="A3835" s="6" t="s">
        <v>943</v>
      </c>
      <c r="B3835" s="6" t="s">
        <v>1597</v>
      </c>
      <c r="C3835" s="6" t="s">
        <v>1381</v>
      </c>
      <c r="D3835" s="6" t="s">
        <v>1003</v>
      </c>
      <c r="G3835" s="6">
        <v>180</v>
      </c>
      <c r="H3835" s="6">
        <v>200</v>
      </c>
      <c r="I3835" s="9"/>
      <c r="J3835" s="9"/>
      <c r="K3835" s="9">
        <v>44008033</v>
      </c>
      <c r="L3835" s="6" t="str">
        <f t="shared" si="365"/>
        <v>1D  ARTE BAŞLIK  180x200</v>
      </c>
      <c r="M3835" s="12">
        <v>0.5</v>
      </c>
      <c r="N3835" s="12">
        <v>0.5</v>
      </c>
      <c r="O3835" s="12">
        <v>17200</v>
      </c>
      <c r="P3835" s="12">
        <f t="shared" si="366"/>
        <v>8600</v>
      </c>
      <c r="Q3835" s="12">
        <f t="shared" si="364"/>
        <v>18060</v>
      </c>
      <c r="R3835" s="33">
        <f t="shared" si="367"/>
        <v>18000</v>
      </c>
      <c r="T3835" s="12"/>
      <c r="U3835" s="12"/>
      <c r="V3835" s="12"/>
      <c r="W3835" s="12"/>
    </row>
    <row r="3836" spans="1:23" s="6" customFormat="1" ht="21.95" customHeight="1" x14ac:dyDescent="0.2">
      <c r="A3836" s="6" t="s">
        <v>943</v>
      </c>
      <c r="B3836" s="6" t="s">
        <v>1597</v>
      </c>
      <c r="C3836" s="6" t="s">
        <v>1381</v>
      </c>
      <c r="D3836" s="6" t="s">
        <v>943</v>
      </c>
      <c r="G3836" s="6">
        <v>90</v>
      </c>
      <c r="H3836" s="6">
        <v>190</v>
      </c>
      <c r="I3836" s="9"/>
      <c r="J3836" s="9"/>
      <c r="K3836" s="9">
        <v>44008034</v>
      </c>
      <c r="L3836" s="6" t="str">
        <f t="shared" si="365"/>
        <v>1D  ARTE YATAK  90x190</v>
      </c>
      <c r="M3836" s="12">
        <v>0.5</v>
      </c>
      <c r="N3836" s="12">
        <v>0.5</v>
      </c>
      <c r="O3836" s="12">
        <v>11100</v>
      </c>
      <c r="P3836" s="12">
        <f t="shared" si="366"/>
        <v>5550</v>
      </c>
      <c r="Q3836" s="12">
        <f t="shared" si="364"/>
        <v>11655</v>
      </c>
      <c r="R3836" s="33">
        <f t="shared" si="367"/>
        <v>11600</v>
      </c>
      <c r="T3836" s="12"/>
      <c r="U3836" s="12"/>
      <c r="V3836" s="12"/>
      <c r="W3836" s="12"/>
    </row>
    <row r="3837" spans="1:23" s="6" customFormat="1" ht="21.95" customHeight="1" x14ac:dyDescent="0.2">
      <c r="A3837" s="6" t="s">
        <v>943</v>
      </c>
      <c r="B3837" s="6" t="s">
        <v>1597</v>
      </c>
      <c r="C3837" s="6" t="s">
        <v>1381</v>
      </c>
      <c r="D3837" s="6" t="s">
        <v>943</v>
      </c>
      <c r="G3837" s="6">
        <v>90</v>
      </c>
      <c r="H3837" s="6">
        <v>200</v>
      </c>
      <c r="I3837" s="9"/>
      <c r="J3837" s="9"/>
      <c r="K3837" s="9">
        <v>44008035</v>
      </c>
      <c r="L3837" s="6" t="str">
        <f t="shared" si="365"/>
        <v>1D  ARTE YATAK  90x200</v>
      </c>
      <c r="M3837" s="12">
        <v>0.5</v>
      </c>
      <c r="N3837" s="12">
        <v>0.5</v>
      </c>
      <c r="O3837" s="12">
        <v>11600</v>
      </c>
      <c r="P3837" s="12">
        <f t="shared" si="366"/>
        <v>5800</v>
      </c>
      <c r="Q3837" s="12">
        <f t="shared" si="364"/>
        <v>12180</v>
      </c>
      <c r="R3837" s="33">
        <f t="shared" si="367"/>
        <v>12100</v>
      </c>
      <c r="T3837" s="12"/>
      <c r="U3837" s="12"/>
      <c r="V3837" s="12"/>
      <c r="W3837" s="12"/>
    </row>
    <row r="3838" spans="1:23" s="6" customFormat="1" ht="21.95" customHeight="1" x14ac:dyDescent="0.2">
      <c r="A3838" s="6" t="s">
        <v>943</v>
      </c>
      <c r="B3838" s="6" t="s">
        <v>1597</v>
      </c>
      <c r="C3838" s="6" t="s">
        <v>1381</v>
      </c>
      <c r="D3838" s="6" t="s">
        <v>943</v>
      </c>
      <c r="G3838" s="6">
        <v>100</v>
      </c>
      <c r="H3838" s="6">
        <v>200</v>
      </c>
      <c r="I3838" s="9"/>
      <c r="J3838" s="9"/>
      <c r="K3838" s="9">
        <v>44008036</v>
      </c>
      <c r="L3838" s="6" t="str">
        <f t="shared" si="365"/>
        <v>1D  ARTE YATAK  100x200</v>
      </c>
      <c r="M3838" s="12">
        <v>0.5</v>
      </c>
      <c r="N3838" s="12">
        <v>0.5</v>
      </c>
      <c r="O3838" s="12">
        <v>12900</v>
      </c>
      <c r="P3838" s="12">
        <f t="shared" si="366"/>
        <v>6450</v>
      </c>
      <c r="Q3838" s="12">
        <f t="shared" si="364"/>
        <v>13545</v>
      </c>
      <c r="R3838" s="33">
        <f t="shared" si="367"/>
        <v>13500</v>
      </c>
      <c r="T3838" s="12"/>
      <c r="U3838" s="12"/>
      <c r="V3838" s="12"/>
      <c r="W3838" s="12"/>
    </row>
    <row r="3839" spans="1:23" s="6" customFormat="1" ht="21.95" customHeight="1" x14ac:dyDescent="0.2">
      <c r="A3839" s="6" t="s">
        <v>943</v>
      </c>
      <c r="B3839" s="6" t="s">
        <v>1597</v>
      </c>
      <c r="C3839" s="6" t="s">
        <v>1381</v>
      </c>
      <c r="D3839" s="6" t="s">
        <v>943</v>
      </c>
      <c r="G3839" s="6">
        <v>120</v>
      </c>
      <c r="H3839" s="6">
        <v>200</v>
      </c>
      <c r="I3839" s="9"/>
      <c r="J3839" s="9"/>
      <c r="K3839" s="9">
        <v>44008037</v>
      </c>
      <c r="L3839" s="6" t="str">
        <f t="shared" si="365"/>
        <v>1D  ARTE YATAK  120x200</v>
      </c>
      <c r="M3839" s="12">
        <v>0.5</v>
      </c>
      <c r="N3839" s="12">
        <v>0.5</v>
      </c>
      <c r="O3839" s="12">
        <v>15500</v>
      </c>
      <c r="P3839" s="12">
        <f t="shared" si="366"/>
        <v>7750</v>
      </c>
      <c r="Q3839" s="12">
        <f t="shared" si="364"/>
        <v>16275</v>
      </c>
      <c r="R3839" s="33">
        <f t="shared" si="367"/>
        <v>16200</v>
      </c>
      <c r="T3839" s="12"/>
      <c r="U3839" s="12"/>
      <c r="V3839" s="12"/>
      <c r="W3839" s="12"/>
    </row>
    <row r="3840" spans="1:23" s="6" customFormat="1" ht="21.95" customHeight="1" x14ac:dyDescent="0.2">
      <c r="A3840" s="6" t="s">
        <v>943</v>
      </c>
      <c r="B3840" s="6" t="s">
        <v>1597</v>
      </c>
      <c r="C3840" s="6" t="s">
        <v>1381</v>
      </c>
      <c r="D3840" s="6" t="s">
        <v>943</v>
      </c>
      <c r="G3840" s="6">
        <v>140</v>
      </c>
      <c r="H3840" s="6">
        <v>200</v>
      </c>
      <c r="I3840" s="9"/>
      <c r="J3840" s="9"/>
      <c r="K3840" s="9">
        <v>44008038</v>
      </c>
      <c r="L3840" s="6" t="str">
        <f t="shared" si="365"/>
        <v>1D  ARTE YATAK  140x200</v>
      </c>
      <c r="M3840" s="12">
        <v>0.5</v>
      </c>
      <c r="N3840" s="12">
        <v>0.5</v>
      </c>
      <c r="O3840" s="12">
        <v>18100</v>
      </c>
      <c r="P3840" s="12">
        <f t="shared" si="366"/>
        <v>9050</v>
      </c>
      <c r="Q3840" s="12">
        <f t="shared" si="364"/>
        <v>19005</v>
      </c>
      <c r="R3840" s="33">
        <f t="shared" si="367"/>
        <v>19000</v>
      </c>
      <c r="T3840" s="12"/>
      <c r="U3840" s="12"/>
      <c r="V3840" s="12"/>
      <c r="W3840" s="12"/>
    </row>
    <row r="3841" spans="1:23" s="6" customFormat="1" ht="21.95" customHeight="1" x14ac:dyDescent="0.2">
      <c r="A3841" s="6" t="s">
        <v>943</v>
      </c>
      <c r="B3841" s="6" t="s">
        <v>1597</v>
      </c>
      <c r="C3841" s="6" t="s">
        <v>1381</v>
      </c>
      <c r="D3841" s="6" t="s">
        <v>943</v>
      </c>
      <c r="G3841" s="6">
        <v>150</v>
      </c>
      <c r="H3841" s="6">
        <v>200</v>
      </c>
      <c r="I3841" s="9"/>
      <c r="J3841" s="9"/>
      <c r="K3841" s="9">
        <v>44008039</v>
      </c>
      <c r="L3841" s="6" t="str">
        <f t="shared" si="365"/>
        <v>1D  ARTE YATAK  150x200</v>
      </c>
      <c r="M3841" s="12">
        <v>0.5</v>
      </c>
      <c r="N3841" s="12">
        <v>0.5</v>
      </c>
      <c r="O3841" s="12">
        <v>19400</v>
      </c>
      <c r="P3841" s="12">
        <f t="shared" si="366"/>
        <v>9700</v>
      </c>
      <c r="Q3841" s="12">
        <f t="shared" si="364"/>
        <v>20370</v>
      </c>
      <c r="R3841" s="33">
        <f t="shared" si="367"/>
        <v>20300</v>
      </c>
      <c r="T3841" s="12"/>
      <c r="U3841" s="12"/>
      <c r="V3841" s="12"/>
      <c r="W3841" s="12"/>
    </row>
    <row r="3842" spans="1:23" s="6" customFormat="1" ht="21.95" customHeight="1" x14ac:dyDescent="0.2">
      <c r="A3842" s="6" t="s">
        <v>943</v>
      </c>
      <c r="B3842" s="6" t="s">
        <v>1597</v>
      </c>
      <c r="C3842" s="6" t="s">
        <v>1381</v>
      </c>
      <c r="D3842" s="6" t="s">
        <v>943</v>
      </c>
      <c r="G3842" s="6">
        <v>160</v>
      </c>
      <c r="H3842" s="6">
        <v>200</v>
      </c>
      <c r="I3842" s="9"/>
      <c r="J3842" s="9"/>
      <c r="K3842" s="9">
        <v>44008040</v>
      </c>
      <c r="L3842" s="6" t="str">
        <f t="shared" si="365"/>
        <v>1D  ARTE YATAK  160x200</v>
      </c>
      <c r="M3842" s="12">
        <v>0.5</v>
      </c>
      <c r="N3842" s="12">
        <v>0.5</v>
      </c>
      <c r="O3842" s="12">
        <v>20700</v>
      </c>
      <c r="P3842" s="12">
        <f t="shared" si="366"/>
        <v>10350</v>
      </c>
      <c r="Q3842" s="12">
        <f t="shared" si="364"/>
        <v>21735</v>
      </c>
      <c r="R3842" s="33">
        <f t="shared" si="367"/>
        <v>21700</v>
      </c>
      <c r="T3842" s="12"/>
      <c r="U3842" s="12"/>
      <c r="V3842" s="12"/>
      <c r="W3842" s="12"/>
    </row>
    <row r="3843" spans="1:23" s="6" customFormat="1" ht="21.95" customHeight="1" x14ac:dyDescent="0.2">
      <c r="A3843" s="6" t="s">
        <v>943</v>
      </c>
      <c r="B3843" s="6" t="s">
        <v>1597</v>
      </c>
      <c r="C3843" s="6" t="s">
        <v>1381</v>
      </c>
      <c r="D3843" s="6" t="s">
        <v>943</v>
      </c>
      <c r="G3843" s="6">
        <v>180</v>
      </c>
      <c r="H3843" s="6">
        <v>200</v>
      </c>
      <c r="I3843" s="9"/>
      <c r="J3843" s="9"/>
      <c r="K3843" s="9">
        <v>44008041</v>
      </c>
      <c r="L3843" s="6" t="str">
        <f t="shared" si="365"/>
        <v>1D  ARTE YATAK  180x200</v>
      </c>
      <c r="M3843" s="12">
        <v>0.5</v>
      </c>
      <c r="N3843" s="12">
        <v>0.5</v>
      </c>
      <c r="O3843" s="12">
        <v>23300</v>
      </c>
      <c r="P3843" s="12">
        <f t="shared" si="366"/>
        <v>11650</v>
      </c>
      <c r="Q3843" s="12">
        <f t="shared" si="364"/>
        <v>24465</v>
      </c>
      <c r="R3843" s="33">
        <f t="shared" si="367"/>
        <v>24400</v>
      </c>
      <c r="T3843" s="12"/>
      <c r="U3843" s="12"/>
      <c r="V3843" s="12"/>
      <c r="W3843" s="12"/>
    </row>
    <row r="3844" spans="1:23" s="6" customFormat="1" ht="21.95" customHeight="1" x14ac:dyDescent="0.2">
      <c r="A3844" s="6" t="s">
        <v>943</v>
      </c>
      <c r="B3844" s="6" t="s">
        <v>1597</v>
      </c>
      <c r="C3844" s="6" t="s">
        <v>1381</v>
      </c>
      <c r="D3844" s="6" t="s">
        <v>1380</v>
      </c>
      <c r="I3844" s="9"/>
      <c r="J3844" s="9"/>
      <c r="K3844" s="9">
        <v>44008042</v>
      </c>
      <c r="L3844" s="6" t="str">
        <f>B3844&amp;" "&amp;C3844&amp;" "&amp;D3844</f>
        <v>1D  ARTE KOMODİN (2 ADET)</v>
      </c>
      <c r="M3844" s="12">
        <v>0.5</v>
      </c>
      <c r="N3844" s="12">
        <v>0.5</v>
      </c>
      <c r="O3844" s="12">
        <v>13200</v>
      </c>
      <c r="P3844" s="12">
        <f t="shared" si="366"/>
        <v>6600</v>
      </c>
      <c r="Q3844" s="12">
        <f t="shared" si="364"/>
        <v>13860</v>
      </c>
      <c r="R3844" s="33">
        <f t="shared" si="367"/>
        <v>13800</v>
      </c>
      <c r="T3844" s="12"/>
      <c r="U3844" s="12"/>
      <c r="V3844" s="12"/>
      <c r="W3844" s="12"/>
    </row>
    <row r="3845" spans="1:23" s="6" customFormat="1" ht="21.95" customHeight="1" x14ac:dyDescent="0.2">
      <c r="A3845" s="6" t="s">
        <v>943</v>
      </c>
      <c r="B3845" s="6" t="s">
        <v>1597</v>
      </c>
      <c r="C3845" s="6" t="s">
        <v>1382</v>
      </c>
      <c r="D3845" s="6" t="s">
        <v>989</v>
      </c>
      <c r="G3845" s="6">
        <v>90</v>
      </c>
      <c r="H3845" s="6">
        <v>190</v>
      </c>
      <c r="I3845" s="9"/>
      <c r="J3845" s="9"/>
      <c r="K3845" s="9">
        <v>44008043</v>
      </c>
      <c r="L3845" s="6" t="str">
        <f t="shared" ref="L3845:L3868" si="368">B3845&amp;" "&amp;C3845&amp;" "&amp;D3845&amp;" "&amp;G3845&amp;"x"&amp;H3845</f>
        <v>1D  ASTRA BAZA  90x190</v>
      </c>
      <c r="M3845" s="12">
        <v>0.5</v>
      </c>
      <c r="N3845" s="12">
        <v>0.5</v>
      </c>
      <c r="O3845" s="12">
        <v>11300</v>
      </c>
      <c r="P3845" s="12">
        <f t="shared" si="366"/>
        <v>5650</v>
      </c>
      <c r="Q3845" s="12">
        <f t="shared" si="364"/>
        <v>11865</v>
      </c>
      <c r="R3845" s="33">
        <f t="shared" si="367"/>
        <v>11800</v>
      </c>
      <c r="T3845" s="12"/>
      <c r="U3845" s="12"/>
      <c r="V3845" s="12"/>
      <c r="W3845" s="12"/>
    </row>
    <row r="3846" spans="1:23" s="6" customFormat="1" ht="21.95" customHeight="1" x14ac:dyDescent="0.2">
      <c r="A3846" s="6" t="s">
        <v>943</v>
      </c>
      <c r="B3846" s="6" t="s">
        <v>1597</v>
      </c>
      <c r="C3846" s="6" t="s">
        <v>1382</v>
      </c>
      <c r="D3846" s="6" t="s">
        <v>989</v>
      </c>
      <c r="G3846" s="6">
        <v>90</v>
      </c>
      <c r="H3846" s="6">
        <v>200</v>
      </c>
      <c r="I3846" s="9"/>
      <c r="J3846" s="9"/>
      <c r="K3846" s="9">
        <v>44008044</v>
      </c>
      <c r="L3846" s="6" t="str">
        <f t="shared" si="368"/>
        <v>1D  ASTRA BAZA  90x200</v>
      </c>
      <c r="M3846" s="12">
        <v>0.5</v>
      </c>
      <c r="N3846" s="12">
        <v>0.5</v>
      </c>
      <c r="O3846" s="12">
        <v>11900</v>
      </c>
      <c r="P3846" s="12">
        <f t="shared" si="366"/>
        <v>5950</v>
      </c>
      <c r="Q3846" s="12">
        <f t="shared" si="364"/>
        <v>12495</v>
      </c>
      <c r="R3846" s="33">
        <f t="shared" si="367"/>
        <v>12400</v>
      </c>
      <c r="T3846" s="12"/>
      <c r="U3846" s="12"/>
      <c r="V3846" s="12"/>
      <c r="W3846" s="12"/>
    </row>
    <row r="3847" spans="1:23" s="6" customFormat="1" ht="21.95" customHeight="1" x14ac:dyDescent="0.2">
      <c r="A3847" s="6" t="s">
        <v>943</v>
      </c>
      <c r="B3847" s="6" t="s">
        <v>1597</v>
      </c>
      <c r="C3847" s="6" t="s">
        <v>1382</v>
      </c>
      <c r="D3847" s="6" t="s">
        <v>989</v>
      </c>
      <c r="G3847" s="6">
        <v>100</v>
      </c>
      <c r="H3847" s="6">
        <v>200</v>
      </c>
      <c r="I3847" s="9"/>
      <c r="J3847" s="9"/>
      <c r="K3847" s="9">
        <v>44008045</v>
      </c>
      <c r="L3847" s="6" t="str">
        <f t="shared" si="368"/>
        <v>1D  ASTRA BAZA  100x200</v>
      </c>
      <c r="M3847" s="12">
        <v>0.5</v>
      </c>
      <c r="N3847" s="12">
        <v>0.5</v>
      </c>
      <c r="O3847" s="12">
        <v>13200</v>
      </c>
      <c r="P3847" s="12">
        <f t="shared" si="366"/>
        <v>6600</v>
      </c>
      <c r="Q3847" s="12">
        <f t="shared" si="364"/>
        <v>13860</v>
      </c>
      <c r="R3847" s="33">
        <f t="shared" si="367"/>
        <v>13800</v>
      </c>
      <c r="T3847" s="12"/>
      <c r="U3847" s="12"/>
      <c r="V3847" s="12"/>
      <c r="W3847" s="12"/>
    </row>
    <row r="3848" spans="1:23" s="6" customFormat="1" ht="21.95" customHeight="1" x14ac:dyDescent="0.2">
      <c r="A3848" s="6" t="s">
        <v>943</v>
      </c>
      <c r="B3848" s="6" t="s">
        <v>1597</v>
      </c>
      <c r="C3848" s="6" t="s">
        <v>1382</v>
      </c>
      <c r="D3848" s="6" t="s">
        <v>989</v>
      </c>
      <c r="G3848" s="6">
        <v>120</v>
      </c>
      <c r="H3848" s="6">
        <v>200</v>
      </c>
      <c r="I3848" s="9"/>
      <c r="J3848" s="9"/>
      <c r="K3848" s="9">
        <v>44008046</v>
      </c>
      <c r="L3848" s="6" t="str">
        <f t="shared" si="368"/>
        <v>1D  ASTRA BAZA  120x200</v>
      </c>
      <c r="M3848" s="12">
        <v>0.5</v>
      </c>
      <c r="N3848" s="12">
        <v>0.5</v>
      </c>
      <c r="O3848" s="12">
        <v>15800</v>
      </c>
      <c r="P3848" s="12">
        <f t="shared" si="366"/>
        <v>7900</v>
      </c>
      <c r="Q3848" s="12">
        <f t="shared" si="364"/>
        <v>16590</v>
      </c>
      <c r="R3848" s="33">
        <f t="shared" si="367"/>
        <v>16500</v>
      </c>
      <c r="T3848" s="12"/>
      <c r="U3848" s="12"/>
      <c r="V3848" s="12"/>
      <c r="W3848" s="12"/>
    </row>
    <row r="3849" spans="1:23" s="6" customFormat="1" ht="21.95" customHeight="1" x14ac:dyDescent="0.2">
      <c r="A3849" s="6" t="s">
        <v>943</v>
      </c>
      <c r="B3849" s="6" t="s">
        <v>1597</v>
      </c>
      <c r="C3849" s="6" t="s">
        <v>1382</v>
      </c>
      <c r="D3849" s="6" t="s">
        <v>989</v>
      </c>
      <c r="G3849" s="6">
        <v>140</v>
      </c>
      <c r="H3849" s="6">
        <v>200</v>
      </c>
      <c r="I3849" s="9"/>
      <c r="J3849" s="9"/>
      <c r="K3849" s="9">
        <v>44008047</v>
      </c>
      <c r="L3849" s="6" t="str">
        <f t="shared" si="368"/>
        <v>1D  ASTRA BAZA  140x200</v>
      </c>
      <c r="M3849" s="12">
        <v>0.5</v>
      </c>
      <c r="N3849" s="12">
        <v>0.5</v>
      </c>
      <c r="O3849" s="12">
        <v>18500</v>
      </c>
      <c r="P3849" s="12">
        <f t="shared" si="366"/>
        <v>9250</v>
      </c>
      <c r="Q3849" s="12">
        <f t="shared" si="364"/>
        <v>19425</v>
      </c>
      <c r="R3849" s="33">
        <f t="shared" si="367"/>
        <v>19400</v>
      </c>
      <c r="T3849" s="12"/>
      <c r="U3849" s="12"/>
      <c r="V3849" s="12"/>
      <c r="W3849" s="12"/>
    </row>
    <row r="3850" spans="1:23" s="6" customFormat="1" ht="21.95" customHeight="1" x14ac:dyDescent="0.2">
      <c r="A3850" s="6" t="s">
        <v>943</v>
      </c>
      <c r="B3850" s="6" t="s">
        <v>1597</v>
      </c>
      <c r="C3850" s="6" t="s">
        <v>1382</v>
      </c>
      <c r="D3850" s="6" t="s">
        <v>989</v>
      </c>
      <c r="G3850" s="6">
        <v>150</v>
      </c>
      <c r="H3850" s="6">
        <v>200</v>
      </c>
      <c r="I3850" s="9"/>
      <c r="J3850" s="9"/>
      <c r="K3850" s="9">
        <v>44008048</v>
      </c>
      <c r="L3850" s="6" t="str">
        <f t="shared" si="368"/>
        <v>1D  ASTRA BAZA  150x200</v>
      </c>
      <c r="M3850" s="12">
        <v>0.5</v>
      </c>
      <c r="N3850" s="12">
        <v>0.5</v>
      </c>
      <c r="O3850" s="12">
        <v>19800</v>
      </c>
      <c r="P3850" s="12">
        <f t="shared" si="366"/>
        <v>9900</v>
      </c>
      <c r="Q3850" s="12">
        <f t="shared" si="364"/>
        <v>20790</v>
      </c>
      <c r="R3850" s="33">
        <f t="shared" si="367"/>
        <v>20700</v>
      </c>
      <c r="T3850" s="12"/>
      <c r="U3850" s="12"/>
      <c r="V3850" s="12"/>
      <c r="W3850" s="12"/>
    </row>
    <row r="3851" spans="1:23" s="6" customFormat="1" ht="21.95" customHeight="1" x14ac:dyDescent="0.2">
      <c r="A3851" s="6" t="s">
        <v>943</v>
      </c>
      <c r="B3851" s="6" t="s">
        <v>1597</v>
      </c>
      <c r="C3851" s="6" t="s">
        <v>1382</v>
      </c>
      <c r="D3851" s="6" t="s">
        <v>989</v>
      </c>
      <c r="G3851" s="6">
        <v>160</v>
      </c>
      <c r="H3851" s="6">
        <v>200</v>
      </c>
      <c r="I3851" s="9"/>
      <c r="J3851" s="9"/>
      <c r="K3851" s="9">
        <v>44008049</v>
      </c>
      <c r="L3851" s="6" t="str">
        <f t="shared" si="368"/>
        <v>1D  ASTRA BAZA  160x200</v>
      </c>
      <c r="M3851" s="12">
        <v>0.5</v>
      </c>
      <c r="N3851" s="12">
        <v>0.5</v>
      </c>
      <c r="O3851" s="12">
        <v>21100</v>
      </c>
      <c r="P3851" s="12">
        <f t="shared" si="366"/>
        <v>10550</v>
      </c>
      <c r="Q3851" s="12">
        <f t="shared" si="364"/>
        <v>22155</v>
      </c>
      <c r="R3851" s="33">
        <f t="shared" si="367"/>
        <v>22100</v>
      </c>
      <c r="T3851" s="12"/>
      <c r="U3851" s="12"/>
      <c r="V3851" s="12"/>
      <c r="W3851" s="12"/>
    </row>
    <row r="3852" spans="1:23" s="6" customFormat="1" ht="21.95" customHeight="1" x14ac:dyDescent="0.2">
      <c r="A3852" s="6" t="s">
        <v>943</v>
      </c>
      <c r="B3852" s="6" t="s">
        <v>1597</v>
      </c>
      <c r="C3852" s="6" t="s">
        <v>1382</v>
      </c>
      <c r="D3852" s="6" t="s">
        <v>989</v>
      </c>
      <c r="G3852" s="6">
        <v>180</v>
      </c>
      <c r="H3852" s="6">
        <v>200</v>
      </c>
      <c r="I3852" s="9"/>
      <c r="J3852" s="9"/>
      <c r="K3852" s="9">
        <v>44008050</v>
      </c>
      <c r="L3852" s="6" t="str">
        <f t="shared" si="368"/>
        <v>1D  ASTRA BAZA  180x200</v>
      </c>
      <c r="M3852" s="12">
        <v>0.5</v>
      </c>
      <c r="N3852" s="12">
        <v>0.5</v>
      </c>
      <c r="O3852" s="12">
        <v>23700</v>
      </c>
      <c r="P3852" s="12">
        <f t="shared" si="366"/>
        <v>11850</v>
      </c>
      <c r="Q3852" s="12">
        <f t="shared" si="364"/>
        <v>24885</v>
      </c>
      <c r="R3852" s="33">
        <f t="shared" si="367"/>
        <v>24800</v>
      </c>
      <c r="T3852" s="12"/>
      <c r="U3852" s="12"/>
      <c r="V3852" s="12"/>
      <c r="W3852" s="12"/>
    </row>
    <row r="3853" spans="1:23" s="6" customFormat="1" ht="21.95" customHeight="1" x14ac:dyDescent="0.2">
      <c r="A3853" s="6" t="s">
        <v>943</v>
      </c>
      <c r="B3853" s="6" t="s">
        <v>1597</v>
      </c>
      <c r="C3853" s="6" t="s">
        <v>1382</v>
      </c>
      <c r="D3853" s="6" t="s">
        <v>1003</v>
      </c>
      <c r="G3853" s="6">
        <v>90</v>
      </c>
      <c r="H3853" s="6">
        <v>190</v>
      </c>
      <c r="I3853" s="9"/>
      <c r="J3853" s="9"/>
      <c r="K3853" s="9">
        <v>44008051</v>
      </c>
      <c r="L3853" s="6" t="str">
        <f t="shared" si="368"/>
        <v>1D  ASTRA BAŞLIK  90x190</v>
      </c>
      <c r="M3853" s="12">
        <v>0.5</v>
      </c>
      <c r="N3853" s="12">
        <v>0.5</v>
      </c>
      <c r="O3853" s="12">
        <v>8400</v>
      </c>
      <c r="P3853" s="12">
        <f t="shared" si="366"/>
        <v>4200</v>
      </c>
      <c r="Q3853" s="12">
        <f t="shared" si="364"/>
        <v>8820</v>
      </c>
      <c r="R3853" s="33">
        <f t="shared" si="367"/>
        <v>8800</v>
      </c>
      <c r="T3853" s="12"/>
      <c r="U3853" s="12"/>
      <c r="V3853" s="12"/>
      <c r="W3853" s="12"/>
    </row>
    <row r="3854" spans="1:23" s="6" customFormat="1" ht="21.95" customHeight="1" x14ac:dyDescent="0.2">
      <c r="A3854" s="6" t="s">
        <v>943</v>
      </c>
      <c r="B3854" s="6" t="s">
        <v>1597</v>
      </c>
      <c r="C3854" s="6" t="s">
        <v>1382</v>
      </c>
      <c r="D3854" s="6" t="s">
        <v>1003</v>
      </c>
      <c r="G3854" s="6">
        <v>90</v>
      </c>
      <c r="H3854" s="6">
        <v>200</v>
      </c>
      <c r="I3854" s="9"/>
      <c r="J3854" s="9"/>
      <c r="K3854" s="9">
        <v>44008052</v>
      </c>
      <c r="L3854" s="6" t="str">
        <f t="shared" si="368"/>
        <v>1D  ASTRA BAŞLIK  90x200</v>
      </c>
      <c r="M3854" s="12">
        <v>0.5</v>
      </c>
      <c r="N3854" s="12">
        <v>0.5</v>
      </c>
      <c r="O3854" s="12">
        <v>8900</v>
      </c>
      <c r="P3854" s="12">
        <f t="shared" si="366"/>
        <v>4450</v>
      </c>
      <c r="Q3854" s="12">
        <f t="shared" si="364"/>
        <v>9345</v>
      </c>
      <c r="R3854" s="33">
        <f t="shared" si="367"/>
        <v>9300</v>
      </c>
      <c r="T3854" s="12"/>
      <c r="U3854" s="12"/>
      <c r="V3854" s="12"/>
      <c r="W3854" s="12"/>
    </row>
    <row r="3855" spans="1:23" s="6" customFormat="1" ht="21.95" customHeight="1" x14ac:dyDescent="0.2">
      <c r="A3855" s="6" t="s">
        <v>943</v>
      </c>
      <c r="B3855" s="6" t="s">
        <v>1597</v>
      </c>
      <c r="C3855" s="6" t="s">
        <v>1382</v>
      </c>
      <c r="D3855" s="6" t="s">
        <v>1003</v>
      </c>
      <c r="G3855" s="6">
        <v>100</v>
      </c>
      <c r="H3855" s="6">
        <v>200</v>
      </c>
      <c r="I3855" s="9"/>
      <c r="J3855" s="9"/>
      <c r="K3855" s="9">
        <v>44008053</v>
      </c>
      <c r="L3855" s="6" t="str">
        <f t="shared" si="368"/>
        <v>1D  ASTRA BAŞLIK  100x200</v>
      </c>
      <c r="M3855" s="12">
        <v>0.5</v>
      </c>
      <c r="N3855" s="12">
        <v>0.5</v>
      </c>
      <c r="O3855" s="12">
        <v>9900</v>
      </c>
      <c r="P3855" s="12">
        <f t="shared" si="366"/>
        <v>4950</v>
      </c>
      <c r="Q3855" s="12">
        <f t="shared" si="364"/>
        <v>10395</v>
      </c>
      <c r="R3855" s="33">
        <f t="shared" si="367"/>
        <v>10300</v>
      </c>
      <c r="T3855" s="12"/>
      <c r="U3855" s="12"/>
      <c r="V3855" s="12"/>
      <c r="W3855" s="12"/>
    </row>
    <row r="3856" spans="1:23" s="6" customFormat="1" ht="21.95" customHeight="1" x14ac:dyDescent="0.2">
      <c r="A3856" s="6" t="s">
        <v>943</v>
      </c>
      <c r="B3856" s="6" t="s">
        <v>1597</v>
      </c>
      <c r="C3856" s="6" t="s">
        <v>1382</v>
      </c>
      <c r="D3856" s="6" t="s">
        <v>1003</v>
      </c>
      <c r="G3856" s="6">
        <v>120</v>
      </c>
      <c r="H3856" s="6">
        <v>200</v>
      </c>
      <c r="I3856" s="9"/>
      <c r="J3856" s="9"/>
      <c r="K3856" s="9">
        <v>44008054</v>
      </c>
      <c r="L3856" s="6" t="str">
        <f t="shared" si="368"/>
        <v>1D  ASTRA BAŞLIK  120x200</v>
      </c>
      <c r="M3856" s="12">
        <v>0.5</v>
      </c>
      <c r="N3856" s="12">
        <v>0.5</v>
      </c>
      <c r="O3856" s="12">
        <v>11900</v>
      </c>
      <c r="P3856" s="12">
        <f t="shared" si="366"/>
        <v>5950</v>
      </c>
      <c r="Q3856" s="12">
        <f t="shared" si="364"/>
        <v>12495</v>
      </c>
      <c r="R3856" s="33">
        <f t="shared" si="367"/>
        <v>12400</v>
      </c>
      <c r="T3856" s="12"/>
      <c r="U3856" s="12"/>
      <c r="V3856" s="12"/>
      <c r="W3856" s="12"/>
    </row>
    <row r="3857" spans="1:23" s="6" customFormat="1" ht="21.95" customHeight="1" x14ac:dyDescent="0.2">
      <c r="A3857" s="6" t="s">
        <v>943</v>
      </c>
      <c r="B3857" s="6" t="s">
        <v>1597</v>
      </c>
      <c r="C3857" s="6" t="s">
        <v>1382</v>
      </c>
      <c r="D3857" s="6" t="s">
        <v>1003</v>
      </c>
      <c r="G3857" s="6">
        <v>140</v>
      </c>
      <c r="H3857" s="6">
        <v>200</v>
      </c>
      <c r="I3857" s="9"/>
      <c r="J3857" s="9"/>
      <c r="K3857" s="9">
        <v>44008055</v>
      </c>
      <c r="L3857" s="6" t="str">
        <f t="shared" si="368"/>
        <v>1D  ASTRA BAŞLIK  140x200</v>
      </c>
      <c r="M3857" s="12">
        <v>0.5</v>
      </c>
      <c r="N3857" s="12">
        <v>0.5</v>
      </c>
      <c r="O3857" s="12">
        <v>13800</v>
      </c>
      <c r="P3857" s="12">
        <f t="shared" si="366"/>
        <v>6900</v>
      </c>
      <c r="Q3857" s="12">
        <f t="shared" si="364"/>
        <v>14490</v>
      </c>
      <c r="R3857" s="33">
        <f t="shared" si="367"/>
        <v>14400</v>
      </c>
      <c r="T3857" s="12"/>
      <c r="U3857" s="12"/>
      <c r="V3857" s="12"/>
      <c r="W3857" s="12"/>
    </row>
    <row r="3858" spans="1:23" s="6" customFormat="1" ht="21.95" customHeight="1" x14ac:dyDescent="0.2">
      <c r="A3858" s="6" t="s">
        <v>943</v>
      </c>
      <c r="B3858" s="6" t="s">
        <v>1597</v>
      </c>
      <c r="C3858" s="6" t="s">
        <v>1382</v>
      </c>
      <c r="D3858" s="6" t="s">
        <v>1003</v>
      </c>
      <c r="G3858" s="6">
        <v>150</v>
      </c>
      <c r="H3858" s="6">
        <v>200</v>
      </c>
      <c r="I3858" s="9"/>
      <c r="J3858" s="9"/>
      <c r="K3858" s="9">
        <v>44008056</v>
      </c>
      <c r="L3858" s="6" t="str">
        <f t="shared" si="368"/>
        <v>1D  ASTRA BAŞLIK  150x200</v>
      </c>
      <c r="M3858" s="12">
        <v>0.5</v>
      </c>
      <c r="N3858" s="12">
        <v>0.5</v>
      </c>
      <c r="O3858" s="12">
        <v>14800</v>
      </c>
      <c r="P3858" s="12">
        <f t="shared" si="366"/>
        <v>7400</v>
      </c>
      <c r="Q3858" s="12">
        <f t="shared" si="364"/>
        <v>15540</v>
      </c>
      <c r="R3858" s="33">
        <f t="shared" si="367"/>
        <v>15500</v>
      </c>
      <c r="T3858" s="12"/>
      <c r="U3858" s="12"/>
      <c r="V3858" s="12"/>
      <c r="W3858" s="12"/>
    </row>
    <row r="3859" spans="1:23" s="6" customFormat="1" ht="21.95" customHeight="1" x14ac:dyDescent="0.2">
      <c r="A3859" s="6" t="s">
        <v>943</v>
      </c>
      <c r="B3859" s="6" t="s">
        <v>1597</v>
      </c>
      <c r="C3859" s="6" t="s">
        <v>1382</v>
      </c>
      <c r="D3859" s="6" t="s">
        <v>1003</v>
      </c>
      <c r="G3859" s="6">
        <v>160</v>
      </c>
      <c r="H3859" s="6">
        <v>200</v>
      </c>
      <c r="I3859" s="9"/>
      <c r="J3859" s="9"/>
      <c r="K3859" s="9">
        <v>44008057</v>
      </c>
      <c r="L3859" s="6" t="str">
        <f t="shared" si="368"/>
        <v>1D  ASTRA BAŞLIK  160x200</v>
      </c>
      <c r="M3859" s="12">
        <v>0.5</v>
      </c>
      <c r="N3859" s="12">
        <v>0.5</v>
      </c>
      <c r="O3859" s="12">
        <v>15800</v>
      </c>
      <c r="P3859" s="12">
        <f t="shared" si="366"/>
        <v>7900</v>
      </c>
      <c r="Q3859" s="12">
        <f t="shared" ref="Q3859:Q3922" si="369">O3859*(1-N3859)*2.1</f>
        <v>16590</v>
      </c>
      <c r="R3859" s="33">
        <f t="shared" si="367"/>
        <v>16500</v>
      </c>
      <c r="T3859" s="12"/>
      <c r="U3859" s="12"/>
      <c r="V3859" s="12"/>
      <c r="W3859" s="12"/>
    </row>
    <row r="3860" spans="1:23" s="6" customFormat="1" ht="21.95" customHeight="1" x14ac:dyDescent="0.2">
      <c r="A3860" s="6" t="s">
        <v>943</v>
      </c>
      <c r="B3860" s="6" t="s">
        <v>1597</v>
      </c>
      <c r="C3860" s="6" t="s">
        <v>1382</v>
      </c>
      <c r="D3860" s="6" t="s">
        <v>1003</v>
      </c>
      <c r="G3860" s="6">
        <v>180</v>
      </c>
      <c r="H3860" s="6">
        <v>200</v>
      </c>
      <c r="I3860" s="9"/>
      <c r="J3860" s="9"/>
      <c r="K3860" s="9">
        <v>44008058</v>
      </c>
      <c r="L3860" s="6" t="str">
        <f t="shared" si="368"/>
        <v>1D  ASTRA BAŞLIK  180x200</v>
      </c>
      <c r="M3860" s="12">
        <v>0.5</v>
      </c>
      <c r="N3860" s="12">
        <v>0.5</v>
      </c>
      <c r="O3860" s="12">
        <v>17800</v>
      </c>
      <c r="P3860" s="12">
        <f t="shared" si="366"/>
        <v>8900</v>
      </c>
      <c r="Q3860" s="12">
        <f t="shared" si="369"/>
        <v>18690</v>
      </c>
      <c r="R3860" s="33">
        <f t="shared" si="367"/>
        <v>18600</v>
      </c>
      <c r="T3860" s="12"/>
      <c r="U3860" s="12"/>
      <c r="V3860" s="12"/>
      <c r="W3860" s="12"/>
    </row>
    <row r="3861" spans="1:23" s="6" customFormat="1" ht="21.95" customHeight="1" x14ac:dyDescent="0.2">
      <c r="A3861" s="6" t="s">
        <v>943</v>
      </c>
      <c r="B3861" s="6" t="s">
        <v>1597</v>
      </c>
      <c r="C3861" s="6" t="s">
        <v>1382</v>
      </c>
      <c r="D3861" s="6" t="s">
        <v>943</v>
      </c>
      <c r="G3861" s="6">
        <v>90</v>
      </c>
      <c r="H3861" s="6">
        <v>190</v>
      </c>
      <c r="I3861" s="9"/>
      <c r="J3861" s="9"/>
      <c r="K3861" s="9">
        <v>44008059</v>
      </c>
      <c r="L3861" s="6" t="str">
        <f t="shared" si="368"/>
        <v>1D  ASTRA YATAK  90x190</v>
      </c>
      <c r="M3861" s="12">
        <v>0.5</v>
      </c>
      <c r="N3861" s="12">
        <v>0.5</v>
      </c>
      <c r="O3861" s="12">
        <v>11300</v>
      </c>
      <c r="P3861" s="12">
        <f t="shared" si="366"/>
        <v>5650</v>
      </c>
      <c r="Q3861" s="12">
        <f t="shared" si="369"/>
        <v>11865</v>
      </c>
      <c r="R3861" s="33">
        <f t="shared" si="367"/>
        <v>11800</v>
      </c>
      <c r="T3861" s="12"/>
      <c r="U3861" s="12"/>
      <c r="V3861" s="12"/>
      <c r="W3861" s="12"/>
    </row>
    <row r="3862" spans="1:23" s="6" customFormat="1" ht="21.95" customHeight="1" x14ac:dyDescent="0.2">
      <c r="A3862" s="6" t="s">
        <v>943</v>
      </c>
      <c r="B3862" s="6" t="s">
        <v>1597</v>
      </c>
      <c r="C3862" s="6" t="s">
        <v>1382</v>
      </c>
      <c r="D3862" s="6" t="s">
        <v>943</v>
      </c>
      <c r="G3862" s="6">
        <v>90</v>
      </c>
      <c r="H3862" s="6">
        <v>200</v>
      </c>
      <c r="I3862" s="9"/>
      <c r="J3862" s="9"/>
      <c r="K3862" s="9">
        <v>44008060</v>
      </c>
      <c r="L3862" s="6" t="str">
        <f t="shared" si="368"/>
        <v>1D  ASTRA YATAK  90x200</v>
      </c>
      <c r="M3862" s="12">
        <v>0.5</v>
      </c>
      <c r="N3862" s="12">
        <v>0.5</v>
      </c>
      <c r="O3862" s="12">
        <v>11900</v>
      </c>
      <c r="P3862" s="12">
        <f t="shared" si="366"/>
        <v>5950</v>
      </c>
      <c r="Q3862" s="12">
        <f t="shared" si="369"/>
        <v>12495</v>
      </c>
      <c r="R3862" s="33">
        <f t="shared" si="367"/>
        <v>12400</v>
      </c>
      <c r="T3862" s="12"/>
      <c r="U3862" s="12"/>
      <c r="V3862" s="12"/>
      <c r="W3862" s="12"/>
    </row>
    <row r="3863" spans="1:23" s="6" customFormat="1" ht="21.95" customHeight="1" x14ac:dyDescent="0.2">
      <c r="A3863" s="6" t="s">
        <v>943</v>
      </c>
      <c r="B3863" s="6" t="s">
        <v>1597</v>
      </c>
      <c r="C3863" s="6" t="s">
        <v>1382</v>
      </c>
      <c r="D3863" s="6" t="s">
        <v>943</v>
      </c>
      <c r="G3863" s="6">
        <v>100</v>
      </c>
      <c r="H3863" s="6">
        <v>200</v>
      </c>
      <c r="I3863" s="9"/>
      <c r="J3863" s="9"/>
      <c r="K3863" s="9">
        <v>44008061</v>
      </c>
      <c r="L3863" s="6" t="str">
        <f t="shared" si="368"/>
        <v>1D  ASTRA YATAK  100x200</v>
      </c>
      <c r="M3863" s="12">
        <v>0.5</v>
      </c>
      <c r="N3863" s="12">
        <v>0.5</v>
      </c>
      <c r="O3863" s="12">
        <v>13200</v>
      </c>
      <c r="P3863" s="12">
        <f t="shared" si="366"/>
        <v>6600</v>
      </c>
      <c r="Q3863" s="12">
        <f t="shared" si="369"/>
        <v>13860</v>
      </c>
      <c r="R3863" s="33">
        <f t="shared" si="367"/>
        <v>13800</v>
      </c>
      <c r="T3863" s="12"/>
      <c r="U3863" s="12"/>
      <c r="V3863" s="12"/>
      <c r="W3863" s="12"/>
    </row>
    <row r="3864" spans="1:23" s="6" customFormat="1" ht="21.95" customHeight="1" x14ac:dyDescent="0.2">
      <c r="A3864" s="6" t="s">
        <v>943</v>
      </c>
      <c r="B3864" s="6" t="s">
        <v>1597</v>
      </c>
      <c r="C3864" s="6" t="s">
        <v>1382</v>
      </c>
      <c r="D3864" s="6" t="s">
        <v>943</v>
      </c>
      <c r="G3864" s="6">
        <v>120</v>
      </c>
      <c r="H3864" s="6">
        <v>200</v>
      </c>
      <c r="I3864" s="9"/>
      <c r="J3864" s="9"/>
      <c r="K3864" s="9">
        <v>44008062</v>
      </c>
      <c r="L3864" s="6" t="str">
        <f t="shared" si="368"/>
        <v>1D  ASTRA YATAK  120x200</v>
      </c>
      <c r="M3864" s="12">
        <v>0.5</v>
      </c>
      <c r="N3864" s="12">
        <v>0.5</v>
      </c>
      <c r="O3864" s="12">
        <v>15800</v>
      </c>
      <c r="P3864" s="12">
        <f t="shared" si="366"/>
        <v>7900</v>
      </c>
      <c r="Q3864" s="12">
        <f t="shared" si="369"/>
        <v>16590</v>
      </c>
      <c r="R3864" s="33">
        <f t="shared" si="367"/>
        <v>16500</v>
      </c>
      <c r="T3864" s="12"/>
      <c r="U3864" s="12"/>
      <c r="V3864" s="12"/>
      <c r="W3864" s="12"/>
    </row>
    <row r="3865" spans="1:23" s="6" customFormat="1" ht="21.95" customHeight="1" x14ac:dyDescent="0.2">
      <c r="A3865" s="6" t="s">
        <v>943</v>
      </c>
      <c r="B3865" s="6" t="s">
        <v>1597</v>
      </c>
      <c r="C3865" s="6" t="s">
        <v>1382</v>
      </c>
      <c r="D3865" s="6" t="s">
        <v>943</v>
      </c>
      <c r="G3865" s="6">
        <v>140</v>
      </c>
      <c r="H3865" s="6">
        <v>200</v>
      </c>
      <c r="I3865" s="9"/>
      <c r="J3865" s="9"/>
      <c r="K3865" s="9">
        <v>44008063</v>
      </c>
      <c r="L3865" s="6" t="str">
        <f t="shared" si="368"/>
        <v>1D  ASTRA YATAK  140x200</v>
      </c>
      <c r="M3865" s="12">
        <v>0.5</v>
      </c>
      <c r="N3865" s="12">
        <v>0.5</v>
      </c>
      <c r="O3865" s="12">
        <v>18500</v>
      </c>
      <c r="P3865" s="12">
        <f t="shared" si="366"/>
        <v>9250</v>
      </c>
      <c r="Q3865" s="12">
        <f t="shared" si="369"/>
        <v>19425</v>
      </c>
      <c r="R3865" s="33">
        <f t="shared" si="367"/>
        <v>19400</v>
      </c>
      <c r="T3865" s="12"/>
      <c r="U3865" s="12"/>
      <c r="V3865" s="12"/>
      <c r="W3865" s="12"/>
    </row>
    <row r="3866" spans="1:23" s="6" customFormat="1" ht="21.95" customHeight="1" x14ac:dyDescent="0.2">
      <c r="A3866" s="6" t="s">
        <v>943</v>
      </c>
      <c r="B3866" s="6" t="s">
        <v>1597</v>
      </c>
      <c r="C3866" s="6" t="s">
        <v>1382</v>
      </c>
      <c r="D3866" s="6" t="s">
        <v>943</v>
      </c>
      <c r="G3866" s="6">
        <v>150</v>
      </c>
      <c r="H3866" s="6">
        <v>200</v>
      </c>
      <c r="I3866" s="9"/>
      <c r="J3866" s="9"/>
      <c r="K3866" s="9">
        <v>44008064</v>
      </c>
      <c r="L3866" s="6" t="str">
        <f t="shared" si="368"/>
        <v>1D  ASTRA YATAK  150x200</v>
      </c>
      <c r="M3866" s="12">
        <v>0.5</v>
      </c>
      <c r="N3866" s="12">
        <v>0.5</v>
      </c>
      <c r="O3866" s="12">
        <v>19800</v>
      </c>
      <c r="P3866" s="12">
        <f t="shared" si="366"/>
        <v>9900</v>
      </c>
      <c r="Q3866" s="12">
        <f t="shared" si="369"/>
        <v>20790</v>
      </c>
      <c r="R3866" s="33">
        <f t="shared" si="367"/>
        <v>20700</v>
      </c>
      <c r="T3866" s="12"/>
      <c r="U3866" s="12"/>
      <c r="V3866" s="12"/>
      <c r="W3866" s="12"/>
    </row>
    <row r="3867" spans="1:23" s="6" customFormat="1" ht="21.95" customHeight="1" x14ac:dyDescent="0.2">
      <c r="A3867" s="6" t="s">
        <v>943</v>
      </c>
      <c r="B3867" s="6" t="s">
        <v>1597</v>
      </c>
      <c r="C3867" s="6" t="s">
        <v>1382</v>
      </c>
      <c r="D3867" s="6" t="s">
        <v>943</v>
      </c>
      <c r="G3867" s="6">
        <v>160</v>
      </c>
      <c r="H3867" s="6">
        <v>200</v>
      </c>
      <c r="I3867" s="9"/>
      <c r="J3867" s="9"/>
      <c r="K3867" s="9">
        <v>44008065</v>
      </c>
      <c r="L3867" s="6" t="str">
        <f t="shared" si="368"/>
        <v>1D  ASTRA YATAK  160x200</v>
      </c>
      <c r="M3867" s="12">
        <v>0.5</v>
      </c>
      <c r="N3867" s="12">
        <v>0.5</v>
      </c>
      <c r="O3867" s="12">
        <v>21100</v>
      </c>
      <c r="P3867" s="12">
        <f t="shared" si="366"/>
        <v>10550</v>
      </c>
      <c r="Q3867" s="12">
        <f t="shared" si="369"/>
        <v>22155</v>
      </c>
      <c r="R3867" s="33">
        <f t="shared" si="367"/>
        <v>22100</v>
      </c>
      <c r="T3867" s="12"/>
      <c r="U3867" s="12"/>
      <c r="V3867" s="12"/>
      <c r="W3867" s="12"/>
    </row>
    <row r="3868" spans="1:23" s="6" customFormat="1" ht="21.95" customHeight="1" x14ac:dyDescent="0.2">
      <c r="A3868" s="6" t="s">
        <v>943</v>
      </c>
      <c r="B3868" s="6" t="s">
        <v>1597</v>
      </c>
      <c r="C3868" s="6" t="s">
        <v>1382</v>
      </c>
      <c r="D3868" s="6" t="s">
        <v>943</v>
      </c>
      <c r="G3868" s="6">
        <v>180</v>
      </c>
      <c r="H3868" s="6">
        <v>200</v>
      </c>
      <c r="I3868" s="9"/>
      <c r="J3868" s="9"/>
      <c r="K3868" s="9">
        <v>44008066</v>
      </c>
      <c r="L3868" s="6" t="str">
        <f t="shared" si="368"/>
        <v>1D  ASTRA YATAK  180x200</v>
      </c>
      <c r="M3868" s="12">
        <v>0.5</v>
      </c>
      <c r="N3868" s="12">
        <v>0.5</v>
      </c>
      <c r="O3868" s="12">
        <v>23700</v>
      </c>
      <c r="P3868" s="12">
        <f t="shared" si="366"/>
        <v>11850</v>
      </c>
      <c r="Q3868" s="12">
        <f t="shared" si="369"/>
        <v>24885</v>
      </c>
      <c r="R3868" s="33">
        <f t="shared" si="367"/>
        <v>24800</v>
      </c>
      <c r="T3868" s="12"/>
      <c r="U3868" s="12"/>
      <c r="V3868" s="12"/>
      <c r="W3868" s="12"/>
    </row>
    <row r="3869" spans="1:23" s="6" customFormat="1" ht="21.95" customHeight="1" x14ac:dyDescent="0.2">
      <c r="A3869" s="6" t="s">
        <v>943</v>
      </c>
      <c r="B3869" s="6" t="s">
        <v>1597</v>
      </c>
      <c r="C3869" s="6" t="s">
        <v>1382</v>
      </c>
      <c r="D3869" s="6" t="s">
        <v>1380</v>
      </c>
      <c r="I3869" s="9"/>
      <c r="J3869" s="9"/>
      <c r="K3869" s="9">
        <v>44008067</v>
      </c>
      <c r="L3869" s="6" t="str">
        <f>B3869&amp;" "&amp;C3869&amp;" "&amp;D3869</f>
        <v>1D  ASTRA KOMODİN (2 ADET)</v>
      </c>
      <c r="M3869" s="12">
        <v>0.5</v>
      </c>
      <c r="N3869" s="12">
        <v>0.5</v>
      </c>
      <c r="O3869" s="12">
        <v>13200</v>
      </c>
      <c r="P3869" s="12">
        <f t="shared" si="366"/>
        <v>6600</v>
      </c>
      <c r="Q3869" s="12">
        <f t="shared" si="369"/>
        <v>13860</v>
      </c>
      <c r="R3869" s="33">
        <f t="shared" si="367"/>
        <v>13800</v>
      </c>
      <c r="T3869" s="12"/>
      <c r="U3869" s="12"/>
      <c r="V3869" s="12"/>
      <c r="W3869" s="12"/>
    </row>
    <row r="3870" spans="1:23" s="6" customFormat="1" ht="21.95" customHeight="1" x14ac:dyDescent="0.2">
      <c r="A3870" s="6" t="s">
        <v>943</v>
      </c>
      <c r="B3870" s="6" t="s">
        <v>1597</v>
      </c>
      <c r="C3870" s="6" t="s">
        <v>1383</v>
      </c>
      <c r="D3870" s="6" t="s">
        <v>989</v>
      </c>
      <c r="G3870" s="6">
        <v>90</v>
      </c>
      <c r="H3870" s="6">
        <v>190</v>
      </c>
      <c r="I3870" s="9"/>
      <c r="J3870" s="9"/>
      <c r="K3870" s="9">
        <v>44008093</v>
      </c>
      <c r="L3870" s="6" t="str">
        <f t="shared" ref="L3870:L3893" si="370">B3870&amp;" "&amp;C3870&amp;" "&amp;D3870&amp;" "&amp;G3870&amp;"x"&amp;H3870</f>
        <v>1D  BELLA BAZA  90x190</v>
      </c>
      <c r="M3870" s="12">
        <v>0.5</v>
      </c>
      <c r="N3870" s="12">
        <v>0.5</v>
      </c>
      <c r="O3870" s="12">
        <v>9900</v>
      </c>
      <c r="P3870" s="12">
        <f t="shared" si="366"/>
        <v>4950</v>
      </c>
      <c r="Q3870" s="12">
        <f t="shared" si="369"/>
        <v>10395</v>
      </c>
      <c r="R3870" s="33">
        <f t="shared" si="367"/>
        <v>10300</v>
      </c>
      <c r="T3870" s="12"/>
      <c r="U3870" s="12"/>
      <c r="V3870" s="12"/>
      <c r="W3870" s="12"/>
    </row>
    <row r="3871" spans="1:23" s="6" customFormat="1" ht="21.95" customHeight="1" x14ac:dyDescent="0.2">
      <c r="A3871" s="6" t="s">
        <v>943</v>
      </c>
      <c r="B3871" s="6" t="s">
        <v>1597</v>
      </c>
      <c r="C3871" s="6" t="s">
        <v>1383</v>
      </c>
      <c r="D3871" s="6" t="s">
        <v>989</v>
      </c>
      <c r="G3871" s="6">
        <v>90</v>
      </c>
      <c r="H3871" s="6">
        <v>200</v>
      </c>
      <c r="I3871" s="9"/>
      <c r="J3871" s="9"/>
      <c r="K3871" s="9">
        <v>44008094</v>
      </c>
      <c r="L3871" s="6" t="str">
        <f t="shared" si="370"/>
        <v>1D  BELLA BAZA  90x200</v>
      </c>
      <c r="M3871" s="12">
        <v>0.5</v>
      </c>
      <c r="N3871" s="12">
        <v>0.5</v>
      </c>
      <c r="O3871" s="12">
        <v>10400</v>
      </c>
      <c r="P3871" s="12">
        <f t="shared" si="366"/>
        <v>5200</v>
      </c>
      <c r="Q3871" s="12">
        <f t="shared" si="369"/>
        <v>10920</v>
      </c>
      <c r="R3871" s="33">
        <f t="shared" si="367"/>
        <v>10900</v>
      </c>
      <c r="T3871" s="12"/>
      <c r="U3871" s="12"/>
      <c r="V3871" s="12"/>
      <c r="W3871" s="12"/>
    </row>
    <row r="3872" spans="1:23" s="6" customFormat="1" ht="21.95" customHeight="1" x14ac:dyDescent="0.2">
      <c r="A3872" s="6" t="s">
        <v>943</v>
      </c>
      <c r="B3872" s="6" t="s">
        <v>1597</v>
      </c>
      <c r="C3872" s="6" t="s">
        <v>1383</v>
      </c>
      <c r="D3872" s="6" t="s">
        <v>989</v>
      </c>
      <c r="G3872" s="6">
        <v>100</v>
      </c>
      <c r="H3872" s="6">
        <v>200</v>
      </c>
      <c r="I3872" s="9"/>
      <c r="J3872" s="9"/>
      <c r="K3872" s="9">
        <v>44008095</v>
      </c>
      <c r="L3872" s="6" t="str">
        <f t="shared" si="370"/>
        <v>1D  BELLA BAZA  100x200</v>
      </c>
      <c r="M3872" s="12">
        <v>0.5</v>
      </c>
      <c r="N3872" s="12">
        <v>0.5</v>
      </c>
      <c r="O3872" s="12">
        <v>11600</v>
      </c>
      <c r="P3872" s="12">
        <f t="shared" si="366"/>
        <v>5800</v>
      </c>
      <c r="Q3872" s="12">
        <f t="shared" si="369"/>
        <v>12180</v>
      </c>
      <c r="R3872" s="33">
        <f t="shared" si="367"/>
        <v>12100</v>
      </c>
      <c r="T3872" s="12"/>
      <c r="U3872" s="12"/>
      <c r="V3872" s="12"/>
      <c r="W3872" s="12"/>
    </row>
    <row r="3873" spans="1:23" s="6" customFormat="1" ht="21.95" customHeight="1" x14ac:dyDescent="0.2">
      <c r="A3873" s="6" t="s">
        <v>943</v>
      </c>
      <c r="B3873" s="6" t="s">
        <v>1597</v>
      </c>
      <c r="C3873" s="6" t="s">
        <v>1383</v>
      </c>
      <c r="D3873" s="6" t="s">
        <v>989</v>
      </c>
      <c r="G3873" s="6">
        <v>120</v>
      </c>
      <c r="H3873" s="6">
        <v>200</v>
      </c>
      <c r="I3873" s="9"/>
      <c r="J3873" s="9"/>
      <c r="K3873" s="9">
        <v>44008096</v>
      </c>
      <c r="L3873" s="6" t="str">
        <f t="shared" si="370"/>
        <v>1D  BELLA BAZA  120x200</v>
      </c>
      <c r="M3873" s="12">
        <v>0.5</v>
      </c>
      <c r="N3873" s="12">
        <v>0.5</v>
      </c>
      <c r="O3873" s="12">
        <v>13900</v>
      </c>
      <c r="P3873" s="12">
        <f t="shared" si="366"/>
        <v>6950</v>
      </c>
      <c r="Q3873" s="12">
        <f t="shared" si="369"/>
        <v>14595</v>
      </c>
      <c r="R3873" s="33">
        <f t="shared" si="367"/>
        <v>14500</v>
      </c>
      <c r="T3873" s="12"/>
      <c r="U3873" s="12"/>
      <c r="V3873" s="12"/>
      <c r="W3873" s="12"/>
    </row>
    <row r="3874" spans="1:23" s="6" customFormat="1" ht="21.95" customHeight="1" x14ac:dyDescent="0.2">
      <c r="A3874" s="6" t="s">
        <v>943</v>
      </c>
      <c r="B3874" s="6" t="s">
        <v>1597</v>
      </c>
      <c r="C3874" s="6" t="s">
        <v>1383</v>
      </c>
      <c r="D3874" s="6" t="s">
        <v>989</v>
      </c>
      <c r="G3874" s="6">
        <v>140</v>
      </c>
      <c r="H3874" s="6">
        <v>200</v>
      </c>
      <c r="I3874" s="9"/>
      <c r="J3874" s="9"/>
      <c r="K3874" s="9">
        <v>44008097</v>
      </c>
      <c r="L3874" s="6" t="str">
        <f t="shared" si="370"/>
        <v>1D  BELLA BAZA  140x200</v>
      </c>
      <c r="M3874" s="12">
        <v>0.5</v>
      </c>
      <c r="N3874" s="12">
        <v>0.5</v>
      </c>
      <c r="O3874" s="12">
        <v>16200</v>
      </c>
      <c r="P3874" s="12">
        <f t="shared" si="366"/>
        <v>8100</v>
      </c>
      <c r="Q3874" s="12">
        <f t="shared" si="369"/>
        <v>17010</v>
      </c>
      <c r="R3874" s="33">
        <f t="shared" si="367"/>
        <v>17000</v>
      </c>
      <c r="T3874" s="12"/>
      <c r="U3874" s="12"/>
      <c r="V3874" s="12"/>
      <c r="W3874" s="12"/>
    </row>
    <row r="3875" spans="1:23" s="6" customFormat="1" ht="21.95" customHeight="1" x14ac:dyDescent="0.2">
      <c r="A3875" s="6" t="s">
        <v>943</v>
      </c>
      <c r="B3875" s="6" t="s">
        <v>1597</v>
      </c>
      <c r="C3875" s="6" t="s">
        <v>1383</v>
      </c>
      <c r="D3875" s="6" t="s">
        <v>989</v>
      </c>
      <c r="G3875" s="6">
        <v>150</v>
      </c>
      <c r="H3875" s="6">
        <v>200</v>
      </c>
      <c r="I3875" s="9"/>
      <c r="J3875" s="9"/>
      <c r="K3875" s="9">
        <v>44008098</v>
      </c>
      <c r="L3875" s="6" t="str">
        <f t="shared" si="370"/>
        <v>1D  BELLA BAZA  150x200</v>
      </c>
      <c r="M3875" s="12">
        <v>0.5</v>
      </c>
      <c r="N3875" s="12">
        <v>0.5</v>
      </c>
      <c r="O3875" s="12">
        <v>17300</v>
      </c>
      <c r="P3875" s="12">
        <f t="shared" si="366"/>
        <v>8650</v>
      </c>
      <c r="Q3875" s="12">
        <f t="shared" si="369"/>
        <v>18165</v>
      </c>
      <c r="R3875" s="33">
        <f t="shared" si="367"/>
        <v>18100</v>
      </c>
      <c r="T3875" s="12"/>
      <c r="U3875" s="12"/>
      <c r="V3875" s="12"/>
      <c r="W3875" s="12"/>
    </row>
    <row r="3876" spans="1:23" s="6" customFormat="1" ht="21.95" customHeight="1" x14ac:dyDescent="0.2">
      <c r="A3876" s="6" t="s">
        <v>943</v>
      </c>
      <c r="B3876" s="6" t="s">
        <v>1597</v>
      </c>
      <c r="C3876" s="6" t="s">
        <v>1383</v>
      </c>
      <c r="D3876" s="6" t="s">
        <v>989</v>
      </c>
      <c r="G3876" s="6">
        <v>160</v>
      </c>
      <c r="H3876" s="6">
        <v>200</v>
      </c>
      <c r="I3876" s="9"/>
      <c r="J3876" s="9"/>
      <c r="K3876" s="9">
        <v>44008099</v>
      </c>
      <c r="L3876" s="6" t="str">
        <f t="shared" si="370"/>
        <v>1D  BELLA BAZA  160x200</v>
      </c>
      <c r="M3876" s="12">
        <v>0.5</v>
      </c>
      <c r="N3876" s="12">
        <v>0.5</v>
      </c>
      <c r="O3876" s="12">
        <v>18500</v>
      </c>
      <c r="P3876" s="12">
        <f t="shared" si="366"/>
        <v>9250</v>
      </c>
      <c r="Q3876" s="12">
        <f t="shared" si="369"/>
        <v>19425</v>
      </c>
      <c r="R3876" s="33">
        <f t="shared" si="367"/>
        <v>19400</v>
      </c>
      <c r="T3876" s="12"/>
      <c r="U3876" s="12"/>
      <c r="V3876" s="12"/>
      <c r="W3876" s="12"/>
    </row>
    <row r="3877" spans="1:23" s="6" customFormat="1" ht="21.95" customHeight="1" x14ac:dyDescent="0.2">
      <c r="A3877" s="6" t="s">
        <v>943</v>
      </c>
      <c r="B3877" s="6" t="s">
        <v>1597</v>
      </c>
      <c r="C3877" s="6" t="s">
        <v>1383</v>
      </c>
      <c r="D3877" s="6" t="s">
        <v>989</v>
      </c>
      <c r="G3877" s="6">
        <v>180</v>
      </c>
      <c r="H3877" s="6">
        <v>200</v>
      </c>
      <c r="I3877" s="9"/>
      <c r="J3877" s="9"/>
      <c r="K3877" s="9">
        <v>44008100</v>
      </c>
      <c r="L3877" s="6" t="str">
        <f t="shared" si="370"/>
        <v>1D  BELLA BAZA  180x200</v>
      </c>
      <c r="M3877" s="12">
        <v>0.5</v>
      </c>
      <c r="N3877" s="12">
        <v>0.5</v>
      </c>
      <c r="O3877" s="12">
        <v>20800</v>
      </c>
      <c r="P3877" s="12">
        <f t="shared" si="366"/>
        <v>10400</v>
      </c>
      <c r="Q3877" s="12">
        <f t="shared" si="369"/>
        <v>21840</v>
      </c>
      <c r="R3877" s="33">
        <f t="shared" si="367"/>
        <v>21800</v>
      </c>
      <c r="T3877" s="12"/>
      <c r="U3877" s="12"/>
      <c r="V3877" s="12"/>
      <c r="W3877" s="12"/>
    </row>
    <row r="3878" spans="1:23" s="6" customFormat="1" ht="21.95" customHeight="1" x14ac:dyDescent="0.2">
      <c r="A3878" s="6" t="s">
        <v>943</v>
      </c>
      <c r="B3878" s="6" t="s">
        <v>1597</v>
      </c>
      <c r="C3878" s="6" t="s">
        <v>1383</v>
      </c>
      <c r="D3878" s="6" t="s">
        <v>1003</v>
      </c>
      <c r="G3878" s="6">
        <v>90</v>
      </c>
      <c r="H3878" s="6">
        <v>190</v>
      </c>
      <c r="I3878" s="9"/>
      <c r="J3878" s="9"/>
      <c r="K3878" s="9">
        <v>44008101</v>
      </c>
      <c r="L3878" s="6" t="str">
        <f t="shared" si="370"/>
        <v>1D  BELLA BAŞLIK  90x190</v>
      </c>
      <c r="M3878" s="12">
        <v>0.5</v>
      </c>
      <c r="N3878" s="12">
        <v>0.5</v>
      </c>
      <c r="O3878" s="12">
        <v>6400</v>
      </c>
      <c r="P3878" s="12">
        <f t="shared" si="366"/>
        <v>3200</v>
      </c>
      <c r="Q3878" s="12">
        <f t="shared" si="369"/>
        <v>6720</v>
      </c>
      <c r="R3878" s="33">
        <f t="shared" si="367"/>
        <v>6700</v>
      </c>
      <c r="T3878" s="12"/>
      <c r="U3878" s="12"/>
      <c r="V3878" s="12"/>
      <c r="W3878" s="12"/>
    </row>
    <row r="3879" spans="1:23" s="6" customFormat="1" ht="21.95" customHeight="1" x14ac:dyDescent="0.2">
      <c r="A3879" s="6" t="s">
        <v>943</v>
      </c>
      <c r="B3879" s="6" t="s">
        <v>1597</v>
      </c>
      <c r="C3879" s="6" t="s">
        <v>1383</v>
      </c>
      <c r="D3879" s="6" t="s">
        <v>1003</v>
      </c>
      <c r="G3879" s="6">
        <v>90</v>
      </c>
      <c r="H3879" s="6">
        <v>200</v>
      </c>
      <c r="I3879" s="9"/>
      <c r="J3879" s="9"/>
      <c r="K3879" s="9">
        <v>44008102</v>
      </c>
      <c r="L3879" s="6" t="str">
        <f t="shared" si="370"/>
        <v>1D  BELLA BAŞLIK  90x200</v>
      </c>
      <c r="M3879" s="12">
        <v>0.5</v>
      </c>
      <c r="N3879" s="12">
        <v>0.5</v>
      </c>
      <c r="O3879" s="12">
        <v>6800</v>
      </c>
      <c r="P3879" s="12">
        <f t="shared" si="366"/>
        <v>3400</v>
      </c>
      <c r="Q3879" s="12">
        <f t="shared" si="369"/>
        <v>7140</v>
      </c>
      <c r="R3879" s="33">
        <f t="shared" si="367"/>
        <v>7100</v>
      </c>
      <c r="T3879" s="12"/>
      <c r="U3879" s="12"/>
      <c r="V3879" s="12"/>
      <c r="W3879" s="12"/>
    </row>
    <row r="3880" spans="1:23" s="6" customFormat="1" ht="21.95" customHeight="1" x14ac:dyDescent="0.2">
      <c r="A3880" s="6" t="s">
        <v>943</v>
      </c>
      <c r="B3880" s="6" t="s">
        <v>1597</v>
      </c>
      <c r="C3880" s="6" t="s">
        <v>1383</v>
      </c>
      <c r="D3880" s="6" t="s">
        <v>1003</v>
      </c>
      <c r="G3880" s="6">
        <v>100</v>
      </c>
      <c r="H3880" s="6">
        <v>200</v>
      </c>
      <c r="I3880" s="9"/>
      <c r="J3880" s="9"/>
      <c r="K3880" s="9">
        <v>44008103</v>
      </c>
      <c r="L3880" s="6" t="str">
        <f t="shared" si="370"/>
        <v>1D  BELLA BAŞLIK  100x200</v>
      </c>
      <c r="M3880" s="12">
        <v>0.5</v>
      </c>
      <c r="N3880" s="12">
        <v>0.5</v>
      </c>
      <c r="O3880" s="12">
        <v>7500</v>
      </c>
      <c r="P3880" s="12">
        <f t="shared" si="366"/>
        <v>3750</v>
      </c>
      <c r="Q3880" s="12">
        <f t="shared" si="369"/>
        <v>7875</v>
      </c>
      <c r="R3880" s="33">
        <f t="shared" si="367"/>
        <v>7800</v>
      </c>
      <c r="T3880" s="12"/>
      <c r="U3880" s="12"/>
      <c r="V3880" s="12"/>
      <c r="W3880" s="12"/>
    </row>
    <row r="3881" spans="1:23" s="6" customFormat="1" ht="21.95" customHeight="1" x14ac:dyDescent="0.2">
      <c r="A3881" s="6" t="s">
        <v>943</v>
      </c>
      <c r="B3881" s="6" t="s">
        <v>1597</v>
      </c>
      <c r="C3881" s="6" t="s">
        <v>1383</v>
      </c>
      <c r="D3881" s="6" t="s">
        <v>1003</v>
      </c>
      <c r="G3881" s="6">
        <v>120</v>
      </c>
      <c r="H3881" s="6">
        <v>200</v>
      </c>
      <c r="I3881" s="9"/>
      <c r="J3881" s="9"/>
      <c r="K3881" s="9">
        <v>44008104</v>
      </c>
      <c r="L3881" s="6" t="str">
        <f t="shared" si="370"/>
        <v>1D  BELLA BAŞLIK  120x200</v>
      </c>
      <c r="M3881" s="12">
        <v>0.5</v>
      </c>
      <c r="N3881" s="12">
        <v>0.5</v>
      </c>
      <c r="O3881" s="12">
        <v>9000</v>
      </c>
      <c r="P3881" s="12">
        <f t="shared" si="366"/>
        <v>4500</v>
      </c>
      <c r="Q3881" s="12">
        <f t="shared" si="369"/>
        <v>9450</v>
      </c>
      <c r="R3881" s="33">
        <f t="shared" si="367"/>
        <v>9400</v>
      </c>
      <c r="T3881" s="12"/>
      <c r="U3881" s="12"/>
      <c r="V3881" s="12"/>
      <c r="W3881" s="12"/>
    </row>
    <row r="3882" spans="1:23" s="6" customFormat="1" ht="21.95" customHeight="1" x14ac:dyDescent="0.2">
      <c r="A3882" s="6" t="s">
        <v>943</v>
      </c>
      <c r="B3882" s="6" t="s">
        <v>1597</v>
      </c>
      <c r="C3882" s="6" t="s">
        <v>1383</v>
      </c>
      <c r="D3882" s="6" t="s">
        <v>1003</v>
      </c>
      <c r="G3882" s="6">
        <v>140</v>
      </c>
      <c r="H3882" s="6">
        <v>200</v>
      </c>
      <c r="I3882" s="9"/>
      <c r="J3882" s="9"/>
      <c r="K3882" s="9">
        <v>44008105</v>
      </c>
      <c r="L3882" s="6" t="str">
        <f t="shared" si="370"/>
        <v>1D  BELLA BAŞLIK  140x200</v>
      </c>
      <c r="M3882" s="12">
        <v>0.5</v>
      </c>
      <c r="N3882" s="12">
        <v>0.5</v>
      </c>
      <c r="O3882" s="12">
        <v>10500</v>
      </c>
      <c r="P3882" s="12">
        <f t="shared" si="366"/>
        <v>5250</v>
      </c>
      <c r="Q3882" s="12">
        <f t="shared" si="369"/>
        <v>11025</v>
      </c>
      <c r="R3882" s="33">
        <f t="shared" si="367"/>
        <v>11000</v>
      </c>
      <c r="T3882" s="12"/>
      <c r="U3882" s="12"/>
      <c r="V3882" s="12"/>
      <c r="W3882" s="12"/>
    </row>
    <row r="3883" spans="1:23" s="6" customFormat="1" ht="21.95" customHeight="1" x14ac:dyDescent="0.2">
      <c r="A3883" s="6" t="s">
        <v>943</v>
      </c>
      <c r="B3883" s="6" t="s">
        <v>1597</v>
      </c>
      <c r="C3883" s="6" t="s">
        <v>1383</v>
      </c>
      <c r="D3883" s="6" t="s">
        <v>1003</v>
      </c>
      <c r="G3883" s="6">
        <v>150</v>
      </c>
      <c r="H3883" s="6">
        <v>200</v>
      </c>
      <c r="I3883" s="9"/>
      <c r="J3883" s="9"/>
      <c r="K3883" s="9">
        <v>44008106</v>
      </c>
      <c r="L3883" s="6" t="str">
        <f t="shared" si="370"/>
        <v>1D  BELLA BAŞLIK  150x200</v>
      </c>
      <c r="M3883" s="12">
        <v>0.5</v>
      </c>
      <c r="N3883" s="12">
        <v>0.5</v>
      </c>
      <c r="O3883" s="12">
        <v>11300</v>
      </c>
      <c r="P3883" s="12">
        <f t="shared" si="366"/>
        <v>5650</v>
      </c>
      <c r="Q3883" s="12">
        <f t="shared" si="369"/>
        <v>11865</v>
      </c>
      <c r="R3883" s="33">
        <f t="shared" si="367"/>
        <v>11800</v>
      </c>
      <c r="T3883" s="12"/>
      <c r="U3883" s="12"/>
      <c r="V3883" s="12"/>
      <c r="W3883" s="12"/>
    </row>
    <row r="3884" spans="1:23" s="6" customFormat="1" ht="21.95" customHeight="1" x14ac:dyDescent="0.2">
      <c r="A3884" s="6" t="s">
        <v>943</v>
      </c>
      <c r="B3884" s="6" t="s">
        <v>1597</v>
      </c>
      <c r="C3884" s="6" t="s">
        <v>1383</v>
      </c>
      <c r="D3884" s="6" t="s">
        <v>1003</v>
      </c>
      <c r="G3884" s="6">
        <v>160</v>
      </c>
      <c r="H3884" s="6">
        <v>200</v>
      </c>
      <c r="I3884" s="9"/>
      <c r="J3884" s="9"/>
      <c r="K3884" s="9">
        <v>44008107</v>
      </c>
      <c r="L3884" s="6" t="str">
        <f t="shared" si="370"/>
        <v>1D  BELLA BAŞLIK  160x200</v>
      </c>
      <c r="M3884" s="12">
        <v>0.5</v>
      </c>
      <c r="N3884" s="12">
        <v>0.5</v>
      </c>
      <c r="O3884" s="12">
        <v>12000</v>
      </c>
      <c r="P3884" s="12">
        <f t="shared" si="366"/>
        <v>6000</v>
      </c>
      <c r="Q3884" s="12">
        <f t="shared" si="369"/>
        <v>12600</v>
      </c>
      <c r="R3884" s="33">
        <f t="shared" si="367"/>
        <v>12600</v>
      </c>
      <c r="T3884" s="12"/>
      <c r="U3884" s="12"/>
      <c r="V3884" s="12"/>
      <c r="W3884" s="12"/>
    </row>
    <row r="3885" spans="1:23" s="6" customFormat="1" ht="21.95" customHeight="1" x14ac:dyDescent="0.2">
      <c r="A3885" s="6" t="s">
        <v>943</v>
      </c>
      <c r="B3885" s="6" t="s">
        <v>1597</v>
      </c>
      <c r="C3885" s="6" t="s">
        <v>1383</v>
      </c>
      <c r="D3885" s="6" t="s">
        <v>1003</v>
      </c>
      <c r="G3885" s="6">
        <v>180</v>
      </c>
      <c r="H3885" s="6">
        <v>200</v>
      </c>
      <c r="I3885" s="9"/>
      <c r="J3885" s="9"/>
      <c r="K3885" s="9">
        <v>44008108</v>
      </c>
      <c r="L3885" s="6" t="str">
        <f t="shared" si="370"/>
        <v>1D  BELLA BAŞLIK  180x200</v>
      </c>
      <c r="M3885" s="12">
        <v>0.5</v>
      </c>
      <c r="N3885" s="12">
        <v>0.5</v>
      </c>
      <c r="O3885" s="12">
        <v>13500</v>
      </c>
      <c r="P3885" s="12">
        <f t="shared" ref="P3885:P3948" si="371">O3885*(1-N3885)</f>
        <v>6750</v>
      </c>
      <c r="Q3885" s="12">
        <f t="shared" si="369"/>
        <v>14175</v>
      </c>
      <c r="R3885" s="33">
        <f t="shared" ref="R3885:R3948" si="372">ROUNDDOWN(Q3885,-2)</f>
        <v>14100</v>
      </c>
      <c r="T3885" s="12"/>
      <c r="U3885" s="12"/>
      <c r="V3885" s="12"/>
      <c r="W3885" s="12"/>
    </row>
    <row r="3886" spans="1:23" s="6" customFormat="1" ht="21.95" customHeight="1" x14ac:dyDescent="0.2">
      <c r="A3886" s="6" t="s">
        <v>943</v>
      </c>
      <c r="B3886" s="6" t="s">
        <v>1597</v>
      </c>
      <c r="C3886" s="6" t="s">
        <v>1383</v>
      </c>
      <c r="D3886" s="6" t="s">
        <v>943</v>
      </c>
      <c r="G3886" s="6">
        <v>90</v>
      </c>
      <c r="H3886" s="6">
        <v>190</v>
      </c>
      <c r="I3886" s="9"/>
      <c r="J3886" s="9"/>
      <c r="K3886" s="9">
        <v>44008109</v>
      </c>
      <c r="L3886" s="6" t="str">
        <f t="shared" si="370"/>
        <v>1D  BELLA YATAK  90x190</v>
      </c>
      <c r="M3886" s="12">
        <v>0.5</v>
      </c>
      <c r="N3886" s="12">
        <v>0.5</v>
      </c>
      <c r="O3886" s="12">
        <v>10400</v>
      </c>
      <c r="P3886" s="12">
        <f t="shared" si="371"/>
        <v>5200</v>
      </c>
      <c r="Q3886" s="12">
        <f t="shared" si="369"/>
        <v>10920</v>
      </c>
      <c r="R3886" s="33">
        <f t="shared" si="372"/>
        <v>10900</v>
      </c>
      <c r="T3886" s="12"/>
      <c r="U3886" s="12"/>
      <c r="V3886" s="12"/>
      <c r="W3886" s="12"/>
    </row>
    <row r="3887" spans="1:23" s="6" customFormat="1" ht="21.95" customHeight="1" x14ac:dyDescent="0.2">
      <c r="A3887" s="6" t="s">
        <v>943</v>
      </c>
      <c r="B3887" s="6" t="s">
        <v>1597</v>
      </c>
      <c r="C3887" s="6" t="s">
        <v>1383</v>
      </c>
      <c r="D3887" s="6" t="s">
        <v>943</v>
      </c>
      <c r="G3887" s="6">
        <v>90</v>
      </c>
      <c r="H3887" s="6">
        <v>200</v>
      </c>
      <c r="I3887" s="9"/>
      <c r="J3887" s="9"/>
      <c r="K3887" s="9">
        <v>44008110</v>
      </c>
      <c r="L3887" s="6" t="str">
        <f t="shared" si="370"/>
        <v>1D  BELLA YATAK  90x200</v>
      </c>
      <c r="M3887" s="12">
        <v>0.5</v>
      </c>
      <c r="N3887" s="12">
        <v>0.5</v>
      </c>
      <c r="O3887" s="12">
        <v>10900</v>
      </c>
      <c r="P3887" s="12">
        <f t="shared" si="371"/>
        <v>5450</v>
      </c>
      <c r="Q3887" s="12">
        <f t="shared" si="369"/>
        <v>11445</v>
      </c>
      <c r="R3887" s="33">
        <f t="shared" si="372"/>
        <v>11400</v>
      </c>
      <c r="T3887" s="12"/>
      <c r="U3887" s="12"/>
      <c r="V3887" s="12"/>
      <c r="W3887" s="12"/>
    </row>
    <row r="3888" spans="1:23" s="6" customFormat="1" ht="21.95" customHeight="1" x14ac:dyDescent="0.2">
      <c r="A3888" s="6" t="s">
        <v>943</v>
      </c>
      <c r="B3888" s="6" t="s">
        <v>1597</v>
      </c>
      <c r="C3888" s="6" t="s">
        <v>1383</v>
      </c>
      <c r="D3888" s="6" t="s">
        <v>943</v>
      </c>
      <c r="G3888" s="6">
        <v>100</v>
      </c>
      <c r="H3888" s="6">
        <v>200</v>
      </c>
      <c r="I3888" s="9"/>
      <c r="J3888" s="9"/>
      <c r="K3888" s="9">
        <v>44008111</v>
      </c>
      <c r="L3888" s="6" t="str">
        <f t="shared" si="370"/>
        <v>1D  BELLA YATAK  100x200</v>
      </c>
      <c r="M3888" s="12">
        <v>0.5</v>
      </c>
      <c r="N3888" s="12">
        <v>0.5</v>
      </c>
      <c r="O3888" s="12">
        <v>12100</v>
      </c>
      <c r="P3888" s="12">
        <f t="shared" si="371"/>
        <v>6050</v>
      </c>
      <c r="Q3888" s="12">
        <f t="shared" si="369"/>
        <v>12705</v>
      </c>
      <c r="R3888" s="33">
        <f t="shared" si="372"/>
        <v>12700</v>
      </c>
      <c r="T3888" s="12"/>
      <c r="U3888" s="12"/>
      <c r="V3888" s="12"/>
      <c r="W3888" s="12"/>
    </row>
    <row r="3889" spans="1:23" s="6" customFormat="1" ht="21.95" customHeight="1" x14ac:dyDescent="0.2">
      <c r="A3889" s="6" t="s">
        <v>943</v>
      </c>
      <c r="B3889" s="6" t="s">
        <v>1597</v>
      </c>
      <c r="C3889" s="6" t="s">
        <v>1383</v>
      </c>
      <c r="D3889" s="6" t="s">
        <v>943</v>
      </c>
      <c r="G3889" s="6">
        <v>120</v>
      </c>
      <c r="H3889" s="6">
        <v>200</v>
      </c>
      <c r="I3889" s="9"/>
      <c r="J3889" s="9"/>
      <c r="K3889" s="9">
        <v>44008112</v>
      </c>
      <c r="L3889" s="6" t="str">
        <f t="shared" si="370"/>
        <v>1D  BELLA YATAK  120x200</v>
      </c>
      <c r="M3889" s="12">
        <v>0.5</v>
      </c>
      <c r="N3889" s="12">
        <v>0.5</v>
      </c>
      <c r="O3889" s="12">
        <v>14600</v>
      </c>
      <c r="P3889" s="12">
        <f t="shared" si="371"/>
        <v>7300</v>
      </c>
      <c r="Q3889" s="12">
        <f t="shared" si="369"/>
        <v>15330</v>
      </c>
      <c r="R3889" s="33">
        <f t="shared" si="372"/>
        <v>15300</v>
      </c>
      <c r="T3889" s="12"/>
      <c r="U3889" s="12"/>
      <c r="V3889" s="12"/>
      <c r="W3889" s="12"/>
    </row>
    <row r="3890" spans="1:23" s="6" customFormat="1" ht="21.95" customHeight="1" x14ac:dyDescent="0.2">
      <c r="A3890" s="6" t="s">
        <v>943</v>
      </c>
      <c r="B3890" s="6" t="s">
        <v>1597</v>
      </c>
      <c r="C3890" s="6" t="s">
        <v>1383</v>
      </c>
      <c r="D3890" s="6" t="s">
        <v>943</v>
      </c>
      <c r="G3890" s="6">
        <v>140</v>
      </c>
      <c r="H3890" s="6">
        <v>200</v>
      </c>
      <c r="I3890" s="9"/>
      <c r="J3890" s="9"/>
      <c r="K3890" s="9">
        <v>44008113</v>
      </c>
      <c r="L3890" s="6" t="str">
        <f t="shared" si="370"/>
        <v>1D  BELLA YATAK  140x200</v>
      </c>
      <c r="M3890" s="12">
        <v>0.5</v>
      </c>
      <c r="N3890" s="12">
        <v>0.5</v>
      </c>
      <c r="O3890" s="12">
        <v>17000</v>
      </c>
      <c r="P3890" s="12">
        <f t="shared" si="371"/>
        <v>8500</v>
      </c>
      <c r="Q3890" s="12">
        <f t="shared" si="369"/>
        <v>17850</v>
      </c>
      <c r="R3890" s="33">
        <f t="shared" si="372"/>
        <v>17800</v>
      </c>
      <c r="T3890" s="12"/>
      <c r="U3890" s="12"/>
      <c r="V3890" s="12"/>
      <c r="W3890" s="12"/>
    </row>
    <row r="3891" spans="1:23" s="6" customFormat="1" ht="21.95" customHeight="1" x14ac:dyDescent="0.2">
      <c r="A3891" s="6" t="s">
        <v>943</v>
      </c>
      <c r="B3891" s="6" t="s">
        <v>1597</v>
      </c>
      <c r="C3891" s="6" t="s">
        <v>1383</v>
      </c>
      <c r="D3891" s="6" t="s">
        <v>943</v>
      </c>
      <c r="G3891" s="6">
        <v>150</v>
      </c>
      <c r="H3891" s="6">
        <v>200</v>
      </c>
      <c r="I3891" s="9"/>
      <c r="J3891" s="9"/>
      <c r="K3891" s="9">
        <v>44008114</v>
      </c>
      <c r="L3891" s="6" t="str">
        <f t="shared" si="370"/>
        <v>1D  BELLA YATAK  150x200</v>
      </c>
      <c r="M3891" s="12">
        <v>0.5</v>
      </c>
      <c r="N3891" s="12">
        <v>0.5</v>
      </c>
      <c r="O3891" s="12">
        <v>18200</v>
      </c>
      <c r="P3891" s="12">
        <f t="shared" si="371"/>
        <v>9100</v>
      </c>
      <c r="Q3891" s="12">
        <f t="shared" si="369"/>
        <v>19110</v>
      </c>
      <c r="R3891" s="33">
        <f t="shared" si="372"/>
        <v>19100</v>
      </c>
      <c r="T3891" s="12"/>
      <c r="U3891" s="12"/>
      <c r="V3891" s="12"/>
      <c r="W3891" s="12"/>
    </row>
    <row r="3892" spans="1:23" s="6" customFormat="1" ht="21.95" customHeight="1" x14ac:dyDescent="0.2">
      <c r="A3892" s="6" t="s">
        <v>943</v>
      </c>
      <c r="B3892" s="6" t="s">
        <v>1597</v>
      </c>
      <c r="C3892" s="6" t="s">
        <v>1383</v>
      </c>
      <c r="D3892" s="6" t="s">
        <v>943</v>
      </c>
      <c r="G3892" s="6">
        <v>160</v>
      </c>
      <c r="H3892" s="6">
        <v>200</v>
      </c>
      <c r="I3892" s="9"/>
      <c r="J3892" s="9"/>
      <c r="K3892" s="9">
        <v>44008115</v>
      </c>
      <c r="L3892" s="6" t="str">
        <f t="shared" si="370"/>
        <v>1D  BELLA YATAK  160x200</v>
      </c>
      <c r="M3892" s="12">
        <v>0.5</v>
      </c>
      <c r="N3892" s="12">
        <v>0.5</v>
      </c>
      <c r="O3892" s="12">
        <v>19400</v>
      </c>
      <c r="P3892" s="12">
        <f t="shared" si="371"/>
        <v>9700</v>
      </c>
      <c r="Q3892" s="12">
        <f t="shared" si="369"/>
        <v>20370</v>
      </c>
      <c r="R3892" s="33">
        <f t="shared" si="372"/>
        <v>20300</v>
      </c>
      <c r="T3892" s="12"/>
      <c r="U3892" s="12"/>
      <c r="V3892" s="12"/>
      <c r="W3892" s="12"/>
    </row>
    <row r="3893" spans="1:23" s="6" customFormat="1" ht="21.95" customHeight="1" x14ac:dyDescent="0.2">
      <c r="A3893" s="6" t="s">
        <v>943</v>
      </c>
      <c r="B3893" s="6" t="s">
        <v>1597</v>
      </c>
      <c r="C3893" s="6" t="s">
        <v>1383</v>
      </c>
      <c r="D3893" s="6" t="s">
        <v>943</v>
      </c>
      <c r="G3893" s="6">
        <v>180</v>
      </c>
      <c r="H3893" s="6">
        <v>200</v>
      </c>
      <c r="I3893" s="9"/>
      <c r="J3893" s="9"/>
      <c r="K3893" s="9">
        <v>44008116</v>
      </c>
      <c r="L3893" s="6" t="str">
        <f t="shared" si="370"/>
        <v>1D  BELLA YATAK  180x200</v>
      </c>
      <c r="M3893" s="12">
        <v>0.5</v>
      </c>
      <c r="N3893" s="12">
        <v>0.5</v>
      </c>
      <c r="O3893" s="12">
        <v>21800</v>
      </c>
      <c r="P3893" s="12">
        <f t="shared" si="371"/>
        <v>10900</v>
      </c>
      <c r="Q3893" s="12">
        <f t="shared" si="369"/>
        <v>22890</v>
      </c>
      <c r="R3893" s="33">
        <f t="shared" si="372"/>
        <v>22800</v>
      </c>
      <c r="T3893" s="12"/>
      <c r="U3893" s="12"/>
      <c r="V3893" s="12"/>
      <c r="W3893" s="12"/>
    </row>
    <row r="3894" spans="1:23" s="6" customFormat="1" ht="21.95" customHeight="1" x14ac:dyDescent="0.2">
      <c r="A3894" s="6" t="s">
        <v>943</v>
      </c>
      <c r="B3894" s="6" t="s">
        <v>1597</v>
      </c>
      <c r="C3894" s="6" t="s">
        <v>1383</v>
      </c>
      <c r="D3894" s="6" t="s">
        <v>1380</v>
      </c>
      <c r="I3894" s="9"/>
      <c r="J3894" s="9"/>
      <c r="K3894" s="9">
        <v>44008117</v>
      </c>
      <c r="L3894" s="6" t="str">
        <f>B3894&amp;" "&amp;C3894&amp;" "&amp;D3894&amp;" "&amp;G3894</f>
        <v xml:space="preserve">1D  BELLA KOMODİN (2 ADET) </v>
      </c>
      <c r="M3894" s="12">
        <v>0.5</v>
      </c>
      <c r="N3894" s="12">
        <v>0.5</v>
      </c>
      <c r="O3894" s="12">
        <v>13200</v>
      </c>
      <c r="P3894" s="12">
        <f t="shared" si="371"/>
        <v>6600</v>
      </c>
      <c r="Q3894" s="12">
        <f t="shared" si="369"/>
        <v>13860</v>
      </c>
      <c r="R3894" s="33">
        <f t="shared" si="372"/>
        <v>13800</v>
      </c>
      <c r="T3894" s="12"/>
      <c r="U3894" s="12"/>
      <c r="V3894" s="12"/>
      <c r="W3894" s="12"/>
    </row>
    <row r="3895" spans="1:23" s="6" customFormat="1" ht="21.95" customHeight="1" x14ac:dyDescent="0.2">
      <c r="A3895" s="6" t="s">
        <v>943</v>
      </c>
      <c r="B3895" s="6" t="s">
        <v>1597</v>
      </c>
      <c r="C3895" s="6" t="s">
        <v>1384</v>
      </c>
      <c r="D3895" s="6" t="s">
        <v>989</v>
      </c>
      <c r="G3895" s="6">
        <v>90</v>
      </c>
      <c r="H3895" s="6">
        <v>190</v>
      </c>
      <c r="I3895" s="9"/>
      <c r="J3895" s="9"/>
      <c r="K3895" s="9">
        <v>44008118</v>
      </c>
      <c r="L3895" s="6" t="str">
        <f t="shared" ref="L3895:L3918" si="373">B3895&amp;" "&amp;C3895&amp;" "&amp;D3895&amp;" "&amp;G3895&amp;"x"&amp;H3895</f>
        <v>1D  BEST  BAZA  90x190</v>
      </c>
      <c r="M3895" s="12">
        <v>0.5</v>
      </c>
      <c r="N3895" s="12">
        <v>0.5</v>
      </c>
      <c r="O3895" s="12">
        <v>8800</v>
      </c>
      <c r="P3895" s="12">
        <f t="shared" si="371"/>
        <v>4400</v>
      </c>
      <c r="Q3895" s="12">
        <f t="shared" si="369"/>
        <v>9240</v>
      </c>
      <c r="R3895" s="33">
        <f t="shared" si="372"/>
        <v>9200</v>
      </c>
      <c r="T3895" s="12"/>
      <c r="U3895" s="12"/>
      <c r="V3895" s="12"/>
      <c r="W3895" s="12"/>
    </row>
    <row r="3896" spans="1:23" s="6" customFormat="1" ht="21.95" customHeight="1" x14ac:dyDescent="0.2">
      <c r="A3896" s="6" t="s">
        <v>943</v>
      </c>
      <c r="B3896" s="6" t="s">
        <v>1597</v>
      </c>
      <c r="C3896" s="6" t="s">
        <v>1384</v>
      </c>
      <c r="D3896" s="6" t="s">
        <v>989</v>
      </c>
      <c r="G3896" s="6">
        <v>90</v>
      </c>
      <c r="H3896" s="6">
        <v>200</v>
      </c>
      <c r="I3896" s="9"/>
      <c r="J3896" s="9"/>
      <c r="K3896" s="9">
        <v>44008119</v>
      </c>
      <c r="L3896" s="6" t="str">
        <f t="shared" si="373"/>
        <v>1D  BEST  BAZA  90x200</v>
      </c>
      <c r="M3896" s="12">
        <v>0.5</v>
      </c>
      <c r="N3896" s="12">
        <v>0.5</v>
      </c>
      <c r="O3896" s="12">
        <v>9300</v>
      </c>
      <c r="P3896" s="12">
        <f t="shared" si="371"/>
        <v>4650</v>
      </c>
      <c r="Q3896" s="12">
        <f t="shared" si="369"/>
        <v>9765</v>
      </c>
      <c r="R3896" s="33">
        <f t="shared" si="372"/>
        <v>9700</v>
      </c>
      <c r="T3896" s="12"/>
      <c r="U3896" s="12"/>
      <c r="V3896" s="12"/>
      <c r="W3896" s="12"/>
    </row>
    <row r="3897" spans="1:23" s="6" customFormat="1" ht="21.95" customHeight="1" x14ac:dyDescent="0.2">
      <c r="A3897" s="6" t="s">
        <v>943</v>
      </c>
      <c r="B3897" s="6" t="s">
        <v>1597</v>
      </c>
      <c r="C3897" s="6" t="s">
        <v>1384</v>
      </c>
      <c r="D3897" s="6" t="s">
        <v>989</v>
      </c>
      <c r="G3897" s="6">
        <v>100</v>
      </c>
      <c r="H3897" s="6">
        <v>200</v>
      </c>
      <c r="I3897" s="9"/>
      <c r="J3897" s="9"/>
      <c r="K3897" s="9">
        <v>44008120</v>
      </c>
      <c r="L3897" s="6" t="str">
        <f t="shared" si="373"/>
        <v>1D  BEST  BAZA  100x200</v>
      </c>
      <c r="M3897" s="12">
        <v>0.5</v>
      </c>
      <c r="N3897" s="12">
        <v>0.5</v>
      </c>
      <c r="O3897" s="12">
        <v>10300</v>
      </c>
      <c r="P3897" s="12">
        <f t="shared" si="371"/>
        <v>5150</v>
      </c>
      <c r="Q3897" s="12">
        <f t="shared" si="369"/>
        <v>10815</v>
      </c>
      <c r="R3897" s="33">
        <f t="shared" si="372"/>
        <v>10800</v>
      </c>
      <c r="T3897" s="12"/>
      <c r="U3897" s="12"/>
      <c r="V3897" s="12"/>
      <c r="W3897" s="12"/>
    </row>
    <row r="3898" spans="1:23" s="6" customFormat="1" ht="21.95" customHeight="1" x14ac:dyDescent="0.2">
      <c r="A3898" s="6" t="s">
        <v>943</v>
      </c>
      <c r="B3898" s="6" t="s">
        <v>1597</v>
      </c>
      <c r="C3898" s="6" t="s">
        <v>1384</v>
      </c>
      <c r="D3898" s="6" t="s">
        <v>989</v>
      </c>
      <c r="G3898" s="6">
        <v>120</v>
      </c>
      <c r="H3898" s="6">
        <v>200</v>
      </c>
      <c r="I3898" s="9"/>
      <c r="J3898" s="9"/>
      <c r="K3898" s="9">
        <v>44008121</v>
      </c>
      <c r="L3898" s="6" t="str">
        <f t="shared" si="373"/>
        <v>1D  BEST  BAZA  120x200</v>
      </c>
      <c r="M3898" s="12">
        <v>0.5</v>
      </c>
      <c r="N3898" s="12">
        <v>0.5</v>
      </c>
      <c r="O3898" s="12">
        <v>12400</v>
      </c>
      <c r="P3898" s="12">
        <f t="shared" si="371"/>
        <v>6200</v>
      </c>
      <c r="Q3898" s="12">
        <f t="shared" si="369"/>
        <v>13020</v>
      </c>
      <c r="R3898" s="33">
        <f t="shared" si="372"/>
        <v>13000</v>
      </c>
      <c r="T3898" s="12"/>
      <c r="U3898" s="12"/>
      <c r="V3898" s="12"/>
      <c r="W3898" s="12"/>
    </row>
    <row r="3899" spans="1:23" s="6" customFormat="1" ht="21.95" customHeight="1" x14ac:dyDescent="0.2">
      <c r="A3899" s="6" t="s">
        <v>943</v>
      </c>
      <c r="B3899" s="6" t="s">
        <v>1597</v>
      </c>
      <c r="C3899" s="6" t="s">
        <v>1384</v>
      </c>
      <c r="D3899" s="6" t="s">
        <v>989</v>
      </c>
      <c r="G3899" s="6">
        <v>140</v>
      </c>
      <c r="H3899" s="6">
        <v>200</v>
      </c>
      <c r="I3899" s="9"/>
      <c r="J3899" s="9"/>
      <c r="K3899" s="9">
        <v>44008122</v>
      </c>
      <c r="L3899" s="6" t="str">
        <f t="shared" si="373"/>
        <v>1D  BEST  BAZA  140x200</v>
      </c>
      <c r="M3899" s="12">
        <v>0.5</v>
      </c>
      <c r="N3899" s="12">
        <v>0.5</v>
      </c>
      <c r="O3899" s="12">
        <v>14400</v>
      </c>
      <c r="P3899" s="12">
        <f t="shared" si="371"/>
        <v>7200</v>
      </c>
      <c r="Q3899" s="12">
        <f t="shared" si="369"/>
        <v>15120</v>
      </c>
      <c r="R3899" s="33">
        <f t="shared" si="372"/>
        <v>15100</v>
      </c>
      <c r="T3899" s="12"/>
      <c r="U3899" s="12"/>
      <c r="V3899" s="12"/>
      <c r="W3899" s="12"/>
    </row>
    <row r="3900" spans="1:23" s="6" customFormat="1" ht="21.95" customHeight="1" x14ac:dyDescent="0.2">
      <c r="A3900" s="6" t="s">
        <v>943</v>
      </c>
      <c r="B3900" s="6" t="s">
        <v>1597</v>
      </c>
      <c r="C3900" s="6" t="s">
        <v>1384</v>
      </c>
      <c r="D3900" s="6" t="s">
        <v>989</v>
      </c>
      <c r="G3900" s="6">
        <v>150</v>
      </c>
      <c r="H3900" s="6">
        <v>200</v>
      </c>
      <c r="I3900" s="9"/>
      <c r="J3900" s="9"/>
      <c r="K3900" s="9">
        <v>44008123</v>
      </c>
      <c r="L3900" s="6" t="str">
        <f t="shared" si="373"/>
        <v>1D  BEST  BAZA  150x200</v>
      </c>
      <c r="M3900" s="12">
        <v>0.5</v>
      </c>
      <c r="N3900" s="12">
        <v>0.5</v>
      </c>
      <c r="O3900" s="12">
        <v>15500</v>
      </c>
      <c r="P3900" s="12">
        <f t="shared" si="371"/>
        <v>7750</v>
      </c>
      <c r="Q3900" s="12">
        <f t="shared" si="369"/>
        <v>16275</v>
      </c>
      <c r="R3900" s="33">
        <f t="shared" si="372"/>
        <v>16200</v>
      </c>
      <c r="T3900" s="12"/>
      <c r="U3900" s="12"/>
      <c r="V3900" s="12"/>
      <c r="W3900" s="12"/>
    </row>
    <row r="3901" spans="1:23" s="6" customFormat="1" ht="21.95" customHeight="1" x14ac:dyDescent="0.2">
      <c r="A3901" s="6" t="s">
        <v>943</v>
      </c>
      <c r="B3901" s="6" t="s">
        <v>1597</v>
      </c>
      <c r="C3901" s="6" t="s">
        <v>1384</v>
      </c>
      <c r="D3901" s="6" t="s">
        <v>989</v>
      </c>
      <c r="G3901" s="6">
        <v>160</v>
      </c>
      <c r="H3901" s="6">
        <v>200</v>
      </c>
      <c r="I3901" s="9"/>
      <c r="J3901" s="9"/>
      <c r="K3901" s="9">
        <v>44008124</v>
      </c>
      <c r="L3901" s="6" t="str">
        <f t="shared" si="373"/>
        <v>1D  BEST  BAZA  160x200</v>
      </c>
      <c r="M3901" s="12">
        <v>0.5</v>
      </c>
      <c r="N3901" s="12">
        <v>0.5</v>
      </c>
      <c r="O3901" s="12">
        <v>16500</v>
      </c>
      <c r="P3901" s="12">
        <f t="shared" si="371"/>
        <v>8250</v>
      </c>
      <c r="Q3901" s="12">
        <f t="shared" si="369"/>
        <v>17325</v>
      </c>
      <c r="R3901" s="33">
        <f t="shared" si="372"/>
        <v>17300</v>
      </c>
      <c r="T3901" s="12"/>
      <c r="U3901" s="12"/>
      <c r="V3901" s="12"/>
      <c r="W3901" s="12"/>
    </row>
    <row r="3902" spans="1:23" s="6" customFormat="1" ht="21.95" customHeight="1" x14ac:dyDescent="0.2">
      <c r="A3902" s="6" t="s">
        <v>943</v>
      </c>
      <c r="B3902" s="6" t="s">
        <v>1597</v>
      </c>
      <c r="C3902" s="6" t="s">
        <v>1384</v>
      </c>
      <c r="D3902" s="6" t="s">
        <v>989</v>
      </c>
      <c r="G3902" s="6">
        <v>180</v>
      </c>
      <c r="H3902" s="6">
        <v>200</v>
      </c>
      <c r="I3902" s="9"/>
      <c r="J3902" s="9"/>
      <c r="K3902" s="9">
        <v>44008125</v>
      </c>
      <c r="L3902" s="6" t="str">
        <f t="shared" si="373"/>
        <v>1D  BEST  BAZA  180x200</v>
      </c>
      <c r="M3902" s="12">
        <v>0.5</v>
      </c>
      <c r="N3902" s="12">
        <v>0.5</v>
      </c>
      <c r="O3902" s="12">
        <v>18600</v>
      </c>
      <c r="P3902" s="12">
        <f t="shared" si="371"/>
        <v>9300</v>
      </c>
      <c r="Q3902" s="12">
        <f t="shared" si="369"/>
        <v>19530</v>
      </c>
      <c r="R3902" s="33">
        <f t="shared" si="372"/>
        <v>19500</v>
      </c>
      <c r="T3902" s="12"/>
      <c r="U3902" s="12"/>
      <c r="V3902" s="12"/>
      <c r="W3902" s="12"/>
    </row>
    <row r="3903" spans="1:23" s="6" customFormat="1" ht="21.95" customHeight="1" x14ac:dyDescent="0.2">
      <c r="A3903" s="6" t="s">
        <v>943</v>
      </c>
      <c r="B3903" s="6" t="s">
        <v>1597</v>
      </c>
      <c r="C3903" s="6" t="s">
        <v>1384</v>
      </c>
      <c r="D3903" s="6" t="s">
        <v>1003</v>
      </c>
      <c r="G3903" s="6">
        <v>90</v>
      </c>
      <c r="H3903" s="6">
        <v>190</v>
      </c>
      <c r="I3903" s="9"/>
      <c r="J3903" s="9"/>
      <c r="K3903" s="9">
        <v>44008126</v>
      </c>
      <c r="L3903" s="6" t="str">
        <f t="shared" si="373"/>
        <v>1D  BEST  BAŞLIK  90x190</v>
      </c>
      <c r="M3903" s="12">
        <v>0.5</v>
      </c>
      <c r="N3903" s="12">
        <v>0.5</v>
      </c>
      <c r="O3903" s="12">
        <v>4600</v>
      </c>
      <c r="P3903" s="12">
        <f t="shared" si="371"/>
        <v>2300</v>
      </c>
      <c r="Q3903" s="12">
        <f t="shared" si="369"/>
        <v>4830</v>
      </c>
      <c r="R3903" s="33">
        <f t="shared" si="372"/>
        <v>4800</v>
      </c>
      <c r="T3903" s="12"/>
      <c r="U3903" s="12"/>
      <c r="V3903" s="12"/>
      <c r="W3903" s="12"/>
    </row>
    <row r="3904" spans="1:23" s="6" customFormat="1" ht="21.95" customHeight="1" x14ac:dyDescent="0.2">
      <c r="A3904" s="6" t="s">
        <v>943</v>
      </c>
      <c r="B3904" s="6" t="s">
        <v>1597</v>
      </c>
      <c r="C3904" s="6" t="s">
        <v>1384</v>
      </c>
      <c r="D3904" s="6" t="s">
        <v>1003</v>
      </c>
      <c r="G3904" s="6">
        <v>90</v>
      </c>
      <c r="H3904" s="6">
        <v>200</v>
      </c>
      <c r="I3904" s="9"/>
      <c r="J3904" s="9"/>
      <c r="K3904" s="9">
        <v>44008127</v>
      </c>
      <c r="L3904" s="6" t="str">
        <f t="shared" si="373"/>
        <v>1D  BEST  BAŞLIK  90x200</v>
      </c>
      <c r="M3904" s="12">
        <v>0.5</v>
      </c>
      <c r="N3904" s="12">
        <v>0.5</v>
      </c>
      <c r="O3904" s="12">
        <v>4800</v>
      </c>
      <c r="P3904" s="12">
        <f t="shared" si="371"/>
        <v>2400</v>
      </c>
      <c r="Q3904" s="12">
        <f t="shared" si="369"/>
        <v>5040</v>
      </c>
      <c r="R3904" s="33">
        <f t="shared" si="372"/>
        <v>5000</v>
      </c>
      <c r="T3904" s="12"/>
      <c r="U3904" s="12"/>
      <c r="V3904" s="12"/>
      <c r="W3904" s="12"/>
    </row>
    <row r="3905" spans="1:23" s="6" customFormat="1" ht="21.95" customHeight="1" x14ac:dyDescent="0.2">
      <c r="A3905" s="6" t="s">
        <v>943</v>
      </c>
      <c r="B3905" s="6" t="s">
        <v>1597</v>
      </c>
      <c r="C3905" s="6" t="s">
        <v>1384</v>
      </c>
      <c r="D3905" s="6" t="s">
        <v>1003</v>
      </c>
      <c r="G3905" s="6">
        <v>100</v>
      </c>
      <c r="H3905" s="6">
        <v>200</v>
      </c>
      <c r="I3905" s="9"/>
      <c r="J3905" s="9"/>
      <c r="K3905" s="9">
        <v>44008128</v>
      </c>
      <c r="L3905" s="6" t="str">
        <f t="shared" si="373"/>
        <v>1D  BEST  BAŞLIK  100x200</v>
      </c>
      <c r="M3905" s="12">
        <v>0.5</v>
      </c>
      <c r="N3905" s="12">
        <v>0.5</v>
      </c>
      <c r="O3905" s="12">
        <v>5400</v>
      </c>
      <c r="P3905" s="12">
        <f t="shared" si="371"/>
        <v>2700</v>
      </c>
      <c r="Q3905" s="12">
        <f t="shared" si="369"/>
        <v>5670</v>
      </c>
      <c r="R3905" s="33">
        <f t="shared" si="372"/>
        <v>5600</v>
      </c>
      <c r="T3905" s="12"/>
      <c r="U3905" s="12"/>
      <c r="V3905" s="12"/>
      <c r="W3905" s="12"/>
    </row>
    <row r="3906" spans="1:23" s="6" customFormat="1" ht="21.95" customHeight="1" x14ac:dyDescent="0.2">
      <c r="A3906" s="6" t="s">
        <v>943</v>
      </c>
      <c r="B3906" s="6" t="s">
        <v>1597</v>
      </c>
      <c r="C3906" s="6" t="s">
        <v>1384</v>
      </c>
      <c r="D3906" s="6" t="s">
        <v>1003</v>
      </c>
      <c r="G3906" s="6">
        <v>120</v>
      </c>
      <c r="H3906" s="6">
        <v>200</v>
      </c>
      <c r="I3906" s="9"/>
      <c r="J3906" s="9"/>
      <c r="K3906" s="9">
        <v>44008129</v>
      </c>
      <c r="L3906" s="6" t="str">
        <f t="shared" si="373"/>
        <v>1D  BEST  BAŞLIK  120x200</v>
      </c>
      <c r="M3906" s="12">
        <v>0.5</v>
      </c>
      <c r="N3906" s="12">
        <v>0.5</v>
      </c>
      <c r="O3906" s="12">
        <v>6500</v>
      </c>
      <c r="P3906" s="12">
        <f t="shared" si="371"/>
        <v>3250</v>
      </c>
      <c r="Q3906" s="12">
        <f t="shared" si="369"/>
        <v>6825</v>
      </c>
      <c r="R3906" s="33">
        <f t="shared" si="372"/>
        <v>6800</v>
      </c>
      <c r="T3906" s="12"/>
      <c r="U3906" s="12"/>
      <c r="V3906" s="12"/>
      <c r="W3906" s="12"/>
    </row>
    <row r="3907" spans="1:23" s="6" customFormat="1" ht="21.95" customHeight="1" x14ac:dyDescent="0.2">
      <c r="A3907" s="6" t="s">
        <v>943</v>
      </c>
      <c r="B3907" s="6" t="s">
        <v>1597</v>
      </c>
      <c r="C3907" s="6" t="s">
        <v>1384</v>
      </c>
      <c r="D3907" s="6" t="s">
        <v>1003</v>
      </c>
      <c r="G3907" s="6">
        <v>140</v>
      </c>
      <c r="H3907" s="6">
        <v>200</v>
      </c>
      <c r="I3907" s="9"/>
      <c r="J3907" s="9"/>
      <c r="K3907" s="9">
        <v>44008130</v>
      </c>
      <c r="L3907" s="6" t="str">
        <f t="shared" si="373"/>
        <v>1D  BEST  BAŞLIK  140x200</v>
      </c>
      <c r="M3907" s="12">
        <v>0.5</v>
      </c>
      <c r="N3907" s="12">
        <v>0.5</v>
      </c>
      <c r="O3907" s="12">
        <v>7500</v>
      </c>
      <c r="P3907" s="12">
        <f t="shared" si="371"/>
        <v>3750</v>
      </c>
      <c r="Q3907" s="12">
        <f t="shared" si="369"/>
        <v>7875</v>
      </c>
      <c r="R3907" s="33">
        <f t="shared" si="372"/>
        <v>7800</v>
      </c>
      <c r="T3907" s="12"/>
      <c r="U3907" s="12"/>
      <c r="V3907" s="12"/>
      <c r="W3907" s="12"/>
    </row>
    <row r="3908" spans="1:23" s="6" customFormat="1" ht="21.95" customHeight="1" x14ac:dyDescent="0.2">
      <c r="A3908" s="6" t="s">
        <v>943</v>
      </c>
      <c r="B3908" s="6" t="s">
        <v>1597</v>
      </c>
      <c r="C3908" s="6" t="s">
        <v>1384</v>
      </c>
      <c r="D3908" s="6" t="s">
        <v>1003</v>
      </c>
      <c r="G3908" s="6">
        <v>150</v>
      </c>
      <c r="H3908" s="6">
        <v>200</v>
      </c>
      <c r="I3908" s="9"/>
      <c r="J3908" s="9"/>
      <c r="K3908" s="9">
        <v>44008131</v>
      </c>
      <c r="L3908" s="6" t="str">
        <f t="shared" si="373"/>
        <v>1D  BEST  BAŞLIK  150x200</v>
      </c>
      <c r="M3908" s="12">
        <v>0.5</v>
      </c>
      <c r="N3908" s="12">
        <v>0.5</v>
      </c>
      <c r="O3908" s="12">
        <v>8100</v>
      </c>
      <c r="P3908" s="12">
        <f t="shared" si="371"/>
        <v>4050</v>
      </c>
      <c r="Q3908" s="12">
        <f t="shared" si="369"/>
        <v>8505</v>
      </c>
      <c r="R3908" s="33">
        <f t="shared" si="372"/>
        <v>8500</v>
      </c>
      <c r="T3908" s="12"/>
      <c r="U3908" s="12"/>
      <c r="V3908" s="12"/>
      <c r="W3908" s="12"/>
    </row>
    <row r="3909" spans="1:23" s="6" customFormat="1" ht="21.95" customHeight="1" x14ac:dyDescent="0.2">
      <c r="A3909" s="6" t="s">
        <v>943</v>
      </c>
      <c r="B3909" s="6" t="s">
        <v>1597</v>
      </c>
      <c r="C3909" s="6" t="s">
        <v>1384</v>
      </c>
      <c r="D3909" s="6" t="s">
        <v>1003</v>
      </c>
      <c r="G3909" s="6">
        <v>160</v>
      </c>
      <c r="H3909" s="6">
        <v>200</v>
      </c>
      <c r="I3909" s="9"/>
      <c r="J3909" s="9"/>
      <c r="K3909" s="9">
        <v>44008132</v>
      </c>
      <c r="L3909" s="6" t="str">
        <f t="shared" si="373"/>
        <v>1D  BEST  BAŞLIK  160x200</v>
      </c>
      <c r="M3909" s="12">
        <v>0.5</v>
      </c>
      <c r="N3909" s="12">
        <v>0.5</v>
      </c>
      <c r="O3909" s="12">
        <v>8600</v>
      </c>
      <c r="P3909" s="12">
        <f t="shared" si="371"/>
        <v>4300</v>
      </c>
      <c r="Q3909" s="12">
        <f t="shared" si="369"/>
        <v>9030</v>
      </c>
      <c r="R3909" s="33">
        <f t="shared" si="372"/>
        <v>9000</v>
      </c>
      <c r="T3909" s="12"/>
      <c r="U3909" s="12"/>
      <c r="V3909" s="12"/>
      <c r="W3909" s="12"/>
    </row>
    <row r="3910" spans="1:23" s="6" customFormat="1" ht="21.95" customHeight="1" x14ac:dyDescent="0.2">
      <c r="A3910" s="6" t="s">
        <v>943</v>
      </c>
      <c r="B3910" s="6" t="s">
        <v>1597</v>
      </c>
      <c r="C3910" s="6" t="s">
        <v>1384</v>
      </c>
      <c r="D3910" s="6" t="s">
        <v>1003</v>
      </c>
      <c r="G3910" s="6">
        <v>180</v>
      </c>
      <c r="H3910" s="6">
        <v>200</v>
      </c>
      <c r="I3910" s="9"/>
      <c r="J3910" s="9"/>
      <c r="K3910" s="9">
        <v>44008133</v>
      </c>
      <c r="L3910" s="6" t="str">
        <f t="shared" si="373"/>
        <v>1D  BEST  BAŞLIK  180x200</v>
      </c>
      <c r="M3910" s="12">
        <v>0.5</v>
      </c>
      <c r="N3910" s="12">
        <v>0.5</v>
      </c>
      <c r="O3910" s="12">
        <v>9700</v>
      </c>
      <c r="P3910" s="12">
        <f t="shared" si="371"/>
        <v>4850</v>
      </c>
      <c r="Q3910" s="12">
        <f t="shared" si="369"/>
        <v>10185</v>
      </c>
      <c r="R3910" s="33">
        <f t="shared" si="372"/>
        <v>10100</v>
      </c>
      <c r="T3910" s="12"/>
      <c r="U3910" s="12"/>
      <c r="V3910" s="12"/>
      <c r="W3910" s="12"/>
    </row>
    <row r="3911" spans="1:23" s="6" customFormat="1" ht="21.95" customHeight="1" x14ac:dyDescent="0.2">
      <c r="A3911" s="6" t="s">
        <v>943</v>
      </c>
      <c r="B3911" s="6" t="s">
        <v>1597</v>
      </c>
      <c r="C3911" s="6" t="s">
        <v>1384</v>
      </c>
      <c r="D3911" s="6" t="s">
        <v>943</v>
      </c>
      <c r="G3911" s="6">
        <v>90</v>
      </c>
      <c r="H3911" s="6">
        <v>190</v>
      </c>
      <c r="I3911" s="9"/>
      <c r="J3911" s="9"/>
      <c r="K3911" s="9">
        <v>44008134</v>
      </c>
      <c r="L3911" s="6" t="str">
        <f t="shared" si="373"/>
        <v>1D  BEST  YATAK  90x190</v>
      </c>
      <c r="M3911" s="12">
        <v>0.5</v>
      </c>
      <c r="N3911" s="12">
        <v>0.5</v>
      </c>
      <c r="O3911" s="12">
        <v>6600</v>
      </c>
      <c r="P3911" s="12">
        <f t="shared" si="371"/>
        <v>3300</v>
      </c>
      <c r="Q3911" s="12">
        <f t="shared" si="369"/>
        <v>6930</v>
      </c>
      <c r="R3911" s="33">
        <f t="shared" si="372"/>
        <v>6900</v>
      </c>
      <c r="T3911" s="12"/>
      <c r="U3911" s="12"/>
      <c r="V3911" s="12"/>
      <c r="W3911" s="12"/>
    </row>
    <row r="3912" spans="1:23" s="6" customFormat="1" ht="21.95" customHeight="1" x14ac:dyDescent="0.2">
      <c r="A3912" s="6" t="s">
        <v>943</v>
      </c>
      <c r="B3912" s="6" t="s">
        <v>1597</v>
      </c>
      <c r="C3912" s="6" t="s">
        <v>1384</v>
      </c>
      <c r="D3912" s="6" t="s">
        <v>943</v>
      </c>
      <c r="G3912" s="6">
        <v>90</v>
      </c>
      <c r="H3912" s="6">
        <v>200</v>
      </c>
      <c r="I3912" s="9"/>
      <c r="J3912" s="9"/>
      <c r="K3912" s="9">
        <v>44008135</v>
      </c>
      <c r="L3912" s="6" t="str">
        <f t="shared" si="373"/>
        <v>1D  BEST  YATAK  90x200</v>
      </c>
      <c r="M3912" s="12">
        <v>0.5</v>
      </c>
      <c r="N3912" s="12">
        <v>0.5</v>
      </c>
      <c r="O3912" s="12">
        <v>7000</v>
      </c>
      <c r="P3912" s="12">
        <f t="shared" si="371"/>
        <v>3500</v>
      </c>
      <c r="Q3912" s="12">
        <f t="shared" si="369"/>
        <v>7350</v>
      </c>
      <c r="R3912" s="33">
        <f t="shared" si="372"/>
        <v>7300</v>
      </c>
      <c r="T3912" s="12"/>
      <c r="U3912" s="12"/>
      <c r="V3912" s="12"/>
      <c r="W3912" s="12"/>
    </row>
    <row r="3913" spans="1:23" s="6" customFormat="1" ht="21.95" customHeight="1" x14ac:dyDescent="0.2">
      <c r="A3913" s="6" t="s">
        <v>943</v>
      </c>
      <c r="B3913" s="6" t="s">
        <v>1597</v>
      </c>
      <c r="C3913" s="6" t="s">
        <v>1384</v>
      </c>
      <c r="D3913" s="6" t="s">
        <v>943</v>
      </c>
      <c r="G3913" s="6">
        <v>100</v>
      </c>
      <c r="H3913" s="6">
        <v>200</v>
      </c>
      <c r="I3913" s="9"/>
      <c r="J3913" s="9"/>
      <c r="K3913" s="9">
        <v>44008136</v>
      </c>
      <c r="L3913" s="6" t="str">
        <f t="shared" si="373"/>
        <v>1D  BEST  YATAK  100x200</v>
      </c>
      <c r="M3913" s="12">
        <v>0.5</v>
      </c>
      <c r="N3913" s="12">
        <v>0.5</v>
      </c>
      <c r="O3913" s="12">
        <v>7800</v>
      </c>
      <c r="P3913" s="12">
        <f t="shared" si="371"/>
        <v>3900</v>
      </c>
      <c r="Q3913" s="12">
        <f t="shared" si="369"/>
        <v>8190</v>
      </c>
      <c r="R3913" s="33">
        <f t="shared" si="372"/>
        <v>8100</v>
      </c>
      <c r="T3913" s="12"/>
      <c r="U3913" s="12"/>
      <c r="V3913" s="12"/>
      <c r="W3913" s="12"/>
    </row>
    <row r="3914" spans="1:23" s="6" customFormat="1" ht="21.95" customHeight="1" x14ac:dyDescent="0.2">
      <c r="A3914" s="6" t="s">
        <v>943</v>
      </c>
      <c r="B3914" s="6" t="s">
        <v>1597</v>
      </c>
      <c r="C3914" s="6" t="s">
        <v>1384</v>
      </c>
      <c r="D3914" s="6" t="s">
        <v>943</v>
      </c>
      <c r="G3914" s="6">
        <v>120</v>
      </c>
      <c r="H3914" s="6">
        <v>200</v>
      </c>
      <c r="I3914" s="9"/>
      <c r="J3914" s="9"/>
      <c r="K3914" s="9">
        <v>44008137</v>
      </c>
      <c r="L3914" s="6" t="str">
        <f t="shared" si="373"/>
        <v>1D  BEST  YATAK  120x200</v>
      </c>
      <c r="M3914" s="12">
        <v>0.5</v>
      </c>
      <c r="N3914" s="12">
        <v>0.5</v>
      </c>
      <c r="O3914" s="12">
        <v>9300</v>
      </c>
      <c r="P3914" s="12">
        <f t="shared" si="371"/>
        <v>4650</v>
      </c>
      <c r="Q3914" s="12">
        <f t="shared" si="369"/>
        <v>9765</v>
      </c>
      <c r="R3914" s="33">
        <f t="shared" si="372"/>
        <v>9700</v>
      </c>
      <c r="T3914" s="12"/>
      <c r="U3914" s="12"/>
      <c r="V3914" s="12"/>
      <c r="W3914" s="12"/>
    </row>
    <row r="3915" spans="1:23" s="6" customFormat="1" ht="21.95" customHeight="1" x14ac:dyDescent="0.2">
      <c r="A3915" s="6" t="s">
        <v>943</v>
      </c>
      <c r="B3915" s="6" t="s">
        <v>1597</v>
      </c>
      <c r="C3915" s="6" t="s">
        <v>1384</v>
      </c>
      <c r="D3915" s="6" t="s">
        <v>943</v>
      </c>
      <c r="G3915" s="6">
        <v>140</v>
      </c>
      <c r="H3915" s="6">
        <v>200</v>
      </c>
      <c r="I3915" s="9"/>
      <c r="J3915" s="9"/>
      <c r="K3915" s="9">
        <v>44008138</v>
      </c>
      <c r="L3915" s="6" t="str">
        <f t="shared" si="373"/>
        <v>1D  BEST  YATAK  140x200</v>
      </c>
      <c r="M3915" s="12">
        <v>0.5</v>
      </c>
      <c r="N3915" s="12">
        <v>0.5</v>
      </c>
      <c r="O3915" s="12">
        <v>10900</v>
      </c>
      <c r="P3915" s="12">
        <f t="shared" si="371"/>
        <v>5450</v>
      </c>
      <c r="Q3915" s="12">
        <f t="shared" si="369"/>
        <v>11445</v>
      </c>
      <c r="R3915" s="33">
        <f t="shared" si="372"/>
        <v>11400</v>
      </c>
      <c r="T3915" s="12"/>
      <c r="U3915" s="12"/>
      <c r="V3915" s="12"/>
      <c r="W3915" s="12"/>
    </row>
    <row r="3916" spans="1:23" s="6" customFormat="1" ht="21.95" customHeight="1" x14ac:dyDescent="0.2">
      <c r="A3916" s="6" t="s">
        <v>943</v>
      </c>
      <c r="B3916" s="6" t="s">
        <v>1597</v>
      </c>
      <c r="C3916" s="6" t="s">
        <v>1384</v>
      </c>
      <c r="D3916" s="6" t="s">
        <v>943</v>
      </c>
      <c r="G3916" s="6">
        <v>150</v>
      </c>
      <c r="H3916" s="6">
        <v>200</v>
      </c>
      <c r="I3916" s="9"/>
      <c r="J3916" s="9"/>
      <c r="K3916" s="9">
        <v>44008139</v>
      </c>
      <c r="L3916" s="6" t="str">
        <f t="shared" si="373"/>
        <v>1D  BEST  YATAK  150x200</v>
      </c>
      <c r="M3916" s="12">
        <v>0.5</v>
      </c>
      <c r="N3916" s="12">
        <v>0.5</v>
      </c>
      <c r="O3916" s="12">
        <v>11600</v>
      </c>
      <c r="P3916" s="12">
        <f t="shared" si="371"/>
        <v>5800</v>
      </c>
      <c r="Q3916" s="12">
        <f t="shared" si="369"/>
        <v>12180</v>
      </c>
      <c r="R3916" s="33">
        <f t="shared" si="372"/>
        <v>12100</v>
      </c>
      <c r="T3916" s="12"/>
      <c r="U3916" s="12"/>
      <c r="V3916" s="12"/>
      <c r="W3916" s="12"/>
    </row>
    <row r="3917" spans="1:23" s="6" customFormat="1" ht="21.95" customHeight="1" x14ac:dyDescent="0.2">
      <c r="A3917" s="6" t="s">
        <v>943</v>
      </c>
      <c r="B3917" s="6" t="s">
        <v>1597</v>
      </c>
      <c r="C3917" s="6" t="s">
        <v>1384</v>
      </c>
      <c r="D3917" s="6" t="s">
        <v>943</v>
      </c>
      <c r="G3917" s="6">
        <v>160</v>
      </c>
      <c r="H3917" s="6">
        <v>200</v>
      </c>
      <c r="I3917" s="9"/>
      <c r="J3917" s="9"/>
      <c r="K3917" s="9">
        <v>44008140</v>
      </c>
      <c r="L3917" s="6" t="str">
        <f t="shared" si="373"/>
        <v>1D  BEST  YATAK  160x200</v>
      </c>
      <c r="M3917" s="12">
        <v>0.5</v>
      </c>
      <c r="N3917" s="12">
        <v>0.5</v>
      </c>
      <c r="O3917" s="12">
        <v>12400</v>
      </c>
      <c r="P3917" s="12">
        <f t="shared" si="371"/>
        <v>6200</v>
      </c>
      <c r="Q3917" s="12">
        <f t="shared" si="369"/>
        <v>13020</v>
      </c>
      <c r="R3917" s="33">
        <f t="shared" si="372"/>
        <v>13000</v>
      </c>
      <c r="T3917" s="12"/>
      <c r="U3917" s="12"/>
      <c r="V3917" s="12"/>
      <c r="W3917" s="12"/>
    </row>
    <row r="3918" spans="1:23" s="6" customFormat="1" ht="21.95" customHeight="1" x14ac:dyDescent="0.2">
      <c r="A3918" s="6" t="s">
        <v>943</v>
      </c>
      <c r="B3918" s="6" t="s">
        <v>1597</v>
      </c>
      <c r="C3918" s="6" t="s">
        <v>1384</v>
      </c>
      <c r="D3918" s="6" t="s">
        <v>943</v>
      </c>
      <c r="G3918" s="6">
        <v>180</v>
      </c>
      <c r="H3918" s="6">
        <v>200</v>
      </c>
      <c r="I3918" s="9"/>
      <c r="J3918" s="9"/>
      <c r="K3918" s="9">
        <v>44008141</v>
      </c>
      <c r="L3918" s="6" t="str">
        <f t="shared" si="373"/>
        <v>1D  BEST  YATAK  180x200</v>
      </c>
      <c r="M3918" s="12">
        <v>0.5</v>
      </c>
      <c r="N3918" s="12">
        <v>0.5</v>
      </c>
      <c r="O3918" s="12">
        <v>14000</v>
      </c>
      <c r="P3918" s="12">
        <f t="shared" si="371"/>
        <v>7000</v>
      </c>
      <c r="Q3918" s="12">
        <f t="shared" si="369"/>
        <v>14700</v>
      </c>
      <c r="R3918" s="33">
        <f t="shared" si="372"/>
        <v>14700</v>
      </c>
      <c r="T3918" s="12"/>
      <c r="U3918" s="12"/>
      <c r="V3918" s="12"/>
      <c r="W3918" s="12"/>
    </row>
    <row r="3919" spans="1:23" s="6" customFormat="1" ht="21.95" customHeight="1" x14ac:dyDescent="0.2">
      <c r="A3919" s="6" t="s">
        <v>943</v>
      </c>
      <c r="B3919" s="6" t="s">
        <v>1597</v>
      </c>
      <c r="C3919" s="6" t="s">
        <v>1384</v>
      </c>
      <c r="D3919" s="6" t="s">
        <v>1380</v>
      </c>
      <c r="I3919" s="9"/>
      <c r="J3919" s="9"/>
      <c r="K3919" s="9">
        <v>44008142</v>
      </c>
      <c r="L3919" s="6" t="str">
        <f>B3919&amp;" "&amp;C3919&amp;" "&amp;D3919</f>
        <v>1D  BEST  KOMODİN (2 ADET)</v>
      </c>
      <c r="M3919" s="12">
        <v>0.5</v>
      </c>
      <c r="N3919" s="12">
        <v>0.5</v>
      </c>
      <c r="O3919" s="12">
        <v>13200</v>
      </c>
      <c r="P3919" s="12">
        <f t="shared" si="371"/>
        <v>6600</v>
      </c>
      <c r="Q3919" s="12">
        <f t="shared" si="369"/>
        <v>13860</v>
      </c>
      <c r="R3919" s="33">
        <f t="shared" si="372"/>
        <v>13800</v>
      </c>
      <c r="T3919" s="12"/>
      <c r="U3919" s="12"/>
      <c r="V3919" s="12"/>
      <c r="W3919" s="12"/>
    </row>
    <row r="3920" spans="1:23" s="6" customFormat="1" ht="21.95" customHeight="1" x14ac:dyDescent="0.2">
      <c r="A3920" s="6" t="s">
        <v>943</v>
      </c>
      <c r="B3920" s="6" t="s">
        <v>1597</v>
      </c>
      <c r="C3920" s="6" t="s">
        <v>1385</v>
      </c>
      <c r="D3920" s="6" t="s">
        <v>989</v>
      </c>
      <c r="G3920" s="6">
        <v>90</v>
      </c>
      <c r="H3920" s="6">
        <v>190</v>
      </c>
      <c r="I3920" s="9"/>
      <c r="J3920" s="9"/>
      <c r="K3920" s="9">
        <v>44008143</v>
      </c>
      <c r="L3920" s="6" t="str">
        <f t="shared" ref="L3920:L3943" si="374">B3920&amp;" "&amp;C3920&amp;" "&amp;D3920&amp;" "&amp;G3920&amp;"x"&amp;H3920</f>
        <v>1D  BOXSPRING-LINDA  BAZA  90x190</v>
      </c>
      <c r="M3920" s="12">
        <v>0.5</v>
      </c>
      <c r="N3920" s="12">
        <v>0.5</v>
      </c>
      <c r="O3920" s="12">
        <v>8300</v>
      </c>
      <c r="P3920" s="12">
        <f t="shared" si="371"/>
        <v>4150</v>
      </c>
      <c r="Q3920" s="12">
        <f t="shared" si="369"/>
        <v>8715</v>
      </c>
      <c r="R3920" s="33">
        <f t="shared" si="372"/>
        <v>8700</v>
      </c>
      <c r="T3920" s="12"/>
      <c r="U3920" s="12"/>
      <c r="V3920" s="12"/>
      <c r="W3920" s="12"/>
    </row>
    <row r="3921" spans="1:23" s="6" customFormat="1" ht="21.95" customHeight="1" x14ac:dyDescent="0.2">
      <c r="A3921" s="6" t="s">
        <v>943</v>
      </c>
      <c r="B3921" s="6" t="s">
        <v>1597</v>
      </c>
      <c r="C3921" s="6" t="s">
        <v>1385</v>
      </c>
      <c r="D3921" s="6" t="s">
        <v>989</v>
      </c>
      <c r="G3921" s="6">
        <v>90</v>
      </c>
      <c r="H3921" s="6">
        <v>200</v>
      </c>
      <c r="I3921" s="9"/>
      <c r="J3921" s="9"/>
      <c r="K3921" s="9">
        <v>44008144</v>
      </c>
      <c r="L3921" s="6" t="str">
        <f t="shared" si="374"/>
        <v>1D  BOXSPRING-LINDA  BAZA  90x200</v>
      </c>
      <c r="M3921" s="12">
        <v>0.5</v>
      </c>
      <c r="N3921" s="12">
        <v>0.5</v>
      </c>
      <c r="O3921" s="12">
        <v>8800</v>
      </c>
      <c r="P3921" s="12">
        <f t="shared" si="371"/>
        <v>4400</v>
      </c>
      <c r="Q3921" s="12">
        <f t="shared" si="369"/>
        <v>9240</v>
      </c>
      <c r="R3921" s="33">
        <f t="shared" si="372"/>
        <v>9200</v>
      </c>
      <c r="T3921" s="12"/>
      <c r="U3921" s="12"/>
      <c r="V3921" s="12"/>
      <c r="W3921" s="12"/>
    </row>
    <row r="3922" spans="1:23" s="6" customFormat="1" ht="21.95" customHeight="1" x14ac:dyDescent="0.2">
      <c r="A3922" s="6" t="s">
        <v>943</v>
      </c>
      <c r="B3922" s="6" t="s">
        <v>1597</v>
      </c>
      <c r="C3922" s="6" t="s">
        <v>1385</v>
      </c>
      <c r="D3922" s="6" t="s">
        <v>989</v>
      </c>
      <c r="G3922" s="6">
        <v>100</v>
      </c>
      <c r="H3922" s="6">
        <v>200</v>
      </c>
      <c r="I3922" s="9"/>
      <c r="J3922" s="9"/>
      <c r="K3922" s="9">
        <v>44008145</v>
      </c>
      <c r="L3922" s="6" t="str">
        <f t="shared" si="374"/>
        <v>1D  BOXSPRING-LINDA  BAZA  100x200</v>
      </c>
      <c r="M3922" s="12">
        <v>0.5</v>
      </c>
      <c r="N3922" s="12">
        <v>0.5</v>
      </c>
      <c r="O3922" s="12">
        <v>9800</v>
      </c>
      <c r="P3922" s="12">
        <f t="shared" si="371"/>
        <v>4900</v>
      </c>
      <c r="Q3922" s="12">
        <f t="shared" si="369"/>
        <v>10290</v>
      </c>
      <c r="R3922" s="33">
        <f t="shared" si="372"/>
        <v>10200</v>
      </c>
      <c r="T3922" s="12"/>
      <c r="U3922" s="12"/>
      <c r="V3922" s="12"/>
      <c r="W3922" s="12"/>
    </row>
    <row r="3923" spans="1:23" s="6" customFormat="1" ht="21.95" customHeight="1" x14ac:dyDescent="0.2">
      <c r="A3923" s="6" t="s">
        <v>943</v>
      </c>
      <c r="B3923" s="6" t="s">
        <v>1597</v>
      </c>
      <c r="C3923" s="6" t="s">
        <v>1385</v>
      </c>
      <c r="D3923" s="6" t="s">
        <v>989</v>
      </c>
      <c r="G3923" s="6">
        <v>120</v>
      </c>
      <c r="H3923" s="6">
        <v>200</v>
      </c>
      <c r="I3923" s="9"/>
      <c r="J3923" s="9"/>
      <c r="K3923" s="9">
        <v>44008146</v>
      </c>
      <c r="L3923" s="6" t="str">
        <f t="shared" si="374"/>
        <v>1D  BOXSPRING-LINDA  BAZA  120x200</v>
      </c>
      <c r="M3923" s="12">
        <v>0.5</v>
      </c>
      <c r="N3923" s="12">
        <v>0.5</v>
      </c>
      <c r="O3923" s="12">
        <v>11700</v>
      </c>
      <c r="P3923" s="12">
        <f t="shared" si="371"/>
        <v>5850</v>
      </c>
      <c r="Q3923" s="12">
        <f t="shared" ref="Q3923:Q3986" si="375">O3923*(1-N3923)*2.1</f>
        <v>12285</v>
      </c>
      <c r="R3923" s="33">
        <f t="shared" si="372"/>
        <v>12200</v>
      </c>
      <c r="T3923" s="12"/>
      <c r="U3923" s="12"/>
      <c r="V3923" s="12"/>
      <c r="W3923" s="12"/>
    </row>
    <row r="3924" spans="1:23" s="6" customFormat="1" ht="21.95" customHeight="1" x14ac:dyDescent="0.2">
      <c r="A3924" s="6" t="s">
        <v>943</v>
      </c>
      <c r="B3924" s="6" t="s">
        <v>1597</v>
      </c>
      <c r="C3924" s="6" t="s">
        <v>1385</v>
      </c>
      <c r="D3924" s="6" t="s">
        <v>989</v>
      </c>
      <c r="G3924" s="6">
        <v>140</v>
      </c>
      <c r="H3924" s="6">
        <v>200</v>
      </c>
      <c r="I3924" s="9"/>
      <c r="J3924" s="9"/>
      <c r="K3924" s="9">
        <v>44008147</v>
      </c>
      <c r="L3924" s="6" t="str">
        <f t="shared" si="374"/>
        <v>1D  BOXSPRING-LINDA  BAZA  140x200</v>
      </c>
      <c r="M3924" s="12">
        <v>0.5</v>
      </c>
      <c r="N3924" s="12">
        <v>0.5</v>
      </c>
      <c r="O3924" s="12">
        <v>13700</v>
      </c>
      <c r="P3924" s="12">
        <f t="shared" si="371"/>
        <v>6850</v>
      </c>
      <c r="Q3924" s="12">
        <f t="shared" si="375"/>
        <v>14385</v>
      </c>
      <c r="R3924" s="33">
        <f t="shared" si="372"/>
        <v>14300</v>
      </c>
      <c r="T3924" s="12"/>
      <c r="U3924" s="12"/>
      <c r="V3924" s="12"/>
      <c r="W3924" s="12"/>
    </row>
    <row r="3925" spans="1:23" s="6" customFormat="1" ht="21.95" customHeight="1" x14ac:dyDescent="0.2">
      <c r="A3925" s="6" t="s">
        <v>943</v>
      </c>
      <c r="B3925" s="6" t="s">
        <v>1597</v>
      </c>
      <c r="C3925" s="6" t="s">
        <v>1385</v>
      </c>
      <c r="D3925" s="6" t="s">
        <v>989</v>
      </c>
      <c r="G3925" s="6">
        <v>150</v>
      </c>
      <c r="H3925" s="6">
        <v>200</v>
      </c>
      <c r="I3925" s="9"/>
      <c r="J3925" s="9"/>
      <c r="K3925" s="9">
        <v>44008148</v>
      </c>
      <c r="L3925" s="6" t="str">
        <f t="shared" si="374"/>
        <v>1D  BOXSPRING-LINDA  BAZA  150x200</v>
      </c>
      <c r="M3925" s="12">
        <v>0.5</v>
      </c>
      <c r="N3925" s="12">
        <v>0.5</v>
      </c>
      <c r="O3925" s="12">
        <v>14600</v>
      </c>
      <c r="P3925" s="12">
        <f t="shared" si="371"/>
        <v>7300</v>
      </c>
      <c r="Q3925" s="12">
        <f t="shared" si="375"/>
        <v>15330</v>
      </c>
      <c r="R3925" s="33">
        <f t="shared" si="372"/>
        <v>15300</v>
      </c>
      <c r="T3925" s="12"/>
      <c r="U3925" s="12"/>
      <c r="V3925" s="12"/>
      <c r="W3925" s="12"/>
    </row>
    <row r="3926" spans="1:23" s="6" customFormat="1" ht="21.95" customHeight="1" x14ac:dyDescent="0.2">
      <c r="A3926" s="6" t="s">
        <v>943</v>
      </c>
      <c r="B3926" s="6" t="s">
        <v>1597</v>
      </c>
      <c r="C3926" s="6" t="s">
        <v>1385</v>
      </c>
      <c r="D3926" s="6" t="s">
        <v>989</v>
      </c>
      <c r="G3926" s="6">
        <v>160</v>
      </c>
      <c r="H3926" s="6">
        <v>200</v>
      </c>
      <c r="I3926" s="9"/>
      <c r="J3926" s="9"/>
      <c r="K3926" s="9">
        <v>44008149</v>
      </c>
      <c r="L3926" s="6" t="str">
        <f t="shared" si="374"/>
        <v>1D  BOXSPRING-LINDA  BAZA  160x200</v>
      </c>
      <c r="M3926" s="12">
        <v>0.5</v>
      </c>
      <c r="N3926" s="12">
        <v>0.5</v>
      </c>
      <c r="O3926" s="12">
        <v>15600</v>
      </c>
      <c r="P3926" s="12">
        <f t="shared" si="371"/>
        <v>7800</v>
      </c>
      <c r="Q3926" s="12">
        <f t="shared" si="375"/>
        <v>16380</v>
      </c>
      <c r="R3926" s="33">
        <f t="shared" si="372"/>
        <v>16300</v>
      </c>
      <c r="T3926" s="12"/>
      <c r="U3926" s="12"/>
      <c r="V3926" s="12"/>
      <c r="W3926" s="12"/>
    </row>
    <row r="3927" spans="1:23" s="6" customFormat="1" ht="21.95" customHeight="1" x14ac:dyDescent="0.2">
      <c r="A3927" s="6" t="s">
        <v>943</v>
      </c>
      <c r="B3927" s="6" t="s">
        <v>1597</v>
      </c>
      <c r="C3927" s="6" t="s">
        <v>1385</v>
      </c>
      <c r="D3927" s="6" t="s">
        <v>989</v>
      </c>
      <c r="G3927" s="6">
        <v>180</v>
      </c>
      <c r="H3927" s="6">
        <v>200</v>
      </c>
      <c r="I3927" s="9"/>
      <c r="J3927" s="9"/>
      <c r="K3927" s="9">
        <v>44008150</v>
      </c>
      <c r="L3927" s="6" t="str">
        <f t="shared" si="374"/>
        <v>1D  BOXSPRING-LINDA  BAZA  180x200</v>
      </c>
      <c r="M3927" s="12">
        <v>0.5</v>
      </c>
      <c r="N3927" s="12">
        <v>0.5</v>
      </c>
      <c r="O3927" s="12">
        <v>17600</v>
      </c>
      <c r="P3927" s="12">
        <f t="shared" si="371"/>
        <v>8800</v>
      </c>
      <c r="Q3927" s="12">
        <f t="shared" si="375"/>
        <v>18480</v>
      </c>
      <c r="R3927" s="33">
        <f t="shared" si="372"/>
        <v>18400</v>
      </c>
      <c r="T3927" s="12"/>
      <c r="U3927" s="12"/>
      <c r="V3927" s="12"/>
      <c r="W3927" s="12"/>
    </row>
    <row r="3928" spans="1:23" s="6" customFormat="1" ht="21.95" customHeight="1" x14ac:dyDescent="0.2">
      <c r="A3928" s="6" t="s">
        <v>943</v>
      </c>
      <c r="B3928" s="6" t="s">
        <v>1597</v>
      </c>
      <c r="C3928" s="6" t="s">
        <v>1385</v>
      </c>
      <c r="D3928" s="6" t="s">
        <v>950</v>
      </c>
      <c r="G3928" s="6">
        <v>90</v>
      </c>
      <c r="H3928" s="6">
        <v>190</v>
      </c>
      <c r="I3928" s="9"/>
      <c r="J3928" s="9"/>
      <c r="K3928" s="9">
        <v>44008151</v>
      </c>
      <c r="L3928" s="6" t="str">
        <f t="shared" si="374"/>
        <v>1D  BOXSPRING-LINDA  BAŞLIK 90x190</v>
      </c>
      <c r="M3928" s="12">
        <v>0.5</v>
      </c>
      <c r="N3928" s="12">
        <v>0.5</v>
      </c>
      <c r="O3928" s="12">
        <v>4800</v>
      </c>
      <c r="P3928" s="12">
        <f t="shared" si="371"/>
        <v>2400</v>
      </c>
      <c r="Q3928" s="12">
        <f t="shared" si="375"/>
        <v>5040</v>
      </c>
      <c r="R3928" s="33">
        <f t="shared" si="372"/>
        <v>5000</v>
      </c>
      <c r="T3928" s="12"/>
      <c r="U3928" s="12"/>
      <c r="V3928" s="12"/>
      <c r="W3928" s="12"/>
    </row>
    <row r="3929" spans="1:23" s="6" customFormat="1" ht="21.95" customHeight="1" x14ac:dyDescent="0.2">
      <c r="A3929" s="6" t="s">
        <v>943</v>
      </c>
      <c r="B3929" s="6" t="s">
        <v>1597</v>
      </c>
      <c r="C3929" s="6" t="s">
        <v>1385</v>
      </c>
      <c r="D3929" s="6" t="s">
        <v>950</v>
      </c>
      <c r="G3929" s="6">
        <v>90</v>
      </c>
      <c r="H3929" s="6">
        <v>200</v>
      </c>
      <c r="I3929" s="9"/>
      <c r="J3929" s="9"/>
      <c r="K3929" s="9">
        <v>44008152</v>
      </c>
      <c r="L3929" s="6" t="str">
        <f t="shared" si="374"/>
        <v>1D  BOXSPRING-LINDA  BAŞLIK 90x200</v>
      </c>
      <c r="M3929" s="12">
        <v>0.5</v>
      </c>
      <c r="N3929" s="12">
        <v>0.5</v>
      </c>
      <c r="O3929" s="12">
        <v>5100</v>
      </c>
      <c r="P3929" s="12">
        <f t="shared" si="371"/>
        <v>2550</v>
      </c>
      <c r="Q3929" s="12">
        <f t="shared" si="375"/>
        <v>5355</v>
      </c>
      <c r="R3929" s="33">
        <f t="shared" si="372"/>
        <v>5300</v>
      </c>
      <c r="T3929" s="12"/>
      <c r="U3929" s="12"/>
      <c r="V3929" s="12"/>
      <c r="W3929" s="12"/>
    </row>
    <row r="3930" spans="1:23" s="6" customFormat="1" ht="21.95" customHeight="1" x14ac:dyDescent="0.2">
      <c r="A3930" s="6" t="s">
        <v>943</v>
      </c>
      <c r="B3930" s="6" t="s">
        <v>1597</v>
      </c>
      <c r="C3930" s="6" t="s">
        <v>1385</v>
      </c>
      <c r="D3930" s="6" t="s">
        <v>950</v>
      </c>
      <c r="G3930" s="6">
        <v>100</v>
      </c>
      <c r="H3930" s="6">
        <v>200</v>
      </c>
      <c r="I3930" s="9"/>
      <c r="J3930" s="9"/>
      <c r="K3930" s="9">
        <v>44008153</v>
      </c>
      <c r="L3930" s="6" t="str">
        <f t="shared" si="374"/>
        <v>1D  BOXSPRING-LINDA  BAŞLIK 100x200</v>
      </c>
      <c r="M3930" s="12">
        <v>0.5</v>
      </c>
      <c r="N3930" s="12">
        <v>0.5</v>
      </c>
      <c r="O3930" s="12">
        <v>5600</v>
      </c>
      <c r="P3930" s="12">
        <f t="shared" si="371"/>
        <v>2800</v>
      </c>
      <c r="Q3930" s="12">
        <f t="shared" si="375"/>
        <v>5880</v>
      </c>
      <c r="R3930" s="33">
        <f t="shared" si="372"/>
        <v>5800</v>
      </c>
      <c r="T3930" s="12"/>
      <c r="U3930" s="12"/>
      <c r="V3930" s="12"/>
      <c r="W3930" s="12"/>
    </row>
    <row r="3931" spans="1:23" s="6" customFormat="1" ht="21.95" customHeight="1" x14ac:dyDescent="0.2">
      <c r="A3931" s="6" t="s">
        <v>943</v>
      </c>
      <c r="B3931" s="6" t="s">
        <v>1597</v>
      </c>
      <c r="C3931" s="6" t="s">
        <v>1385</v>
      </c>
      <c r="D3931" s="6" t="s">
        <v>950</v>
      </c>
      <c r="G3931" s="6">
        <v>120</v>
      </c>
      <c r="H3931" s="6">
        <v>200</v>
      </c>
      <c r="I3931" s="9"/>
      <c r="J3931" s="9"/>
      <c r="K3931" s="9">
        <v>44008154</v>
      </c>
      <c r="L3931" s="6" t="str">
        <f t="shared" si="374"/>
        <v>1D  BOXSPRING-LINDA  BAŞLIK 120x200</v>
      </c>
      <c r="M3931" s="12">
        <v>0.5</v>
      </c>
      <c r="N3931" s="12">
        <v>0.5</v>
      </c>
      <c r="O3931" s="12">
        <v>6800</v>
      </c>
      <c r="P3931" s="12">
        <f t="shared" si="371"/>
        <v>3400</v>
      </c>
      <c r="Q3931" s="12">
        <f t="shared" si="375"/>
        <v>7140</v>
      </c>
      <c r="R3931" s="33">
        <f t="shared" si="372"/>
        <v>7100</v>
      </c>
      <c r="T3931" s="12"/>
      <c r="U3931" s="12"/>
      <c r="V3931" s="12"/>
      <c r="W3931" s="12"/>
    </row>
    <row r="3932" spans="1:23" s="6" customFormat="1" ht="21.95" customHeight="1" x14ac:dyDescent="0.2">
      <c r="A3932" s="6" t="s">
        <v>943</v>
      </c>
      <c r="B3932" s="6" t="s">
        <v>1597</v>
      </c>
      <c r="C3932" s="6" t="s">
        <v>1385</v>
      </c>
      <c r="D3932" s="6" t="s">
        <v>950</v>
      </c>
      <c r="G3932" s="6">
        <v>140</v>
      </c>
      <c r="H3932" s="6">
        <v>200</v>
      </c>
      <c r="I3932" s="9"/>
      <c r="J3932" s="9"/>
      <c r="K3932" s="9">
        <v>44008155</v>
      </c>
      <c r="L3932" s="6" t="str">
        <f t="shared" si="374"/>
        <v>1D  BOXSPRING-LINDA  BAŞLIK 140x200</v>
      </c>
      <c r="M3932" s="12">
        <v>0.5</v>
      </c>
      <c r="N3932" s="12">
        <v>0.5</v>
      </c>
      <c r="O3932" s="12">
        <v>7900</v>
      </c>
      <c r="P3932" s="12">
        <f t="shared" si="371"/>
        <v>3950</v>
      </c>
      <c r="Q3932" s="12">
        <f t="shared" si="375"/>
        <v>8295</v>
      </c>
      <c r="R3932" s="33">
        <f t="shared" si="372"/>
        <v>8200</v>
      </c>
      <c r="T3932" s="12"/>
      <c r="U3932" s="12"/>
      <c r="V3932" s="12"/>
      <c r="W3932" s="12"/>
    </row>
    <row r="3933" spans="1:23" s="6" customFormat="1" ht="21.95" customHeight="1" x14ac:dyDescent="0.2">
      <c r="A3933" s="6" t="s">
        <v>943</v>
      </c>
      <c r="B3933" s="6" t="s">
        <v>1597</v>
      </c>
      <c r="C3933" s="6" t="s">
        <v>1385</v>
      </c>
      <c r="D3933" s="6" t="s">
        <v>950</v>
      </c>
      <c r="G3933" s="6">
        <v>150</v>
      </c>
      <c r="H3933" s="6">
        <v>200</v>
      </c>
      <c r="I3933" s="9"/>
      <c r="J3933" s="9"/>
      <c r="K3933" s="9">
        <v>44008156</v>
      </c>
      <c r="L3933" s="6" t="str">
        <f t="shared" si="374"/>
        <v>1D  BOXSPRING-LINDA  BAŞLIK 150x200</v>
      </c>
      <c r="M3933" s="12">
        <v>0.5</v>
      </c>
      <c r="N3933" s="12">
        <v>0.5</v>
      </c>
      <c r="O3933" s="12">
        <v>8400</v>
      </c>
      <c r="P3933" s="12">
        <f t="shared" si="371"/>
        <v>4200</v>
      </c>
      <c r="Q3933" s="12">
        <f t="shared" si="375"/>
        <v>8820</v>
      </c>
      <c r="R3933" s="33">
        <f t="shared" si="372"/>
        <v>8800</v>
      </c>
      <c r="T3933" s="12"/>
      <c r="U3933" s="12"/>
      <c r="V3933" s="12"/>
      <c r="W3933" s="12"/>
    </row>
    <row r="3934" spans="1:23" s="6" customFormat="1" ht="21.95" customHeight="1" x14ac:dyDescent="0.2">
      <c r="A3934" s="6" t="s">
        <v>943</v>
      </c>
      <c r="B3934" s="6" t="s">
        <v>1597</v>
      </c>
      <c r="C3934" s="6" t="s">
        <v>1385</v>
      </c>
      <c r="D3934" s="6" t="s">
        <v>950</v>
      </c>
      <c r="G3934" s="6">
        <v>160</v>
      </c>
      <c r="H3934" s="6">
        <v>200</v>
      </c>
      <c r="I3934" s="9"/>
      <c r="J3934" s="9"/>
      <c r="K3934" s="9">
        <v>44008157</v>
      </c>
      <c r="L3934" s="6" t="str">
        <f t="shared" si="374"/>
        <v>1D  BOXSPRING-LINDA  BAŞLIK 160x200</v>
      </c>
      <c r="M3934" s="12">
        <v>0.5</v>
      </c>
      <c r="N3934" s="12">
        <v>0.5</v>
      </c>
      <c r="O3934" s="12">
        <v>9000</v>
      </c>
      <c r="P3934" s="12">
        <f t="shared" si="371"/>
        <v>4500</v>
      </c>
      <c r="Q3934" s="12">
        <f t="shared" si="375"/>
        <v>9450</v>
      </c>
      <c r="R3934" s="33">
        <f t="shared" si="372"/>
        <v>9400</v>
      </c>
      <c r="T3934" s="12"/>
      <c r="U3934" s="12"/>
      <c r="V3934" s="12"/>
      <c r="W3934" s="12"/>
    </row>
    <row r="3935" spans="1:23" s="6" customFormat="1" ht="21.95" customHeight="1" x14ac:dyDescent="0.2">
      <c r="A3935" s="6" t="s">
        <v>943</v>
      </c>
      <c r="B3935" s="6" t="s">
        <v>1597</v>
      </c>
      <c r="C3935" s="6" t="s">
        <v>1385</v>
      </c>
      <c r="D3935" s="6" t="s">
        <v>950</v>
      </c>
      <c r="G3935" s="6">
        <v>180</v>
      </c>
      <c r="H3935" s="6">
        <v>200</v>
      </c>
      <c r="I3935" s="9"/>
      <c r="J3935" s="9"/>
      <c r="K3935" s="9">
        <v>44008158</v>
      </c>
      <c r="L3935" s="6" t="str">
        <f t="shared" si="374"/>
        <v>1D  BOXSPRING-LINDA  BAŞLIK 180x200</v>
      </c>
      <c r="M3935" s="12">
        <v>0.5</v>
      </c>
      <c r="N3935" s="12">
        <v>0.5</v>
      </c>
      <c r="O3935" s="12">
        <v>10100</v>
      </c>
      <c r="P3935" s="12">
        <f t="shared" si="371"/>
        <v>5050</v>
      </c>
      <c r="Q3935" s="12">
        <f t="shared" si="375"/>
        <v>10605</v>
      </c>
      <c r="R3935" s="33">
        <f t="shared" si="372"/>
        <v>10600</v>
      </c>
      <c r="T3935" s="12"/>
      <c r="U3935" s="12"/>
      <c r="V3935" s="12"/>
      <c r="W3935" s="12"/>
    </row>
    <row r="3936" spans="1:23" s="6" customFormat="1" ht="21.95" customHeight="1" x14ac:dyDescent="0.2">
      <c r="A3936" s="6" t="s">
        <v>943</v>
      </c>
      <c r="B3936" s="6" t="s">
        <v>1597</v>
      </c>
      <c r="C3936" s="6" t="s">
        <v>1385</v>
      </c>
      <c r="D3936" s="6" t="s">
        <v>943</v>
      </c>
      <c r="G3936" s="6">
        <v>90</v>
      </c>
      <c r="H3936" s="6">
        <v>190</v>
      </c>
      <c r="I3936" s="9"/>
      <c r="J3936" s="9"/>
      <c r="K3936" s="9">
        <v>44008159</v>
      </c>
      <c r="L3936" s="6" t="str">
        <f t="shared" si="374"/>
        <v>1D  BOXSPRING-LINDA  YATAK  90x190</v>
      </c>
      <c r="M3936" s="12">
        <v>0.5</v>
      </c>
      <c r="N3936" s="12">
        <v>0.5</v>
      </c>
      <c r="O3936" s="12">
        <v>7700</v>
      </c>
      <c r="P3936" s="12">
        <f t="shared" si="371"/>
        <v>3850</v>
      </c>
      <c r="Q3936" s="12">
        <f t="shared" si="375"/>
        <v>8085</v>
      </c>
      <c r="R3936" s="33">
        <f t="shared" si="372"/>
        <v>8000</v>
      </c>
      <c r="T3936" s="12"/>
      <c r="U3936" s="12"/>
      <c r="V3936" s="12"/>
      <c r="W3936" s="12"/>
    </row>
    <row r="3937" spans="1:24" s="6" customFormat="1" ht="21.95" customHeight="1" x14ac:dyDescent="0.2">
      <c r="A3937" s="6" t="s">
        <v>943</v>
      </c>
      <c r="B3937" s="6" t="s">
        <v>1597</v>
      </c>
      <c r="C3937" s="6" t="s">
        <v>1385</v>
      </c>
      <c r="D3937" s="6" t="s">
        <v>943</v>
      </c>
      <c r="G3937" s="6">
        <v>90</v>
      </c>
      <c r="H3937" s="6">
        <v>200</v>
      </c>
      <c r="I3937" s="9"/>
      <c r="J3937" s="9"/>
      <c r="K3937" s="9">
        <v>44008160</v>
      </c>
      <c r="L3937" s="6" t="str">
        <f t="shared" si="374"/>
        <v>1D  BOXSPRING-LINDA  YATAK  90x200</v>
      </c>
      <c r="M3937" s="12">
        <v>0.5</v>
      </c>
      <c r="N3937" s="12">
        <v>0.5</v>
      </c>
      <c r="O3937" s="12">
        <v>8100</v>
      </c>
      <c r="P3937" s="12">
        <f t="shared" si="371"/>
        <v>4050</v>
      </c>
      <c r="Q3937" s="12">
        <f t="shared" si="375"/>
        <v>8505</v>
      </c>
      <c r="R3937" s="33">
        <f t="shared" si="372"/>
        <v>8500</v>
      </c>
      <c r="T3937" s="12"/>
      <c r="U3937" s="12"/>
      <c r="V3937" s="12"/>
      <c r="W3937" s="12"/>
    </row>
    <row r="3938" spans="1:24" s="6" customFormat="1" ht="21.95" customHeight="1" x14ac:dyDescent="0.2">
      <c r="A3938" s="6" t="s">
        <v>943</v>
      </c>
      <c r="B3938" s="6" t="s">
        <v>1597</v>
      </c>
      <c r="C3938" s="6" t="s">
        <v>1385</v>
      </c>
      <c r="D3938" s="6" t="s">
        <v>943</v>
      </c>
      <c r="G3938" s="6">
        <v>100</v>
      </c>
      <c r="H3938" s="6">
        <v>200</v>
      </c>
      <c r="I3938" s="9"/>
      <c r="J3938" s="9"/>
      <c r="K3938" s="9">
        <v>44008161</v>
      </c>
      <c r="L3938" s="6" t="str">
        <f t="shared" si="374"/>
        <v>1D  BOXSPRING-LINDA  YATAK  100x200</v>
      </c>
      <c r="M3938" s="12">
        <v>0.5</v>
      </c>
      <c r="N3938" s="12">
        <v>0.5</v>
      </c>
      <c r="O3938" s="12">
        <v>9000</v>
      </c>
      <c r="P3938" s="12">
        <f t="shared" si="371"/>
        <v>4500</v>
      </c>
      <c r="Q3938" s="12">
        <f t="shared" si="375"/>
        <v>9450</v>
      </c>
      <c r="R3938" s="33">
        <f t="shared" si="372"/>
        <v>9400</v>
      </c>
      <c r="T3938" s="12"/>
      <c r="U3938" s="12"/>
      <c r="V3938" s="12"/>
      <c r="W3938" s="12"/>
    </row>
    <row r="3939" spans="1:24" s="6" customFormat="1" ht="21.95" customHeight="1" x14ac:dyDescent="0.2">
      <c r="A3939" s="6" t="s">
        <v>943</v>
      </c>
      <c r="B3939" s="6" t="s">
        <v>1597</v>
      </c>
      <c r="C3939" s="6" t="s">
        <v>1385</v>
      </c>
      <c r="D3939" s="6" t="s">
        <v>943</v>
      </c>
      <c r="G3939" s="6">
        <v>120</v>
      </c>
      <c r="H3939" s="6">
        <v>200</v>
      </c>
      <c r="I3939" s="9"/>
      <c r="J3939" s="9"/>
      <c r="K3939" s="9">
        <v>44008162</v>
      </c>
      <c r="L3939" s="6" t="str">
        <f t="shared" si="374"/>
        <v>1D  BOXSPRING-LINDA  YATAK  120x200</v>
      </c>
      <c r="M3939" s="12">
        <v>0.5</v>
      </c>
      <c r="N3939" s="12">
        <v>0.5</v>
      </c>
      <c r="O3939" s="12">
        <v>10800</v>
      </c>
      <c r="P3939" s="12">
        <f t="shared" si="371"/>
        <v>5400</v>
      </c>
      <c r="Q3939" s="12">
        <f t="shared" si="375"/>
        <v>11340</v>
      </c>
      <c r="R3939" s="33">
        <f t="shared" si="372"/>
        <v>11300</v>
      </c>
      <c r="T3939" s="12"/>
      <c r="U3939" s="12"/>
      <c r="V3939" s="12"/>
      <c r="W3939" s="12"/>
    </row>
    <row r="3940" spans="1:24" s="6" customFormat="1" ht="21.95" customHeight="1" x14ac:dyDescent="0.2">
      <c r="A3940" s="6" t="s">
        <v>943</v>
      </c>
      <c r="B3940" s="6" t="s">
        <v>1597</v>
      </c>
      <c r="C3940" s="6" t="s">
        <v>1385</v>
      </c>
      <c r="D3940" s="6" t="s">
        <v>943</v>
      </c>
      <c r="G3940" s="6">
        <v>140</v>
      </c>
      <c r="H3940" s="6">
        <v>200</v>
      </c>
      <c r="I3940" s="9"/>
      <c r="J3940" s="9"/>
      <c r="K3940" s="9">
        <v>44008163</v>
      </c>
      <c r="L3940" s="6" t="str">
        <f t="shared" si="374"/>
        <v>1D  BOXSPRING-LINDA  YATAK  140x200</v>
      </c>
      <c r="M3940" s="12">
        <v>0.5</v>
      </c>
      <c r="N3940" s="12">
        <v>0.5</v>
      </c>
      <c r="O3940" s="12">
        <v>12600</v>
      </c>
      <c r="P3940" s="12">
        <f t="shared" si="371"/>
        <v>6300</v>
      </c>
      <c r="Q3940" s="12">
        <f t="shared" si="375"/>
        <v>13230</v>
      </c>
      <c r="R3940" s="33">
        <f t="shared" si="372"/>
        <v>13200</v>
      </c>
      <c r="T3940" s="12"/>
      <c r="U3940" s="12"/>
      <c r="V3940" s="12"/>
      <c r="W3940" s="12"/>
    </row>
    <row r="3941" spans="1:24" s="6" customFormat="1" ht="21.95" customHeight="1" x14ac:dyDescent="0.2">
      <c r="A3941" s="6" t="s">
        <v>943</v>
      </c>
      <c r="B3941" s="6" t="s">
        <v>1597</v>
      </c>
      <c r="C3941" s="6" t="s">
        <v>1385</v>
      </c>
      <c r="D3941" s="6" t="s">
        <v>943</v>
      </c>
      <c r="G3941" s="6">
        <v>150</v>
      </c>
      <c r="H3941" s="6">
        <v>200</v>
      </c>
      <c r="I3941" s="9"/>
      <c r="J3941" s="9"/>
      <c r="K3941" s="9">
        <v>44008164</v>
      </c>
      <c r="L3941" s="6" t="str">
        <f t="shared" si="374"/>
        <v>1D  BOXSPRING-LINDA  YATAK  150x200</v>
      </c>
      <c r="M3941" s="12">
        <v>0.5</v>
      </c>
      <c r="N3941" s="12">
        <v>0.5</v>
      </c>
      <c r="O3941" s="12">
        <v>13500</v>
      </c>
      <c r="P3941" s="12">
        <f t="shared" si="371"/>
        <v>6750</v>
      </c>
      <c r="Q3941" s="12">
        <f t="shared" si="375"/>
        <v>14175</v>
      </c>
      <c r="R3941" s="33">
        <f t="shared" si="372"/>
        <v>14100</v>
      </c>
      <c r="T3941" s="12"/>
      <c r="U3941" s="12"/>
      <c r="V3941" s="12"/>
      <c r="W3941" s="12"/>
    </row>
    <row r="3942" spans="1:24" s="6" customFormat="1" ht="21.95" customHeight="1" x14ac:dyDescent="0.2">
      <c r="A3942" s="6" t="s">
        <v>943</v>
      </c>
      <c r="B3942" s="6" t="s">
        <v>1597</v>
      </c>
      <c r="C3942" s="6" t="s">
        <v>1385</v>
      </c>
      <c r="D3942" s="6" t="s">
        <v>943</v>
      </c>
      <c r="G3942" s="6">
        <v>160</v>
      </c>
      <c r="H3942" s="6">
        <v>200</v>
      </c>
      <c r="I3942" s="9"/>
      <c r="J3942" s="9"/>
      <c r="K3942" s="9">
        <v>44008165</v>
      </c>
      <c r="L3942" s="6" t="str">
        <f t="shared" si="374"/>
        <v>1D  BOXSPRING-LINDA  YATAK  160x200</v>
      </c>
      <c r="M3942" s="12">
        <v>0.5</v>
      </c>
      <c r="N3942" s="12">
        <v>0.5</v>
      </c>
      <c r="O3942" s="12">
        <v>14400</v>
      </c>
      <c r="P3942" s="12">
        <f t="shared" si="371"/>
        <v>7200</v>
      </c>
      <c r="Q3942" s="12">
        <f t="shared" si="375"/>
        <v>15120</v>
      </c>
      <c r="R3942" s="33">
        <f t="shared" si="372"/>
        <v>15100</v>
      </c>
      <c r="T3942" s="12"/>
      <c r="U3942" s="12"/>
      <c r="V3942" s="12"/>
      <c r="W3942" s="12"/>
    </row>
    <row r="3943" spans="1:24" s="6" customFormat="1" ht="21.95" customHeight="1" x14ac:dyDescent="0.2">
      <c r="A3943" s="6" t="s">
        <v>943</v>
      </c>
      <c r="B3943" s="6" t="s">
        <v>1597</v>
      </c>
      <c r="C3943" s="6" t="s">
        <v>1385</v>
      </c>
      <c r="D3943" s="6" t="s">
        <v>943</v>
      </c>
      <c r="G3943" s="6">
        <v>180</v>
      </c>
      <c r="H3943" s="6">
        <v>200</v>
      </c>
      <c r="I3943" s="9"/>
      <c r="J3943" s="9"/>
      <c r="K3943" s="9">
        <v>44008166</v>
      </c>
      <c r="L3943" s="6" t="str">
        <f t="shared" si="374"/>
        <v>1D  BOXSPRING-LINDA  YATAK  180x200</v>
      </c>
      <c r="M3943" s="12">
        <v>0.5</v>
      </c>
      <c r="N3943" s="12">
        <v>0.5</v>
      </c>
      <c r="O3943" s="12">
        <v>16200</v>
      </c>
      <c r="P3943" s="12">
        <f t="shared" si="371"/>
        <v>8100</v>
      </c>
      <c r="Q3943" s="12">
        <f t="shared" si="375"/>
        <v>17010</v>
      </c>
      <c r="R3943" s="33">
        <f t="shared" si="372"/>
        <v>17000</v>
      </c>
      <c r="T3943" s="12"/>
      <c r="U3943" s="12"/>
      <c r="V3943" s="12"/>
      <c r="W3943" s="12"/>
    </row>
    <row r="3944" spans="1:24" s="6" customFormat="1" ht="21.95" customHeight="1" x14ac:dyDescent="0.2">
      <c r="A3944" s="6" t="s">
        <v>943</v>
      </c>
      <c r="B3944" s="6" t="s">
        <v>1597</v>
      </c>
      <c r="C3944" s="6" t="s">
        <v>1385</v>
      </c>
      <c r="D3944" s="6" t="s">
        <v>1380</v>
      </c>
      <c r="I3944" s="9"/>
      <c r="J3944" s="9"/>
      <c r="K3944" s="9">
        <v>44008167</v>
      </c>
      <c r="L3944" s="6" t="str">
        <f>B3944&amp;" "&amp;C3944&amp;" "&amp;D3944</f>
        <v>1D  BOXSPRING-LINDA  KOMODİN (2 ADET)</v>
      </c>
      <c r="M3944" s="12">
        <v>0.5</v>
      </c>
      <c r="N3944" s="12">
        <v>0.5</v>
      </c>
      <c r="O3944" s="12">
        <v>13200</v>
      </c>
      <c r="P3944" s="12">
        <f t="shared" si="371"/>
        <v>6600</v>
      </c>
      <c r="Q3944" s="12">
        <f t="shared" si="375"/>
        <v>13860</v>
      </c>
      <c r="R3944" s="33">
        <f t="shared" si="372"/>
        <v>13800</v>
      </c>
      <c r="T3944" s="12"/>
      <c r="U3944" s="12"/>
      <c r="V3944" s="12"/>
      <c r="W3944" s="12"/>
    </row>
    <row r="3945" spans="1:24" s="6" customFormat="1" ht="21.95" customHeight="1" x14ac:dyDescent="0.2">
      <c r="A3945" s="6" t="s">
        <v>943</v>
      </c>
      <c r="B3945" s="6" t="s">
        <v>1597</v>
      </c>
      <c r="C3945" s="6" t="s">
        <v>1386</v>
      </c>
      <c r="D3945" s="6" t="s">
        <v>2305</v>
      </c>
      <c r="G3945" s="6">
        <v>140</v>
      </c>
      <c r="H3945" s="6">
        <v>200</v>
      </c>
      <c r="I3945" s="9"/>
      <c r="J3945" s="9"/>
      <c r="K3945" s="9">
        <v>44008180</v>
      </c>
      <c r="L3945" s="6" t="str">
        <f t="shared" ref="L3945:L3952" si="376">B3945&amp;" "&amp;C3945&amp;" "&amp;D3945&amp;" "&amp;G3945&amp;"x"&amp;H3945</f>
        <v>1D  BUMBY  BAZA + BAŞLIK + TRAVERS 140x200</v>
      </c>
      <c r="M3945" s="12">
        <v>0.5</v>
      </c>
      <c r="N3945" s="12">
        <v>0.5</v>
      </c>
      <c r="O3945" s="12">
        <v>20800</v>
      </c>
      <c r="P3945" s="12">
        <f t="shared" si="371"/>
        <v>10400</v>
      </c>
      <c r="Q3945" s="12">
        <f t="shared" si="375"/>
        <v>21840</v>
      </c>
      <c r="R3945" s="33">
        <f t="shared" si="372"/>
        <v>21800</v>
      </c>
      <c r="T3945" s="12"/>
      <c r="U3945" s="12"/>
      <c r="V3945" s="12"/>
      <c r="W3945" s="12"/>
    </row>
    <row r="3946" spans="1:24" s="6" customFormat="1" ht="21.95" customHeight="1" x14ac:dyDescent="0.2">
      <c r="A3946" s="6" t="s">
        <v>943</v>
      </c>
      <c r="B3946" s="6" t="s">
        <v>1597</v>
      </c>
      <c r="C3946" s="6" t="s">
        <v>1386</v>
      </c>
      <c r="D3946" s="6" t="s">
        <v>2305</v>
      </c>
      <c r="G3946" s="6">
        <v>150</v>
      </c>
      <c r="H3946" s="6">
        <v>200</v>
      </c>
      <c r="I3946" s="9"/>
      <c r="J3946" s="9"/>
      <c r="K3946" s="9">
        <v>44008181</v>
      </c>
      <c r="L3946" s="6" t="str">
        <f t="shared" si="376"/>
        <v>1D  BUMBY  BAZA + BAŞLIK + TRAVERS 150x200</v>
      </c>
      <c r="M3946" s="12">
        <v>0.5</v>
      </c>
      <c r="N3946" s="12">
        <v>0.5</v>
      </c>
      <c r="O3946" s="12">
        <v>22300</v>
      </c>
      <c r="P3946" s="12">
        <f t="shared" si="371"/>
        <v>11150</v>
      </c>
      <c r="Q3946" s="12">
        <f t="shared" si="375"/>
        <v>23415</v>
      </c>
      <c r="R3946" s="33">
        <f t="shared" si="372"/>
        <v>23400</v>
      </c>
      <c r="T3946" s="12"/>
      <c r="U3946" s="12"/>
      <c r="V3946" s="12"/>
      <c r="W3946" s="12"/>
    </row>
    <row r="3947" spans="1:24" s="6" customFormat="1" ht="21.95" customHeight="1" x14ac:dyDescent="0.2">
      <c r="A3947" s="6" t="s">
        <v>943</v>
      </c>
      <c r="B3947" s="6" t="s">
        <v>1597</v>
      </c>
      <c r="C3947" s="6" t="s">
        <v>1386</v>
      </c>
      <c r="D3947" s="6" t="s">
        <v>2305</v>
      </c>
      <c r="G3947" s="6">
        <v>160</v>
      </c>
      <c r="H3947" s="6">
        <v>200</v>
      </c>
      <c r="I3947" s="9"/>
      <c r="J3947" s="9"/>
      <c r="K3947" s="9">
        <v>44008182</v>
      </c>
      <c r="L3947" s="6" t="str">
        <f t="shared" si="376"/>
        <v>1D  BUMBY  BAZA + BAŞLIK + TRAVERS 160x200</v>
      </c>
      <c r="M3947" s="12">
        <v>0.5</v>
      </c>
      <c r="N3947" s="12">
        <v>0.5</v>
      </c>
      <c r="O3947" s="12">
        <v>23800</v>
      </c>
      <c r="P3947" s="12">
        <f t="shared" si="371"/>
        <v>11900</v>
      </c>
      <c r="Q3947" s="12">
        <f t="shared" si="375"/>
        <v>24990</v>
      </c>
      <c r="R3947" s="33">
        <f t="shared" si="372"/>
        <v>24900</v>
      </c>
      <c r="T3947" s="12"/>
      <c r="U3947" s="12"/>
      <c r="V3947" s="12"/>
      <c r="W3947" s="12"/>
    </row>
    <row r="3948" spans="1:24" s="6" customFormat="1" ht="21.6" customHeight="1" x14ac:dyDescent="0.2">
      <c r="A3948" s="6" t="s">
        <v>943</v>
      </c>
      <c r="B3948" s="6" t="s">
        <v>1597</v>
      </c>
      <c r="C3948" s="6" t="s">
        <v>1386</v>
      </c>
      <c r="D3948" s="6" t="s">
        <v>2305</v>
      </c>
      <c r="G3948" s="6">
        <v>180</v>
      </c>
      <c r="H3948" s="6">
        <v>200</v>
      </c>
      <c r="I3948" s="9"/>
      <c r="J3948" s="9"/>
      <c r="K3948" s="9">
        <v>44008183</v>
      </c>
      <c r="L3948" s="6" t="str">
        <f t="shared" si="376"/>
        <v>1D  BUMBY  BAZA + BAŞLIK + TRAVERS 180x200</v>
      </c>
      <c r="M3948" s="12">
        <v>0.5</v>
      </c>
      <c r="N3948" s="12">
        <v>0.5</v>
      </c>
      <c r="O3948" s="12">
        <v>26800</v>
      </c>
      <c r="P3948" s="12">
        <f t="shared" si="371"/>
        <v>13400</v>
      </c>
      <c r="Q3948" s="12">
        <f t="shared" si="375"/>
        <v>28140</v>
      </c>
      <c r="R3948" s="33">
        <f t="shared" si="372"/>
        <v>28100</v>
      </c>
      <c r="T3948" s="12"/>
      <c r="U3948" s="12"/>
      <c r="V3948" s="12"/>
      <c r="W3948" s="12"/>
    </row>
    <row r="3949" spans="1:24" s="6" customFormat="1" ht="19.899999999999999" customHeight="1" x14ac:dyDescent="0.2">
      <c r="A3949" s="6" t="s">
        <v>943</v>
      </c>
      <c r="B3949" s="6" t="s">
        <v>1597</v>
      </c>
      <c r="C3949" s="6" t="s">
        <v>1386</v>
      </c>
      <c r="D3949" s="6" t="s">
        <v>943</v>
      </c>
      <c r="G3949" s="6">
        <v>140</v>
      </c>
      <c r="H3949" s="6">
        <v>200</v>
      </c>
      <c r="I3949" s="9"/>
      <c r="J3949" s="9"/>
      <c r="K3949" s="9">
        <v>44008188</v>
      </c>
      <c r="L3949" s="6" t="str">
        <f t="shared" si="376"/>
        <v>1D  BUMBY  YATAK  140x200</v>
      </c>
      <c r="M3949" s="12">
        <v>0.5</v>
      </c>
      <c r="N3949" s="12">
        <v>0.5</v>
      </c>
      <c r="O3949" s="12">
        <v>18900</v>
      </c>
      <c r="P3949" s="12">
        <f t="shared" ref="P3949:P4012" si="377">O3949*(1-N3949)</f>
        <v>9450</v>
      </c>
      <c r="Q3949" s="12">
        <f t="shared" si="375"/>
        <v>19845</v>
      </c>
      <c r="R3949" s="33">
        <f t="shared" ref="R3949:R4012" si="378">ROUNDDOWN(Q3949,-2)</f>
        <v>19800</v>
      </c>
      <c r="T3949" s="12"/>
      <c r="U3949" s="12"/>
      <c r="V3949" s="12"/>
      <c r="W3949" s="12"/>
    </row>
    <row r="3950" spans="1:24" s="6" customFormat="1" ht="21.6" customHeight="1" x14ac:dyDescent="0.2">
      <c r="A3950" s="6" t="s">
        <v>943</v>
      </c>
      <c r="B3950" s="6" t="s">
        <v>1597</v>
      </c>
      <c r="C3950" s="6" t="s">
        <v>1386</v>
      </c>
      <c r="D3950" s="6" t="s">
        <v>943</v>
      </c>
      <c r="G3950" s="6">
        <v>150</v>
      </c>
      <c r="H3950" s="6">
        <v>200</v>
      </c>
      <c r="I3950" s="9"/>
      <c r="J3950" s="9"/>
      <c r="K3950" s="9">
        <v>44008189</v>
      </c>
      <c r="L3950" s="6" t="str">
        <f t="shared" si="376"/>
        <v>1D  BUMBY  YATAK  150x200</v>
      </c>
      <c r="M3950" s="12">
        <v>0.5</v>
      </c>
      <c r="N3950" s="12">
        <v>0.5</v>
      </c>
      <c r="O3950" s="12">
        <v>20300</v>
      </c>
      <c r="P3950" s="12">
        <f t="shared" si="377"/>
        <v>10150</v>
      </c>
      <c r="Q3950" s="12">
        <f t="shared" si="375"/>
        <v>21315</v>
      </c>
      <c r="R3950" s="33">
        <f t="shared" si="378"/>
        <v>21300</v>
      </c>
      <c r="T3950" s="12"/>
      <c r="U3950" s="12"/>
      <c r="V3950" s="12"/>
      <c r="W3950" s="12"/>
    </row>
    <row r="3951" spans="1:24" s="6" customFormat="1" ht="21.95" customHeight="1" x14ac:dyDescent="0.2">
      <c r="A3951" s="6" t="s">
        <v>943</v>
      </c>
      <c r="B3951" s="6" t="s">
        <v>1597</v>
      </c>
      <c r="C3951" s="6" t="s">
        <v>1386</v>
      </c>
      <c r="D3951" s="6" t="s">
        <v>943</v>
      </c>
      <c r="G3951" s="6">
        <v>160</v>
      </c>
      <c r="H3951" s="6">
        <v>200</v>
      </c>
      <c r="I3951" s="9"/>
      <c r="J3951" s="9"/>
      <c r="K3951" s="9">
        <v>44008190</v>
      </c>
      <c r="L3951" s="6" t="str">
        <f t="shared" si="376"/>
        <v>1D  BUMBY  YATAK  160x200</v>
      </c>
      <c r="M3951" s="12">
        <v>0.5</v>
      </c>
      <c r="N3951" s="12">
        <v>0.5</v>
      </c>
      <c r="O3951" s="12">
        <v>21600</v>
      </c>
      <c r="P3951" s="12">
        <f t="shared" si="377"/>
        <v>10800</v>
      </c>
      <c r="Q3951" s="12">
        <f t="shared" si="375"/>
        <v>22680</v>
      </c>
      <c r="R3951" s="33">
        <f t="shared" si="378"/>
        <v>22600</v>
      </c>
      <c r="T3951" s="12">
        <v>9530</v>
      </c>
      <c r="U3951" s="12"/>
      <c r="V3951" s="12">
        <f>T3951</f>
        <v>9530</v>
      </c>
      <c r="W3951" s="12">
        <f>V3951*2.5</f>
        <v>23825</v>
      </c>
      <c r="X3951" s="12">
        <f t="shared" ref="X3951:X4014" si="379">ROUNDDOWN(W3951,-2)</f>
        <v>23800</v>
      </c>
    </row>
    <row r="3952" spans="1:24" s="6" customFormat="1" ht="22.15" customHeight="1" x14ac:dyDescent="0.2">
      <c r="A3952" s="6" t="s">
        <v>943</v>
      </c>
      <c r="B3952" s="6" t="s">
        <v>1597</v>
      </c>
      <c r="C3952" s="6" t="s">
        <v>1386</v>
      </c>
      <c r="D3952" s="6" t="s">
        <v>943</v>
      </c>
      <c r="G3952" s="6">
        <v>180</v>
      </c>
      <c r="H3952" s="6">
        <v>200</v>
      </c>
      <c r="I3952" s="9"/>
      <c r="J3952" s="9"/>
      <c r="K3952" s="9">
        <v>44008191</v>
      </c>
      <c r="L3952" s="6" t="str">
        <f t="shared" si="376"/>
        <v>1D  BUMBY  YATAK  180x200</v>
      </c>
      <c r="M3952" s="12">
        <v>0.5</v>
      </c>
      <c r="N3952" s="12">
        <v>0.5</v>
      </c>
      <c r="O3952" s="12">
        <v>24300</v>
      </c>
      <c r="P3952" s="12">
        <f t="shared" si="377"/>
        <v>12150</v>
      </c>
      <c r="Q3952" s="12">
        <f t="shared" si="375"/>
        <v>25515</v>
      </c>
      <c r="R3952" s="33">
        <f t="shared" si="378"/>
        <v>25500</v>
      </c>
      <c r="T3952" s="12"/>
      <c r="U3952" s="12"/>
      <c r="V3952" s="12">
        <f t="shared" ref="V3952:V4015" si="380">T3952</f>
        <v>0</v>
      </c>
      <c r="W3952" s="12">
        <f t="shared" ref="W3952:W4015" si="381">V3952*2.5</f>
        <v>0</v>
      </c>
      <c r="X3952" s="12">
        <f t="shared" si="379"/>
        <v>0</v>
      </c>
    </row>
    <row r="3953" spans="1:24" s="6" customFormat="1" ht="21.95" customHeight="1" x14ac:dyDescent="0.2">
      <c r="A3953" s="6" t="s">
        <v>943</v>
      </c>
      <c r="B3953" s="6" t="s">
        <v>1597</v>
      </c>
      <c r="C3953" s="6" t="s">
        <v>1386</v>
      </c>
      <c r="D3953" s="6" t="s">
        <v>1380</v>
      </c>
      <c r="I3953" s="9"/>
      <c r="J3953" s="9"/>
      <c r="K3953" s="9">
        <v>44008192</v>
      </c>
      <c r="L3953" s="6" t="str">
        <f>B3953&amp;" "&amp;C3953&amp;" "&amp;D3953</f>
        <v>1D  BUMBY  KOMODİN (2 ADET)</v>
      </c>
      <c r="M3953" s="12">
        <v>0.5</v>
      </c>
      <c r="N3953" s="12">
        <v>0.5</v>
      </c>
      <c r="O3953" s="12">
        <v>14520</v>
      </c>
      <c r="P3953" s="12">
        <f t="shared" si="377"/>
        <v>7260</v>
      </c>
      <c r="Q3953" s="12">
        <f t="shared" si="375"/>
        <v>15246</v>
      </c>
      <c r="R3953" s="33">
        <f t="shared" si="378"/>
        <v>15200</v>
      </c>
      <c r="T3953" s="12">
        <v>12380</v>
      </c>
      <c r="U3953" s="12"/>
      <c r="V3953" s="12">
        <f t="shared" si="380"/>
        <v>12380</v>
      </c>
      <c r="W3953" s="12">
        <f t="shared" si="381"/>
        <v>30950</v>
      </c>
      <c r="X3953" s="12">
        <f t="shared" si="379"/>
        <v>30900</v>
      </c>
    </row>
    <row r="3954" spans="1:24" s="6" customFormat="1" ht="21.95" customHeight="1" x14ac:dyDescent="0.2">
      <c r="A3954" s="6" t="s">
        <v>943</v>
      </c>
      <c r="B3954" s="6" t="s">
        <v>1597</v>
      </c>
      <c r="C3954" s="6" t="s">
        <v>1387</v>
      </c>
      <c r="D3954" s="6" t="s">
        <v>2305</v>
      </c>
      <c r="G3954" s="6">
        <v>140</v>
      </c>
      <c r="H3954" s="6">
        <v>200</v>
      </c>
      <c r="I3954" s="9"/>
      <c r="J3954" s="9"/>
      <c r="K3954" s="9">
        <v>44008205</v>
      </c>
      <c r="L3954" s="6" t="str">
        <f t="shared" ref="L3954:L3961" si="382">B3954&amp;" "&amp;C3954&amp;" "&amp;D3954&amp;" "&amp;G3954&amp;"x"&amp;H3954</f>
        <v>1D  BUMBY LUX BAZA + BAŞLIK + TRAVERS 140x200</v>
      </c>
      <c r="M3954" s="12">
        <v>0.5</v>
      </c>
      <c r="N3954" s="12">
        <v>0.5</v>
      </c>
      <c r="O3954" s="12">
        <v>28900</v>
      </c>
      <c r="P3954" s="12">
        <f t="shared" si="377"/>
        <v>14450</v>
      </c>
      <c r="Q3954" s="12">
        <f t="shared" si="375"/>
        <v>30345</v>
      </c>
      <c r="R3954" s="33">
        <f t="shared" si="378"/>
        <v>30300</v>
      </c>
      <c r="T3954" s="12">
        <v>6050</v>
      </c>
      <c r="U3954" s="12"/>
      <c r="V3954" s="12">
        <f t="shared" si="380"/>
        <v>6050</v>
      </c>
      <c r="W3954" s="12">
        <f t="shared" si="381"/>
        <v>15125</v>
      </c>
      <c r="X3954" s="12">
        <f t="shared" si="379"/>
        <v>15100</v>
      </c>
    </row>
    <row r="3955" spans="1:24" s="6" customFormat="1" ht="21.95" customHeight="1" x14ac:dyDescent="0.2">
      <c r="A3955" s="6" t="s">
        <v>943</v>
      </c>
      <c r="B3955" s="6" t="s">
        <v>1597</v>
      </c>
      <c r="C3955" s="6" t="s">
        <v>1387</v>
      </c>
      <c r="D3955" s="6" t="s">
        <v>2305</v>
      </c>
      <c r="G3955" s="6">
        <v>150</v>
      </c>
      <c r="H3955" s="6">
        <v>200</v>
      </c>
      <c r="I3955" s="9"/>
      <c r="J3955" s="9"/>
      <c r="K3955" s="9">
        <v>44008206</v>
      </c>
      <c r="L3955" s="6" t="str">
        <f t="shared" si="382"/>
        <v>1D  BUMBY LUX BAZA + BAŞLIK + TRAVERS 150x200</v>
      </c>
      <c r="M3955" s="12">
        <v>0.5</v>
      </c>
      <c r="N3955" s="12">
        <v>0.5</v>
      </c>
      <c r="O3955" s="12">
        <v>30900</v>
      </c>
      <c r="P3955" s="12">
        <f t="shared" si="377"/>
        <v>15450</v>
      </c>
      <c r="Q3955" s="12">
        <f t="shared" si="375"/>
        <v>32445</v>
      </c>
      <c r="R3955" s="33">
        <f t="shared" si="378"/>
        <v>32400</v>
      </c>
      <c r="T3955" s="12">
        <v>8990</v>
      </c>
      <c r="U3955" s="12"/>
      <c r="V3955" s="12">
        <f t="shared" si="380"/>
        <v>8990</v>
      </c>
      <c r="W3955" s="12">
        <f t="shared" si="381"/>
        <v>22475</v>
      </c>
      <c r="X3955" s="12">
        <f t="shared" si="379"/>
        <v>22400</v>
      </c>
    </row>
    <row r="3956" spans="1:24" s="6" customFormat="1" ht="21.95" customHeight="1" x14ac:dyDescent="0.2">
      <c r="A3956" s="6" t="s">
        <v>943</v>
      </c>
      <c r="B3956" s="6" t="s">
        <v>1597</v>
      </c>
      <c r="C3956" s="6" t="s">
        <v>1387</v>
      </c>
      <c r="D3956" s="6" t="s">
        <v>2305</v>
      </c>
      <c r="G3956" s="6">
        <v>160</v>
      </c>
      <c r="H3956" s="6">
        <v>200</v>
      </c>
      <c r="I3956" s="9"/>
      <c r="J3956" s="9"/>
      <c r="K3956" s="9">
        <v>44008207</v>
      </c>
      <c r="L3956" s="6" t="str">
        <f t="shared" si="382"/>
        <v>1D  BUMBY LUX BAZA + BAŞLIK + TRAVERS 160x200</v>
      </c>
      <c r="M3956" s="12">
        <v>0.5</v>
      </c>
      <c r="N3956" s="12">
        <v>0.5</v>
      </c>
      <c r="O3956" s="12">
        <v>33000</v>
      </c>
      <c r="P3956" s="12">
        <f t="shared" si="377"/>
        <v>16500</v>
      </c>
      <c r="Q3956" s="12">
        <f t="shared" si="375"/>
        <v>34650</v>
      </c>
      <c r="R3956" s="33">
        <f t="shared" si="378"/>
        <v>34600</v>
      </c>
      <c r="T3956" s="12">
        <v>7090</v>
      </c>
      <c r="U3956" s="12"/>
      <c r="V3956" s="12">
        <f t="shared" si="380"/>
        <v>7090</v>
      </c>
      <c r="W3956" s="12">
        <f t="shared" si="381"/>
        <v>17725</v>
      </c>
      <c r="X3956" s="12">
        <f t="shared" si="379"/>
        <v>17700</v>
      </c>
    </row>
    <row r="3957" spans="1:24" s="6" customFormat="1" ht="21.95" customHeight="1" x14ac:dyDescent="0.2">
      <c r="A3957" s="6" t="s">
        <v>943</v>
      </c>
      <c r="B3957" s="6" t="s">
        <v>1597</v>
      </c>
      <c r="C3957" s="6" t="s">
        <v>1387</v>
      </c>
      <c r="D3957" s="6" t="s">
        <v>2305</v>
      </c>
      <c r="G3957" s="6">
        <v>180</v>
      </c>
      <c r="H3957" s="6">
        <v>200</v>
      </c>
      <c r="I3957" s="9"/>
      <c r="J3957" s="9"/>
      <c r="K3957" s="9">
        <v>44008208</v>
      </c>
      <c r="L3957" s="6" t="str">
        <f t="shared" si="382"/>
        <v>1D  BUMBY LUX BAZA + BAŞLIK + TRAVERS 180x200</v>
      </c>
      <c r="M3957" s="12">
        <v>0.5</v>
      </c>
      <c r="N3957" s="12">
        <v>0.5</v>
      </c>
      <c r="O3957" s="12">
        <v>37100</v>
      </c>
      <c r="P3957" s="12">
        <f t="shared" si="377"/>
        <v>18550</v>
      </c>
      <c r="Q3957" s="12">
        <f t="shared" si="375"/>
        <v>38955</v>
      </c>
      <c r="R3957" s="33">
        <f t="shared" si="378"/>
        <v>38900</v>
      </c>
      <c r="T3957" s="12">
        <v>5470</v>
      </c>
      <c r="U3957" s="12"/>
      <c r="V3957" s="12">
        <f t="shared" si="380"/>
        <v>5470</v>
      </c>
      <c r="W3957" s="12">
        <f t="shared" si="381"/>
        <v>13675</v>
      </c>
      <c r="X3957" s="12">
        <f t="shared" si="379"/>
        <v>13600</v>
      </c>
    </row>
    <row r="3958" spans="1:24" s="6" customFormat="1" ht="27.6" customHeight="1" x14ac:dyDescent="0.2">
      <c r="A3958" s="6" t="s">
        <v>943</v>
      </c>
      <c r="B3958" s="6" t="s">
        <v>1597</v>
      </c>
      <c r="C3958" s="6" t="s">
        <v>1387</v>
      </c>
      <c r="D3958" s="6" t="s">
        <v>943</v>
      </c>
      <c r="G3958" s="6">
        <v>140</v>
      </c>
      <c r="H3958" s="6">
        <v>200</v>
      </c>
      <c r="I3958" s="9"/>
      <c r="J3958" s="9"/>
      <c r="K3958" s="9">
        <v>44008213</v>
      </c>
      <c r="L3958" s="6" t="str">
        <f t="shared" si="382"/>
        <v>1D  BUMBY LUX YATAK  140x200</v>
      </c>
      <c r="M3958" s="12">
        <v>0.5</v>
      </c>
      <c r="N3958" s="12">
        <v>0.5</v>
      </c>
      <c r="O3958" s="12">
        <v>22500</v>
      </c>
      <c r="P3958" s="12">
        <f t="shared" si="377"/>
        <v>11250</v>
      </c>
      <c r="Q3958" s="12">
        <f t="shared" si="375"/>
        <v>23625</v>
      </c>
      <c r="R3958" s="33">
        <f t="shared" si="378"/>
        <v>23600</v>
      </c>
      <c r="T3958" s="12"/>
      <c r="U3958" s="12"/>
      <c r="V3958" s="12">
        <f t="shared" si="380"/>
        <v>0</v>
      </c>
      <c r="W3958" s="12">
        <f t="shared" si="381"/>
        <v>0</v>
      </c>
      <c r="X3958" s="12">
        <f t="shared" si="379"/>
        <v>0</v>
      </c>
    </row>
    <row r="3959" spans="1:24" s="6" customFormat="1" ht="21" customHeight="1" x14ac:dyDescent="0.2">
      <c r="A3959" s="6" t="s">
        <v>943</v>
      </c>
      <c r="B3959" s="6" t="s">
        <v>1597</v>
      </c>
      <c r="C3959" s="6" t="s">
        <v>1387</v>
      </c>
      <c r="D3959" s="6" t="s">
        <v>943</v>
      </c>
      <c r="G3959" s="6">
        <v>150</v>
      </c>
      <c r="H3959" s="6">
        <v>200</v>
      </c>
      <c r="I3959" s="9"/>
      <c r="J3959" s="9"/>
      <c r="K3959" s="9">
        <v>44008214</v>
      </c>
      <c r="L3959" s="6" t="str">
        <f t="shared" si="382"/>
        <v>1D  BUMBY LUX YATAK  150x200</v>
      </c>
      <c r="M3959" s="12">
        <v>0.5</v>
      </c>
      <c r="N3959" s="12">
        <v>0.5</v>
      </c>
      <c r="O3959" s="12">
        <v>24100</v>
      </c>
      <c r="P3959" s="12">
        <f t="shared" si="377"/>
        <v>12050</v>
      </c>
      <c r="Q3959" s="12">
        <f t="shared" si="375"/>
        <v>25305</v>
      </c>
      <c r="R3959" s="33">
        <f t="shared" si="378"/>
        <v>25300</v>
      </c>
      <c r="T3959" s="12"/>
      <c r="U3959" s="12"/>
      <c r="V3959" s="12">
        <f t="shared" si="380"/>
        <v>0</v>
      </c>
      <c r="W3959" s="12">
        <f t="shared" si="381"/>
        <v>0</v>
      </c>
      <c r="X3959" s="12">
        <f t="shared" si="379"/>
        <v>0</v>
      </c>
    </row>
    <row r="3960" spans="1:24" s="6" customFormat="1" ht="21.95" customHeight="1" x14ac:dyDescent="0.2">
      <c r="A3960" s="6" t="s">
        <v>943</v>
      </c>
      <c r="B3960" s="6" t="s">
        <v>1597</v>
      </c>
      <c r="C3960" s="6" t="s">
        <v>1387</v>
      </c>
      <c r="D3960" s="6" t="s">
        <v>943</v>
      </c>
      <c r="G3960" s="6">
        <v>160</v>
      </c>
      <c r="H3960" s="6">
        <v>200</v>
      </c>
      <c r="I3960" s="9"/>
      <c r="J3960" s="9"/>
      <c r="K3960" s="9">
        <v>44008215</v>
      </c>
      <c r="L3960" s="6" t="str">
        <f t="shared" si="382"/>
        <v>1D  BUMBY LUX YATAK  160x200</v>
      </c>
      <c r="M3960" s="12">
        <v>0.5</v>
      </c>
      <c r="N3960" s="12">
        <v>0.5</v>
      </c>
      <c r="O3960" s="12">
        <v>25700</v>
      </c>
      <c r="P3960" s="12">
        <f t="shared" si="377"/>
        <v>12850</v>
      </c>
      <c r="Q3960" s="12">
        <f t="shared" si="375"/>
        <v>26985</v>
      </c>
      <c r="R3960" s="33">
        <f t="shared" si="378"/>
        <v>26900</v>
      </c>
      <c r="T3960" s="12">
        <v>7190</v>
      </c>
      <c r="U3960" s="12"/>
      <c r="V3960" s="12">
        <f t="shared" si="380"/>
        <v>7190</v>
      </c>
      <c r="W3960" s="12">
        <f t="shared" si="381"/>
        <v>17975</v>
      </c>
      <c r="X3960" s="12">
        <f t="shared" si="379"/>
        <v>17900</v>
      </c>
    </row>
    <row r="3961" spans="1:24" s="6" customFormat="1" ht="21.95" customHeight="1" x14ac:dyDescent="0.2">
      <c r="A3961" s="6" t="s">
        <v>943</v>
      </c>
      <c r="B3961" s="6" t="s">
        <v>1597</v>
      </c>
      <c r="C3961" s="6" t="s">
        <v>1387</v>
      </c>
      <c r="D3961" s="6" t="s">
        <v>943</v>
      </c>
      <c r="G3961" s="6">
        <v>180</v>
      </c>
      <c r="H3961" s="6">
        <v>200</v>
      </c>
      <c r="I3961" s="9"/>
      <c r="J3961" s="9"/>
      <c r="K3961" s="9">
        <v>44008216</v>
      </c>
      <c r="L3961" s="6" t="str">
        <f t="shared" si="382"/>
        <v>1D  BUMBY LUX YATAK  180x200</v>
      </c>
      <c r="M3961" s="12">
        <v>0.5</v>
      </c>
      <c r="N3961" s="12">
        <v>0.5</v>
      </c>
      <c r="O3961" s="12">
        <v>28900</v>
      </c>
      <c r="P3961" s="12">
        <f t="shared" si="377"/>
        <v>14450</v>
      </c>
      <c r="Q3961" s="12">
        <f t="shared" si="375"/>
        <v>30345</v>
      </c>
      <c r="R3961" s="33">
        <f t="shared" si="378"/>
        <v>30300</v>
      </c>
      <c r="T3961" s="12">
        <v>6260</v>
      </c>
      <c r="U3961" s="12"/>
      <c r="V3961" s="12">
        <f t="shared" si="380"/>
        <v>6260</v>
      </c>
      <c r="W3961" s="12">
        <f t="shared" si="381"/>
        <v>15650</v>
      </c>
      <c r="X3961" s="12">
        <f t="shared" si="379"/>
        <v>15600</v>
      </c>
    </row>
    <row r="3962" spans="1:24" s="6" customFormat="1" ht="27.6" customHeight="1" x14ac:dyDescent="0.2">
      <c r="A3962" s="6" t="s">
        <v>943</v>
      </c>
      <c r="B3962" s="6" t="s">
        <v>1597</v>
      </c>
      <c r="C3962" s="6" t="s">
        <v>1387</v>
      </c>
      <c r="D3962" s="6" t="s">
        <v>1380</v>
      </c>
      <c r="I3962" s="9"/>
      <c r="J3962" s="9"/>
      <c r="K3962" s="9">
        <v>44008217</v>
      </c>
      <c r="L3962" s="6" t="str">
        <f>B3962&amp;" "&amp;C3962&amp;" "&amp;D3962</f>
        <v>1D  BUMBY LUX KOMODİN (2 ADET)</v>
      </c>
      <c r="M3962" s="12">
        <v>0.5</v>
      </c>
      <c r="N3962" s="12">
        <v>0.5</v>
      </c>
      <c r="O3962" s="12">
        <v>14520</v>
      </c>
      <c r="P3962" s="12">
        <f t="shared" si="377"/>
        <v>7260</v>
      </c>
      <c r="Q3962" s="12">
        <f t="shared" si="375"/>
        <v>15246</v>
      </c>
      <c r="R3962" s="33">
        <f t="shared" si="378"/>
        <v>15200</v>
      </c>
      <c r="T3962" s="12"/>
      <c r="U3962" s="12"/>
      <c r="V3962" s="12">
        <f t="shared" si="380"/>
        <v>0</v>
      </c>
      <c r="W3962" s="12">
        <f t="shared" si="381"/>
        <v>0</v>
      </c>
      <c r="X3962" s="12">
        <f t="shared" si="379"/>
        <v>0</v>
      </c>
    </row>
    <row r="3963" spans="1:24" s="6" customFormat="1" ht="21.95" customHeight="1" x14ac:dyDescent="0.2">
      <c r="A3963" s="6" t="s">
        <v>943</v>
      </c>
      <c r="B3963" s="6" t="s">
        <v>1597</v>
      </c>
      <c r="C3963" s="6" t="s">
        <v>1388</v>
      </c>
      <c r="D3963" s="6" t="s">
        <v>989</v>
      </c>
      <c r="G3963" s="6">
        <v>90</v>
      </c>
      <c r="H3963" s="6">
        <v>190</v>
      </c>
      <c r="I3963" s="9"/>
      <c r="J3963" s="9"/>
      <c r="K3963" s="9">
        <v>44008218</v>
      </c>
      <c r="L3963" s="6" t="str">
        <f t="shared" ref="L3963:L3986" si="383">B3963&amp;" "&amp;C3963&amp;" "&amp;D3963&amp;" "&amp;G3963&amp;"x"&amp;H3963</f>
        <v>1D  CANCUN  BAZA  90x190</v>
      </c>
      <c r="M3963" s="12">
        <v>0.5</v>
      </c>
      <c r="N3963" s="12">
        <v>0.5</v>
      </c>
      <c r="O3963" s="12">
        <v>10600</v>
      </c>
      <c r="P3963" s="12">
        <f t="shared" si="377"/>
        <v>5300</v>
      </c>
      <c r="Q3963" s="12">
        <f t="shared" si="375"/>
        <v>11130</v>
      </c>
      <c r="R3963" s="33">
        <f t="shared" si="378"/>
        <v>11100</v>
      </c>
      <c r="T3963" s="12">
        <v>3290</v>
      </c>
      <c r="U3963" s="12"/>
      <c r="V3963" s="12">
        <f t="shared" si="380"/>
        <v>3290</v>
      </c>
      <c r="W3963" s="12">
        <f t="shared" si="381"/>
        <v>8225</v>
      </c>
      <c r="X3963" s="12">
        <f t="shared" si="379"/>
        <v>8200</v>
      </c>
    </row>
    <row r="3964" spans="1:24" s="6" customFormat="1" ht="21.95" customHeight="1" x14ac:dyDescent="0.2">
      <c r="A3964" s="6" t="s">
        <v>943</v>
      </c>
      <c r="B3964" s="6" t="s">
        <v>1597</v>
      </c>
      <c r="C3964" s="6" t="s">
        <v>1388</v>
      </c>
      <c r="D3964" s="6" t="s">
        <v>989</v>
      </c>
      <c r="G3964" s="6">
        <v>90</v>
      </c>
      <c r="H3964" s="6">
        <v>200</v>
      </c>
      <c r="I3964" s="9"/>
      <c r="J3964" s="9"/>
      <c r="K3964" s="9">
        <v>44008219</v>
      </c>
      <c r="L3964" s="6" t="str">
        <f t="shared" si="383"/>
        <v>1D  CANCUN  BAZA  90x200</v>
      </c>
      <c r="M3964" s="12">
        <v>0.5</v>
      </c>
      <c r="N3964" s="12">
        <v>0.5</v>
      </c>
      <c r="O3964" s="12">
        <v>11100</v>
      </c>
      <c r="P3964" s="12">
        <f t="shared" si="377"/>
        <v>5550</v>
      </c>
      <c r="Q3964" s="12">
        <f t="shared" si="375"/>
        <v>11655</v>
      </c>
      <c r="R3964" s="33">
        <f t="shared" si="378"/>
        <v>11600</v>
      </c>
      <c r="T3964" s="12">
        <v>12000</v>
      </c>
      <c r="U3964" s="12"/>
      <c r="V3964" s="12">
        <f t="shared" si="380"/>
        <v>12000</v>
      </c>
      <c r="W3964" s="12">
        <f t="shared" si="381"/>
        <v>30000</v>
      </c>
      <c r="X3964" s="12">
        <f t="shared" si="379"/>
        <v>30000</v>
      </c>
    </row>
    <row r="3965" spans="1:24" s="6" customFormat="1" ht="27.6" customHeight="1" x14ac:dyDescent="0.2">
      <c r="A3965" s="6" t="s">
        <v>943</v>
      </c>
      <c r="B3965" s="6" t="s">
        <v>1597</v>
      </c>
      <c r="C3965" s="6" t="s">
        <v>1388</v>
      </c>
      <c r="D3965" s="6" t="s">
        <v>989</v>
      </c>
      <c r="G3965" s="6">
        <v>100</v>
      </c>
      <c r="H3965" s="6">
        <v>200</v>
      </c>
      <c r="I3965" s="9"/>
      <c r="J3965" s="9"/>
      <c r="K3965" s="9">
        <v>44008220</v>
      </c>
      <c r="L3965" s="6" t="str">
        <f t="shared" si="383"/>
        <v>1D  CANCUN  BAZA  100x200</v>
      </c>
      <c r="M3965" s="12">
        <v>0.5</v>
      </c>
      <c r="N3965" s="12">
        <v>0.5</v>
      </c>
      <c r="O3965" s="12">
        <v>12400</v>
      </c>
      <c r="P3965" s="12">
        <f t="shared" si="377"/>
        <v>6200</v>
      </c>
      <c r="Q3965" s="12">
        <f t="shared" si="375"/>
        <v>13020</v>
      </c>
      <c r="R3965" s="33">
        <f t="shared" si="378"/>
        <v>13000</v>
      </c>
      <c r="T3965" s="12"/>
      <c r="U3965" s="12"/>
      <c r="V3965" s="12">
        <f t="shared" si="380"/>
        <v>0</v>
      </c>
      <c r="W3965" s="12">
        <f t="shared" si="381"/>
        <v>0</v>
      </c>
      <c r="X3965" s="12">
        <f t="shared" si="379"/>
        <v>0</v>
      </c>
    </row>
    <row r="3966" spans="1:24" s="6" customFormat="1" ht="21.95" customHeight="1" x14ac:dyDescent="0.2">
      <c r="A3966" s="6" t="s">
        <v>943</v>
      </c>
      <c r="B3966" s="6" t="s">
        <v>1597</v>
      </c>
      <c r="C3966" s="6" t="s">
        <v>1388</v>
      </c>
      <c r="D3966" s="6" t="s">
        <v>989</v>
      </c>
      <c r="G3966" s="6">
        <v>120</v>
      </c>
      <c r="H3966" s="6">
        <v>200</v>
      </c>
      <c r="I3966" s="9"/>
      <c r="J3966" s="9"/>
      <c r="K3966" s="9">
        <v>44008221</v>
      </c>
      <c r="L3966" s="6" t="str">
        <f t="shared" si="383"/>
        <v>1D  CANCUN  BAZA  120x200</v>
      </c>
      <c r="M3966" s="12">
        <v>0.5</v>
      </c>
      <c r="N3966" s="12">
        <v>0.5</v>
      </c>
      <c r="O3966" s="12">
        <v>14900</v>
      </c>
      <c r="P3966" s="12">
        <f t="shared" si="377"/>
        <v>7450</v>
      </c>
      <c r="Q3966" s="12">
        <f t="shared" si="375"/>
        <v>15645</v>
      </c>
      <c r="R3966" s="33">
        <f t="shared" si="378"/>
        <v>15600</v>
      </c>
      <c r="T3966" s="12">
        <v>9000</v>
      </c>
      <c r="U3966" s="12"/>
      <c r="V3966" s="12">
        <f t="shared" si="380"/>
        <v>9000</v>
      </c>
      <c r="W3966" s="12">
        <f t="shared" si="381"/>
        <v>22500</v>
      </c>
      <c r="X3966" s="12">
        <f t="shared" si="379"/>
        <v>22500</v>
      </c>
    </row>
    <row r="3967" spans="1:24" s="6" customFormat="1" ht="27.6" customHeight="1" x14ac:dyDescent="0.2">
      <c r="A3967" s="6" t="s">
        <v>943</v>
      </c>
      <c r="B3967" s="6" t="s">
        <v>1597</v>
      </c>
      <c r="C3967" s="6" t="s">
        <v>1388</v>
      </c>
      <c r="D3967" s="6" t="s">
        <v>989</v>
      </c>
      <c r="G3967" s="6">
        <v>140</v>
      </c>
      <c r="H3967" s="6">
        <v>200</v>
      </c>
      <c r="I3967" s="9"/>
      <c r="J3967" s="9"/>
      <c r="K3967" s="9">
        <v>44008222</v>
      </c>
      <c r="L3967" s="6" t="str">
        <f t="shared" si="383"/>
        <v>1D  CANCUN  BAZA  140x200</v>
      </c>
      <c r="M3967" s="12">
        <v>0.5</v>
      </c>
      <c r="N3967" s="12">
        <v>0.5</v>
      </c>
      <c r="O3967" s="12">
        <v>17300</v>
      </c>
      <c r="P3967" s="12">
        <f t="shared" si="377"/>
        <v>8650</v>
      </c>
      <c r="Q3967" s="12">
        <f t="shared" si="375"/>
        <v>18165</v>
      </c>
      <c r="R3967" s="33">
        <f t="shared" si="378"/>
        <v>18100</v>
      </c>
      <c r="T3967" s="12"/>
      <c r="U3967" s="12"/>
      <c r="V3967" s="12">
        <f t="shared" si="380"/>
        <v>0</v>
      </c>
      <c r="W3967" s="12">
        <f t="shared" si="381"/>
        <v>0</v>
      </c>
      <c r="X3967" s="12">
        <f t="shared" si="379"/>
        <v>0</v>
      </c>
    </row>
    <row r="3968" spans="1:24" s="6" customFormat="1" ht="27.6" customHeight="1" x14ac:dyDescent="0.2">
      <c r="A3968" s="6" t="s">
        <v>943</v>
      </c>
      <c r="B3968" s="6" t="s">
        <v>1597</v>
      </c>
      <c r="C3968" s="6" t="s">
        <v>1388</v>
      </c>
      <c r="D3968" s="6" t="s">
        <v>989</v>
      </c>
      <c r="G3968" s="6">
        <v>150</v>
      </c>
      <c r="H3968" s="6">
        <v>200</v>
      </c>
      <c r="I3968" s="9"/>
      <c r="J3968" s="9"/>
      <c r="K3968" s="9">
        <v>44008223</v>
      </c>
      <c r="L3968" s="6" t="str">
        <f t="shared" si="383"/>
        <v>1D  CANCUN  BAZA  150x200</v>
      </c>
      <c r="M3968" s="12">
        <v>0.5</v>
      </c>
      <c r="N3968" s="12">
        <v>0.5</v>
      </c>
      <c r="O3968" s="12">
        <v>18600</v>
      </c>
      <c r="P3968" s="12">
        <f t="shared" si="377"/>
        <v>9300</v>
      </c>
      <c r="Q3968" s="12">
        <f t="shared" si="375"/>
        <v>19530</v>
      </c>
      <c r="R3968" s="33">
        <f t="shared" si="378"/>
        <v>19500</v>
      </c>
      <c r="T3968" s="12"/>
      <c r="U3968" s="12"/>
      <c r="V3968" s="12">
        <f t="shared" si="380"/>
        <v>0</v>
      </c>
      <c r="W3968" s="12">
        <f t="shared" si="381"/>
        <v>0</v>
      </c>
      <c r="X3968" s="12">
        <f t="shared" si="379"/>
        <v>0</v>
      </c>
    </row>
    <row r="3969" spans="1:24" s="6" customFormat="1" ht="27.6" customHeight="1" x14ac:dyDescent="0.2">
      <c r="A3969" s="6" t="s">
        <v>943</v>
      </c>
      <c r="B3969" s="6" t="s">
        <v>1597</v>
      </c>
      <c r="C3969" s="6" t="s">
        <v>1388</v>
      </c>
      <c r="D3969" s="6" t="s">
        <v>989</v>
      </c>
      <c r="G3969" s="6">
        <v>160</v>
      </c>
      <c r="H3969" s="6">
        <v>200</v>
      </c>
      <c r="I3969" s="9"/>
      <c r="J3969" s="9"/>
      <c r="K3969" s="9">
        <v>44008224</v>
      </c>
      <c r="L3969" s="6" t="str">
        <f t="shared" si="383"/>
        <v>1D  CANCUN  BAZA  160x200</v>
      </c>
      <c r="M3969" s="12">
        <v>0.5</v>
      </c>
      <c r="N3969" s="12">
        <v>0.5</v>
      </c>
      <c r="O3969" s="12">
        <v>19800</v>
      </c>
      <c r="P3969" s="12">
        <f t="shared" si="377"/>
        <v>9900</v>
      </c>
      <c r="Q3969" s="12">
        <f t="shared" si="375"/>
        <v>20790</v>
      </c>
      <c r="R3969" s="33">
        <f t="shared" si="378"/>
        <v>20700</v>
      </c>
      <c r="T3969" s="12"/>
      <c r="U3969" s="12"/>
      <c r="V3969" s="12">
        <f t="shared" si="380"/>
        <v>0</v>
      </c>
      <c r="W3969" s="12">
        <f t="shared" si="381"/>
        <v>0</v>
      </c>
      <c r="X3969" s="12">
        <f t="shared" si="379"/>
        <v>0</v>
      </c>
    </row>
    <row r="3970" spans="1:24" s="6" customFormat="1" ht="21.95" customHeight="1" x14ac:dyDescent="0.2">
      <c r="A3970" s="6" t="s">
        <v>943</v>
      </c>
      <c r="B3970" s="6" t="s">
        <v>1597</v>
      </c>
      <c r="C3970" s="6" t="s">
        <v>1388</v>
      </c>
      <c r="D3970" s="6" t="s">
        <v>989</v>
      </c>
      <c r="G3970" s="6">
        <v>180</v>
      </c>
      <c r="H3970" s="6">
        <v>200</v>
      </c>
      <c r="I3970" s="9"/>
      <c r="J3970" s="9"/>
      <c r="K3970" s="9">
        <v>44008225</v>
      </c>
      <c r="L3970" s="6" t="str">
        <f t="shared" si="383"/>
        <v>1D  CANCUN  BAZA  180x200</v>
      </c>
      <c r="M3970" s="12">
        <v>0.5</v>
      </c>
      <c r="N3970" s="12">
        <v>0.5</v>
      </c>
      <c r="O3970" s="12">
        <v>22300</v>
      </c>
      <c r="P3970" s="12">
        <f t="shared" si="377"/>
        <v>11150</v>
      </c>
      <c r="Q3970" s="12">
        <f t="shared" si="375"/>
        <v>23415</v>
      </c>
      <c r="R3970" s="33">
        <f t="shared" si="378"/>
        <v>23400</v>
      </c>
      <c r="T3970" s="12">
        <v>17240</v>
      </c>
      <c r="U3970" s="12"/>
      <c r="V3970" s="12">
        <f t="shared" si="380"/>
        <v>17240</v>
      </c>
      <c r="W3970" s="12">
        <f t="shared" si="381"/>
        <v>43100</v>
      </c>
      <c r="X3970" s="12">
        <f t="shared" si="379"/>
        <v>43100</v>
      </c>
    </row>
    <row r="3971" spans="1:24" s="6" customFormat="1" ht="27.6" customHeight="1" x14ac:dyDescent="0.2">
      <c r="A3971" s="6" t="s">
        <v>943</v>
      </c>
      <c r="B3971" s="6" t="s">
        <v>1597</v>
      </c>
      <c r="C3971" s="6" t="s">
        <v>1388</v>
      </c>
      <c r="D3971" s="6" t="s">
        <v>1003</v>
      </c>
      <c r="G3971" s="6">
        <v>90</v>
      </c>
      <c r="H3971" s="6">
        <v>190</v>
      </c>
      <c r="I3971" s="9"/>
      <c r="J3971" s="9"/>
      <c r="K3971" s="9">
        <v>44008226</v>
      </c>
      <c r="L3971" s="6" t="str">
        <f t="shared" si="383"/>
        <v>1D  CANCUN  BAŞLIK  90x190</v>
      </c>
      <c r="M3971" s="12">
        <v>0.5</v>
      </c>
      <c r="N3971" s="12">
        <v>0.5</v>
      </c>
      <c r="O3971" s="12">
        <v>8000</v>
      </c>
      <c r="P3971" s="12">
        <f t="shared" si="377"/>
        <v>4000</v>
      </c>
      <c r="Q3971" s="12">
        <f t="shared" si="375"/>
        <v>8400</v>
      </c>
      <c r="R3971" s="33">
        <f t="shared" si="378"/>
        <v>8400</v>
      </c>
      <c r="T3971" s="12"/>
      <c r="U3971" s="12"/>
      <c r="V3971" s="12">
        <f t="shared" si="380"/>
        <v>0</v>
      </c>
      <c r="W3971" s="12">
        <f t="shared" si="381"/>
        <v>0</v>
      </c>
      <c r="X3971" s="12">
        <f t="shared" si="379"/>
        <v>0</v>
      </c>
    </row>
    <row r="3972" spans="1:24" s="6" customFormat="1" ht="21.95" customHeight="1" x14ac:dyDescent="0.2">
      <c r="A3972" s="6" t="s">
        <v>943</v>
      </c>
      <c r="B3972" s="6" t="s">
        <v>1597</v>
      </c>
      <c r="C3972" s="6" t="s">
        <v>1388</v>
      </c>
      <c r="D3972" s="6" t="s">
        <v>1003</v>
      </c>
      <c r="G3972" s="6">
        <v>90</v>
      </c>
      <c r="H3972" s="6">
        <v>200</v>
      </c>
      <c r="I3972" s="9"/>
      <c r="J3972" s="9"/>
      <c r="K3972" s="9">
        <v>44008227</v>
      </c>
      <c r="L3972" s="6" t="str">
        <f t="shared" si="383"/>
        <v>1D  CANCUN  BAŞLIK  90x200</v>
      </c>
      <c r="M3972" s="12">
        <v>0.5</v>
      </c>
      <c r="N3972" s="12">
        <v>0.5</v>
      </c>
      <c r="O3972" s="12">
        <v>8400</v>
      </c>
      <c r="P3972" s="12">
        <f t="shared" si="377"/>
        <v>4200</v>
      </c>
      <c r="Q3972" s="12">
        <f t="shared" si="375"/>
        <v>8820</v>
      </c>
      <c r="R3972" s="33">
        <f t="shared" si="378"/>
        <v>8800</v>
      </c>
      <c r="T3972" s="12">
        <v>20060</v>
      </c>
      <c r="U3972" s="12"/>
      <c r="V3972" s="12">
        <f t="shared" si="380"/>
        <v>20060</v>
      </c>
      <c r="W3972" s="12">
        <f t="shared" si="381"/>
        <v>50150</v>
      </c>
      <c r="X3972" s="12">
        <f t="shared" si="379"/>
        <v>50100</v>
      </c>
    </row>
    <row r="3973" spans="1:24" s="6" customFormat="1" ht="21.95" customHeight="1" x14ac:dyDescent="0.2">
      <c r="A3973" s="6" t="s">
        <v>943</v>
      </c>
      <c r="B3973" s="6" t="s">
        <v>1597</v>
      </c>
      <c r="C3973" s="6" t="s">
        <v>1388</v>
      </c>
      <c r="D3973" s="6" t="s">
        <v>1003</v>
      </c>
      <c r="G3973" s="6">
        <v>100</v>
      </c>
      <c r="H3973" s="6">
        <v>200</v>
      </c>
      <c r="I3973" s="9"/>
      <c r="J3973" s="9"/>
      <c r="K3973" s="9">
        <v>44008228</v>
      </c>
      <c r="L3973" s="6" t="str">
        <f t="shared" si="383"/>
        <v>1D  CANCUN  BAŞLIK  100x200</v>
      </c>
      <c r="M3973" s="12">
        <v>0.5</v>
      </c>
      <c r="N3973" s="12">
        <v>0.5</v>
      </c>
      <c r="O3973" s="12">
        <v>9400</v>
      </c>
      <c r="P3973" s="12">
        <f t="shared" si="377"/>
        <v>4700</v>
      </c>
      <c r="Q3973" s="12">
        <f t="shared" si="375"/>
        <v>9870</v>
      </c>
      <c r="R3973" s="33">
        <f t="shared" si="378"/>
        <v>9800</v>
      </c>
      <c r="T3973" s="12">
        <v>21930</v>
      </c>
      <c r="U3973" s="12"/>
      <c r="V3973" s="12">
        <f t="shared" si="380"/>
        <v>21930</v>
      </c>
      <c r="W3973" s="12">
        <f t="shared" si="381"/>
        <v>54825</v>
      </c>
      <c r="X3973" s="12">
        <f t="shared" si="379"/>
        <v>54800</v>
      </c>
    </row>
    <row r="3974" spans="1:24" s="6" customFormat="1" ht="27.6" customHeight="1" x14ac:dyDescent="0.2">
      <c r="A3974" s="6" t="s">
        <v>943</v>
      </c>
      <c r="B3974" s="6" t="s">
        <v>1597</v>
      </c>
      <c r="C3974" s="6" t="s">
        <v>1388</v>
      </c>
      <c r="D3974" s="6" t="s">
        <v>1003</v>
      </c>
      <c r="G3974" s="6">
        <v>120</v>
      </c>
      <c r="H3974" s="6">
        <v>200</v>
      </c>
      <c r="I3974" s="9"/>
      <c r="J3974" s="9"/>
      <c r="K3974" s="9">
        <v>44008229</v>
      </c>
      <c r="L3974" s="6" t="str">
        <f t="shared" si="383"/>
        <v>1D  CANCUN  BAŞLIK  120x200</v>
      </c>
      <c r="M3974" s="12">
        <v>0.5</v>
      </c>
      <c r="N3974" s="12">
        <v>0.5</v>
      </c>
      <c r="O3974" s="12">
        <v>11300</v>
      </c>
      <c r="P3974" s="12">
        <f t="shared" si="377"/>
        <v>5650</v>
      </c>
      <c r="Q3974" s="12">
        <f t="shared" si="375"/>
        <v>11865</v>
      </c>
      <c r="R3974" s="33">
        <f t="shared" si="378"/>
        <v>11800</v>
      </c>
      <c r="T3974" s="12"/>
      <c r="U3974" s="12"/>
      <c r="V3974" s="12">
        <f t="shared" si="380"/>
        <v>0</v>
      </c>
      <c r="W3974" s="12">
        <f t="shared" si="381"/>
        <v>0</v>
      </c>
      <c r="X3974" s="12">
        <f t="shared" si="379"/>
        <v>0</v>
      </c>
    </row>
    <row r="3975" spans="1:24" s="6" customFormat="1" ht="21.95" customHeight="1" x14ac:dyDescent="0.2">
      <c r="A3975" s="6" t="s">
        <v>943</v>
      </c>
      <c r="B3975" s="6" t="s">
        <v>1597</v>
      </c>
      <c r="C3975" s="6" t="s">
        <v>1388</v>
      </c>
      <c r="D3975" s="6" t="s">
        <v>1003</v>
      </c>
      <c r="G3975" s="6">
        <v>140</v>
      </c>
      <c r="H3975" s="6">
        <v>200</v>
      </c>
      <c r="I3975" s="9"/>
      <c r="J3975" s="9"/>
      <c r="K3975" s="9">
        <v>44008230</v>
      </c>
      <c r="L3975" s="6" t="str">
        <f t="shared" si="383"/>
        <v>1D  CANCUN  BAŞLIK  140x200</v>
      </c>
      <c r="M3975" s="12">
        <v>0.5</v>
      </c>
      <c r="N3975" s="12">
        <v>0.5</v>
      </c>
      <c r="O3975" s="12">
        <v>13100</v>
      </c>
      <c r="P3975" s="12">
        <f t="shared" si="377"/>
        <v>6550</v>
      </c>
      <c r="Q3975" s="12">
        <f t="shared" si="375"/>
        <v>13755</v>
      </c>
      <c r="R3975" s="33">
        <f t="shared" si="378"/>
        <v>13700</v>
      </c>
      <c r="T3975" s="12">
        <v>26400</v>
      </c>
      <c r="U3975" s="12"/>
      <c r="V3975" s="12">
        <f t="shared" si="380"/>
        <v>26400</v>
      </c>
      <c r="W3975" s="12">
        <f t="shared" si="381"/>
        <v>66000</v>
      </c>
      <c r="X3975" s="12">
        <f t="shared" si="379"/>
        <v>66000</v>
      </c>
    </row>
    <row r="3976" spans="1:24" s="6" customFormat="1" ht="21.95" customHeight="1" x14ac:dyDescent="0.2">
      <c r="A3976" s="6" t="s">
        <v>943</v>
      </c>
      <c r="B3976" s="6" t="s">
        <v>1597</v>
      </c>
      <c r="C3976" s="6" t="s">
        <v>1388</v>
      </c>
      <c r="D3976" s="6" t="s">
        <v>1003</v>
      </c>
      <c r="G3976" s="6">
        <v>150</v>
      </c>
      <c r="H3976" s="6">
        <v>200</v>
      </c>
      <c r="I3976" s="9"/>
      <c r="J3976" s="9"/>
      <c r="K3976" s="9">
        <v>44008231</v>
      </c>
      <c r="L3976" s="6" t="str">
        <f t="shared" si="383"/>
        <v>1D  CANCUN  BAŞLIK  150x200</v>
      </c>
      <c r="M3976" s="12">
        <v>0.5</v>
      </c>
      <c r="N3976" s="12">
        <v>0.5</v>
      </c>
      <c r="O3976" s="12">
        <v>14100</v>
      </c>
      <c r="P3976" s="12">
        <f t="shared" si="377"/>
        <v>7050</v>
      </c>
      <c r="Q3976" s="12">
        <f t="shared" si="375"/>
        <v>14805</v>
      </c>
      <c r="R3976" s="33">
        <f t="shared" si="378"/>
        <v>14800</v>
      </c>
      <c r="T3976" s="12">
        <v>8420</v>
      </c>
      <c r="U3976" s="12"/>
      <c r="V3976" s="12">
        <f t="shared" si="380"/>
        <v>8420</v>
      </c>
      <c r="W3976" s="12">
        <f t="shared" si="381"/>
        <v>21050</v>
      </c>
      <c r="X3976" s="12">
        <f t="shared" si="379"/>
        <v>21000</v>
      </c>
    </row>
    <row r="3977" spans="1:24" s="6" customFormat="1" ht="27.6" customHeight="1" x14ac:dyDescent="0.2">
      <c r="A3977" s="6" t="s">
        <v>943</v>
      </c>
      <c r="B3977" s="6" t="s">
        <v>1597</v>
      </c>
      <c r="C3977" s="6" t="s">
        <v>1388</v>
      </c>
      <c r="D3977" s="6" t="s">
        <v>1003</v>
      </c>
      <c r="G3977" s="6">
        <v>160</v>
      </c>
      <c r="H3977" s="6">
        <v>200</v>
      </c>
      <c r="I3977" s="9"/>
      <c r="J3977" s="9"/>
      <c r="K3977" s="9">
        <v>44008232</v>
      </c>
      <c r="L3977" s="6" t="str">
        <f t="shared" si="383"/>
        <v>1D  CANCUN  BAŞLIK  160x200</v>
      </c>
      <c r="M3977" s="12">
        <v>0.5</v>
      </c>
      <c r="N3977" s="12">
        <v>0.5</v>
      </c>
      <c r="O3977" s="12">
        <v>15000</v>
      </c>
      <c r="P3977" s="12">
        <f t="shared" si="377"/>
        <v>7500</v>
      </c>
      <c r="Q3977" s="12">
        <f t="shared" si="375"/>
        <v>15750</v>
      </c>
      <c r="R3977" s="33">
        <f t="shared" si="378"/>
        <v>15700</v>
      </c>
      <c r="T3977" s="12"/>
      <c r="U3977" s="12"/>
      <c r="V3977" s="12">
        <f t="shared" si="380"/>
        <v>0</v>
      </c>
      <c r="W3977" s="12">
        <f t="shared" si="381"/>
        <v>0</v>
      </c>
      <c r="X3977" s="12">
        <f t="shared" si="379"/>
        <v>0</v>
      </c>
    </row>
    <row r="3978" spans="1:24" s="6" customFormat="1" ht="21.95" customHeight="1" x14ac:dyDescent="0.2">
      <c r="A3978" s="6" t="s">
        <v>943</v>
      </c>
      <c r="B3978" s="6" t="s">
        <v>1597</v>
      </c>
      <c r="C3978" s="6" t="s">
        <v>1388</v>
      </c>
      <c r="D3978" s="6" t="s">
        <v>1003</v>
      </c>
      <c r="G3978" s="6">
        <v>180</v>
      </c>
      <c r="H3978" s="6">
        <v>200</v>
      </c>
      <c r="I3978" s="9"/>
      <c r="J3978" s="9"/>
      <c r="K3978" s="9">
        <v>44008233</v>
      </c>
      <c r="L3978" s="6" t="str">
        <f t="shared" si="383"/>
        <v>1D  CANCUN  BAŞLIK  180x200</v>
      </c>
      <c r="M3978" s="12">
        <v>0.5</v>
      </c>
      <c r="N3978" s="12">
        <v>0.5</v>
      </c>
      <c r="O3978" s="12">
        <v>16900</v>
      </c>
      <c r="P3978" s="12">
        <f t="shared" si="377"/>
        <v>8450</v>
      </c>
      <c r="Q3978" s="12">
        <f t="shared" si="375"/>
        <v>17745</v>
      </c>
      <c r="R3978" s="33">
        <f t="shared" si="378"/>
        <v>17700</v>
      </c>
      <c r="T3978" s="12">
        <v>6660</v>
      </c>
      <c r="U3978" s="12"/>
      <c r="V3978" s="12">
        <f t="shared" si="380"/>
        <v>6660</v>
      </c>
      <c r="W3978" s="12">
        <f t="shared" si="381"/>
        <v>16650</v>
      </c>
      <c r="X3978" s="12">
        <f t="shared" si="379"/>
        <v>16600</v>
      </c>
    </row>
    <row r="3979" spans="1:24" s="6" customFormat="1" ht="21.95" customHeight="1" x14ac:dyDescent="0.2">
      <c r="A3979" s="6" t="s">
        <v>943</v>
      </c>
      <c r="B3979" s="6" t="s">
        <v>1597</v>
      </c>
      <c r="C3979" s="6" t="s">
        <v>1388</v>
      </c>
      <c r="D3979" s="6" t="s">
        <v>943</v>
      </c>
      <c r="G3979" s="6">
        <v>90</v>
      </c>
      <c r="H3979" s="6">
        <v>190</v>
      </c>
      <c r="I3979" s="9"/>
      <c r="J3979" s="9"/>
      <c r="K3979" s="9">
        <v>44008234</v>
      </c>
      <c r="L3979" s="6" t="str">
        <f t="shared" si="383"/>
        <v>1D  CANCUN  YATAK  90x190</v>
      </c>
      <c r="M3979" s="12">
        <v>0.5</v>
      </c>
      <c r="N3979" s="12">
        <v>0.5</v>
      </c>
      <c r="O3979" s="12">
        <v>11700</v>
      </c>
      <c r="P3979" s="12">
        <f t="shared" si="377"/>
        <v>5850</v>
      </c>
      <c r="Q3979" s="12">
        <f t="shared" si="375"/>
        <v>12285</v>
      </c>
      <c r="R3979" s="33">
        <f t="shared" si="378"/>
        <v>12200</v>
      </c>
      <c r="T3979" s="12">
        <v>5760</v>
      </c>
      <c r="U3979" s="12"/>
      <c r="V3979" s="12">
        <f t="shared" si="380"/>
        <v>5760</v>
      </c>
      <c r="W3979" s="12">
        <f t="shared" si="381"/>
        <v>14400</v>
      </c>
      <c r="X3979" s="12">
        <f t="shared" si="379"/>
        <v>14400</v>
      </c>
    </row>
    <row r="3980" spans="1:24" s="6" customFormat="1" ht="21.95" customHeight="1" x14ac:dyDescent="0.2">
      <c r="A3980" s="6" t="s">
        <v>943</v>
      </c>
      <c r="B3980" s="6" t="s">
        <v>1597</v>
      </c>
      <c r="C3980" s="6" t="s">
        <v>1388</v>
      </c>
      <c r="D3980" s="6" t="s">
        <v>943</v>
      </c>
      <c r="G3980" s="6">
        <v>90</v>
      </c>
      <c r="H3980" s="6">
        <v>200</v>
      </c>
      <c r="I3980" s="9"/>
      <c r="J3980" s="9"/>
      <c r="K3980" s="9">
        <v>44008235</v>
      </c>
      <c r="L3980" s="6" t="str">
        <f t="shared" si="383"/>
        <v>1D  CANCUN  YATAK  90x200</v>
      </c>
      <c r="M3980" s="12">
        <v>0.5</v>
      </c>
      <c r="N3980" s="12">
        <v>0.5</v>
      </c>
      <c r="O3980" s="12">
        <v>12300</v>
      </c>
      <c r="P3980" s="12">
        <f t="shared" si="377"/>
        <v>6150</v>
      </c>
      <c r="Q3980" s="12">
        <f t="shared" si="375"/>
        <v>12915</v>
      </c>
      <c r="R3980" s="33">
        <f t="shared" si="378"/>
        <v>12900</v>
      </c>
      <c r="T3980" s="12">
        <v>1170</v>
      </c>
      <c r="U3980" s="12"/>
      <c r="V3980" s="12">
        <f t="shared" si="380"/>
        <v>1170</v>
      </c>
      <c r="W3980" s="12">
        <f t="shared" si="381"/>
        <v>2925</v>
      </c>
      <c r="X3980" s="12">
        <f t="shared" si="379"/>
        <v>2900</v>
      </c>
    </row>
    <row r="3981" spans="1:24" s="6" customFormat="1" ht="27.6" customHeight="1" x14ac:dyDescent="0.2">
      <c r="A3981" s="6" t="s">
        <v>943</v>
      </c>
      <c r="B3981" s="6" t="s">
        <v>1597</v>
      </c>
      <c r="C3981" s="6" t="s">
        <v>1388</v>
      </c>
      <c r="D3981" s="6" t="s">
        <v>943</v>
      </c>
      <c r="G3981" s="6">
        <v>100</v>
      </c>
      <c r="H3981" s="6">
        <v>200</v>
      </c>
      <c r="I3981" s="9"/>
      <c r="J3981" s="9"/>
      <c r="K3981" s="9">
        <v>44008236</v>
      </c>
      <c r="L3981" s="6" t="str">
        <f t="shared" si="383"/>
        <v>1D  CANCUN  YATAK  100x200</v>
      </c>
      <c r="M3981" s="12">
        <v>0.5</v>
      </c>
      <c r="N3981" s="12">
        <v>0.5</v>
      </c>
      <c r="O3981" s="12">
        <v>13700</v>
      </c>
      <c r="P3981" s="12">
        <f t="shared" si="377"/>
        <v>6850</v>
      </c>
      <c r="Q3981" s="12">
        <f t="shared" si="375"/>
        <v>14385</v>
      </c>
      <c r="R3981" s="33">
        <f t="shared" si="378"/>
        <v>14300</v>
      </c>
      <c r="T3981" s="12"/>
      <c r="U3981" s="12"/>
      <c r="V3981" s="12">
        <f t="shared" si="380"/>
        <v>0</v>
      </c>
      <c r="W3981" s="12">
        <f t="shared" si="381"/>
        <v>0</v>
      </c>
      <c r="X3981" s="12">
        <f t="shared" si="379"/>
        <v>0</v>
      </c>
    </row>
    <row r="3982" spans="1:24" s="6" customFormat="1" ht="21.95" customHeight="1" x14ac:dyDescent="0.2">
      <c r="A3982" s="6" t="s">
        <v>943</v>
      </c>
      <c r="B3982" s="6" t="s">
        <v>1597</v>
      </c>
      <c r="C3982" s="6" t="s">
        <v>1388</v>
      </c>
      <c r="D3982" s="6" t="s">
        <v>943</v>
      </c>
      <c r="G3982" s="6">
        <v>120</v>
      </c>
      <c r="H3982" s="6">
        <v>200</v>
      </c>
      <c r="I3982" s="9"/>
      <c r="J3982" s="9"/>
      <c r="K3982" s="9">
        <v>44008237</v>
      </c>
      <c r="L3982" s="6" t="str">
        <f t="shared" si="383"/>
        <v>1D  CANCUN  YATAK  120x200</v>
      </c>
      <c r="M3982" s="12">
        <v>0.5</v>
      </c>
      <c r="N3982" s="12">
        <v>0.5</v>
      </c>
      <c r="O3982" s="12">
        <v>16400</v>
      </c>
      <c r="P3982" s="12">
        <f t="shared" si="377"/>
        <v>8200</v>
      </c>
      <c r="Q3982" s="12">
        <f t="shared" si="375"/>
        <v>17220</v>
      </c>
      <c r="R3982" s="33">
        <f t="shared" si="378"/>
        <v>17200</v>
      </c>
      <c r="T3982" s="12">
        <v>3320</v>
      </c>
      <c r="U3982" s="12"/>
      <c r="V3982" s="12">
        <f t="shared" si="380"/>
        <v>3320</v>
      </c>
      <c r="W3982" s="12">
        <f t="shared" si="381"/>
        <v>8300</v>
      </c>
      <c r="X3982" s="12">
        <f t="shared" si="379"/>
        <v>8300</v>
      </c>
    </row>
    <row r="3983" spans="1:24" s="6" customFormat="1" ht="21.95" customHeight="1" x14ac:dyDescent="0.2">
      <c r="A3983" s="6" t="s">
        <v>943</v>
      </c>
      <c r="B3983" s="6" t="s">
        <v>1597</v>
      </c>
      <c r="C3983" s="6" t="s">
        <v>1388</v>
      </c>
      <c r="D3983" s="6" t="s">
        <v>943</v>
      </c>
      <c r="G3983" s="6">
        <v>140</v>
      </c>
      <c r="H3983" s="6">
        <v>200</v>
      </c>
      <c r="I3983" s="9"/>
      <c r="J3983" s="9"/>
      <c r="K3983" s="9">
        <v>44008238</v>
      </c>
      <c r="L3983" s="6" t="str">
        <f t="shared" si="383"/>
        <v>1D  CANCUN  YATAK  140x200</v>
      </c>
      <c r="M3983" s="12">
        <v>0.5</v>
      </c>
      <c r="N3983" s="12">
        <v>0.5</v>
      </c>
      <c r="O3983" s="12">
        <v>19200</v>
      </c>
      <c r="P3983" s="12">
        <f t="shared" si="377"/>
        <v>9600</v>
      </c>
      <c r="Q3983" s="12">
        <f t="shared" si="375"/>
        <v>20160</v>
      </c>
      <c r="R3983" s="33">
        <f t="shared" si="378"/>
        <v>20100</v>
      </c>
      <c r="T3983" s="12">
        <v>2700</v>
      </c>
      <c r="U3983" s="12"/>
      <c r="V3983" s="12">
        <f t="shared" si="380"/>
        <v>2700</v>
      </c>
      <c r="W3983" s="12">
        <f t="shared" si="381"/>
        <v>6750</v>
      </c>
      <c r="X3983" s="12">
        <f t="shared" si="379"/>
        <v>6700</v>
      </c>
    </row>
    <row r="3984" spans="1:24" s="6" customFormat="1" ht="21.95" customHeight="1" x14ac:dyDescent="0.2">
      <c r="A3984" s="6" t="s">
        <v>943</v>
      </c>
      <c r="B3984" s="6" t="s">
        <v>1597</v>
      </c>
      <c r="C3984" s="6" t="s">
        <v>1388</v>
      </c>
      <c r="D3984" s="6" t="s">
        <v>943</v>
      </c>
      <c r="G3984" s="6">
        <v>150</v>
      </c>
      <c r="H3984" s="6">
        <v>200</v>
      </c>
      <c r="I3984" s="9"/>
      <c r="J3984" s="9"/>
      <c r="K3984" s="9">
        <v>44008239</v>
      </c>
      <c r="L3984" s="6" t="str">
        <f t="shared" si="383"/>
        <v>1D  CANCUN  YATAK  150x200</v>
      </c>
      <c r="M3984" s="12">
        <v>0.5</v>
      </c>
      <c r="N3984" s="12">
        <v>0.5</v>
      </c>
      <c r="O3984" s="12">
        <v>20500</v>
      </c>
      <c r="P3984" s="12">
        <f t="shared" si="377"/>
        <v>10250</v>
      </c>
      <c r="Q3984" s="12">
        <f t="shared" si="375"/>
        <v>21525</v>
      </c>
      <c r="R3984" s="33">
        <f t="shared" si="378"/>
        <v>21500</v>
      </c>
      <c r="T3984" s="12">
        <v>5630</v>
      </c>
      <c r="U3984" s="12"/>
      <c r="V3984" s="12">
        <f t="shared" si="380"/>
        <v>5630</v>
      </c>
      <c r="W3984" s="12">
        <f t="shared" si="381"/>
        <v>14075</v>
      </c>
      <c r="X3984" s="12">
        <f t="shared" si="379"/>
        <v>14000</v>
      </c>
    </row>
    <row r="3985" spans="1:24" s="6" customFormat="1" ht="22.15" customHeight="1" x14ac:dyDescent="0.2">
      <c r="A3985" s="6" t="s">
        <v>943</v>
      </c>
      <c r="B3985" s="6" t="s">
        <v>1597</v>
      </c>
      <c r="C3985" s="6" t="s">
        <v>1388</v>
      </c>
      <c r="D3985" s="6" t="s">
        <v>943</v>
      </c>
      <c r="G3985" s="6">
        <v>160</v>
      </c>
      <c r="H3985" s="6">
        <v>200</v>
      </c>
      <c r="I3985" s="9"/>
      <c r="J3985" s="9"/>
      <c r="K3985" s="9">
        <v>44008240</v>
      </c>
      <c r="L3985" s="6" t="str">
        <f t="shared" si="383"/>
        <v>1D  CANCUN  YATAK  160x200</v>
      </c>
      <c r="M3985" s="12">
        <v>0.5</v>
      </c>
      <c r="N3985" s="12">
        <v>0.5</v>
      </c>
      <c r="O3985" s="12">
        <v>21900</v>
      </c>
      <c r="P3985" s="12">
        <f t="shared" si="377"/>
        <v>10950</v>
      </c>
      <c r="Q3985" s="12">
        <f t="shared" si="375"/>
        <v>22995</v>
      </c>
      <c r="R3985" s="33">
        <f t="shared" si="378"/>
        <v>22900</v>
      </c>
      <c r="T3985" s="12"/>
      <c r="U3985" s="12"/>
      <c r="V3985" s="12">
        <f t="shared" si="380"/>
        <v>0</v>
      </c>
      <c r="W3985" s="12">
        <f t="shared" si="381"/>
        <v>0</v>
      </c>
      <c r="X3985" s="12">
        <f t="shared" si="379"/>
        <v>0</v>
      </c>
    </row>
    <row r="3986" spans="1:24" s="6" customFormat="1" ht="21" customHeight="1" x14ac:dyDescent="0.2">
      <c r="A3986" s="6" t="s">
        <v>943</v>
      </c>
      <c r="B3986" s="6" t="s">
        <v>1597</v>
      </c>
      <c r="C3986" s="6" t="s">
        <v>1388</v>
      </c>
      <c r="D3986" s="6" t="s">
        <v>943</v>
      </c>
      <c r="G3986" s="6">
        <v>180</v>
      </c>
      <c r="H3986" s="6">
        <v>200</v>
      </c>
      <c r="I3986" s="9"/>
      <c r="J3986" s="9"/>
      <c r="K3986" s="9">
        <v>44008241</v>
      </c>
      <c r="L3986" s="6" t="str">
        <f t="shared" si="383"/>
        <v>1D  CANCUN  YATAK  180x200</v>
      </c>
      <c r="M3986" s="12">
        <v>0.5</v>
      </c>
      <c r="N3986" s="12">
        <v>0.5</v>
      </c>
      <c r="O3986" s="12">
        <v>24600</v>
      </c>
      <c r="P3986" s="12">
        <f t="shared" si="377"/>
        <v>12300</v>
      </c>
      <c r="Q3986" s="12">
        <f t="shared" si="375"/>
        <v>25830</v>
      </c>
      <c r="R3986" s="33">
        <f t="shared" si="378"/>
        <v>25800</v>
      </c>
      <c r="T3986" s="12"/>
      <c r="U3986" s="12"/>
      <c r="V3986" s="12">
        <f t="shared" si="380"/>
        <v>0</v>
      </c>
      <c r="W3986" s="12">
        <f t="shared" si="381"/>
        <v>0</v>
      </c>
      <c r="X3986" s="12">
        <f t="shared" si="379"/>
        <v>0</v>
      </c>
    </row>
    <row r="3987" spans="1:24" s="6" customFormat="1" ht="21.95" customHeight="1" x14ac:dyDescent="0.2">
      <c r="A3987" s="6" t="s">
        <v>943</v>
      </c>
      <c r="B3987" s="6" t="s">
        <v>1597</v>
      </c>
      <c r="C3987" s="6" t="s">
        <v>1388</v>
      </c>
      <c r="D3987" s="6" t="s">
        <v>1380</v>
      </c>
      <c r="I3987" s="9"/>
      <c r="J3987" s="9"/>
      <c r="K3987" s="9">
        <v>44008242</v>
      </c>
      <c r="L3987" s="6" t="str">
        <f>B3987&amp;" "&amp;C3987&amp;" "&amp;D3987</f>
        <v>1D  CANCUN  KOMODİN (2 ADET)</v>
      </c>
      <c r="M3987" s="12">
        <v>0.5</v>
      </c>
      <c r="N3987" s="12">
        <v>0.5</v>
      </c>
      <c r="O3987" s="12">
        <v>13200</v>
      </c>
      <c r="P3987" s="12">
        <f t="shared" si="377"/>
        <v>6600</v>
      </c>
      <c r="Q3987" s="12">
        <f t="shared" ref="Q3987:Q4050" si="384">O3987*(1-N3987)*2.1</f>
        <v>13860</v>
      </c>
      <c r="R3987" s="33">
        <f t="shared" si="378"/>
        <v>13800</v>
      </c>
      <c r="T3987" s="12">
        <v>3590</v>
      </c>
      <c r="U3987" s="12"/>
      <c r="V3987" s="12">
        <f t="shared" si="380"/>
        <v>3590</v>
      </c>
      <c r="W3987" s="12">
        <f t="shared" si="381"/>
        <v>8975</v>
      </c>
      <c r="X3987" s="12">
        <f t="shared" si="379"/>
        <v>8900</v>
      </c>
    </row>
    <row r="3988" spans="1:24" s="6" customFormat="1" ht="21.95" customHeight="1" x14ac:dyDescent="0.2">
      <c r="A3988" s="6" t="s">
        <v>943</v>
      </c>
      <c r="B3988" s="6" t="s">
        <v>1597</v>
      </c>
      <c r="C3988" s="6" t="s">
        <v>1389</v>
      </c>
      <c r="D3988" s="6" t="s">
        <v>989</v>
      </c>
      <c r="G3988" s="6">
        <v>90</v>
      </c>
      <c r="H3988" s="6">
        <v>190</v>
      </c>
      <c r="I3988" s="9"/>
      <c r="J3988" s="9"/>
      <c r="K3988" s="9">
        <v>44008243</v>
      </c>
      <c r="L3988" s="6" t="str">
        <f t="shared" ref="L3988:L4011" si="385">B3988&amp;" "&amp;C3988&amp;" "&amp;D3988&amp;" "&amp;G3988&amp;"x"&amp;H3988</f>
        <v>1D  CARIA BAZA  90x190</v>
      </c>
      <c r="M3988" s="12">
        <v>0.5</v>
      </c>
      <c r="N3988" s="12">
        <v>0.5</v>
      </c>
      <c r="O3988" s="12">
        <v>8800</v>
      </c>
      <c r="P3988" s="12">
        <f t="shared" si="377"/>
        <v>4400</v>
      </c>
      <c r="Q3988" s="12">
        <f t="shared" si="384"/>
        <v>9240</v>
      </c>
      <c r="R3988" s="33">
        <f t="shared" si="378"/>
        <v>9200</v>
      </c>
      <c r="T3988" s="12">
        <v>5150</v>
      </c>
      <c r="U3988" s="12"/>
      <c r="V3988" s="12">
        <f t="shared" si="380"/>
        <v>5150</v>
      </c>
      <c r="W3988" s="12">
        <f t="shared" si="381"/>
        <v>12875</v>
      </c>
      <c r="X3988" s="12">
        <f t="shared" si="379"/>
        <v>12800</v>
      </c>
    </row>
    <row r="3989" spans="1:24" s="6" customFormat="1" ht="27.6" customHeight="1" x14ac:dyDescent="0.2">
      <c r="A3989" s="6" t="s">
        <v>943</v>
      </c>
      <c r="B3989" s="6" t="s">
        <v>1597</v>
      </c>
      <c r="C3989" s="6" t="s">
        <v>1389</v>
      </c>
      <c r="D3989" s="6" t="s">
        <v>989</v>
      </c>
      <c r="G3989" s="6">
        <v>90</v>
      </c>
      <c r="H3989" s="6">
        <v>200</v>
      </c>
      <c r="I3989" s="9"/>
      <c r="J3989" s="9"/>
      <c r="K3989" s="9">
        <v>44008244</v>
      </c>
      <c r="L3989" s="6" t="str">
        <f t="shared" si="385"/>
        <v>1D  CARIA BAZA  90x200</v>
      </c>
      <c r="M3989" s="12">
        <v>0.5</v>
      </c>
      <c r="N3989" s="12">
        <v>0.5</v>
      </c>
      <c r="O3989" s="12">
        <v>9300</v>
      </c>
      <c r="P3989" s="12">
        <f t="shared" si="377"/>
        <v>4650</v>
      </c>
      <c r="Q3989" s="12">
        <f t="shared" si="384"/>
        <v>9765</v>
      </c>
      <c r="R3989" s="33">
        <f t="shared" si="378"/>
        <v>9700</v>
      </c>
      <c r="T3989" s="12"/>
      <c r="U3989" s="12"/>
      <c r="V3989" s="12">
        <f t="shared" si="380"/>
        <v>0</v>
      </c>
      <c r="W3989" s="12">
        <f t="shared" si="381"/>
        <v>0</v>
      </c>
      <c r="X3989" s="12">
        <f t="shared" si="379"/>
        <v>0</v>
      </c>
    </row>
    <row r="3990" spans="1:24" s="6" customFormat="1" ht="21.95" customHeight="1" x14ac:dyDescent="0.2">
      <c r="A3990" s="6" t="s">
        <v>943</v>
      </c>
      <c r="B3990" s="6" t="s">
        <v>1597</v>
      </c>
      <c r="C3990" s="6" t="s">
        <v>1389</v>
      </c>
      <c r="D3990" s="6" t="s">
        <v>989</v>
      </c>
      <c r="G3990" s="6">
        <v>100</v>
      </c>
      <c r="H3990" s="6">
        <v>200</v>
      </c>
      <c r="I3990" s="9"/>
      <c r="J3990" s="9"/>
      <c r="K3990" s="9">
        <v>44008245</v>
      </c>
      <c r="L3990" s="6" t="str">
        <f t="shared" si="385"/>
        <v>1D  CARIA BAZA  100x200</v>
      </c>
      <c r="M3990" s="12">
        <v>0.5</v>
      </c>
      <c r="N3990" s="12">
        <v>0.5</v>
      </c>
      <c r="O3990" s="12">
        <v>10300</v>
      </c>
      <c r="P3990" s="12">
        <f t="shared" si="377"/>
        <v>5150</v>
      </c>
      <c r="Q3990" s="12">
        <f t="shared" si="384"/>
        <v>10815</v>
      </c>
      <c r="R3990" s="33">
        <f t="shared" si="378"/>
        <v>10800</v>
      </c>
      <c r="T3990" s="12">
        <v>5830</v>
      </c>
      <c r="U3990" s="12"/>
      <c r="V3990" s="12">
        <f t="shared" si="380"/>
        <v>5830</v>
      </c>
      <c r="W3990" s="12">
        <f t="shared" si="381"/>
        <v>14575</v>
      </c>
      <c r="X3990" s="12">
        <f t="shared" si="379"/>
        <v>14500</v>
      </c>
    </row>
    <row r="3991" spans="1:24" s="6" customFormat="1" ht="27.6" customHeight="1" x14ac:dyDescent="0.2">
      <c r="A3991" s="6" t="s">
        <v>943</v>
      </c>
      <c r="B3991" s="6" t="s">
        <v>1597</v>
      </c>
      <c r="C3991" s="6" t="s">
        <v>1389</v>
      </c>
      <c r="D3991" s="6" t="s">
        <v>989</v>
      </c>
      <c r="G3991" s="6">
        <v>120</v>
      </c>
      <c r="H3991" s="6">
        <v>200</v>
      </c>
      <c r="I3991" s="9"/>
      <c r="J3991" s="9"/>
      <c r="K3991" s="9">
        <v>44008246</v>
      </c>
      <c r="L3991" s="6" t="str">
        <f t="shared" si="385"/>
        <v>1D  CARIA BAZA  120x200</v>
      </c>
      <c r="M3991" s="12">
        <v>0.5</v>
      </c>
      <c r="N3991" s="12">
        <v>0.5</v>
      </c>
      <c r="O3991" s="12">
        <v>12400</v>
      </c>
      <c r="P3991" s="12">
        <f t="shared" si="377"/>
        <v>6200</v>
      </c>
      <c r="Q3991" s="12">
        <f t="shared" si="384"/>
        <v>13020</v>
      </c>
      <c r="R3991" s="33">
        <f t="shared" si="378"/>
        <v>13000</v>
      </c>
      <c r="T3991" s="12"/>
      <c r="U3991" s="12"/>
      <c r="V3991" s="12">
        <f t="shared" si="380"/>
        <v>0</v>
      </c>
      <c r="W3991" s="12">
        <f t="shared" si="381"/>
        <v>0</v>
      </c>
      <c r="X3991" s="12">
        <f t="shared" si="379"/>
        <v>0</v>
      </c>
    </row>
    <row r="3992" spans="1:24" s="6" customFormat="1" ht="27.6" customHeight="1" x14ac:dyDescent="0.2">
      <c r="A3992" s="6" t="s">
        <v>943</v>
      </c>
      <c r="B3992" s="6" t="s">
        <v>1597</v>
      </c>
      <c r="C3992" s="6" t="s">
        <v>1389</v>
      </c>
      <c r="D3992" s="6" t="s">
        <v>989</v>
      </c>
      <c r="G3992" s="6">
        <v>140</v>
      </c>
      <c r="H3992" s="6">
        <v>200</v>
      </c>
      <c r="I3992" s="9"/>
      <c r="J3992" s="9"/>
      <c r="K3992" s="9">
        <v>44008247</v>
      </c>
      <c r="L3992" s="6" t="str">
        <f t="shared" si="385"/>
        <v>1D  CARIA BAZA  140x200</v>
      </c>
      <c r="M3992" s="12">
        <v>0.5</v>
      </c>
      <c r="N3992" s="12">
        <v>0.5</v>
      </c>
      <c r="O3992" s="12">
        <v>14400</v>
      </c>
      <c r="P3992" s="12">
        <f t="shared" si="377"/>
        <v>7200</v>
      </c>
      <c r="Q3992" s="12">
        <f t="shared" si="384"/>
        <v>15120</v>
      </c>
      <c r="R3992" s="33">
        <f t="shared" si="378"/>
        <v>15100</v>
      </c>
      <c r="T3992" s="12"/>
      <c r="U3992" s="12"/>
      <c r="V3992" s="12">
        <f t="shared" si="380"/>
        <v>0</v>
      </c>
      <c r="W3992" s="12">
        <f t="shared" si="381"/>
        <v>0</v>
      </c>
      <c r="X3992" s="12">
        <f t="shared" si="379"/>
        <v>0</v>
      </c>
    </row>
    <row r="3993" spans="1:24" s="6" customFormat="1" ht="21.95" customHeight="1" x14ac:dyDescent="0.2">
      <c r="A3993" s="6" t="s">
        <v>943</v>
      </c>
      <c r="B3993" s="6" t="s">
        <v>1597</v>
      </c>
      <c r="C3993" s="6" t="s">
        <v>1389</v>
      </c>
      <c r="D3993" s="6" t="s">
        <v>989</v>
      </c>
      <c r="G3993" s="6">
        <v>150</v>
      </c>
      <c r="H3993" s="6">
        <v>200</v>
      </c>
      <c r="I3993" s="9"/>
      <c r="J3993" s="9"/>
      <c r="K3993" s="9">
        <v>44008248</v>
      </c>
      <c r="L3993" s="6" t="str">
        <f t="shared" si="385"/>
        <v>1D  CARIA BAZA  150x200</v>
      </c>
      <c r="M3993" s="12">
        <v>0.5</v>
      </c>
      <c r="N3993" s="12">
        <v>0.5</v>
      </c>
      <c r="O3993" s="12">
        <v>15500</v>
      </c>
      <c r="P3993" s="12">
        <f t="shared" si="377"/>
        <v>7750</v>
      </c>
      <c r="Q3993" s="12">
        <f t="shared" si="384"/>
        <v>16275</v>
      </c>
      <c r="R3993" s="33">
        <f t="shared" si="378"/>
        <v>16200</v>
      </c>
      <c r="T3993" s="12">
        <v>6440</v>
      </c>
      <c r="U3993" s="12"/>
      <c r="V3993" s="12">
        <f t="shared" si="380"/>
        <v>6440</v>
      </c>
      <c r="W3993" s="12">
        <f t="shared" si="381"/>
        <v>16100</v>
      </c>
      <c r="X3993" s="12">
        <f t="shared" si="379"/>
        <v>16100</v>
      </c>
    </row>
    <row r="3994" spans="1:24" s="6" customFormat="1" ht="27.6" customHeight="1" x14ac:dyDescent="0.2">
      <c r="A3994" s="6" t="s">
        <v>943</v>
      </c>
      <c r="B3994" s="6" t="s">
        <v>1597</v>
      </c>
      <c r="C3994" s="6" t="s">
        <v>1389</v>
      </c>
      <c r="D3994" s="6" t="s">
        <v>989</v>
      </c>
      <c r="G3994" s="6">
        <v>160</v>
      </c>
      <c r="H3994" s="6">
        <v>200</v>
      </c>
      <c r="I3994" s="9"/>
      <c r="J3994" s="9"/>
      <c r="K3994" s="9">
        <v>44008249</v>
      </c>
      <c r="L3994" s="6" t="str">
        <f t="shared" si="385"/>
        <v>1D  CARIA BAZA  160x200</v>
      </c>
      <c r="M3994" s="12">
        <v>0.5</v>
      </c>
      <c r="N3994" s="12">
        <v>0.5</v>
      </c>
      <c r="O3994" s="12">
        <v>16500</v>
      </c>
      <c r="P3994" s="12">
        <f t="shared" si="377"/>
        <v>8250</v>
      </c>
      <c r="Q3994" s="12">
        <f t="shared" si="384"/>
        <v>17325</v>
      </c>
      <c r="R3994" s="33">
        <f t="shared" si="378"/>
        <v>17300</v>
      </c>
      <c r="T3994" s="12"/>
      <c r="U3994" s="12"/>
      <c r="V3994" s="12">
        <f t="shared" si="380"/>
        <v>0</v>
      </c>
      <c r="W3994" s="12">
        <f t="shared" si="381"/>
        <v>0</v>
      </c>
      <c r="X3994" s="12">
        <f t="shared" si="379"/>
        <v>0</v>
      </c>
    </row>
    <row r="3995" spans="1:24" s="6" customFormat="1" ht="21.95" customHeight="1" x14ac:dyDescent="0.2">
      <c r="A3995" s="6" t="s">
        <v>943</v>
      </c>
      <c r="B3995" s="6" t="s">
        <v>1597</v>
      </c>
      <c r="C3995" s="6" t="s">
        <v>1389</v>
      </c>
      <c r="D3995" s="6" t="s">
        <v>989</v>
      </c>
      <c r="G3995" s="6">
        <v>180</v>
      </c>
      <c r="H3995" s="6">
        <v>200</v>
      </c>
      <c r="I3995" s="9"/>
      <c r="J3995" s="9"/>
      <c r="K3995" s="9">
        <v>44008250</v>
      </c>
      <c r="L3995" s="6" t="str">
        <f t="shared" si="385"/>
        <v>1D  CARIA BAZA  180x200</v>
      </c>
      <c r="M3995" s="12">
        <v>0.5</v>
      </c>
      <c r="N3995" s="12">
        <v>0.5</v>
      </c>
      <c r="O3995" s="12">
        <v>18600</v>
      </c>
      <c r="P3995" s="12">
        <f t="shared" si="377"/>
        <v>9300</v>
      </c>
      <c r="Q3995" s="12">
        <f t="shared" si="384"/>
        <v>19530</v>
      </c>
      <c r="R3995" s="33">
        <f t="shared" si="378"/>
        <v>19500</v>
      </c>
      <c r="T3995" s="12">
        <v>7480</v>
      </c>
      <c r="U3995" s="12"/>
      <c r="V3995" s="12">
        <f t="shared" si="380"/>
        <v>7480</v>
      </c>
      <c r="W3995" s="12">
        <f t="shared" si="381"/>
        <v>18700</v>
      </c>
      <c r="X3995" s="12">
        <f t="shared" si="379"/>
        <v>18700</v>
      </c>
    </row>
    <row r="3996" spans="1:24" s="6" customFormat="1" ht="21.95" customHeight="1" x14ac:dyDescent="0.2">
      <c r="A3996" s="6" t="s">
        <v>943</v>
      </c>
      <c r="B3996" s="6" t="s">
        <v>1597</v>
      </c>
      <c r="C3996" s="6" t="s">
        <v>1389</v>
      </c>
      <c r="D3996" s="6" t="s">
        <v>1003</v>
      </c>
      <c r="G3996" s="6">
        <v>90</v>
      </c>
      <c r="H3996" s="6">
        <v>190</v>
      </c>
      <c r="I3996" s="9"/>
      <c r="J3996" s="9"/>
      <c r="K3996" s="9">
        <v>44008251</v>
      </c>
      <c r="L3996" s="6" t="str">
        <f t="shared" si="385"/>
        <v>1D  CARIA BAŞLIK  90x190</v>
      </c>
      <c r="M3996" s="12">
        <v>0.5</v>
      </c>
      <c r="N3996" s="12">
        <v>0.5</v>
      </c>
      <c r="O3996" s="12">
        <v>4600</v>
      </c>
      <c r="P3996" s="12">
        <f t="shared" si="377"/>
        <v>2300</v>
      </c>
      <c r="Q3996" s="12">
        <f t="shared" si="384"/>
        <v>4830</v>
      </c>
      <c r="R3996" s="33">
        <f t="shared" si="378"/>
        <v>4800</v>
      </c>
      <c r="T3996" s="12">
        <v>4000</v>
      </c>
      <c r="U3996" s="12"/>
      <c r="V3996" s="12">
        <f t="shared" si="380"/>
        <v>4000</v>
      </c>
      <c r="W3996" s="12">
        <f t="shared" si="381"/>
        <v>10000</v>
      </c>
      <c r="X3996" s="12">
        <f t="shared" si="379"/>
        <v>10000</v>
      </c>
    </row>
    <row r="3997" spans="1:24" s="6" customFormat="1" ht="27.6" customHeight="1" x14ac:dyDescent="0.2">
      <c r="A3997" s="6" t="s">
        <v>943</v>
      </c>
      <c r="B3997" s="6" t="s">
        <v>1597</v>
      </c>
      <c r="C3997" s="6" t="s">
        <v>1389</v>
      </c>
      <c r="D3997" s="6" t="s">
        <v>1003</v>
      </c>
      <c r="G3997" s="6">
        <v>90</v>
      </c>
      <c r="H3997" s="6">
        <v>200</v>
      </c>
      <c r="I3997" s="9"/>
      <c r="J3997" s="9"/>
      <c r="K3997" s="9">
        <v>44008252</v>
      </c>
      <c r="L3997" s="6" t="str">
        <f t="shared" si="385"/>
        <v>1D  CARIA BAŞLIK  90x200</v>
      </c>
      <c r="M3997" s="12">
        <v>0.5</v>
      </c>
      <c r="N3997" s="12">
        <v>0.5</v>
      </c>
      <c r="O3997" s="12">
        <v>4800</v>
      </c>
      <c r="P3997" s="12">
        <f t="shared" si="377"/>
        <v>2400</v>
      </c>
      <c r="Q3997" s="12">
        <f t="shared" si="384"/>
        <v>5040</v>
      </c>
      <c r="R3997" s="33">
        <f t="shared" si="378"/>
        <v>5000</v>
      </c>
      <c r="T3997" s="12"/>
      <c r="U3997" s="12"/>
      <c r="V3997" s="12">
        <f t="shared" si="380"/>
        <v>0</v>
      </c>
      <c r="W3997" s="12">
        <f t="shared" si="381"/>
        <v>0</v>
      </c>
      <c r="X3997" s="12">
        <f t="shared" si="379"/>
        <v>0</v>
      </c>
    </row>
    <row r="3998" spans="1:24" s="6" customFormat="1" ht="27.6" customHeight="1" x14ac:dyDescent="0.2">
      <c r="A3998" s="6" t="s">
        <v>943</v>
      </c>
      <c r="B3998" s="6" t="s">
        <v>1597</v>
      </c>
      <c r="C3998" s="6" t="s">
        <v>1389</v>
      </c>
      <c r="D3998" s="6" t="s">
        <v>1003</v>
      </c>
      <c r="G3998" s="6">
        <v>100</v>
      </c>
      <c r="H3998" s="6">
        <v>200</v>
      </c>
      <c r="I3998" s="9"/>
      <c r="J3998" s="9"/>
      <c r="K3998" s="9">
        <v>44008253</v>
      </c>
      <c r="L3998" s="6" t="str">
        <f t="shared" si="385"/>
        <v>1D  CARIA BAŞLIK  100x200</v>
      </c>
      <c r="M3998" s="12">
        <v>0.5</v>
      </c>
      <c r="N3998" s="12">
        <v>0.5</v>
      </c>
      <c r="O3998" s="12">
        <v>5400</v>
      </c>
      <c r="P3998" s="12">
        <f t="shared" si="377"/>
        <v>2700</v>
      </c>
      <c r="Q3998" s="12">
        <f t="shared" si="384"/>
        <v>5670</v>
      </c>
      <c r="R3998" s="33">
        <f t="shared" si="378"/>
        <v>5600</v>
      </c>
      <c r="T3998" s="12"/>
      <c r="U3998" s="12"/>
      <c r="V3998" s="12">
        <f t="shared" si="380"/>
        <v>0</v>
      </c>
      <c r="W3998" s="12">
        <f t="shared" si="381"/>
        <v>0</v>
      </c>
      <c r="X3998" s="12">
        <f t="shared" si="379"/>
        <v>0</v>
      </c>
    </row>
    <row r="3999" spans="1:24" s="6" customFormat="1" ht="21.95" customHeight="1" x14ac:dyDescent="0.2">
      <c r="A3999" s="6" t="s">
        <v>943</v>
      </c>
      <c r="B3999" s="6" t="s">
        <v>1597</v>
      </c>
      <c r="C3999" s="6" t="s">
        <v>1389</v>
      </c>
      <c r="D3999" s="6" t="s">
        <v>1003</v>
      </c>
      <c r="G3999" s="6">
        <v>120</v>
      </c>
      <c r="H3999" s="6">
        <v>200</v>
      </c>
      <c r="I3999" s="9"/>
      <c r="J3999" s="9"/>
      <c r="K3999" s="9">
        <v>44008254</v>
      </c>
      <c r="L3999" s="6" t="str">
        <f t="shared" si="385"/>
        <v>1D  CARIA BAŞLIK  120x200</v>
      </c>
      <c r="M3999" s="12">
        <v>0.5</v>
      </c>
      <c r="N3999" s="12">
        <v>0.5</v>
      </c>
      <c r="O3999" s="12">
        <v>6500</v>
      </c>
      <c r="P3999" s="12">
        <f t="shared" si="377"/>
        <v>3250</v>
      </c>
      <c r="Q3999" s="12">
        <f t="shared" si="384"/>
        <v>6825</v>
      </c>
      <c r="R3999" s="33">
        <f t="shared" si="378"/>
        <v>6800</v>
      </c>
      <c r="T3999" s="12">
        <v>6000</v>
      </c>
      <c r="U3999" s="12"/>
      <c r="V3999" s="12">
        <f t="shared" si="380"/>
        <v>6000</v>
      </c>
      <c r="W3999" s="12">
        <f t="shared" si="381"/>
        <v>15000</v>
      </c>
      <c r="X3999" s="12">
        <f t="shared" si="379"/>
        <v>15000</v>
      </c>
    </row>
    <row r="4000" spans="1:24" s="6" customFormat="1" ht="21.95" customHeight="1" x14ac:dyDescent="0.2">
      <c r="A4000" s="6" t="s">
        <v>943</v>
      </c>
      <c r="B4000" s="6" t="s">
        <v>1597</v>
      </c>
      <c r="C4000" s="6" t="s">
        <v>1389</v>
      </c>
      <c r="D4000" s="6" t="s">
        <v>1003</v>
      </c>
      <c r="G4000" s="6">
        <v>140</v>
      </c>
      <c r="H4000" s="6">
        <v>200</v>
      </c>
      <c r="I4000" s="9"/>
      <c r="J4000" s="9"/>
      <c r="K4000" s="9">
        <v>44008255</v>
      </c>
      <c r="L4000" s="6" t="str">
        <f t="shared" si="385"/>
        <v>1D  CARIA BAŞLIK  140x200</v>
      </c>
      <c r="M4000" s="12">
        <v>0.5</v>
      </c>
      <c r="N4000" s="12">
        <v>0.5</v>
      </c>
      <c r="O4000" s="12">
        <v>7500</v>
      </c>
      <c r="P4000" s="12">
        <f t="shared" si="377"/>
        <v>3750</v>
      </c>
      <c r="Q4000" s="12">
        <f t="shared" si="384"/>
        <v>7875</v>
      </c>
      <c r="R4000" s="33">
        <f t="shared" si="378"/>
        <v>7800</v>
      </c>
      <c r="T4000" s="12">
        <v>3390</v>
      </c>
      <c r="U4000" s="12"/>
      <c r="V4000" s="12">
        <f t="shared" si="380"/>
        <v>3390</v>
      </c>
      <c r="W4000" s="12">
        <f t="shared" si="381"/>
        <v>8475</v>
      </c>
      <c r="X4000" s="12">
        <f t="shared" si="379"/>
        <v>8400</v>
      </c>
    </row>
    <row r="4001" spans="1:24" s="6" customFormat="1" ht="27.6" customHeight="1" x14ac:dyDescent="0.2">
      <c r="A4001" s="6" t="s">
        <v>943</v>
      </c>
      <c r="B4001" s="6" t="s">
        <v>1597</v>
      </c>
      <c r="C4001" s="6" t="s">
        <v>1389</v>
      </c>
      <c r="D4001" s="6" t="s">
        <v>1003</v>
      </c>
      <c r="G4001" s="6">
        <v>150</v>
      </c>
      <c r="H4001" s="6">
        <v>200</v>
      </c>
      <c r="I4001" s="9"/>
      <c r="J4001" s="9"/>
      <c r="K4001" s="9">
        <v>44008256</v>
      </c>
      <c r="L4001" s="6" t="str">
        <f t="shared" si="385"/>
        <v>1D  CARIA BAŞLIK  150x200</v>
      </c>
      <c r="M4001" s="12">
        <v>0.5</v>
      </c>
      <c r="N4001" s="12">
        <v>0.5</v>
      </c>
      <c r="O4001" s="12">
        <v>8100</v>
      </c>
      <c r="P4001" s="12">
        <f t="shared" si="377"/>
        <v>4050</v>
      </c>
      <c r="Q4001" s="12">
        <f t="shared" si="384"/>
        <v>8505</v>
      </c>
      <c r="R4001" s="33">
        <f t="shared" si="378"/>
        <v>8500</v>
      </c>
      <c r="T4001" s="12"/>
      <c r="U4001" s="12"/>
      <c r="V4001" s="12">
        <f t="shared" si="380"/>
        <v>0</v>
      </c>
      <c r="W4001" s="12">
        <f t="shared" si="381"/>
        <v>0</v>
      </c>
      <c r="X4001" s="12">
        <f t="shared" si="379"/>
        <v>0</v>
      </c>
    </row>
    <row r="4002" spans="1:24" s="6" customFormat="1" ht="21.95" customHeight="1" x14ac:dyDescent="0.2">
      <c r="A4002" s="6" t="s">
        <v>943</v>
      </c>
      <c r="B4002" s="6" t="s">
        <v>1597</v>
      </c>
      <c r="C4002" s="6" t="s">
        <v>1389</v>
      </c>
      <c r="D4002" s="6" t="s">
        <v>1003</v>
      </c>
      <c r="G4002" s="6">
        <v>160</v>
      </c>
      <c r="H4002" s="6">
        <v>200</v>
      </c>
      <c r="I4002" s="9"/>
      <c r="J4002" s="9"/>
      <c r="K4002" s="9">
        <v>44008257</v>
      </c>
      <c r="L4002" s="6" t="str">
        <f t="shared" si="385"/>
        <v>1D  CARIA BAŞLIK  160x200</v>
      </c>
      <c r="M4002" s="12">
        <v>0.5</v>
      </c>
      <c r="N4002" s="12">
        <v>0.5</v>
      </c>
      <c r="O4002" s="12">
        <v>8600</v>
      </c>
      <c r="P4002" s="12">
        <f t="shared" si="377"/>
        <v>4300</v>
      </c>
      <c r="Q4002" s="12">
        <f t="shared" si="384"/>
        <v>9030</v>
      </c>
      <c r="R4002" s="33">
        <f t="shared" si="378"/>
        <v>9000</v>
      </c>
      <c r="T4002" s="12">
        <v>5560</v>
      </c>
      <c r="U4002" s="12"/>
      <c r="V4002" s="12">
        <f t="shared" si="380"/>
        <v>5560</v>
      </c>
      <c r="W4002" s="12">
        <f t="shared" si="381"/>
        <v>13900</v>
      </c>
      <c r="X4002" s="12">
        <f t="shared" si="379"/>
        <v>13900</v>
      </c>
    </row>
    <row r="4003" spans="1:24" s="6" customFormat="1" ht="21.95" customHeight="1" x14ac:dyDescent="0.2">
      <c r="A4003" s="6" t="s">
        <v>943</v>
      </c>
      <c r="B4003" s="6" t="s">
        <v>1597</v>
      </c>
      <c r="C4003" s="6" t="s">
        <v>1389</v>
      </c>
      <c r="D4003" s="6" t="s">
        <v>1003</v>
      </c>
      <c r="G4003" s="6">
        <v>180</v>
      </c>
      <c r="H4003" s="6">
        <v>200</v>
      </c>
      <c r="I4003" s="9"/>
      <c r="J4003" s="9"/>
      <c r="K4003" s="9">
        <v>44008258</v>
      </c>
      <c r="L4003" s="6" t="str">
        <f t="shared" si="385"/>
        <v>1D  CARIA BAŞLIK  180x200</v>
      </c>
      <c r="M4003" s="12">
        <v>0.5</v>
      </c>
      <c r="N4003" s="12">
        <v>0.5</v>
      </c>
      <c r="O4003" s="12">
        <v>9700</v>
      </c>
      <c r="P4003" s="12">
        <f t="shared" si="377"/>
        <v>4850</v>
      </c>
      <c r="Q4003" s="12">
        <f t="shared" si="384"/>
        <v>10185</v>
      </c>
      <c r="R4003" s="33">
        <f t="shared" si="378"/>
        <v>10100</v>
      </c>
      <c r="T4003" s="12">
        <v>3410</v>
      </c>
      <c r="U4003" s="12"/>
      <c r="V4003" s="12">
        <f t="shared" si="380"/>
        <v>3410</v>
      </c>
      <c r="W4003" s="12">
        <f t="shared" si="381"/>
        <v>8525</v>
      </c>
      <c r="X4003" s="12">
        <f t="shared" si="379"/>
        <v>8500</v>
      </c>
    </row>
    <row r="4004" spans="1:24" s="6" customFormat="1" ht="21.95" customHeight="1" x14ac:dyDescent="0.2">
      <c r="A4004" s="6" t="s">
        <v>943</v>
      </c>
      <c r="B4004" s="6" t="s">
        <v>1597</v>
      </c>
      <c r="C4004" s="6" t="s">
        <v>1389</v>
      </c>
      <c r="D4004" s="6" t="s">
        <v>943</v>
      </c>
      <c r="G4004" s="6">
        <v>90</v>
      </c>
      <c r="H4004" s="6">
        <v>190</v>
      </c>
      <c r="I4004" s="9"/>
      <c r="J4004" s="9"/>
      <c r="K4004" s="9">
        <v>44008259</v>
      </c>
      <c r="L4004" s="6" t="str">
        <f t="shared" si="385"/>
        <v>1D  CARIA YATAK  90x190</v>
      </c>
      <c r="M4004" s="12">
        <v>0.5</v>
      </c>
      <c r="N4004" s="12">
        <v>0.5</v>
      </c>
      <c r="O4004" s="12">
        <v>6600</v>
      </c>
      <c r="P4004" s="12">
        <f t="shared" si="377"/>
        <v>3300</v>
      </c>
      <c r="Q4004" s="12">
        <f t="shared" si="384"/>
        <v>6930</v>
      </c>
      <c r="R4004" s="33">
        <f t="shared" si="378"/>
        <v>6900</v>
      </c>
      <c r="T4004" s="12">
        <v>4060</v>
      </c>
      <c r="U4004" s="12"/>
      <c r="V4004" s="12">
        <f t="shared" si="380"/>
        <v>4060</v>
      </c>
      <c r="W4004" s="12">
        <f t="shared" si="381"/>
        <v>10150</v>
      </c>
      <c r="X4004" s="12">
        <f t="shared" si="379"/>
        <v>10100</v>
      </c>
    </row>
    <row r="4005" spans="1:24" s="6" customFormat="1" ht="27.6" customHeight="1" x14ac:dyDescent="0.2">
      <c r="A4005" s="6" t="s">
        <v>943</v>
      </c>
      <c r="B4005" s="6" t="s">
        <v>1597</v>
      </c>
      <c r="C4005" s="6" t="s">
        <v>1389</v>
      </c>
      <c r="D4005" s="6" t="s">
        <v>943</v>
      </c>
      <c r="G4005" s="6">
        <v>90</v>
      </c>
      <c r="H4005" s="6">
        <v>200</v>
      </c>
      <c r="I4005" s="9"/>
      <c r="J4005" s="9"/>
      <c r="K4005" s="9">
        <v>44008260</v>
      </c>
      <c r="L4005" s="6" t="str">
        <f t="shared" si="385"/>
        <v>1D  CARIA YATAK  90x200</v>
      </c>
      <c r="M4005" s="12">
        <v>0.5</v>
      </c>
      <c r="N4005" s="12">
        <v>0.5</v>
      </c>
      <c r="O4005" s="12">
        <v>7000</v>
      </c>
      <c r="P4005" s="12">
        <f t="shared" si="377"/>
        <v>3500</v>
      </c>
      <c r="Q4005" s="12">
        <f t="shared" si="384"/>
        <v>7350</v>
      </c>
      <c r="R4005" s="33">
        <f t="shared" si="378"/>
        <v>7300</v>
      </c>
      <c r="T4005" s="12"/>
      <c r="U4005" s="12"/>
      <c r="V4005" s="12">
        <f t="shared" si="380"/>
        <v>0</v>
      </c>
      <c r="W4005" s="12">
        <f t="shared" si="381"/>
        <v>0</v>
      </c>
      <c r="X4005" s="12">
        <f t="shared" si="379"/>
        <v>0</v>
      </c>
    </row>
    <row r="4006" spans="1:24" s="6" customFormat="1" ht="21.6" customHeight="1" x14ac:dyDescent="0.2">
      <c r="A4006" s="6" t="s">
        <v>943</v>
      </c>
      <c r="B4006" s="6" t="s">
        <v>1597</v>
      </c>
      <c r="C4006" s="6" t="s">
        <v>1389</v>
      </c>
      <c r="D4006" s="6" t="s">
        <v>943</v>
      </c>
      <c r="G4006" s="6">
        <v>100</v>
      </c>
      <c r="H4006" s="6">
        <v>200</v>
      </c>
      <c r="I4006" s="9"/>
      <c r="J4006" s="9"/>
      <c r="K4006" s="9">
        <v>44008261</v>
      </c>
      <c r="L4006" s="6" t="str">
        <f t="shared" si="385"/>
        <v>1D  CARIA YATAK  100x200</v>
      </c>
      <c r="M4006" s="12">
        <v>0.5</v>
      </c>
      <c r="N4006" s="12">
        <v>0.5</v>
      </c>
      <c r="O4006" s="12">
        <v>7800</v>
      </c>
      <c r="P4006" s="12">
        <f t="shared" si="377"/>
        <v>3900</v>
      </c>
      <c r="Q4006" s="12">
        <f t="shared" si="384"/>
        <v>8190</v>
      </c>
      <c r="R4006" s="33">
        <f t="shared" si="378"/>
        <v>8100</v>
      </c>
      <c r="T4006" s="12">
        <v>4040</v>
      </c>
      <c r="U4006" s="12"/>
      <c r="V4006" s="12">
        <f t="shared" si="380"/>
        <v>4040</v>
      </c>
      <c r="W4006" s="12">
        <f t="shared" si="381"/>
        <v>10100</v>
      </c>
      <c r="X4006" s="12">
        <f t="shared" si="379"/>
        <v>10100</v>
      </c>
    </row>
    <row r="4007" spans="1:24" s="6" customFormat="1" ht="27.6" customHeight="1" x14ac:dyDescent="0.2">
      <c r="A4007" s="6" t="s">
        <v>943</v>
      </c>
      <c r="B4007" s="6" t="s">
        <v>1597</v>
      </c>
      <c r="C4007" s="6" t="s">
        <v>1389</v>
      </c>
      <c r="D4007" s="6" t="s">
        <v>943</v>
      </c>
      <c r="G4007" s="6">
        <v>120</v>
      </c>
      <c r="H4007" s="6">
        <v>200</v>
      </c>
      <c r="I4007" s="9"/>
      <c r="J4007" s="9"/>
      <c r="K4007" s="9">
        <v>44008262</v>
      </c>
      <c r="L4007" s="6" t="str">
        <f t="shared" si="385"/>
        <v>1D  CARIA YATAK  120x200</v>
      </c>
      <c r="M4007" s="12">
        <v>0.5</v>
      </c>
      <c r="N4007" s="12">
        <v>0.5</v>
      </c>
      <c r="O4007" s="12">
        <v>9300</v>
      </c>
      <c r="P4007" s="12">
        <f t="shared" si="377"/>
        <v>4650</v>
      </c>
      <c r="Q4007" s="12">
        <f t="shared" si="384"/>
        <v>9765</v>
      </c>
      <c r="R4007" s="33">
        <f t="shared" si="378"/>
        <v>9700</v>
      </c>
      <c r="T4007" s="12"/>
      <c r="U4007" s="12"/>
      <c r="V4007" s="12">
        <f t="shared" si="380"/>
        <v>0</v>
      </c>
      <c r="W4007" s="12">
        <f t="shared" si="381"/>
        <v>0</v>
      </c>
      <c r="X4007" s="12">
        <f t="shared" si="379"/>
        <v>0</v>
      </c>
    </row>
    <row r="4008" spans="1:24" s="6" customFormat="1" ht="27.6" customHeight="1" x14ac:dyDescent="0.2">
      <c r="A4008" s="6" t="s">
        <v>943</v>
      </c>
      <c r="B4008" s="6" t="s">
        <v>1597</v>
      </c>
      <c r="C4008" s="6" t="s">
        <v>1389</v>
      </c>
      <c r="D4008" s="6" t="s">
        <v>943</v>
      </c>
      <c r="G4008" s="6">
        <v>140</v>
      </c>
      <c r="H4008" s="6">
        <v>200</v>
      </c>
      <c r="I4008" s="9"/>
      <c r="J4008" s="9"/>
      <c r="K4008" s="9">
        <v>44008263</v>
      </c>
      <c r="L4008" s="6" t="str">
        <f t="shared" si="385"/>
        <v>1D  CARIA YATAK  140x200</v>
      </c>
      <c r="M4008" s="12">
        <v>0.5</v>
      </c>
      <c r="N4008" s="12">
        <v>0.5</v>
      </c>
      <c r="O4008" s="12">
        <v>10900</v>
      </c>
      <c r="P4008" s="12">
        <f t="shared" si="377"/>
        <v>5450</v>
      </c>
      <c r="Q4008" s="12">
        <f t="shared" si="384"/>
        <v>11445</v>
      </c>
      <c r="R4008" s="33">
        <f t="shared" si="378"/>
        <v>11400</v>
      </c>
      <c r="T4008" s="12"/>
      <c r="U4008" s="12"/>
      <c r="V4008" s="12">
        <f t="shared" si="380"/>
        <v>0</v>
      </c>
      <c r="W4008" s="12">
        <f t="shared" si="381"/>
        <v>0</v>
      </c>
      <c r="X4008" s="12">
        <f t="shared" si="379"/>
        <v>0</v>
      </c>
    </row>
    <row r="4009" spans="1:24" s="6" customFormat="1" ht="21.95" customHeight="1" x14ac:dyDescent="0.2">
      <c r="A4009" s="6" t="s">
        <v>943</v>
      </c>
      <c r="B4009" s="6" t="s">
        <v>1597</v>
      </c>
      <c r="C4009" s="6" t="s">
        <v>1389</v>
      </c>
      <c r="D4009" s="6" t="s">
        <v>943</v>
      </c>
      <c r="G4009" s="6">
        <v>150</v>
      </c>
      <c r="H4009" s="6">
        <v>200</v>
      </c>
      <c r="I4009" s="9"/>
      <c r="J4009" s="9"/>
      <c r="K4009" s="9">
        <v>44008264</v>
      </c>
      <c r="L4009" s="6" t="str">
        <f t="shared" si="385"/>
        <v>1D  CARIA YATAK  150x200</v>
      </c>
      <c r="M4009" s="12">
        <v>0.5</v>
      </c>
      <c r="N4009" s="12">
        <v>0.5</v>
      </c>
      <c r="O4009" s="12">
        <v>11600</v>
      </c>
      <c r="P4009" s="12">
        <f t="shared" si="377"/>
        <v>5800</v>
      </c>
      <c r="Q4009" s="12">
        <f t="shared" si="384"/>
        <v>12180</v>
      </c>
      <c r="R4009" s="33">
        <f t="shared" si="378"/>
        <v>12100</v>
      </c>
      <c r="T4009" s="12">
        <v>2640</v>
      </c>
      <c r="U4009" s="12"/>
      <c r="V4009" s="12">
        <f t="shared" si="380"/>
        <v>2640</v>
      </c>
      <c r="W4009" s="12">
        <f t="shared" si="381"/>
        <v>6600</v>
      </c>
      <c r="X4009" s="12">
        <f t="shared" si="379"/>
        <v>6600</v>
      </c>
    </row>
    <row r="4010" spans="1:24" s="6" customFormat="1" ht="21.95" customHeight="1" x14ac:dyDescent="0.2">
      <c r="A4010" s="6" t="s">
        <v>943</v>
      </c>
      <c r="B4010" s="6" t="s">
        <v>1597</v>
      </c>
      <c r="C4010" s="6" t="s">
        <v>1389</v>
      </c>
      <c r="D4010" s="6" t="s">
        <v>943</v>
      </c>
      <c r="G4010" s="6">
        <v>160</v>
      </c>
      <c r="H4010" s="6">
        <v>200</v>
      </c>
      <c r="I4010" s="9"/>
      <c r="J4010" s="9"/>
      <c r="K4010" s="9">
        <v>44008265</v>
      </c>
      <c r="L4010" s="6" t="str">
        <f t="shared" si="385"/>
        <v>1D  CARIA YATAK  160x200</v>
      </c>
      <c r="M4010" s="12">
        <v>0.5</v>
      </c>
      <c r="N4010" s="12">
        <v>0.5</v>
      </c>
      <c r="O4010" s="12">
        <v>12400</v>
      </c>
      <c r="P4010" s="12">
        <f t="shared" si="377"/>
        <v>6200</v>
      </c>
      <c r="Q4010" s="12">
        <f t="shared" si="384"/>
        <v>13020</v>
      </c>
      <c r="R4010" s="33">
        <f t="shared" si="378"/>
        <v>13000</v>
      </c>
      <c r="T4010" s="12">
        <v>7980</v>
      </c>
      <c r="U4010" s="12"/>
      <c r="V4010" s="12">
        <f t="shared" si="380"/>
        <v>7980</v>
      </c>
      <c r="W4010" s="12">
        <f t="shared" si="381"/>
        <v>19950</v>
      </c>
      <c r="X4010" s="12">
        <f t="shared" si="379"/>
        <v>19900</v>
      </c>
    </row>
    <row r="4011" spans="1:24" s="6" customFormat="1" ht="27.6" customHeight="1" x14ac:dyDescent="0.2">
      <c r="A4011" s="6" t="s">
        <v>943</v>
      </c>
      <c r="B4011" s="6" t="s">
        <v>1597</v>
      </c>
      <c r="C4011" s="6" t="s">
        <v>1389</v>
      </c>
      <c r="D4011" s="6" t="s">
        <v>943</v>
      </c>
      <c r="G4011" s="6">
        <v>180</v>
      </c>
      <c r="H4011" s="6">
        <v>200</v>
      </c>
      <c r="I4011" s="9"/>
      <c r="J4011" s="9"/>
      <c r="K4011" s="9">
        <v>44008266</v>
      </c>
      <c r="L4011" s="6" t="str">
        <f t="shared" si="385"/>
        <v>1D  CARIA YATAK  180x200</v>
      </c>
      <c r="M4011" s="12">
        <v>0.5</v>
      </c>
      <c r="N4011" s="12">
        <v>0.5</v>
      </c>
      <c r="O4011" s="12">
        <v>14000</v>
      </c>
      <c r="P4011" s="12">
        <f t="shared" si="377"/>
        <v>7000</v>
      </c>
      <c r="Q4011" s="12">
        <f t="shared" si="384"/>
        <v>14700</v>
      </c>
      <c r="R4011" s="33">
        <f t="shared" si="378"/>
        <v>14700</v>
      </c>
      <c r="T4011" s="12"/>
      <c r="U4011" s="12"/>
      <c r="V4011" s="12">
        <f t="shared" si="380"/>
        <v>0</v>
      </c>
      <c r="W4011" s="12">
        <f t="shared" si="381"/>
        <v>0</v>
      </c>
      <c r="X4011" s="12">
        <f t="shared" si="379"/>
        <v>0</v>
      </c>
    </row>
    <row r="4012" spans="1:24" s="6" customFormat="1" ht="21.95" customHeight="1" x14ac:dyDescent="0.2">
      <c r="A4012" s="6" t="s">
        <v>943</v>
      </c>
      <c r="B4012" s="6" t="s">
        <v>1597</v>
      </c>
      <c r="C4012" s="6" t="s">
        <v>1389</v>
      </c>
      <c r="D4012" s="6" t="s">
        <v>1380</v>
      </c>
      <c r="I4012" s="9"/>
      <c r="J4012" s="9"/>
      <c r="K4012" s="9">
        <v>44008267</v>
      </c>
      <c r="L4012" s="6" t="str">
        <f>B4012&amp;" "&amp;C4012&amp;" "&amp;D4012</f>
        <v>1D  CARIA KOMODİN (2 ADET)</v>
      </c>
      <c r="M4012" s="12">
        <v>0.5</v>
      </c>
      <c r="N4012" s="12">
        <v>0.5</v>
      </c>
      <c r="O4012" s="12">
        <v>13200</v>
      </c>
      <c r="P4012" s="12">
        <f t="shared" si="377"/>
        <v>6600</v>
      </c>
      <c r="Q4012" s="12">
        <f t="shared" si="384"/>
        <v>13860</v>
      </c>
      <c r="R4012" s="33">
        <f t="shared" si="378"/>
        <v>13800</v>
      </c>
      <c r="T4012" s="12">
        <v>6250</v>
      </c>
      <c r="U4012" s="12"/>
      <c r="V4012" s="12">
        <f t="shared" si="380"/>
        <v>6250</v>
      </c>
      <c r="W4012" s="12">
        <f t="shared" si="381"/>
        <v>15625</v>
      </c>
      <c r="X4012" s="12">
        <f t="shared" si="379"/>
        <v>15600</v>
      </c>
    </row>
    <row r="4013" spans="1:24" s="6" customFormat="1" ht="27.6" customHeight="1" x14ac:dyDescent="0.2">
      <c r="A4013" s="6" t="s">
        <v>943</v>
      </c>
      <c r="B4013" s="6" t="s">
        <v>1597</v>
      </c>
      <c r="C4013" s="6" t="s">
        <v>1390</v>
      </c>
      <c r="D4013" s="6" t="s">
        <v>989</v>
      </c>
      <c r="G4013" s="6">
        <v>90</v>
      </c>
      <c r="H4013" s="6">
        <v>190</v>
      </c>
      <c r="I4013" s="9"/>
      <c r="J4013" s="9"/>
      <c r="K4013" s="9">
        <v>44008293</v>
      </c>
      <c r="L4013" s="6" t="str">
        <f t="shared" ref="L4013:L4036" si="386">B4013&amp;" "&amp;C4013&amp;" "&amp;D4013&amp;" "&amp;G4013&amp;"x"&amp;H4013</f>
        <v>1D  COMO  BAZA  90x190</v>
      </c>
      <c r="M4013" s="12">
        <v>0.5</v>
      </c>
      <c r="N4013" s="12">
        <v>0.5</v>
      </c>
      <c r="O4013" s="12">
        <v>9900</v>
      </c>
      <c r="P4013" s="12">
        <f t="shared" ref="P4013:P4076" si="387">O4013*(1-N4013)</f>
        <v>4950</v>
      </c>
      <c r="Q4013" s="12">
        <f t="shared" si="384"/>
        <v>10395</v>
      </c>
      <c r="R4013" s="33">
        <f t="shared" ref="R4013:R4076" si="388">ROUNDDOWN(Q4013,-2)</f>
        <v>10300</v>
      </c>
      <c r="T4013" s="12"/>
      <c r="U4013" s="12"/>
      <c r="V4013" s="12">
        <f t="shared" si="380"/>
        <v>0</v>
      </c>
      <c r="W4013" s="12">
        <f t="shared" si="381"/>
        <v>0</v>
      </c>
      <c r="X4013" s="12">
        <f t="shared" si="379"/>
        <v>0</v>
      </c>
    </row>
    <row r="4014" spans="1:24" s="6" customFormat="1" ht="27.6" customHeight="1" x14ac:dyDescent="0.2">
      <c r="A4014" s="6" t="s">
        <v>943</v>
      </c>
      <c r="B4014" s="6" t="s">
        <v>1597</v>
      </c>
      <c r="C4014" s="6" t="s">
        <v>1390</v>
      </c>
      <c r="D4014" s="6" t="s">
        <v>989</v>
      </c>
      <c r="G4014" s="6">
        <v>90</v>
      </c>
      <c r="H4014" s="6">
        <v>200</v>
      </c>
      <c r="I4014" s="9"/>
      <c r="J4014" s="9"/>
      <c r="K4014" s="9">
        <v>44008294</v>
      </c>
      <c r="L4014" s="6" t="str">
        <f t="shared" si="386"/>
        <v>1D  COMO  BAZA  90x200</v>
      </c>
      <c r="M4014" s="12">
        <v>0.5</v>
      </c>
      <c r="N4014" s="12">
        <v>0.5</v>
      </c>
      <c r="O4014" s="12">
        <v>10400</v>
      </c>
      <c r="P4014" s="12">
        <f t="shared" si="387"/>
        <v>5200</v>
      </c>
      <c r="Q4014" s="12">
        <f t="shared" si="384"/>
        <v>10920</v>
      </c>
      <c r="R4014" s="33">
        <f t="shared" si="388"/>
        <v>10900</v>
      </c>
      <c r="T4014" s="12"/>
      <c r="U4014" s="12"/>
      <c r="V4014" s="12">
        <f t="shared" si="380"/>
        <v>0</v>
      </c>
      <c r="W4014" s="12">
        <f t="shared" si="381"/>
        <v>0</v>
      </c>
      <c r="X4014" s="12">
        <f t="shared" si="379"/>
        <v>0</v>
      </c>
    </row>
    <row r="4015" spans="1:24" s="6" customFormat="1" ht="27.6" customHeight="1" x14ac:dyDescent="0.2">
      <c r="A4015" s="6" t="s">
        <v>943</v>
      </c>
      <c r="B4015" s="6" t="s">
        <v>1597</v>
      </c>
      <c r="C4015" s="6" t="s">
        <v>1390</v>
      </c>
      <c r="D4015" s="6" t="s">
        <v>989</v>
      </c>
      <c r="G4015" s="6">
        <v>100</v>
      </c>
      <c r="H4015" s="6">
        <v>200</v>
      </c>
      <c r="I4015" s="9"/>
      <c r="J4015" s="9"/>
      <c r="K4015" s="9">
        <v>44008295</v>
      </c>
      <c r="L4015" s="6" t="str">
        <f t="shared" si="386"/>
        <v>1D  COMO  BAZA  100x200</v>
      </c>
      <c r="M4015" s="12">
        <v>0.5</v>
      </c>
      <c r="N4015" s="12">
        <v>0.5</v>
      </c>
      <c r="O4015" s="12">
        <v>11600</v>
      </c>
      <c r="P4015" s="12">
        <f t="shared" si="387"/>
        <v>5800</v>
      </c>
      <c r="Q4015" s="12">
        <f t="shared" si="384"/>
        <v>12180</v>
      </c>
      <c r="R4015" s="33">
        <f t="shared" si="388"/>
        <v>12100</v>
      </c>
      <c r="T4015" s="12"/>
      <c r="U4015" s="12"/>
      <c r="V4015" s="12">
        <f t="shared" si="380"/>
        <v>0</v>
      </c>
      <c r="W4015" s="12">
        <f t="shared" si="381"/>
        <v>0</v>
      </c>
      <c r="X4015" s="12">
        <f t="shared" ref="X4015:X4074" si="389">ROUNDDOWN(W4015,-2)</f>
        <v>0</v>
      </c>
    </row>
    <row r="4016" spans="1:24" s="6" customFormat="1" ht="21.95" customHeight="1" x14ac:dyDescent="0.2">
      <c r="A4016" s="6" t="s">
        <v>943</v>
      </c>
      <c r="B4016" s="6" t="s">
        <v>1597</v>
      </c>
      <c r="C4016" s="6" t="s">
        <v>1390</v>
      </c>
      <c r="D4016" s="6" t="s">
        <v>989</v>
      </c>
      <c r="G4016" s="6">
        <v>120</v>
      </c>
      <c r="H4016" s="6">
        <v>200</v>
      </c>
      <c r="I4016" s="9"/>
      <c r="J4016" s="9"/>
      <c r="K4016" s="9">
        <v>44008296</v>
      </c>
      <c r="L4016" s="6" t="str">
        <f t="shared" si="386"/>
        <v>1D  COMO  BAZA  120x200</v>
      </c>
      <c r="M4016" s="12">
        <v>0.5</v>
      </c>
      <c r="N4016" s="12">
        <v>0.5</v>
      </c>
      <c r="O4016" s="12">
        <v>13900</v>
      </c>
      <c r="P4016" s="12">
        <f t="shared" si="387"/>
        <v>6950</v>
      </c>
      <c r="Q4016" s="12">
        <f t="shared" si="384"/>
        <v>14595</v>
      </c>
      <c r="R4016" s="33">
        <f t="shared" si="388"/>
        <v>14500</v>
      </c>
      <c r="T4016" s="12">
        <v>10760</v>
      </c>
      <c r="U4016" s="12"/>
      <c r="V4016" s="12">
        <f t="shared" ref="V4016:V4074" si="390">T4016</f>
        <v>10760</v>
      </c>
      <c r="W4016" s="12">
        <f t="shared" ref="W4016:W4074" si="391">V4016*2.5</f>
        <v>26900</v>
      </c>
      <c r="X4016" s="12">
        <f t="shared" si="389"/>
        <v>26900</v>
      </c>
    </row>
    <row r="4017" spans="1:24" s="6" customFormat="1" ht="21.95" customHeight="1" x14ac:dyDescent="0.2">
      <c r="A4017" s="6" t="s">
        <v>943</v>
      </c>
      <c r="B4017" s="6" t="s">
        <v>1597</v>
      </c>
      <c r="C4017" s="6" t="s">
        <v>1390</v>
      </c>
      <c r="D4017" s="6" t="s">
        <v>989</v>
      </c>
      <c r="G4017" s="6">
        <v>140</v>
      </c>
      <c r="H4017" s="6">
        <v>200</v>
      </c>
      <c r="I4017" s="9"/>
      <c r="J4017" s="9"/>
      <c r="K4017" s="9">
        <v>44008297</v>
      </c>
      <c r="L4017" s="6" t="str">
        <f t="shared" si="386"/>
        <v>1D  COMO  BAZA  140x200</v>
      </c>
      <c r="M4017" s="12">
        <v>0.5</v>
      </c>
      <c r="N4017" s="12">
        <v>0.5</v>
      </c>
      <c r="O4017" s="12">
        <v>16200</v>
      </c>
      <c r="P4017" s="12">
        <f t="shared" si="387"/>
        <v>8100</v>
      </c>
      <c r="Q4017" s="12">
        <f t="shared" si="384"/>
        <v>17010</v>
      </c>
      <c r="R4017" s="33">
        <f t="shared" si="388"/>
        <v>17000</v>
      </c>
      <c r="T4017" s="12">
        <v>10520</v>
      </c>
      <c r="U4017" s="12"/>
      <c r="V4017" s="12">
        <f t="shared" si="390"/>
        <v>10520</v>
      </c>
      <c r="W4017" s="12">
        <f t="shared" si="391"/>
        <v>26300</v>
      </c>
      <c r="X4017" s="12">
        <f t="shared" si="389"/>
        <v>26300</v>
      </c>
    </row>
    <row r="4018" spans="1:24" s="6" customFormat="1" ht="27.6" customHeight="1" x14ac:dyDescent="0.2">
      <c r="A4018" s="6" t="s">
        <v>943</v>
      </c>
      <c r="B4018" s="6" t="s">
        <v>1597</v>
      </c>
      <c r="C4018" s="6" t="s">
        <v>1390</v>
      </c>
      <c r="D4018" s="6" t="s">
        <v>989</v>
      </c>
      <c r="G4018" s="6">
        <v>150</v>
      </c>
      <c r="H4018" s="6">
        <v>200</v>
      </c>
      <c r="I4018" s="9"/>
      <c r="J4018" s="9"/>
      <c r="K4018" s="9">
        <v>44008298</v>
      </c>
      <c r="L4018" s="6" t="str">
        <f t="shared" si="386"/>
        <v>1D  COMO  BAZA  150x200</v>
      </c>
      <c r="M4018" s="12">
        <v>0.5</v>
      </c>
      <c r="N4018" s="12">
        <v>0.5</v>
      </c>
      <c r="O4018" s="12">
        <v>17300</v>
      </c>
      <c r="P4018" s="12">
        <f t="shared" si="387"/>
        <v>8650</v>
      </c>
      <c r="Q4018" s="12">
        <f t="shared" si="384"/>
        <v>18165</v>
      </c>
      <c r="R4018" s="33">
        <f t="shared" si="388"/>
        <v>18100</v>
      </c>
      <c r="T4018" s="12"/>
      <c r="U4018" s="12"/>
      <c r="V4018" s="12">
        <f t="shared" si="390"/>
        <v>0</v>
      </c>
      <c r="W4018" s="12">
        <f t="shared" si="391"/>
        <v>0</v>
      </c>
      <c r="X4018" s="12">
        <f t="shared" si="389"/>
        <v>0</v>
      </c>
    </row>
    <row r="4019" spans="1:24" s="6" customFormat="1" ht="21.95" customHeight="1" x14ac:dyDescent="0.2">
      <c r="A4019" s="6" t="s">
        <v>943</v>
      </c>
      <c r="B4019" s="6" t="s">
        <v>1597</v>
      </c>
      <c r="C4019" s="6" t="s">
        <v>1390</v>
      </c>
      <c r="D4019" s="6" t="s">
        <v>989</v>
      </c>
      <c r="G4019" s="6">
        <v>160</v>
      </c>
      <c r="H4019" s="6">
        <v>200</v>
      </c>
      <c r="I4019" s="9"/>
      <c r="J4019" s="9"/>
      <c r="K4019" s="9">
        <v>44008299</v>
      </c>
      <c r="L4019" s="6" t="str">
        <f t="shared" si="386"/>
        <v>1D  COMO  BAZA  160x200</v>
      </c>
      <c r="M4019" s="12">
        <v>0.5</v>
      </c>
      <c r="N4019" s="12">
        <v>0.5</v>
      </c>
      <c r="O4019" s="12">
        <v>18500</v>
      </c>
      <c r="P4019" s="12">
        <f t="shared" si="387"/>
        <v>9250</v>
      </c>
      <c r="Q4019" s="12">
        <f t="shared" si="384"/>
        <v>19425</v>
      </c>
      <c r="R4019" s="33">
        <f t="shared" si="388"/>
        <v>19400</v>
      </c>
      <c r="T4019" s="12"/>
      <c r="U4019" s="12"/>
      <c r="V4019" s="12">
        <f t="shared" si="390"/>
        <v>0</v>
      </c>
      <c r="W4019" s="12">
        <f t="shared" si="391"/>
        <v>0</v>
      </c>
      <c r="X4019" s="12">
        <f t="shared" si="389"/>
        <v>0</v>
      </c>
    </row>
    <row r="4020" spans="1:24" s="6" customFormat="1" ht="21.95" customHeight="1" x14ac:dyDescent="0.2">
      <c r="A4020" s="6" t="s">
        <v>943</v>
      </c>
      <c r="B4020" s="6" t="s">
        <v>1597</v>
      </c>
      <c r="C4020" s="6" t="s">
        <v>1390</v>
      </c>
      <c r="D4020" s="6" t="s">
        <v>989</v>
      </c>
      <c r="G4020" s="6">
        <v>180</v>
      </c>
      <c r="H4020" s="6">
        <v>200</v>
      </c>
      <c r="I4020" s="9"/>
      <c r="J4020" s="9"/>
      <c r="K4020" s="9">
        <v>44008300</v>
      </c>
      <c r="L4020" s="6" t="str">
        <f t="shared" si="386"/>
        <v>1D  COMO  BAZA  180x200</v>
      </c>
      <c r="M4020" s="12">
        <v>0.5</v>
      </c>
      <c r="N4020" s="12">
        <v>0.5</v>
      </c>
      <c r="O4020" s="12">
        <v>20800</v>
      </c>
      <c r="P4020" s="12">
        <f t="shared" si="387"/>
        <v>10400</v>
      </c>
      <c r="Q4020" s="12">
        <f t="shared" si="384"/>
        <v>21840</v>
      </c>
      <c r="R4020" s="33">
        <f t="shared" si="388"/>
        <v>21800</v>
      </c>
      <c r="T4020" s="12">
        <v>14580</v>
      </c>
      <c r="U4020" s="12"/>
      <c r="V4020" s="12">
        <f t="shared" si="390"/>
        <v>14580</v>
      </c>
      <c r="W4020" s="12">
        <f t="shared" si="391"/>
        <v>36450</v>
      </c>
      <c r="X4020" s="12">
        <f t="shared" si="389"/>
        <v>36400</v>
      </c>
    </row>
    <row r="4021" spans="1:24" s="6" customFormat="1" ht="21.95" customHeight="1" x14ac:dyDescent="0.2">
      <c r="A4021" s="6" t="s">
        <v>943</v>
      </c>
      <c r="B4021" s="6" t="s">
        <v>1597</v>
      </c>
      <c r="C4021" s="6" t="s">
        <v>1390</v>
      </c>
      <c r="D4021" s="6" t="s">
        <v>1003</v>
      </c>
      <c r="G4021" s="6">
        <v>90</v>
      </c>
      <c r="H4021" s="6">
        <v>190</v>
      </c>
      <c r="I4021" s="9"/>
      <c r="J4021" s="9"/>
      <c r="K4021" s="9">
        <v>44008301</v>
      </c>
      <c r="L4021" s="6" t="str">
        <f t="shared" si="386"/>
        <v>1D  COMO  BAŞLIK  90x190</v>
      </c>
      <c r="M4021" s="12">
        <v>0.5</v>
      </c>
      <c r="N4021" s="12">
        <v>0.5</v>
      </c>
      <c r="O4021" s="12">
        <v>2700</v>
      </c>
      <c r="P4021" s="12">
        <f t="shared" si="387"/>
        <v>1350</v>
      </c>
      <c r="Q4021" s="12">
        <f t="shared" si="384"/>
        <v>2835</v>
      </c>
      <c r="R4021" s="33">
        <f t="shared" si="388"/>
        <v>2800</v>
      </c>
      <c r="T4021" s="12">
        <v>17700</v>
      </c>
      <c r="U4021" s="12"/>
      <c r="V4021" s="12">
        <f t="shared" si="390"/>
        <v>17700</v>
      </c>
      <c r="W4021" s="12">
        <f t="shared" si="391"/>
        <v>44250</v>
      </c>
      <c r="X4021" s="12">
        <f t="shared" si="389"/>
        <v>44200</v>
      </c>
    </row>
    <row r="4022" spans="1:24" s="6" customFormat="1" ht="21.95" customHeight="1" x14ac:dyDescent="0.2">
      <c r="A4022" s="6" t="s">
        <v>943</v>
      </c>
      <c r="B4022" s="6" t="s">
        <v>1597</v>
      </c>
      <c r="C4022" s="6" t="s">
        <v>1390</v>
      </c>
      <c r="D4022" s="6" t="s">
        <v>1003</v>
      </c>
      <c r="G4022" s="6">
        <v>90</v>
      </c>
      <c r="H4022" s="6">
        <v>200</v>
      </c>
      <c r="I4022" s="9"/>
      <c r="J4022" s="9"/>
      <c r="K4022" s="9">
        <v>44008302</v>
      </c>
      <c r="L4022" s="6" t="str">
        <f t="shared" si="386"/>
        <v>1D  COMO  BAŞLIK  90x200</v>
      </c>
      <c r="M4022" s="12">
        <v>0.5</v>
      </c>
      <c r="N4022" s="12">
        <v>0.5</v>
      </c>
      <c r="O4022" s="12">
        <v>2900</v>
      </c>
      <c r="P4022" s="12">
        <f t="shared" si="387"/>
        <v>1450</v>
      </c>
      <c r="Q4022" s="12">
        <f t="shared" si="384"/>
        <v>3045</v>
      </c>
      <c r="R4022" s="33">
        <f t="shared" si="388"/>
        <v>3000</v>
      </c>
      <c r="T4022" s="12"/>
      <c r="U4022" s="12"/>
      <c r="V4022" s="12">
        <f t="shared" si="390"/>
        <v>0</v>
      </c>
      <c r="W4022" s="12">
        <f t="shared" si="391"/>
        <v>0</v>
      </c>
      <c r="X4022" s="12">
        <f t="shared" si="389"/>
        <v>0</v>
      </c>
    </row>
    <row r="4023" spans="1:24" s="6" customFormat="1" ht="21.95" customHeight="1" x14ac:dyDescent="0.2">
      <c r="A4023" s="6" t="s">
        <v>943</v>
      </c>
      <c r="B4023" s="6" t="s">
        <v>1597</v>
      </c>
      <c r="C4023" s="6" t="s">
        <v>1390</v>
      </c>
      <c r="D4023" s="6" t="s">
        <v>1003</v>
      </c>
      <c r="G4023" s="6">
        <v>100</v>
      </c>
      <c r="H4023" s="6">
        <v>200</v>
      </c>
      <c r="I4023" s="9"/>
      <c r="J4023" s="9"/>
      <c r="K4023" s="9">
        <v>44008303</v>
      </c>
      <c r="L4023" s="6" t="str">
        <f t="shared" si="386"/>
        <v>1D  COMO  BAŞLIK  100x200</v>
      </c>
      <c r="M4023" s="12">
        <v>0.5</v>
      </c>
      <c r="N4023" s="12">
        <v>0.5</v>
      </c>
      <c r="O4023" s="12">
        <v>3200</v>
      </c>
      <c r="P4023" s="12">
        <f t="shared" si="387"/>
        <v>1600</v>
      </c>
      <c r="Q4023" s="12">
        <f t="shared" si="384"/>
        <v>3360</v>
      </c>
      <c r="R4023" s="33">
        <f t="shared" si="388"/>
        <v>3300</v>
      </c>
      <c r="T4023" s="12">
        <v>6730</v>
      </c>
      <c r="U4023" s="12"/>
      <c r="V4023" s="12">
        <f t="shared" si="390"/>
        <v>6730</v>
      </c>
      <c r="W4023" s="12">
        <f t="shared" si="391"/>
        <v>16825</v>
      </c>
      <c r="X4023" s="12">
        <f t="shared" si="389"/>
        <v>16800</v>
      </c>
    </row>
    <row r="4024" spans="1:24" s="6" customFormat="1" ht="21.95" customHeight="1" x14ac:dyDescent="0.2">
      <c r="A4024" s="6" t="s">
        <v>943</v>
      </c>
      <c r="B4024" s="6" t="s">
        <v>1597</v>
      </c>
      <c r="C4024" s="6" t="s">
        <v>1390</v>
      </c>
      <c r="D4024" s="6" t="s">
        <v>1003</v>
      </c>
      <c r="G4024" s="6">
        <v>120</v>
      </c>
      <c r="H4024" s="6">
        <v>200</v>
      </c>
      <c r="I4024" s="9"/>
      <c r="J4024" s="9"/>
      <c r="K4024" s="9">
        <v>44008304</v>
      </c>
      <c r="L4024" s="6" t="str">
        <f t="shared" si="386"/>
        <v>1D  COMO  BAŞLIK  120x200</v>
      </c>
      <c r="M4024" s="12">
        <v>0.5</v>
      </c>
      <c r="N4024" s="12">
        <v>0.5</v>
      </c>
      <c r="O4024" s="12">
        <v>3800</v>
      </c>
      <c r="P4024" s="12">
        <f t="shared" si="387"/>
        <v>1900</v>
      </c>
      <c r="Q4024" s="12">
        <f t="shared" si="384"/>
        <v>3990</v>
      </c>
      <c r="R4024" s="33">
        <f t="shared" si="388"/>
        <v>3900</v>
      </c>
      <c r="T4024" s="12">
        <v>4470</v>
      </c>
      <c r="U4024" s="12"/>
      <c r="V4024" s="12">
        <f t="shared" si="390"/>
        <v>4470</v>
      </c>
      <c r="W4024" s="12">
        <f t="shared" si="391"/>
        <v>11175</v>
      </c>
      <c r="X4024" s="12">
        <f t="shared" si="389"/>
        <v>11100</v>
      </c>
    </row>
    <row r="4025" spans="1:24" s="6" customFormat="1" ht="21.95" customHeight="1" x14ac:dyDescent="0.2">
      <c r="A4025" s="6" t="s">
        <v>943</v>
      </c>
      <c r="B4025" s="6" t="s">
        <v>1597</v>
      </c>
      <c r="C4025" s="6" t="s">
        <v>1390</v>
      </c>
      <c r="D4025" s="6" t="s">
        <v>1003</v>
      </c>
      <c r="G4025" s="6">
        <v>140</v>
      </c>
      <c r="H4025" s="6">
        <v>200</v>
      </c>
      <c r="I4025" s="9"/>
      <c r="J4025" s="9"/>
      <c r="K4025" s="9">
        <v>44008305</v>
      </c>
      <c r="L4025" s="6" t="str">
        <f t="shared" si="386"/>
        <v>1D  COMO  BAŞLIK  140x200</v>
      </c>
      <c r="M4025" s="12">
        <v>0.5</v>
      </c>
      <c r="N4025" s="12">
        <v>0.5</v>
      </c>
      <c r="O4025" s="12">
        <v>4500</v>
      </c>
      <c r="P4025" s="12">
        <f t="shared" si="387"/>
        <v>2250</v>
      </c>
      <c r="Q4025" s="12">
        <f t="shared" si="384"/>
        <v>4725</v>
      </c>
      <c r="R4025" s="33">
        <f t="shared" si="388"/>
        <v>4700</v>
      </c>
      <c r="T4025" s="12"/>
      <c r="U4025" s="12"/>
      <c r="V4025" s="12">
        <f t="shared" si="390"/>
        <v>0</v>
      </c>
      <c r="W4025" s="12">
        <f t="shared" si="391"/>
        <v>0</v>
      </c>
      <c r="X4025" s="12">
        <f t="shared" si="389"/>
        <v>0</v>
      </c>
    </row>
    <row r="4026" spans="1:24" s="6" customFormat="1" ht="21.95" customHeight="1" x14ac:dyDescent="0.2">
      <c r="A4026" s="6" t="s">
        <v>943</v>
      </c>
      <c r="B4026" s="6" t="s">
        <v>1597</v>
      </c>
      <c r="C4026" s="6" t="s">
        <v>1390</v>
      </c>
      <c r="D4026" s="6" t="s">
        <v>1003</v>
      </c>
      <c r="G4026" s="6">
        <v>150</v>
      </c>
      <c r="H4026" s="6">
        <v>200</v>
      </c>
      <c r="I4026" s="9"/>
      <c r="J4026" s="9"/>
      <c r="K4026" s="9">
        <v>44008306</v>
      </c>
      <c r="L4026" s="6" t="str">
        <f t="shared" si="386"/>
        <v>1D  COMO  BAŞLIK  150x200</v>
      </c>
      <c r="M4026" s="12">
        <v>0.5</v>
      </c>
      <c r="N4026" s="12">
        <v>0.5</v>
      </c>
      <c r="O4026" s="12">
        <v>4800</v>
      </c>
      <c r="P4026" s="12">
        <f t="shared" si="387"/>
        <v>2400</v>
      </c>
      <c r="Q4026" s="12">
        <f t="shared" si="384"/>
        <v>5040</v>
      </c>
      <c r="R4026" s="33">
        <f t="shared" si="388"/>
        <v>5000</v>
      </c>
      <c r="T4026" s="12">
        <v>4150</v>
      </c>
      <c r="U4026" s="12"/>
      <c r="V4026" s="12">
        <f t="shared" si="390"/>
        <v>4150</v>
      </c>
      <c r="W4026" s="12">
        <f t="shared" si="391"/>
        <v>10375</v>
      </c>
      <c r="X4026" s="12">
        <f t="shared" si="389"/>
        <v>10300</v>
      </c>
    </row>
    <row r="4027" spans="1:24" s="6" customFormat="1" ht="21.95" customHeight="1" x14ac:dyDescent="0.2">
      <c r="A4027" s="6" t="s">
        <v>943</v>
      </c>
      <c r="B4027" s="6" t="s">
        <v>1597</v>
      </c>
      <c r="C4027" s="6" t="s">
        <v>1390</v>
      </c>
      <c r="D4027" s="6" t="s">
        <v>1003</v>
      </c>
      <c r="G4027" s="6">
        <v>160</v>
      </c>
      <c r="H4027" s="6">
        <v>200</v>
      </c>
      <c r="I4027" s="9"/>
      <c r="J4027" s="9"/>
      <c r="K4027" s="9">
        <v>44008307</v>
      </c>
      <c r="L4027" s="6" t="str">
        <f t="shared" si="386"/>
        <v>1D  COMO  BAŞLIK  160x200</v>
      </c>
      <c r="M4027" s="12">
        <v>0.5</v>
      </c>
      <c r="N4027" s="12">
        <v>0.5</v>
      </c>
      <c r="O4027" s="12">
        <v>5100</v>
      </c>
      <c r="P4027" s="12">
        <f t="shared" si="387"/>
        <v>2550</v>
      </c>
      <c r="Q4027" s="12">
        <f t="shared" si="384"/>
        <v>5355</v>
      </c>
      <c r="R4027" s="33">
        <f t="shared" si="388"/>
        <v>5300</v>
      </c>
      <c r="T4027" s="12">
        <v>2000</v>
      </c>
      <c r="U4027" s="12"/>
      <c r="V4027" s="12">
        <f t="shared" si="390"/>
        <v>2000</v>
      </c>
      <c r="W4027" s="12">
        <f t="shared" si="391"/>
        <v>5000</v>
      </c>
      <c r="X4027" s="12">
        <f t="shared" si="389"/>
        <v>5000</v>
      </c>
    </row>
    <row r="4028" spans="1:24" s="6" customFormat="1" ht="21.95" customHeight="1" x14ac:dyDescent="0.2">
      <c r="A4028" s="6" t="s">
        <v>943</v>
      </c>
      <c r="B4028" s="6" t="s">
        <v>1597</v>
      </c>
      <c r="C4028" s="6" t="s">
        <v>1390</v>
      </c>
      <c r="D4028" s="6" t="s">
        <v>1003</v>
      </c>
      <c r="G4028" s="6">
        <v>180</v>
      </c>
      <c r="H4028" s="6">
        <v>200</v>
      </c>
      <c r="I4028" s="9"/>
      <c r="J4028" s="9"/>
      <c r="K4028" s="9">
        <v>44008308</v>
      </c>
      <c r="L4028" s="6" t="str">
        <f t="shared" si="386"/>
        <v>1D  COMO  BAŞLIK  180x200</v>
      </c>
      <c r="M4028" s="12">
        <v>0.5</v>
      </c>
      <c r="N4028" s="12">
        <v>0.5</v>
      </c>
      <c r="O4028" s="12">
        <v>5700</v>
      </c>
      <c r="P4028" s="12">
        <f t="shared" si="387"/>
        <v>2850</v>
      </c>
      <c r="Q4028" s="12">
        <f t="shared" si="384"/>
        <v>5985</v>
      </c>
      <c r="R4028" s="33">
        <f t="shared" si="388"/>
        <v>5900</v>
      </c>
      <c r="T4028" s="12">
        <v>1620</v>
      </c>
      <c r="U4028" s="12"/>
      <c r="V4028" s="12">
        <f t="shared" si="390"/>
        <v>1620</v>
      </c>
      <c r="W4028" s="12">
        <f t="shared" si="391"/>
        <v>4050</v>
      </c>
      <c r="X4028" s="12">
        <f t="shared" si="389"/>
        <v>4000</v>
      </c>
    </row>
    <row r="4029" spans="1:24" s="6" customFormat="1" ht="21.95" customHeight="1" x14ac:dyDescent="0.2">
      <c r="A4029" s="6" t="s">
        <v>943</v>
      </c>
      <c r="B4029" s="6" t="s">
        <v>1597</v>
      </c>
      <c r="C4029" s="6" t="s">
        <v>1390</v>
      </c>
      <c r="D4029" s="6" t="s">
        <v>943</v>
      </c>
      <c r="G4029" s="6">
        <v>90</v>
      </c>
      <c r="H4029" s="6">
        <v>190</v>
      </c>
      <c r="I4029" s="9"/>
      <c r="J4029" s="9"/>
      <c r="K4029" s="9">
        <v>44008309</v>
      </c>
      <c r="L4029" s="6" t="str">
        <f t="shared" si="386"/>
        <v>1D  COMO  YATAK  90x190</v>
      </c>
      <c r="M4029" s="12">
        <v>0.5</v>
      </c>
      <c r="N4029" s="12">
        <v>0.5</v>
      </c>
      <c r="O4029" s="12">
        <v>9200</v>
      </c>
      <c r="P4029" s="12">
        <f t="shared" si="387"/>
        <v>4600</v>
      </c>
      <c r="Q4029" s="12">
        <f t="shared" si="384"/>
        <v>9660</v>
      </c>
      <c r="R4029" s="33">
        <f t="shared" si="388"/>
        <v>9600</v>
      </c>
      <c r="T4029" s="12">
        <v>2310</v>
      </c>
      <c r="U4029" s="12"/>
      <c r="V4029" s="12">
        <f t="shared" si="390"/>
        <v>2310</v>
      </c>
      <c r="W4029" s="12">
        <f t="shared" si="391"/>
        <v>5775</v>
      </c>
      <c r="X4029" s="12">
        <f t="shared" si="389"/>
        <v>5700</v>
      </c>
    </row>
    <row r="4030" spans="1:24" s="6" customFormat="1" ht="21.95" customHeight="1" x14ac:dyDescent="0.2">
      <c r="A4030" s="6" t="s">
        <v>943</v>
      </c>
      <c r="B4030" s="6" t="s">
        <v>1597</v>
      </c>
      <c r="C4030" s="6" t="s">
        <v>1390</v>
      </c>
      <c r="D4030" s="6" t="s">
        <v>943</v>
      </c>
      <c r="G4030" s="6">
        <v>90</v>
      </c>
      <c r="H4030" s="6">
        <v>200</v>
      </c>
      <c r="I4030" s="9"/>
      <c r="J4030" s="9"/>
      <c r="K4030" s="9">
        <v>44008310</v>
      </c>
      <c r="L4030" s="6" t="str">
        <f t="shared" si="386"/>
        <v>1D  COMO  YATAK  90x200</v>
      </c>
      <c r="M4030" s="12">
        <v>0.5</v>
      </c>
      <c r="N4030" s="12">
        <v>0.5</v>
      </c>
      <c r="O4030" s="12">
        <v>9700</v>
      </c>
      <c r="P4030" s="12">
        <f t="shared" si="387"/>
        <v>4850</v>
      </c>
      <c r="Q4030" s="12">
        <f t="shared" si="384"/>
        <v>10185</v>
      </c>
      <c r="R4030" s="33">
        <f t="shared" si="388"/>
        <v>10100</v>
      </c>
      <c r="T4030" s="12"/>
      <c r="U4030" s="12"/>
      <c r="V4030" s="12">
        <f t="shared" si="390"/>
        <v>0</v>
      </c>
      <c r="W4030" s="12">
        <f t="shared" si="391"/>
        <v>0</v>
      </c>
      <c r="X4030" s="12">
        <f t="shared" si="389"/>
        <v>0</v>
      </c>
    </row>
    <row r="4031" spans="1:24" s="6" customFormat="1" ht="21.95" customHeight="1" x14ac:dyDescent="0.2">
      <c r="A4031" s="6" t="s">
        <v>943</v>
      </c>
      <c r="B4031" s="6" t="s">
        <v>1597</v>
      </c>
      <c r="C4031" s="6" t="s">
        <v>1390</v>
      </c>
      <c r="D4031" s="6" t="s">
        <v>943</v>
      </c>
      <c r="G4031" s="6">
        <v>100</v>
      </c>
      <c r="H4031" s="6">
        <v>200</v>
      </c>
      <c r="I4031" s="9"/>
      <c r="J4031" s="9"/>
      <c r="K4031" s="9">
        <v>44008311</v>
      </c>
      <c r="L4031" s="6" t="str">
        <f t="shared" si="386"/>
        <v>1D  COMO  YATAK  100x200</v>
      </c>
      <c r="M4031" s="12">
        <v>0.5</v>
      </c>
      <c r="N4031" s="12">
        <v>0.5</v>
      </c>
      <c r="O4031" s="12">
        <v>10800</v>
      </c>
      <c r="P4031" s="12">
        <f t="shared" si="387"/>
        <v>5400</v>
      </c>
      <c r="Q4031" s="12">
        <f t="shared" si="384"/>
        <v>11340</v>
      </c>
      <c r="R4031" s="33">
        <f t="shared" si="388"/>
        <v>11300</v>
      </c>
      <c r="T4031" s="12">
        <v>3700</v>
      </c>
      <c r="U4031" s="12"/>
      <c r="V4031" s="12">
        <f t="shared" si="390"/>
        <v>3700</v>
      </c>
      <c r="W4031" s="12">
        <f t="shared" si="391"/>
        <v>9250</v>
      </c>
      <c r="X4031" s="12">
        <f t="shared" si="389"/>
        <v>9200</v>
      </c>
    </row>
    <row r="4032" spans="1:24" s="6" customFormat="1" ht="21.95" customHeight="1" x14ac:dyDescent="0.2">
      <c r="A4032" s="6" t="s">
        <v>943</v>
      </c>
      <c r="B4032" s="6" t="s">
        <v>1597</v>
      </c>
      <c r="C4032" s="6" t="s">
        <v>1390</v>
      </c>
      <c r="D4032" s="6" t="s">
        <v>943</v>
      </c>
      <c r="G4032" s="6">
        <v>120</v>
      </c>
      <c r="H4032" s="6">
        <v>200</v>
      </c>
      <c r="I4032" s="9"/>
      <c r="J4032" s="9"/>
      <c r="K4032" s="9">
        <v>44008312</v>
      </c>
      <c r="L4032" s="6" t="str">
        <f t="shared" si="386"/>
        <v>1D  COMO  YATAK  120x200</v>
      </c>
      <c r="M4032" s="12">
        <v>0.5</v>
      </c>
      <c r="N4032" s="12">
        <v>0.5</v>
      </c>
      <c r="O4032" s="12">
        <v>12900</v>
      </c>
      <c r="P4032" s="12">
        <f t="shared" si="387"/>
        <v>6450</v>
      </c>
      <c r="Q4032" s="12">
        <f t="shared" si="384"/>
        <v>13545</v>
      </c>
      <c r="R4032" s="33">
        <f t="shared" si="388"/>
        <v>13500</v>
      </c>
      <c r="T4032" s="12">
        <v>2770</v>
      </c>
      <c r="U4032" s="12"/>
      <c r="V4032" s="12">
        <f t="shared" si="390"/>
        <v>2770</v>
      </c>
      <c r="W4032" s="12">
        <f t="shared" si="391"/>
        <v>6925</v>
      </c>
      <c r="X4032" s="12">
        <f t="shared" si="389"/>
        <v>6900</v>
      </c>
    </row>
    <row r="4033" spans="1:24" s="6" customFormat="1" ht="21.95" customHeight="1" x14ac:dyDescent="0.2">
      <c r="A4033" s="6" t="s">
        <v>943</v>
      </c>
      <c r="B4033" s="6" t="s">
        <v>1597</v>
      </c>
      <c r="C4033" s="6" t="s">
        <v>1390</v>
      </c>
      <c r="D4033" s="6" t="s">
        <v>943</v>
      </c>
      <c r="G4033" s="6">
        <v>140</v>
      </c>
      <c r="H4033" s="6">
        <v>200</v>
      </c>
      <c r="I4033" s="9"/>
      <c r="J4033" s="9"/>
      <c r="K4033" s="9">
        <v>44008313</v>
      </c>
      <c r="L4033" s="6" t="str">
        <f t="shared" si="386"/>
        <v>1D  COMO  YATAK  140x200</v>
      </c>
      <c r="M4033" s="12">
        <v>0.5</v>
      </c>
      <c r="N4033" s="12">
        <v>0.5</v>
      </c>
      <c r="O4033" s="12">
        <v>15100</v>
      </c>
      <c r="P4033" s="12">
        <f t="shared" si="387"/>
        <v>7550</v>
      </c>
      <c r="Q4033" s="12">
        <f t="shared" si="384"/>
        <v>15855</v>
      </c>
      <c r="R4033" s="33">
        <f t="shared" si="388"/>
        <v>15800</v>
      </c>
      <c r="T4033" s="12"/>
      <c r="U4033" s="12"/>
      <c r="V4033" s="12">
        <f t="shared" si="390"/>
        <v>0</v>
      </c>
      <c r="W4033" s="12">
        <f t="shared" si="391"/>
        <v>0</v>
      </c>
      <c r="X4033" s="12">
        <f t="shared" si="389"/>
        <v>0</v>
      </c>
    </row>
    <row r="4034" spans="1:24" s="6" customFormat="1" ht="21.95" customHeight="1" x14ac:dyDescent="0.2">
      <c r="A4034" s="6" t="s">
        <v>943</v>
      </c>
      <c r="B4034" s="6" t="s">
        <v>1597</v>
      </c>
      <c r="C4034" s="6" t="s">
        <v>1390</v>
      </c>
      <c r="D4034" s="6" t="s">
        <v>943</v>
      </c>
      <c r="G4034" s="6">
        <v>150</v>
      </c>
      <c r="H4034" s="6">
        <v>200</v>
      </c>
      <c r="I4034" s="9"/>
      <c r="J4034" s="9"/>
      <c r="K4034" s="9">
        <v>44008314</v>
      </c>
      <c r="L4034" s="6" t="str">
        <f t="shared" si="386"/>
        <v>1D  COMO  YATAK  150x200</v>
      </c>
      <c r="M4034" s="12">
        <v>0.5</v>
      </c>
      <c r="N4034" s="12">
        <v>0.5</v>
      </c>
      <c r="O4034" s="12">
        <v>16100</v>
      </c>
      <c r="P4034" s="12">
        <f t="shared" si="387"/>
        <v>8050</v>
      </c>
      <c r="Q4034" s="12">
        <f t="shared" si="384"/>
        <v>16905</v>
      </c>
      <c r="R4034" s="33">
        <f t="shared" si="388"/>
        <v>16900</v>
      </c>
      <c r="T4034" s="12"/>
      <c r="U4034" s="12"/>
      <c r="V4034" s="12">
        <f t="shared" si="390"/>
        <v>0</v>
      </c>
      <c r="W4034" s="12">
        <f t="shared" si="391"/>
        <v>0</v>
      </c>
      <c r="X4034" s="12">
        <f t="shared" si="389"/>
        <v>0</v>
      </c>
    </row>
    <row r="4035" spans="1:24" s="6" customFormat="1" ht="21.95" customHeight="1" x14ac:dyDescent="0.2">
      <c r="A4035" s="6" t="s">
        <v>943</v>
      </c>
      <c r="B4035" s="6" t="s">
        <v>1597</v>
      </c>
      <c r="C4035" s="6" t="s">
        <v>1390</v>
      </c>
      <c r="D4035" s="6" t="s">
        <v>943</v>
      </c>
      <c r="G4035" s="6">
        <v>160</v>
      </c>
      <c r="H4035" s="6">
        <v>200</v>
      </c>
      <c r="I4035" s="9"/>
      <c r="J4035" s="9"/>
      <c r="K4035" s="9">
        <v>44008315</v>
      </c>
      <c r="L4035" s="6" t="str">
        <f t="shared" si="386"/>
        <v>1D  COMO  YATAK  160x200</v>
      </c>
      <c r="M4035" s="12">
        <v>0.5</v>
      </c>
      <c r="N4035" s="12">
        <v>0.5</v>
      </c>
      <c r="O4035" s="12">
        <v>17200</v>
      </c>
      <c r="P4035" s="12">
        <f t="shared" si="387"/>
        <v>8600</v>
      </c>
      <c r="Q4035" s="12">
        <f t="shared" si="384"/>
        <v>18060</v>
      </c>
      <c r="R4035" s="33">
        <f t="shared" si="388"/>
        <v>18000</v>
      </c>
      <c r="T4035" s="12"/>
      <c r="U4035" s="12"/>
      <c r="V4035" s="12">
        <f t="shared" si="390"/>
        <v>0</v>
      </c>
      <c r="W4035" s="12">
        <f t="shared" si="391"/>
        <v>0</v>
      </c>
      <c r="X4035" s="12">
        <f t="shared" si="389"/>
        <v>0</v>
      </c>
    </row>
    <row r="4036" spans="1:24" s="6" customFormat="1" ht="21.95" customHeight="1" x14ac:dyDescent="0.2">
      <c r="A4036" s="6" t="s">
        <v>943</v>
      </c>
      <c r="B4036" s="6" t="s">
        <v>1597</v>
      </c>
      <c r="C4036" s="6" t="s">
        <v>1390</v>
      </c>
      <c r="D4036" s="6" t="s">
        <v>943</v>
      </c>
      <c r="G4036" s="6">
        <v>180</v>
      </c>
      <c r="H4036" s="6">
        <v>200</v>
      </c>
      <c r="I4036" s="9"/>
      <c r="J4036" s="9"/>
      <c r="K4036" s="9">
        <v>44008316</v>
      </c>
      <c r="L4036" s="6" t="str">
        <f t="shared" si="386"/>
        <v>1D  COMO  YATAK  180x200</v>
      </c>
      <c r="M4036" s="12">
        <v>0.5</v>
      </c>
      <c r="N4036" s="12">
        <v>0.5</v>
      </c>
      <c r="O4036" s="12">
        <v>19400</v>
      </c>
      <c r="P4036" s="12">
        <f t="shared" si="387"/>
        <v>9700</v>
      </c>
      <c r="Q4036" s="12">
        <f t="shared" si="384"/>
        <v>20370</v>
      </c>
      <c r="R4036" s="33">
        <f t="shared" si="388"/>
        <v>20300</v>
      </c>
      <c r="T4036" s="12">
        <v>1850</v>
      </c>
      <c r="U4036" s="12"/>
      <c r="V4036" s="12">
        <f t="shared" si="390"/>
        <v>1850</v>
      </c>
      <c r="W4036" s="12">
        <f t="shared" si="391"/>
        <v>4625</v>
      </c>
      <c r="X4036" s="12">
        <f t="shared" si="389"/>
        <v>4600</v>
      </c>
    </row>
    <row r="4037" spans="1:24" s="6" customFormat="1" ht="21.95" customHeight="1" x14ac:dyDescent="0.2">
      <c r="A4037" s="6" t="s">
        <v>943</v>
      </c>
      <c r="B4037" s="6" t="s">
        <v>1597</v>
      </c>
      <c r="C4037" s="6" t="s">
        <v>1390</v>
      </c>
      <c r="D4037" s="6" t="s">
        <v>1380</v>
      </c>
      <c r="I4037" s="9"/>
      <c r="J4037" s="9"/>
      <c r="K4037" s="9">
        <v>44008317</v>
      </c>
      <c r="L4037" s="6" t="str">
        <f>B4037&amp;" "&amp;C4037&amp;" "&amp;D4037</f>
        <v>1D  COMO  KOMODİN (2 ADET)</v>
      </c>
      <c r="M4037" s="12">
        <v>0.5</v>
      </c>
      <c r="N4037" s="12">
        <v>0.5</v>
      </c>
      <c r="O4037" s="12">
        <v>13200</v>
      </c>
      <c r="P4037" s="12">
        <f t="shared" si="387"/>
        <v>6600</v>
      </c>
      <c r="Q4037" s="12">
        <f t="shared" si="384"/>
        <v>13860</v>
      </c>
      <c r="R4037" s="33">
        <f t="shared" si="388"/>
        <v>13800</v>
      </c>
      <c r="T4037" s="12">
        <v>3480</v>
      </c>
      <c r="U4037" s="12"/>
      <c r="V4037" s="12">
        <f t="shared" si="390"/>
        <v>3480</v>
      </c>
      <c r="W4037" s="12">
        <f t="shared" si="391"/>
        <v>8700</v>
      </c>
      <c r="X4037" s="12">
        <f t="shared" si="389"/>
        <v>8700</v>
      </c>
    </row>
    <row r="4038" spans="1:24" s="6" customFormat="1" ht="21.95" customHeight="1" x14ac:dyDescent="0.2">
      <c r="A4038" s="6" t="s">
        <v>943</v>
      </c>
      <c r="B4038" s="6" t="s">
        <v>1597</v>
      </c>
      <c r="C4038" s="6" t="s">
        <v>1391</v>
      </c>
      <c r="D4038" s="6" t="s">
        <v>989</v>
      </c>
      <c r="G4038" s="6">
        <v>90</v>
      </c>
      <c r="H4038" s="6">
        <v>190</v>
      </c>
      <c r="I4038" s="9"/>
      <c r="J4038" s="9"/>
      <c r="K4038" s="9">
        <v>44008318</v>
      </c>
      <c r="L4038" s="6" t="str">
        <f t="shared" ref="L4038:L4061" si="392">B4038&amp;" "&amp;C4038&amp;" "&amp;D4038&amp;" "&amp;G4038&amp;"x"&amp;H4038</f>
        <v>1D  COMO PRO  BAZA  90x190</v>
      </c>
      <c r="M4038" s="12">
        <v>0.5</v>
      </c>
      <c r="N4038" s="12">
        <v>0.5</v>
      </c>
      <c r="O4038" s="12">
        <v>10200</v>
      </c>
      <c r="P4038" s="12">
        <f t="shared" si="387"/>
        <v>5100</v>
      </c>
      <c r="Q4038" s="12">
        <f t="shared" si="384"/>
        <v>10710</v>
      </c>
      <c r="R4038" s="33">
        <f t="shared" si="388"/>
        <v>10700</v>
      </c>
      <c r="T4038" s="12">
        <v>1170</v>
      </c>
      <c r="U4038" s="12"/>
      <c r="V4038" s="12">
        <f t="shared" si="390"/>
        <v>1170</v>
      </c>
      <c r="W4038" s="12">
        <f t="shared" si="391"/>
        <v>2925</v>
      </c>
      <c r="X4038" s="12">
        <f t="shared" si="389"/>
        <v>2900</v>
      </c>
    </row>
    <row r="4039" spans="1:24" s="6" customFormat="1" ht="21.95" customHeight="1" x14ac:dyDescent="0.2">
      <c r="A4039" s="6" t="s">
        <v>943</v>
      </c>
      <c r="B4039" s="6" t="s">
        <v>1597</v>
      </c>
      <c r="C4039" s="6" t="s">
        <v>1391</v>
      </c>
      <c r="D4039" s="6" t="s">
        <v>989</v>
      </c>
      <c r="G4039" s="6">
        <v>90</v>
      </c>
      <c r="H4039" s="6">
        <v>200</v>
      </c>
      <c r="I4039" s="9"/>
      <c r="J4039" s="9"/>
      <c r="K4039" s="9">
        <v>44008319</v>
      </c>
      <c r="L4039" s="6" t="str">
        <f t="shared" si="392"/>
        <v>1D  COMO PRO  BAZA  90x200</v>
      </c>
      <c r="M4039" s="12">
        <v>0.5</v>
      </c>
      <c r="N4039" s="12">
        <v>0.5</v>
      </c>
      <c r="O4039" s="12">
        <v>10700</v>
      </c>
      <c r="P4039" s="12">
        <f t="shared" si="387"/>
        <v>5350</v>
      </c>
      <c r="Q4039" s="12">
        <f t="shared" si="384"/>
        <v>11235</v>
      </c>
      <c r="R4039" s="33">
        <f t="shared" si="388"/>
        <v>11200</v>
      </c>
      <c r="T4039" s="12">
        <v>2780</v>
      </c>
      <c r="U4039" s="12"/>
      <c r="V4039" s="12">
        <f t="shared" si="390"/>
        <v>2780</v>
      </c>
      <c r="W4039" s="12">
        <f t="shared" si="391"/>
        <v>6950</v>
      </c>
      <c r="X4039" s="12">
        <f t="shared" si="389"/>
        <v>6900</v>
      </c>
    </row>
    <row r="4040" spans="1:24" s="6" customFormat="1" ht="21.95" customHeight="1" x14ac:dyDescent="0.2">
      <c r="A4040" s="6" t="s">
        <v>943</v>
      </c>
      <c r="B4040" s="6" t="s">
        <v>1597</v>
      </c>
      <c r="C4040" s="6" t="s">
        <v>1391</v>
      </c>
      <c r="D4040" s="6" t="s">
        <v>989</v>
      </c>
      <c r="G4040" s="6">
        <v>100</v>
      </c>
      <c r="H4040" s="6">
        <v>200</v>
      </c>
      <c r="I4040" s="9"/>
      <c r="J4040" s="9"/>
      <c r="K4040" s="9">
        <v>44008320</v>
      </c>
      <c r="L4040" s="6" t="str">
        <f t="shared" si="392"/>
        <v>1D  COMO PRO  BAZA  100x200</v>
      </c>
      <c r="M4040" s="12">
        <v>0.5</v>
      </c>
      <c r="N4040" s="12">
        <v>0.5</v>
      </c>
      <c r="O4040" s="12">
        <v>11900</v>
      </c>
      <c r="P4040" s="12">
        <f t="shared" si="387"/>
        <v>5950</v>
      </c>
      <c r="Q4040" s="12">
        <f t="shared" si="384"/>
        <v>12495</v>
      </c>
      <c r="R4040" s="33">
        <f t="shared" si="388"/>
        <v>12400</v>
      </c>
      <c r="T4040" s="12">
        <v>3730</v>
      </c>
      <c r="U4040" s="12"/>
      <c r="V4040" s="12">
        <f t="shared" si="390"/>
        <v>3730</v>
      </c>
      <c r="W4040" s="12">
        <f t="shared" si="391"/>
        <v>9325</v>
      </c>
      <c r="X4040" s="12">
        <f t="shared" si="389"/>
        <v>9300</v>
      </c>
    </row>
    <row r="4041" spans="1:24" s="6" customFormat="1" ht="21.95" customHeight="1" x14ac:dyDescent="0.2">
      <c r="A4041" s="6" t="s">
        <v>943</v>
      </c>
      <c r="B4041" s="6" t="s">
        <v>1597</v>
      </c>
      <c r="C4041" s="6" t="s">
        <v>1391</v>
      </c>
      <c r="D4041" s="6" t="s">
        <v>989</v>
      </c>
      <c r="G4041" s="6">
        <v>120</v>
      </c>
      <c r="H4041" s="6">
        <v>200</v>
      </c>
      <c r="I4041" s="9"/>
      <c r="J4041" s="9"/>
      <c r="K4041" s="9">
        <v>44008321</v>
      </c>
      <c r="L4041" s="6" t="str">
        <f t="shared" si="392"/>
        <v>1D  COMO PRO  BAZA  120x200</v>
      </c>
      <c r="M4041" s="12">
        <v>0.5</v>
      </c>
      <c r="N4041" s="12">
        <v>0.5</v>
      </c>
      <c r="O4041" s="12">
        <v>14300</v>
      </c>
      <c r="P4041" s="12">
        <f t="shared" si="387"/>
        <v>7150</v>
      </c>
      <c r="Q4041" s="12">
        <f t="shared" si="384"/>
        <v>15015</v>
      </c>
      <c r="R4041" s="33">
        <f t="shared" si="388"/>
        <v>15000</v>
      </c>
      <c r="T4041" s="12">
        <v>4470</v>
      </c>
      <c r="U4041" s="12"/>
      <c r="V4041" s="12">
        <f t="shared" si="390"/>
        <v>4470</v>
      </c>
      <c r="W4041" s="12">
        <f t="shared" si="391"/>
        <v>11175</v>
      </c>
      <c r="X4041" s="12">
        <f t="shared" si="389"/>
        <v>11100</v>
      </c>
    </row>
    <row r="4042" spans="1:24" s="6" customFormat="1" ht="21.95" customHeight="1" x14ac:dyDescent="0.2">
      <c r="A4042" s="6" t="s">
        <v>943</v>
      </c>
      <c r="B4042" s="6" t="s">
        <v>1597</v>
      </c>
      <c r="C4042" s="6" t="s">
        <v>1391</v>
      </c>
      <c r="D4042" s="6" t="s">
        <v>989</v>
      </c>
      <c r="G4042" s="6">
        <v>140</v>
      </c>
      <c r="H4042" s="6">
        <v>200</v>
      </c>
      <c r="I4042" s="9"/>
      <c r="J4042" s="9"/>
      <c r="K4042" s="9">
        <v>44008322</v>
      </c>
      <c r="L4042" s="6" t="str">
        <f t="shared" si="392"/>
        <v>1D  COMO PRO  BAZA  140x200</v>
      </c>
      <c r="M4042" s="12">
        <v>0.5</v>
      </c>
      <c r="N4042" s="12">
        <v>0.5</v>
      </c>
      <c r="O4042" s="12">
        <v>16700</v>
      </c>
      <c r="P4042" s="12">
        <f t="shared" si="387"/>
        <v>8350</v>
      </c>
      <c r="Q4042" s="12">
        <f t="shared" si="384"/>
        <v>17535</v>
      </c>
      <c r="R4042" s="33">
        <f t="shared" si="388"/>
        <v>17500</v>
      </c>
      <c r="T4042" s="12">
        <v>4180</v>
      </c>
      <c r="U4042" s="12"/>
      <c r="V4042" s="12">
        <f t="shared" si="390"/>
        <v>4180</v>
      </c>
      <c r="W4042" s="12">
        <f t="shared" si="391"/>
        <v>10450</v>
      </c>
      <c r="X4042" s="12">
        <f t="shared" si="389"/>
        <v>10400</v>
      </c>
    </row>
    <row r="4043" spans="1:24" s="6" customFormat="1" ht="21.95" customHeight="1" x14ac:dyDescent="0.2">
      <c r="A4043" s="6" t="s">
        <v>943</v>
      </c>
      <c r="B4043" s="6" t="s">
        <v>1597</v>
      </c>
      <c r="C4043" s="6" t="s">
        <v>1391</v>
      </c>
      <c r="D4043" s="6" t="s">
        <v>989</v>
      </c>
      <c r="G4043" s="6">
        <v>150</v>
      </c>
      <c r="H4043" s="6">
        <v>200</v>
      </c>
      <c r="I4043" s="9"/>
      <c r="J4043" s="9"/>
      <c r="K4043" s="9">
        <v>44008323</v>
      </c>
      <c r="L4043" s="6" t="str">
        <f t="shared" si="392"/>
        <v>1D  COMO PRO  BAZA  150x200</v>
      </c>
      <c r="M4043" s="12">
        <v>0.5</v>
      </c>
      <c r="N4043" s="12">
        <v>0.5</v>
      </c>
      <c r="O4043" s="12">
        <v>17900</v>
      </c>
      <c r="P4043" s="12">
        <f t="shared" si="387"/>
        <v>8950</v>
      </c>
      <c r="Q4043" s="12">
        <f t="shared" si="384"/>
        <v>18795</v>
      </c>
      <c r="R4043" s="33">
        <f t="shared" si="388"/>
        <v>18700</v>
      </c>
      <c r="T4043" s="12">
        <v>4060</v>
      </c>
      <c r="U4043" s="12"/>
      <c r="V4043" s="12">
        <f t="shared" si="390"/>
        <v>4060</v>
      </c>
      <c r="W4043" s="12">
        <f t="shared" si="391"/>
        <v>10150</v>
      </c>
      <c r="X4043" s="12">
        <f t="shared" si="389"/>
        <v>10100</v>
      </c>
    </row>
    <row r="4044" spans="1:24" s="6" customFormat="1" ht="21.95" customHeight="1" x14ac:dyDescent="0.2">
      <c r="A4044" s="6" t="s">
        <v>943</v>
      </c>
      <c r="B4044" s="6" t="s">
        <v>1597</v>
      </c>
      <c r="C4044" s="6" t="s">
        <v>1391</v>
      </c>
      <c r="D4044" s="6" t="s">
        <v>989</v>
      </c>
      <c r="G4044" s="6">
        <v>160</v>
      </c>
      <c r="H4044" s="6">
        <v>200</v>
      </c>
      <c r="I4044" s="9"/>
      <c r="J4044" s="9"/>
      <c r="K4044" s="9">
        <v>44008324</v>
      </c>
      <c r="L4044" s="6" t="str">
        <f t="shared" si="392"/>
        <v>1D  COMO PRO  BAZA  160x200</v>
      </c>
      <c r="M4044" s="12">
        <v>0.5</v>
      </c>
      <c r="N4044" s="12">
        <v>0.5</v>
      </c>
      <c r="O4044" s="12">
        <v>19100</v>
      </c>
      <c r="P4044" s="12">
        <f t="shared" si="387"/>
        <v>9550</v>
      </c>
      <c r="Q4044" s="12">
        <f t="shared" si="384"/>
        <v>20055</v>
      </c>
      <c r="R4044" s="33">
        <f t="shared" si="388"/>
        <v>20000</v>
      </c>
      <c r="T4044" s="12"/>
      <c r="U4044" s="12"/>
      <c r="V4044" s="12">
        <f t="shared" si="390"/>
        <v>0</v>
      </c>
      <c r="W4044" s="12">
        <f t="shared" si="391"/>
        <v>0</v>
      </c>
      <c r="X4044" s="12">
        <f t="shared" si="389"/>
        <v>0</v>
      </c>
    </row>
    <row r="4045" spans="1:24" s="6" customFormat="1" ht="21.95" customHeight="1" x14ac:dyDescent="0.2">
      <c r="A4045" s="6" t="s">
        <v>943</v>
      </c>
      <c r="B4045" s="6" t="s">
        <v>1597</v>
      </c>
      <c r="C4045" s="6" t="s">
        <v>1391</v>
      </c>
      <c r="D4045" s="6" t="s">
        <v>989</v>
      </c>
      <c r="G4045" s="6">
        <v>180</v>
      </c>
      <c r="H4045" s="6">
        <v>200</v>
      </c>
      <c r="I4045" s="9"/>
      <c r="J4045" s="9"/>
      <c r="K4045" s="9">
        <v>44008325</v>
      </c>
      <c r="L4045" s="6" t="str">
        <f t="shared" si="392"/>
        <v>1D  COMO PRO  BAZA  180x200</v>
      </c>
      <c r="M4045" s="12">
        <v>0.5</v>
      </c>
      <c r="N4045" s="12">
        <v>0.5</v>
      </c>
      <c r="O4045" s="12">
        <v>21500</v>
      </c>
      <c r="P4045" s="12">
        <f t="shared" si="387"/>
        <v>10750</v>
      </c>
      <c r="Q4045" s="12">
        <f t="shared" si="384"/>
        <v>22575</v>
      </c>
      <c r="R4045" s="33">
        <f t="shared" si="388"/>
        <v>22500</v>
      </c>
      <c r="T4045" s="12">
        <v>3460</v>
      </c>
      <c r="U4045" s="12"/>
      <c r="V4045" s="12">
        <f t="shared" si="390"/>
        <v>3460</v>
      </c>
      <c r="W4045" s="12">
        <f t="shared" si="391"/>
        <v>8650</v>
      </c>
      <c r="X4045" s="12">
        <f t="shared" si="389"/>
        <v>8600</v>
      </c>
    </row>
    <row r="4046" spans="1:24" s="6" customFormat="1" ht="21.95" customHeight="1" x14ac:dyDescent="0.2">
      <c r="A4046" s="6" t="s">
        <v>943</v>
      </c>
      <c r="B4046" s="6" t="s">
        <v>1597</v>
      </c>
      <c r="C4046" s="6" t="s">
        <v>1391</v>
      </c>
      <c r="D4046" s="6" t="s">
        <v>1003</v>
      </c>
      <c r="G4046" s="6">
        <v>90</v>
      </c>
      <c r="H4046" s="6">
        <v>190</v>
      </c>
      <c r="I4046" s="9"/>
      <c r="J4046" s="9"/>
      <c r="K4046" s="9">
        <v>44008326</v>
      </c>
      <c r="L4046" s="6" t="str">
        <f t="shared" si="392"/>
        <v>1D  COMO PRO  BAŞLIK  90x190</v>
      </c>
      <c r="M4046" s="12">
        <v>0.5</v>
      </c>
      <c r="N4046" s="12">
        <v>0.5</v>
      </c>
      <c r="O4046" s="12">
        <v>3400</v>
      </c>
      <c r="P4046" s="12">
        <f t="shared" si="387"/>
        <v>1700</v>
      </c>
      <c r="Q4046" s="12">
        <f t="shared" si="384"/>
        <v>3570</v>
      </c>
      <c r="R4046" s="33">
        <f t="shared" si="388"/>
        <v>3500</v>
      </c>
      <c r="T4046" s="12">
        <v>4140</v>
      </c>
      <c r="U4046" s="12"/>
      <c r="V4046" s="12">
        <f t="shared" si="390"/>
        <v>4140</v>
      </c>
      <c r="W4046" s="12">
        <f t="shared" si="391"/>
        <v>10350</v>
      </c>
      <c r="X4046" s="12">
        <f t="shared" si="389"/>
        <v>10300</v>
      </c>
    </row>
    <row r="4047" spans="1:24" s="6" customFormat="1" ht="21.95" customHeight="1" x14ac:dyDescent="0.2">
      <c r="A4047" s="6" t="s">
        <v>943</v>
      </c>
      <c r="B4047" s="6" t="s">
        <v>1597</v>
      </c>
      <c r="C4047" s="6" t="s">
        <v>1391</v>
      </c>
      <c r="D4047" s="6" t="s">
        <v>1003</v>
      </c>
      <c r="G4047" s="6">
        <v>90</v>
      </c>
      <c r="H4047" s="6">
        <v>200</v>
      </c>
      <c r="I4047" s="9"/>
      <c r="J4047" s="9"/>
      <c r="K4047" s="9">
        <v>44008327</v>
      </c>
      <c r="L4047" s="6" t="str">
        <f t="shared" si="392"/>
        <v>1D  COMO PRO  BAŞLIK  90x200</v>
      </c>
      <c r="M4047" s="12">
        <v>0.5</v>
      </c>
      <c r="N4047" s="12">
        <v>0.5</v>
      </c>
      <c r="O4047" s="12">
        <v>3500</v>
      </c>
      <c r="P4047" s="12">
        <f t="shared" si="387"/>
        <v>1750</v>
      </c>
      <c r="Q4047" s="12">
        <f t="shared" si="384"/>
        <v>3675</v>
      </c>
      <c r="R4047" s="33">
        <f t="shared" si="388"/>
        <v>3600</v>
      </c>
      <c r="T4047" s="12"/>
      <c r="U4047" s="12"/>
      <c r="V4047" s="12">
        <f t="shared" si="390"/>
        <v>0</v>
      </c>
      <c r="W4047" s="12">
        <f t="shared" si="391"/>
        <v>0</v>
      </c>
      <c r="X4047" s="12">
        <f t="shared" si="389"/>
        <v>0</v>
      </c>
    </row>
    <row r="4048" spans="1:24" s="6" customFormat="1" ht="21.95" customHeight="1" x14ac:dyDescent="0.2">
      <c r="A4048" s="6" t="s">
        <v>943</v>
      </c>
      <c r="B4048" s="6" t="s">
        <v>1597</v>
      </c>
      <c r="C4048" s="6" t="s">
        <v>1391</v>
      </c>
      <c r="D4048" s="6" t="s">
        <v>1003</v>
      </c>
      <c r="G4048" s="6">
        <v>100</v>
      </c>
      <c r="H4048" s="6">
        <v>200</v>
      </c>
      <c r="I4048" s="9"/>
      <c r="J4048" s="9"/>
      <c r="K4048" s="9">
        <v>44008328</v>
      </c>
      <c r="L4048" s="6" t="str">
        <f t="shared" si="392"/>
        <v>1D  COMO PRO  BAŞLIK  100x200</v>
      </c>
      <c r="M4048" s="12">
        <v>0.5</v>
      </c>
      <c r="N4048" s="12">
        <v>0.5</v>
      </c>
      <c r="O4048" s="12">
        <v>3900</v>
      </c>
      <c r="P4048" s="12">
        <f t="shared" si="387"/>
        <v>1950</v>
      </c>
      <c r="Q4048" s="12">
        <f t="shared" si="384"/>
        <v>4095</v>
      </c>
      <c r="R4048" s="33">
        <f t="shared" si="388"/>
        <v>4000</v>
      </c>
      <c r="T4048" s="12">
        <v>4980</v>
      </c>
      <c r="U4048" s="12"/>
      <c r="V4048" s="12">
        <f t="shared" si="390"/>
        <v>4980</v>
      </c>
      <c r="W4048" s="12">
        <f t="shared" si="391"/>
        <v>12450</v>
      </c>
      <c r="X4048" s="12">
        <f t="shared" si="389"/>
        <v>12400</v>
      </c>
    </row>
    <row r="4049" spans="1:24" s="6" customFormat="1" ht="21.95" customHeight="1" x14ac:dyDescent="0.2">
      <c r="A4049" s="6" t="s">
        <v>943</v>
      </c>
      <c r="B4049" s="6" t="s">
        <v>1597</v>
      </c>
      <c r="C4049" s="6" t="s">
        <v>1391</v>
      </c>
      <c r="D4049" s="6" t="s">
        <v>1003</v>
      </c>
      <c r="G4049" s="6">
        <v>120</v>
      </c>
      <c r="H4049" s="6">
        <v>200</v>
      </c>
      <c r="I4049" s="9"/>
      <c r="J4049" s="9"/>
      <c r="K4049" s="9">
        <v>44008329</v>
      </c>
      <c r="L4049" s="6" t="str">
        <f t="shared" si="392"/>
        <v>1D  COMO PRO  BAŞLIK  120x200</v>
      </c>
      <c r="M4049" s="12">
        <v>0.5</v>
      </c>
      <c r="N4049" s="12">
        <v>0.5</v>
      </c>
      <c r="O4049" s="12">
        <v>4700</v>
      </c>
      <c r="P4049" s="12">
        <f t="shared" si="387"/>
        <v>2350</v>
      </c>
      <c r="Q4049" s="12">
        <f t="shared" si="384"/>
        <v>4935</v>
      </c>
      <c r="R4049" s="33">
        <f t="shared" si="388"/>
        <v>4900</v>
      </c>
      <c r="T4049" s="12"/>
      <c r="U4049" s="12"/>
      <c r="V4049" s="12">
        <f t="shared" si="390"/>
        <v>0</v>
      </c>
      <c r="W4049" s="12">
        <f t="shared" si="391"/>
        <v>0</v>
      </c>
      <c r="X4049" s="12">
        <f t="shared" si="389"/>
        <v>0</v>
      </c>
    </row>
    <row r="4050" spans="1:24" s="6" customFormat="1" ht="21.95" customHeight="1" x14ac:dyDescent="0.2">
      <c r="A4050" s="6" t="s">
        <v>943</v>
      </c>
      <c r="B4050" s="6" t="s">
        <v>1597</v>
      </c>
      <c r="C4050" s="6" t="s">
        <v>1391</v>
      </c>
      <c r="D4050" s="6" t="s">
        <v>1003</v>
      </c>
      <c r="G4050" s="6">
        <v>140</v>
      </c>
      <c r="H4050" s="6">
        <v>200</v>
      </c>
      <c r="I4050" s="9"/>
      <c r="J4050" s="9"/>
      <c r="K4050" s="9">
        <v>44008330</v>
      </c>
      <c r="L4050" s="6" t="str">
        <f t="shared" si="392"/>
        <v>1D  COMO PRO  BAŞLIK  140x200</v>
      </c>
      <c r="M4050" s="12">
        <v>0.5</v>
      </c>
      <c r="N4050" s="12">
        <v>0.5</v>
      </c>
      <c r="O4050" s="12">
        <v>5500</v>
      </c>
      <c r="P4050" s="12">
        <f t="shared" si="387"/>
        <v>2750</v>
      </c>
      <c r="Q4050" s="12">
        <f t="shared" si="384"/>
        <v>5775</v>
      </c>
      <c r="R4050" s="33">
        <f t="shared" si="388"/>
        <v>5700</v>
      </c>
      <c r="T4050" s="12"/>
      <c r="U4050" s="12"/>
      <c r="V4050" s="12">
        <f t="shared" si="390"/>
        <v>0</v>
      </c>
      <c r="W4050" s="12">
        <f t="shared" si="391"/>
        <v>0</v>
      </c>
      <c r="X4050" s="12">
        <f t="shared" si="389"/>
        <v>0</v>
      </c>
    </row>
    <row r="4051" spans="1:24" s="6" customFormat="1" ht="21.95" customHeight="1" x14ac:dyDescent="0.2">
      <c r="A4051" s="6" t="s">
        <v>943</v>
      </c>
      <c r="B4051" s="6" t="s">
        <v>1597</v>
      </c>
      <c r="C4051" s="6" t="s">
        <v>1391</v>
      </c>
      <c r="D4051" s="6" t="s">
        <v>1003</v>
      </c>
      <c r="G4051" s="6">
        <v>150</v>
      </c>
      <c r="H4051" s="6">
        <v>200</v>
      </c>
      <c r="I4051" s="9"/>
      <c r="J4051" s="9"/>
      <c r="K4051" s="9">
        <v>44008331</v>
      </c>
      <c r="L4051" s="6" t="str">
        <f t="shared" si="392"/>
        <v>1D  COMO PRO  BAŞLIK  150x200</v>
      </c>
      <c r="M4051" s="12">
        <v>0.5</v>
      </c>
      <c r="N4051" s="12">
        <v>0.5</v>
      </c>
      <c r="O4051" s="12">
        <v>5900</v>
      </c>
      <c r="P4051" s="12">
        <f t="shared" si="387"/>
        <v>2950</v>
      </c>
      <c r="Q4051" s="12">
        <f t="shared" ref="Q4051:Q4114" si="393">O4051*(1-N4051)*2.1</f>
        <v>6195</v>
      </c>
      <c r="R4051" s="33">
        <f t="shared" si="388"/>
        <v>6100</v>
      </c>
      <c r="T4051" s="12"/>
      <c r="U4051" s="12"/>
      <c r="V4051" s="12">
        <f t="shared" si="390"/>
        <v>0</v>
      </c>
      <c r="W4051" s="12">
        <f t="shared" si="391"/>
        <v>0</v>
      </c>
      <c r="X4051" s="12">
        <f t="shared" si="389"/>
        <v>0</v>
      </c>
    </row>
    <row r="4052" spans="1:24" s="6" customFormat="1" ht="21.95" customHeight="1" x14ac:dyDescent="0.2">
      <c r="A4052" s="6" t="s">
        <v>943</v>
      </c>
      <c r="B4052" s="6" t="s">
        <v>1597</v>
      </c>
      <c r="C4052" s="6" t="s">
        <v>1391</v>
      </c>
      <c r="D4052" s="6" t="s">
        <v>1003</v>
      </c>
      <c r="G4052" s="6">
        <v>160</v>
      </c>
      <c r="H4052" s="6">
        <v>200</v>
      </c>
      <c r="I4052" s="9"/>
      <c r="J4052" s="9"/>
      <c r="K4052" s="9">
        <v>44008332</v>
      </c>
      <c r="L4052" s="6" t="str">
        <f t="shared" si="392"/>
        <v>1D  COMO PRO  BAŞLIK  160x200</v>
      </c>
      <c r="M4052" s="12">
        <v>0.5</v>
      </c>
      <c r="N4052" s="12">
        <v>0.5</v>
      </c>
      <c r="O4052" s="12">
        <v>6300</v>
      </c>
      <c r="P4052" s="12">
        <f t="shared" si="387"/>
        <v>3150</v>
      </c>
      <c r="Q4052" s="12">
        <f t="shared" si="393"/>
        <v>6615</v>
      </c>
      <c r="R4052" s="33">
        <f t="shared" si="388"/>
        <v>6600</v>
      </c>
      <c r="T4052" s="12"/>
      <c r="U4052" s="12"/>
      <c r="V4052" s="12">
        <f t="shared" si="390"/>
        <v>0</v>
      </c>
      <c r="W4052" s="12">
        <f t="shared" si="391"/>
        <v>0</v>
      </c>
      <c r="X4052" s="12">
        <f t="shared" si="389"/>
        <v>0</v>
      </c>
    </row>
    <row r="4053" spans="1:24" s="6" customFormat="1" ht="21.95" customHeight="1" x14ac:dyDescent="0.2">
      <c r="A4053" s="6" t="s">
        <v>943</v>
      </c>
      <c r="B4053" s="6" t="s">
        <v>1597</v>
      </c>
      <c r="C4053" s="6" t="s">
        <v>1391</v>
      </c>
      <c r="D4053" s="6" t="s">
        <v>1003</v>
      </c>
      <c r="G4053" s="6">
        <v>180</v>
      </c>
      <c r="H4053" s="6">
        <v>200</v>
      </c>
      <c r="I4053" s="9"/>
      <c r="J4053" s="9"/>
      <c r="K4053" s="9">
        <v>44008333</v>
      </c>
      <c r="L4053" s="6" t="str">
        <f t="shared" si="392"/>
        <v>1D  COMO PRO  BAŞLIK  180x200</v>
      </c>
      <c r="M4053" s="12">
        <v>0.5</v>
      </c>
      <c r="N4053" s="12">
        <v>0.5</v>
      </c>
      <c r="O4053" s="12">
        <v>7100</v>
      </c>
      <c r="P4053" s="12">
        <f t="shared" si="387"/>
        <v>3550</v>
      </c>
      <c r="Q4053" s="12">
        <f t="shared" si="393"/>
        <v>7455</v>
      </c>
      <c r="R4053" s="33">
        <f t="shared" si="388"/>
        <v>7400</v>
      </c>
      <c r="T4053" s="12"/>
      <c r="U4053" s="12"/>
      <c r="V4053" s="12">
        <f t="shared" si="390"/>
        <v>0</v>
      </c>
      <c r="W4053" s="12">
        <f t="shared" si="391"/>
        <v>0</v>
      </c>
      <c r="X4053" s="12">
        <f t="shared" si="389"/>
        <v>0</v>
      </c>
    </row>
    <row r="4054" spans="1:24" s="6" customFormat="1" ht="21.95" customHeight="1" x14ac:dyDescent="0.2">
      <c r="A4054" s="6" t="s">
        <v>943</v>
      </c>
      <c r="B4054" s="6" t="s">
        <v>1597</v>
      </c>
      <c r="C4054" s="6" t="s">
        <v>1391</v>
      </c>
      <c r="D4054" s="6" t="s">
        <v>943</v>
      </c>
      <c r="G4054" s="6">
        <v>90</v>
      </c>
      <c r="H4054" s="6">
        <v>190</v>
      </c>
      <c r="I4054" s="9"/>
      <c r="J4054" s="9"/>
      <c r="K4054" s="9">
        <v>44008334</v>
      </c>
      <c r="L4054" s="6" t="str">
        <f t="shared" si="392"/>
        <v>1D  COMO PRO  YATAK  90x190</v>
      </c>
      <c r="M4054" s="12">
        <v>0.5</v>
      </c>
      <c r="N4054" s="12">
        <v>0.5</v>
      </c>
      <c r="O4054" s="12">
        <v>10200</v>
      </c>
      <c r="P4054" s="12">
        <f t="shared" si="387"/>
        <v>5100</v>
      </c>
      <c r="Q4054" s="12">
        <f t="shared" si="393"/>
        <v>10710</v>
      </c>
      <c r="R4054" s="33">
        <f t="shared" si="388"/>
        <v>10700</v>
      </c>
      <c r="T4054" s="12"/>
      <c r="U4054" s="12"/>
      <c r="V4054" s="12">
        <f t="shared" si="390"/>
        <v>0</v>
      </c>
      <c r="W4054" s="12">
        <f t="shared" si="391"/>
        <v>0</v>
      </c>
      <c r="X4054" s="12">
        <f t="shared" si="389"/>
        <v>0</v>
      </c>
    </row>
    <row r="4055" spans="1:24" s="6" customFormat="1" ht="21.95" customHeight="1" x14ac:dyDescent="0.2">
      <c r="A4055" s="6" t="s">
        <v>943</v>
      </c>
      <c r="B4055" s="6" t="s">
        <v>1597</v>
      </c>
      <c r="C4055" s="6" t="s">
        <v>1391</v>
      </c>
      <c r="D4055" s="6" t="s">
        <v>943</v>
      </c>
      <c r="G4055" s="6">
        <v>90</v>
      </c>
      <c r="H4055" s="6">
        <v>200</v>
      </c>
      <c r="I4055" s="9"/>
      <c r="J4055" s="9"/>
      <c r="K4055" s="9">
        <v>44008335</v>
      </c>
      <c r="L4055" s="6" t="str">
        <f t="shared" si="392"/>
        <v>1D  COMO PRO  YATAK  90x200</v>
      </c>
      <c r="M4055" s="12">
        <v>0.5</v>
      </c>
      <c r="N4055" s="12">
        <v>0.5</v>
      </c>
      <c r="O4055" s="12">
        <v>10700</v>
      </c>
      <c r="P4055" s="12">
        <f t="shared" si="387"/>
        <v>5350</v>
      </c>
      <c r="Q4055" s="12">
        <f t="shared" si="393"/>
        <v>11235</v>
      </c>
      <c r="R4055" s="33">
        <f t="shared" si="388"/>
        <v>11200</v>
      </c>
      <c r="T4055" s="12"/>
      <c r="U4055" s="12"/>
      <c r="V4055" s="12">
        <f t="shared" si="390"/>
        <v>0</v>
      </c>
      <c r="W4055" s="12">
        <f t="shared" si="391"/>
        <v>0</v>
      </c>
      <c r="X4055" s="12">
        <f t="shared" si="389"/>
        <v>0</v>
      </c>
    </row>
    <row r="4056" spans="1:24" s="6" customFormat="1" ht="21.95" customHeight="1" x14ac:dyDescent="0.2">
      <c r="A4056" s="6" t="s">
        <v>943</v>
      </c>
      <c r="B4056" s="6" t="s">
        <v>1597</v>
      </c>
      <c r="C4056" s="6" t="s">
        <v>1391</v>
      </c>
      <c r="D4056" s="6" t="s">
        <v>943</v>
      </c>
      <c r="G4056" s="6">
        <v>100</v>
      </c>
      <c r="H4056" s="6">
        <v>200</v>
      </c>
      <c r="I4056" s="9"/>
      <c r="J4056" s="9"/>
      <c r="K4056" s="9">
        <v>44008336</v>
      </c>
      <c r="L4056" s="6" t="str">
        <f t="shared" si="392"/>
        <v>1D  COMO PRO  YATAK  100x200</v>
      </c>
      <c r="M4056" s="12">
        <v>0.5</v>
      </c>
      <c r="N4056" s="12">
        <v>0.5</v>
      </c>
      <c r="O4056" s="12">
        <v>11900</v>
      </c>
      <c r="P4056" s="12">
        <f t="shared" si="387"/>
        <v>5950</v>
      </c>
      <c r="Q4056" s="12">
        <f t="shared" si="393"/>
        <v>12495</v>
      </c>
      <c r="R4056" s="33">
        <f t="shared" si="388"/>
        <v>12400</v>
      </c>
      <c r="T4056" s="12"/>
      <c r="U4056" s="12"/>
      <c r="V4056" s="12">
        <f t="shared" si="390"/>
        <v>0</v>
      </c>
      <c r="W4056" s="12">
        <f t="shared" si="391"/>
        <v>0</v>
      </c>
      <c r="X4056" s="12">
        <f t="shared" si="389"/>
        <v>0</v>
      </c>
    </row>
    <row r="4057" spans="1:24" s="6" customFormat="1" ht="21.95" customHeight="1" x14ac:dyDescent="0.2">
      <c r="A4057" s="6" t="s">
        <v>943</v>
      </c>
      <c r="B4057" s="6" t="s">
        <v>1597</v>
      </c>
      <c r="C4057" s="6" t="s">
        <v>1391</v>
      </c>
      <c r="D4057" s="6" t="s">
        <v>943</v>
      </c>
      <c r="G4057" s="6">
        <v>120</v>
      </c>
      <c r="H4057" s="6">
        <v>200</v>
      </c>
      <c r="I4057" s="9"/>
      <c r="J4057" s="9"/>
      <c r="K4057" s="9">
        <v>44008337</v>
      </c>
      <c r="L4057" s="6" t="str">
        <f t="shared" si="392"/>
        <v>1D  COMO PRO  YATAK  120x200</v>
      </c>
      <c r="M4057" s="12">
        <v>0.5</v>
      </c>
      <c r="N4057" s="12">
        <v>0.5</v>
      </c>
      <c r="O4057" s="12">
        <v>14300</v>
      </c>
      <c r="P4057" s="12">
        <f t="shared" si="387"/>
        <v>7150</v>
      </c>
      <c r="Q4057" s="12">
        <f t="shared" si="393"/>
        <v>15015</v>
      </c>
      <c r="R4057" s="33">
        <f t="shared" si="388"/>
        <v>15000</v>
      </c>
      <c r="T4057" s="12"/>
      <c r="U4057" s="12"/>
      <c r="V4057" s="12">
        <f t="shared" si="390"/>
        <v>0</v>
      </c>
      <c r="W4057" s="12">
        <f t="shared" si="391"/>
        <v>0</v>
      </c>
      <c r="X4057" s="12">
        <f t="shared" si="389"/>
        <v>0</v>
      </c>
    </row>
    <row r="4058" spans="1:24" s="6" customFormat="1" ht="21.95" customHeight="1" x14ac:dyDescent="0.2">
      <c r="A4058" s="6" t="s">
        <v>943</v>
      </c>
      <c r="B4058" s="6" t="s">
        <v>1597</v>
      </c>
      <c r="C4058" s="6" t="s">
        <v>1391</v>
      </c>
      <c r="D4058" s="6" t="s">
        <v>943</v>
      </c>
      <c r="G4058" s="6">
        <v>140</v>
      </c>
      <c r="H4058" s="6">
        <v>200</v>
      </c>
      <c r="I4058" s="9"/>
      <c r="J4058" s="9"/>
      <c r="K4058" s="9">
        <v>44008338</v>
      </c>
      <c r="L4058" s="6" t="str">
        <f t="shared" si="392"/>
        <v>1D  COMO PRO  YATAK  140x200</v>
      </c>
      <c r="M4058" s="12">
        <v>0.5</v>
      </c>
      <c r="N4058" s="12">
        <v>0.5</v>
      </c>
      <c r="O4058" s="12">
        <v>16700</v>
      </c>
      <c r="P4058" s="12">
        <f t="shared" si="387"/>
        <v>8350</v>
      </c>
      <c r="Q4058" s="12">
        <f t="shared" si="393"/>
        <v>17535</v>
      </c>
      <c r="R4058" s="33">
        <f t="shared" si="388"/>
        <v>17500</v>
      </c>
      <c r="T4058" s="12"/>
      <c r="U4058" s="12"/>
      <c r="V4058" s="12">
        <f t="shared" si="390"/>
        <v>0</v>
      </c>
      <c r="W4058" s="12">
        <f t="shared" si="391"/>
        <v>0</v>
      </c>
      <c r="X4058" s="12">
        <f t="shared" si="389"/>
        <v>0</v>
      </c>
    </row>
    <row r="4059" spans="1:24" s="6" customFormat="1" ht="21.95" customHeight="1" x14ac:dyDescent="0.2">
      <c r="A4059" s="6" t="s">
        <v>943</v>
      </c>
      <c r="B4059" s="6" t="s">
        <v>1597</v>
      </c>
      <c r="C4059" s="6" t="s">
        <v>1391</v>
      </c>
      <c r="D4059" s="6" t="s">
        <v>943</v>
      </c>
      <c r="G4059" s="6">
        <v>150</v>
      </c>
      <c r="H4059" s="6">
        <v>200</v>
      </c>
      <c r="I4059" s="9"/>
      <c r="J4059" s="9"/>
      <c r="K4059" s="9">
        <v>44008339</v>
      </c>
      <c r="L4059" s="6" t="str">
        <f t="shared" si="392"/>
        <v>1D  COMO PRO  YATAK  150x200</v>
      </c>
      <c r="M4059" s="12">
        <v>0.5</v>
      </c>
      <c r="N4059" s="12">
        <v>0.5</v>
      </c>
      <c r="O4059" s="12">
        <v>17900</v>
      </c>
      <c r="P4059" s="12">
        <f t="shared" si="387"/>
        <v>8950</v>
      </c>
      <c r="Q4059" s="12">
        <f t="shared" si="393"/>
        <v>18795</v>
      </c>
      <c r="R4059" s="33">
        <f t="shared" si="388"/>
        <v>18700</v>
      </c>
      <c r="T4059" s="12"/>
      <c r="U4059" s="12"/>
      <c r="V4059" s="12">
        <f t="shared" si="390"/>
        <v>0</v>
      </c>
      <c r="W4059" s="12">
        <f t="shared" si="391"/>
        <v>0</v>
      </c>
      <c r="X4059" s="12">
        <f t="shared" si="389"/>
        <v>0</v>
      </c>
    </row>
    <row r="4060" spans="1:24" s="6" customFormat="1" ht="21.95" customHeight="1" x14ac:dyDescent="0.2">
      <c r="A4060" s="6" t="s">
        <v>943</v>
      </c>
      <c r="B4060" s="6" t="s">
        <v>1597</v>
      </c>
      <c r="C4060" s="6" t="s">
        <v>1391</v>
      </c>
      <c r="D4060" s="6" t="s">
        <v>943</v>
      </c>
      <c r="G4060" s="6">
        <v>160</v>
      </c>
      <c r="H4060" s="6">
        <v>200</v>
      </c>
      <c r="I4060" s="9"/>
      <c r="J4060" s="9"/>
      <c r="K4060" s="9">
        <v>44008340</v>
      </c>
      <c r="L4060" s="6" t="str">
        <f t="shared" si="392"/>
        <v>1D  COMO PRO  YATAK  160x200</v>
      </c>
      <c r="M4060" s="12">
        <v>0.5</v>
      </c>
      <c r="N4060" s="12">
        <v>0.5</v>
      </c>
      <c r="O4060" s="12">
        <v>19100</v>
      </c>
      <c r="P4060" s="12">
        <f t="shared" si="387"/>
        <v>9550</v>
      </c>
      <c r="Q4060" s="12">
        <f t="shared" si="393"/>
        <v>20055</v>
      </c>
      <c r="R4060" s="33">
        <f t="shared" si="388"/>
        <v>20000</v>
      </c>
      <c r="T4060" s="12"/>
      <c r="U4060" s="12"/>
      <c r="V4060" s="12">
        <f t="shared" si="390"/>
        <v>0</v>
      </c>
      <c r="W4060" s="12">
        <f t="shared" si="391"/>
        <v>0</v>
      </c>
      <c r="X4060" s="12">
        <f t="shared" si="389"/>
        <v>0</v>
      </c>
    </row>
    <row r="4061" spans="1:24" s="6" customFormat="1" ht="21.95" customHeight="1" x14ac:dyDescent="0.2">
      <c r="A4061" s="6" t="s">
        <v>943</v>
      </c>
      <c r="B4061" s="6" t="s">
        <v>1597</v>
      </c>
      <c r="C4061" s="6" t="s">
        <v>1391</v>
      </c>
      <c r="D4061" s="6" t="s">
        <v>943</v>
      </c>
      <c r="G4061" s="6">
        <v>180</v>
      </c>
      <c r="H4061" s="6">
        <v>200</v>
      </c>
      <c r="I4061" s="9"/>
      <c r="J4061" s="9"/>
      <c r="K4061" s="9">
        <v>44008341</v>
      </c>
      <c r="L4061" s="6" t="str">
        <f t="shared" si="392"/>
        <v>1D  COMO PRO  YATAK  180x200</v>
      </c>
      <c r="M4061" s="12">
        <v>0.5</v>
      </c>
      <c r="N4061" s="12">
        <v>0.5</v>
      </c>
      <c r="O4061" s="12">
        <v>21500</v>
      </c>
      <c r="P4061" s="12">
        <f t="shared" si="387"/>
        <v>10750</v>
      </c>
      <c r="Q4061" s="12">
        <f t="shared" si="393"/>
        <v>22575</v>
      </c>
      <c r="R4061" s="33">
        <f t="shared" si="388"/>
        <v>22500</v>
      </c>
      <c r="T4061" s="12">
        <v>4620</v>
      </c>
      <c r="U4061" s="12"/>
      <c r="V4061" s="12">
        <f t="shared" si="390"/>
        <v>4620</v>
      </c>
      <c r="W4061" s="12">
        <f t="shared" si="391"/>
        <v>11550</v>
      </c>
      <c r="X4061" s="12">
        <f t="shared" si="389"/>
        <v>11500</v>
      </c>
    </row>
    <row r="4062" spans="1:24" s="6" customFormat="1" ht="21.95" customHeight="1" x14ac:dyDescent="0.2">
      <c r="A4062" s="6" t="s">
        <v>943</v>
      </c>
      <c r="B4062" s="6" t="s">
        <v>1597</v>
      </c>
      <c r="C4062" s="6" t="s">
        <v>1391</v>
      </c>
      <c r="D4062" s="6" t="s">
        <v>1380</v>
      </c>
      <c r="I4062" s="9"/>
      <c r="J4062" s="9"/>
      <c r="K4062" s="9">
        <v>44008342</v>
      </c>
      <c r="L4062" s="6" t="str">
        <f>B4062&amp;" "&amp;C4062&amp;" "&amp;D4062</f>
        <v>1D  COMO PRO  KOMODİN (2 ADET)</v>
      </c>
      <c r="M4062" s="12">
        <v>0.5</v>
      </c>
      <c r="N4062" s="12">
        <v>0.5</v>
      </c>
      <c r="O4062" s="12">
        <v>13200</v>
      </c>
      <c r="P4062" s="12">
        <f t="shared" si="387"/>
        <v>6600</v>
      </c>
      <c r="Q4062" s="12">
        <f t="shared" si="393"/>
        <v>13860</v>
      </c>
      <c r="R4062" s="33">
        <f t="shared" si="388"/>
        <v>13800</v>
      </c>
      <c r="T4062" s="12">
        <v>15330</v>
      </c>
      <c r="U4062" s="12"/>
      <c r="V4062" s="12">
        <f t="shared" si="390"/>
        <v>15330</v>
      </c>
      <c r="W4062" s="12">
        <f t="shared" si="391"/>
        <v>38325</v>
      </c>
      <c r="X4062" s="12">
        <f t="shared" si="389"/>
        <v>38300</v>
      </c>
    </row>
    <row r="4063" spans="1:24" s="6" customFormat="1" ht="21.95" customHeight="1" x14ac:dyDescent="0.2">
      <c r="A4063" s="6" t="s">
        <v>943</v>
      </c>
      <c r="B4063" s="6" t="s">
        <v>1597</v>
      </c>
      <c r="C4063" s="6" t="s">
        <v>1392</v>
      </c>
      <c r="D4063" s="6" t="s">
        <v>989</v>
      </c>
      <c r="G4063" s="6">
        <v>90</v>
      </c>
      <c r="H4063" s="6">
        <v>190</v>
      </c>
      <c r="I4063" s="9"/>
      <c r="J4063" s="9"/>
      <c r="K4063" s="9">
        <v>44008343</v>
      </c>
      <c r="L4063" s="6" t="str">
        <f t="shared" ref="L4063:L4086" si="394">B4063&amp;" "&amp;C4063&amp;" "&amp;D4063&amp;" "&amp;G4063&amp;"x"&amp;H4063</f>
        <v>1D  COSTA  BAZA  90x190</v>
      </c>
      <c r="M4063" s="12">
        <v>0.5</v>
      </c>
      <c r="N4063" s="12">
        <v>0.5</v>
      </c>
      <c r="O4063" s="12">
        <v>8800</v>
      </c>
      <c r="P4063" s="12">
        <f t="shared" si="387"/>
        <v>4400</v>
      </c>
      <c r="Q4063" s="12">
        <f t="shared" si="393"/>
        <v>9240</v>
      </c>
      <c r="R4063" s="33">
        <f t="shared" si="388"/>
        <v>9200</v>
      </c>
      <c r="T4063" s="12">
        <v>14360</v>
      </c>
      <c r="U4063" s="12"/>
      <c r="V4063" s="12">
        <f t="shared" si="390"/>
        <v>14360</v>
      </c>
      <c r="W4063" s="12">
        <f t="shared" si="391"/>
        <v>35900</v>
      </c>
      <c r="X4063" s="12">
        <f t="shared" si="389"/>
        <v>35900</v>
      </c>
    </row>
    <row r="4064" spans="1:24" s="6" customFormat="1" ht="21.95" customHeight="1" x14ac:dyDescent="0.2">
      <c r="A4064" s="6" t="s">
        <v>943</v>
      </c>
      <c r="B4064" s="6" t="s">
        <v>1597</v>
      </c>
      <c r="C4064" s="6" t="s">
        <v>1392</v>
      </c>
      <c r="D4064" s="6" t="s">
        <v>989</v>
      </c>
      <c r="G4064" s="6">
        <v>90</v>
      </c>
      <c r="H4064" s="6">
        <v>200</v>
      </c>
      <c r="I4064" s="9"/>
      <c r="J4064" s="9"/>
      <c r="K4064" s="9">
        <v>44008344</v>
      </c>
      <c r="L4064" s="6" t="str">
        <f t="shared" si="394"/>
        <v>1D  COSTA  BAZA  90x200</v>
      </c>
      <c r="M4064" s="12">
        <v>0.5</v>
      </c>
      <c r="N4064" s="12">
        <v>0.5</v>
      </c>
      <c r="O4064" s="12">
        <v>9300</v>
      </c>
      <c r="P4064" s="12">
        <f t="shared" si="387"/>
        <v>4650</v>
      </c>
      <c r="Q4064" s="12">
        <f t="shared" si="393"/>
        <v>9765</v>
      </c>
      <c r="R4064" s="33">
        <f t="shared" si="388"/>
        <v>9700</v>
      </c>
      <c r="T4064" s="12">
        <v>11460</v>
      </c>
      <c r="U4064" s="12"/>
      <c r="V4064" s="12">
        <f t="shared" si="390"/>
        <v>11460</v>
      </c>
      <c r="W4064" s="12">
        <f t="shared" si="391"/>
        <v>28650</v>
      </c>
      <c r="X4064" s="12">
        <f t="shared" si="389"/>
        <v>28600</v>
      </c>
    </row>
    <row r="4065" spans="1:24" s="6" customFormat="1" ht="21.95" customHeight="1" x14ac:dyDescent="0.2">
      <c r="A4065" s="6" t="s">
        <v>943</v>
      </c>
      <c r="B4065" s="6" t="s">
        <v>1597</v>
      </c>
      <c r="C4065" s="6" t="s">
        <v>1392</v>
      </c>
      <c r="D4065" s="6" t="s">
        <v>989</v>
      </c>
      <c r="G4065" s="6">
        <v>100</v>
      </c>
      <c r="H4065" s="6">
        <v>200</v>
      </c>
      <c r="I4065" s="9"/>
      <c r="J4065" s="9"/>
      <c r="K4065" s="9">
        <v>44008345</v>
      </c>
      <c r="L4065" s="6" t="str">
        <f t="shared" si="394"/>
        <v>1D  COSTA  BAZA  100x200</v>
      </c>
      <c r="M4065" s="12">
        <v>0.5</v>
      </c>
      <c r="N4065" s="12">
        <v>0.5</v>
      </c>
      <c r="O4065" s="12">
        <v>10300</v>
      </c>
      <c r="P4065" s="12">
        <f t="shared" si="387"/>
        <v>5150</v>
      </c>
      <c r="Q4065" s="12">
        <f t="shared" si="393"/>
        <v>10815</v>
      </c>
      <c r="R4065" s="33">
        <f t="shared" si="388"/>
        <v>10800</v>
      </c>
      <c r="T4065" s="12">
        <v>9870</v>
      </c>
      <c r="U4065" s="12"/>
      <c r="V4065" s="12">
        <f t="shared" si="390"/>
        <v>9870</v>
      </c>
      <c r="W4065" s="12">
        <f t="shared" si="391"/>
        <v>24675</v>
      </c>
      <c r="X4065" s="12">
        <f t="shared" si="389"/>
        <v>24600</v>
      </c>
    </row>
    <row r="4066" spans="1:24" s="6" customFormat="1" ht="21.95" customHeight="1" x14ac:dyDescent="0.2">
      <c r="A4066" s="6" t="s">
        <v>943</v>
      </c>
      <c r="B4066" s="6" t="s">
        <v>1597</v>
      </c>
      <c r="C4066" s="6" t="s">
        <v>1392</v>
      </c>
      <c r="D4066" s="6" t="s">
        <v>989</v>
      </c>
      <c r="G4066" s="6">
        <v>120</v>
      </c>
      <c r="H4066" s="6">
        <v>200</v>
      </c>
      <c r="I4066" s="9"/>
      <c r="J4066" s="9"/>
      <c r="K4066" s="9">
        <v>44008346</v>
      </c>
      <c r="L4066" s="6" t="str">
        <f t="shared" si="394"/>
        <v>1D  COSTA  BAZA  120x200</v>
      </c>
      <c r="M4066" s="12">
        <v>0.5</v>
      </c>
      <c r="N4066" s="12">
        <v>0.5</v>
      </c>
      <c r="O4066" s="12">
        <v>12400</v>
      </c>
      <c r="P4066" s="12">
        <f t="shared" si="387"/>
        <v>6200</v>
      </c>
      <c r="Q4066" s="12">
        <f t="shared" si="393"/>
        <v>13020</v>
      </c>
      <c r="R4066" s="33">
        <f t="shared" si="388"/>
        <v>13000</v>
      </c>
      <c r="T4066" s="12">
        <v>10540</v>
      </c>
      <c r="U4066" s="12"/>
      <c r="V4066" s="12">
        <f t="shared" si="390"/>
        <v>10540</v>
      </c>
      <c r="W4066" s="12">
        <f t="shared" si="391"/>
        <v>26350</v>
      </c>
      <c r="X4066" s="12">
        <f t="shared" si="389"/>
        <v>26300</v>
      </c>
    </row>
    <row r="4067" spans="1:24" s="6" customFormat="1" ht="21.95" customHeight="1" x14ac:dyDescent="0.2">
      <c r="A4067" s="6" t="s">
        <v>943</v>
      </c>
      <c r="B4067" s="6" t="s">
        <v>1597</v>
      </c>
      <c r="C4067" s="6" t="s">
        <v>1392</v>
      </c>
      <c r="D4067" s="6" t="s">
        <v>989</v>
      </c>
      <c r="G4067" s="6">
        <v>140</v>
      </c>
      <c r="H4067" s="6">
        <v>200</v>
      </c>
      <c r="I4067" s="9"/>
      <c r="J4067" s="9"/>
      <c r="K4067" s="9">
        <v>44008347</v>
      </c>
      <c r="L4067" s="6" t="str">
        <f t="shared" si="394"/>
        <v>1D  COSTA  BAZA  140x200</v>
      </c>
      <c r="M4067" s="12">
        <v>0.5</v>
      </c>
      <c r="N4067" s="12">
        <v>0.5</v>
      </c>
      <c r="O4067" s="12">
        <v>14400</v>
      </c>
      <c r="P4067" s="12">
        <f t="shared" si="387"/>
        <v>7200</v>
      </c>
      <c r="Q4067" s="12">
        <f t="shared" si="393"/>
        <v>15120</v>
      </c>
      <c r="R4067" s="33">
        <f t="shared" si="388"/>
        <v>15100</v>
      </c>
      <c r="T4067" s="12">
        <v>14120</v>
      </c>
      <c r="U4067" s="12"/>
      <c r="V4067" s="12">
        <f t="shared" si="390"/>
        <v>14120</v>
      </c>
      <c r="W4067" s="12">
        <f t="shared" si="391"/>
        <v>35300</v>
      </c>
      <c r="X4067" s="12">
        <f t="shared" si="389"/>
        <v>35300</v>
      </c>
    </row>
    <row r="4068" spans="1:24" s="6" customFormat="1" ht="21.95" customHeight="1" x14ac:dyDescent="0.2">
      <c r="A4068" s="6" t="s">
        <v>943</v>
      </c>
      <c r="B4068" s="6" t="s">
        <v>1597</v>
      </c>
      <c r="C4068" s="6" t="s">
        <v>1392</v>
      </c>
      <c r="D4068" s="6" t="s">
        <v>989</v>
      </c>
      <c r="G4068" s="6">
        <v>150</v>
      </c>
      <c r="H4068" s="6">
        <v>200</v>
      </c>
      <c r="I4068" s="9"/>
      <c r="J4068" s="9"/>
      <c r="K4068" s="9">
        <v>44008348</v>
      </c>
      <c r="L4068" s="6" t="str">
        <f t="shared" si="394"/>
        <v>1D  COSTA  BAZA  150x200</v>
      </c>
      <c r="M4068" s="12">
        <v>0.5</v>
      </c>
      <c r="N4068" s="12">
        <v>0.5</v>
      </c>
      <c r="O4068" s="12">
        <v>15500</v>
      </c>
      <c r="P4068" s="12">
        <f t="shared" si="387"/>
        <v>7750</v>
      </c>
      <c r="Q4068" s="12">
        <f t="shared" si="393"/>
        <v>16275</v>
      </c>
      <c r="R4068" s="33">
        <f t="shared" si="388"/>
        <v>16200</v>
      </c>
      <c r="T4068" s="12">
        <v>10660</v>
      </c>
      <c r="U4068" s="12"/>
      <c r="V4068" s="12">
        <f t="shared" si="390"/>
        <v>10660</v>
      </c>
      <c r="W4068" s="12">
        <f t="shared" si="391"/>
        <v>26650</v>
      </c>
      <c r="X4068" s="12">
        <f t="shared" si="389"/>
        <v>26600</v>
      </c>
    </row>
    <row r="4069" spans="1:24" s="6" customFormat="1" ht="21.95" customHeight="1" x14ac:dyDescent="0.2">
      <c r="A4069" s="6" t="s">
        <v>943</v>
      </c>
      <c r="B4069" s="6" t="s">
        <v>1597</v>
      </c>
      <c r="C4069" s="6" t="s">
        <v>1392</v>
      </c>
      <c r="D4069" s="6" t="s">
        <v>989</v>
      </c>
      <c r="G4069" s="6">
        <v>160</v>
      </c>
      <c r="H4069" s="6">
        <v>200</v>
      </c>
      <c r="I4069" s="9"/>
      <c r="J4069" s="9"/>
      <c r="K4069" s="9">
        <v>44008349</v>
      </c>
      <c r="L4069" s="6" t="str">
        <f t="shared" si="394"/>
        <v>1D  COSTA  BAZA  160x200</v>
      </c>
      <c r="M4069" s="12">
        <v>0.5</v>
      </c>
      <c r="N4069" s="12">
        <v>0.5</v>
      </c>
      <c r="O4069" s="12">
        <v>16500</v>
      </c>
      <c r="P4069" s="12">
        <f t="shared" si="387"/>
        <v>8250</v>
      </c>
      <c r="Q4069" s="12">
        <f t="shared" si="393"/>
        <v>17325</v>
      </c>
      <c r="R4069" s="33">
        <f t="shared" si="388"/>
        <v>17300</v>
      </c>
      <c r="T4069" s="12">
        <v>6260</v>
      </c>
      <c r="U4069" s="12"/>
      <c r="V4069" s="12">
        <f t="shared" si="390"/>
        <v>6260</v>
      </c>
      <c r="W4069" s="12">
        <f t="shared" si="391"/>
        <v>15650</v>
      </c>
      <c r="X4069" s="12">
        <f t="shared" si="389"/>
        <v>15600</v>
      </c>
    </row>
    <row r="4070" spans="1:24" s="6" customFormat="1" ht="21.95" customHeight="1" x14ac:dyDescent="0.2">
      <c r="A4070" s="6" t="s">
        <v>943</v>
      </c>
      <c r="B4070" s="6" t="s">
        <v>1597</v>
      </c>
      <c r="C4070" s="6" t="s">
        <v>1392</v>
      </c>
      <c r="D4070" s="6" t="s">
        <v>989</v>
      </c>
      <c r="G4070" s="6">
        <v>180</v>
      </c>
      <c r="H4070" s="6">
        <v>200</v>
      </c>
      <c r="I4070" s="9"/>
      <c r="J4070" s="9"/>
      <c r="K4070" s="9">
        <v>44008350</v>
      </c>
      <c r="L4070" s="6" t="str">
        <f t="shared" si="394"/>
        <v>1D  COSTA  BAZA  180x200</v>
      </c>
      <c r="M4070" s="12">
        <v>0.5</v>
      </c>
      <c r="N4070" s="12">
        <v>0.5</v>
      </c>
      <c r="O4070" s="12">
        <v>18600</v>
      </c>
      <c r="P4070" s="12">
        <f t="shared" si="387"/>
        <v>9300</v>
      </c>
      <c r="Q4070" s="12">
        <f t="shared" si="393"/>
        <v>19530</v>
      </c>
      <c r="R4070" s="33">
        <f t="shared" si="388"/>
        <v>19500</v>
      </c>
      <c r="T4070" s="12">
        <v>6120</v>
      </c>
      <c r="U4070" s="12"/>
      <c r="V4070" s="12">
        <f t="shared" si="390"/>
        <v>6120</v>
      </c>
      <c r="W4070" s="12">
        <f t="shared" si="391"/>
        <v>15300</v>
      </c>
      <c r="X4070" s="12">
        <f t="shared" si="389"/>
        <v>15300</v>
      </c>
    </row>
    <row r="4071" spans="1:24" s="6" customFormat="1" ht="21.95" customHeight="1" x14ac:dyDescent="0.2">
      <c r="A4071" s="6" t="s">
        <v>943</v>
      </c>
      <c r="B4071" s="6" t="s">
        <v>1597</v>
      </c>
      <c r="C4071" s="6" t="s">
        <v>1392</v>
      </c>
      <c r="D4071" s="6" t="s">
        <v>1003</v>
      </c>
      <c r="G4071" s="6">
        <v>90</v>
      </c>
      <c r="H4071" s="6">
        <v>190</v>
      </c>
      <c r="I4071" s="9"/>
      <c r="J4071" s="9"/>
      <c r="K4071" s="9">
        <v>44008351</v>
      </c>
      <c r="L4071" s="6" t="str">
        <f t="shared" si="394"/>
        <v>1D  COSTA  BAŞLIK  90x190</v>
      </c>
      <c r="M4071" s="12">
        <v>0.5</v>
      </c>
      <c r="N4071" s="12">
        <v>0.5</v>
      </c>
      <c r="O4071" s="12">
        <v>4600</v>
      </c>
      <c r="P4071" s="12">
        <f t="shared" si="387"/>
        <v>2300</v>
      </c>
      <c r="Q4071" s="12">
        <f t="shared" si="393"/>
        <v>4830</v>
      </c>
      <c r="R4071" s="33">
        <f t="shared" si="388"/>
        <v>4800</v>
      </c>
      <c r="T4071" s="12">
        <v>10890</v>
      </c>
      <c r="U4071" s="12"/>
      <c r="V4071" s="12">
        <f t="shared" si="390"/>
        <v>10890</v>
      </c>
      <c r="W4071" s="12">
        <f t="shared" si="391"/>
        <v>27225</v>
      </c>
      <c r="X4071" s="12">
        <f t="shared" si="389"/>
        <v>27200</v>
      </c>
    </row>
    <row r="4072" spans="1:24" s="6" customFormat="1" ht="21.95" customHeight="1" x14ac:dyDescent="0.2">
      <c r="A4072" s="6" t="s">
        <v>943</v>
      </c>
      <c r="B4072" s="6" t="s">
        <v>1597</v>
      </c>
      <c r="C4072" s="6" t="s">
        <v>1392</v>
      </c>
      <c r="D4072" s="6" t="s">
        <v>1003</v>
      </c>
      <c r="G4072" s="6">
        <v>90</v>
      </c>
      <c r="H4072" s="6">
        <v>200</v>
      </c>
      <c r="I4072" s="9"/>
      <c r="J4072" s="9"/>
      <c r="K4072" s="9">
        <v>44008352</v>
      </c>
      <c r="L4072" s="6" t="str">
        <f t="shared" si="394"/>
        <v>1D  COSTA  BAŞLIK  90x200</v>
      </c>
      <c r="M4072" s="12">
        <v>0.5</v>
      </c>
      <c r="N4072" s="12">
        <v>0.5</v>
      </c>
      <c r="O4072" s="12">
        <v>4800</v>
      </c>
      <c r="P4072" s="12">
        <f t="shared" si="387"/>
        <v>2400</v>
      </c>
      <c r="Q4072" s="12">
        <f t="shared" si="393"/>
        <v>5040</v>
      </c>
      <c r="R4072" s="33">
        <f t="shared" si="388"/>
        <v>5000</v>
      </c>
      <c r="T4072" s="12">
        <v>12880</v>
      </c>
      <c r="U4072" s="12"/>
      <c r="V4072" s="12">
        <f t="shared" si="390"/>
        <v>12880</v>
      </c>
      <c r="W4072" s="12">
        <f t="shared" si="391"/>
        <v>32200</v>
      </c>
      <c r="X4072" s="12">
        <f t="shared" si="389"/>
        <v>32200</v>
      </c>
    </row>
    <row r="4073" spans="1:24" s="6" customFormat="1" ht="21.95" customHeight="1" x14ac:dyDescent="0.2">
      <c r="A4073" s="6" t="s">
        <v>943</v>
      </c>
      <c r="B4073" s="6" t="s">
        <v>1597</v>
      </c>
      <c r="C4073" s="6" t="s">
        <v>1392</v>
      </c>
      <c r="D4073" s="6" t="s">
        <v>1003</v>
      </c>
      <c r="G4073" s="6">
        <v>100</v>
      </c>
      <c r="H4073" s="6">
        <v>200</v>
      </c>
      <c r="I4073" s="9"/>
      <c r="J4073" s="9"/>
      <c r="K4073" s="9">
        <v>44008353</v>
      </c>
      <c r="L4073" s="6" t="str">
        <f t="shared" si="394"/>
        <v>1D  COSTA  BAŞLIK  100x200</v>
      </c>
      <c r="M4073" s="12">
        <v>0.5</v>
      </c>
      <c r="N4073" s="12">
        <v>0.5</v>
      </c>
      <c r="O4073" s="12">
        <v>5400</v>
      </c>
      <c r="P4073" s="12">
        <f t="shared" si="387"/>
        <v>2700</v>
      </c>
      <c r="Q4073" s="12">
        <f t="shared" si="393"/>
        <v>5670</v>
      </c>
      <c r="R4073" s="33">
        <f t="shared" si="388"/>
        <v>5600</v>
      </c>
      <c r="T4073" s="12">
        <v>10460</v>
      </c>
      <c r="U4073" s="12"/>
      <c r="V4073" s="12">
        <f t="shared" si="390"/>
        <v>10460</v>
      </c>
      <c r="W4073" s="12">
        <f t="shared" si="391"/>
        <v>26150</v>
      </c>
      <c r="X4073" s="12">
        <f t="shared" si="389"/>
        <v>26100</v>
      </c>
    </row>
    <row r="4074" spans="1:24" s="6" customFormat="1" ht="21.95" customHeight="1" x14ac:dyDescent="0.2">
      <c r="A4074" s="6" t="s">
        <v>943</v>
      </c>
      <c r="B4074" s="6" t="s">
        <v>1597</v>
      </c>
      <c r="C4074" s="6" t="s">
        <v>1392</v>
      </c>
      <c r="D4074" s="6" t="s">
        <v>1003</v>
      </c>
      <c r="G4074" s="6">
        <v>120</v>
      </c>
      <c r="H4074" s="6">
        <v>200</v>
      </c>
      <c r="I4074" s="9"/>
      <c r="J4074" s="9"/>
      <c r="K4074" s="9">
        <v>44008354</v>
      </c>
      <c r="L4074" s="6" t="str">
        <f t="shared" si="394"/>
        <v>1D  COSTA  BAŞLIK  120x200</v>
      </c>
      <c r="M4074" s="12">
        <v>0.5</v>
      </c>
      <c r="N4074" s="12">
        <v>0.5</v>
      </c>
      <c r="O4074" s="12">
        <v>6500</v>
      </c>
      <c r="P4074" s="12">
        <f t="shared" si="387"/>
        <v>3250</v>
      </c>
      <c r="Q4074" s="12">
        <f t="shared" si="393"/>
        <v>6825</v>
      </c>
      <c r="R4074" s="33">
        <f t="shared" si="388"/>
        <v>6800</v>
      </c>
      <c r="T4074" s="12">
        <v>16200</v>
      </c>
      <c r="U4074" s="12"/>
      <c r="V4074" s="12">
        <f t="shared" si="390"/>
        <v>16200</v>
      </c>
      <c r="W4074" s="12">
        <f t="shared" si="391"/>
        <v>40500</v>
      </c>
      <c r="X4074" s="12">
        <f t="shared" si="389"/>
        <v>40500</v>
      </c>
    </row>
    <row r="4075" spans="1:24" s="6" customFormat="1" ht="21.95" customHeight="1" x14ac:dyDescent="0.2">
      <c r="A4075" s="6" t="s">
        <v>943</v>
      </c>
      <c r="B4075" s="6" t="s">
        <v>1597</v>
      </c>
      <c r="C4075" s="6" t="s">
        <v>1392</v>
      </c>
      <c r="D4075" s="6" t="s">
        <v>1003</v>
      </c>
      <c r="G4075" s="6">
        <v>140</v>
      </c>
      <c r="H4075" s="6">
        <v>200</v>
      </c>
      <c r="I4075" s="9"/>
      <c r="J4075" s="9"/>
      <c r="K4075" s="9">
        <v>44008355</v>
      </c>
      <c r="L4075" s="6" t="str">
        <f t="shared" si="394"/>
        <v>1D  COSTA  BAŞLIK  140x200</v>
      </c>
      <c r="M4075" s="12">
        <v>0.5</v>
      </c>
      <c r="N4075" s="12">
        <v>0.5</v>
      </c>
      <c r="O4075" s="12">
        <v>7500</v>
      </c>
      <c r="P4075" s="12">
        <f t="shared" si="387"/>
        <v>3750</v>
      </c>
      <c r="Q4075" s="12">
        <f t="shared" si="393"/>
        <v>7875</v>
      </c>
      <c r="R4075" s="33">
        <f t="shared" si="388"/>
        <v>7800</v>
      </c>
      <c r="T4075" s="12"/>
      <c r="U4075" s="12"/>
      <c r="V4075" s="12"/>
      <c r="W4075" s="12"/>
    </row>
    <row r="4076" spans="1:24" s="6" customFormat="1" ht="21.95" customHeight="1" x14ac:dyDescent="0.2">
      <c r="A4076" s="6" t="s">
        <v>943</v>
      </c>
      <c r="B4076" s="6" t="s">
        <v>1597</v>
      </c>
      <c r="C4076" s="6" t="s">
        <v>1392</v>
      </c>
      <c r="D4076" s="6" t="s">
        <v>1003</v>
      </c>
      <c r="G4076" s="6">
        <v>150</v>
      </c>
      <c r="H4076" s="6">
        <v>200</v>
      </c>
      <c r="I4076" s="9"/>
      <c r="J4076" s="9"/>
      <c r="K4076" s="9">
        <v>44008356</v>
      </c>
      <c r="L4076" s="6" t="str">
        <f t="shared" si="394"/>
        <v>1D  COSTA  BAŞLIK  150x200</v>
      </c>
      <c r="M4076" s="12">
        <v>0.5</v>
      </c>
      <c r="N4076" s="12">
        <v>0.5</v>
      </c>
      <c r="O4076" s="12">
        <v>8100</v>
      </c>
      <c r="P4076" s="12">
        <f t="shared" si="387"/>
        <v>4050</v>
      </c>
      <c r="Q4076" s="12">
        <f t="shared" si="393"/>
        <v>8505</v>
      </c>
      <c r="R4076" s="33">
        <f t="shared" si="388"/>
        <v>8500</v>
      </c>
      <c r="T4076" s="12"/>
      <c r="U4076" s="12"/>
      <c r="V4076" s="12"/>
      <c r="W4076" s="12"/>
    </row>
    <row r="4077" spans="1:24" s="6" customFormat="1" ht="21.95" customHeight="1" x14ac:dyDescent="0.2">
      <c r="A4077" s="6" t="s">
        <v>943</v>
      </c>
      <c r="B4077" s="6" t="s">
        <v>1597</v>
      </c>
      <c r="C4077" s="6" t="s">
        <v>1392</v>
      </c>
      <c r="D4077" s="6" t="s">
        <v>1003</v>
      </c>
      <c r="G4077" s="6">
        <v>160</v>
      </c>
      <c r="H4077" s="6">
        <v>200</v>
      </c>
      <c r="I4077" s="9"/>
      <c r="J4077" s="9"/>
      <c r="K4077" s="9">
        <v>44008357</v>
      </c>
      <c r="L4077" s="6" t="str">
        <f t="shared" si="394"/>
        <v>1D  COSTA  BAŞLIK  160x200</v>
      </c>
      <c r="M4077" s="12">
        <v>0.5</v>
      </c>
      <c r="N4077" s="12">
        <v>0.5</v>
      </c>
      <c r="O4077" s="12">
        <v>8600</v>
      </c>
      <c r="P4077" s="12">
        <f t="shared" ref="P4077:P4140" si="395">O4077*(1-N4077)</f>
        <v>4300</v>
      </c>
      <c r="Q4077" s="12">
        <f t="shared" si="393"/>
        <v>9030</v>
      </c>
      <c r="R4077" s="33">
        <f t="shared" ref="R4077:R4140" si="396">ROUNDDOWN(Q4077,-2)</f>
        <v>9000</v>
      </c>
      <c r="T4077" s="12"/>
      <c r="U4077" s="12"/>
      <c r="V4077" s="12"/>
      <c r="W4077" s="12"/>
    </row>
    <row r="4078" spans="1:24" s="6" customFormat="1" ht="21.95" customHeight="1" x14ac:dyDescent="0.2">
      <c r="A4078" s="6" t="s">
        <v>943</v>
      </c>
      <c r="B4078" s="6" t="s">
        <v>1597</v>
      </c>
      <c r="C4078" s="6" t="s">
        <v>1392</v>
      </c>
      <c r="D4078" s="6" t="s">
        <v>1003</v>
      </c>
      <c r="G4078" s="6">
        <v>180</v>
      </c>
      <c r="H4078" s="6">
        <v>200</v>
      </c>
      <c r="I4078" s="9"/>
      <c r="J4078" s="9"/>
      <c r="K4078" s="9">
        <v>44008358</v>
      </c>
      <c r="L4078" s="6" t="str">
        <f t="shared" si="394"/>
        <v>1D  COSTA  BAŞLIK  180x200</v>
      </c>
      <c r="M4078" s="12">
        <v>0.5</v>
      </c>
      <c r="N4078" s="12">
        <v>0.5</v>
      </c>
      <c r="O4078" s="12">
        <v>9700</v>
      </c>
      <c r="P4078" s="12">
        <f t="shared" si="395"/>
        <v>4850</v>
      </c>
      <c r="Q4078" s="12">
        <f t="shared" si="393"/>
        <v>10185</v>
      </c>
      <c r="R4078" s="33">
        <f t="shared" si="396"/>
        <v>10100</v>
      </c>
      <c r="T4078" s="12"/>
      <c r="U4078" s="12"/>
      <c r="V4078" s="12"/>
      <c r="W4078" s="12"/>
    </row>
    <row r="4079" spans="1:24" s="6" customFormat="1" ht="21.95" customHeight="1" x14ac:dyDescent="0.2">
      <c r="A4079" s="6" t="s">
        <v>943</v>
      </c>
      <c r="B4079" s="6" t="s">
        <v>1597</v>
      </c>
      <c r="C4079" s="6" t="s">
        <v>1392</v>
      </c>
      <c r="D4079" s="6" t="s">
        <v>943</v>
      </c>
      <c r="G4079" s="6">
        <v>90</v>
      </c>
      <c r="H4079" s="6">
        <v>190</v>
      </c>
      <c r="I4079" s="9"/>
      <c r="J4079" s="9"/>
      <c r="K4079" s="9">
        <v>44008359</v>
      </c>
      <c r="L4079" s="6" t="str">
        <f t="shared" si="394"/>
        <v>1D  COSTA  YATAK  90x190</v>
      </c>
      <c r="M4079" s="12">
        <v>0.5</v>
      </c>
      <c r="N4079" s="12">
        <v>0.5</v>
      </c>
      <c r="O4079" s="12">
        <v>6600</v>
      </c>
      <c r="P4079" s="12">
        <f t="shared" si="395"/>
        <v>3300</v>
      </c>
      <c r="Q4079" s="12">
        <f t="shared" si="393"/>
        <v>6930</v>
      </c>
      <c r="R4079" s="33">
        <f t="shared" si="396"/>
        <v>6900</v>
      </c>
      <c r="T4079" s="12"/>
      <c r="U4079" s="12"/>
      <c r="V4079" s="12"/>
      <c r="W4079" s="12"/>
    </row>
    <row r="4080" spans="1:24" s="6" customFormat="1" ht="21.95" customHeight="1" x14ac:dyDescent="0.2">
      <c r="A4080" s="6" t="s">
        <v>943</v>
      </c>
      <c r="B4080" s="6" t="s">
        <v>1597</v>
      </c>
      <c r="C4080" s="6" t="s">
        <v>1392</v>
      </c>
      <c r="D4080" s="6" t="s">
        <v>943</v>
      </c>
      <c r="G4080" s="6">
        <v>90</v>
      </c>
      <c r="H4080" s="6">
        <v>200</v>
      </c>
      <c r="I4080" s="9"/>
      <c r="J4080" s="9"/>
      <c r="K4080" s="9">
        <v>44008360</v>
      </c>
      <c r="L4080" s="6" t="str">
        <f t="shared" si="394"/>
        <v>1D  COSTA  YATAK  90x200</v>
      </c>
      <c r="M4080" s="12">
        <v>0.5</v>
      </c>
      <c r="N4080" s="12">
        <v>0.5</v>
      </c>
      <c r="O4080" s="12">
        <v>7000</v>
      </c>
      <c r="P4080" s="12">
        <f t="shared" si="395"/>
        <v>3500</v>
      </c>
      <c r="Q4080" s="12">
        <f t="shared" si="393"/>
        <v>7350</v>
      </c>
      <c r="R4080" s="33">
        <f t="shared" si="396"/>
        <v>7300</v>
      </c>
      <c r="T4080" s="12"/>
      <c r="U4080" s="12"/>
      <c r="V4080" s="12"/>
      <c r="W4080" s="12"/>
    </row>
    <row r="4081" spans="1:23" s="6" customFormat="1" ht="21.95" customHeight="1" x14ac:dyDescent="0.2">
      <c r="A4081" s="6" t="s">
        <v>943</v>
      </c>
      <c r="B4081" s="6" t="s">
        <v>1597</v>
      </c>
      <c r="C4081" s="6" t="s">
        <v>1392</v>
      </c>
      <c r="D4081" s="6" t="s">
        <v>943</v>
      </c>
      <c r="G4081" s="6">
        <v>100</v>
      </c>
      <c r="H4081" s="6">
        <v>200</v>
      </c>
      <c r="I4081" s="9"/>
      <c r="J4081" s="9"/>
      <c r="K4081" s="9">
        <v>44008361</v>
      </c>
      <c r="L4081" s="6" t="str">
        <f t="shared" si="394"/>
        <v>1D  COSTA  YATAK  100x200</v>
      </c>
      <c r="M4081" s="12">
        <v>0.5</v>
      </c>
      <c r="N4081" s="12">
        <v>0.5</v>
      </c>
      <c r="O4081" s="12">
        <v>7800</v>
      </c>
      <c r="P4081" s="12">
        <f t="shared" si="395"/>
        <v>3900</v>
      </c>
      <c r="Q4081" s="12">
        <f t="shared" si="393"/>
        <v>8190</v>
      </c>
      <c r="R4081" s="33">
        <f t="shared" si="396"/>
        <v>8100</v>
      </c>
      <c r="T4081" s="12"/>
      <c r="U4081" s="12"/>
      <c r="V4081" s="12"/>
      <c r="W4081" s="12"/>
    </row>
    <row r="4082" spans="1:23" s="6" customFormat="1" ht="21.95" customHeight="1" x14ac:dyDescent="0.2">
      <c r="A4082" s="6" t="s">
        <v>943</v>
      </c>
      <c r="B4082" s="6" t="s">
        <v>1597</v>
      </c>
      <c r="C4082" s="6" t="s">
        <v>1392</v>
      </c>
      <c r="D4082" s="6" t="s">
        <v>943</v>
      </c>
      <c r="G4082" s="6">
        <v>120</v>
      </c>
      <c r="H4082" s="6">
        <v>200</v>
      </c>
      <c r="I4082" s="9"/>
      <c r="J4082" s="9"/>
      <c r="K4082" s="9">
        <v>44008362</v>
      </c>
      <c r="L4082" s="6" t="str">
        <f t="shared" si="394"/>
        <v>1D  COSTA  YATAK  120x200</v>
      </c>
      <c r="M4082" s="12">
        <v>0.5</v>
      </c>
      <c r="N4082" s="12">
        <v>0.5</v>
      </c>
      <c r="O4082" s="12">
        <v>9300</v>
      </c>
      <c r="P4082" s="12">
        <f t="shared" si="395"/>
        <v>4650</v>
      </c>
      <c r="Q4082" s="12">
        <f t="shared" si="393"/>
        <v>9765</v>
      </c>
      <c r="R4082" s="33">
        <f t="shared" si="396"/>
        <v>9700</v>
      </c>
      <c r="T4082" s="12"/>
      <c r="U4082" s="12"/>
      <c r="V4082" s="12"/>
      <c r="W4082" s="12"/>
    </row>
    <row r="4083" spans="1:23" s="6" customFormat="1" ht="21.95" customHeight="1" x14ac:dyDescent="0.2">
      <c r="A4083" s="6" t="s">
        <v>943</v>
      </c>
      <c r="B4083" s="6" t="s">
        <v>1597</v>
      </c>
      <c r="C4083" s="6" t="s">
        <v>1392</v>
      </c>
      <c r="D4083" s="6" t="s">
        <v>943</v>
      </c>
      <c r="G4083" s="6">
        <v>140</v>
      </c>
      <c r="H4083" s="6">
        <v>200</v>
      </c>
      <c r="I4083" s="9"/>
      <c r="J4083" s="9"/>
      <c r="K4083" s="9">
        <v>44008363</v>
      </c>
      <c r="L4083" s="6" t="str">
        <f t="shared" si="394"/>
        <v>1D  COSTA  YATAK  140x200</v>
      </c>
      <c r="M4083" s="12">
        <v>0.5</v>
      </c>
      <c r="N4083" s="12">
        <v>0.5</v>
      </c>
      <c r="O4083" s="12">
        <v>10900</v>
      </c>
      <c r="P4083" s="12">
        <f t="shared" si="395"/>
        <v>5450</v>
      </c>
      <c r="Q4083" s="12">
        <f t="shared" si="393"/>
        <v>11445</v>
      </c>
      <c r="R4083" s="33">
        <f t="shared" si="396"/>
        <v>11400</v>
      </c>
      <c r="T4083" s="12"/>
      <c r="U4083" s="12"/>
      <c r="V4083" s="12"/>
      <c r="W4083" s="12"/>
    </row>
    <row r="4084" spans="1:23" s="6" customFormat="1" ht="21.95" customHeight="1" x14ac:dyDescent="0.2">
      <c r="A4084" s="6" t="s">
        <v>943</v>
      </c>
      <c r="B4084" s="6" t="s">
        <v>1597</v>
      </c>
      <c r="C4084" s="6" t="s">
        <v>1392</v>
      </c>
      <c r="D4084" s="6" t="s">
        <v>943</v>
      </c>
      <c r="G4084" s="6">
        <v>150</v>
      </c>
      <c r="H4084" s="6">
        <v>200</v>
      </c>
      <c r="I4084" s="9"/>
      <c r="J4084" s="9"/>
      <c r="K4084" s="9">
        <v>44008364</v>
      </c>
      <c r="L4084" s="6" t="str">
        <f t="shared" si="394"/>
        <v>1D  COSTA  YATAK  150x200</v>
      </c>
      <c r="M4084" s="12">
        <v>0.5</v>
      </c>
      <c r="N4084" s="12">
        <v>0.5</v>
      </c>
      <c r="O4084" s="12">
        <v>11600</v>
      </c>
      <c r="P4084" s="12">
        <f t="shared" si="395"/>
        <v>5800</v>
      </c>
      <c r="Q4084" s="12">
        <f t="shared" si="393"/>
        <v>12180</v>
      </c>
      <c r="R4084" s="33">
        <f t="shared" si="396"/>
        <v>12100</v>
      </c>
      <c r="T4084" s="12"/>
      <c r="U4084" s="12"/>
      <c r="V4084" s="12"/>
      <c r="W4084" s="12"/>
    </row>
    <row r="4085" spans="1:23" s="6" customFormat="1" ht="21.95" customHeight="1" x14ac:dyDescent="0.2">
      <c r="A4085" s="6" t="s">
        <v>943</v>
      </c>
      <c r="B4085" s="6" t="s">
        <v>1597</v>
      </c>
      <c r="C4085" s="6" t="s">
        <v>1392</v>
      </c>
      <c r="D4085" s="6" t="s">
        <v>943</v>
      </c>
      <c r="G4085" s="6">
        <v>160</v>
      </c>
      <c r="H4085" s="6">
        <v>200</v>
      </c>
      <c r="I4085" s="9"/>
      <c r="J4085" s="9"/>
      <c r="K4085" s="9">
        <v>44008365</v>
      </c>
      <c r="L4085" s="6" t="str">
        <f t="shared" si="394"/>
        <v>1D  COSTA  YATAK  160x200</v>
      </c>
      <c r="M4085" s="12">
        <v>0.5</v>
      </c>
      <c r="N4085" s="12">
        <v>0.5</v>
      </c>
      <c r="O4085" s="12">
        <v>12400</v>
      </c>
      <c r="P4085" s="12">
        <f t="shared" si="395"/>
        <v>6200</v>
      </c>
      <c r="Q4085" s="12">
        <f t="shared" si="393"/>
        <v>13020</v>
      </c>
      <c r="R4085" s="33">
        <f t="shared" si="396"/>
        <v>13000</v>
      </c>
      <c r="T4085" s="12"/>
      <c r="U4085" s="12"/>
      <c r="V4085" s="12"/>
      <c r="W4085" s="12"/>
    </row>
    <row r="4086" spans="1:23" s="6" customFormat="1" ht="21.95" customHeight="1" x14ac:dyDescent="0.2">
      <c r="A4086" s="6" t="s">
        <v>943</v>
      </c>
      <c r="B4086" s="6" t="s">
        <v>1597</v>
      </c>
      <c r="C4086" s="6" t="s">
        <v>1392</v>
      </c>
      <c r="D4086" s="6" t="s">
        <v>943</v>
      </c>
      <c r="G4086" s="6">
        <v>180</v>
      </c>
      <c r="H4086" s="6">
        <v>200</v>
      </c>
      <c r="I4086" s="9"/>
      <c r="J4086" s="9"/>
      <c r="K4086" s="9">
        <v>44008366</v>
      </c>
      <c r="L4086" s="6" t="str">
        <f t="shared" si="394"/>
        <v>1D  COSTA  YATAK  180x200</v>
      </c>
      <c r="M4086" s="12">
        <v>0.5</v>
      </c>
      <c r="N4086" s="12">
        <v>0.5</v>
      </c>
      <c r="O4086" s="12">
        <v>14000</v>
      </c>
      <c r="P4086" s="12">
        <f t="shared" si="395"/>
        <v>7000</v>
      </c>
      <c r="Q4086" s="12">
        <f t="shared" si="393"/>
        <v>14700</v>
      </c>
      <c r="R4086" s="33">
        <f t="shared" si="396"/>
        <v>14700</v>
      </c>
      <c r="T4086" s="12"/>
      <c r="U4086" s="12"/>
      <c r="V4086" s="12"/>
      <c r="W4086" s="12"/>
    </row>
    <row r="4087" spans="1:23" s="6" customFormat="1" ht="21.95" customHeight="1" x14ac:dyDescent="0.2">
      <c r="A4087" s="6" t="s">
        <v>943</v>
      </c>
      <c r="B4087" s="6" t="s">
        <v>1597</v>
      </c>
      <c r="C4087" s="6" t="s">
        <v>1392</v>
      </c>
      <c r="D4087" s="6" t="s">
        <v>1380</v>
      </c>
      <c r="I4087" s="9"/>
      <c r="J4087" s="9"/>
      <c r="K4087" s="9">
        <v>44008367</v>
      </c>
      <c r="L4087" s="6" t="str">
        <f>B4087&amp;" "&amp;C4087&amp;" "&amp;D4087</f>
        <v>1D  COSTA  KOMODİN (2 ADET)</v>
      </c>
      <c r="M4087" s="12">
        <v>0.5</v>
      </c>
      <c r="N4087" s="12">
        <v>0.5</v>
      </c>
      <c r="O4087" s="12">
        <v>13200</v>
      </c>
      <c r="P4087" s="12">
        <f t="shared" si="395"/>
        <v>6600</v>
      </c>
      <c r="Q4087" s="12">
        <f t="shared" si="393"/>
        <v>13860</v>
      </c>
      <c r="R4087" s="33">
        <f t="shared" si="396"/>
        <v>13800</v>
      </c>
      <c r="T4087" s="12"/>
      <c r="U4087" s="12"/>
      <c r="V4087" s="12"/>
      <c r="W4087" s="12"/>
    </row>
    <row r="4088" spans="1:23" s="6" customFormat="1" ht="21.95" customHeight="1" x14ac:dyDescent="0.2">
      <c r="A4088" s="6" t="s">
        <v>943</v>
      </c>
      <c r="B4088" s="6" t="s">
        <v>1597</v>
      </c>
      <c r="C4088" s="6" t="s">
        <v>1393</v>
      </c>
      <c r="D4088" s="6" t="s">
        <v>989</v>
      </c>
      <c r="G4088" s="6">
        <v>90</v>
      </c>
      <c r="H4088" s="6">
        <v>190</v>
      </c>
      <c r="I4088" s="9"/>
      <c r="J4088" s="9"/>
      <c r="K4088" s="9">
        <v>44008393</v>
      </c>
      <c r="L4088" s="6" t="str">
        <f t="shared" ref="L4088:L4111" si="397">B4088&amp;" "&amp;C4088&amp;" "&amp;D4088&amp;" "&amp;G4088&amp;"x"&amp;H4088</f>
        <v>1D  DIANA  BAZA  90x190</v>
      </c>
      <c r="M4088" s="12">
        <v>0.5</v>
      </c>
      <c r="N4088" s="12">
        <v>0.5</v>
      </c>
      <c r="O4088" s="12">
        <v>10600</v>
      </c>
      <c r="P4088" s="12">
        <f t="shared" si="395"/>
        <v>5300</v>
      </c>
      <c r="Q4088" s="12">
        <f t="shared" si="393"/>
        <v>11130</v>
      </c>
      <c r="R4088" s="33">
        <f t="shared" si="396"/>
        <v>11100</v>
      </c>
      <c r="T4088" s="12"/>
      <c r="U4088" s="12"/>
      <c r="V4088" s="12"/>
      <c r="W4088" s="12"/>
    </row>
    <row r="4089" spans="1:23" s="6" customFormat="1" ht="21.95" customHeight="1" x14ac:dyDescent="0.2">
      <c r="A4089" s="6" t="s">
        <v>943</v>
      </c>
      <c r="B4089" s="6" t="s">
        <v>1597</v>
      </c>
      <c r="C4089" s="6" t="s">
        <v>1393</v>
      </c>
      <c r="D4089" s="6" t="s">
        <v>989</v>
      </c>
      <c r="G4089" s="6">
        <v>90</v>
      </c>
      <c r="H4089" s="6">
        <v>200</v>
      </c>
      <c r="I4089" s="9"/>
      <c r="J4089" s="9"/>
      <c r="K4089" s="9">
        <v>44008394</v>
      </c>
      <c r="L4089" s="6" t="str">
        <f t="shared" si="397"/>
        <v>1D  DIANA  BAZA  90x200</v>
      </c>
      <c r="M4089" s="12">
        <v>0.5</v>
      </c>
      <c r="N4089" s="12">
        <v>0.5</v>
      </c>
      <c r="O4089" s="12">
        <v>11100</v>
      </c>
      <c r="P4089" s="12">
        <f t="shared" si="395"/>
        <v>5550</v>
      </c>
      <c r="Q4089" s="12">
        <f t="shared" si="393"/>
        <v>11655</v>
      </c>
      <c r="R4089" s="33">
        <f t="shared" si="396"/>
        <v>11600</v>
      </c>
      <c r="T4089" s="12"/>
      <c r="U4089" s="12"/>
      <c r="V4089" s="12"/>
      <c r="W4089" s="12"/>
    </row>
    <row r="4090" spans="1:23" s="6" customFormat="1" ht="21.95" customHeight="1" x14ac:dyDescent="0.2">
      <c r="A4090" s="6" t="s">
        <v>943</v>
      </c>
      <c r="B4090" s="6" t="s">
        <v>1597</v>
      </c>
      <c r="C4090" s="6" t="s">
        <v>1393</v>
      </c>
      <c r="D4090" s="6" t="s">
        <v>989</v>
      </c>
      <c r="G4090" s="6">
        <v>100</v>
      </c>
      <c r="H4090" s="6">
        <v>200</v>
      </c>
      <c r="I4090" s="9"/>
      <c r="J4090" s="9"/>
      <c r="K4090" s="9">
        <v>44008395</v>
      </c>
      <c r="L4090" s="6" t="str">
        <f t="shared" si="397"/>
        <v>1D  DIANA  BAZA  100x200</v>
      </c>
      <c r="M4090" s="12">
        <v>0.5</v>
      </c>
      <c r="N4090" s="12">
        <v>0.5</v>
      </c>
      <c r="O4090" s="12">
        <v>12400</v>
      </c>
      <c r="P4090" s="12">
        <f t="shared" si="395"/>
        <v>6200</v>
      </c>
      <c r="Q4090" s="12">
        <f t="shared" si="393"/>
        <v>13020</v>
      </c>
      <c r="R4090" s="33">
        <f t="shared" si="396"/>
        <v>13000</v>
      </c>
      <c r="T4090" s="12"/>
      <c r="U4090" s="12"/>
      <c r="V4090" s="12"/>
      <c r="W4090" s="12"/>
    </row>
    <row r="4091" spans="1:23" s="6" customFormat="1" ht="21.95" customHeight="1" x14ac:dyDescent="0.2">
      <c r="A4091" s="6" t="s">
        <v>943</v>
      </c>
      <c r="B4091" s="6" t="s">
        <v>1597</v>
      </c>
      <c r="C4091" s="6" t="s">
        <v>1393</v>
      </c>
      <c r="D4091" s="6" t="s">
        <v>989</v>
      </c>
      <c r="G4091" s="6">
        <v>120</v>
      </c>
      <c r="H4091" s="6">
        <v>200</v>
      </c>
      <c r="I4091" s="9"/>
      <c r="J4091" s="9"/>
      <c r="K4091" s="9">
        <v>44008396</v>
      </c>
      <c r="L4091" s="6" t="str">
        <f t="shared" si="397"/>
        <v>1D  DIANA  BAZA  120x200</v>
      </c>
      <c r="M4091" s="12">
        <v>0.5</v>
      </c>
      <c r="N4091" s="12">
        <v>0.5</v>
      </c>
      <c r="O4091" s="12">
        <v>14900</v>
      </c>
      <c r="P4091" s="12">
        <f t="shared" si="395"/>
        <v>7450</v>
      </c>
      <c r="Q4091" s="12">
        <f t="shared" si="393"/>
        <v>15645</v>
      </c>
      <c r="R4091" s="33">
        <f t="shared" si="396"/>
        <v>15600</v>
      </c>
      <c r="T4091" s="12"/>
      <c r="U4091" s="12"/>
      <c r="V4091" s="12"/>
      <c r="W4091" s="12"/>
    </row>
    <row r="4092" spans="1:23" s="6" customFormat="1" ht="21.95" customHeight="1" x14ac:dyDescent="0.2">
      <c r="A4092" s="6" t="s">
        <v>943</v>
      </c>
      <c r="B4092" s="6" t="s">
        <v>1597</v>
      </c>
      <c r="C4092" s="6" t="s">
        <v>1393</v>
      </c>
      <c r="D4092" s="6" t="s">
        <v>989</v>
      </c>
      <c r="G4092" s="6">
        <v>140</v>
      </c>
      <c r="H4092" s="6">
        <v>200</v>
      </c>
      <c r="I4092" s="9"/>
      <c r="J4092" s="9"/>
      <c r="K4092" s="9">
        <v>44008397</v>
      </c>
      <c r="L4092" s="6" t="str">
        <f t="shared" si="397"/>
        <v>1D  DIANA  BAZA  140x200</v>
      </c>
      <c r="M4092" s="12">
        <v>0.5</v>
      </c>
      <c r="N4092" s="12">
        <v>0.5</v>
      </c>
      <c r="O4092" s="12">
        <v>17300</v>
      </c>
      <c r="P4092" s="12">
        <f t="shared" si="395"/>
        <v>8650</v>
      </c>
      <c r="Q4092" s="12">
        <f t="shared" si="393"/>
        <v>18165</v>
      </c>
      <c r="R4092" s="33">
        <f t="shared" si="396"/>
        <v>18100</v>
      </c>
      <c r="T4092" s="12"/>
      <c r="U4092" s="12"/>
      <c r="V4092" s="12"/>
      <c r="W4092" s="12"/>
    </row>
    <row r="4093" spans="1:23" s="6" customFormat="1" ht="21.95" customHeight="1" x14ac:dyDescent="0.2">
      <c r="A4093" s="6" t="s">
        <v>943</v>
      </c>
      <c r="B4093" s="6" t="s">
        <v>1597</v>
      </c>
      <c r="C4093" s="6" t="s">
        <v>1393</v>
      </c>
      <c r="D4093" s="6" t="s">
        <v>989</v>
      </c>
      <c r="G4093" s="6">
        <v>150</v>
      </c>
      <c r="H4093" s="6">
        <v>200</v>
      </c>
      <c r="I4093" s="9"/>
      <c r="J4093" s="9"/>
      <c r="K4093" s="9">
        <v>44008398</v>
      </c>
      <c r="L4093" s="6" t="str">
        <f t="shared" si="397"/>
        <v>1D  DIANA  BAZA  150x200</v>
      </c>
      <c r="M4093" s="12">
        <v>0.5</v>
      </c>
      <c r="N4093" s="12">
        <v>0.5</v>
      </c>
      <c r="O4093" s="12">
        <v>18600</v>
      </c>
      <c r="P4093" s="12">
        <f t="shared" si="395"/>
        <v>9300</v>
      </c>
      <c r="Q4093" s="12">
        <f t="shared" si="393"/>
        <v>19530</v>
      </c>
      <c r="R4093" s="33">
        <f t="shared" si="396"/>
        <v>19500</v>
      </c>
      <c r="T4093" s="12"/>
      <c r="U4093" s="12"/>
      <c r="V4093" s="12"/>
      <c r="W4093" s="12"/>
    </row>
    <row r="4094" spans="1:23" s="6" customFormat="1" ht="21.95" customHeight="1" x14ac:dyDescent="0.2">
      <c r="A4094" s="6" t="s">
        <v>943</v>
      </c>
      <c r="B4094" s="6" t="s">
        <v>1597</v>
      </c>
      <c r="C4094" s="6" t="s">
        <v>1393</v>
      </c>
      <c r="D4094" s="6" t="s">
        <v>989</v>
      </c>
      <c r="G4094" s="6">
        <v>160</v>
      </c>
      <c r="H4094" s="6">
        <v>200</v>
      </c>
      <c r="I4094" s="9"/>
      <c r="J4094" s="9"/>
      <c r="K4094" s="9">
        <v>44008399</v>
      </c>
      <c r="L4094" s="6" t="str">
        <f t="shared" si="397"/>
        <v>1D  DIANA  BAZA  160x200</v>
      </c>
      <c r="M4094" s="12">
        <v>0.5</v>
      </c>
      <c r="N4094" s="12">
        <v>0.5</v>
      </c>
      <c r="O4094" s="12">
        <v>19800</v>
      </c>
      <c r="P4094" s="12">
        <f t="shared" si="395"/>
        <v>9900</v>
      </c>
      <c r="Q4094" s="12">
        <f t="shared" si="393"/>
        <v>20790</v>
      </c>
      <c r="R4094" s="33">
        <f t="shared" si="396"/>
        <v>20700</v>
      </c>
      <c r="T4094" s="12"/>
      <c r="U4094" s="12"/>
      <c r="V4094" s="12"/>
      <c r="W4094" s="12"/>
    </row>
    <row r="4095" spans="1:23" s="6" customFormat="1" ht="21.95" customHeight="1" x14ac:dyDescent="0.2">
      <c r="A4095" s="6" t="s">
        <v>943</v>
      </c>
      <c r="B4095" s="6" t="s">
        <v>1597</v>
      </c>
      <c r="C4095" s="6" t="s">
        <v>1393</v>
      </c>
      <c r="D4095" s="6" t="s">
        <v>989</v>
      </c>
      <c r="G4095" s="6">
        <v>180</v>
      </c>
      <c r="H4095" s="6">
        <v>200</v>
      </c>
      <c r="I4095" s="9"/>
      <c r="J4095" s="9"/>
      <c r="K4095" s="9">
        <v>44008400</v>
      </c>
      <c r="L4095" s="6" t="str">
        <f t="shared" si="397"/>
        <v>1D  DIANA  BAZA  180x200</v>
      </c>
      <c r="M4095" s="12">
        <v>0.5</v>
      </c>
      <c r="N4095" s="12">
        <v>0.5</v>
      </c>
      <c r="O4095" s="12">
        <v>22300</v>
      </c>
      <c r="P4095" s="12">
        <f t="shared" si="395"/>
        <v>11150</v>
      </c>
      <c r="Q4095" s="12">
        <f t="shared" si="393"/>
        <v>23415</v>
      </c>
      <c r="R4095" s="33">
        <f t="shared" si="396"/>
        <v>23400</v>
      </c>
      <c r="T4095" s="12"/>
      <c r="U4095" s="12"/>
      <c r="V4095" s="12"/>
      <c r="W4095" s="12"/>
    </row>
    <row r="4096" spans="1:23" s="6" customFormat="1" ht="21.95" customHeight="1" x14ac:dyDescent="0.2">
      <c r="A4096" s="6" t="s">
        <v>943</v>
      </c>
      <c r="B4096" s="6" t="s">
        <v>1597</v>
      </c>
      <c r="C4096" s="6" t="s">
        <v>1393</v>
      </c>
      <c r="D4096" s="6" t="s">
        <v>1003</v>
      </c>
      <c r="G4096" s="6">
        <v>90</v>
      </c>
      <c r="H4096" s="6">
        <v>190</v>
      </c>
      <c r="I4096" s="9"/>
      <c r="J4096" s="9"/>
      <c r="K4096" s="9">
        <v>44008401</v>
      </c>
      <c r="L4096" s="6" t="str">
        <f t="shared" si="397"/>
        <v>1D  DIANA  BAŞLIK  90x190</v>
      </c>
      <c r="M4096" s="12">
        <v>0.5</v>
      </c>
      <c r="N4096" s="12">
        <v>0.5</v>
      </c>
      <c r="O4096" s="12">
        <v>5300</v>
      </c>
      <c r="P4096" s="12">
        <f t="shared" si="395"/>
        <v>2650</v>
      </c>
      <c r="Q4096" s="12">
        <f t="shared" si="393"/>
        <v>5565</v>
      </c>
      <c r="R4096" s="33">
        <f t="shared" si="396"/>
        <v>5500</v>
      </c>
      <c r="T4096" s="12"/>
      <c r="U4096" s="12"/>
      <c r="V4096" s="12"/>
      <c r="W4096" s="12"/>
    </row>
    <row r="4097" spans="1:23" s="6" customFormat="1" ht="21.95" customHeight="1" x14ac:dyDescent="0.2">
      <c r="A4097" s="6" t="s">
        <v>943</v>
      </c>
      <c r="B4097" s="6" t="s">
        <v>1597</v>
      </c>
      <c r="C4097" s="6" t="s">
        <v>1393</v>
      </c>
      <c r="D4097" s="6" t="s">
        <v>1003</v>
      </c>
      <c r="G4097" s="6">
        <v>90</v>
      </c>
      <c r="H4097" s="6">
        <v>200</v>
      </c>
      <c r="I4097" s="9"/>
      <c r="J4097" s="9"/>
      <c r="K4097" s="9">
        <v>44008402</v>
      </c>
      <c r="L4097" s="6" t="str">
        <f t="shared" si="397"/>
        <v>1D  DIANA  BAŞLIK  90x200</v>
      </c>
      <c r="M4097" s="12">
        <v>0.5</v>
      </c>
      <c r="N4097" s="12">
        <v>0.5</v>
      </c>
      <c r="O4097" s="12">
        <v>5600</v>
      </c>
      <c r="P4097" s="12">
        <f t="shared" si="395"/>
        <v>2800</v>
      </c>
      <c r="Q4097" s="12">
        <f t="shared" si="393"/>
        <v>5880</v>
      </c>
      <c r="R4097" s="33">
        <f t="shared" si="396"/>
        <v>5800</v>
      </c>
      <c r="T4097" s="12"/>
      <c r="U4097" s="12"/>
      <c r="V4097" s="12"/>
      <c r="W4097" s="12"/>
    </row>
    <row r="4098" spans="1:23" s="6" customFormat="1" ht="21.95" customHeight="1" x14ac:dyDescent="0.2">
      <c r="A4098" s="6" t="s">
        <v>943</v>
      </c>
      <c r="B4098" s="6" t="s">
        <v>1597</v>
      </c>
      <c r="C4098" s="6" t="s">
        <v>1393</v>
      </c>
      <c r="D4098" s="6" t="s">
        <v>1003</v>
      </c>
      <c r="G4098" s="6">
        <v>100</v>
      </c>
      <c r="H4098" s="6">
        <v>200</v>
      </c>
      <c r="I4098" s="9"/>
      <c r="J4098" s="9"/>
      <c r="K4098" s="9">
        <v>44008403</v>
      </c>
      <c r="L4098" s="6" t="str">
        <f t="shared" si="397"/>
        <v>1D  DIANA  BAŞLIK  100x200</v>
      </c>
      <c r="M4098" s="12">
        <v>0.5</v>
      </c>
      <c r="N4098" s="12">
        <v>0.5</v>
      </c>
      <c r="O4098" s="12">
        <v>6300</v>
      </c>
      <c r="P4098" s="12">
        <f t="shared" si="395"/>
        <v>3150</v>
      </c>
      <c r="Q4098" s="12">
        <f t="shared" si="393"/>
        <v>6615</v>
      </c>
      <c r="R4098" s="33">
        <f t="shared" si="396"/>
        <v>6600</v>
      </c>
      <c r="T4098" s="12"/>
      <c r="U4098" s="12"/>
      <c r="V4098" s="12"/>
      <c r="W4098" s="12"/>
    </row>
    <row r="4099" spans="1:23" s="6" customFormat="1" ht="21.95" customHeight="1" x14ac:dyDescent="0.2">
      <c r="A4099" s="6" t="s">
        <v>943</v>
      </c>
      <c r="B4099" s="6" t="s">
        <v>1597</v>
      </c>
      <c r="C4099" s="6" t="s">
        <v>1393</v>
      </c>
      <c r="D4099" s="6" t="s">
        <v>1003</v>
      </c>
      <c r="G4099" s="6">
        <v>120</v>
      </c>
      <c r="H4099" s="6">
        <v>200</v>
      </c>
      <c r="I4099" s="9"/>
      <c r="J4099" s="9"/>
      <c r="K4099" s="9">
        <v>44008404</v>
      </c>
      <c r="L4099" s="6" t="str">
        <f t="shared" si="397"/>
        <v>1D  DIANA  BAŞLIK  120x200</v>
      </c>
      <c r="M4099" s="12">
        <v>0.5</v>
      </c>
      <c r="N4099" s="12">
        <v>0.5</v>
      </c>
      <c r="O4099" s="12">
        <v>7500</v>
      </c>
      <c r="P4099" s="12">
        <f t="shared" si="395"/>
        <v>3750</v>
      </c>
      <c r="Q4099" s="12">
        <f t="shared" si="393"/>
        <v>7875</v>
      </c>
      <c r="R4099" s="33">
        <f t="shared" si="396"/>
        <v>7800</v>
      </c>
      <c r="T4099" s="12"/>
      <c r="U4099" s="12"/>
      <c r="V4099" s="12"/>
      <c r="W4099" s="12"/>
    </row>
    <row r="4100" spans="1:23" s="6" customFormat="1" ht="21.95" customHeight="1" x14ac:dyDescent="0.2">
      <c r="A4100" s="6" t="s">
        <v>943</v>
      </c>
      <c r="B4100" s="6" t="s">
        <v>1597</v>
      </c>
      <c r="C4100" s="6" t="s">
        <v>1393</v>
      </c>
      <c r="D4100" s="6" t="s">
        <v>1003</v>
      </c>
      <c r="G4100" s="6">
        <v>140</v>
      </c>
      <c r="H4100" s="6">
        <v>200</v>
      </c>
      <c r="I4100" s="9"/>
      <c r="J4100" s="9"/>
      <c r="K4100" s="9">
        <v>44008405</v>
      </c>
      <c r="L4100" s="6" t="str">
        <f t="shared" si="397"/>
        <v>1D  DIANA  BAŞLIK  140x200</v>
      </c>
      <c r="M4100" s="12">
        <v>0.5</v>
      </c>
      <c r="N4100" s="12">
        <v>0.5</v>
      </c>
      <c r="O4100" s="12">
        <v>8800</v>
      </c>
      <c r="P4100" s="12">
        <f t="shared" si="395"/>
        <v>4400</v>
      </c>
      <c r="Q4100" s="12">
        <f t="shared" si="393"/>
        <v>9240</v>
      </c>
      <c r="R4100" s="33">
        <f t="shared" si="396"/>
        <v>9200</v>
      </c>
      <c r="T4100" s="12"/>
      <c r="U4100" s="12"/>
      <c r="V4100" s="12"/>
      <c r="W4100" s="12"/>
    </row>
    <row r="4101" spans="1:23" s="6" customFormat="1" ht="21.95" customHeight="1" x14ac:dyDescent="0.2">
      <c r="A4101" s="6" t="s">
        <v>943</v>
      </c>
      <c r="B4101" s="6" t="s">
        <v>1597</v>
      </c>
      <c r="C4101" s="6" t="s">
        <v>1393</v>
      </c>
      <c r="D4101" s="6" t="s">
        <v>1003</v>
      </c>
      <c r="G4101" s="6">
        <v>150</v>
      </c>
      <c r="H4101" s="6">
        <v>200</v>
      </c>
      <c r="I4101" s="9"/>
      <c r="J4101" s="9"/>
      <c r="K4101" s="9">
        <v>44008406</v>
      </c>
      <c r="L4101" s="6" t="str">
        <f t="shared" si="397"/>
        <v>1D  DIANA  BAŞLIK  150x200</v>
      </c>
      <c r="M4101" s="12">
        <v>0.5</v>
      </c>
      <c r="N4101" s="12">
        <v>0.5</v>
      </c>
      <c r="O4101" s="12">
        <v>9400</v>
      </c>
      <c r="P4101" s="12">
        <f t="shared" si="395"/>
        <v>4700</v>
      </c>
      <c r="Q4101" s="12">
        <f t="shared" si="393"/>
        <v>9870</v>
      </c>
      <c r="R4101" s="33">
        <f t="shared" si="396"/>
        <v>9800</v>
      </c>
      <c r="T4101" s="12"/>
      <c r="U4101" s="12"/>
      <c r="V4101" s="12"/>
      <c r="W4101" s="12"/>
    </row>
    <row r="4102" spans="1:23" s="6" customFormat="1" ht="21.95" customHeight="1" x14ac:dyDescent="0.2">
      <c r="A4102" s="6" t="s">
        <v>943</v>
      </c>
      <c r="B4102" s="6" t="s">
        <v>1597</v>
      </c>
      <c r="C4102" s="6" t="s">
        <v>1393</v>
      </c>
      <c r="D4102" s="6" t="s">
        <v>1003</v>
      </c>
      <c r="G4102" s="6">
        <v>160</v>
      </c>
      <c r="H4102" s="6">
        <v>200</v>
      </c>
      <c r="I4102" s="9"/>
      <c r="J4102" s="9"/>
      <c r="K4102" s="9">
        <v>44008407</v>
      </c>
      <c r="L4102" s="6" t="str">
        <f t="shared" si="397"/>
        <v>1D  DIANA  BAŞLIK  160x200</v>
      </c>
      <c r="M4102" s="12">
        <v>0.5</v>
      </c>
      <c r="N4102" s="12">
        <v>0.5</v>
      </c>
      <c r="O4102" s="12">
        <v>10000</v>
      </c>
      <c r="P4102" s="12">
        <f t="shared" si="395"/>
        <v>5000</v>
      </c>
      <c r="Q4102" s="12">
        <f t="shared" si="393"/>
        <v>10500</v>
      </c>
      <c r="R4102" s="33">
        <f t="shared" si="396"/>
        <v>10500</v>
      </c>
      <c r="T4102" s="12"/>
      <c r="U4102" s="12"/>
      <c r="V4102" s="12"/>
      <c r="W4102" s="12"/>
    </row>
    <row r="4103" spans="1:23" s="6" customFormat="1" ht="21.95" customHeight="1" x14ac:dyDescent="0.2">
      <c r="A4103" s="6" t="s">
        <v>943</v>
      </c>
      <c r="B4103" s="6" t="s">
        <v>1597</v>
      </c>
      <c r="C4103" s="6" t="s">
        <v>1393</v>
      </c>
      <c r="D4103" s="6" t="s">
        <v>1003</v>
      </c>
      <c r="G4103" s="6">
        <v>180</v>
      </c>
      <c r="H4103" s="6">
        <v>200</v>
      </c>
      <c r="I4103" s="9"/>
      <c r="J4103" s="9"/>
      <c r="K4103" s="9">
        <v>44008408</v>
      </c>
      <c r="L4103" s="6" t="str">
        <f t="shared" si="397"/>
        <v>1D  DIANA  BAŞLIK  180x200</v>
      </c>
      <c r="M4103" s="12">
        <v>0.5</v>
      </c>
      <c r="N4103" s="12">
        <v>0.5</v>
      </c>
      <c r="O4103" s="12">
        <v>11300</v>
      </c>
      <c r="P4103" s="12">
        <f t="shared" si="395"/>
        <v>5650</v>
      </c>
      <c r="Q4103" s="12">
        <f t="shared" si="393"/>
        <v>11865</v>
      </c>
      <c r="R4103" s="33">
        <f t="shared" si="396"/>
        <v>11800</v>
      </c>
      <c r="T4103" s="12"/>
      <c r="U4103" s="12"/>
      <c r="V4103" s="12"/>
      <c r="W4103" s="12"/>
    </row>
    <row r="4104" spans="1:23" s="6" customFormat="1" ht="21.95" customHeight="1" x14ac:dyDescent="0.2">
      <c r="A4104" s="6" t="s">
        <v>943</v>
      </c>
      <c r="B4104" s="6" t="s">
        <v>1597</v>
      </c>
      <c r="C4104" s="6" t="s">
        <v>1393</v>
      </c>
      <c r="D4104" s="6" t="s">
        <v>943</v>
      </c>
      <c r="G4104" s="6">
        <v>90</v>
      </c>
      <c r="H4104" s="6">
        <v>190</v>
      </c>
      <c r="I4104" s="9"/>
      <c r="J4104" s="9"/>
      <c r="K4104" s="9">
        <v>44008409</v>
      </c>
      <c r="L4104" s="6" t="str">
        <f t="shared" si="397"/>
        <v>1D  DIANA  YATAK  90x190</v>
      </c>
      <c r="M4104" s="12">
        <v>0.5</v>
      </c>
      <c r="N4104" s="12">
        <v>0.5</v>
      </c>
      <c r="O4104" s="12">
        <v>11200</v>
      </c>
      <c r="P4104" s="12">
        <f t="shared" si="395"/>
        <v>5600</v>
      </c>
      <c r="Q4104" s="12">
        <f t="shared" si="393"/>
        <v>11760</v>
      </c>
      <c r="R4104" s="33">
        <f t="shared" si="396"/>
        <v>11700</v>
      </c>
      <c r="T4104" s="12"/>
      <c r="U4104" s="12"/>
      <c r="V4104" s="12"/>
      <c r="W4104" s="12"/>
    </row>
    <row r="4105" spans="1:23" s="6" customFormat="1" ht="21.95" customHeight="1" x14ac:dyDescent="0.2">
      <c r="A4105" s="6" t="s">
        <v>943</v>
      </c>
      <c r="B4105" s="6" t="s">
        <v>1597</v>
      </c>
      <c r="C4105" s="6" t="s">
        <v>1393</v>
      </c>
      <c r="D4105" s="6" t="s">
        <v>943</v>
      </c>
      <c r="G4105" s="6">
        <v>90</v>
      </c>
      <c r="H4105" s="6">
        <v>200</v>
      </c>
      <c r="I4105" s="9"/>
      <c r="J4105" s="9"/>
      <c r="K4105" s="9">
        <v>44008410</v>
      </c>
      <c r="L4105" s="6" t="str">
        <f t="shared" si="397"/>
        <v>1D  DIANA  YATAK  90x200</v>
      </c>
      <c r="M4105" s="12">
        <v>0.5</v>
      </c>
      <c r="N4105" s="12">
        <v>0.5</v>
      </c>
      <c r="O4105" s="12">
        <v>11800</v>
      </c>
      <c r="P4105" s="12">
        <f t="shared" si="395"/>
        <v>5900</v>
      </c>
      <c r="Q4105" s="12">
        <f t="shared" si="393"/>
        <v>12390</v>
      </c>
      <c r="R4105" s="33">
        <f t="shared" si="396"/>
        <v>12300</v>
      </c>
      <c r="T4105" s="12"/>
      <c r="U4105" s="12"/>
      <c r="V4105" s="12"/>
      <c r="W4105" s="12"/>
    </row>
    <row r="4106" spans="1:23" s="6" customFormat="1" ht="21.95" customHeight="1" x14ac:dyDescent="0.2">
      <c r="A4106" s="6" t="s">
        <v>943</v>
      </c>
      <c r="B4106" s="6" t="s">
        <v>1597</v>
      </c>
      <c r="C4106" s="6" t="s">
        <v>1393</v>
      </c>
      <c r="D4106" s="6" t="s">
        <v>943</v>
      </c>
      <c r="G4106" s="6">
        <v>100</v>
      </c>
      <c r="H4106" s="6">
        <v>200</v>
      </c>
      <c r="I4106" s="9"/>
      <c r="J4106" s="9"/>
      <c r="K4106" s="9">
        <v>44008411</v>
      </c>
      <c r="L4106" s="6" t="str">
        <f t="shared" si="397"/>
        <v>1D  DIANA  YATAK  100x200</v>
      </c>
      <c r="M4106" s="12">
        <v>0.5</v>
      </c>
      <c r="N4106" s="12">
        <v>0.5</v>
      </c>
      <c r="O4106" s="12">
        <v>13100</v>
      </c>
      <c r="P4106" s="12">
        <f t="shared" si="395"/>
        <v>6550</v>
      </c>
      <c r="Q4106" s="12">
        <f t="shared" si="393"/>
        <v>13755</v>
      </c>
      <c r="R4106" s="33">
        <f t="shared" si="396"/>
        <v>13700</v>
      </c>
      <c r="T4106" s="12"/>
      <c r="U4106" s="12"/>
      <c r="V4106" s="12"/>
      <c r="W4106" s="12"/>
    </row>
    <row r="4107" spans="1:23" s="6" customFormat="1" ht="21.95" customHeight="1" x14ac:dyDescent="0.2">
      <c r="A4107" s="6" t="s">
        <v>943</v>
      </c>
      <c r="B4107" s="6" t="s">
        <v>1597</v>
      </c>
      <c r="C4107" s="6" t="s">
        <v>1393</v>
      </c>
      <c r="D4107" s="6" t="s">
        <v>943</v>
      </c>
      <c r="G4107" s="6">
        <v>120</v>
      </c>
      <c r="H4107" s="6">
        <v>200</v>
      </c>
      <c r="I4107" s="9"/>
      <c r="J4107" s="9"/>
      <c r="K4107" s="9">
        <v>44008412</v>
      </c>
      <c r="L4107" s="6" t="str">
        <f t="shared" si="397"/>
        <v>1D  DIANA  YATAK  120x200</v>
      </c>
      <c r="M4107" s="12">
        <v>0.5</v>
      </c>
      <c r="N4107" s="12">
        <v>0.5</v>
      </c>
      <c r="O4107" s="12">
        <v>15800</v>
      </c>
      <c r="P4107" s="12">
        <f t="shared" si="395"/>
        <v>7900</v>
      </c>
      <c r="Q4107" s="12">
        <f t="shared" si="393"/>
        <v>16590</v>
      </c>
      <c r="R4107" s="33">
        <f t="shared" si="396"/>
        <v>16500</v>
      </c>
      <c r="T4107" s="12"/>
      <c r="U4107" s="12"/>
      <c r="V4107" s="12"/>
      <c r="W4107" s="12"/>
    </row>
    <row r="4108" spans="1:23" s="6" customFormat="1" ht="21.95" customHeight="1" x14ac:dyDescent="0.2">
      <c r="A4108" s="6" t="s">
        <v>943</v>
      </c>
      <c r="B4108" s="6" t="s">
        <v>1597</v>
      </c>
      <c r="C4108" s="6" t="s">
        <v>1393</v>
      </c>
      <c r="D4108" s="6" t="s">
        <v>943</v>
      </c>
      <c r="G4108" s="6">
        <v>140</v>
      </c>
      <c r="H4108" s="6">
        <v>200</v>
      </c>
      <c r="I4108" s="9"/>
      <c r="J4108" s="9"/>
      <c r="K4108" s="9">
        <v>44008413</v>
      </c>
      <c r="L4108" s="6" t="str">
        <f t="shared" si="397"/>
        <v>1D  DIANA  YATAK  140x200</v>
      </c>
      <c r="M4108" s="12">
        <v>0.5</v>
      </c>
      <c r="N4108" s="12">
        <v>0.5</v>
      </c>
      <c r="O4108" s="12">
        <v>18400</v>
      </c>
      <c r="P4108" s="12">
        <f t="shared" si="395"/>
        <v>9200</v>
      </c>
      <c r="Q4108" s="12">
        <f t="shared" si="393"/>
        <v>19320</v>
      </c>
      <c r="R4108" s="33">
        <f t="shared" si="396"/>
        <v>19300</v>
      </c>
      <c r="T4108" s="12"/>
      <c r="U4108" s="12"/>
      <c r="V4108" s="12"/>
      <c r="W4108" s="12"/>
    </row>
    <row r="4109" spans="1:23" s="6" customFormat="1" ht="21.95" customHeight="1" x14ac:dyDescent="0.2">
      <c r="A4109" s="6" t="s">
        <v>943</v>
      </c>
      <c r="B4109" s="6" t="s">
        <v>1597</v>
      </c>
      <c r="C4109" s="6" t="s">
        <v>1393</v>
      </c>
      <c r="D4109" s="6" t="s">
        <v>943</v>
      </c>
      <c r="G4109" s="6">
        <v>150</v>
      </c>
      <c r="H4109" s="6">
        <v>200</v>
      </c>
      <c r="I4109" s="9"/>
      <c r="J4109" s="9"/>
      <c r="K4109" s="9">
        <v>44008414</v>
      </c>
      <c r="L4109" s="6" t="str">
        <f t="shared" si="397"/>
        <v>1D  DIANA  YATAK  150x200</v>
      </c>
      <c r="M4109" s="12">
        <v>0.5</v>
      </c>
      <c r="N4109" s="12">
        <v>0.5</v>
      </c>
      <c r="O4109" s="12">
        <v>19700</v>
      </c>
      <c r="P4109" s="12">
        <f t="shared" si="395"/>
        <v>9850</v>
      </c>
      <c r="Q4109" s="12">
        <f t="shared" si="393"/>
        <v>20685</v>
      </c>
      <c r="R4109" s="33">
        <f t="shared" si="396"/>
        <v>20600</v>
      </c>
      <c r="T4109" s="12"/>
      <c r="U4109" s="12"/>
      <c r="V4109" s="12"/>
      <c r="W4109" s="12"/>
    </row>
    <row r="4110" spans="1:23" s="6" customFormat="1" ht="21.95" customHeight="1" x14ac:dyDescent="0.2">
      <c r="A4110" s="6" t="s">
        <v>943</v>
      </c>
      <c r="B4110" s="6" t="s">
        <v>1597</v>
      </c>
      <c r="C4110" s="6" t="s">
        <v>1393</v>
      </c>
      <c r="D4110" s="6" t="s">
        <v>943</v>
      </c>
      <c r="G4110" s="6">
        <v>160</v>
      </c>
      <c r="H4110" s="6">
        <v>200</v>
      </c>
      <c r="I4110" s="9"/>
      <c r="J4110" s="9"/>
      <c r="K4110" s="9">
        <v>44008415</v>
      </c>
      <c r="L4110" s="6" t="str">
        <f t="shared" si="397"/>
        <v>1D  DIANA  YATAK  160x200</v>
      </c>
      <c r="M4110" s="12">
        <v>0.5</v>
      </c>
      <c r="N4110" s="12">
        <v>0.5</v>
      </c>
      <c r="O4110" s="12">
        <v>21000</v>
      </c>
      <c r="P4110" s="12">
        <f t="shared" si="395"/>
        <v>10500</v>
      </c>
      <c r="Q4110" s="12">
        <f t="shared" si="393"/>
        <v>22050</v>
      </c>
      <c r="R4110" s="33">
        <f t="shared" si="396"/>
        <v>22000</v>
      </c>
      <c r="T4110" s="12"/>
      <c r="U4110" s="12"/>
      <c r="V4110" s="12"/>
      <c r="W4110" s="12"/>
    </row>
    <row r="4111" spans="1:23" s="6" customFormat="1" ht="21.95" customHeight="1" x14ac:dyDescent="0.2">
      <c r="A4111" s="6" t="s">
        <v>943</v>
      </c>
      <c r="B4111" s="6" t="s">
        <v>1597</v>
      </c>
      <c r="C4111" s="6" t="s">
        <v>1393</v>
      </c>
      <c r="D4111" s="6" t="s">
        <v>943</v>
      </c>
      <c r="G4111" s="6">
        <v>180</v>
      </c>
      <c r="H4111" s="6">
        <v>200</v>
      </c>
      <c r="I4111" s="9"/>
      <c r="J4111" s="9"/>
      <c r="K4111" s="9">
        <v>44008416</v>
      </c>
      <c r="L4111" s="6" t="str">
        <f t="shared" si="397"/>
        <v>1D  DIANA  YATAK  180x200</v>
      </c>
      <c r="M4111" s="12">
        <v>0.5</v>
      </c>
      <c r="N4111" s="12">
        <v>0.5</v>
      </c>
      <c r="O4111" s="12">
        <v>23600</v>
      </c>
      <c r="P4111" s="12">
        <f t="shared" si="395"/>
        <v>11800</v>
      </c>
      <c r="Q4111" s="12">
        <f t="shared" si="393"/>
        <v>24780</v>
      </c>
      <c r="R4111" s="33">
        <f t="shared" si="396"/>
        <v>24700</v>
      </c>
      <c r="T4111" s="12"/>
      <c r="U4111" s="12"/>
      <c r="V4111" s="12"/>
      <c r="W4111" s="12"/>
    </row>
    <row r="4112" spans="1:23" s="6" customFormat="1" ht="21.95" customHeight="1" x14ac:dyDescent="0.2">
      <c r="A4112" s="6" t="s">
        <v>943</v>
      </c>
      <c r="B4112" s="6" t="s">
        <v>1597</v>
      </c>
      <c r="C4112" s="6" t="s">
        <v>1393</v>
      </c>
      <c r="D4112" s="6" t="s">
        <v>1380</v>
      </c>
      <c r="I4112" s="9"/>
      <c r="J4112" s="9"/>
      <c r="K4112" s="9">
        <v>44008417</v>
      </c>
      <c r="L4112" s="6" t="str">
        <f>B4112&amp;" "&amp;C4112&amp;" "&amp;D4112</f>
        <v>1D  DIANA  KOMODİN (2 ADET)</v>
      </c>
      <c r="M4112" s="12">
        <v>0.5</v>
      </c>
      <c r="N4112" s="12">
        <v>0.5</v>
      </c>
      <c r="O4112" s="12">
        <v>13200</v>
      </c>
      <c r="P4112" s="12">
        <f t="shared" si="395"/>
        <v>6600</v>
      </c>
      <c r="Q4112" s="12">
        <f t="shared" si="393"/>
        <v>13860</v>
      </c>
      <c r="R4112" s="33">
        <f t="shared" si="396"/>
        <v>13800</v>
      </c>
      <c r="T4112" s="12"/>
      <c r="U4112" s="12"/>
      <c r="V4112" s="12"/>
      <c r="W4112" s="12"/>
    </row>
    <row r="4113" spans="1:23" s="6" customFormat="1" ht="21.95" customHeight="1" x14ac:dyDescent="0.2">
      <c r="A4113" s="6" t="s">
        <v>943</v>
      </c>
      <c r="B4113" s="6" t="s">
        <v>1597</v>
      </c>
      <c r="C4113" s="6" t="s">
        <v>1394</v>
      </c>
      <c r="D4113" s="6" t="s">
        <v>2305</v>
      </c>
      <c r="G4113" s="6">
        <v>90</v>
      </c>
      <c r="H4113" s="6">
        <v>190</v>
      </c>
      <c r="I4113" s="9"/>
      <c r="J4113" s="9"/>
      <c r="K4113" s="9">
        <v>44008426</v>
      </c>
      <c r="L4113" s="6" t="str">
        <f t="shared" ref="L4113:L4128" si="398">B4113&amp;" "&amp;C4113&amp;" "&amp;D4113&amp;" "&amp;G4113&amp;"x"&amp;H4113</f>
        <v>1D  DIMMAX BAZA + BAŞLIK + TRAVERS 90x190</v>
      </c>
      <c r="M4113" s="12">
        <v>0.5</v>
      </c>
      <c r="N4113" s="12">
        <v>0.5</v>
      </c>
      <c r="O4113" s="12">
        <v>13100</v>
      </c>
      <c r="P4113" s="12">
        <f t="shared" si="395"/>
        <v>6550</v>
      </c>
      <c r="Q4113" s="12">
        <f t="shared" si="393"/>
        <v>13755</v>
      </c>
      <c r="R4113" s="33">
        <f t="shared" si="396"/>
        <v>13700</v>
      </c>
      <c r="T4113" s="12"/>
      <c r="U4113" s="12"/>
      <c r="V4113" s="12"/>
      <c r="W4113" s="12"/>
    </row>
    <row r="4114" spans="1:23" s="6" customFormat="1" ht="21.95" customHeight="1" x14ac:dyDescent="0.2">
      <c r="A4114" s="6" t="s">
        <v>943</v>
      </c>
      <c r="B4114" s="6" t="s">
        <v>1597</v>
      </c>
      <c r="C4114" s="6" t="s">
        <v>1394</v>
      </c>
      <c r="D4114" s="6" t="s">
        <v>2305</v>
      </c>
      <c r="G4114" s="6">
        <v>90</v>
      </c>
      <c r="H4114" s="6">
        <v>200</v>
      </c>
      <c r="I4114" s="9"/>
      <c r="J4114" s="9"/>
      <c r="K4114" s="9">
        <v>44008427</v>
      </c>
      <c r="L4114" s="6" t="str">
        <f t="shared" si="398"/>
        <v>1D  DIMMAX BAZA + BAŞLIK + TRAVERS 90x200</v>
      </c>
      <c r="M4114" s="12">
        <v>0.5</v>
      </c>
      <c r="N4114" s="12">
        <v>0.5</v>
      </c>
      <c r="O4114" s="12">
        <v>13800</v>
      </c>
      <c r="P4114" s="12">
        <f t="shared" si="395"/>
        <v>6900</v>
      </c>
      <c r="Q4114" s="12">
        <f t="shared" si="393"/>
        <v>14490</v>
      </c>
      <c r="R4114" s="33">
        <f t="shared" si="396"/>
        <v>14400</v>
      </c>
      <c r="T4114" s="12"/>
      <c r="U4114" s="12"/>
      <c r="V4114" s="12"/>
      <c r="W4114" s="12"/>
    </row>
    <row r="4115" spans="1:23" s="6" customFormat="1" ht="21.95" customHeight="1" x14ac:dyDescent="0.2">
      <c r="A4115" s="6" t="s">
        <v>943</v>
      </c>
      <c r="B4115" s="6" t="s">
        <v>1597</v>
      </c>
      <c r="C4115" s="6" t="s">
        <v>1394</v>
      </c>
      <c r="D4115" s="6" t="s">
        <v>2305</v>
      </c>
      <c r="G4115" s="6">
        <v>100</v>
      </c>
      <c r="H4115" s="6">
        <v>200</v>
      </c>
      <c r="I4115" s="9"/>
      <c r="J4115" s="9"/>
      <c r="K4115" s="9">
        <v>44008428</v>
      </c>
      <c r="L4115" s="6" t="str">
        <f t="shared" si="398"/>
        <v>1D  DIMMAX BAZA + BAŞLIK + TRAVERS 100x200</v>
      </c>
      <c r="M4115" s="12">
        <v>0.5</v>
      </c>
      <c r="N4115" s="12">
        <v>0.5</v>
      </c>
      <c r="O4115" s="12">
        <v>15400</v>
      </c>
      <c r="P4115" s="12">
        <f t="shared" si="395"/>
        <v>7700</v>
      </c>
      <c r="Q4115" s="12">
        <f t="shared" ref="Q4115:Q4178" si="399">O4115*(1-N4115)*2.1</f>
        <v>16170</v>
      </c>
      <c r="R4115" s="33">
        <f t="shared" si="396"/>
        <v>16100</v>
      </c>
      <c r="T4115" s="12"/>
      <c r="U4115" s="12"/>
      <c r="V4115" s="12"/>
      <c r="W4115" s="12"/>
    </row>
    <row r="4116" spans="1:23" s="6" customFormat="1" ht="21.95" customHeight="1" x14ac:dyDescent="0.2">
      <c r="A4116" s="6" t="s">
        <v>943</v>
      </c>
      <c r="B4116" s="6" t="s">
        <v>1597</v>
      </c>
      <c r="C4116" s="6" t="s">
        <v>1394</v>
      </c>
      <c r="D4116" s="6" t="s">
        <v>2305</v>
      </c>
      <c r="G4116" s="6">
        <v>120</v>
      </c>
      <c r="H4116" s="6">
        <v>200</v>
      </c>
      <c r="I4116" s="9"/>
      <c r="J4116" s="9"/>
      <c r="K4116" s="9">
        <v>44008429</v>
      </c>
      <c r="L4116" s="6" t="str">
        <f t="shared" si="398"/>
        <v>1D  DIMMAX BAZA + BAŞLIK + TRAVERS 120x200</v>
      </c>
      <c r="M4116" s="12">
        <v>0.5</v>
      </c>
      <c r="N4116" s="12">
        <v>0.5</v>
      </c>
      <c r="O4116" s="12">
        <v>18500</v>
      </c>
      <c r="P4116" s="12">
        <f t="shared" si="395"/>
        <v>9250</v>
      </c>
      <c r="Q4116" s="12">
        <f t="shared" si="399"/>
        <v>19425</v>
      </c>
      <c r="R4116" s="33">
        <f t="shared" si="396"/>
        <v>19400</v>
      </c>
      <c r="T4116" s="12"/>
      <c r="U4116" s="12"/>
      <c r="V4116" s="12"/>
      <c r="W4116" s="12"/>
    </row>
    <row r="4117" spans="1:23" s="6" customFormat="1" ht="21.95" customHeight="1" x14ac:dyDescent="0.2">
      <c r="A4117" s="6" t="s">
        <v>943</v>
      </c>
      <c r="B4117" s="6" t="s">
        <v>1597</v>
      </c>
      <c r="C4117" s="6" t="s">
        <v>1394</v>
      </c>
      <c r="D4117" s="6" t="s">
        <v>2305</v>
      </c>
      <c r="G4117" s="6">
        <v>140</v>
      </c>
      <c r="H4117" s="6">
        <v>200</v>
      </c>
      <c r="I4117" s="9"/>
      <c r="J4117" s="9"/>
      <c r="K4117" s="9">
        <v>44008430</v>
      </c>
      <c r="L4117" s="6" t="str">
        <f t="shared" si="398"/>
        <v>1D  DIMMAX BAZA + BAŞLIK + TRAVERS 140x200</v>
      </c>
      <c r="M4117" s="12">
        <v>0.5</v>
      </c>
      <c r="N4117" s="12">
        <v>0.5</v>
      </c>
      <c r="O4117" s="12">
        <v>21500</v>
      </c>
      <c r="P4117" s="12">
        <f t="shared" si="395"/>
        <v>10750</v>
      </c>
      <c r="Q4117" s="12">
        <f t="shared" si="399"/>
        <v>22575</v>
      </c>
      <c r="R4117" s="33">
        <f t="shared" si="396"/>
        <v>22500</v>
      </c>
      <c r="T4117" s="12"/>
      <c r="U4117" s="12"/>
      <c r="V4117" s="12"/>
      <c r="W4117" s="12"/>
    </row>
    <row r="4118" spans="1:23" s="6" customFormat="1" ht="21.95" customHeight="1" x14ac:dyDescent="0.2">
      <c r="A4118" s="6" t="s">
        <v>943</v>
      </c>
      <c r="B4118" s="6" t="s">
        <v>1597</v>
      </c>
      <c r="C4118" s="6" t="s">
        <v>1394</v>
      </c>
      <c r="D4118" s="6" t="s">
        <v>2305</v>
      </c>
      <c r="G4118" s="6">
        <v>150</v>
      </c>
      <c r="H4118" s="6">
        <v>200</v>
      </c>
      <c r="I4118" s="9"/>
      <c r="J4118" s="9"/>
      <c r="K4118" s="9">
        <v>44008431</v>
      </c>
      <c r="L4118" s="6" t="str">
        <f t="shared" si="398"/>
        <v>1D  DIMMAX BAZA + BAŞLIK + TRAVERS 150x200</v>
      </c>
      <c r="M4118" s="12">
        <v>0.5</v>
      </c>
      <c r="N4118" s="12">
        <v>0.5</v>
      </c>
      <c r="O4118" s="12">
        <v>23100</v>
      </c>
      <c r="P4118" s="12">
        <f t="shared" si="395"/>
        <v>11550</v>
      </c>
      <c r="Q4118" s="12">
        <f t="shared" si="399"/>
        <v>24255</v>
      </c>
      <c r="R4118" s="33">
        <f t="shared" si="396"/>
        <v>24200</v>
      </c>
      <c r="T4118" s="12"/>
      <c r="U4118" s="12"/>
      <c r="V4118" s="12"/>
      <c r="W4118" s="12"/>
    </row>
    <row r="4119" spans="1:23" s="6" customFormat="1" ht="21.95" customHeight="1" x14ac:dyDescent="0.2">
      <c r="A4119" s="6" t="s">
        <v>943</v>
      </c>
      <c r="B4119" s="6" t="s">
        <v>1597</v>
      </c>
      <c r="C4119" s="6" t="s">
        <v>1394</v>
      </c>
      <c r="D4119" s="6" t="s">
        <v>2305</v>
      </c>
      <c r="G4119" s="6">
        <v>160</v>
      </c>
      <c r="H4119" s="6">
        <v>200</v>
      </c>
      <c r="I4119" s="9"/>
      <c r="J4119" s="9"/>
      <c r="K4119" s="9">
        <v>44008432</v>
      </c>
      <c r="L4119" s="6" t="str">
        <f t="shared" si="398"/>
        <v>1D  DIMMAX BAZA + BAŞLIK + TRAVERS 160x200</v>
      </c>
      <c r="M4119" s="12">
        <v>0.5</v>
      </c>
      <c r="N4119" s="12">
        <v>0.5</v>
      </c>
      <c r="O4119" s="12">
        <v>24600</v>
      </c>
      <c r="P4119" s="12">
        <f t="shared" si="395"/>
        <v>12300</v>
      </c>
      <c r="Q4119" s="12">
        <f t="shared" si="399"/>
        <v>25830</v>
      </c>
      <c r="R4119" s="33">
        <f t="shared" si="396"/>
        <v>25800</v>
      </c>
      <c r="T4119" s="12"/>
      <c r="U4119" s="12"/>
      <c r="V4119" s="12"/>
      <c r="W4119" s="12"/>
    </row>
    <row r="4120" spans="1:23" s="6" customFormat="1" ht="21.95" customHeight="1" x14ac:dyDescent="0.2">
      <c r="A4120" s="6" t="s">
        <v>943</v>
      </c>
      <c r="B4120" s="6" t="s">
        <v>1597</v>
      </c>
      <c r="C4120" s="6" t="s">
        <v>1394</v>
      </c>
      <c r="D4120" s="6" t="s">
        <v>2305</v>
      </c>
      <c r="G4120" s="6">
        <v>180</v>
      </c>
      <c r="H4120" s="6">
        <v>200</v>
      </c>
      <c r="I4120" s="9"/>
      <c r="J4120" s="9"/>
      <c r="K4120" s="9">
        <v>44008433</v>
      </c>
      <c r="L4120" s="6" t="str">
        <f t="shared" si="398"/>
        <v>1D  DIMMAX BAZA + BAŞLIK + TRAVERS 180x200</v>
      </c>
      <c r="M4120" s="12">
        <v>0.5</v>
      </c>
      <c r="N4120" s="12">
        <v>0.5</v>
      </c>
      <c r="O4120" s="12">
        <v>27700</v>
      </c>
      <c r="P4120" s="12">
        <f t="shared" si="395"/>
        <v>13850</v>
      </c>
      <c r="Q4120" s="12">
        <f t="shared" si="399"/>
        <v>29085</v>
      </c>
      <c r="R4120" s="33">
        <f t="shared" si="396"/>
        <v>29000</v>
      </c>
      <c r="T4120" s="12"/>
      <c r="U4120" s="12"/>
      <c r="V4120" s="12"/>
      <c r="W4120" s="12"/>
    </row>
    <row r="4121" spans="1:23" s="6" customFormat="1" ht="21.95" customHeight="1" x14ac:dyDescent="0.2">
      <c r="A4121" s="6" t="s">
        <v>943</v>
      </c>
      <c r="B4121" s="6" t="s">
        <v>1597</v>
      </c>
      <c r="C4121" s="6" t="s">
        <v>1394</v>
      </c>
      <c r="D4121" s="6" t="s">
        <v>943</v>
      </c>
      <c r="G4121" s="6">
        <v>90</v>
      </c>
      <c r="H4121" s="6">
        <v>190</v>
      </c>
      <c r="I4121" s="9"/>
      <c r="J4121" s="9"/>
      <c r="K4121" s="9">
        <v>44008434</v>
      </c>
      <c r="L4121" s="6" t="str">
        <f t="shared" si="398"/>
        <v>1D  DIMMAX YATAK  90x190</v>
      </c>
      <c r="M4121" s="12">
        <v>0.5</v>
      </c>
      <c r="N4121" s="12">
        <v>0.5</v>
      </c>
      <c r="O4121" s="12">
        <v>13800</v>
      </c>
      <c r="P4121" s="12">
        <f t="shared" si="395"/>
        <v>6900</v>
      </c>
      <c r="Q4121" s="12">
        <f t="shared" si="399"/>
        <v>14490</v>
      </c>
      <c r="R4121" s="33">
        <f t="shared" si="396"/>
        <v>14400</v>
      </c>
      <c r="T4121" s="12"/>
      <c r="U4121" s="12"/>
      <c r="V4121" s="12"/>
      <c r="W4121" s="12"/>
    </row>
    <row r="4122" spans="1:23" s="6" customFormat="1" ht="21.95" customHeight="1" x14ac:dyDescent="0.2">
      <c r="A4122" s="6" t="s">
        <v>943</v>
      </c>
      <c r="B4122" s="6" t="s">
        <v>1597</v>
      </c>
      <c r="C4122" s="6" t="s">
        <v>1394</v>
      </c>
      <c r="D4122" s="6" t="s">
        <v>943</v>
      </c>
      <c r="G4122" s="6">
        <v>90</v>
      </c>
      <c r="H4122" s="6">
        <v>200</v>
      </c>
      <c r="I4122" s="9"/>
      <c r="J4122" s="9"/>
      <c r="K4122" s="9">
        <v>44008435</v>
      </c>
      <c r="L4122" s="6" t="str">
        <f t="shared" si="398"/>
        <v>1D  DIMMAX YATAK  90x200</v>
      </c>
      <c r="M4122" s="12">
        <v>0.5</v>
      </c>
      <c r="N4122" s="12">
        <v>0.5</v>
      </c>
      <c r="O4122" s="12">
        <v>14600</v>
      </c>
      <c r="P4122" s="12">
        <f t="shared" si="395"/>
        <v>7300</v>
      </c>
      <c r="Q4122" s="12">
        <f t="shared" si="399"/>
        <v>15330</v>
      </c>
      <c r="R4122" s="33">
        <f t="shared" si="396"/>
        <v>15300</v>
      </c>
      <c r="T4122" s="12"/>
      <c r="U4122" s="12"/>
      <c r="V4122" s="12"/>
      <c r="W4122" s="12"/>
    </row>
    <row r="4123" spans="1:23" s="6" customFormat="1" ht="21.95" customHeight="1" x14ac:dyDescent="0.2">
      <c r="A4123" s="6" t="s">
        <v>943</v>
      </c>
      <c r="B4123" s="6" t="s">
        <v>1597</v>
      </c>
      <c r="C4123" s="6" t="s">
        <v>1394</v>
      </c>
      <c r="D4123" s="6" t="s">
        <v>943</v>
      </c>
      <c r="G4123" s="6">
        <v>100</v>
      </c>
      <c r="H4123" s="6">
        <v>200</v>
      </c>
      <c r="I4123" s="9"/>
      <c r="J4123" s="9"/>
      <c r="K4123" s="9">
        <v>44008436</v>
      </c>
      <c r="L4123" s="6" t="str">
        <f t="shared" si="398"/>
        <v>1D  DIMMAX YATAK  100x200</v>
      </c>
      <c r="M4123" s="12">
        <v>0.5</v>
      </c>
      <c r="N4123" s="12">
        <v>0.5</v>
      </c>
      <c r="O4123" s="12">
        <v>16200</v>
      </c>
      <c r="P4123" s="12">
        <f t="shared" si="395"/>
        <v>8100</v>
      </c>
      <c r="Q4123" s="12">
        <f t="shared" si="399"/>
        <v>17010</v>
      </c>
      <c r="R4123" s="33">
        <f t="shared" si="396"/>
        <v>17000</v>
      </c>
      <c r="T4123" s="12"/>
      <c r="U4123" s="12"/>
      <c r="V4123" s="12"/>
      <c r="W4123" s="12"/>
    </row>
    <row r="4124" spans="1:23" s="6" customFormat="1" ht="21.95" customHeight="1" x14ac:dyDescent="0.2">
      <c r="A4124" s="6" t="s">
        <v>943</v>
      </c>
      <c r="B4124" s="6" t="s">
        <v>1597</v>
      </c>
      <c r="C4124" s="6" t="s">
        <v>1394</v>
      </c>
      <c r="D4124" s="6" t="s">
        <v>943</v>
      </c>
      <c r="G4124" s="6">
        <v>120</v>
      </c>
      <c r="H4124" s="6">
        <v>200</v>
      </c>
      <c r="I4124" s="9"/>
      <c r="J4124" s="9"/>
      <c r="K4124" s="9">
        <v>44008437</v>
      </c>
      <c r="L4124" s="6" t="str">
        <f t="shared" si="398"/>
        <v>1D  DIMMAX YATAK  120x200</v>
      </c>
      <c r="M4124" s="12">
        <v>0.5</v>
      </c>
      <c r="N4124" s="12">
        <v>0.5</v>
      </c>
      <c r="O4124" s="12">
        <v>19400</v>
      </c>
      <c r="P4124" s="12">
        <f t="shared" si="395"/>
        <v>9700</v>
      </c>
      <c r="Q4124" s="12">
        <f t="shared" si="399"/>
        <v>20370</v>
      </c>
      <c r="R4124" s="33">
        <f t="shared" si="396"/>
        <v>20300</v>
      </c>
      <c r="T4124" s="12"/>
      <c r="U4124" s="12"/>
      <c r="V4124" s="12"/>
      <c r="W4124" s="12"/>
    </row>
    <row r="4125" spans="1:23" s="6" customFormat="1" ht="21.95" customHeight="1" x14ac:dyDescent="0.2">
      <c r="A4125" s="6" t="s">
        <v>943</v>
      </c>
      <c r="B4125" s="6" t="s">
        <v>1597</v>
      </c>
      <c r="C4125" s="6" t="s">
        <v>1394</v>
      </c>
      <c r="D4125" s="6" t="s">
        <v>943</v>
      </c>
      <c r="G4125" s="6">
        <v>140</v>
      </c>
      <c r="H4125" s="6">
        <v>200</v>
      </c>
      <c r="I4125" s="9"/>
      <c r="J4125" s="9"/>
      <c r="K4125" s="9">
        <v>44008438</v>
      </c>
      <c r="L4125" s="6" t="str">
        <f t="shared" si="398"/>
        <v>1D  DIMMAX YATAK  140x200</v>
      </c>
      <c r="M4125" s="12">
        <v>0.5</v>
      </c>
      <c r="N4125" s="12">
        <v>0.5</v>
      </c>
      <c r="O4125" s="12">
        <v>22700</v>
      </c>
      <c r="P4125" s="12">
        <f t="shared" si="395"/>
        <v>11350</v>
      </c>
      <c r="Q4125" s="12">
        <f t="shared" si="399"/>
        <v>23835</v>
      </c>
      <c r="R4125" s="33">
        <f t="shared" si="396"/>
        <v>23800</v>
      </c>
      <c r="T4125" s="12"/>
      <c r="U4125" s="12"/>
      <c r="V4125" s="12"/>
      <c r="W4125" s="12"/>
    </row>
    <row r="4126" spans="1:23" s="6" customFormat="1" ht="21.95" customHeight="1" x14ac:dyDescent="0.2">
      <c r="A4126" s="6" t="s">
        <v>943</v>
      </c>
      <c r="B4126" s="6" t="s">
        <v>1597</v>
      </c>
      <c r="C4126" s="6" t="s">
        <v>1394</v>
      </c>
      <c r="D4126" s="6" t="s">
        <v>943</v>
      </c>
      <c r="G4126" s="6">
        <v>150</v>
      </c>
      <c r="H4126" s="6">
        <v>200</v>
      </c>
      <c r="I4126" s="9"/>
      <c r="J4126" s="9"/>
      <c r="K4126" s="9">
        <v>44008439</v>
      </c>
      <c r="L4126" s="6" t="str">
        <f t="shared" si="398"/>
        <v>1D  DIMMAX YATAK  150x200</v>
      </c>
      <c r="M4126" s="12">
        <v>0.5</v>
      </c>
      <c r="N4126" s="12">
        <v>0.5</v>
      </c>
      <c r="O4126" s="12">
        <v>24300</v>
      </c>
      <c r="P4126" s="12">
        <f t="shared" si="395"/>
        <v>12150</v>
      </c>
      <c r="Q4126" s="12">
        <f t="shared" si="399"/>
        <v>25515</v>
      </c>
      <c r="R4126" s="33">
        <f t="shared" si="396"/>
        <v>25500</v>
      </c>
      <c r="T4126" s="12"/>
      <c r="U4126" s="12"/>
      <c r="V4126" s="12"/>
      <c r="W4126" s="12"/>
    </row>
    <row r="4127" spans="1:23" s="6" customFormat="1" ht="21.95" customHeight="1" x14ac:dyDescent="0.2">
      <c r="A4127" s="6" t="s">
        <v>943</v>
      </c>
      <c r="B4127" s="6" t="s">
        <v>1597</v>
      </c>
      <c r="C4127" s="6" t="s">
        <v>1394</v>
      </c>
      <c r="D4127" s="6" t="s">
        <v>943</v>
      </c>
      <c r="G4127" s="6">
        <v>160</v>
      </c>
      <c r="H4127" s="6">
        <v>200</v>
      </c>
      <c r="I4127" s="9"/>
      <c r="J4127" s="9"/>
      <c r="K4127" s="9">
        <v>44008440</v>
      </c>
      <c r="L4127" s="6" t="str">
        <f t="shared" si="398"/>
        <v>1D  DIMMAX YATAK  160x200</v>
      </c>
      <c r="M4127" s="12">
        <v>0.5</v>
      </c>
      <c r="N4127" s="12">
        <v>0.5</v>
      </c>
      <c r="O4127" s="12">
        <v>25900</v>
      </c>
      <c r="P4127" s="12">
        <f t="shared" si="395"/>
        <v>12950</v>
      </c>
      <c r="Q4127" s="12">
        <f t="shared" si="399"/>
        <v>27195</v>
      </c>
      <c r="R4127" s="33">
        <f t="shared" si="396"/>
        <v>27100</v>
      </c>
      <c r="T4127" s="12"/>
      <c r="U4127" s="12"/>
      <c r="V4127" s="12"/>
      <c r="W4127" s="12"/>
    </row>
    <row r="4128" spans="1:23" s="6" customFormat="1" ht="21.95" customHeight="1" x14ac:dyDescent="0.2">
      <c r="A4128" s="6" t="s">
        <v>943</v>
      </c>
      <c r="B4128" s="6" t="s">
        <v>1597</v>
      </c>
      <c r="C4128" s="6" t="s">
        <v>1394</v>
      </c>
      <c r="D4128" s="6" t="s">
        <v>943</v>
      </c>
      <c r="G4128" s="6">
        <v>180</v>
      </c>
      <c r="H4128" s="6">
        <v>200</v>
      </c>
      <c r="I4128" s="9"/>
      <c r="J4128" s="9"/>
      <c r="K4128" s="9">
        <v>44008441</v>
      </c>
      <c r="L4128" s="6" t="str">
        <f t="shared" si="398"/>
        <v>1D  DIMMAX YATAK  180x200</v>
      </c>
      <c r="M4128" s="12">
        <v>0.5</v>
      </c>
      <c r="N4128" s="12">
        <v>0.5</v>
      </c>
      <c r="O4128" s="12">
        <v>29100</v>
      </c>
      <c r="P4128" s="12">
        <f t="shared" si="395"/>
        <v>14550</v>
      </c>
      <c r="Q4128" s="12">
        <f t="shared" si="399"/>
        <v>30555</v>
      </c>
      <c r="R4128" s="33">
        <f t="shared" si="396"/>
        <v>30500</v>
      </c>
      <c r="T4128" s="12"/>
      <c r="U4128" s="12"/>
      <c r="V4128" s="12"/>
      <c r="W4128" s="12"/>
    </row>
    <row r="4129" spans="1:23" s="6" customFormat="1" ht="21.95" customHeight="1" x14ac:dyDescent="0.2">
      <c r="A4129" s="6" t="s">
        <v>943</v>
      </c>
      <c r="B4129" s="6" t="s">
        <v>1597</v>
      </c>
      <c r="C4129" s="6" t="s">
        <v>1394</v>
      </c>
      <c r="D4129" s="6" t="s">
        <v>1380</v>
      </c>
      <c r="I4129" s="9"/>
      <c r="J4129" s="9"/>
      <c r="K4129" s="9">
        <v>44008442</v>
      </c>
      <c r="L4129" s="6" t="str">
        <f>B4129&amp;" "&amp;C4129&amp;" "&amp;D4129</f>
        <v>1D  DIMMAX KOMODİN (2 ADET)</v>
      </c>
      <c r="M4129" s="12">
        <v>0.5</v>
      </c>
      <c r="N4129" s="12">
        <v>0.5</v>
      </c>
      <c r="O4129" s="12">
        <v>13200</v>
      </c>
      <c r="P4129" s="12">
        <f t="shared" si="395"/>
        <v>6600</v>
      </c>
      <c r="Q4129" s="12">
        <f t="shared" si="399"/>
        <v>13860</v>
      </c>
      <c r="R4129" s="33">
        <f t="shared" si="396"/>
        <v>13800</v>
      </c>
      <c r="T4129" s="12"/>
      <c r="U4129" s="12"/>
      <c r="V4129" s="12"/>
      <c r="W4129" s="12"/>
    </row>
    <row r="4130" spans="1:23" s="6" customFormat="1" ht="21.95" customHeight="1" x14ac:dyDescent="0.2">
      <c r="A4130" s="6" t="s">
        <v>943</v>
      </c>
      <c r="B4130" s="6" t="s">
        <v>1597</v>
      </c>
      <c r="C4130" s="6" t="s">
        <v>1395</v>
      </c>
      <c r="D4130" s="6" t="s">
        <v>2305</v>
      </c>
      <c r="G4130" s="6">
        <v>90</v>
      </c>
      <c r="H4130" s="6">
        <v>190</v>
      </c>
      <c r="I4130" s="9"/>
      <c r="J4130" s="9"/>
      <c r="K4130" s="9">
        <v>44008451</v>
      </c>
      <c r="L4130" s="6" t="str">
        <f t="shared" ref="L4130:L4145" si="400">B4130&amp;" "&amp;C4130&amp;" "&amp;D4130&amp;" "&amp;G4130&amp;"x"&amp;H4130</f>
        <v>1D  FABER  BAZA + BAŞLIK + TRAVERS 90x190</v>
      </c>
      <c r="M4130" s="12">
        <v>0.5</v>
      </c>
      <c r="N4130" s="12">
        <v>0.5</v>
      </c>
      <c r="O4130" s="12">
        <v>4400</v>
      </c>
      <c r="P4130" s="12">
        <f t="shared" si="395"/>
        <v>2200</v>
      </c>
      <c r="Q4130" s="12">
        <f t="shared" si="399"/>
        <v>4620</v>
      </c>
      <c r="R4130" s="33">
        <f t="shared" si="396"/>
        <v>4600</v>
      </c>
      <c r="T4130" s="12"/>
      <c r="U4130" s="12"/>
      <c r="V4130" s="12"/>
      <c r="W4130" s="12"/>
    </row>
    <row r="4131" spans="1:23" s="6" customFormat="1" ht="21.95" customHeight="1" x14ac:dyDescent="0.2">
      <c r="A4131" s="6" t="s">
        <v>943</v>
      </c>
      <c r="B4131" s="6" t="s">
        <v>1597</v>
      </c>
      <c r="C4131" s="6" t="s">
        <v>1395</v>
      </c>
      <c r="D4131" s="6" t="s">
        <v>2305</v>
      </c>
      <c r="G4131" s="6">
        <v>90</v>
      </c>
      <c r="H4131" s="6">
        <v>200</v>
      </c>
      <c r="I4131" s="9"/>
      <c r="J4131" s="9"/>
      <c r="K4131" s="9">
        <v>44008452</v>
      </c>
      <c r="L4131" s="6" t="str">
        <f t="shared" si="400"/>
        <v>1D  FABER  BAZA + BAŞLIK + TRAVERS 90x200</v>
      </c>
      <c r="M4131" s="12">
        <v>0.5</v>
      </c>
      <c r="N4131" s="12">
        <v>0.5</v>
      </c>
      <c r="O4131" s="12">
        <v>4700</v>
      </c>
      <c r="P4131" s="12">
        <f t="shared" si="395"/>
        <v>2350</v>
      </c>
      <c r="Q4131" s="12">
        <f t="shared" si="399"/>
        <v>4935</v>
      </c>
      <c r="R4131" s="33">
        <f t="shared" si="396"/>
        <v>4900</v>
      </c>
      <c r="T4131" s="12"/>
      <c r="U4131" s="12"/>
      <c r="V4131" s="12"/>
      <c r="W4131" s="12"/>
    </row>
    <row r="4132" spans="1:23" s="6" customFormat="1" ht="21.95" customHeight="1" x14ac:dyDescent="0.2">
      <c r="A4132" s="6" t="s">
        <v>943</v>
      </c>
      <c r="B4132" s="6" t="s">
        <v>1597</v>
      </c>
      <c r="C4132" s="6" t="s">
        <v>1395</v>
      </c>
      <c r="D4132" s="6" t="s">
        <v>2305</v>
      </c>
      <c r="G4132" s="6">
        <v>100</v>
      </c>
      <c r="H4132" s="6">
        <v>200</v>
      </c>
      <c r="I4132" s="9"/>
      <c r="J4132" s="9"/>
      <c r="K4132" s="9">
        <v>44008453</v>
      </c>
      <c r="L4132" s="6" t="str">
        <f t="shared" si="400"/>
        <v>1D  FABER  BAZA + BAŞLIK + TRAVERS 100x200</v>
      </c>
      <c r="M4132" s="12">
        <v>0.5</v>
      </c>
      <c r="N4132" s="12">
        <v>0.5</v>
      </c>
      <c r="O4132" s="12">
        <v>5200</v>
      </c>
      <c r="P4132" s="12">
        <f t="shared" si="395"/>
        <v>2600</v>
      </c>
      <c r="Q4132" s="12">
        <f t="shared" si="399"/>
        <v>5460</v>
      </c>
      <c r="R4132" s="33">
        <f t="shared" si="396"/>
        <v>5400</v>
      </c>
      <c r="T4132" s="12"/>
      <c r="U4132" s="12"/>
      <c r="V4132" s="12"/>
      <c r="W4132" s="12"/>
    </row>
    <row r="4133" spans="1:23" s="6" customFormat="1" ht="21.95" customHeight="1" x14ac:dyDescent="0.2">
      <c r="A4133" s="6" t="s">
        <v>943</v>
      </c>
      <c r="B4133" s="6" t="s">
        <v>1597</v>
      </c>
      <c r="C4133" s="6" t="s">
        <v>1395</v>
      </c>
      <c r="D4133" s="6" t="s">
        <v>2305</v>
      </c>
      <c r="G4133" s="6">
        <v>120</v>
      </c>
      <c r="H4133" s="6">
        <v>200</v>
      </c>
      <c r="I4133" s="9"/>
      <c r="J4133" s="9"/>
      <c r="K4133" s="9">
        <v>44008454</v>
      </c>
      <c r="L4133" s="6" t="str">
        <f t="shared" si="400"/>
        <v>1D  FABER  BAZA + BAŞLIK + TRAVERS 120x200</v>
      </c>
      <c r="M4133" s="12">
        <v>0.5</v>
      </c>
      <c r="N4133" s="12">
        <v>0.5</v>
      </c>
      <c r="O4133" s="12">
        <v>6200</v>
      </c>
      <c r="P4133" s="12">
        <f t="shared" si="395"/>
        <v>3100</v>
      </c>
      <c r="Q4133" s="12">
        <f t="shared" si="399"/>
        <v>6510</v>
      </c>
      <c r="R4133" s="33">
        <f t="shared" si="396"/>
        <v>6500</v>
      </c>
      <c r="T4133" s="12"/>
      <c r="U4133" s="12"/>
      <c r="V4133" s="12"/>
      <c r="W4133" s="12"/>
    </row>
    <row r="4134" spans="1:23" s="6" customFormat="1" ht="21.95" customHeight="1" x14ac:dyDescent="0.2">
      <c r="A4134" s="6" t="s">
        <v>943</v>
      </c>
      <c r="B4134" s="6" t="s">
        <v>1597</v>
      </c>
      <c r="C4134" s="6" t="s">
        <v>1395</v>
      </c>
      <c r="D4134" s="6" t="s">
        <v>2305</v>
      </c>
      <c r="G4134" s="6">
        <v>140</v>
      </c>
      <c r="H4134" s="6">
        <v>200</v>
      </c>
      <c r="I4134" s="9"/>
      <c r="J4134" s="9"/>
      <c r="K4134" s="9">
        <v>44008455</v>
      </c>
      <c r="L4134" s="6" t="str">
        <f t="shared" si="400"/>
        <v>1D  FABER  BAZA + BAŞLIK + TRAVERS 140x200</v>
      </c>
      <c r="M4134" s="12">
        <v>0.5</v>
      </c>
      <c r="N4134" s="12">
        <v>0.5</v>
      </c>
      <c r="O4134" s="12">
        <v>7300</v>
      </c>
      <c r="P4134" s="12">
        <f t="shared" si="395"/>
        <v>3650</v>
      </c>
      <c r="Q4134" s="12">
        <f t="shared" si="399"/>
        <v>7665</v>
      </c>
      <c r="R4134" s="33">
        <f t="shared" si="396"/>
        <v>7600</v>
      </c>
      <c r="T4134" s="12"/>
      <c r="U4134" s="12"/>
      <c r="V4134" s="12"/>
      <c r="W4134" s="12"/>
    </row>
    <row r="4135" spans="1:23" s="6" customFormat="1" ht="21.95" customHeight="1" x14ac:dyDescent="0.2">
      <c r="A4135" s="6" t="s">
        <v>943</v>
      </c>
      <c r="B4135" s="6" t="s">
        <v>1597</v>
      </c>
      <c r="C4135" s="6" t="s">
        <v>1395</v>
      </c>
      <c r="D4135" s="6" t="s">
        <v>2305</v>
      </c>
      <c r="G4135" s="6">
        <v>150</v>
      </c>
      <c r="H4135" s="6">
        <v>200</v>
      </c>
      <c r="I4135" s="9"/>
      <c r="J4135" s="9"/>
      <c r="K4135" s="9">
        <v>44008456</v>
      </c>
      <c r="L4135" s="6" t="str">
        <f t="shared" si="400"/>
        <v>1D  FABER  BAZA + BAŞLIK + TRAVERS 150x200</v>
      </c>
      <c r="M4135" s="12">
        <v>0.5</v>
      </c>
      <c r="N4135" s="12">
        <v>0.5</v>
      </c>
      <c r="O4135" s="12">
        <v>7800</v>
      </c>
      <c r="P4135" s="12">
        <f t="shared" si="395"/>
        <v>3900</v>
      </c>
      <c r="Q4135" s="12">
        <f t="shared" si="399"/>
        <v>8190</v>
      </c>
      <c r="R4135" s="33">
        <f t="shared" si="396"/>
        <v>8100</v>
      </c>
      <c r="T4135" s="12"/>
      <c r="U4135" s="12"/>
      <c r="V4135" s="12"/>
      <c r="W4135" s="12"/>
    </row>
    <row r="4136" spans="1:23" s="6" customFormat="1" ht="21.95" customHeight="1" x14ac:dyDescent="0.2">
      <c r="A4136" s="6" t="s">
        <v>943</v>
      </c>
      <c r="B4136" s="6" t="s">
        <v>1597</v>
      </c>
      <c r="C4136" s="6" t="s">
        <v>1395</v>
      </c>
      <c r="D4136" s="6" t="s">
        <v>2305</v>
      </c>
      <c r="G4136" s="6">
        <v>160</v>
      </c>
      <c r="H4136" s="6">
        <v>200</v>
      </c>
      <c r="I4136" s="9"/>
      <c r="J4136" s="9"/>
      <c r="K4136" s="9">
        <v>44008457</v>
      </c>
      <c r="L4136" s="6" t="str">
        <f t="shared" si="400"/>
        <v>1D  FABER  BAZA + BAŞLIK + TRAVERS 160x200</v>
      </c>
      <c r="M4136" s="12">
        <v>0.5</v>
      </c>
      <c r="N4136" s="12">
        <v>0.5</v>
      </c>
      <c r="O4136" s="12">
        <v>8300</v>
      </c>
      <c r="P4136" s="12">
        <f t="shared" si="395"/>
        <v>4150</v>
      </c>
      <c r="Q4136" s="12">
        <f t="shared" si="399"/>
        <v>8715</v>
      </c>
      <c r="R4136" s="33">
        <f t="shared" si="396"/>
        <v>8700</v>
      </c>
      <c r="T4136" s="12"/>
      <c r="U4136" s="12"/>
      <c r="V4136" s="12"/>
      <c r="W4136" s="12"/>
    </row>
    <row r="4137" spans="1:23" s="6" customFormat="1" ht="21.95" customHeight="1" x14ac:dyDescent="0.2">
      <c r="A4137" s="6" t="s">
        <v>943</v>
      </c>
      <c r="B4137" s="6" t="s">
        <v>1597</v>
      </c>
      <c r="C4137" s="6" t="s">
        <v>1395</v>
      </c>
      <c r="D4137" s="6" t="s">
        <v>2305</v>
      </c>
      <c r="G4137" s="6">
        <v>180</v>
      </c>
      <c r="H4137" s="6">
        <v>200</v>
      </c>
      <c r="I4137" s="9"/>
      <c r="J4137" s="9"/>
      <c r="K4137" s="9">
        <v>44008458</v>
      </c>
      <c r="L4137" s="6" t="str">
        <f t="shared" si="400"/>
        <v>1D  FABER  BAZA + BAŞLIK + TRAVERS 180x200</v>
      </c>
      <c r="M4137" s="12">
        <v>0.5</v>
      </c>
      <c r="N4137" s="12">
        <v>0.5</v>
      </c>
      <c r="O4137" s="12">
        <v>9300</v>
      </c>
      <c r="P4137" s="12">
        <f t="shared" si="395"/>
        <v>4650</v>
      </c>
      <c r="Q4137" s="12">
        <f t="shared" si="399"/>
        <v>9765</v>
      </c>
      <c r="R4137" s="33">
        <f t="shared" si="396"/>
        <v>9700</v>
      </c>
      <c r="T4137" s="12"/>
      <c r="U4137" s="12"/>
      <c r="V4137" s="12"/>
      <c r="W4137" s="12"/>
    </row>
    <row r="4138" spans="1:23" s="6" customFormat="1" ht="21.95" customHeight="1" x14ac:dyDescent="0.2">
      <c r="A4138" s="6" t="s">
        <v>943</v>
      </c>
      <c r="B4138" s="6" t="s">
        <v>1597</v>
      </c>
      <c r="C4138" s="6" t="s">
        <v>1395</v>
      </c>
      <c r="D4138" s="6" t="s">
        <v>943</v>
      </c>
      <c r="G4138" s="6">
        <v>90</v>
      </c>
      <c r="H4138" s="6">
        <v>190</v>
      </c>
      <c r="I4138" s="9"/>
      <c r="J4138" s="9"/>
      <c r="K4138" s="9">
        <v>44008459</v>
      </c>
      <c r="L4138" s="6" t="str">
        <f t="shared" si="400"/>
        <v>1D  FABER  YATAK  90x190</v>
      </c>
      <c r="M4138" s="12">
        <v>0.5</v>
      </c>
      <c r="N4138" s="12">
        <v>0.5</v>
      </c>
      <c r="O4138" s="12">
        <v>10200</v>
      </c>
      <c r="P4138" s="12">
        <f t="shared" si="395"/>
        <v>5100</v>
      </c>
      <c r="Q4138" s="12">
        <f t="shared" si="399"/>
        <v>10710</v>
      </c>
      <c r="R4138" s="33">
        <f t="shared" si="396"/>
        <v>10700</v>
      </c>
      <c r="T4138" s="12"/>
      <c r="U4138" s="12"/>
      <c r="V4138" s="12"/>
      <c r="W4138" s="12"/>
    </row>
    <row r="4139" spans="1:23" s="6" customFormat="1" ht="21.95" customHeight="1" x14ac:dyDescent="0.2">
      <c r="A4139" s="6" t="s">
        <v>943</v>
      </c>
      <c r="B4139" s="6" t="s">
        <v>1597</v>
      </c>
      <c r="C4139" s="6" t="s">
        <v>1395</v>
      </c>
      <c r="D4139" s="6" t="s">
        <v>943</v>
      </c>
      <c r="G4139" s="6">
        <v>90</v>
      </c>
      <c r="H4139" s="6">
        <v>200</v>
      </c>
      <c r="I4139" s="9"/>
      <c r="J4139" s="9"/>
      <c r="K4139" s="9">
        <v>44008460</v>
      </c>
      <c r="L4139" s="6" t="str">
        <f t="shared" si="400"/>
        <v>1D  FABER  YATAK  90x200</v>
      </c>
      <c r="M4139" s="12">
        <v>0.5</v>
      </c>
      <c r="N4139" s="12">
        <v>0.5</v>
      </c>
      <c r="O4139" s="12">
        <v>10700</v>
      </c>
      <c r="P4139" s="12">
        <f t="shared" si="395"/>
        <v>5350</v>
      </c>
      <c r="Q4139" s="12">
        <f t="shared" si="399"/>
        <v>11235</v>
      </c>
      <c r="R4139" s="33">
        <f t="shared" si="396"/>
        <v>11200</v>
      </c>
      <c r="T4139" s="12"/>
      <c r="U4139" s="12"/>
      <c r="V4139" s="12"/>
      <c r="W4139" s="12"/>
    </row>
    <row r="4140" spans="1:23" s="6" customFormat="1" ht="21.95" customHeight="1" x14ac:dyDescent="0.2">
      <c r="A4140" s="6" t="s">
        <v>943</v>
      </c>
      <c r="B4140" s="6" t="s">
        <v>1597</v>
      </c>
      <c r="C4140" s="6" t="s">
        <v>1395</v>
      </c>
      <c r="D4140" s="6" t="s">
        <v>943</v>
      </c>
      <c r="G4140" s="6">
        <v>100</v>
      </c>
      <c r="H4140" s="6">
        <v>200</v>
      </c>
      <c r="I4140" s="9"/>
      <c r="J4140" s="9"/>
      <c r="K4140" s="9">
        <v>44008461</v>
      </c>
      <c r="L4140" s="6" t="str">
        <f t="shared" si="400"/>
        <v>1D  FABER  YATAK  100x200</v>
      </c>
      <c r="M4140" s="12">
        <v>0.5</v>
      </c>
      <c r="N4140" s="12">
        <v>0.5</v>
      </c>
      <c r="O4140" s="12">
        <v>11900</v>
      </c>
      <c r="P4140" s="12">
        <f t="shared" si="395"/>
        <v>5950</v>
      </c>
      <c r="Q4140" s="12">
        <f t="shared" si="399"/>
        <v>12495</v>
      </c>
      <c r="R4140" s="33">
        <f t="shared" si="396"/>
        <v>12400</v>
      </c>
      <c r="T4140" s="12"/>
      <c r="U4140" s="12"/>
      <c r="V4140" s="12"/>
      <c r="W4140" s="12"/>
    </row>
    <row r="4141" spans="1:23" s="6" customFormat="1" ht="21.95" customHeight="1" x14ac:dyDescent="0.2">
      <c r="A4141" s="6" t="s">
        <v>943</v>
      </c>
      <c r="B4141" s="6" t="s">
        <v>1597</v>
      </c>
      <c r="C4141" s="6" t="s">
        <v>1395</v>
      </c>
      <c r="D4141" s="6" t="s">
        <v>943</v>
      </c>
      <c r="G4141" s="6">
        <v>120</v>
      </c>
      <c r="H4141" s="6">
        <v>200</v>
      </c>
      <c r="I4141" s="9"/>
      <c r="J4141" s="9"/>
      <c r="K4141" s="9">
        <v>44008462</v>
      </c>
      <c r="L4141" s="6" t="str">
        <f t="shared" si="400"/>
        <v>1D  FABER  YATAK  120x200</v>
      </c>
      <c r="M4141" s="12">
        <v>0.5</v>
      </c>
      <c r="N4141" s="12">
        <v>0.5</v>
      </c>
      <c r="O4141" s="12">
        <v>14300</v>
      </c>
      <c r="P4141" s="12">
        <f t="shared" ref="P4141:P4204" si="401">O4141*(1-N4141)</f>
        <v>7150</v>
      </c>
      <c r="Q4141" s="12">
        <f t="shared" si="399"/>
        <v>15015</v>
      </c>
      <c r="R4141" s="33">
        <f t="shared" ref="R4141:R4204" si="402">ROUNDDOWN(Q4141,-2)</f>
        <v>15000</v>
      </c>
      <c r="T4141" s="12"/>
      <c r="U4141" s="12"/>
      <c r="V4141" s="12"/>
      <c r="W4141" s="12"/>
    </row>
    <row r="4142" spans="1:23" s="6" customFormat="1" ht="21.95" customHeight="1" x14ac:dyDescent="0.2">
      <c r="A4142" s="6" t="s">
        <v>943</v>
      </c>
      <c r="B4142" s="6" t="s">
        <v>1597</v>
      </c>
      <c r="C4142" s="6" t="s">
        <v>1395</v>
      </c>
      <c r="D4142" s="6" t="s">
        <v>943</v>
      </c>
      <c r="G4142" s="6">
        <v>140</v>
      </c>
      <c r="H4142" s="6">
        <v>200</v>
      </c>
      <c r="I4142" s="9"/>
      <c r="J4142" s="9"/>
      <c r="K4142" s="9">
        <v>44008463</v>
      </c>
      <c r="L4142" s="6" t="str">
        <f t="shared" si="400"/>
        <v>1D  FABER  YATAK  140x200</v>
      </c>
      <c r="M4142" s="12">
        <v>0.5</v>
      </c>
      <c r="N4142" s="12">
        <v>0.5</v>
      </c>
      <c r="O4142" s="12">
        <v>16600</v>
      </c>
      <c r="P4142" s="12">
        <f t="shared" si="401"/>
        <v>8300</v>
      </c>
      <c r="Q4142" s="12">
        <f t="shared" si="399"/>
        <v>17430</v>
      </c>
      <c r="R4142" s="33">
        <f t="shared" si="402"/>
        <v>17400</v>
      </c>
      <c r="T4142" s="12"/>
      <c r="U4142" s="12"/>
      <c r="V4142" s="12"/>
      <c r="W4142" s="12"/>
    </row>
    <row r="4143" spans="1:23" s="6" customFormat="1" ht="21.95" customHeight="1" x14ac:dyDescent="0.2">
      <c r="A4143" s="6" t="s">
        <v>943</v>
      </c>
      <c r="B4143" s="6" t="s">
        <v>1597</v>
      </c>
      <c r="C4143" s="6" t="s">
        <v>1395</v>
      </c>
      <c r="D4143" s="6" t="s">
        <v>943</v>
      </c>
      <c r="G4143" s="6">
        <v>150</v>
      </c>
      <c r="H4143" s="6">
        <v>200</v>
      </c>
      <c r="I4143" s="9"/>
      <c r="J4143" s="9"/>
      <c r="K4143" s="9">
        <v>44008464</v>
      </c>
      <c r="L4143" s="6" t="str">
        <f t="shared" si="400"/>
        <v>1D  FABER  YATAK  150x200</v>
      </c>
      <c r="M4143" s="12">
        <v>0.5</v>
      </c>
      <c r="N4143" s="12">
        <v>0.5</v>
      </c>
      <c r="O4143" s="12">
        <v>17800</v>
      </c>
      <c r="P4143" s="12">
        <f t="shared" si="401"/>
        <v>8900</v>
      </c>
      <c r="Q4143" s="12">
        <f t="shared" si="399"/>
        <v>18690</v>
      </c>
      <c r="R4143" s="33">
        <f t="shared" si="402"/>
        <v>18600</v>
      </c>
      <c r="T4143" s="12"/>
      <c r="U4143" s="12"/>
      <c r="V4143" s="12"/>
      <c r="W4143" s="12"/>
    </row>
    <row r="4144" spans="1:23" s="6" customFormat="1" ht="21.95" customHeight="1" x14ac:dyDescent="0.2">
      <c r="A4144" s="6" t="s">
        <v>943</v>
      </c>
      <c r="B4144" s="6" t="s">
        <v>1597</v>
      </c>
      <c r="C4144" s="6" t="s">
        <v>1395</v>
      </c>
      <c r="D4144" s="6" t="s">
        <v>943</v>
      </c>
      <c r="G4144" s="6">
        <v>160</v>
      </c>
      <c r="H4144" s="6">
        <v>200</v>
      </c>
      <c r="I4144" s="9"/>
      <c r="J4144" s="9"/>
      <c r="K4144" s="9">
        <v>44008465</v>
      </c>
      <c r="L4144" s="6" t="str">
        <f t="shared" si="400"/>
        <v>1D  FABER  YATAK  160x200</v>
      </c>
      <c r="M4144" s="12">
        <v>0.5</v>
      </c>
      <c r="N4144" s="12">
        <v>0.5</v>
      </c>
      <c r="O4144" s="12">
        <v>19000</v>
      </c>
      <c r="P4144" s="12">
        <f t="shared" si="401"/>
        <v>9500</v>
      </c>
      <c r="Q4144" s="12">
        <f t="shared" si="399"/>
        <v>19950</v>
      </c>
      <c r="R4144" s="33">
        <f t="shared" si="402"/>
        <v>19900</v>
      </c>
      <c r="T4144" s="12"/>
      <c r="U4144" s="12"/>
      <c r="V4144" s="12"/>
      <c r="W4144" s="12"/>
    </row>
    <row r="4145" spans="1:23" s="6" customFormat="1" ht="21.95" customHeight="1" x14ac:dyDescent="0.2">
      <c r="A4145" s="6" t="s">
        <v>943</v>
      </c>
      <c r="B4145" s="6" t="s">
        <v>1597</v>
      </c>
      <c r="C4145" s="6" t="s">
        <v>1395</v>
      </c>
      <c r="D4145" s="6" t="s">
        <v>943</v>
      </c>
      <c r="G4145" s="6">
        <v>180</v>
      </c>
      <c r="H4145" s="6">
        <v>200</v>
      </c>
      <c r="I4145" s="9"/>
      <c r="J4145" s="9"/>
      <c r="K4145" s="9">
        <v>44008466</v>
      </c>
      <c r="L4145" s="6" t="str">
        <f t="shared" si="400"/>
        <v>1D  FABER  YATAK  180x200</v>
      </c>
      <c r="M4145" s="12">
        <v>0.5</v>
      </c>
      <c r="N4145" s="12">
        <v>0.5</v>
      </c>
      <c r="O4145" s="12">
        <v>21400</v>
      </c>
      <c r="P4145" s="12">
        <f t="shared" si="401"/>
        <v>10700</v>
      </c>
      <c r="Q4145" s="12">
        <f t="shared" si="399"/>
        <v>22470</v>
      </c>
      <c r="R4145" s="33">
        <f t="shared" si="402"/>
        <v>22400</v>
      </c>
      <c r="T4145" s="12"/>
      <c r="U4145" s="12"/>
      <c r="V4145" s="12"/>
      <c r="W4145" s="12"/>
    </row>
    <row r="4146" spans="1:23" s="6" customFormat="1" ht="21.95" customHeight="1" x14ac:dyDescent="0.2">
      <c r="A4146" s="6" t="s">
        <v>943</v>
      </c>
      <c r="B4146" s="6" t="s">
        <v>1597</v>
      </c>
      <c r="C4146" s="6" t="s">
        <v>1395</v>
      </c>
      <c r="D4146" s="6" t="s">
        <v>1380</v>
      </c>
      <c r="I4146" s="9"/>
      <c r="J4146" s="9"/>
      <c r="K4146" s="9">
        <v>44008467</v>
      </c>
      <c r="L4146" s="6" t="str">
        <f>B4146&amp;" "&amp;C4146&amp;" "&amp;D4146</f>
        <v>1D  FABER  KOMODİN (2 ADET)</v>
      </c>
      <c r="M4146" s="12">
        <v>0.5</v>
      </c>
      <c r="N4146" s="12">
        <v>0.5</v>
      </c>
      <c r="O4146" s="12">
        <v>14520</v>
      </c>
      <c r="P4146" s="12">
        <f t="shared" si="401"/>
        <v>7260</v>
      </c>
      <c r="Q4146" s="12">
        <f t="shared" si="399"/>
        <v>15246</v>
      </c>
      <c r="R4146" s="33">
        <f t="shared" si="402"/>
        <v>15200</v>
      </c>
      <c r="T4146" s="12"/>
      <c r="U4146" s="12"/>
      <c r="V4146" s="12"/>
      <c r="W4146" s="12"/>
    </row>
    <row r="4147" spans="1:23" s="6" customFormat="1" ht="21.95" customHeight="1" x14ac:dyDescent="0.2">
      <c r="A4147" s="6" t="s">
        <v>943</v>
      </c>
      <c r="B4147" s="6" t="s">
        <v>1597</v>
      </c>
      <c r="C4147" s="6" t="s">
        <v>1396</v>
      </c>
      <c r="D4147" s="6" t="s">
        <v>989</v>
      </c>
      <c r="G4147" s="6">
        <v>140</v>
      </c>
      <c r="H4147" s="6">
        <v>200</v>
      </c>
      <c r="I4147" s="9"/>
      <c r="J4147" s="9"/>
      <c r="K4147" s="9">
        <v>44008497</v>
      </c>
      <c r="L4147" s="6" t="str">
        <f t="shared" ref="L4147:L4158" si="403">B4147&amp;" "&amp;C4147&amp;" "&amp;D4147&amp;" "&amp;G4147&amp;"x"&amp;H4147</f>
        <v>1D  FLORIDA  BAZA  140x200</v>
      </c>
      <c r="M4147" s="12">
        <v>0.5</v>
      </c>
      <c r="N4147" s="12">
        <v>0.5</v>
      </c>
      <c r="O4147" s="12">
        <v>17300</v>
      </c>
      <c r="P4147" s="12">
        <f t="shared" si="401"/>
        <v>8650</v>
      </c>
      <c r="Q4147" s="12">
        <f t="shared" si="399"/>
        <v>18165</v>
      </c>
      <c r="R4147" s="33">
        <f t="shared" si="402"/>
        <v>18100</v>
      </c>
      <c r="T4147" s="12"/>
      <c r="U4147" s="12"/>
      <c r="V4147" s="12"/>
      <c r="W4147" s="12"/>
    </row>
    <row r="4148" spans="1:23" s="6" customFormat="1" ht="21.95" customHeight="1" x14ac:dyDescent="0.2">
      <c r="A4148" s="6" t="s">
        <v>943</v>
      </c>
      <c r="B4148" s="6" t="s">
        <v>1597</v>
      </c>
      <c r="C4148" s="6" t="s">
        <v>1396</v>
      </c>
      <c r="D4148" s="6" t="s">
        <v>989</v>
      </c>
      <c r="G4148" s="6">
        <v>150</v>
      </c>
      <c r="H4148" s="6">
        <v>200</v>
      </c>
      <c r="I4148" s="9"/>
      <c r="J4148" s="9"/>
      <c r="K4148" s="9">
        <v>44008498</v>
      </c>
      <c r="L4148" s="6" t="str">
        <f t="shared" si="403"/>
        <v>1D  FLORIDA  BAZA  150x200</v>
      </c>
      <c r="M4148" s="12">
        <v>0.5</v>
      </c>
      <c r="N4148" s="12">
        <v>0.5</v>
      </c>
      <c r="O4148" s="12">
        <v>18600</v>
      </c>
      <c r="P4148" s="12">
        <f t="shared" si="401"/>
        <v>9300</v>
      </c>
      <c r="Q4148" s="12">
        <f t="shared" si="399"/>
        <v>19530</v>
      </c>
      <c r="R4148" s="33">
        <f t="shared" si="402"/>
        <v>19500</v>
      </c>
      <c r="T4148" s="12"/>
      <c r="U4148" s="12"/>
      <c r="V4148" s="12"/>
      <c r="W4148" s="12"/>
    </row>
    <row r="4149" spans="1:23" s="6" customFormat="1" ht="21.95" customHeight="1" x14ac:dyDescent="0.2">
      <c r="A4149" s="6" t="s">
        <v>943</v>
      </c>
      <c r="B4149" s="6" t="s">
        <v>1597</v>
      </c>
      <c r="C4149" s="6" t="s">
        <v>1396</v>
      </c>
      <c r="D4149" s="6" t="s">
        <v>989</v>
      </c>
      <c r="G4149" s="6">
        <v>160</v>
      </c>
      <c r="H4149" s="6">
        <v>200</v>
      </c>
      <c r="I4149" s="9"/>
      <c r="J4149" s="9"/>
      <c r="K4149" s="9">
        <v>44008499</v>
      </c>
      <c r="L4149" s="6" t="str">
        <f t="shared" si="403"/>
        <v>1D  FLORIDA  BAZA  160x200</v>
      </c>
      <c r="M4149" s="12">
        <v>0.5</v>
      </c>
      <c r="N4149" s="12">
        <v>0.5</v>
      </c>
      <c r="O4149" s="12">
        <v>19800</v>
      </c>
      <c r="P4149" s="12">
        <f t="shared" si="401"/>
        <v>9900</v>
      </c>
      <c r="Q4149" s="12">
        <f t="shared" si="399"/>
        <v>20790</v>
      </c>
      <c r="R4149" s="33">
        <f t="shared" si="402"/>
        <v>20700</v>
      </c>
      <c r="T4149" s="12"/>
      <c r="U4149" s="12"/>
      <c r="V4149" s="12"/>
      <c r="W4149" s="12"/>
    </row>
    <row r="4150" spans="1:23" s="6" customFormat="1" ht="21.95" customHeight="1" x14ac:dyDescent="0.2">
      <c r="A4150" s="6" t="s">
        <v>943</v>
      </c>
      <c r="B4150" s="6" t="s">
        <v>1597</v>
      </c>
      <c r="C4150" s="6" t="s">
        <v>1396</v>
      </c>
      <c r="D4150" s="6" t="s">
        <v>989</v>
      </c>
      <c r="G4150" s="6">
        <v>180</v>
      </c>
      <c r="H4150" s="6">
        <v>200</v>
      </c>
      <c r="I4150" s="9"/>
      <c r="J4150" s="9"/>
      <c r="K4150" s="9">
        <v>44008500</v>
      </c>
      <c r="L4150" s="6" t="str">
        <f t="shared" si="403"/>
        <v>1D  FLORIDA  BAZA  180x200</v>
      </c>
      <c r="M4150" s="12">
        <v>0.5</v>
      </c>
      <c r="N4150" s="12">
        <v>0.5</v>
      </c>
      <c r="O4150" s="12">
        <v>22300</v>
      </c>
      <c r="P4150" s="12">
        <f t="shared" si="401"/>
        <v>11150</v>
      </c>
      <c r="Q4150" s="12">
        <f t="shared" si="399"/>
        <v>23415</v>
      </c>
      <c r="R4150" s="33">
        <f t="shared" si="402"/>
        <v>23400</v>
      </c>
      <c r="T4150" s="12"/>
      <c r="U4150" s="12"/>
      <c r="V4150" s="12"/>
      <c r="W4150" s="12"/>
    </row>
    <row r="4151" spans="1:23" s="6" customFormat="1" ht="21.95" customHeight="1" x14ac:dyDescent="0.2">
      <c r="A4151" s="6" t="s">
        <v>943</v>
      </c>
      <c r="B4151" s="6" t="s">
        <v>1597</v>
      </c>
      <c r="C4151" s="6" t="s">
        <v>1396</v>
      </c>
      <c r="D4151" s="6" t="s">
        <v>1003</v>
      </c>
      <c r="G4151" s="6">
        <v>140</v>
      </c>
      <c r="H4151" s="6">
        <v>200</v>
      </c>
      <c r="I4151" s="9"/>
      <c r="J4151" s="9"/>
      <c r="K4151" s="9">
        <v>44008505</v>
      </c>
      <c r="L4151" s="6" t="str">
        <f t="shared" si="403"/>
        <v>1D  FLORIDA  BAŞLIK  140x200</v>
      </c>
      <c r="M4151" s="12">
        <v>0.5</v>
      </c>
      <c r="N4151" s="12">
        <v>0.5</v>
      </c>
      <c r="O4151" s="12">
        <v>27600</v>
      </c>
      <c r="P4151" s="12">
        <f t="shared" si="401"/>
        <v>13800</v>
      </c>
      <c r="Q4151" s="12">
        <f t="shared" si="399"/>
        <v>28980</v>
      </c>
      <c r="R4151" s="33">
        <f t="shared" si="402"/>
        <v>28900</v>
      </c>
      <c r="T4151" s="12"/>
      <c r="U4151" s="12"/>
      <c r="V4151" s="12"/>
      <c r="W4151" s="12"/>
    </row>
    <row r="4152" spans="1:23" s="6" customFormat="1" ht="21.95" customHeight="1" x14ac:dyDescent="0.2">
      <c r="A4152" s="6" t="s">
        <v>943</v>
      </c>
      <c r="B4152" s="6" t="s">
        <v>1597</v>
      </c>
      <c r="C4152" s="6" t="s">
        <v>1396</v>
      </c>
      <c r="D4152" s="6" t="s">
        <v>1003</v>
      </c>
      <c r="G4152" s="6">
        <v>150</v>
      </c>
      <c r="H4152" s="6">
        <v>200</v>
      </c>
      <c r="I4152" s="9"/>
      <c r="J4152" s="9"/>
      <c r="K4152" s="9">
        <v>44008506</v>
      </c>
      <c r="L4152" s="6" t="str">
        <f t="shared" si="403"/>
        <v>1D  FLORIDA  BAŞLIK  150x200</v>
      </c>
      <c r="M4152" s="12">
        <v>0.5</v>
      </c>
      <c r="N4152" s="12">
        <v>0.5</v>
      </c>
      <c r="O4152" s="12">
        <v>29500</v>
      </c>
      <c r="P4152" s="12">
        <f t="shared" si="401"/>
        <v>14750</v>
      </c>
      <c r="Q4152" s="12">
        <f t="shared" si="399"/>
        <v>30975</v>
      </c>
      <c r="R4152" s="33">
        <f t="shared" si="402"/>
        <v>30900</v>
      </c>
      <c r="T4152" s="12"/>
      <c r="U4152" s="12"/>
      <c r="V4152" s="12"/>
      <c r="W4152" s="12"/>
    </row>
    <row r="4153" spans="1:23" s="6" customFormat="1" ht="21.95" customHeight="1" x14ac:dyDescent="0.2">
      <c r="A4153" s="6" t="s">
        <v>943</v>
      </c>
      <c r="B4153" s="6" t="s">
        <v>1597</v>
      </c>
      <c r="C4153" s="6" t="s">
        <v>1396</v>
      </c>
      <c r="D4153" s="6" t="s">
        <v>1003</v>
      </c>
      <c r="G4153" s="6">
        <v>160</v>
      </c>
      <c r="H4153" s="6">
        <v>200</v>
      </c>
      <c r="I4153" s="9"/>
      <c r="J4153" s="9"/>
      <c r="K4153" s="9">
        <v>44008507</v>
      </c>
      <c r="L4153" s="6" t="str">
        <f t="shared" si="403"/>
        <v>1D  FLORIDA  BAŞLIK  160x200</v>
      </c>
      <c r="M4153" s="12">
        <v>0.5</v>
      </c>
      <c r="N4153" s="12">
        <v>0.5</v>
      </c>
      <c r="O4153" s="12">
        <v>31500</v>
      </c>
      <c r="P4153" s="12">
        <f t="shared" si="401"/>
        <v>15750</v>
      </c>
      <c r="Q4153" s="12">
        <f t="shared" si="399"/>
        <v>33075</v>
      </c>
      <c r="R4153" s="33">
        <f t="shared" si="402"/>
        <v>33000</v>
      </c>
      <c r="T4153" s="12"/>
      <c r="U4153" s="12"/>
      <c r="V4153" s="12"/>
      <c r="W4153" s="12"/>
    </row>
    <row r="4154" spans="1:23" s="6" customFormat="1" ht="21.95" customHeight="1" x14ac:dyDescent="0.2">
      <c r="A4154" s="6" t="s">
        <v>943</v>
      </c>
      <c r="B4154" s="6" t="s">
        <v>1597</v>
      </c>
      <c r="C4154" s="6" t="s">
        <v>1396</v>
      </c>
      <c r="D4154" s="6" t="s">
        <v>1003</v>
      </c>
      <c r="G4154" s="6">
        <v>180</v>
      </c>
      <c r="H4154" s="6">
        <v>200</v>
      </c>
      <c r="I4154" s="9"/>
      <c r="J4154" s="9"/>
      <c r="K4154" s="9">
        <v>44008508</v>
      </c>
      <c r="L4154" s="6" t="str">
        <f t="shared" si="403"/>
        <v>1D  FLORIDA  BAŞLIK  180x200</v>
      </c>
      <c r="M4154" s="12">
        <v>0.5</v>
      </c>
      <c r="N4154" s="12">
        <v>0.5</v>
      </c>
      <c r="O4154" s="12">
        <v>35400</v>
      </c>
      <c r="P4154" s="12">
        <f t="shared" si="401"/>
        <v>17700</v>
      </c>
      <c r="Q4154" s="12">
        <f t="shared" si="399"/>
        <v>37170</v>
      </c>
      <c r="R4154" s="33">
        <f t="shared" si="402"/>
        <v>37100</v>
      </c>
      <c r="T4154" s="12"/>
      <c r="U4154" s="12"/>
      <c r="V4154" s="12"/>
      <c r="W4154" s="12"/>
    </row>
    <row r="4155" spans="1:23" s="6" customFormat="1" ht="21.95" customHeight="1" x14ac:dyDescent="0.2">
      <c r="A4155" s="6" t="s">
        <v>943</v>
      </c>
      <c r="B4155" s="6" t="s">
        <v>1597</v>
      </c>
      <c r="C4155" s="6" t="s">
        <v>1396</v>
      </c>
      <c r="D4155" s="6" t="s">
        <v>943</v>
      </c>
      <c r="G4155" s="6">
        <v>140</v>
      </c>
      <c r="H4155" s="6">
        <v>200</v>
      </c>
      <c r="I4155" s="9"/>
      <c r="J4155" s="9"/>
      <c r="K4155" s="9">
        <v>44008513</v>
      </c>
      <c r="L4155" s="6" t="str">
        <f t="shared" si="403"/>
        <v>1D  FLORIDA  YATAK  140x200</v>
      </c>
      <c r="M4155" s="12">
        <v>0.5</v>
      </c>
      <c r="N4155" s="12">
        <v>0.5</v>
      </c>
      <c r="O4155" s="12">
        <v>21300</v>
      </c>
      <c r="P4155" s="12">
        <f t="shared" si="401"/>
        <v>10650</v>
      </c>
      <c r="Q4155" s="12">
        <f t="shared" si="399"/>
        <v>22365</v>
      </c>
      <c r="R4155" s="33">
        <f t="shared" si="402"/>
        <v>22300</v>
      </c>
      <c r="T4155" s="12"/>
      <c r="U4155" s="12"/>
      <c r="V4155" s="12"/>
      <c r="W4155" s="12"/>
    </row>
    <row r="4156" spans="1:23" s="6" customFormat="1" ht="21.95" customHeight="1" x14ac:dyDescent="0.2">
      <c r="A4156" s="6" t="s">
        <v>943</v>
      </c>
      <c r="B4156" s="6" t="s">
        <v>1597</v>
      </c>
      <c r="C4156" s="6" t="s">
        <v>1396</v>
      </c>
      <c r="D4156" s="6" t="s">
        <v>943</v>
      </c>
      <c r="G4156" s="6">
        <v>150</v>
      </c>
      <c r="H4156" s="6">
        <v>200</v>
      </c>
      <c r="I4156" s="9"/>
      <c r="J4156" s="9"/>
      <c r="K4156" s="9">
        <v>44008514</v>
      </c>
      <c r="L4156" s="6" t="str">
        <f t="shared" si="403"/>
        <v>1D  FLORIDA  YATAK  150x200</v>
      </c>
      <c r="M4156" s="12">
        <v>0.5</v>
      </c>
      <c r="N4156" s="12">
        <v>0.5</v>
      </c>
      <c r="O4156" s="12">
        <v>22800</v>
      </c>
      <c r="P4156" s="12">
        <f t="shared" si="401"/>
        <v>11400</v>
      </c>
      <c r="Q4156" s="12">
        <f t="shared" si="399"/>
        <v>23940</v>
      </c>
      <c r="R4156" s="33">
        <f t="shared" si="402"/>
        <v>23900</v>
      </c>
      <c r="T4156" s="12"/>
      <c r="U4156" s="12"/>
      <c r="V4156" s="12"/>
      <c r="W4156" s="12"/>
    </row>
    <row r="4157" spans="1:23" s="6" customFormat="1" ht="23.45" customHeight="1" x14ac:dyDescent="0.2">
      <c r="A4157" s="6" t="s">
        <v>943</v>
      </c>
      <c r="B4157" s="6" t="s">
        <v>1597</v>
      </c>
      <c r="C4157" s="6" t="s">
        <v>1396</v>
      </c>
      <c r="D4157" s="6" t="s">
        <v>943</v>
      </c>
      <c r="G4157" s="6">
        <v>160</v>
      </c>
      <c r="H4157" s="6">
        <v>200</v>
      </c>
      <c r="I4157" s="9"/>
      <c r="J4157" s="9"/>
      <c r="K4157" s="9">
        <v>44008515</v>
      </c>
      <c r="L4157" s="6" t="str">
        <f t="shared" si="403"/>
        <v>1D  FLORIDA  YATAK  160x200</v>
      </c>
      <c r="M4157" s="12">
        <v>0.5</v>
      </c>
      <c r="N4157" s="12">
        <v>0.5</v>
      </c>
      <c r="O4157" s="12">
        <v>24300</v>
      </c>
      <c r="P4157" s="12">
        <f t="shared" si="401"/>
        <v>12150</v>
      </c>
      <c r="Q4157" s="12">
        <f t="shared" si="399"/>
        <v>25515</v>
      </c>
      <c r="R4157" s="33">
        <f t="shared" si="402"/>
        <v>25500</v>
      </c>
      <c r="T4157" s="12"/>
      <c r="U4157" s="12"/>
      <c r="V4157" s="12"/>
      <c r="W4157" s="12"/>
    </row>
    <row r="4158" spans="1:23" s="6" customFormat="1" ht="21.95" customHeight="1" x14ac:dyDescent="0.2">
      <c r="A4158" s="6" t="s">
        <v>943</v>
      </c>
      <c r="B4158" s="6" t="s">
        <v>1597</v>
      </c>
      <c r="C4158" s="6" t="s">
        <v>1396</v>
      </c>
      <c r="D4158" s="6" t="s">
        <v>943</v>
      </c>
      <c r="G4158" s="6">
        <v>180</v>
      </c>
      <c r="H4158" s="6">
        <v>200</v>
      </c>
      <c r="I4158" s="9"/>
      <c r="J4158" s="9"/>
      <c r="K4158" s="9">
        <v>44008516</v>
      </c>
      <c r="L4158" s="6" t="str">
        <f t="shared" si="403"/>
        <v>1D  FLORIDA  YATAK  180x200</v>
      </c>
      <c r="M4158" s="12">
        <v>0.5</v>
      </c>
      <c r="N4158" s="12">
        <v>0.5</v>
      </c>
      <c r="O4158" s="12">
        <v>27300</v>
      </c>
      <c r="P4158" s="12">
        <f t="shared" si="401"/>
        <v>13650</v>
      </c>
      <c r="Q4158" s="12">
        <f t="shared" si="399"/>
        <v>28665</v>
      </c>
      <c r="R4158" s="33">
        <f t="shared" si="402"/>
        <v>28600</v>
      </c>
      <c r="T4158" s="12"/>
      <c r="U4158" s="12"/>
      <c r="V4158" s="12"/>
      <c r="W4158" s="12"/>
    </row>
    <row r="4159" spans="1:23" s="6" customFormat="1" ht="23.45" customHeight="1" x14ac:dyDescent="0.2">
      <c r="A4159" s="6" t="s">
        <v>943</v>
      </c>
      <c r="B4159" s="6" t="s">
        <v>1597</v>
      </c>
      <c r="C4159" s="6" t="s">
        <v>1396</v>
      </c>
      <c r="D4159" s="6" t="s">
        <v>1380</v>
      </c>
      <c r="I4159" s="9"/>
      <c r="J4159" s="9"/>
      <c r="K4159" s="9">
        <v>44008517</v>
      </c>
      <c r="L4159" s="6" t="str">
        <f>B4159&amp;" "&amp;C4159&amp;" "&amp;D4159</f>
        <v>1D  FLORIDA  KOMODİN (2 ADET)</v>
      </c>
      <c r="M4159" s="12">
        <v>0.5</v>
      </c>
      <c r="N4159" s="12">
        <v>0.5</v>
      </c>
      <c r="O4159" s="12">
        <v>13200</v>
      </c>
      <c r="P4159" s="12">
        <f t="shared" si="401"/>
        <v>6600</v>
      </c>
      <c r="Q4159" s="12">
        <f t="shared" si="399"/>
        <v>13860</v>
      </c>
      <c r="R4159" s="33">
        <f t="shared" si="402"/>
        <v>13800</v>
      </c>
      <c r="T4159" s="12"/>
      <c r="U4159" s="12"/>
      <c r="V4159" s="12"/>
      <c r="W4159" s="12"/>
    </row>
    <row r="4160" spans="1:23" s="6" customFormat="1" ht="23.45" customHeight="1" x14ac:dyDescent="0.2">
      <c r="A4160" s="6" t="s">
        <v>943</v>
      </c>
      <c r="B4160" s="6" t="s">
        <v>1597</v>
      </c>
      <c r="C4160" s="6" t="s">
        <v>1397</v>
      </c>
      <c r="D4160" s="6" t="s">
        <v>2304</v>
      </c>
      <c r="G4160" s="6">
        <v>160</v>
      </c>
      <c r="H4160" s="6">
        <v>200</v>
      </c>
      <c r="I4160" s="9"/>
      <c r="J4160" s="9"/>
      <c r="K4160" s="9">
        <v>44008532</v>
      </c>
      <c r="L4160" s="6" t="str">
        <f>B4160&amp;" "&amp;C4160&amp;" "&amp;D4160&amp;" "&amp;G4160&amp;"x"&amp;H4160</f>
        <v>1D  HARMONIE  BAZA + BAŞLIK + TRAVERS  160x200</v>
      </c>
      <c r="M4160" s="12">
        <v>0.5</v>
      </c>
      <c r="N4160" s="12">
        <v>0.5</v>
      </c>
      <c r="O4160" s="12">
        <v>104300</v>
      </c>
      <c r="P4160" s="12">
        <f t="shared" si="401"/>
        <v>52150</v>
      </c>
      <c r="Q4160" s="12">
        <f t="shared" si="399"/>
        <v>109515</v>
      </c>
      <c r="R4160" s="33">
        <f t="shared" si="402"/>
        <v>109500</v>
      </c>
      <c r="T4160" s="12"/>
      <c r="U4160" s="12"/>
      <c r="V4160" s="12"/>
      <c r="W4160" s="12"/>
    </row>
    <row r="4161" spans="1:23" s="6" customFormat="1" ht="23.45" customHeight="1" x14ac:dyDescent="0.2">
      <c r="A4161" s="6" t="s">
        <v>943</v>
      </c>
      <c r="B4161" s="6" t="s">
        <v>1597</v>
      </c>
      <c r="C4161" s="6" t="s">
        <v>1397</v>
      </c>
      <c r="D4161" s="6" t="s">
        <v>2304</v>
      </c>
      <c r="G4161" s="6">
        <v>180</v>
      </c>
      <c r="H4161" s="6">
        <v>200</v>
      </c>
      <c r="I4161" s="9"/>
      <c r="J4161" s="9"/>
      <c r="K4161" s="9">
        <v>44008533</v>
      </c>
      <c r="L4161" s="6" t="str">
        <f>B4161&amp;" "&amp;C4161&amp;" "&amp;D4161&amp;" "&amp;G4161&amp;"x"&amp;H4161</f>
        <v>1D  HARMONIE  BAZA + BAŞLIK + TRAVERS  180x200</v>
      </c>
      <c r="M4161" s="12">
        <v>0.5</v>
      </c>
      <c r="N4161" s="12">
        <v>0.5</v>
      </c>
      <c r="O4161" s="12">
        <v>117300</v>
      </c>
      <c r="P4161" s="12">
        <f t="shared" si="401"/>
        <v>58650</v>
      </c>
      <c r="Q4161" s="12">
        <f t="shared" si="399"/>
        <v>123165</v>
      </c>
      <c r="R4161" s="33">
        <f t="shared" si="402"/>
        <v>123100</v>
      </c>
      <c r="T4161" s="12"/>
      <c r="U4161" s="12"/>
      <c r="V4161" s="12"/>
      <c r="W4161" s="12"/>
    </row>
    <row r="4162" spans="1:23" s="6" customFormat="1" ht="23.45" customHeight="1" x14ac:dyDescent="0.2">
      <c r="A4162" s="6" t="s">
        <v>943</v>
      </c>
      <c r="B4162" s="6" t="s">
        <v>1597</v>
      </c>
      <c r="C4162" s="6" t="s">
        <v>1397</v>
      </c>
      <c r="D4162" s="6" t="s">
        <v>943</v>
      </c>
      <c r="G4162" s="6">
        <v>160</v>
      </c>
      <c r="H4162" s="6">
        <v>200</v>
      </c>
      <c r="I4162" s="9"/>
      <c r="J4162" s="9"/>
      <c r="K4162" s="9">
        <v>44008540</v>
      </c>
      <c r="L4162" s="6" t="str">
        <f>B4162&amp;" "&amp;C4162&amp;" "&amp;D4162&amp;" "&amp;G4162&amp;"x"&amp;H4162</f>
        <v>1D  HARMONIE  YATAK  160x200</v>
      </c>
      <c r="M4162" s="12">
        <v>0.5</v>
      </c>
      <c r="N4162" s="12">
        <v>0.5</v>
      </c>
      <c r="O4162" s="12">
        <v>42200</v>
      </c>
      <c r="P4162" s="12">
        <f t="shared" si="401"/>
        <v>21100</v>
      </c>
      <c r="Q4162" s="12">
        <f t="shared" si="399"/>
        <v>44310</v>
      </c>
      <c r="R4162" s="33">
        <f t="shared" si="402"/>
        <v>44300</v>
      </c>
      <c r="T4162" s="12"/>
      <c r="U4162" s="12"/>
      <c r="V4162" s="12"/>
      <c r="W4162" s="12"/>
    </row>
    <row r="4163" spans="1:23" s="6" customFormat="1" ht="23.45" customHeight="1" x14ac:dyDescent="0.2">
      <c r="A4163" s="6" t="s">
        <v>943</v>
      </c>
      <c r="B4163" s="6" t="s">
        <v>1597</v>
      </c>
      <c r="C4163" s="6" t="s">
        <v>1397</v>
      </c>
      <c r="D4163" s="6" t="s">
        <v>943</v>
      </c>
      <c r="G4163" s="6">
        <v>180</v>
      </c>
      <c r="H4163" s="6">
        <v>200</v>
      </c>
      <c r="I4163" s="9"/>
      <c r="J4163" s="9"/>
      <c r="K4163" s="9">
        <v>44008541</v>
      </c>
      <c r="L4163" s="6" t="str">
        <f>B4163&amp;" "&amp;C4163&amp;" "&amp;D4163&amp;" "&amp;G4163&amp;"x"&amp;H4163</f>
        <v>1D  HARMONIE  YATAK  180x200</v>
      </c>
      <c r="M4163" s="12">
        <v>0.5</v>
      </c>
      <c r="N4163" s="12">
        <v>0.5</v>
      </c>
      <c r="O4163" s="12">
        <v>47500</v>
      </c>
      <c r="P4163" s="12">
        <f t="shared" si="401"/>
        <v>23750</v>
      </c>
      <c r="Q4163" s="12">
        <f t="shared" si="399"/>
        <v>49875</v>
      </c>
      <c r="R4163" s="33">
        <f t="shared" si="402"/>
        <v>49800</v>
      </c>
      <c r="T4163" s="12"/>
      <c r="U4163" s="12"/>
      <c r="V4163" s="12"/>
      <c r="W4163" s="12"/>
    </row>
    <row r="4164" spans="1:23" s="6" customFormat="1" ht="23.45" customHeight="1" x14ac:dyDescent="0.2">
      <c r="A4164" s="6" t="s">
        <v>943</v>
      </c>
      <c r="B4164" s="6" t="s">
        <v>1597</v>
      </c>
      <c r="C4164" s="6" t="s">
        <v>1397</v>
      </c>
      <c r="D4164" s="6" t="s">
        <v>1380</v>
      </c>
      <c r="I4164" s="9"/>
      <c r="J4164" s="9"/>
      <c r="K4164" s="9">
        <v>44008542</v>
      </c>
      <c r="L4164" s="6" t="str">
        <f>B4164&amp;" "&amp;C4164&amp;" "&amp;D4164</f>
        <v>1D  HARMONIE  KOMODİN (2 ADET)</v>
      </c>
      <c r="M4164" s="12">
        <v>0.5</v>
      </c>
      <c r="N4164" s="12">
        <v>0.5</v>
      </c>
      <c r="O4164" s="12">
        <v>14520</v>
      </c>
      <c r="P4164" s="12">
        <f t="shared" si="401"/>
        <v>7260</v>
      </c>
      <c r="Q4164" s="12">
        <f t="shared" si="399"/>
        <v>15246</v>
      </c>
      <c r="R4164" s="33">
        <f t="shared" si="402"/>
        <v>15200</v>
      </c>
      <c r="T4164" s="12"/>
      <c r="U4164" s="12"/>
      <c r="V4164" s="12"/>
      <c r="W4164" s="12"/>
    </row>
    <row r="4165" spans="1:23" s="6" customFormat="1" ht="23.45" customHeight="1" x14ac:dyDescent="0.2">
      <c r="A4165" s="6" t="s">
        <v>943</v>
      </c>
      <c r="B4165" s="6" t="s">
        <v>1597</v>
      </c>
      <c r="C4165" s="6" t="s">
        <v>1398</v>
      </c>
      <c r="D4165" s="6" t="s">
        <v>989</v>
      </c>
      <c r="G4165" s="6">
        <v>90</v>
      </c>
      <c r="H4165" s="6">
        <v>190</v>
      </c>
      <c r="I4165" s="9"/>
      <c r="J4165" s="9"/>
      <c r="K4165" s="9">
        <v>44008543</v>
      </c>
      <c r="L4165" s="6" t="str">
        <f t="shared" ref="L4165:L4188" si="404">B4165&amp;" "&amp;C4165&amp;" "&amp;D4165&amp;" "&amp;G4165&amp;"x"&amp;H4165</f>
        <v>1D  HERMES  BAZA  90x190</v>
      </c>
      <c r="M4165" s="12">
        <v>0.5</v>
      </c>
      <c r="N4165" s="12">
        <v>0.5</v>
      </c>
      <c r="O4165" s="12">
        <v>9900</v>
      </c>
      <c r="P4165" s="12">
        <f t="shared" si="401"/>
        <v>4950</v>
      </c>
      <c r="Q4165" s="12">
        <f t="shared" si="399"/>
        <v>10395</v>
      </c>
      <c r="R4165" s="33">
        <f t="shared" si="402"/>
        <v>10300</v>
      </c>
      <c r="T4165" s="12"/>
      <c r="U4165" s="12"/>
      <c r="V4165" s="12"/>
      <c r="W4165" s="12"/>
    </row>
    <row r="4166" spans="1:23" s="6" customFormat="1" ht="23.45" customHeight="1" x14ac:dyDescent="0.2">
      <c r="A4166" s="6" t="s">
        <v>943</v>
      </c>
      <c r="B4166" s="6" t="s">
        <v>1597</v>
      </c>
      <c r="C4166" s="6" t="s">
        <v>1398</v>
      </c>
      <c r="D4166" s="6" t="s">
        <v>989</v>
      </c>
      <c r="G4166" s="6">
        <v>90</v>
      </c>
      <c r="H4166" s="6">
        <v>200</v>
      </c>
      <c r="I4166" s="9"/>
      <c r="J4166" s="9"/>
      <c r="K4166" s="9">
        <v>44008544</v>
      </c>
      <c r="L4166" s="6" t="str">
        <f t="shared" si="404"/>
        <v>1D  HERMES  BAZA  90x200</v>
      </c>
      <c r="M4166" s="12">
        <v>0.5</v>
      </c>
      <c r="N4166" s="12">
        <v>0.5</v>
      </c>
      <c r="O4166" s="12">
        <v>10400</v>
      </c>
      <c r="P4166" s="12">
        <f t="shared" si="401"/>
        <v>5200</v>
      </c>
      <c r="Q4166" s="12">
        <f t="shared" si="399"/>
        <v>10920</v>
      </c>
      <c r="R4166" s="33">
        <f t="shared" si="402"/>
        <v>10900</v>
      </c>
      <c r="T4166" s="12"/>
      <c r="U4166" s="12"/>
      <c r="V4166" s="12"/>
      <c r="W4166" s="12"/>
    </row>
    <row r="4167" spans="1:23" s="6" customFormat="1" ht="23.45" customHeight="1" x14ac:dyDescent="0.2">
      <c r="A4167" s="6" t="s">
        <v>943</v>
      </c>
      <c r="B4167" s="6" t="s">
        <v>1597</v>
      </c>
      <c r="C4167" s="6" t="s">
        <v>1398</v>
      </c>
      <c r="D4167" s="6" t="s">
        <v>989</v>
      </c>
      <c r="G4167" s="6">
        <v>100</v>
      </c>
      <c r="H4167" s="6">
        <v>200</v>
      </c>
      <c r="I4167" s="9"/>
      <c r="J4167" s="9"/>
      <c r="K4167" s="9">
        <v>44008545</v>
      </c>
      <c r="L4167" s="6" t="str">
        <f t="shared" si="404"/>
        <v>1D  HERMES  BAZA  100x200</v>
      </c>
      <c r="M4167" s="12">
        <v>0.5</v>
      </c>
      <c r="N4167" s="12">
        <v>0.5</v>
      </c>
      <c r="O4167" s="12">
        <v>11600</v>
      </c>
      <c r="P4167" s="12">
        <f t="shared" si="401"/>
        <v>5800</v>
      </c>
      <c r="Q4167" s="12">
        <f t="shared" si="399"/>
        <v>12180</v>
      </c>
      <c r="R4167" s="33">
        <f t="shared" si="402"/>
        <v>12100</v>
      </c>
      <c r="T4167" s="12"/>
      <c r="U4167" s="12"/>
      <c r="V4167" s="12"/>
      <c r="W4167" s="12"/>
    </row>
    <row r="4168" spans="1:23" s="6" customFormat="1" ht="23.45" customHeight="1" x14ac:dyDescent="0.2">
      <c r="A4168" s="6" t="s">
        <v>943</v>
      </c>
      <c r="B4168" s="6" t="s">
        <v>1597</v>
      </c>
      <c r="C4168" s="6" t="s">
        <v>1398</v>
      </c>
      <c r="D4168" s="6" t="s">
        <v>989</v>
      </c>
      <c r="G4168" s="6">
        <v>120</v>
      </c>
      <c r="H4168" s="6">
        <v>200</v>
      </c>
      <c r="I4168" s="9"/>
      <c r="J4168" s="9"/>
      <c r="K4168" s="9">
        <v>44008546</v>
      </c>
      <c r="L4168" s="6" t="str">
        <f t="shared" si="404"/>
        <v>1D  HERMES  BAZA  120x200</v>
      </c>
      <c r="M4168" s="12">
        <v>0.5</v>
      </c>
      <c r="N4168" s="12">
        <v>0.5</v>
      </c>
      <c r="O4168" s="12">
        <v>13900</v>
      </c>
      <c r="P4168" s="12">
        <f t="shared" si="401"/>
        <v>6950</v>
      </c>
      <c r="Q4168" s="12">
        <f t="shared" si="399"/>
        <v>14595</v>
      </c>
      <c r="R4168" s="33">
        <f t="shared" si="402"/>
        <v>14500</v>
      </c>
      <c r="T4168" s="12"/>
      <c r="U4168" s="12"/>
      <c r="V4168" s="12"/>
      <c r="W4168" s="12"/>
    </row>
    <row r="4169" spans="1:23" s="6" customFormat="1" ht="23.45" customHeight="1" x14ac:dyDescent="0.2">
      <c r="A4169" s="6" t="s">
        <v>943</v>
      </c>
      <c r="B4169" s="6" t="s">
        <v>1597</v>
      </c>
      <c r="C4169" s="6" t="s">
        <v>1398</v>
      </c>
      <c r="D4169" s="6" t="s">
        <v>989</v>
      </c>
      <c r="G4169" s="6">
        <v>140</v>
      </c>
      <c r="H4169" s="6">
        <v>200</v>
      </c>
      <c r="I4169" s="9"/>
      <c r="J4169" s="9"/>
      <c r="K4169" s="9">
        <v>44008547</v>
      </c>
      <c r="L4169" s="6" t="str">
        <f t="shared" si="404"/>
        <v>1D  HERMES  BAZA  140x200</v>
      </c>
      <c r="M4169" s="12">
        <v>0.5</v>
      </c>
      <c r="N4169" s="12">
        <v>0.5</v>
      </c>
      <c r="O4169" s="12">
        <v>16200</v>
      </c>
      <c r="P4169" s="12">
        <f t="shared" si="401"/>
        <v>8100</v>
      </c>
      <c r="Q4169" s="12">
        <f t="shared" si="399"/>
        <v>17010</v>
      </c>
      <c r="R4169" s="33">
        <f t="shared" si="402"/>
        <v>17000</v>
      </c>
      <c r="T4169" s="12"/>
      <c r="U4169" s="12"/>
      <c r="V4169" s="12"/>
      <c r="W4169" s="12"/>
    </row>
    <row r="4170" spans="1:23" s="6" customFormat="1" ht="23.45" customHeight="1" x14ac:dyDescent="0.2">
      <c r="A4170" s="6" t="s">
        <v>943</v>
      </c>
      <c r="B4170" s="6" t="s">
        <v>1597</v>
      </c>
      <c r="C4170" s="6" t="s">
        <v>1398</v>
      </c>
      <c r="D4170" s="6" t="s">
        <v>989</v>
      </c>
      <c r="G4170" s="6">
        <v>150</v>
      </c>
      <c r="H4170" s="6">
        <v>200</v>
      </c>
      <c r="I4170" s="9"/>
      <c r="J4170" s="9"/>
      <c r="K4170" s="9">
        <v>44008548</v>
      </c>
      <c r="L4170" s="6" t="str">
        <f t="shared" si="404"/>
        <v>1D  HERMES  BAZA  150x200</v>
      </c>
      <c r="M4170" s="12">
        <v>0.5</v>
      </c>
      <c r="N4170" s="12">
        <v>0.5</v>
      </c>
      <c r="O4170" s="12">
        <v>17300</v>
      </c>
      <c r="P4170" s="12">
        <f t="shared" si="401"/>
        <v>8650</v>
      </c>
      <c r="Q4170" s="12">
        <f t="shared" si="399"/>
        <v>18165</v>
      </c>
      <c r="R4170" s="33">
        <f t="shared" si="402"/>
        <v>18100</v>
      </c>
      <c r="T4170" s="12"/>
      <c r="U4170" s="12"/>
      <c r="V4170" s="12"/>
      <c r="W4170" s="12"/>
    </row>
    <row r="4171" spans="1:23" s="6" customFormat="1" ht="23.45" customHeight="1" x14ac:dyDescent="0.2">
      <c r="A4171" s="6" t="s">
        <v>943</v>
      </c>
      <c r="B4171" s="6" t="s">
        <v>1597</v>
      </c>
      <c r="C4171" s="6" t="s">
        <v>1398</v>
      </c>
      <c r="D4171" s="6" t="s">
        <v>989</v>
      </c>
      <c r="G4171" s="6">
        <v>160</v>
      </c>
      <c r="H4171" s="6">
        <v>200</v>
      </c>
      <c r="I4171" s="9"/>
      <c r="J4171" s="9"/>
      <c r="K4171" s="9">
        <v>44008549</v>
      </c>
      <c r="L4171" s="6" t="str">
        <f t="shared" si="404"/>
        <v>1D  HERMES  BAZA  160x200</v>
      </c>
      <c r="M4171" s="12">
        <v>0.5</v>
      </c>
      <c r="N4171" s="12">
        <v>0.5</v>
      </c>
      <c r="O4171" s="12">
        <v>18500</v>
      </c>
      <c r="P4171" s="12">
        <f t="shared" si="401"/>
        <v>9250</v>
      </c>
      <c r="Q4171" s="12">
        <f t="shared" si="399"/>
        <v>19425</v>
      </c>
      <c r="R4171" s="33">
        <f t="shared" si="402"/>
        <v>19400</v>
      </c>
      <c r="T4171" s="12"/>
      <c r="U4171" s="12"/>
      <c r="V4171" s="12"/>
      <c r="W4171" s="12"/>
    </row>
    <row r="4172" spans="1:23" s="6" customFormat="1" ht="23.45" customHeight="1" x14ac:dyDescent="0.2">
      <c r="A4172" s="6" t="s">
        <v>943</v>
      </c>
      <c r="B4172" s="6" t="s">
        <v>1597</v>
      </c>
      <c r="C4172" s="6" t="s">
        <v>1398</v>
      </c>
      <c r="D4172" s="6" t="s">
        <v>989</v>
      </c>
      <c r="G4172" s="6">
        <v>180</v>
      </c>
      <c r="H4172" s="6">
        <v>200</v>
      </c>
      <c r="I4172" s="9"/>
      <c r="J4172" s="9"/>
      <c r="K4172" s="9">
        <v>44008550</v>
      </c>
      <c r="L4172" s="6" t="str">
        <f t="shared" si="404"/>
        <v>1D  HERMES  BAZA  180x200</v>
      </c>
      <c r="M4172" s="12">
        <v>0.5</v>
      </c>
      <c r="N4172" s="12">
        <v>0.5</v>
      </c>
      <c r="O4172" s="12">
        <v>20800</v>
      </c>
      <c r="P4172" s="12">
        <f t="shared" si="401"/>
        <v>10400</v>
      </c>
      <c r="Q4172" s="12">
        <f t="shared" si="399"/>
        <v>21840</v>
      </c>
      <c r="R4172" s="33">
        <f t="shared" si="402"/>
        <v>21800</v>
      </c>
      <c r="T4172" s="12"/>
      <c r="U4172" s="12"/>
      <c r="V4172" s="12"/>
      <c r="W4172" s="12"/>
    </row>
    <row r="4173" spans="1:23" s="6" customFormat="1" ht="23.45" customHeight="1" x14ac:dyDescent="0.2">
      <c r="A4173" s="6" t="s">
        <v>943</v>
      </c>
      <c r="B4173" s="6" t="s">
        <v>1597</v>
      </c>
      <c r="C4173" s="6" t="s">
        <v>1398</v>
      </c>
      <c r="D4173" s="6" t="s">
        <v>1003</v>
      </c>
      <c r="G4173" s="6">
        <v>90</v>
      </c>
      <c r="H4173" s="6">
        <v>190</v>
      </c>
      <c r="I4173" s="9"/>
      <c r="J4173" s="9"/>
      <c r="K4173" s="9">
        <v>44008551</v>
      </c>
      <c r="L4173" s="6" t="str">
        <f t="shared" si="404"/>
        <v>1D  HERMES  BAŞLIK  90x190</v>
      </c>
      <c r="M4173" s="12">
        <v>0.5</v>
      </c>
      <c r="N4173" s="12">
        <v>0.5</v>
      </c>
      <c r="O4173" s="12">
        <v>2900</v>
      </c>
      <c r="P4173" s="12">
        <f t="shared" si="401"/>
        <v>1450</v>
      </c>
      <c r="Q4173" s="12">
        <f t="shared" si="399"/>
        <v>3045</v>
      </c>
      <c r="R4173" s="33">
        <f t="shared" si="402"/>
        <v>3000</v>
      </c>
      <c r="T4173" s="12"/>
      <c r="U4173" s="12"/>
      <c r="V4173" s="12"/>
      <c r="W4173" s="12"/>
    </row>
    <row r="4174" spans="1:23" s="6" customFormat="1" ht="23.45" customHeight="1" x14ac:dyDescent="0.2">
      <c r="A4174" s="6" t="s">
        <v>943</v>
      </c>
      <c r="B4174" s="6" t="s">
        <v>1597</v>
      </c>
      <c r="C4174" s="6" t="s">
        <v>1398</v>
      </c>
      <c r="D4174" s="6" t="s">
        <v>1003</v>
      </c>
      <c r="G4174" s="6">
        <v>90</v>
      </c>
      <c r="H4174" s="6">
        <v>200</v>
      </c>
      <c r="I4174" s="9"/>
      <c r="J4174" s="9"/>
      <c r="K4174" s="9">
        <v>44008552</v>
      </c>
      <c r="L4174" s="6" t="str">
        <f t="shared" si="404"/>
        <v>1D  HERMES  BAŞLIK  90x200</v>
      </c>
      <c r="M4174" s="12">
        <v>0.5</v>
      </c>
      <c r="N4174" s="12">
        <v>0.5</v>
      </c>
      <c r="O4174" s="12">
        <v>3000</v>
      </c>
      <c r="P4174" s="12">
        <f t="shared" si="401"/>
        <v>1500</v>
      </c>
      <c r="Q4174" s="12">
        <f t="shared" si="399"/>
        <v>3150</v>
      </c>
      <c r="R4174" s="33">
        <f t="shared" si="402"/>
        <v>3100</v>
      </c>
      <c r="T4174" s="12"/>
      <c r="U4174" s="12"/>
      <c r="V4174" s="12"/>
      <c r="W4174" s="12"/>
    </row>
    <row r="4175" spans="1:23" s="6" customFormat="1" ht="23.45" customHeight="1" x14ac:dyDescent="0.2">
      <c r="A4175" s="6" t="s">
        <v>943</v>
      </c>
      <c r="B4175" s="6" t="s">
        <v>1597</v>
      </c>
      <c r="C4175" s="6" t="s">
        <v>1398</v>
      </c>
      <c r="D4175" s="6" t="s">
        <v>1003</v>
      </c>
      <c r="G4175" s="6">
        <v>100</v>
      </c>
      <c r="H4175" s="6">
        <v>200</v>
      </c>
      <c r="I4175" s="9"/>
      <c r="J4175" s="9"/>
      <c r="K4175" s="9">
        <v>44008553</v>
      </c>
      <c r="L4175" s="6" t="str">
        <f t="shared" si="404"/>
        <v>1D  HERMES  BAŞLIK  100x200</v>
      </c>
      <c r="M4175" s="12">
        <v>0.5</v>
      </c>
      <c r="N4175" s="12">
        <v>0.5</v>
      </c>
      <c r="O4175" s="12">
        <v>3400</v>
      </c>
      <c r="P4175" s="12">
        <f t="shared" si="401"/>
        <v>1700</v>
      </c>
      <c r="Q4175" s="12">
        <f t="shared" si="399"/>
        <v>3570</v>
      </c>
      <c r="R4175" s="33">
        <f t="shared" si="402"/>
        <v>3500</v>
      </c>
      <c r="T4175" s="12"/>
      <c r="U4175" s="12"/>
      <c r="V4175" s="12"/>
      <c r="W4175" s="12"/>
    </row>
    <row r="4176" spans="1:23" s="6" customFormat="1" ht="23.45" customHeight="1" x14ac:dyDescent="0.2">
      <c r="A4176" s="6" t="s">
        <v>943</v>
      </c>
      <c r="B4176" s="6" t="s">
        <v>1597</v>
      </c>
      <c r="C4176" s="6" t="s">
        <v>1398</v>
      </c>
      <c r="D4176" s="6" t="s">
        <v>1003</v>
      </c>
      <c r="G4176" s="6">
        <v>120</v>
      </c>
      <c r="H4176" s="6">
        <v>200</v>
      </c>
      <c r="I4176" s="9"/>
      <c r="J4176" s="9"/>
      <c r="K4176" s="9">
        <v>44008554</v>
      </c>
      <c r="L4176" s="6" t="str">
        <f t="shared" si="404"/>
        <v>1D  HERMES  BAŞLIK  120x200</v>
      </c>
      <c r="M4176" s="12">
        <v>0.5</v>
      </c>
      <c r="N4176" s="12">
        <v>0.5</v>
      </c>
      <c r="O4176" s="12">
        <v>4100</v>
      </c>
      <c r="P4176" s="12">
        <f t="shared" si="401"/>
        <v>2050</v>
      </c>
      <c r="Q4176" s="12">
        <f t="shared" si="399"/>
        <v>4305</v>
      </c>
      <c r="R4176" s="33">
        <f t="shared" si="402"/>
        <v>4300</v>
      </c>
      <c r="T4176" s="12"/>
      <c r="U4176" s="12"/>
      <c r="V4176" s="12"/>
      <c r="W4176" s="12"/>
    </row>
    <row r="4177" spans="1:23" s="6" customFormat="1" ht="21.95" customHeight="1" x14ac:dyDescent="0.2">
      <c r="A4177" s="6" t="s">
        <v>943</v>
      </c>
      <c r="B4177" s="6" t="s">
        <v>1597</v>
      </c>
      <c r="C4177" s="6" t="s">
        <v>1398</v>
      </c>
      <c r="D4177" s="6" t="s">
        <v>1003</v>
      </c>
      <c r="G4177" s="6">
        <v>140</v>
      </c>
      <c r="H4177" s="6">
        <v>200</v>
      </c>
      <c r="I4177" s="9"/>
      <c r="J4177" s="9"/>
      <c r="K4177" s="9">
        <v>44008555</v>
      </c>
      <c r="L4177" s="6" t="str">
        <f t="shared" si="404"/>
        <v>1D  HERMES  BAŞLIK  140x200</v>
      </c>
      <c r="M4177" s="12">
        <v>0.5</v>
      </c>
      <c r="N4177" s="12">
        <v>0.5</v>
      </c>
      <c r="O4177" s="12">
        <v>4700</v>
      </c>
      <c r="P4177" s="12">
        <f t="shared" si="401"/>
        <v>2350</v>
      </c>
      <c r="Q4177" s="12">
        <f t="shared" si="399"/>
        <v>4935</v>
      </c>
      <c r="R4177" s="33">
        <f t="shared" si="402"/>
        <v>4900</v>
      </c>
      <c r="T4177" s="12"/>
      <c r="U4177" s="12">
        <v>12300</v>
      </c>
      <c r="V4177" s="12"/>
      <c r="W4177" s="12">
        <f t="shared" ref="W4177:W4213" si="405">P4177*2.5</f>
        <v>5875</v>
      </c>
    </row>
    <row r="4178" spans="1:23" s="6" customFormat="1" ht="21.95" customHeight="1" x14ac:dyDescent="0.2">
      <c r="A4178" s="6" t="s">
        <v>943</v>
      </c>
      <c r="B4178" s="6" t="s">
        <v>1597</v>
      </c>
      <c r="C4178" s="6" t="s">
        <v>1398</v>
      </c>
      <c r="D4178" s="6" t="s">
        <v>1003</v>
      </c>
      <c r="G4178" s="6">
        <v>150</v>
      </c>
      <c r="H4178" s="6">
        <v>200</v>
      </c>
      <c r="I4178" s="9"/>
      <c r="J4178" s="9"/>
      <c r="K4178" s="9">
        <v>44008556</v>
      </c>
      <c r="L4178" s="6" t="str">
        <f t="shared" si="404"/>
        <v>1D  HERMES  BAŞLIK  150x200</v>
      </c>
      <c r="M4178" s="12">
        <v>0.5</v>
      </c>
      <c r="N4178" s="12">
        <v>0.5</v>
      </c>
      <c r="O4178" s="12">
        <v>5100</v>
      </c>
      <c r="P4178" s="12">
        <f t="shared" si="401"/>
        <v>2550</v>
      </c>
      <c r="Q4178" s="12">
        <f t="shared" si="399"/>
        <v>5355</v>
      </c>
      <c r="R4178" s="33">
        <f t="shared" si="402"/>
        <v>5300</v>
      </c>
      <c r="T4178" s="12"/>
      <c r="U4178" s="12">
        <v>12900</v>
      </c>
      <c r="V4178" s="12"/>
      <c r="W4178" s="12">
        <f t="shared" si="405"/>
        <v>6375</v>
      </c>
    </row>
    <row r="4179" spans="1:23" s="6" customFormat="1" ht="21.95" customHeight="1" x14ac:dyDescent="0.2">
      <c r="A4179" s="6" t="s">
        <v>943</v>
      </c>
      <c r="B4179" s="6" t="s">
        <v>1597</v>
      </c>
      <c r="C4179" s="6" t="s">
        <v>1398</v>
      </c>
      <c r="D4179" s="6" t="s">
        <v>1003</v>
      </c>
      <c r="G4179" s="6">
        <v>160</v>
      </c>
      <c r="H4179" s="6">
        <v>200</v>
      </c>
      <c r="I4179" s="9"/>
      <c r="J4179" s="9"/>
      <c r="K4179" s="9">
        <v>44008557</v>
      </c>
      <c r="L4179" s="6" t="str">
        <f t="shared" si="404"/>
        <v>1D  HERMES  BAŞLIK  160x200</v>
      </c>
      <c r="M4179" s="12">
        <v>0.5</v>
      </c>
      <c r="N4179" s="12">
        <v>0.5</v>
      </c>
      <c r="O4179" s="12">
        <v>5400</v>
      </c>
      <c r="P4179" s="12">
        <f t="shared" si="401"/>
        <v>2700</v>
      </c>
      <c r="Q4179" s="12">
        <f t="shared" ref="Q4179:Q4242" si="406">O4179*(1-N4179)*2.1</f>
        <v>5670</v>
      </c>
      <c r="R4179" s="33">
        <f t="shared" si="402"/>
        <v>5600</v>
      </c>
      <c r="T4179" s="12"/>
      <c r="U4179" s="12">
        <v>13100</v>
      </c>
      <c r="V4179" s="12"/>
      <c r="W4179" s="12">
        <f t="shared" si="405"/>
        <v>6750</v>
      </c>
    </row>
    <row r="4180" spans="1:23" s="6" customFormat="1" ht="21.95" customHeight="1" x14ac:dyDescent="0.2">
      <c r="A4180" s="6" t="s">
        <v>943</v>
      </c>
      <c r="B4180" s="6" t="s">
        <v>1597</v>
      </c>
      <c r="C4180" s="6" t="s">
        <v>1398</v>
      </c>
      <c r="D4180" s="6" t="s">
        <v>1003</v>
      </c>
      <c r="G4180" s="6">
        <v>180</v>
      </c>
      <c r="H4180" s="6">
        <v>200</v>
      </c>
      <c r="I4180" s="9"/>
      <c r="J4180" s="9"/>
      <c r="K4180" s="9">
        <v>44008558</v>
      </c>
      <c r="L4180" s="6" t="str">
        <f t="shared" si="404"/>
        <v>1D  HERMES  BAŞLIK  180x200</v>
      </c>
      <c r="M4180" s="12">
        <v>0.5</v>
      </c>
      <c r="N4180" s="12">
        <v>0.5</v>
      </c>
      <c r="O4180" s="12">
        <v>6100</v>
      </c>
      <c r="P4180" s="12">
        <f t="shared" si="401"/>
        <v>3050</v>
      </c>
      <c r="Q4180" s="12">
        <f t="shared" si="406"/>
        <v>6405</v>
      </c>
      <c r="R4180" s="33">
        <f t="shared" si="402"/>
        <v>6400</v>
      </c>
      <c r="T4180" s="12"/>
      <c r="U4180" s="12">
        <v>15700</v>
      </c>
      <c r="V4180" s="12"/>
      <c r="W4180" s="12">
        <f t="shared" si="405"/>
        <v>7625</v>
      </c>
    </row>
    <row r="4181" spans="1:23" s="6" customFormat="1" ht="21.95" customHeight="1" x14ac:dyDescent="0.2">
      <c r="A4181" s="6" t="s">
        <v>943</v>
      </c>
      <c r="B4181" s="6" t="s">
        <v>1597</v>
      </c>
      <c r="C4181" s="6" t="s">
        <v>1398</v>
      </c>
      <c r="D4181" s="6" t="s">
        <v>943</v>
      </c>
      <c r="G4181" s="6">
        <v>90</v>
      </c>
      <c r="H4181" s="6">
        <v>190</v>
      </c>
      <c r="I4181" s="9"/>
      <c r="J4181" s="9"/>
      <c r="K4181" s="9">
        <v>44008559</v>
      </c>
      <c r="L4181" s="6" t="str">
        <f t="shared" si="404"/>
        <v>1D  HERMES  YATAK  90x190</v>
      </c>
      <c r="M4181" s="12">
        <v>0.5</v>
      </c>
      <c r="N4181" s="12">
        <v>0.5</v>
      </c>
      <c r="O4181" s="12">
        <v>7700</v>
      </c>
      <c r="P4181" s="12">
        <f t="shared" si="401"/>
        <v>3850</v>
      </c>
      <c r="Q4181" s="12">
        <f t="shared" si="406"/>
        <v>8085</v>
      </c>
      <c r="R4181" s="33">
        <f t="shared" si="402"/>
        <v>8000</v>
      </c>
      <c r="T4181" s="12"/>
      <c r="U4181" s="12">
        <v>18300</v>
      </c>
      <c r="V4181" s="12"/>
      <c r="W4181" s="12">
        <f t="shared" si="405"/>
        <v>9625</v>
      </c>
    </row>
    <row r="4182" spans="1:23" s="6" customFormat="1" ht="21.95" customHeight="1" x14ac:dyDescent="0.2">
      <c r="A4182" s="6" t="s">
        <v>943</v>
      </c>
      <c r="B4182" s="6" t="s">
        <v>1597</v>
      </c>
      <c r="C4182" s="6" t="s">
        <v>1398</v>
      </c>
      <c r="D4182" s="6" t="s">
        <v>943</v>
      </c>
      <c r="G4182" s="6">
        <v>90</v>
      </c>
      <c r="H4182" s="6">
        <v>200</v>
      </c>
      <c r="I4182" s="9"/>
      <c r="J4182" s="9"/>
      <c r="K4182" s="9">
        <v>44008560</v>
      </c>
      <c r="L4182" s="6" t="str">
        <f t="shared" si="404"/>
        <v>1D  HERMES  YATAK  90x200</v>
      </c>
      <c r="M4182" s="12">
        <v>0.5</v>
      </c>
      <c r="N4182" s="12">
        <v>0.5</v>
      </c>
      <c r="O4182" s="12">
        <v>8100</v>
      </c>
      <c r="P4182" s="12">
        <f t="shared" si="401"/>
        <v>4050</v>
      </c>
      <c r="Q4182" s="12">
        <f t="shared" si="406"/>
        <v>8505</v>
      </c>
      <c r="R4182" s="33">
        <f t="shared" si="402"/>
        <v>8500</v>
      </c>
      <c r="T4182" s="12"/>
      <c r="U4182" s="12">
        <v>19600</v>
      </c>
      <c r="V4182" s="12"/>
      <c r="W4182" s="12">
        <f t="shared" si="405"/>
        <v>10125</v>
      </c>
    </row>
    <row r="4183" spans="1:23" s="6" customFormat="1" ht="21.95" customHeight="1" x14ac:dyDescent="0.2">
      <c r="A4183" s="6" t="s">
        <v>943</v>
      </c>
      <c r="B4183" s="6" t="s">
        <v>1597</v>
      </c>
      <c r="C4183" s="6" t="s">
        <v>1398</v>
      </c>
      <c r="D4183" s="6" t="s">
        <v>943</v>
      </c>
      <c r="G4183" s="6">
        <v>100</v>
      </c>
      <c r="H4183" s="6">
        <v>200</v>
      </c>
      <c r="I4183" s="9"/>
      <c r="J4183" s="9"/>
      <c r="K4183" s="9">
        <v>44008561</v>
      </c>
      <c r="L4183" s="6" t="str">
        <f t="shared" si="404"/>
        <v>1D  HERMES  YATAK  100x200</v>
      </c>
      <c r="M4183" s="12">
        <v>0.5</v>
      </c>
      <c r="N4183" s="12">
        <v>0.5</v>
      </c>
      <c r="O4183" s="12">
        <v>9000</v>
      </c>
      <c r="P4183" s="12">
        <f t="shared" si="401"/>
        <v>4500</v>
      </c>
      <c r="Q4183" s="12">
        <f t="shared" si="406"/>
        <v>9450</v>
      </c>
      <c r="R4183" s="33">
        <f t="shared" si="402"/>
        <v>9400</v>
      </c>
      <c r="T4183" s="12"/>
      <c r="U4183" s="12">
        <v>20900</v>
      </c>
      <c r="V4183" s="12"/>
      <c r="W4183" s="12">
        <f t="shared" si="405"/>
        <v>11250</v>
      </c>
    </row>
    <row r="4184" spans="1:23" s="6" customFormat="1" ht="21.95" customHeight="1" x14ac:dyDescent="0.2">
      <c r="A4184" s="6" t="s">
        <v>943</v>
      </c>
      <c r="B4184" s="6" t="s">
        <v>1597</v>
      </c>
      <c r="C4184" s="6" t="s">
        <v>1398</v>
      </c>
      <c r="D4184" s="6" t="s">
        <v>943</v>
      </c>
      <c r="G4184" s="6">
        <v>120</v>
      </c>
      <c r="H4184" s="6">
        <v>200</v>
      </c>
      <c r="I4184" s="9"/>
      <c r="J4184" s="9"/>
      <c r="K4184" s="9">
        <v>44008562</v>
      </c>
      <c r="L4184" s="6" t="str">
        <f t="shared" si="404"/>
        <v>1D  HERMES  YATAK  120x200</v>
      </c>
      <c r="M4184" s="12">
        <v>0.5</v>
      </c>
      <c r="N4184" s="12">
        <v>0.5</v>
      </c>
      <c r="O4184" s="12">
        <v>10800</v>
      </c>
      <c r="P4184" s="12">
        <f t="shared" si="401"/>
        <v>5400</v>
      </c>
      <c r="Q4184" s="12">
        <f t="shared" si="406"/>
        <v>11340</v>
      </c>
      <c r="R4184" s="33">
        <f t="shared" si="402"/>
        <v>11300</v>
      </c>
      <c r="T4184" s="12"/>
      <c r="U4184" s="12">
        <v>23500</v>
      </c>
      <c r="V4184" s="12"/>
      <c r="W4184" s="12">
        <f t="shared" si="405"/>
        <v>13500</v>
      </c>
    </row>
    <row r="4185" spans="1:23" s="6" customFormat="1" ht="21.95" customHeight="1" x14ac:dyDescent="0.2">
      <c r="A4185" s="6" t="s">
        <v>943</v>
      </c>
      <c r="B4185" s="6" t="s">
        <v>1597</v>
      </c>
      <c r="C4185" s="6" t="s">
        <v>1398</v>
      </c>
      <c r="D4185" s="6" t="s">
        <v>943</v>
      </c>
      <c r="G4185" s="6">
        <v>140</v>
      </c>
      <c r="H4185" s="6">
        <v>200</v>
      </c>
      <c r="I4185" s="9"/>
      <c r="J4185" s="9"/>
      <c r="K4185" s="9">
        <v>44008563</v>
      </c>
      <c r="L4185" s="6" t="str">
        <f t="shared" si="404"/>
        <v>1D  HERMES  YATAK  140x200</v>
      </c>
      <c r="M4185" s="12">
        <v>0.5</v>
      </c>
      <c r="N4185" s="12">
        <v>0.5</v>
      </c>
      <c r="O4185" s="12">
        <v>12600</v>
      </c>
      <c r="P4185" s="12">
        <f t="shared" si="401"/>
        <v>6300</v>
      </c>
      <c r="Q4185" s="12">
        <f t="shared" si="406"/>
        <v>13230</v>
      </c>
      <c r="R4185" s="33">
        <f t="shared" si="402"/>
        <v>13200</v>
      </c>
      <c r="T4185" s="12"/>
      <c r="U4185" s="12">
        <v>9300</v>
      </c>
      <c r="V4185" s="12"/>
      <c r="W4185" s="12">
        <f t="shared" si="405"/>
        <v>15750</v>
      </c>
    </row>
    <row r="4186" spans="1:23" s="6" customFormat="1" ht="21.95" customHeight="1" x14ac:dyDescent="0.2">
      <c r="A4186" s="6" t="s">
        <v>943</v>
      </c>
      <c r="B4186" s="6" t="s">
        <v>1597</v>
      </c>
      <c r="C4186" s="6" t="s">
        <v>1398</v>
      </c>
      <c r="D4186" s="6" t="s">
        <v>943</v>
      </c>
      <c r="G4186" s="6">
        <v>150</v>
      </c>
      <c r="H4186" s="6">
        <v>200</v>
      </c>
      <c r="I4186" s="9"/>
      <c r="J4186" s="9"/>
      <c r="K4186" s="9">
        <v>44008564</v>
      </c>
      <c r="L4186" s="6" t="str">
        <f t="shared" si="404"/>
        <v>1D  HERMES  YATAK  150x200</v>
      </c>
      <c r="M4186" s="12">
        <v>0.5</v>
      </c>
      <c r="N4186" s="12">
        <v>0.5</v>
      </c>
      <c r="O4186" s="12">
        <v>13500</v>
      </c>
      <c r="P4186" s="12">
        <f t="shared" si="401"/>
        <v>6750</v>
      </c>
      <c r="Q4186" s="12">
        <f t="shared" si="406"/>
        <v>14175</v>
      </c>
      <c r="R4186" s="33">
        <f t="shared" si="402"/>
        <v>14100</v>
      </c>
      <c r="T4186" s="12"/>
      <c r="U4186" s="12">
        <v>9300</v>
      </c>
      <c r="V4186" s="12"/>
      <c r="W4186" s="12">
        <f t="shared" si="405"/>
        <v>16875</v>
      </c>
    </row>
    <row r="4187" spans="1:23" s="6" customFormat="1" ht="21.95" customHeight="1" x14ac:dyDescent="0.2">
      <c r="A4187" s="6" t="s">
        <v>943</v>
      </c>
      <c r="B4187" s="6" t="s">
        <v>1597</v>
      </c>
      <c r="C4187" s="6" t="s">
        <v>1398</v>
      </c>
      <c r="D4187" s="6" t="s">
        <v>943</v>
      </c>
      <c r="G4187" s="6">
        <v>160</v>
      </c>
      <c r="H4187" s="6">
        <v>200</v>
      </c>
      <c r="I4187" s="9"/>
      <c r="J4187" s="9"/>
      <c r="K4187" s="9">
        <v>44008565</v>
      </c>
      <c r="L4187" s="6" t="str">
        <f t="shared" si="404"/>
        <v>1D  HERMES  YATAK  160x200</v>
      </c>
      <c r="M4187" s="12">
        <v>0.5</v>
      </c>
      <c r="N4187" s="12">
        <v>0.5</v>
      </c>
      <c r="O4187" s="12">
        <v>14400</v>
      </c>
      <c r="P4187" s="12">
        <f t="shared" si="401"/>
        <v>7200</v>
      </c>
      <c r="Q4187" s="12">
        <f t="shared" si="406"/>
        <v>15120</v>
      </c>
      <c r="R4187" s="33">
        <f t="shared" si="402"/>
        <v>15100</v>
      </c>
      <c r="T4187" s="12"/>
      <c r="U4187" s="12">
        <v>9400</v>
      </c>
      <c r="V4187" s="12"/>
      <c r="W4187" s="12">
        <f t="shared" si="405"/>
        <v>18000</v>
      </c>
    </row>
    <row r="4188" spans="1:23" s="6" customFormat="1" ht="21.95" customHeight="1" x14ac:dyDescent="0.2">
      <c r="A4188" s="6" t="s">
        <v>943</v>
      </c>
      <c r="B4188" s="6" t="s">
        <v>1597</v>
      </c>
      <c r="C4188" s="6" t="s">
        <v>1398</v>
      </c>
      <c r="D4188" s="6" t="s">
        <v>943</v>
      </c>
      <c r="G4188" s="6">
        <v>180</v>
      </c>
      <c r="H4188" s="6">
        <v>200</v>
      </c>
      <c r="I4188" s="9"/>
      <c r="J4188" s="9"/>
      <c r="K4188" s="9">
        <v>44008566</v>
      </c>
      <c r="L4188" s="6" t="str">
        <f t="shared" si="404"/>
        <v>1D  HERMES  YATAK  180x200</v>
      </c>
      <c r="M4188" s="12">
        <v>0.5</v>
      </c>
      <c r="N4188" s="12">
        <v>0.5</v>
      </c>
      <c r="O4188" s="12">
        <v>16200</v>
      </c>
      <c r="P4188" s="12">
        <f t="shared" si="401"/>
        <v>8100</v>
      </c>
      <c r="Q4188" s="12">
        <f t="shared" si="406"/>
        <v>17010</v>
      </c>
      <c r="R4188" s="33">
        <f t="shared" si="402"/>
        <v>17000</v>
      </c>
      <c r="T4188" s="12"/>
      <c r="U4188" s="12">
        <v>11300</v>
      </c>
      <c r="V4188" s="12"/>
      <c r="W4188" s="12">
        <f t="shared" si="405"/>
        <v>20250</v>
      </c>
    </row>
    <row r="4189" spans="1:23" s="6" customFormat="1" ht="21.95" customHeight="1" x14ac:dyDescent="0.2">
      <c r="A4189" s="6" t="s">
        <v>943</v>
      </c>
      <c r="B4189" s="6" t="s">
        <v>1597</v>
      </c>
      <c r="C4189" s="6" t="s">
        <v>1398</v>
      </c>
      <c r="D4189" s="6" t="s">
        <v>1380</v>
      </c>
      <c r="I4189" s="9"/>
      <c r="J4189" s="9"/>
      <c r="K4189" s="9">
        <v>44008567</v>
      </c>
      <c r="L4189" s="6" t="str">
        <f>B4189&amp;" "&amp;C4189&amp;" "&amp;D4189</f>
        <v>1D  HERMES  KOMODİN (2 ADET)</v>
      </c>
      <c r="M4189" s="12">
        <v>0.5</v>
      </c>
      <c r="N4189" s="12">
        <v>0.5</v>
      </c>
      <c r="O4189" s="12">
        <v>13200</v>
      </c>
      <c r="P4189" s="12">
        <f t="shared" si="401"/>
        <v>6600</v>
      </c>
      <c r="Q4189" s="12">
        <f t="shared" si="406"/>
        <v>13860</v>
      </c>
      <c r="R4189" s="33">
        <f t="shared" si="402"/>
        <v>13800</v>
      </c>
      <c r="T4189" s="12"/>
      <c r="U4189" s="12">
        <v>13100</v>
      </c>
      <c r="V4189" s="12"/>
      <c r="W4189" s="12">
        <f t="shared" si="405"/>
        <v>16500</v>
      </c>
    </row>
    <row r="4190" spans="1:23" s="6" customFormat="1" ht="21.95" customHeight="1" x14ac:dyDescent="0.2">
      <c r="A4190" s="6" t="s">
        <v>943</v>
      </c>
      <c r="B4190" s="6" t="s">
        <v>1597</v>
      </c>
      <c r="C4190" s="6" t="s">
        <v>1399</v>
      </c>
      <c r="D4190" s="6" t="s">
        <v>989</v>
      </c>
      <c r="G4190" s="6">
        <v>90</v>
      </c>
      <c r="H4190" s="6">
        <v>190</v>
      </c>
      <c r="I4190" s="9"/>
      <c r="J4190" s="9"/>
      <c r="K4190" s="9">
        <v>44008568</v>
      </c>
      <c r="L4190" s="6" t="str">
        <f t="shared" ref="L4190:L4213" si="407">B4190&amp;" "&amp;C4190&amp;" "&amp;D4190&amp;" "&amp;G4190&amp;"x"&amp;H4190</f>
        <v>1D  HUGO BAZA  90x190</v>
      </c>
      <c r="M4190" s="12">
        <v>0.5</v>
      </c>
      <c r="N4190" s="12">
        <v>0.5</v>
      </c>
      <c r="O4190" s="12">
        <v>10600</v>
      </c>
      <c r="P4190" s="12">
        <f t="shared" si="401"/>
        <v>5300</v>
      </c>
      <c r="Q4190" s="12">
        <f t="shared" si="406"/>
        <v>11130</v>
      </c>
      <c r="R4190" s="33">
        <f t="shared" si="402"/>
        <v>11100</v>
      </c>
      <c r="T4190" s="12"/>
      <c r="U4190" s="12">
        <v>14100</v>
      </c>
      <c r="V4190" s="12"/>
      <c r="W4190" s="12">
        <f t="shared" si="405"/>
        <v>13250</v>
      </c>
    </row>
    <row r="4191" spans="1:23" s="6" customFormat="1" ht="21.95" customHeight="1" x14ac:dyDescent="0.2">
      <c r="A4191" s="6" t="s">
        <v>943</v>
      </c>
      <c r="B4191" s="6" t="s">
        <v>1597</v>
      </c>
      <c r="C4191" s="6" t="s">
        <v>1399</v>
      </c>
      <c r="D4191" s="6" t="s">
        <v>989</v>
      </c>
      <c r="G4191" s="6">
        <v>90</v>
      </c>
      <c r="H4191" s="6">
        <v>200</v>
      </c>
      <c r="I4191" s="9"/>
      <c r="J4191" s="9"/>
      <c r="K4191" s="9">
        <v>44008569</v>
      </c>
      <c r="L4191" s="6" t="str">
        <f t="shared" si="407"/>
        <v>1D  HUGO BAZA  90x200</v>
      </c>
      <c r="M4191" s="12">
        <v>0.5</v>
      </c>
      <c r="N4191" s="12">
        <v>0.5</v>
      </c>
      <c r="O4191" s="12">
        <v>11100</v>
      </c>
      <c r="P4191" s="12">
        <f t="shared" si="401"/>
        <v>5550</v>
      </c>
      <c r="Q4191" s="12">
        <f t="shared" si="406"/>
        <v>11655</v>
      </c>
      <c r="R4191" s="33">
        <f t="shared" si="402"/>
        <v>11600</v>
      </c>
      <c r="T4191" s="12"/>
      <c r="U4191" s="12">
        <v>15000</v>
      </c>
      <c r="V4191" s="12"/>
      <c r="W4191" s="12">
        <f t="shared" si="405"/>
        <v>13875</v>
      </c>
    </row>
    <row r="4192" spans="1:23" s="6" customFormat="1" ht="21.95" customHeight="1" x14ac:dyDescent="0.2">
      <c r="A4192" s="6" t="s">
        <v>943</v>
      </c>
      <c r="B4192" s="6" t="s">
        <v>1597</v>
      </c>
      <c r="C4192" s="6" t="s">
        <v>1399</v>
      </c>
      <c r="D4192" s="6" t="s">
        <v>989</v>
      </c>
      <c r="G4192" s="6">
        <v>100</v>
      </c>
      <c r="H4192" s="6">
        <v>200</v>
      </c>
      <c r="I4192" s="9"/>
      <c r="J4192" s="9"/>
      <c r="K4192" s="9">
        <v>44008570</v>
      </c>
      <c r="L4192" s="6" t="str">
        <f t="shared" si="407"/>
        <v>1D  HUGO BAZA  100x200</v>
      </c>
      <c r="M4192" s="12">
        <v>0.5</v>
      </c>
      <c r="N4192" s="12">
        <v>0.5</v>
      </c>
      <c r="O4192" s="12">
        <v>12400</v>
      </c>
      <c r="P4192" s="12">
        <f t="shared" si="401"/>
        <v>6200</v>
      </c>
      <c r="Q4192" s="12">
        <f t="shared" si="406"/>
        <v>13020</v>
      </c>
      <c r="R4192" s="33">
        <f t="shared" si="402"/>
        <v>13000</v>
      </c>
      <c r="T4192" s="12"/>
      <c r="U4192" s="12">
        <v>16900</v>
      </c>
      <c r="V4192" s="12"/>
      <c r="W4192" s="12">
        <f t="shared" si="405"/>
        <v>15500</v>
      </c>
    </row>
    <row r="4193" spans="1:23" s="6" customFormat="1" ht="21.95" customHeight="1" x14ac:dyDescent="0.2">
      <c r="A4193" s="6" t="s">
        <v>943</v>
      </c>
      <c r="B4193" s="6" t="s">
        <v>1597</v>
      </c>
      <c r="C4193" s="6" t="s">
        <v>1399</v>
      </c>
      <c r="D4193" s="6" t="s">
        <v>989</v>
      </c>
      <c r="G4193" s="6">
        <v>120</v>
      </c>
      <c r="H4193" s="6">
        <v>200</v>
      </c>
      <c r="I4193" s="9"/>
      <c r="J4193" s="9"/>
      <c r="K4193" s="9">
        <v>44008571</v>
      </c>
      <c r="L4193" s="6" t="str">
        <f t="shared" si="407"/>
        <v>1D  HUGO BAZA  120x200</v>
      </c>
      <c r="M4193" s="12">
        <v>0.5</v>
      </c>
      <c r="N4193" s="12">
        <v>0.5</v>
      </c>
      <c r="O4193" s="12">
        <v>14900</v>
      </c>
      <c r="P4193" s="12">
        <f t="shared" si="401"/>
        <v>7450</v>
      </c>
      <c r="Q4193" s="12">
        <f t="shared" si="406"/>
        <v>15645</v>
      </c>
      <c r="R4193" s="33">
        <f t="shared" si="402"/>
        <v>15600</v>
      </c>
      <c r="T4193" s="12"/>
      <c r="U4193" s="12">
        <v>13300</v>
      </c>
      <c r="V4193" s="12"/>
      <c r="W4193" s="12">
        <f t="shared" si="405"/>
        <v>18625</v>
      </c>
    </row>
    <row r="4194" spans="1:23" s="6" customFormat="1" ht="21.95" customHeight="1" x14ac:dyDescent="0.2">
      <c r="A4194" s="6" t="s">
        <v>943</v>
      </c>
      <c r="B4194" s="6" t="s">
        <v>1597</v>
      </c>
      <c r="C4194" s="6" t="s">
        <v>1399</v>
      </c>
      <c r="D4194" s="6" t="s">
        <v>989</v>
      </c>
      <c r="G4194" s="6">
        <v>140</v>
      </c>
      <c r="H4194" s="6">
        <v>200</v>
      </c>
      <c r="I4194" s="9"/>
      <c r="J4194" s="9"/>
      <c r="K4194" s="9">
        <v>44008572</v>
      </c>
      <c r="L4194" s="6" t="str">
        <f t="shared" si="407"/>
        <v>1D  HUGO BAZA  140x200</v>
      </c>
      <c r="M4194" s="12">
        <v>0.5</v>
      </c>
      <c r="N4194" s="12">
        <v>0.5</v>
      </c>
      <c r="O4194" s="12">
        <v>17300</v>
      </c>
      <c r="P4194" s="12">
        <f t="shared" si="401"/>
        <v>8650</v>
      </c>
      <c r="Q4194" s="12">
        <f t="shared" si="406"/>
        <v>18165</v>
      </c>
      <c r="R4194" s="33">
        <f t="shared" si="402"/>
        <v>18100</v>
      </c>
      <c r="T4194" s="12"/>
      <c r="U4194" s="12">
        <v>14000</v>
      </c>
      <c r="V4194" s="12"/>
      <c r="W4194" s="12">
        <f t="shared" si="405"/>
        <v>21625</v>
      </c>
    </row>
    <row r="4195" spans="1:23" s="6" customFormat="1" ht="21.95" customHeight="1" x14ac:dyDescent="0.2">
      <c r="A4195" s="6" t="s">
        <v>943</v>
      </c>
      <c r="B4195" s="6" t="s">
        <v>1597</v>
      </c>
      <c r="C4195" s="6" t="s">
        <v>1399</v>
      </c>
      <c r="D4195" s="6" t="s">
        <v>989</v>
      </c>
      <c r="G4195" s="6">
        <v>150</v>
      </c>
      <c r="H4195" s="6">
        <v>200</v>
      </c>
      <c r="I4195" s="9"/>
      <c r="J4195" s="9"/>
      <c r="K4195" s="9">
        <v>44008573</v>
      </c>
      <c r="L4195" s="6" t="str">
        <f t="shared" si="407"/>
        <v>1D  HUGO BAZA  150x200</v>
      </c>
      <c r="M4195" s="12">
        <v>0.5</v>
      </c>
      <c r="N4195" s="12">
        <v>0.5</v>
      </c>
      <c r="O4195" s="12">
        <v>18600</v>
      </c>
      <c r="P4195" s="12">
        <f t="shared" si="401"/>
        <v>9300</v>
      </c>
      <c r="Q4195" s="12">
        <f t="shared" si="406"/>
        <v>19530</v>
      </c>
      <c r="R4195" s="33">
        <f t="shared" si="402"/>
        <v>19500</v>
      </c>
      <c r="T4195" s="12"/>
      <c r="U4195" s="12">
        <v>14200</v>
      </c>
      <c r="V4195" s="12"/>
      <c r="W4195" s="12">
        <f t="shared" si="405"/>
        <v>23250</v>
      </c>
    </row>
    <row r="4196" spans="1:23" s="6" customFormat="1" ht="21.95" customHeight="1" x14ac:dyDescent="0.2">
      <c r="A4196" s="6" t="s">
        <v>943</v>
      </c>
      <c r="B4196" s="6" t="s">
        <v>1597</v>
      </c>
      <c r="C4196" s="6" t="s">
        <v>1399</v>
      </c>
      <c r="D4196" s="6" t="s">
        <v>989</v>
      </c>
      <c r="G4196" s="6">
        <v>160</v>
      </c>
      <c r="H4196" s="6">
        <v>200</v>
      </c>
      <c r="I4196" s="9"/>
      <c r="J4196" s="9"/>
      <c r="K4196" s="9">
        <v>44008574</v>
      </c>
      <c r="L4196" s="6" t="str">
        <f t="shared" si="407"/>
        <v>1D  HUGO BAZA  160x200</v>
      </c>
      <c r="M4196" s="12">
        <v>0.5</v>
      </c>
      <c r="N4196" s="12">
        <v>0.5</v>
      </c>
      <c r="O4196" s="12">
        <v>19800</v>
      </c>
      <c r="P4196" s="12">
        <f t="shared" si="401"/>
        <v>9900</v>
      </c>
      <c r="Q4196" s="12">
        <f t="shared" si="406"/>
        <v>20790</v>
      </c>
      <c r="R4196" s="33">
        <f t="shared" si="402"/>
        <v>20700</v>
      </c>
      <c r="T4196" s="12"/>
      <c r="U4196" s="12">
        <v>17000</v>
      </c>
      <c r="V4196" s="12"/>
      <c r="W4196" s="12">
        <f t="shared" si="405"/>
        <v>24750</v>
      </c>
    </row>
    <row r="4197" spans="1:23" s="6" customFormat="1" ht="21.95" customHeight="1" x14ac:dyDescent="0.2">
      <c r="A4197" s="6" t="s">
        <v>943</v>
      </c>
      <c r="B4197" s="6" t="s">
        <v>1597</v>
      </c>
      <c r="C4197" s="6" t="s">
        <v>1399</v>
      </c>
      <c r="D4197" s="6" t="s">
        <v>989</v>
      </c>
      <c r="G4197" s="6">
        <v>180</v>
      </c>
      <c r="H4197" s="6">
        <v>200</v>
      </c>
      <c r="I4197" s="9"/>
      <c r="J4197" s="9"/>
      <c r="K4197" s="9">
        <v>44008575</v>
      </c>
      <c r="L4197" s="6" t="str">
        <f t="shared" si="407"/>
        <v>1D  HUGO BAZA  180x200</v>
      </c>
      <c r="M4197" s="12">
        <v>0.5</v>
      </c>
      <c r="N4197" s="12">
        <v>0.5</v>
      </c>
      <c r="O4197" s="12">
        <v>22300</v>
      </c>
      <c r="P4197" s="12">
        <f t="shared" si="401"/>
        <v>11150</v>
      </c>
      <c r="Q4197" s="12">
        <f t="shared" si="406"/>
        <v>23415</v>
      </c>
      <c r="R4197" s="33">
        <f t="shared" si="402"/>
        <v>23400</v>
      </c>
      <c r="T4197" s="12"/>
      <c r="U4197" s="12">
        <v>19900</v>
      </c>
      <c r="V4197" s="12"/>
      <c r="W4197" s="12">
        <f t="shared" si="405"/>
        <v>27875</v>
      </c>
    </row>
    <row r="4198" spans="1:23" s="6" customFormat="1" ht="21.95" customHeight="1" x14ac:dyDescent="0.2">
      <c r="A4198" s="6" t="s">
        <v>943</v>
      </c>
      <c r="B4198" s="6" t="s">
        <v>1597</v>
      </c>
      <c r="C4198" s="6" t="s">
        <v>1399</v>
      </c>
      <c r="D4198" s="6" t="s">
        <v>1003</v>
      </c>
      <c r="G4198" s="6">
        <v>90</v>
      </c>
      <c r="H4198" s="6">
        <v>190</v>
      </c>
      <c r="I4198" s="9"/>
      <c r="J4198" s="9"/>
      <c r="K4198" s="9">
        <v>44008576</v>
      </c>
      <c r="L4198" s="6" t="str">
        <f t="shared" si="407"/>
        <v>1D  HUGO BAŞLIK  90x190</v>
      </c>
      <c r="M4198" s="12">
        <v>0.5</v>
      </c>
      <c r="N4198" s="12">
        <v>0.5</v>
      </c>
      <c r="O4198" s="12">
        <v>7100</v>
      </c>
      <c r="P4198" s="12">
        <f t="shared" si="401"/>
        <v>3550</v>
      </c>
      <c r="Q4198" s="12">
        <f t="shared" si="406"/>
        <v>7455</v>
      </c>
      <c r="R4198" s="33">
        <f t="shared" si="402"/>
        <v>7400</v>
      </c>
      <c r="T4198" s="12"/>
      <c r="U4198" s="12">
        <v>21300</v>
      </c>
      <c r="V4198" s="12"/>
      <c r="W4198" s="12">
        <f t="shared" si="405"/>
        <v>8875</v>
      </c>
    </row>
    <row r="4199" spans="1:23" s="6" customFormat="1" ht="21.95" customHeight="1" x14ac:dyDescent="0.2">
      <c r="A4199" s="6" t="s">
        <v>943</v>
      </c>
      <c r="B4199" s="6" t="s">
        <v>1597</v>
      </c>
      <c r="C4199" s="6" t="s">
        <v>1399</v>
      </c>
      <c r="D4199" s="6" t="s">
        <v>1003</v>
      </c>
      <c r="G4199" s="6">
        <v>90</v>
      </c>
      <c r="H4199" s="6">
        <v>200</v>
      </c>
      <c r="I4199" s="9"/>
      <c r="J4199" s="9"/>
      <c r="K4199" s="9">
        <v>44008577</v>
      </c>
      <c r="L4199" s="6" t="str">
        <f t="shared" si="407"/>
        <v>1D  HUGO BAŞLIK  90x200</v>
      </c>
      <c r="M4199" s="12">
        <v>0.5</v>
      </c>
      <c r="N4199" s="12">
        <v>0.5</v>
      </c>
      <c r="O4199" s="12">
        <v>7400</v>
      </c>
      <c r="P4199" s="12">
        <f t="shared" si="401"/>
        <v>3700</v>
      </c>
      <c r="Q4199" s="12">
        <f t="shared" si="406"/>
        <v>7770</v>
      </c>
      <c r="R4199" s="33">
        <f t="shared" si="402"/>
        <v>7700</v>
      </c>
      <c r="T4199" s="12"/>
      <c r="U4199" s="12">
        <v>22700</v>
      </c>
      <c r="V4199" s="12"/>
      <c r="W4199" s="12">
        <f t="shared" si="405"/>
        <v>9250</v>
      </c>
    </row>
    <row r="4200" spans="1:23" s="6" customFormat="1" ht="21.95" customHeight="1" x14ac:dyDescent="0.2">
      <c r="A4200" s="6" t="s">
        <v>943</v>
      </c>
      <c r="B4200" s="6" t="s">
        <v>1597</v>
      </c>
      <c r="C4200" s="6" t="s">
        <v>1399</v>
      </c>
      <c r="D4200" s="6" t="s">
        <v>1003</v>
      </c>
      <c r="G4200" s="6">
        <v>100</v>
      </c>
      <c r="H4200" s="6">
        <v>200</v>
      </c>
      <c r="I4200" s="9"/>
      <c r="J4200" s="9"/>
      <c r="K4200" s="9">
        <v>44008578</v>
      </c>
      <c r="L4200" s="6" t="str">
        <f t="shared" si="407"/>
        <v>1D  HUGO BAŞLIK  100x200</v>
      </c>
      <c r="M4200" s="12">
        <v>0.5</v>
      </c>
      <c r="N4200" s="12">
        <v>0.5</v>
      </c>
      <c r="O4200" s="12">
        <v>8300</v>
      </c>
      <c r="P4200" s="12">
        <f t="shared" si="401"/>
        <v>4150</v>
      </c>
      <c r="Q4200" s="12">
        <f t="shared" si="406"/>
        <v>8715</v>
      </c>
      <c r="R4200" s="33">
        <f t="shared" si="402"/>
        <v>8700</v>
      </c>
      <c r="T4200" s="12"/>
      <c r="U4200" s="12">
        <v>25500</v>
      </c>
      <c r="V4200" s="12"/>
      <c r="W4200" s="12">
        <f t="shared" si="405"/>
        <v>10375</v>
      </c>
    </row>
    <row r="4201" spans="1:23" s="6" customFormat="1" ht="21.95" customHeight="1" x14ac:dyDescent="0.2">
      <c r="A4201" s="6" t="s">
        <v>943</v>
      </c>
      <c r="B4201" s="6" t="s">
        <v>1597</v>
      </c>
      <c r="C4201" s="6" t="s">
        <v>1399</v>
      </c>
      <c r="D4201" s="6" t="s">
        <v>1003</v>
      </c>
      <c r="G4201" s="6">
        <v>120</v>
      </c>
      <c r="H4201" s="6">
        <v>200</v>
      </c>
      <c r="I4201" s="9"/>
      <c r="J4201" s="9"/>
      <c r="K4201" s="9">
        <v>44008579</v>
      </c>
      <c r="L4201" s="6" t="str">
        <f t="shared" si="407"/>
        <v>1D  HUGO BAŞLIK  120x200</v>
      </c>
      <c r="M4201" s="12">
        <v>0.5</v>
      </c>
      <c r="N4201" s="12">
        <v>0.5</v>
      </c>
      <c r="O4201" s="12">
        <v>9900</v>
      </c>
      <c r="P4201" s="12">
        <f t="shared" si="401"/>
        <v>4950</v>
      </c>
      <c r="Q4201" s="12">
        <f t="shared" si="406"/>
        <v>10395</v>
      </c>
      <c r="R4201" s="33">
        <f t="shared" si="402"/>
        <v>10300</v>
      </c>
      <c r="T4201" s="12"/>
      <c r="U4201" s="12">
        <v>15800</v>
      </c>
      <c r="V4201" s="12"/>
      <c r="W4201" s="12">
        <f t="shared" si="405"/>
        <v>12375</v>
      </c>
    </row>
    <row r="4202" spans="1:23" s="6" customFormat="1" ht="21.95" customHeight="1" x14ac:dyDescent="0.2">
      <c r="A4202" s="6" t="s">
        <v>943</v>
      </c>
      <c r="B4202" s="6" t="s">
        <v>1597</v>
      </c>
      <c r="C4202" s="6" t="s">
        <v>1399</v>
      </c>
      <c r="D4202" s="6" t="s">
        <v>1003</v>
      </c>
      <c r="G4202" s="6">
        <v>140</v>
      </c>
      <c r="H4202" s="6">
        <v>200</v>
      </c>
      <c r="I4202" s="9"/>
      <c r="J4202" s="9"/>
      <c r="K4202" s="9">
        <v>44008580</v>
      </c>
      <c r="L4202" s="6" t="str">
        <f t="shared" si="407"/>
        <v>1D  HUGO BAŞLIK  140x200</v>
      </c>
      <c r="M4202" s="12">
        <v>0.5</v>
      </c>
      <c r="N4202" s="12">
        <v>0.5</v>
      </c>
      <c r="O4202" s="12">
        <v>11600</v>
      </c>
      <c r="P4202" s="12">
        <f t="shared" si="401"/>
        <v>5800</v>
      </c>
      <c r="Q4202" s="12">
        <f t="shared" si="406"/>
        <v>12180</v>
      </c>
      <c r="R4202" s="33">
        <f t="shared" si="402"/>
        <v>12100</v>
      </c>
      <c r="T4202" s="12"/>
      <c r="U4202" s="12">
        <v>12500</v>
      </c>
      <c r="V4202" s="12"/>
      <c r="W4202" s="12">
        <f t="shared" si="405"/>
        <v>14500</v>
      </c>
    </row>
    <row r="4203" spans="1:23" s="6" customFormat="1" ht="21.95" customHeight="1" x14ac:dyDescent="0.2">
      <c r="A4203" s="6" t="s">
        <v>943</v>
      </c>
      <c r="B4203" s="6" t="s">
        <v>1597</v>
      </c>
      <c r="C4203" s="6" t="s">
        <v>1399</v>
      </c>
      <c r="D4203" s="6" t="s">
        <v>1003</v>
      </c>
      <c r="G4203" s="6">
        <v>150</v>
      </c>
      <c r="H4203" s="6">
        <v>200</v>
      </c>
      <c r="I4203" s="9"/>
      <c r="J4203" s="9"/>
      <c r="K4203" s="9">
        <v>44008581</v>
      </c>
      <c r="L4203" s="6" t="str">
        <f t="shared" si="407"/>
        <v>1D  HUGO BAŞLIK  150x200</v>
      </c>
      <c r="M4203" s="12">
        <v>0.5</v>
      </c>
      <c r="N4203" s="12">
        <v>0.5</v>
      </c>
      <c r="O4203" s="12">
        <v>12400</v>
      </c>
      <c r="P4203" s="12">
        <f t="shared" si="401"/>
        <v>6200</v>
      </c>
      <c r="Q4203" s="12">
        <f t="shared" si="406"/>
        <v>13020</v>
      </c>
      <c r="R4203" s="33">
        <f t="shared" si="402"/>
        <v>13000</v>
      </c>
      <c r="T4203" s="12"/>
      <c r="U4203" s="12">
        <v>13200</v>
      </c>
      <c r="V4203" s="12"/>
      <c r="W4203" s="12">
        <f t="shared" si="405"/>
        <v>15500</v>
      </c>
    </row>
    <row r="4204" spans="1:23" s="6" customFormat="1" ht="21.95" customHeight="1" x14ac:dyDescent="0.2">
      <c r="A4204" s="6" t="s">
        <v>943</v>
      </c>
      <c r="B4204" s="6" t="s">
        <v>1597</v>
      </c>
      <c r="C4204" s="6" t="s">
        <v>1399</v>
      </c>
      <c r="D4204" s="6" t="s">
        <v>1003</v>
      </c>
      <c r="G4204" s="6">
        <v>160</v>
      </c>
      <c r="H4204" s="6">
        <v>200</v>
      </c>
      <c r="I4204" s="9"/>
      <c r="J4204" s="9"/>
      <c r="K4204" s="9">
        <v>44008582</v>
      </c>
      <c r="L4204" s="6" t="str">
        <f t="shared" si="407"/>
        <v>1D  HUGO BAŞLIK  160x200</v>
      </c>
      <c r="M4204" s="12">
        <v>0.5</v>
      </c>
      <c r="N4204" s="12">
        <v>0.5</v>
      </c>
      <c r="O4204" s="12">
        <v>13200</v>
      </c>
      <c r="P4204" s="12">
        <f t="shared" si="401"/>
        <v>6600</v>
      </c>
      <c r="Q4204" s="12">
        <f t="shared" si="406"/>
        <v>13860</v>
      </c>
      <c r="R4204" s="33">
        <f t="shared" si="402"/>
        <v>13800</v>
      </c>
      <c r="T4204" s="12"/>
      <c r="U4204" s="12">
        <v>13300</v>
      </c>
      <c r="V4204" s="12"/>
      <c r="W4204" s="12">
        <f t="shared" si="405"/>
        <v>16500</v>
      </c>
    </row>
    <row r="4205" spans="1:23" s="6" customFormat="1" ht="21.95" customHeight="1" x14ac:dyDescent="0.2">
      <c r="A4205" s="6" t="s">
        <v>943</v>
      </c>
      <c r="B4205" s="6" t="s">
        <v>1597</v>
      </c>
      <c r="C4205" s="6" t="s">
        <v>1399</v>
      </c>
      <c r="D4205" s="6" t="s">
        <v>1003</v>
      </c>
      <c r="G4205" s="6">
        <v>180</v>
      </c>
      <c r="H4205" s="6">
        <v>200</v>
      </c>
      <c r="I4205" s="9"/>
      <c r="J4205" s="9"/>
      <c r="K4205" s="9">
        <v>44008583</v>
      </c>
      <c r="L4205" s="6" t="str">
        <f t="shared" si="407"/>
        <v>1D  HUGO BAŞLIK  180x200</v>
      </c>
      <c r="M4205" s="12">
        <v>0.5</v>
      </c>
      <c r="N4205" s="12">
        <v>0.5</v>
      </c>
      <c r="O4205" s="12">
        <v>14900</v>
      </c>
      <c r="P4205" s="12">
        <f t="shared" ref="P4205:P4268" si="408">O4205*(1-N4205)</f>
        <v>7450</v>
      </c>
      <c r="Q4205" s="12">
        <f t="shared" si="406"/>
        <v>15645</v>
      </c>
      <c r="R4205" s="33">
        <f t="shared" ref="R4205:R4268" si="409">ROUNDDOWN(Q4205,-2)</f>
        <v>15600</v>
      </c>
      <c r="T4205" s="12"/>
      <c r="U4205" s="12">
        <v>16000</v>
      </c>
      <c r="V4205" s="12"/>
      <c r="W4205" s="12">
        <f t="shared" si="405"/>
        <v>18625</v>
      </c>
    </row>
    <row r="4206" spans="1:23" s="6" customFormat="1" ht="21.95" customHeight="1" x14ac:dyDescent="0.2">
      <c r="A4206" s="6" t="s">
        <v>943</v>
      </c>
      <c r="B4206" s="6" t="s">
        <v>1597</v>
      </c>
      <c r="C4206" s="6" t="s">
        <v>1399</v>
      </c>
      <c r="D4206" s="6" t="s">
        <v>943</v>
      </c>
      <c r="G4206" s="6">
        <v>90</v>
      </c>
      <c r="H4206" s="6">
        <v>190</v>
      </c>
      <c r="I4206" s="9"/>
      <c r="J4206" s="9"/>
      <c r="K4206" s="9">
        <v>44008584</v>
      </c>
      <c r="L4206" s="6" t="str">
        <f t="shared" si="407"/>
        <v>1D  HUGO YATAK  90x190</v>
      </c>
      <c r="M4206" s="12">
        <v>0.5</v>
      </c>
      <c r="N4206" s="12">
        <v>0.5</v>
      </c>
      <c r="O4206" s="12">
        <v>10600</v>
      </c>
      <c r="P4206" s="12">
        <f t="shared" si="408"/>
        <v>5300</v>
      </c>
      <c r="Q4206" s="12">
        <f t="shared" si="406"/>
        <v>11130</v>
      </c>
      <c r="R4206" s="33">
        <f t="shared" si="409"/>
        <v>11100</v>
      </c>
      <c r="T4206" s="12"/>
      <c r="U4206" s="12">
        <v>18600</v>
      </c>
      <c r="V4206" s="12"/>
      <c r="W4206" s="12">
        <f t="shared" si="405"/>
        <v>13250</v>
      </c>
    </row>
    <row r="4207" spans="1:23" s="6" customFormat="1" ht="21.95" customHeight="1" x14ac:dyDescent="0.2">
      <c r="A4207" s="6" t="s">
        <v>943</v>
      </c>
      <c r="B4207" s="6" t="s">
        <v>1597</v>
      </c>
      <c r="C4207" s="6" t="s">
        <v>1399</v>
      </c>
      <c r="D4207" s="6" t="s">
        <v>943</v>
      </c>
      <c r="G4207" s="6">
        <v>90</v>
      </c>
      <c r="H4207" s="6">
        <v>200</v>
      </c>
      <c r="I4207" s="9"/>
      <c r="J4207" s="9"/>
      <c r="K4207" s="9">
        <v>44008585</v>
      </c>
      <c r="L4207" s="6" t="str">
        <f t="shared" si="407"/>
        <v>1D  HUGO YATAK  90x200</v>
      </c>
      <c r="M4207" s="12">
        <v>0.5</v>
      </c>
      <c r="N4207" s="12">
        <v>0.5</v>
      </c>
      <c r="O4207" s="12">
        <v>11100</v>
      </c>
      <c r="P4207" s="12">
        <f t="shared" si="408"/>
        <v>5550</v>
      </c>
      <c r="Q4207" s="12">
        <f t="shared" si="406"/>
        <v>11655</v>
      </c>
      <c r="R4207" s="33">
        <f t="shared" si="409"/>
        <v>11600</v>
      </c>
      <c r="T4207" s="12"/>
      <c r="U4207" s="12">
        <v>20000</v>
      </c>
      <c r="V4207" s="12"/>
      <c r="W4207" s="12">
        <f t="shared" si="405"/>
        <v>13875</v>
      </c>
    </row>
    <row r="4208" spans="1:23" s="6" customFormat="1" ht="21.95" customHeight="1" x14ac:dyDescent="0.2">
      <c r="A4208" s="6" t="s">
        <v>943</v>
      </c>
      <c r="B4208" s="6" t="s">
        <v>1597</v>
      </c>
      <c r="C4208" s="6" t="s">
        <v>1399</v>
      </c>
      <c r="D4208" s="6" t="s">
        <v>943</v>
      </c>
      <c r="G4208" s="6">
        <v>100</v>
      </c>
      <c r="H4208" s="6">
        <v>200</v>
      </c>
      <c r="I4208" s="9"/>
      <c r="J4208" s="9"/>
      <c r="K4208" s="9">
        <v>44008586</v>
      </c>
      <c r="L4208" s="6" t="str">
        <f t="shared" si="407"/>
        <v>1D  HUGO YATAK  100x200</v>
      </c>
      <c r="M4208" s="12">
        <v>0.5</v>
      </c>
      <c r="N4208" s="12">
        <v>0.5</v>
      </c>
      <c r="O4208" s="12">
        <v>12400</v>
      </c>
      <c r="P4208" s="12">
        <f t="shared" si="408"/>
        <v>6200</v>
      </c>
      <c r="Q4208" s="12">
        <f t="shared" si="406"/>
        <v>13020</v>
      </c>
      <c r="R4208" s="33">
        <f t="shared" si="409"/>
        <v>13000</v>
      </c>
      <c r="T4208" s="12"/>
      <c r="U4208" s="12">
        <v>21300</v>
      </c>
      <c r="V4208" s="12"/>
      <c r="W4208" s="12">
        <f t="shared" si="405"/>
        <v>15500</v>
      </c>
    </row>
    <row r="4209" spans="1:23" s="6" customFormat="1" ht="21.95" customHeight="1" x14ac:dyDescent="0.2">
      <c r="A4209" s="6" t="s">
        <v>943</v>
      </c>
      <c r="B4209" s="6" t="s">
        <v>1597</v>
      </c>
      <c r="C4209" s="6" t="s">
        <v>1399</v>
      </c>
      <c r="D4209" s="6" t="s">
        <v>943</v>
      </c>
      <c r="G4209" s="6">
        <v>120</v>
      </c>
      <c r="H4209" s="6">
        <v>200</v>
      </c>
      <c r="I4209" s="9"/>
      <c r="J4209" s="9"/>
      <c r="K4209" s="9">
        <v>44008587</v>
      </c>
      <c r="L4209" s="6" t="str">
        <f t="shared" si="407"/>
        <v>1D  HUGO YATAK  120x200</v>
      </c>
      <c r="M4209" s="12">
        <v>0.5</v>
      </c>
      <c r="N4209" s="12">
        <v>0.5</v>
      </c>
      <c r="O4209" s="12">
        <v>14900</v>
      </c>
      <c r="P4209" s="12">
        <f t="shared" si="408"/>
        <v>7450</v>
      </c>
      <c r="Q4209" s="12">
        <f t="shared" si="406"/>
        <v>15645</v>
      </c>
      <c r="R4209" s="33">
        <f t="shared" si="409"/>
        <v>15600</v>
      </c>
      <c r="T4209" s="12"/>
      <c r="U4209" s="12">
        <v>24000</v>
      </c>
      <c r="V4209" s="12"/>
      <c r="W4209" s="12">
        <f t="shared" si="405"/>
        <v>18625</v>
      </c>
    </row>
    <row r="4210" spans="1:23" s="6" customFormat="1" ht="21.95" customHeight="1" x14ac:dyDescent="0.2">
      <c r="A4210" s="6" t="s">
        <v>943</v>
      </c>
      <c r="B4210" s="6" t="s">
        <v>1597</v>
      </c>
      <c r="C4210" s="6" t="s">
        <v>1399</v>
      </c>
      <c r="D4210" s="6" t="s">
        <v>943</v>
      </c>
      <c r="G4210" s="6">
        <v>140</v>
      </c>
      <c r="H4210" s="6">
        <v>200</v>
      </c>
      <c r="I4210" s="9"/>
      <c r="J4210" s="9"/>
      <c r="K4210" s="9">
        <v>44008588</v>
      </c>
      <c r="L4210" s="6" t="str">
        <f t="shared" si="407"/>
        <v>1D  HUGO YATAK  140x200</v>
      </c>
      <c r="M4210" s="12">
        <v>0.5</v>
      </c>
      <c r="N4210" s="12">
        <v>0.5</v>
      </c>
      <c r="O4210" s="12">
        <v>17300</v>
      </c>
      <c r="P4210" s="12">
        <f t="shared" si="408"/>
        <v>8650</v>
      </c>
      <c r="Q4210" s="12">
        <f t="shared" si="406"/>
        <v>18165</v>
      </c>
      <c r="R4210" s="33">
        <f t="shared" si="409"/>
        <v>18100</v>
      </c>
      <c r="T4210" s="12"/>
      <c r="U4210" s="12">
        <v>9900</v>
      </c>
      <c r="V4210" s="12"/>
      <c r="W4210" s="12">
        <f t="shared" si="405"/>
        <v>21625</v>
      </c>
    </row>
    <row r="4211" spans="1:23" s="6" customFormat="1" ht="21.95" customHeight="1" x14ac:dyDescent="0.2">
      <c r="A4211" s="6" t="s">
        <v>943</v>
      </c>
      <c r="B4211" s="6" t="s">
        <v>1597</v>
      </c>
      <c r="C4211" s="6" t="s">
        <v>1399</v>
      </c>
      <c r="D4211" s="6" t="s">
        <v>943</v>
      </c>
      <c r="G4211" s="6">
        <v>150</v>
      </c>
      <c r="H4211" s="6">
        <v>200</v>
      </c>
      <c r="I4211" s="9"/>
      <c r="J4211" s="9"/>
      <c r="K4211" s="9">
        <v>44008589</v>
      </c>
      <c r="L4211" s="6" t="str">
        <f t="shared" si="407"/>
        <v>1D  HUGO YATAK  150x200</v>
      </c>
      <c r="M4211" s="12">
        <v>0.5</v>
      </c>
      <c r="N4211" s="12">
        <v>0.5</v>
      </c>
      <c r="O4211" s="12">
        <v>18600</v>
      </c>
      <c r="P4211" s="12">
        <f t="shared" si="408"/>
        <v>9300</v>
      </c>
      <c r="Q4211" s="12">
        <f t="shared" si="406"/>
        <v>19530</v>
      </c>
      <c r="R4211" s="33">
        <f t="shared" si="409"/>
        <v>19500</v>
      </c>
      <c r="T4211" s="12"/>
      <c r="U4211" s="12">
        <v>9900</v>
      </c>
      <c r="V4211" s="12"/>
      <c r="W4211" s="12">
        <f t="shared" si="405"/>
        <v>23250</v>
      </c>
    </row>
    <row r="4212" spans="1:23" s="6" customFormat="1" ht="21.95" customHeight="1" x14ac:dyDescent="0.2">
      <c r="A4212" s="6" t="s">
        <v>943</v>
      </c>
      <c r="B4212" s="6" t="s">
        <v>1597</v>
      </c>
      <c r="C4212" s="6" t="s">
        <v>1399</v>
      </c>
      <c r="D4212" s="6" t="s">
        <v>943</v>
      </c>
      <c r="G4212" s="6">
        <v>160</v>
      </c>
      <c r="H4212" s="6">
        <v>200</v>
      </c>
      <c r="I4212" s="9"/>
      <c r="J4212" s="9"/>
      <c r="K4212" s="9">
        <v>44008590</v>
      </c>
      <c r="L4212" s="6" t="str">
        <f t="shared" si="407"/>
        <v>1D  HUGO YATAK  160x200</v>
      </c>
      <c r="M4212" s="12">
        <v>0.5</v>
      </c>
      <c r="N4212" s="12">
        <v>0.5</v>
      </c>
      <c r="O4212" s="12">
        <v>19800</v>
      </c>
      <c r="P4212" s="12">
        <f t="shared" si="408"/>
        <v>9900</v>
      </c>
      <c r="Q4212" s="12">
        <f t="shared" si="406"/>
        <v>20790</v>
      </c>
      <c r="R4212" s="33">
        <f t="shared" si="409"/>
        <v>20700</v>
      </c>
      <c r="T4212" s="12"/>
      <c r="U4212" s="12">
        <v>10000</v>
      </c>
      <c r="V4212" s="12"/>
      <c r="W4212" s="12">
        <f t="shared" si="405"/>
        <v>24750</v>
      </c>
    </row>
    <row r="4213" spans="1:23" s="6" customFormat="1" ht="21.95" customHeight="1" x14ac:dyDescent="0.2">
      <c r="A4213" s="6" t="s">
        <v>943</v>
      </c>
      <c r="B4213" s="6" t="s">
        <v>1597</v>
      </c>
      <c r="C4213" s="6" t="s">
        <v>1399</v>
      </c>
      <c r="D4213" s="6" t="s">
        <v>943</v>
      </c>
      <c r="G4213" s="6">
        <v>180</v>
      </c>
      <c r="H4213" s="6">
        <v>200</v>
      </c>
      <c r="I4213" s="9"/>
      <c r="J4213" s="9"/>
      <c r="K4213" s="9">
        <v>44008591</v>
      </c>
      <c r="L4213" s="6" t="str">
        <f t="shared" si="407"/>
        <v>1D  HUGO YATAK  180x200</v>
      </c>
      <c r="M4213" s="12">
        <v>0.5</v>
      </c>
      <c r="N4213" s="12">
        <v>0.5</v>
      </c>
      <c r="O4213" s="12">
        <v>22300</v>
      </c>
      <c r="P4213" s="12">
        <f t="shared" si="408"/>
        <v>11150</v>
      </c>
      <c r="Q4213" s="12">
        <f t="shared" si="406"/>
        <v>23415</v>
      </c>
      <c r="R4213" s="33">
        <f t="shared" si="409"/>
        <v>23400</v>
      </c>
      <c r="T4213" s="12"/>
      <c r="U4213" s="12">
        <v>12000</v>
      </c>
      <c r="V4213" s="12"/>
      <c r="W4213" s="12">
        <f t="shared" si="405"/>
        <v>27875</v>
      </c>
    </row>
    <row r="4214" spans="1:23" s="6" customFormat="1" ht="21.95" customHeight="1" x14ac:dyDescent="0.2">
      <c r="A4214" s="6" t="s">
        <v>943</v>
      </c>
      <c r="B4214" s="6" t="s">
        <v>1597</v>
      </c>
      <c r="C4214" s="6" t="s">
        <v>1399</v>
      </c>
      <c r="D4214" s="6" t="s">
        <v>1380</v>
      </c>
      <c r="I4214" s="9"/>
      <c r="J4214" s="9"/>
      <c r="K4214" s="9">
        <v>44008592</v>
      </c>
      <c r="L4214" s="6" t="str">
        <f>B4214&amp;" "&amp;C4214&amp;" "&amp;D4214</f>
        <v>1D  HUGO KOMODİN (2 ADET)</v>
      </c>
      <c r="M4214" s="12">
        <v>0.5</v>
      </c>
      <c r="N4214" s="12">
        <v>0.5</v>
      </c>
      <c r="O4214" s="12">
        <v>13200</v>
      </c>
      <c r="P4214" s="12">
        <f t="shared" si="408"/>
        <v>6600</v>
      </c>
      <c r="Q4214" s="12">
        <f t="shared" si="406"/>
        <v>13860</v>
      </c>
      <c r="R4214" s="33">
        <f t="shared" si="409"/>
        <v>13800</v>
      </c>
      <c r="T4214" s="12"/>
      <c r="U4214" s="12">
        <v>14000</v>
      </c>
      <c r="V4214" s="12"/>
      <c r="W4214" s="12">
        <f t="shared" ref="W4214:W4252" si="410">P4214*2.5</f>
        <v>16500</v>
      </c>
    </row>
    <row r="4215" spans="1:23" s="6" customFormat="1" ht="21.95" customHeight="1" x14ac:dyDescent="0.2">
      <c r="A4215" s="6" t="s">
        <v>943</v>
      </c>
      <c r="B4215" s="6" t="s">
        <v>1597</v>
      </c>
      <c r="C4215" s="6" t="s">
        <v>1400</v>
      </c>
      <c r="D4215" s="6" t="s">
        <v>989</v>
      </c>
      <c r="G4215" s="6">
        <v>90</v>
      </c>
      <c r="H4215" s="6">
        <v>190</v>
      </c>
      <c r="I4215" s="9"/>
      <c r="J4215" s="9"/>
      <c r="K4215" s="9">
        <v>44008593</v>
      </c>
      <c r="L4215" s="6" t="str">
        <f t="shared" ref="L4215:L4238" si="411">B4215&amp;" "&amp;C4215&amp;" "&amp;D4215&amp;" "&amp;G4215&amp;"x"&amp;H4215</f>
        <v>1D  JULIE  BAZA  90x190</v>
      </c>
      <c r="M4215" s="12">
        <v>0.5</v>
      </c>
      <c r="N4215" s="12">
        <v>0.5</v>
      </c>
      <c r="O4215" s="12">
        <v>10600</v>
      </c>
      <c r="P4215" s="12">
        <f t="shared" si="408"/>
        <v>5300</v>
      </c>
      <c r="Q4215" s="12">
        <f t="shared" si="406"/>
        <v>11130</v>
      </c>
      <c r="R4215" s="33">
        <f t="shared" si="409"/>
        <v>11100</v>
      </c>
      <c r="T4215" s="12"/>
      <c r="U4215" s="12">
        <v>15000</v>
      </c>
      <c r="V4215" s="12"/>
      <c r="W4215" s="12">
        <f t="shared" si="410"/>
        <v>13250</v>
      </c>
    </row>
    <row r="4216" spans="1:23" s="6" customFormat="1" ht="21.95" customHeight="1" x14ac:dyDescent="0.2">
      <c r="A4216" s="6" t="s">
        <v>943</v>
      </c>
      <c r="B4216" s="6" t="s">
        <v>1597</v>
      </c>
      <c r="C4216" s="6" t="s">
        <v>1400</v>
      </c>
      <c r="D4216" s="6" t="s">
        <v>989</v>
      </c>
      <c r="G4216" s="6">
        <v>90</v>
      </c>
      <c r="H4216" s="6">
        <v>200</v>
      </c>
      <c r="I4216" s="9"/>
      <c r="J4216" s="9"/>
      <c r="K4216" s="9">
        <v>44008594</v>
      </c>
      <c r="L4216" s="6" t="str">
        <f t="shared" si="411"/>
        <v>1D  JULIE  BAZA  90x200</v>
      </c>
      <c r="M4216" s="12">
        <v>0.5</v>
      </c>
      <c r="N4216" s="12">
        <v>0.5</v>
      </c>
      <c r="O4216" s="12">
        <v>11100</v>
      </c>
      <c r="P4216" s="12">
        <f t="shared" si="408"/>
        <v>5550</v>
      </c>
      <c r="Q4216" s="12">
        <f t="shared" si="406"/>
        <v>11655</v>
      </c>
      <c r="R4216" s="33">
        <f t="shared" si="409"/>
        <v>11600</v>
      </c>
      <c r="T4216" s="12"/>
      <c r="U4216" s="12">
        <v>16000</v>
      </c>
      <c r="V4216" s="12"/>
      <c r="W4216" s="12">
        <f t="shared" si="410"/>
        <v>13875</v>
      </c>
    </row>
    <row r="4217" spans="1:23" s="6" customFormat="1" ht="21.95" customHeight="1" x14ac:dyDescent="0.2">
      <c r="A4217" s="6" t="s">
        <v>943</v>
      </c>
      <c r="B4217" s="6" t="s">
        <v>1597</v>
      </c>
      <c r="C4217" s="6" t="s">
        <v>1400</v>
      </c>
      <c r="D4217" s="6" t="s">
        <v>989</v>
      </c>
      <c r="G4217" s="6">
        <v>100</v>
      </c>
      <c r="H4217" s="6">
        <v>200</v>
      </c>
      <c r="I4217" s="9"/>
      <c r="J4217" s="9"/>
      <c r="K4217" s="9">
        <v>44008595</v>
      </c>
      <c r="L4217" s="6" t="str">
        <f t="shared" si="411"/>
        <v>1D  JULIE  BAZA  100x200</v>
      </c>
      <c r="M4217" s="12">
        <v>0.5</v>
      </c>
      <c r="N4217" s="12">
        <v>0.5</v>
      </c>
      <c r="O4217" s="12">
        <v>12400</v>
      </c>
      <c r="P4217" s="12">
        <f t="shared" si="408"/>
        <v>6200</v>
      </c>
      <c r="Q4217" s="12">
        <f t="shared" si="406"/>
        <v>13020</v>
      </c>
      <c r="R4217" s="33">
        <f t="shared" si="409"/>
        <v>13000</v>
      </c>
      <c r="T4217" s="12"/>
      <c r="U4217" s="12">
        <v>18000</v>
      </c>
      <c r="V4217" s="12"/>
      <c r="W4217" s="12">
        <f t="shared" si="410"/>
        <v>15500</v>
      </c>
    </row>
    <row r="4218" spans="1:23" s="6" customFormat="1" ht="21.95" customHeight="1" x14ac:dyDescent="0.2">
      <c r="A4218" s="6" t="s">
        <v>943</v>
      </c>
      <c r="B4218" s="6" t="s">
        <v>1597</v>
      </c>
      <c r="C4218" s="6" t="s">
        <v>1400</v>
      </c>
      <c r="D4218" s="6" t="s">
        <v>989</v>
      </c>
      <c r="G4218" s="6">
        <v>120</v>
      </c>
      <c r="H4218" s="6">
        <v>200</v>
      </c>
      <c r="I4218" s="9"/>
      <c r="J4218" s="9"/>
      <c r="K4218" s="9">
        <v>44008596</v>
      </c>
      <c r="L4218" s="6" t="str">
        <f t="shared" si="411"/>
        <v>1D  JULIE  BAZA  120x200</v>
      </c>
      <c r="M4218" s="12">
        <v>0.5</v>
      </c>
      <c r="N4218" s="12">
        <v>0.5</v>
      </c>
      <c r="O4218" s="12">
        <v>14900</v>
      </c>
      <c r="P4218" s="12">
        <f t="shared" si="408"/>
        <v>7450</v>
      </c>
      <c r="Q4218" s="12">
        <f t="shared" si="406"/>
        <v>15645</v>
      </c>
      <c r="R4218" s="33">
        <f t="shared" si="409"/>
        <v>15600</v>
      </c>
      <c r="T4218" s="12"/>
      <c r="U4218" s="12">
        <v>13100</v>
      </c>
      <c r="V4218" s="12"/>
      <c r="W4218" s="12">
        <f t="shared" si="410"/>
        <v>18625</v>
      </c>
    </row>
    <row r="4219" spans="1:23" s="6" customFormat="1" ht="21.95" customHeight="1" x14ac:dyDescent="0.2">
      <c r="A4219" s="6" t="s">
        <v>943</v>
      </c>
      <c r="B4219" s="6" t="s">
        <v>1597</v>
      </c>
      <c r="C4219" s="6" t="s">
        <v>1400</v>
      </c>
      <c r="D4219" s="6" t="s">
        <v>989</v>
      </c>
      <c r="G4219" s="6">
        <v>140</v>
      </c>
      <c r="H4219" s="6">
        <v>200</v>
      </c>
      <c r="I4219" s="9"/>
      <c r="J4219" s="9"/>
      <c r="K4219" s="9">
        <v>44008597</v>
      </c>
      <c r="L4219" s="6" t="str">
        <f t="shared" si="411"/>
        <v>1D  JULIE  BAZA  140x200</v>
      </c>
      <c r="M4219" s="12">
        <v>0.5</v>
      </c>
      <c r="N4219" s="12">
        <v>0.5</v>
      </c>
      <c r="O4219" s="12">
        <v>17300</v>
      </c>
      <c r="P4219" s="12">
        <f t="shared" si="408"/>
        <v>8650</v>
      </c>
      <c r="Q4219" s="12">
        <f t="shared" si="406"/>
        <v>18165</v>
      </c>
      <c r="R4219" s="33">
        <f t="shared" si="409"/>
        <v>18100</v>
      </c>
      <c r="T4219" s="12"/>
      <c r="U4219" s="12">
        <v>13800</v>
      </c>
      <c r="V4219" s="12"/>
      <c r="W4219" s="12">
        <f t="shared" si="410"/>
        <v>21625</v>
      </c>
    </row>
    <row r="4220" spans="1:23" s="6" customFormat="1" ht="21.95" customHeight="1" x14ac:dyDescent="0.2">
      <c r="A4220" s="6" t="s">
        <v>943</v>
      </c>
      <c r="B4220" s="6" t="s">
        <v>1597</v>
      </c>
      <c r="C4220" s="6" t="s">
        <v>1400</v>
      </c>
      <c r="D4220" s="6" t="s">
        <v>989</v>
      </c>
      <c r="G4220" s="6">
        <v>150</v>
      </c>
      <c r="H4220" s="6">
        <v>200</v>
      </c>
      <c r="I4220" s="9"/>
      <c r="J4220" s="9"/>
      <c r="K4220" s="9">
        <v>44008598</v>
      </c>
      <c r="L4220" s="6" t="str">
        <f t="shared" si="411"/>
        <v>1D  JULIE  BAZA  150x200</v>
      </c>
      <c r="M4220" s="12">
        <v>0.5</v>
      </c>
      <c r="N4220" s="12">
        <v>0.5</v>
      </c>
      <c r="O4220" s="12">
        <v>18600</v>
      </c>
      <c r="P4220" s="12">
        <f t="shared" si="408"/>
        <v>9300</v>
      </c>
      <c r="Q4220" s="12">
        <f t="shared" si="406"/>
        <v>19530</v>
      </c>
      <c r="R4220" s="33">
        <f t="shared" si="409"/>
        <v>19500</v>
      </c>
      <c r="T4220" s="12"/>
      <c r="U4220" s="12">
        <v>13900</v>
      </c>
      <c r="V4220" s="12"/>
      <c r="W4220" s="12">
        <f t="shared" si="410"/>
        <v>23250</v>
      </c>
    </row>
    <row r="4221" spans="1:23" s="6" customFormat="1" ht="21.95" customHeight="1" x14ac:dyDescent="0.2">
      <c r="A4221" s="6" t="s">
        <v>943</v>
      </c>
      <c r="B4221" s="6" t="s">
        <v>1597</v>
      </c>
      <c r="C4221" s="6" t="s">
        <v>1400</v>
      </c>
      <c r="D4221" s="6" t="s">
        <v>989</v>
      </c>
      <c r="G4221" s="6">
        <v>160</v>
      </c>
      <c r="H4221" s="6">
        <v>200</v>
      </c>
      <c r="I4221" s="9"/>
      <c r="J4221" s="9"/>
      <c r="K4221" s="9">
        <v>44008599</v>
      </c>
      <c r="L4221" s="6" t="str">
        <f t="shared" si="411"/>
        <v>1D  JULIE  BAZA  160x200</v>
      </c>
      <c r="M4221" s="12">
        <v>0.5</v>
      </c>
      <c r="N4221" s="12">
        <v>0.5</v>
      </c>
      <c r="O4221" s="12">
        <v>19800</v>
      </c>
      <c r="P4221" s="12">
        <f t="shared" si="408"/>
        <v>9900</v>
      </c>
      <c r="Q4221" s="12">
        <f t="shared" si="406"/>
        <v>20790</v>
      </c>
      <c r="R4221" s="33">
        <f t="shared" si="409"/>
        <v>20700</v>
      </c>
      <c r="T4221" s="12"/>
      <c r="U4221" s="12">
        <v>16700</v>
      </c>
      <c r="V4221" s="12"/>
      <c r="W4221" s="12">
        <f t="shared" si="410"/>
        <v>24750</v>
      </c>
    </row>
    <row r="4222" spans="1:23" s="6" customFormat="1" ht="21.95" customHeight="1" x14ac:dyDescent="0.2">
      <c r="A4222" s="6" t="s">
        <v>943</v>
      </c>
      <c r="B4222" s="6" t="s">
        <v>1597</v>
      </c>
      <c r="C4222" s="6" t="s">
        <v>1400</v>
      </c>
      <c r="D4222" s="6" t="s">
        <v>989</v>
      </c>
      <c r="G4222" s="6">
        <v>180</v>
      </c>
      <c r="H4222" s="6">
        <v>200</v>
      </c>
      <c r="I4222" s="9"/>
      <c r="J4222" s="9"/>
      <c r="K4222" s="9">
        <v>44008600</v>
      </c>
      <c r="L4222" s="6" t="str">
        <f t="shared" si="411"/>
        <v>1D  JULIE  BAZA  180x200</v>
      </c>
      <c r="M4222" s="12">
        <v>0.5</v>
      </c>
      <c r="N4222" s="12">
        <v>0.5</v>
      </c>
      <c r="O4222" s="12">
        <v>22300</v>
      </c>
      <c r="P4222" s="12">
        <f t="shared" si="408"/>
        <v>11150</v>
      </c>
      <c r="Q4222" s="12">
        <f t="shared" si="406"/>
        <v>23415</v>
      </c>
      <c r="R4222" s="33">
        <f t="shared" si="409"/>
        <v>23400</v>
      </c>
      <c r="T4222" s="12"/>
      <c r="U4222" s="12">
        <v>19500</v>
      </c>
      <c r="V4222" s="12"/>
      <c r="W4222" s="12">
        <f t="shared" si="410"/>
        <v>27875</v>
      </c>
    </row>
    <row r="4223" spans="1:23" s="6" customFormat="1" ht="21.95" customHeight="1" x14ac:dyDescent="0.2">
      <c r="A4223" s="6" t="s">
        <v>943</v>
      </c>
      <c r="B4223" s="6" t="s">
        <v>1597</v>
      </c>
      <c r="C4223" s="6" t="s">
        <v>1400</v>
      </c>
      <c r="D4223" s="6" t="s">
        <v>1003</v>
      </c>
      <c r="G4223" s="6">
        <v>90</v>
      </c>
      <c r="H4223" s="6">
        <v>190</v>
      </c>
      <c r="I4223" s="9"/>
      <c r="J4223" s="9"/>
      <c r="K4223" s="9">
        <v>44008601</v>
      </c>
      <c r="L4223" s="6" t="str">
        <f t="shared" si="411"/>
        <v>1D  JULIE  BAŞLIK  90x190</v>
      </c>
      <c r="M4223" s="12">
        <v>0.5</v>
      </c>
      <c r="N4223" s="12">
        <v>0.5</v>
      </c>
      <c r="O4223" s="12">
        <v>11500</v>
      </c>
      <c r="P4223" s="12">
        <f t="shared" si="408"/>
        <v>5750</v>
      </c>
      <c r="Q4223" s="12">
        <f t="shared" si="406"/>
        <v>12075</v>
      </c>
      <c r="R4223" s="33">
        <f t="shared" si="409"/>
        <v>12000</v>
      </c>
      <c r="T4223" s="12"/>
      <c r="U4223" s="12">
        <v>20900</v>
      </c>
      <c r="V4223" s="12"/>
      <c r="W4223" s="12">
        <f t="shared" si="410"/>
        <v>14375</v>
      </c>
    </row>
    <row r="4224" spans="1:23" s="6" customFormat="1" ht="21.95" customHeight="1" x14ac:dyDescent="0.2">
      <c r="A4224" s="6" t="s">
        <v>943</v>
      </c>
      <c r="B4224" s="6" t="s">
        <v>1597</v>
      </c>
      <c r="C4224" s="6" t="s">
        <v>1400</v>
      </c>
      <c r="D4224" s="6" t="s">
        <v>1003</v>
      </c>
      <c r="G4224" s="6">
        <v>90</v>
      </c>
      <c r="H4224" s="6">
        <v>200</v>
      </c>
      <c r="I4224" s="9"/>
      <c r="J4224" s="9"/>
      <c r="K4224" s="9">
        <v>44008602</v>
      </c>
      <c r="L4224" s="6" t="str">
        <f t="shared" si="411"/>
        <v>1D  JULIE  BAŞLIK  90x200</v>
      </c>
      <c r="M4224" s="12">
        <v>0.5</v>
      </c>
      <c r="N4224" s="12">
        <v>0.5</v>
      </c>
      <c r="O4224" s="12">
        <v>12100</v>
      </c>
      <c r="P4224" s="12">
        <f t="shared" si="408"/>
        <v>6050</v>
      </c>
      <c r="Q4224" s="12">
        <f t="shared" si="406"/>
        <v>12705</v>
      </c>
      <c r="R4224" s="33">
        <f t="shared" si="409"/>
        <v>12700</v>
      </c>
      <c r="T4224" s="12"/>
      <c r="U4224" s="12">
        <v>22300</v>
      </c>
      <c r="V4224" s="12"/>
      <c r="W4224" s="12">
        <f t="shared" si="410"/>
        <v>15125</v>
      </c>
    </row>
    <row r="4225" spans="1:23" s="6" customFormat="1" ht="21.95" customHeight="1" x14ac:dyDescent="0.2">
      <c r="A4225" s="6" t="s">
        <v>943</v>
      </c>
      <c r="B4225" s="6" t="s">
        <v>1597</v>
      </c>
      <c r="C4225" s="6" t="s">
        <v>1400</v>
      </c>
      <c r="D4225" s="6" t="s">
        <v>1003</v>
      </c>
      <c r="G4225" s="6">
        <v>100</v>
      </c>
      <c r="H4225" s="6">
        <v>200</v>
      </c>
      <c r="I4225" s="9"/>
      <c r="J4225" s="9"/>
      <c r="K4225" s="9">
        <v>44008603</v>
      </c>
      <c r="L4225" s="6" t="str">
        <f t="shared" si="411"/>
        <v>1D  JULIE  BAŞLIK  100x200</v>
      </c>
      <c r="M4225" s="12">
        <v>0.5</v>
      </c>
      <c r="N4225" s="12">
        <v>0.5</v>
      </c>
      <c r="O4225" s="12">
        <v>13400</v>
      </c>
      <c r="P4225" s="12">
        <f t="shared" si="408"/>
        <v>6700</v>
      </c>
      <c r="Q4225" s="12">
        <f t="shared" si="406"/>
        <v>14070</v>
      </c>
      <c r="R4225" s="33">
        <f t="shared" si="409"/>
        <v>14000</v>
      </c>
      <c r="T4225" s="12"/>
      <c r="U4225" s="12">
        <v>25100</v>
      </c>
      <c r="V4225" s="12"/>
      <c r="W4225" s="12">
        <f t="shared" si="410"/>
        <v>16750</v>
      </c>
    </row>
    <row r="4226" spans="1:23" s="6" customFormat="1" ht="21.95" customHeight="1" x14ac:dyDescent="0.2">
      <c r="A4226" s="6" t="s">
        <v>943</v>
      </c>
      <c r="B4226" s="6" t="s">
        <v>1597</v>
      </c>
      <c r="C4226" s="6" t="s">
        <v>1400</v>
      </c>
      <c r="D4226" s="6" t="s">
        <v>1003</v>
      </c>
      <c r="G4226" s="6">
        <v>120</v>
      </c>
      <c r="H4226" s="6">
        <v>200</v>
      </c>
      <c r="I4226" s="9"/>
      <c r="J4226" s="9"/>
      <c r="K4226" s="9">
        <v>44008604</v>
      </c>
      <c r="L4226" s="6" t="str">
        <f t="shared" si="411"/>
        <v>1D  JULIE  BAŞLIK  120x200</v>
      </c>
      <c r="M4226" s="12">
        <v>0.5</v>
      </c>
      <c r="N4226" s="12">
        <v>0.5</v>
      </c>
      <c r="O4226" s="12">
        <v>16100</v>
      </c>
      <c r="P4226" s="12">
        <f t="shared" si="408"/>
        <v>8050</v>
      </c>
      <c r="Q4226" s="12">
        <f t="shared" si="406"/>
        <v>16905</v>
      </c>
      <c r="R4226" s="33">
        <f t="shared" si="409"/>
        <v>16900</v>
      </c>
      <c r="T4226" s="12"/>
      <c r="U4226" s="12">
        <v>15800</v>
      </c>
      <c r="V4226" s="12"/>
      <c r="W4226" s="12">
        <f t="shared" si="410"/>
        <v>20125</v>
      </c>
    </row>
    <row r="4227" spans="1:23" s="6" customFormat="1" ht="21.95" customHeight="1" x14ac:dyDescent="0.2">
      <c r="A4227" s="6" t="s">
        <v>943</v>
      </c>
      <c r="B4227" s="6" t="s">
        <v>1597</v>
      </c>
      <c r="C4227" s="6" t="s">
        <v>1400</v>
      </c>
      <c r="D4227" s="6" t="s">
        <v>1003</v>
      </c>
      <c r="G4227" s="6">
        <v>140</v>
      </c>
      <c r="H4227" s="6">
        <v>200</v>
      </c>
      <c r="I4227" s="9"/>
      <c r="J4227" s="9"/>
      <c r="K4227" s="9">
        <v>44008605</v>
      </c>
      <c r="L4227" s="6" t="str">
        <f t="shared" si="411"/>
        <v>1D  JULIE  BAŞLIK  140x200</v>
      </c>
      <c r="M4227" s="12">
        <v>0.5</v>
      </c>
      <c r="N4227" s="12">
        <v>0.5</v>
      </c>
      <c r="O4227" s="12">
        <v>18800</v>
      </c>
      <c r="P4227" s="12">
        <f t="shared" si="408"/>
        <v>9400</v>
      </c>
      <c r="Q4227" s="12">
        <f t="shared" si="406"/>
        <v>19740</v>
      </c>
      <c r="R4227" s="33">
        <f t="shared" si="409"/>
        <v>19700</v>
      </c>
      <c r="T4227" s="12"/>
      <c r="U4227" s="12">
        <v>11900</v>
      </c>
      <c r="V4227" s="12"/>
      <c r="W4227" s="12">
        <f t="shared" si="410"/>
        <v>23500</v>
      </c>
    </row>
    <row r="4228" spans="1:23" s="6" customFormat="1" ht="21.95" customHeight="1" x14ac:dyDescent="0.2">
      <c r="A4228" s="6" t="s">
        <v>943</v>
      </c>
      <c r="B4228" s="6" t="s">
        <v>1597</v>
      </c>
      <c r="C4228" s="6" t="s">
        <v>1400</v>
      </c>
      <c r="D4228" s="6" t="s">
        <v>1003</v>
      </c>
      <c r="G4228" s="6">
        <v>150</v>
      </c>
      <c r="H4228" s="6">
        <v>200</v>
      </c>
      <c r="I4228" s="9"/>
      <c r="J4228" s="9"/>
      <c r="K4228" s="9">
        <v>44008606</v>
      </c>
      <c r="L4228" s="6" t="str">
        <f t="shared" si="411"/>
        <v>1D  JULIE  BAŞLIK  150x200</v>
      </c>
      <c r="M4228" s="12">
        <v>0.5</v>
      </c>
      <c r="N4228" s="12">
        <v>0.5</v>
      </c>
      <c r="O4228" s="12">
        <v>20200</v>
      </c>
      <c r="P4228" s="12">
        <f t="shared" si="408"/>
        <v>10100</v>
      </c>
      <c r="Q4228" s="12">
        <f t="shared" si="406"/>
        <v>21210</v>
      </c>
      <c r="R4228" s="33">
        <f t="shared" si="409"/>
        <v>21200</v>
      </c>
      <c r="T4228" s="12"/>
      <c r="U4228" s="12">
        <v>12600</v>
      </c>
      <c r="V4228" s="12"/>
      <c r="W4228" s="12">
        <f t="shared" si="410"/>
        <v>25250</v>
      </c>
    </row>
    <row r="4229" spans="1:23" s="6" customFormat="1" ht="21.95" customHeight="1" x14ac:dyDescent="0.2">
      <c r="A4229" s="6" t="s">
        <v>943</v>
      </c>
      <c r="B4229" s="6" t="s">
        <v>1597</v>
      </c>
      <c r="C4229" s="6" t="s">
        <v>1400</v>
      </c>
      <c r="D4229" s="6" t="s">
        <v>1003</v>
      </c>
      <c r="G4229" s="6">
        <v>160</v>
      </c>
      <c r="H4229" s="6">
        <v>200</v>
      </c>
      <c r="I4229" s="9"/>
      <c r="J4229" s="9"/>
      <c r="K4229" s="9">
        <v>44008607</v>
      </c>
      <c r="L4229" s="6" t="str">
        <f t="shared" si="411"/>
        <v>1D  JULIE  BAŞLIK  160x200</v>
      </c>
      <c r="M4229" s="12">
        <v>0.5</v>
      </c>
      <c r="N4229" s="12">
        <v>0.5</v>
      </c>
      <c r="O4229" s="12">
        <v>21500</v>
      </c>
      <c r="P4229" s="12">
        <f t="shared" si="408"/>
        <v>10750</v>
      </c>
      <c r="Q4229" s="12">
        <f t="shared" si="406"/>
        <v>22575</v>
      </c>
      <c r="R4229" s="33">
        <f t="shared" si="409"/>
        <v>22500</v>
      </c>
      <c r="T4229" s="12"/>
      <c r="U4229" s="12">
        <v>12700</v>
      </c>
      <c r="V4229" s="12"/>
      <c r="W4229" s="12">
        <f t="shared" si="410"/>
        <v>26875</v>
      </c>
    </row>
    <row r="4230" spans="1:23" s="6" customFormat="1" ht="21.95" customHeight="1" x14ac:dyDescent="0.2">
      <c r="A4230" s="6" t="s">
        <v>943</v>
      </c>
      <c r="B4230" s="6" t="s">
        <v>1597</v>
      </c>
      <c r="C4230" s="6" t="s">
        <v>1400</v>
      </c>
      <c r="D4230" s="6" t="s">
        <v>1003</v>
      </c>
      <c r="G4230" s="6">
        <v>180</v>
      </c>
      <c r="H4230" s="6">
        <v>200</v>
      </c>
      <c r="I4230" s="9"/>
      <c r="J4230" s="9"/>
      <c r="K4230" s="9">
        <v>44008608</v>
      </c>
      <c r="L4230" s="6" t="str">
        <f t="shared" si="411"/>
        <v>1D  JULIE  BAŞLIK  180x200</v>
      </c>
      <c r="M4230" s="12">
        <v>0.5</v>
      </c>
      <c r="N4230" s="12">
        <v>0.5</v>
      </c>
      <c r="O4230" s="12">
        <v>24200</v>
      </c>
      <c r="P4230" s="12">
        <f t="shared" si="408"/>
        <v>12100</v>
      </c>
      <c r="Q4230" s="12">
        <f t="shared" si="406"/>
        <v>25410</v>
      </c>
      <c r="R4230" s="33">
        <f t="shared" si="409"/>
        <v>25400</v>
      </c>
      <c r="T4230" s="12"/>
      <c r="U4230" s="12">
        <v>15200</v>
      </c>
      <c r="V4230" s="12"/>
      <c r="W4230" s="12">
        <f t="shared" si="410"/>
        <v>30250</v>
      </c>
    </row>
    <row r="4231" spans="1:23" s="6" customFormat="1" ht="21.95" customHeight="1" x14ac:dyDescent="0.2">
      <c r="A4231" s="6" t="s">
        <v>943</v>
      </c>
      <c r="B4231" s="6" t="s">
        <v>1597</v>
      </c>
      <c r="C4231" s="6" t="s">
        <v>1400</v>
      </c>
      <c r="D4231" s="6" t="s">
        <v>943</v>
      </c>
      <c r="G4231" s="6">
        <v>90</v>
      </c>
      <c r="H4231" s="6">
        <v>190</v>
      </c>
      <c r="I4231" s="9"/>
      <c r="J4231" s="9"/>
      <c r="K4231" s="9">
        <v>44008609</v>
      </c>
      <c r="L4231" s="6" t="str">
        <f t="shared" si="411"/>
        <v>1D  JULIE  YATAK  90x190</v>
      </c>
      <c r="M4231" s="12">
        <v>0.5</v>
      </c>
      <c r="N4231" s="12">
        <v>0.5</v>
      </c>
      <c r="O4231" s="12">
        <v>11200</v>
      </c>
      <c r="P4231" s="12">
        <f t="shared" si="408"/>
        <v>5600</v>
      </c>
      <c r="Q4231" s="12">
        <f t="shared" si="406"/>
        <v>11760</v>
      </c>
      <c r="R4231" s="33">
        <f t="shared" si="409"/>
        <v>11700</v>
      </c>
      <c r="T4231" s="12"/>
      <c r="U4231" s="12">
        <v>17800</v>
      </c>
      <c r="V4231" s="12"/>
      <c r="W4231" s="12">
        <f t="shared" si="410"/>
        <v>14000</v>
      </c>
    </row>
    <row r="4232" spans="1:23" s="6" customFormat="1" ht="21.95" customHeight="1" x14ac:dyDescent="0.2">
      <c r="A4232" s="6" t="s">
        <v>943</v>
      </c>
      <c r="B4232" s="6" t="s">
        <v>1597</v>
      </c>
      <c r="C4232" s="6" t="s">
        <v>1400</v>
      </c>
      <c r="D4232" s="6" t="s">
        <v>943</v>
      </c>
      <c r="G4232" s="6">
        <v>90</v>
      </c>
      <c r="H4232" s="6">
        <v>200</v>
      </c>
      <c r="I4232" s="9"/>
      <c r="J4232" s="9"/>
      <c r="K4232" s="9">
        <v>44008610</v>
      </c>
      <c r="L4232" s="6" t="str">
        <f t="shared" si="411"/>
        <v>1D  JULIE  YATAK  90x200</v>
      </c>
      <c r="M4232" s="12">
        <v>0.5</v>
      </c>
      <c r="N4232" s="12">
        <v>0.5</v>
      </c>
      <c r="O4232" s="12">
        <v>11800</v>
      </c>
      <c r="P4232" s="12">
        <f t="shared" si="408"/>
        <v>5900</v>
      </c>
      <c r="Q4232" s="12">
        <f t="shared" si="406"/>
        <v>12390</v>
      </c>
      <c r="R4232" s="33">
        <f t="shared" si="409"/>
        <v>12300</v>
      </c>
      <c r="T4232" s="12"/>
      <c r="U4232" s="12">
        <v>19000</v>
      </c>
      <c r="V4232" s="12"/>
      <c r="W4232" s="12">
        <f t="shared" si="410"/>
        <v>14750</v>
      </c>
    </row>
    <row r="4233" spans="1:23" s="6" customFormat="1" ht="21.95" customHeight="1" x14ac:dyDescent="0.2">
      <c r="A4233" s="6" t="s">
        <v>943</v>
      </c>
      <c r="B4233" s="6" t="s">
        <v>1597</v>
      </c>
      <c r="C4233" s="6" t="s">
        <v>1400</v>
      </c>
      <c r="D4233" s="6" t="s">
        <v>943</v>
      </c>
      <c r="G4233" s="6">
        <v>100</v>
      </c>
      <c r="H4233" s="6">
        <v>200</v>
      </c>
      <c r="I4233" s="9"/>
      <c r="J4233" s="9"/>
      <c r="K4233" s="9">
        <v>44008611</v>
      </c>
      <c r="L4233" s="6" t="str">
        <f t="shared" si="411"/>
        <v>1D  JULIE  YATAK  100x200</v>
      </c>
      <c r="M4233" s="12">
        <v>0.5</v>
      </c>
      <c r="N4233" s="12">
        <v>0.5</v>
      </c>
      <c r="O4233" s="12">
        <v>13100</v>
      </c>
      <c r="P4233" s="12">
        <f t="shared" si="408"/>
        <v>6550</v>
      </c>
      <c r="Q4233" s="12">
        <f t="shared" si="406"/>
        <v>13755</v>
      </c>
      <c r="R4233" s="33">
        <f t="shared" si="409"/>
        <v>13700</v>
      </c>
      <c r="T4233" s="12"/>
      <c r="U4233" s="12">
        <v>20300</v>
      </c>
      <c r="V4233" s="12"/>
      <c r="W4233" s="12">
        <f t="shared" si="410"/>
        <v>16375</v>
      </c>
    </row>
    <row r="4234" spans="1:23" s="6" customFormat="1" ht="21.95" customHeight="1" x14ac:dyDescent="0.2">
      <c r="A4234" s="6" t="s">
        <v>943</v>
      </c>
      <c r="B4234" s="6" t="s">
        <v>1597</v>
      </c>
      <c r="C4234" s="6" t="s">
        <v>1400</v>
      </c>
      <c r="D4234" s="6" t="s">
        <v>943</v>
      </c>
      <c r="G4234" s="6">
        <v>120</v>
      </c>
      <c r="H4234" s="6">
        <v>200</v>
      </c>
      <c r="I4234" s="9"/>
      <c r="J4234" s="9"/>
      <c r="K4234" s="9">
        <v>44008612</v>
      </c>
      <c r="L4234" s="6" t="str">
        <f t="shared" si="411"/>
        <v>1D  JULIE  YATAK  120x200</v>
      </c>
      <c r="M4234" s="12">
        <v>0.5</v>
      </c>
      <c r="N4234" s="12">
        <v>0.5</v>
      </c>
      <c r="O4234" s="12">
        <v>15800</v>
      </c>
      <c r="P4234" s="12">
        <f t="shared" si="408"/>
        <v>7900</v>
      </c>
      <c r="Q4234" s="12">
        <f t="shared" si="406"/>
        <v>16590</v>
      </c>
      <c r="R4234" s="33">
        <f t="shared" si="409"/>
        <v>16500</v>
      </c>
      <c r="T4234" s="12"/>
      <c r="U4234" s="12">
        <v>22800</v>
      </c>
      <c r="V4234" s="12"/>
      <c r="W4234" s="12">
        <f t="shared" si="410"/>
        <v>19750</v>
      </c>
    </row>
    <row r="4235" spans="1:23" s="6" customFormat="1" ht="21.95" customHeight="1" x14ac:dyDescent="0.2">
      <c r="A4235" s="6" t="s">
        <v>943</v>
      </c>
      <c r="B4235" s="6" t="s">
        <v>1597</v>
      </c>
      <c r="C4235" s="6" t="s">
        <v>1400</v>
      </c>
      <c r="D4235" s="6" t="s">
        <v>943</v>
      </c>
      <c r="G4235" s="6">
        <v>140</v>
      </c>
      <c r="H4235" s="6">
        <v>200</v>
      </c>
      <c r="I4235" s="9"/>
      <c r="J4235" s="9"/>
      <c r="K4235" s="9">
        <v>44008613</v>
      </c>
      <c r="L4235" s="6" t="str">
        <f t="shared" si="411"/>
        <v>1D  JULIE  YATAK  140x200</v>
      </c>
      <c r="M4235" s="12">
        <v>0.5</v>
      </c>
      <c r="N4235" s="12">
        <v>0.5</v>
      </c>
      <c r="O4235" s="12">
        <v>18400</v>
      </c>
      <c r="P4235" s="12">
        <f t="shared" si="408"/>
        <v>9200</v>
      </c>
      <c r="Q4235" s="12">
        <f t="shared" si="406"/>
        <v>19320</v>
      </c>
      <c r="R4235" s="33">
        <f t="shared" si="409"/>
        <v>19300</v>
      </c>
      <c r="T4235" s="12"/>
      <c r="U4235" s="12">
        <v>7400</v>
      </c>
      <c r="V4235" s="12"/>
      <c r="W4235" s="12">
        <f t="shared" si="410"/>
        <v>23000</v>
      </c>
    </row>
    <row r="4236" spans="1:23" s="6" customFormat="1" ht="21.95" customHeight="1" x14ac:dyDescent="0.2">
      <c r="A4236" s="6" t="s">
        <v>943</v>
      </c>
      <c r="B4236" s="6" t="s">
        <v>1597</v>
      </c>
      <c r="C4236" s="6" t="s">
        <v>1400</v>
      </c>
      <c r="D4236" s="6" t="s">
        <v>943</v>
      </c>
      <c r="G4236" s="6">
        <v>150</v>
      </c>
      <c r="H4236" s="6">
        <v>200</v>
      </c>
      <c r="I4236" s="9"/>
      <c r="J4236" s="9"/>
      <c r="K4236" s="9">
        <v>44008614</v>
      </c>
      <c r="L4236" s="6" t="str">
        <f t="shared" si="411"/>
        <v>1D  JULIE  YATAK  150x200</v>
      </c>
      <c r="M4236" s="12">
        <v>0.5</v>
      </c>
      <c r="N4236" s="12">
        <v>0.5</v>
      </c>
      <c r="O4236" s="12">
        <v>19700</v>
      </c>
      <c r="P4236" s="12">
        <f t="shared" si="408"/>
        <v>9850</v>
      </c>
      <c r="Q4236" s="12">
        <f t="shared" si="406"/>
        <v>20685</v>
      </c>
      <c r="R4236" s="33">
        <f t="shared" si="409"/>
        <v>20600</v>
      </c>
      <c r="T4236" s="12"/>
      <c r="U4236" s="12">
        <v>7400</v>
      </c>
      <c r="V4236" s="12"/>
      <c r="W4236" s="12">
        <f t="shared" si="410"/>
        <v>24625</v>
      </c>
    </row>
    <row r="4237" spans="1:23" s="6" customFormat="1" ht="21.95" customHeight="1" x14ac:dyDescent="0.2">
      <c r="A4237" s="6" t="s">
        <v>943</v>
      </c>
      <c r="B4237" s="6" t="s">
        <v>1597</v>
      </c>
      <c r="C4237" s="6" t="s">
        <v>1400</v>
      </c>
      <c r="D4237" s="6" t="s">
        <v>943</v>
      </c>
      <c r="G4237" s="6">
        <v>160</v>
      </c>
      <c r="H4237" s="6">
        <v>200</v>
      </c>
      <c r="I4237" s="9"/>
      <c r="J4237" s="9"/>
      <c r="K4237" s="9">
        <v>44008615</v>
      </c>
      <c r="L4237" s="6" t="str">
        <f t="shared" si="411"/>
        <v>1D  JULIE  YATAK  160x200</v>
      </c>
      <c r="M4237" s="12">
        <v>0.5</v>
      </c>
      <c r="N4237" s="12">
        <v>0.5</v>
      </c>
      <c r="O4237" s="12">
        <v>21000</v>
      </c>
      <c r="P4237" s="12">
        <f t="shared" si="408"/>
        <v>10500</v>
      </c>
      <c r="Q4237" s="12">
        <f t="shared" si="406"/>
        <v>22050</v>
      </c>
      <c r="R4237" s="33">
        <f t="shared" si="409"/>
        <v>22000</v>
      </c>
      <c r="T4237" s="12"/>
      <c r="U4237" s="12">
        <v>7500</v>
      </c>
      <c r="V4237" s="12"/>
      <c r="W4237" s="12">
        <f t="shared" si="410"/>
        <v>26250</v>
      </c>
    </row>
    <row r="4238" spans="1:23" s="6" customFormat="1" ht="21.95" customHeight="1" x14ac:dyDescent="0.2">
      <c r="A4238" s="6" t="s">
        <v>943</v>
      </c>
      <c r="B4238" s="6" t="s">
        <v>1597</v>
      </c>
      <c r="C4238" s="6" t="s">
        <v>1400</v>
      </c>
      <c r="D4238" s="6" t="s">
        <v>943</v>
      </c>
      <c r="G4238" s="6">
        <v>180</v>
      </c>
      <c r="H4238" s="6">
        <v>200</v>
      </c>
      <c r="I4238" s="9"/>
      <c r="J4238" s="9"/>
      <c r="K4238" s="9">
        <v>44008616</v>
      </c>
      <c r="L4238" s="6" t="str">
        <f t="shared" si="411"/>
        <v>1D  JULIE  YATAK  180x200</v>
      </c>
      <c r="M4238" s="12">
        <v>0.5</v>
      </c>
      <c r="N4238" s="12">
        <v>0.5</v>
      </c>
      <c r="O4238" s="12">
        <v>23600</v>
      </c>
      <c r="P4238" s="12">
        <f t="shared" si="408"/>
        <v>11800</v>
      </c>
      <c r="Q4238" s="12">
        <f t="shared" si="406"/>
        <v>24780</v>
      </c>
      <c r="R4238" s="33">
        <f t="shared" si="409"/>
        <v>24700</v>
      </c>
      <c r="T4238" s="12"/>
      <c r="U4238" s="12">
        <v>9000</v>
      </c>
      <c r="V4238" s="12"/>
      <c r="W4238" s="12">
        <f t="shared" si="410"/>
        <v>29500</v>
      </c>
    </row>
    <row r="4239" spans="1:23" s="6" customFormat="1" ht="21.95" customHeight="1" x14ac:dyDescent="0.2">
      <c r="A4239" s="6" t="s">
        <v>943</v>
      </c>
      <c r="B4239" s="6" t="s">
        <v>1597</v>
      </c>
      <c r="C4239" s="6" t="s">
        <v>1400</v>
      </c>
      <c r="D4239" s="6" t="s">
        <v>1380</v>
      </c>
      <c r="I4239" s="9"/>
      <c r="J4239" s="9"/>
      <c r="K4239" s="9">
        <v>44008617</v>
      </c>
      <c r="L4239" s="6" t="str">
        <f>B4239&amp;" "&amp;C4239&amp;" "&amp;D4239</f>
        <v>1D  JULIE  KOMODİN (2 ADET)</v>
      </c>
      <c r="M4239" s="12">
        <v>0.5</v>
      </c>
      <c r="N4239" s="12">
        <v>0.5</v>
      </c>
      <c r="O4239" s="12">
        <v>14520</v>
      </c>
      <c r="P4239" s="12">
        <f t="shared" si="408"/>
        <v>7260</v>
      </c>
      <c r="Q4239" s="12">
        <f t="shared" si="406"/>
        <v>15246</v>
      </c>
      <c r="R4239" s="33">
        <f t="shared" si="409"/>
        <v>15200</v>
      </c>
      <c r="T4239" s="12"/>
      <c r="U4239" s="12">
        <v>10500</v>
      </c>
      <c r="V4239" s="12"/>
      <c r="W4239" s="12">
        <f t="shared" si="410"/>
        <v>18150</v>
      </c>
    </row>
    <row r="4240" spans="1:23" s="6" customFormat="1" ht="21.95" customHeight="1" x14ac:dyDescent="0.2">
      <c r="A4240" s="6" t="s">
        <v>943</v>
      </c>
      <c r="B4240" s="6" t="s">
        <v>1597</v>
      </c>
      <c r="C4240" s="6" t="s">
        <v>1401</v>
      </c>
      <c r="D4240" s="6" t="s">
        <v>1003</v>
      </c>
      <c r="G4240" s="6">
        <v>160</v>
      </c>
      <c r="H4240" s="6">
        <v>200</v>
      </c>
      <c r="I4240" s="9"/>
      <c r="J4240" s="9"/>
      <c r="K4240" s="9">
        <v>44008632</v>
      </c>
      <c r="L4240" s="6" t="str">
        <f>B4240&amp;" "&amp;C4240&amp;" "&amp;D4240&amp;" "&amp;G4240&amp;"x"&amp;H4240</f>
        <v>1D  LEGO BAŞLIK  160x200</v>
      </c>
      <c r="M4240" s="12">
        <v>0.5</v>
      </c>
      <c r="N4240" s="12">
        <v>0.5</v>
      </c>
      <c r="O4240" s="12">
        <v>23100</v>
      </c>
      <c r="P4240" s="12">
        <f t="shared" si="408"/>
        <v>11550</v>
      </c>
      <c r="Q4240" s="12">
        <f t="shared" si="406"/>
        <v>24255</v>
      </c>
      <c r="R4240" s="33">
        <f t="shared" si="409"/>
        <v>24200</v>
      </c>
      <c r="T4240" s="12"/>
      <c r="U4240" s="12">
        <v>11300</v>
      </c>
      <c r="V4240" s="12"/>
      <c r="W4240" s="12">
        <f t="shared" si="410"/>
        <v>28875</v>
      </c>
    </row>
    <row r="4241" spans="1:23" s="6" customFormat="1" ht="21.95" customHeight="1" x14ac:dyDescent="0.2">
      <c r="A4241" s="6" t="s">
        <v>943</v>
      </c>
      <c r="B4241" s="6" t="s">
        <v>1597</v>
      </c>
      <c r="C4241" s="6" t="s">
        <v>1401</v>
      </c>
      <c r="D4241" s="6" t="s">
        <v>1003</v>
      </c>
      <c r="G4241" s="6">
        <v>180</v>
      </c>
      <c r="H4241" s="6">
        <v>200</v>
      </c>
      <c r="I4241" s="9"/>
      <c r="J4241" s="9"/>
      <c r="K4241" s="9">
        <v>44008633</v>
      </c>
      <c r="L4241" s="6" t="str">
        <f>B4241&amp;" "&amp;C4241&amp;" "&amp;D4241&amp;" "&amp;G4241&amp;"x"&amp;H4241</f>
        <v>1D  LEGO BAŞLIK  180x200</v>
      </c>
      <c r="M4241" s="12">
        <v>0.5</v>
      </c>
      <c r="N4241" s="12">
        <v>0.5</v>
      </c>
      <c r="O4241" s="12">
        <v>26000</v>
      </c>
      <c r="P4241" s="12">
        <f t="shared" si="408"/>
        <v>13000</v>
      </c>
      <c r="Q4241" s="12">
        <f t="shared" si="406"/>
        <v>27300</v>
      </c>
      <c r="R4241" s="33">
        <f t="shared" si="409"/>
        <v>27300</v>
      </c>
      <c r="T4241" s="12"/>
      <c r="U4241" s="12">
        <v>12000</v>
      </c>
      <c r="V4241" s="12"/>
      <c r="W4241" s="12">
        <f t="shared" si="410"/>
        <v>32500</v>
      </c>
    </row>
    <row r="4242" spans="1:23" s="6" customFormat="1" ht="21.95" customHeight="1" x14ac:dyDescent="0.2">
      <c r="A4242" s="6" t="s">
        <v>943</v>
      </c>
      <c r="B4242" s="6" t="s">
        <v>1597</v>
      </c>
      <c r="C4242" s="6" t="s">
        <v>1401</v>
      </c>
      <c r="D4242" s="6" t="s">
        <v>943</v>
      </c>
      <c r="G4242" s="6">
        <v>160</v>
      </c>
      <c r="H4242" s="6">
        <v>200</v>
      </c>
      <c r="I4242" s="9"/>
      <c r="J4242" s="9"/>
      <c r="K4242" s="9">
        <v>44008640</v>
      </c>
      <c r="L4242" s="6" t="str">
        <f>B4242&amp;" "&amp;C4242&amp;" "&amp;D4242&amp;" "&amp;G4242&amp;"x"&amp;H4242</f>
        <v>1D  LEGO YATAK  160x200</v>
      </c>
      <c r="M4242" s="12">
        <v>0.5</v>
      </c>
      <c r="N4242" s="12">
        <v>0.5</v>
      </c>
      <c r="O4242" s="12">
        <v>21000</v>
      </c>
      <c r="P4242" s="12">
        <f t="shared" si="408"/>
        <v>10500</v>
      </c>
      <c r="Q4242" s="12">
        <f t="shared" si="406"/>
        <v>22050</v>
      </c>
      <c r="R4242" s="33">
        <f t="shared" si="409"/>
        <v>22000</v>
      </c>
      <c r="T4242" s="12"/>
      <c r="U4242" s="12">
        <v>13500</v>
      </c>
      <c r="V4242" s="12"/>
      <c r="W4242" s="12">
        <f t="shared" si="410"/>
        <v>26250</v>
      </c>
    </row>
    <row r="4243" spans="1:23" s="6" customFormat="1" ht="21.95" customHeight="1" x14ac:dyDescent="0.2">
      <c r="A4243" s="6" t="s">
        <v>943</v>
      </c>
      <c r="B4243" s="6" t="s">
        <v>1597</v>
      </c>
      <c r="C4243" s="6" t="s">
        <v>1401</v>
      </c>
      <c r="D4243" s="6" t="s">
        <v>943</v>
      </c>
      <c r="G4243" s="6">
        <v>180</v>
      </c>
      <c r="H4243" s="6">
        <v>200</v>
      </c>
      <c r="I4243" s="9"/>
      <c r="J4243" s="9"/>
      <c r="K4243" s="9">
        <v>44008641</v>
      </c>
      <c r="L4243" s="6" t="str">
        <f>B4243&amp;" "&amp;C4243&amp;" "&amp;D4243&amp;" "&amp;G4243&amp;"x"&amp;H4243</f>
        <v>1D  LEGO YATAK  180x200</v>
      </c>
      <c r="M4243" s="12">
        <v>0.5</v>
      </c>
      <c r="N4243" s="12">
        <v>0.5</v>
      </c>
      <c r="O4243" s="12">
        <v>23600</v>
      </c>
      <c r="P4243" s="12">
        <f t="shared" si="408"/>
        <v>11800</v>
      </c>
      <c r="Q4243" s="12">
        <f t="shared" ref="Q4243:Q4306" si="412">O4243*(1-N4243)*2.1</f>
        <v>24780</v>
      </c>
      <c r="R4243" s="33">
        <f t="shared" si="409"/>
        <v>24700</v>
      </c>
      <c r="T4243" s="12"/>
      <c r="U4243" s="12">
        <v>11500</v>
      </c>
      <c r="V4243" s="12"/>
      <c r="W4243" s="12">
        <f t="shared" si="410"/>
        <v>29500</v>
      </c>
    </row>
    <row r="4244" spans="1:23" s="6" customFormat="1" ht="21.95" customHeight="1" x14ac:dyDescent="0.2">
      <c r="A4244" s="6" t="s">
        <v>943</v>
      </c>
      <c r="B4244" s="6" t="s">
        <v>1597</v>
      </c>
      <c r="C4244" s="6" t="s">
        <v>1401</v>
      </c>
      <c r="D4244" s="6" t="s">
        <v>1380</v>
      </c>
      <c r="I4244" s="9"/>
      <c r="J4244" s="9"/>
      <c r="K4244" s="9">
        <v>44008642</v>
      </c>
      <c r="L4244" s="6" t="str">
        <f>B4244&amp;" "&amp;C4244&amp;" "&amp;D4244</f>
        <v>1D  LEGO KOMODİN (2 ADET)</v>
      </c>
      <c r="M4244" s="12">
        <v>0.5</v>
      </c>
      <c r="N4244" s="12">
        <v>0.5</v>
      </c>
      <c r="O4244" s="12">
        <v>14520</v>
      </c>
      <c r="P4244" s="12">
        <f t="shared" si="408"/>
        <v>7260</v>
      </c>
      <c r="Q4244" s="12">
        <f t="shared" si="412"/>
        <v>15246</v>
      </c>
      <c r="R4244" s="33">
        <f t="shared" si="409"/>
        <v>15200</v>
      </c>
      <c r="T4244" s="12"/>
      <c r="U4244" s="12">
        <v>12100</v>
      </c>
      <c r="V4244" s="12"/>
      <c r="W4244" s="12">
        <f t="shared" si="410"/>
        <v>18150</v>
      </c>
    </row>
    <row r="4245" spans="1:23" s="6" customFormat="1" ht="21.95" customHeight="1" x14ac:dyDescent="0.2">
      <c r="A4245" s="6" t="s">
        <v>943</v>
      </c>
      <c r="B4245" s="6" t="s">
        <v>1597</v>
      </c>
      <c r="C4245" s="6" t="s">
        <v>1048</v>
      </c>
      <c r="D4245" s="6" t="s">
        <v>989</v>
      </c>
      <c r="G4245" s="6">
        <v>90</v>
      </c>
      <c r="H4245" s="6">
        <v>190</v>
      </c>
      <c r="I4245" s="9"/>
      <c r="J4245" s="9"/>
      <c r="K4245" s="9">
        <v>44008643</v>
      </c>
      <c r="L4245" s="6" t="str">
        <f t="shared" ref="L4245:L4268" si="413">B4245&amp;" "&amp;C4245&amp;" "&amp;D4245&amp;" "&amp;G4245&amp;"x"&amp;H4245</f>
        <v>1D  LOFT  BAZA  90x190</v>
      </c>
      <c r="M4245" s="12">
        <v>0.5</v>
      </c>
      <c r="N4245" s="12">
        <v>0.5</v>
      </c>
      <c r="O4245" s="12">
        <v>9500</v>
      </c>
      <c r="P4245" s="12">
        <f t="shared" si="408"/>
        <v>4750</v>
      </c>
      <c r="Q4245" s="12">
        <f t="shared" si="412"/>
        <v>9975</v>
      </c>
      <c r="R4245" s="33">
        <f t="shared" si="409"/>
        <v>9900</v>
      </c>
      <c r="T4245" s="12"/>
      <c r="U4245" s="12">
        <v>12200</v>
      </c>
      <c r="V4245" s="12"/>
      <c r="W4245" s="12">
        <f t="shared" si="410"/>
        <v>11875</v>
      </c>
    </row>
    <row r="4246" spans="1:23" s="6" customFormat="1" ht="21.95" customHeight="1" x14ac:dyDescent="0.2">
      <c r="A4246" s="6" t="s">
        <v>943</v>
      </c>
      <c r="B4246" s="6" t="s">
        <v>1597</v>
      </c>
      <c r="C4246" s="6" t="s">
        <v>1048</v>
      </c>
      <c r="D4246" s="6" t="s">
        <v>989</v>
      </c>
      <c r="G4246" s="6">
        <v>90</v>
      </c>
      <c r="H4246" s="6">
        <v>200</v>
      </c>
      <c r="I4246" s="9"/>
      <c r="J4246" s="9"/>
      <c r="K4246" s="9">
        <v>44008644</v>
      </c>
      <c r="L4246" s="6" t="str">
        <f t="shared" si="413"/>
        <v>1D  LOFT  BAZA  90x200</v>
      </c>
      <c r="M4246" s="12">
        <v>0.5</v>
      </c>
      <c r="N4246" s="12">
        <v>0.5</v>
      </c>
      <c r="O4246" s="12">
        <v>10000</v>
      </c>
      <c r="P4246" s="12">
        <f t="shared" si="408"/>
        <v>5000</v>
      </c>
      <c r="Q4246" s="12">
        <f t="shared" si="412"/>
        <v>10500</v>
      </c>
      <c r="R4246" s="33">
        <f t="shared" si="409"/>
        <v>10500</v>
      </c>
      <c r="T4246" s="12"/>
      <c r="U4246" s="12">
        <v>14600</v>
      </c>
      <c r="V4246" s="12"/>
      <c r="W4246" s="12">
        <f t="shared" si="410"/>
        <v>12500</v>
      </c>
    </row>
    <row r="4247" spans="1:23" s="6" customFormat="1" ht="21.95" customHeight="1" x14ac:dyDescent="0.2">
      <c r="A4247" s="6" t="s">
        <v>943</v>
      </c>
      <c r="B4247" s="6" t="s">
        <v>1597</v>
      </c>
      <c r="C4247" s="6" t="s">
        <v>1048</v>
      </c>
      <c r="D4247" s="6" t="s">
        <v>989</v>
      </c>
      <c r="G4247" s="6">
        <v>100</v>
      </c>
      <c r="H4247" s="6">
        <v>200</v>
      </c>
      <c r="I4247" s="9"/>
      <c r="J4247" s="9"/>
      <c r="K4247" s="9">
        <v>44008645</v>
      </c>
      <c r="L4247" s="6" t="str">
        <f t="shared" si="413"/>
        <v>1D  LOFT  BAZA  100x200</v>
      </c>
      <c r="M4247" s="12">
        <v>0.5</v>
      </c>
      <c r="N4247" s="12">
        <v>0.5</v>
      </c>
      <c r="O4247" s="12">
        <v>11100</v>
      </c>
      <c r="P4247" s="12">
        <f t="shared" si="408"/>
        <v>5550</v>
      </c>
      <c r="Q4247" s="12">
        <f t="shared" si="412"/>
        <v>11655</v>
      </c>
      <c r="R4247" s="33">
        <f t="shared" si="409"/>
        <v>11600</v>
      </c>
      <c r="T4247" s="12"/>
      <c r="U4247" s="12">
        <v>17100</v>
      </c>
      <c r="V4247" s="12"/>
      <c r="W4247" s="12">
        <f t="shared" si="410"/>
        <v>13875</v>
      </c>
    </row>
    <row r="4248" spans="1:23" s="6" customFormat="1" ht="21.95" customHeight="1" x14ac:dyDescent="0.2">
      <c r="A4248" s="6" t="s">
        <v>943</v>
      </c>
      <c r="B4248" s="6" t="s">
        <v>1597</v>
      </c>
      <c r="C4248" s="6" t="s">
        <v>1048</v>
      </c>
      <c r="D4248" s="6" t="s">
        <v>989</v>
      </c>
      <c r="G4248" s="6">
        <v>120</v>
      </c>
      <c r="H4248" s="6">
        <v>200</v>
      </c>
      <c r="I4248" s="9"/>
      <c r="J4248" s="9"/>
      <c r="K4248" s="9">
        <v>44008646</v>
      </c>
      <c r="L4248" s="6" t="str">
        <f t="shared" si="413"/>
        <v>1D  LOFT  BAZA  120x200</v>
      </c>
      <c r="M4248" s="12">
        <v>0.5</v>
      </c>
      <c r="N4248" s="12">
        <v>0.5</v>
      </c>
      <c r="O4248" s="12">
        <v>13400</v>
      </c>
      <c r="P4248" s="12">
        <f t="shared" si="408"/>
        <v>6700</v>
      </c>
      <c r="Q4248" s="12">
        <f t="shared" si="412"/>
        <v>14070</v>
      </c>
      <c r="R4248" s="33">
        <f t="shared" si="409"/>
        <v>14000</v>
      </c>
      <c r="T4248" s="12"/>
      <c r="U4248" s="12">
        <v>18300</v>
      </c>
      <c r="V4248" s="12"/>
      <c r="W4248" s="12">
        <f t="shared" si="410"/>
        <v>16750</v>
      </c>
    </row>
    <row r="4249" spans="1:23" s="6" customFormat="1" ht="21.95" customHeight="1" x14ac:dyDescent="0.2">
      <c r="A4249" s="6" t="s">
        <v>943</v>
      </c>
      <c r="B4249" s="6" t="s">
        <v>1597</v>
      </c>
      <c r="C4249" s="6" t="s">
        <v>1048</v>
      </c>
      <c r="D4249" s="6" t="s">
        <v>989</v>
      </c>
      <c r="G4249" s="6">
        <v>140</v>
      </c>
      <c r="H4249" s="6">
        <v>200</v>
      </c>
      <c r="I4249" s="9"/>
      <c r="J4249" s="9"/>
      <c r="K4249" s="9">
        <v>44008647</v>
      </c>
      <c r="L4249" s="6" t="str">
        <f t="shared" si="413"/>
        <v>1D  LOFT  BAZA  140x200</v>
      </c>
      <c r="M4249" s="12">
        <v>0.5</v>
      </c>
      <c r="N4249" s="12">
        <v>0.5</v>
      </c>
      <c r="O4249" s="12">
        <v>15600</v>
      </c>
      <c r="P4249" s="12">
        <f t="shared" si="408"/>
        <v>7800</v>
      </c>
      <c r="Q4249" s="12">
        <f t="shared" si="412"/>
        <v>16380</v>
      </c>
      <c r="R4249" s="33">
        <f t="shared" si="409"/>
        <v>16300</v>
      </c>
      <c r="T4249" s="12"/>
      <c r="U4249" s="12">
        <v>19500</v>
      </c>
      <c r="V4249" s="12"/>
      <c r="W4249" s="12">
        <f t="shared" si="410"/>
        <v>19500</v>
      </c>
    </row>
    <row r="4250" spans="1:23" s="6" customFormat="1" ht="21.95" customHeight="1" x14ac:dyDescent="0.2">
      <c r="A4250" s="6" t="s">
        <v>943</v>
      </c>
      <c r="B4250" s="6" t="s">
        <v>1597</v>
      </c>
      <c r="C4250" s="6" t="s">
        <v>1048</v>
      </c>
      <c r="D4250" s="6" t="s">
        <v>989</v>
      </c>
      <c r="G4250" s="6">
        <v>150</v>
      </c>
      <c r="H4250" s="6">
        <v>200</v>
      </c>
      <c r="I4250" s="9"/>
      <c r="J4250" s="9"/>
      <c r="K4250" s="9">
        <v>44008648</v>
      </c>
      <c r="L4250" s="6" t="str">
        <f t="shared" si="413"/>
        <v>1D  LOFT  BAZA  150x200</v>
      </c>
      <c r="M4250" s="12">
        <v>0.5</v>
      </c>
      <c r="N4250" s="12">
        <v>0.5</v>
      </c>
      <c r="O4250" s="12">
        <v>16700</v>
      </c>
      <c r="P4250" s="12">
        <f t="shared" si="408"/>
        <v>8350</v>
      </c>
      <c r="Q4250" s="12">
        <f t="shared" si="412"/>
        <v>17535</v>
      </c>
      <c r="R4250" s="33">
        <f t="shared" si="409"/>
        <v>17500</v>
      </c>
      <c r="T4250" s="12"/>
      <c r="U4250" s="12">
        <v>21900</v>
      </c>
      <c r="V4250" s="12"/>
      <c r="W4250" s="12">
        <f t="shared" si="410"/>
        <v>20875</v>
      </c>
    </row>
    <row r="4251" spans="1:23" s="6" customFormat="1" ht="21.95" customHeight="1" x14ac:dyDescent="0.2">
      <c r="A4251" s="6" t="s">
        <v>943</v>
      </c>
      <c r="B4251" s="6" t="s">
        <v>1597</v>
      </c>
      <c r="C4251" s="6" t="s">
        <v>1048</v>
      </c>
      <c r="D4251" s="6" t="s">
        <v>989</v>
      </c>
      <c r="G4251" s="6">
        <v>160</v>
      </c>
      <c r="H4251" s="6">
        <v>200</v>
      </c>
      <c r="I4251" s="9"/>
      <c r="J4251" s="9"/>
      <c r="K4251" s="9">
        <v>44008649</v>
      </c>
      <c r="L4251" s="6" t="str">
        <f t="shared" si="413"/>
        <v>1D  LOFT  BAZA  160x200</v>
      </c>
      <c r="M4251" s="12">
        <v>0.5</v>
      </c>
      <c r="N4251" s="12">
        <v>0.5</v>
      </c>
      <c r="O4251" s="12">
        <v>17800</v>
      </c>
      <c r="P4251" s="12">
        <f t="shared" si="408"/>
        <v>8900</v>
      </c>
      <c r="Q4251" s="12">
        <f t="shared" si="412"/>
        <v>18690</v>
      </c>
      <c r="R4251" s="33">
        <f t="shared" si="409"/>
        <v>18600</v>
      </c>
      <c r="T4251" s="12"/>
      <c r="U4251" s="12">
        <v>15800</v>
      </c>
      <c r="V4251" s="12"/>
      <c r="W4251" s="12">
        <f t="shared" si="410"/>
        <v>22250</v>
      </c>
    </row>
    <row r="4252" spans="1:23" s="6" customFormat="1" ht="21.95" customHeight="1" x14ac:dyDescent="0.2">
      <c r="A4252" s="6" t="s">
        <v>943</v>
      </c>
      <c r="B4252" s="6" t="s">
        <v>1597</v>
      </c>
      <c r="C4252" s="6" t="s">
        <v>1048</v>
      </c>
      <c r="D4252" s="6" t="s">
        <v>989</v>
      </c>
      <c r="G4252" s="6">
        <v>180</v>
      </c>
      <c r="H4252" s="6">
        <v>200</v>
      </c>
      <c r="I4252" s="9"/>
      <c r="J4252" s="9"/>
      <c r="K4252" s="9">
        <v>44008650</v>
      </c>
      <c r="L4252" s="6" t="str">
        <f t="shared" si="413"/>
        <v>1D  LOFT  BAZA  180x200</v>
      </c>
      <c r="M4252" s="12">
        <v>0.5</v>
      </c>
      <c r="N4252" s="12">
        <v>0.5</v>
      </c>
      <c r="O4252" s="12">
        <v>20000</v>
      </c>
      <c r="P4252" s="12">
        <f t="shared" si="408"/>
        <v>10000</v>
      </c>
      <c r="Q4252" s="12">
        <f t="shared" si="412"/>
        <v>21000</v>
      </c>
      <c r="R4252" s="33">
        <f t="shared" si="409"/>
        <v>21000</v>
      </c>
      <c r="T4252" s="12"/>
      <c r="U4252" s="12">
        <v>12300</v>
      </c>
      <c r="V4252" s="12"/>
      <c r="W4252" s="12">
        <f t="shared" si="410"/>
        <v>25000</v>
      </c>
    </row>
    <row r="4253" spans="1:23" s="6" customFormat="1" ht="21.95" customHeight="1" x14ac:dyDescent="0.2">
      <c r="A4253" s="6" t="s">
        <v>943</v>
      </c>
      <c r="B4253" s="6" t="s">
        <v>1597</v>
      </c>
      <c r="C4253" s="6" t="s">
        <v>1048</v>
      </c>
      <c r="D4253" s="6" t="s">
        <v>1003</v>
      </c>
      <c r="G4253" s="6">
        <v>90</v>
      </c>
      <c r="H4253" s="6">
        <v>190</v>
      </c>
      <c r="I4253" s="9"/>
      <c r="J4253" s="9"/>
      <c r="K4253" s="9">
        <v>44008651</v>
      </c>
      <c r="L4253" s="6" t="str">
        <f t="shared" si="413"/>
        <v>1D  LOFT  BAŞLIK  90x190</v>
      </c>
      <c r="M4253" s="12">
        <v>0.5</v>
      </c>
      <c r="N4253" s="12">
        <v>0.5</v>
      </c>
      <c r="O4253" s="12">
        <v>2400</v>
      </c>
      <c r="P4253" s="12">
        <f t="shared" si="408"/>
        <v>1200</v>
      </c>
      <c r="Q4253" s="12">
        <f t="shared" si="412"/>
        <v>2520</v>
      </c>
      <c r="R4253" s="33">
        <f t="shared" si="409"/>
        <v>2500</v>
      </c>
      <c r="T4253" s="12"/>
      <c r="U4253" s="12">
        <v>12900</v>
      </c>
      <c r="V4253" s="12"/>
      <c r="W4253" s="12">
        <f t="shared" ref="W4253:W4316" si="414">P4253*2.5</f>
        <v>3000</v>
      </c>
    </row>
    <row r="4254" spans="1:23" s="6" customFormat="1" ht="21.95" customHeight="1" x14ac:dyDescent="0.2">
      <c r="A4254" s="6" t="s">
        <v>943</v>
      </c>
      <c r="B4254" s="6" t="s">
        <v>1597</v>
      </c>
      <c r="C4254" s="6" t="s">
        <v>1048</v>
      </c>
      <c r="D4254" s="6" t="s">
        <v>1003</v>
      </c>
      <c r="G4254" s="6">
        <v>90</v>
      </c>
      <c r="H4254" s="6">
        <v>200</v>
      </c>
      <c r="I4254" s="9"/>
      <c r="J4254" s="9"/>
      <c r="K4254" s="9">
        <v>44008652</v>
      </c>
      <c r="L4254" s="6" t="str">
        <f t="shared" si="413"/>
        <v>1D  LOFT  BAŞLIK  90x200</v>
      </c>
      <c r="M4254" s="12">
        <v>0.5</v>
      </c>
      <c r="N4254" s="12">
        <v>0.5</v>
      </c>
      <c r="O4254" s="12">
        <v>2500</v>
      </c>
      <c r="P4254" s="12">
        <f t="shared" si="408"/>
        <v>1250</v>
      </c>
      <c r="Q4254" s="12">
        <f t="shared" si="412"/>
        <v>2625</v>
      </c>
      <c r="R4254" s="33">
        <f t="shared" si="409"/>
        <v>2600</v>
      </c>
      <c r="T4254" s="12"/>
      <c r="U4254" s="12">
        <v>13100</v>
      </c>
      <c r="V4254" s="12"/>
      <c r="W4254" s="12">
        <f t="shared" si="414"/>
        <v>3125</v>
      </c>
    </row>
    <row r="4255" spans="1:23" s="6" customFormat="1" ht="21.95" customHeight="1" x14ac:dyDescent="0.2">
      <c r="A4255" s="6" t="s">
        <v>943</v>
      </c>
      <c r="B4255" s="6" t="s">
        <v>1597</v>
      </c>
      <c r="C4255" s="6" t="s">
        <v>1048</v>
      </c>
      <c r="D4255" s="6" t="s">
        <v>1003</v>
      </c>
      <c r="G4255" s="6">
        <v>100</v>
      </c>
      <c r="H4255" s="6">
        <v>200</v>
      </c>
      <c r="I4255" s="9"/>
      <c r="J4255" s="9"/>
      <c r="K4255" s="9">
        <v>44008653</v>
      </c>
      <c r="L4255" s="6" t="str">
        <f t="shared" si="413"/>
        <v>1D  LOFT  BAŞLIK  100x200</v>
      </c>
      <c r="M4255" s="12">
        <v>0.5</v>
      </c>
      <c r="N4255" s="12">
        <v>0.5</v>
      </c>
      <c r="O4255" s="12">
        <v>2800</v>
      </c>
      <c r="P4255" s="12">
        <f t="shared" si="408"/>
        <v>1400</v>
      </c>
      <c r="Q4255" s="12">
        <f t="shared" si="412"/>
        <v>2940</v>
      </c>
      <c r="R4255" s="33">
        <f t="shared" si="409"/>
        <v>2900</v>
      </c>
      <c r="T4255" s="12"/>
      <c r="U4255" s="12">
        <v>15700</v>
      </c>
      <c r="V4255" s="12"/>
      <c r="W4255" s="12">
        <f t="shared" si="414"/>
        <v>3500</v>
      </c>
    </row>
    <row r="4256" spans="1:23" s="6" customFormat="1" ht="21.95" customHeight="1" x14ac:dyDescent="0.2">
      <c r="A4256" s="6" t="s">
        <v>943</v>
      </c>
      <c r="B4256" s="6" t="s">
        <v>1597</v>
      </c>
      <c r="C4256" s="6" t="s">
        <v>1048</v>
      </c>
      <c r="D4256" s="6" t="s">
        <v>1003</v>
      </c>
      <c r="G4256" s="6">
        <v>120</v>
      </c>
      <c r="H4256" s="6">
        <v>200</v>
      </c>
      <c r="I4256" s="9"/>
      <c r="J4256" s="9"/>
      <c r="K4256" s="9">
        <v>44008654</v>
      </c>
      <c r="L4256" s="6" t="str">
        <f t="shared" si="413"/>
        <v>1D  LOFT  BAŞLIK  120x200</v>
      </c>
      <c r="M4256" s="12">
        <v>0.5</v>
      </c>
      <c r="N4256" s="12">
        <v>0.5</v>
      </c>
      <c r="O4256" s="12">
        <v>3300</v>
      </c>
      <c r="P4256" s="12">
        <f t="shared" si="408"/>
        <v>1650</v>
      </c>
      <c r="Q4256" s="12">
        <f t="shared" si="412"/>
        <v>3465</v>
      </c>
      <c r="R4256" s="33">
        <f t="shared" si="409"/>
        <v>3400</v>
      </c>
      <c r="T4256" s="12"/>
      <c r="U4256" s="12">
        <v>18300</v>
      </c>
      <c r="V4256" s="12"/>
      <c r="W4256" s="12">
        <f t="shared" si="414"/>
        <v>4125</v>
      </c>
    </row>
    <row r="4257" spans="1:23" s="6" customFormat="1" ht="21.95" customHeight="1" x14ac:dyDescent="0.2">
      <c r="A4257" s="6" t="s">
        <v>943</v>
      </c>
      <c r="B4257" s="6" t="s">
        <v>1597</v>
      </c>
      <c r="C4257" s="6" t="s">
        <v>1048</v>
      </c>
      <c r="D4257" s="6" t="s">
        <v>1003</v>
      </c>
      <c r="G4257" s="6">
        <v>140</v>
      </c>
      <c r="H4257" s="6">
        <v>200</v>
      </c>
      <c r="I4257" s="9"/>
      <c r="J4257" s="9"/>
      <c r="K4257" s="9">
        <v>44008655</v>
      </c>
      <c r="L4257" s="6" t="str">
        <f t="shared" si="413"/>
        <v>1D  LOFT  BAŞLIK  140x200</v>
      </c>
      <c r="M4257" s="12">
        <v>0.5</v>
      </c>
      <c r="N4257" s="12">
        <v>0.5</v>
      </c>
      <c r="O4257" s="12">
        <v>3900</v>
      </c>
      <c r="P4257" s="12">
        <f t="shared" si="408"/>
        <v>1950</v>
      </c>
      <c r="Q4257" s="12">
        <f t="shared" si="412"/>
        <v>4095</v>
      </c>
      <c r="R4257" s="33">
        <f t="shared" si="409"/>
        <v>4000</v>
      </c>
      <c r="T4257" s="12"/>
      <c r="U4257" s="12">
        <v>19600</v>
      </c>
      <c r="V4257" s="12"/>
      <c r="W4257" s="12">
        <f t="shared" si="414"/>
        <v>4875</v>
      </c>
    </row>
    <row r="4258" spans="1:23" s="6" customFormat="1" ht="21.95" customHeight="1" x14ac:dyDescent="0.2">
      <c r="A4258" s="6" t="s">
        <v>943</v>
      </c>
      <c r="B4258" s="6" t="s">
        <v>1597</v>
      </c>
      <c r="C4258" s="6" t="s">
        <v>1048</v>
      </c>
      <c r="D4258" s="6" t="s">
        <v>1003</v>
      </c>
      <c r="G4258" s="6">
        <v>150</v>
      </c>
      <c r="H4258" s="6">
        <v>200</v>
      </c>
      <c r="I4258" s="9"/>
      <c r="J4258" s="9"/>
      <c r="K4258" s="9">
        <v>44008656</v>
      </c>
      <c r="L4258" s="6" t="str">
        <f t="shared" si="413"/>
        <v>1D  LOFT  BAŞLIK  150x200</v>
      </c>
      <c r="M4258" s="12">
        <v>0.5</v>
      </c>
      <c r="N4258" s="12">
        <v>0.5</v>
      </c>
      <c r="O4258" s="12">
        <v>4100</v>
      </c>
      <c r="P4258" s="12">
        <f t="shared" si="408"/>
        <v>2050</v>
      </c>
      <c r="Q4258" s="12">
        <f t="shared" si="412"/>
        <v>4305</v>
      </c>
      <c r="R4258" s="33">
        <f t="shared" si="409"/>
        <v>4300</v>
      </c>
      <c r="T4258" s="12"/>
      <c r="U4258" s="12">
        <v>20900</v>
      </c>
      <c r="V4258" s="12"/>
      <c r="W4258" s="12">
        <f t="shared" si="414"/>
        <v>5125</v>
      </c>
    </row>
    <row r="4259" spans="1:23" s="6" customFormat="1" ht="21.95" customHeight="1" x14ac:dyDescent="0.2">
      <c r="A4259" s="6" t="s">
        <v>943</v>
      </c>
      <c r="B4259" s="6" t="s">
        <v>1597</v>
      </c>
      <c r="C4259" s="6" t="s">
        <v>1048</v>
      </c>
      <c r="D4259" s="6" t="s">
        <v>1003</v>
      </c>
      <c r="G4259" s="6">
        <v>160</v>
      </c>
      <c r="H4259" s="6">
        <v>200</v>
      </c>
      <c r="I4259" s="9"/>
      <c r="J4259" s="9"/>
      <c r="K4259" s="9">
        <v>44008657</v>
      </c>
      <c r="L4259" s="6" t="str">
        <f t="shared" si="413"/>
        <v>1D  LOFT  BAŞLIK  160x200</v>
      </c>
      <c r="M4259" s="12">
        <v>0.5</v>
      </c>
      <c r="N4259" s="12">
        <v>0.5</v>
      </c>
      <c r="O4259" s="12">
        <v>4400</v>
      </c>
      <c r="P4259" s="12">
        <f t="shared" si="408"/>
        <v>2200</v>
      </c>
      <c r="Q4259" s="12">
        <f t="shared" si="412"/>
        <v>4620</v>
      </c>
      <c r="R4259" s="33">
        <f t="shared" si="409"/>
        <v>4600</v>
      </c>
      <c r="T4259" s="12"/>
      <c r="U4259" s="12">
        <v>23500</v>
      </c>
      <c r="V4259" s="12"/>
      <c r="W4259" s="12">
        <f t="shared" si="414"/>
        <v>5500</v>
      </c>
    </row>
    <row r="4260" spans="1:23" s="6" customFormat="1" ht="21.95" customHeight="1" x14ac:dyDescent="0.2">
      <c r="A4260" s="6" t="s">
        <v>943</v>
      </c>
      <c r="B4260" s="6" t="s">
        <v>1597</v>
      </c>
      <c r="C4260" s="6" t="s">
        <v>1048</v>
      </c>
      <c r="D4260" s="6" t="s">
        <v>1003</v>
      </c>
      <c r="G4260" s="6">
        <v>180</v>
      </c>
      <c r="H4260" s="6">
        <v>200</v>
      </c>
      <c r="I4260" s="9"/>
      <c r="J4260" s="9"/>
      <c r="K4260" s="9">
        <v>44008658</v>
      </c>
      <c r="L4260" s="6" t="str">
        <f t="shared" si="413"/>
        <v>1D  LOFT  BAŞLIK  180x200</v>
      </c>
      <c r="M4260" s="12">
        <v>0.5</v>
      </c>
      <c r="N4260" s="12">
        <v>0.5</v>
      </c>
      <c r="O4260" s="12">
        <v>5000</v>
      </c>
      <c r="P4260" s="12">
        <f t="shared" si="408"/>
        <v>2500</v>
      </c>
      <c r="Q4260" s="12">
        <f t="shared" si="412"/>
        <v>5250</v>
      </c>
      <c r="R4260" s="33">
        <f t="shared" si="409"/>
        <v>5200</v>
      </c>
      <c r="T4260" s="12"/>
      <c r="U4260" s="12">
        <v>6500</v>
      </c>
      <c r="V4260" s="12"/>
      <c r="W4260" s="12">
        <f t="shared" si="414"/>
        <v>6250</v>
      </c>
    </row>
    <row r="4261" spans="1:23" s="6" customFormat="1" ht="21.95" customHeight="1" x14ac:dyDescent="0.2">
      <c r="A4261" s="6" t="s">
        <v>943</v>
      </c>
      <c r="B4261" s="6" t="s">
        <v>1597</v>
      </c>
      <c r="C4261" s="6" t="s">
        <v>1048</v>
      </c>
      <c r="D4261" s="6" t="s">
        <v>943</v>
      </c>
      <c r="G4261" s="6">
        <v>90</v>
      </c>
      <c r="H4261" s="6">
        <v>190</v>
      </c>
      <c r="I4261" s="9"/>
      <c r="J4261" s="9"/>
      <c r="K4261" s="9">
        <v>44008659</v>
      </c>
      <c r="L4261" s="6" t="str">
        <f t="shared" si="413"/>
        <v>1D  LOFT  YATAK  90x190</v>
      </c>
      <c r="M4261" s="12">
        <v>0.5</v>
      </c>
      <c r="N4261" s="12">
        <v>0.5</v>
      </c>
      <c r="O4261" s="12">
        <v>6700</v>
      </c>
      <c r="P4261" s="12">
        <f t="shared" si="408"/>
        <v>3350</v>
      </c>
      <c r="Q4261" s="12">
        <f t="shared" si="412"/>
        <v>7035</v>
      </c>
      <c r="R4261" s="33">
        <f t="shared" si="409"/>
        <v>7000</v>
      </c>
      <c r="T4261" s="12"/>
      <c r="U4261" s="12">
        <v>6500</v>
      </c>
      <c r="V4261" s="12"/>
      <c r="W4261" s="12">
        <f t="shared" si="414"/>
        <v>8375</v>
      </c>
    </row>
    <row r="4262" spans="1:23" s="6" customFormat="1" ht="21.95" customHeight="1" x14ac:dyDescent="0.2">
      <c r="A4262" s="6" t="s">
        <v>943</v>
      </c>
      <c r="B4262" s="6" t="s">
        <v>1597</v>
      </c>
      <c r="C4262" s="6" t="s">
        <v>1048</v>
      </c>
      <c r="D4262" s="6" t="s">
        <v>943</v>
      </c>
      <c r="G4262" s="6">
        <v>90</v>
      </c>
      <c r="H4262" s="6">
        <v>200</v>
      </c>
      <c r="I4262" s="9"/>
      <c r="J4262" s="9"/>
      <c r="K4262" s="9">
        <v>44008660</v>
      </c>
      <c r="L4262" s="6" t="str">
        <f t="shared" si="413"/>
        <v>1D  LOFT  YATAK  90x200</v>
      </c>
      <c r="M4262" s="12">
        <v>0.5</v>
      </c>
      <c r="N4262" s="12">
        <v>0.5</v>
      </c>
      <c r="O4262" s="12">
        <v>7000</v>
      </c>
      <c r="P4262" s="12">
        <f t="shared" si="408"/>
        <v>3500</v>
      </c>
      <c r="Q4262" s="12">
        <f t="shared" si="412"/>
        <v>7350</v>
      </c>
      <c r="R4262" s="33">
        <f t="shared" si="409"/>
        <v>7300</v>
      </c>
      <c r="T4262" s="12"/>
      <c r="U4262" s="12">
        <v>6600</v>
      </c>
      <c r="V4262" s="12"/>
      <c r="W4262" s="12">
        <f t="shared" si="414"/>
        <v>8750</v>
      </c>
    </row>
    <row r="4263" spans="1:23" s="6" customFormat="1" ht="21.95" customHeight="1" x14ac:dyDescent="0.2">
      <c r="A4263" s="6" t="s">
        <v>943</v>
      </c>
      <c r="B4263" s="6" t="s">
        <v>1597</v>
      </c>
      <c r="C4263" s="6" t="s">
        <v>1048</v>
      </c>
      <c r="D4263" s="6" t="s">
        <v>943</v>
      </c>
      <c r="G4263" s="6">
        <v>100</v>
      </c>
      <c r="H4263" s="6">
        <v>200</v>
      </c>
      <c r="I4263" s="9"/>
      <c r="J4263" s="9"/>
      <c r="K4263" s="9">
        <v>44008661</v>
      </c>
      <c r="L4263" s="6" t="str">
        <f t="shared" si="413"/>
        <v>1D  LOFT  YATAK  100x200</v>
      </c>
      <c r="M4263" s="12">
        <v>0.5</v>
      </c>
      <c r="N4263" s="12">
        <v>0.5</v>
      </c>
      <c r="O4263" s="12">
        <v>7800</v>
      </c>
      <c r="P4263" s="12">
        <f t="shared" si="408"/>
        <v>3900</v>
      </c>
      <c r="Q4263" s="12">
        <f t="shared" si="412"/>
        <v>8190</v>
      </c>
      <c r="R4263" s="33">
        <f t="shared" si="409"/>
        <v>8100</v>
      </c>
      <c r="T4263" s="12"/>
      <c r="U4263" s="12">
        <v>7900</v>
      </c>
      <c r="V4263" s="12"/>
      <c r="W4263" s="12">
        <f t="shared" si="414"/>
        <v>9750</v>
      </c>
    </row>
    <row r="4264" spans="1:23" s="6" customFormat="1" ht="21.95" customHeight="1" x14ac:dyDescent="0.2">
      <c r="A4264" s="6" t="s">
        <v>943</v>
      </c>
      <c r="B4264" s="6" t="s">
        <v>1597</v>
      </c>
      <c r="C4264" s="6" t="s">
        <v>1048</v>
      </c>
      <c r="D4264" s="6" t="s">
        <v>943</v>
      </c>
      <c r="G4264" s="6">
        <v>120</v>
      </c>
      <c r="H4264" s="6">
        <v>200</v>
      </c>
      <c r="I4264" s="9"/>
      <c r="J4264" s="9"/>
      <c r="K4264" s="9">
        <v>44008662</v>
      </c>
      <c r="L4264" s="6" t="str">
        <f t="shared" si="413"/>
        <v>1D  LOFT  YATAK  120x200</v>
      </c>
      <c r="M4264" s="12">
        <v>0.5</v>
      </c>
      <c r="N4264" s="12">
        <v>0.5</v>
      </c>
      <c r="O4264" s="12">
        <v>9400</v>
      </c>
      <c r="P4264" s="12">
        <f t="shared" si="408"/>
        <v>4700</v>
      </c>
      <c r="Q4264" s="12">
        <f t="shared" si="412"/>
        <v>9870</v>
      </c>
      <c r="R4264" s="33">
        <f t="shared" si="409"/>
        <v>9800</v>
      </c>
      <c r="T4264" s="12"/>
      <c r="U4264" s="12">
        <v>9200</v>
      </c>
      <c r="V4264" s="12"/>
      <c r="W4264" s="12">
        <f t="shared" si="414"/>
        <v>11750</v>
      </c>
    </row>
    <row r="4265" spans="1:23" s="6" customFormat="1" ht="21.95" customHeight="1" x14ac:dyDescent="0.2">
      <c r="A4265" s="6" t="s">
        <v>943</v>
      </c>
      <c r="B4265" s="6" t="s">
        <v>1597</v>
      </c>
      <c r="C4265" s="6" t="s">
        <v>1048</v>
      </c>
      <c r="D4265" s="6" t="s">
        <v>943</v>
      </c>
      <c r="G4265" s="6">
        <v>140</v>
      </c>
      <c r="H4265" s="6">
        <v>200</v>
      </c>
      <c r="I4265" s="9"/>
      <c r="J4265" s="9"/>
      <c r="K4265" s="9">
        <v>44008663</v>
      </c>
      <c r="L4265" s="6" t="str">
        <f t="shared" si="413"/>
        <v>1D  LOFT  YATAK  140x200</v>
      </c>
      <c r="M4265" s="12">
        <v>0.5</v>
      </c>
      <c r="N4265" s="12">
        <v>0.5</v>
      </c>
      <c r="O4265" s="12">
        <v>10900</v>
      </c>
      <c r="P4265" s="12">
        <f t="shared" si="408"/>
        <v>5450</v>
      </c>
      <c r="Q4265" s="12">
        <f t="shared" si="412"/>
        <v>11445</v>
      </c>
      <c r="R4265" s="33">
        <f t="shared" si="409"/>
        <v>11400</v>
      </c>
      <c r="T4265" s="12"/>
      <c r="U4265" s="12">
        <v>9800</v>
      </c>
      <c r="V4265" s="12"/>
      <c r="W4265" s="12">
        <f t="shared" si="414"/>
        <v>13625</v>
      </c>
    </row>
    <row r="4266" spans="1:23" s="6" customFormat="1" ht="21.95" customHeight="1" x14ac:dyDescent="0.2">
      <c r="A4266" s="6" t="s">
        <v>943</v>
      </c>
      <c r="B4266" s="6" t="s">
        <v>1597</v>
      </c>
      <c r="C4266" s="6" t="s">
        <v>1048</v>
      </c>
      <c r="D4266" s="6" t="s">
        <v>943</v>
      </c>
      <c r="G4266" s="6">
        <v>150</v>
      </c>
      <c r="H4266" s="6">
        <v>200</v>
      </c>
      <c r="I4266" s="9"/>
      <c r="J4266" s="9"/>
      <c r="K4266" s="9">
        <v>44008664</v>
      </c>
      <c r="L4266" s="6" t="str">
        <f t="shared" si="413"/>
        <v>1D  LOFT  YATAK  150x200</v>
      </c>
      <c r="M4266" s="12">
        <v>0.5</v>
      </c>
      <c r="N4266" s="12">
        <v>0.5</v>
      </c>
      <c r="O4266" s="12">
        <v>11700</v>
      </c>
      <c r="P4266" s="12">
        <f t="shared" si="408"/>
        <v>5850</v>
      </c>
      <c r="Q4266" s="12">
        <f t="shared" si="412"/>
        <v>12285</v>
      </c>
      <c r="R4266" s="33">
        <f t="shared" si="409"/>
        <v>12200</v>
      </c>
      <c r="T4266" s="12"/>
      <c r="U4266" s="12">
        <v>10500</v>
      </c>
      <c r="V4266" s="12"/>
      <c r="W4266" s="12">
        <f t="shared" si="414"/>
        <v>14625</v>
      </c>
    </row>
    <row r="4267" spans="1:23" s="6" customFormat="1" ht="21.95" customHeight="1" x14ac:dyDescent="0.2">
      <c r="A4267" s="6" t="s">
        <v>943</v>
      </c>
      <c r="B4267" s="6" t="s">
        <v>1597</v>
      </c>
      <c r="C4267" s="6" t="s">
        <v>1048</v>
      </c>
      <c r="D4267" s="6" t="s">
        <v>943</v>
      </c>
      <c r="G4267" s="6">
        <v>160</v>
      </c>
      <c r="H4267" s="6">
        <v>200</v>
      </c>
      <c r="I4267" s="9"/>
      <c r="J4267" s="9"/>
      <c r="K4267" s="9">
        <v>44008665</v>
      </c>
      <c r="L4267" s="6" t="str">
        <f t="shared" si="413"/>
        <v>1D  LOFT  YATAK  160x200</v>
      </c>
      <c r="M4267" s="12">
        <v>0.5</v>
      </c>
      <c r="N4267" s="12">
        <v>0.5</v>
      </c>
      <c r="O4267" s="12">
        <v>12500</v>
      </c>
      <c r="P4267" s="12">
        <f t="shared" si="408"/>
        <v>6250</v>
      </c>
      <c r="Q4267" s="12">
        <f t="shared" si="412"/>
        <v>13125</v>
      </c>
      <c r="R4267" s="33">
        <f t="shared" si="409"/>
        <v>13100</v>
      </c>
      <c r="T4267" s="12"/>
      <c r="U4267" s="12">
        <v>11800</v>
      </c>
      <c r="V4267" s="12"/>
      <c r="W4267" s="12">
        <f t="shared" si="414"/>
        <v>15625</v>
      </c>
    </row>
    <row r="4268" spans="1:23" s="6" customFormat="1" ht="21.95" customHeight="1" x14ac:dyDescent="0.2">
      <c r="A4268" s="6" t="s">
        <v>943</v>
      </c>
      <c r="B4268" s="6" t="s">
        <v>1597</v>
      </c>
      <c r="C4268" s="6" t="s">
        <v>1048</v>
      </c>
      <c r="D4268" s="6" t="s">
        <v>943</v>
      </c>
      <c r="G4268" s="6">
        <v>180</v>
      </c>
      <c r="H4268" s="6">
        <v>200</v>
      </c>
      <c r="I4268" s="9"/>
      <c r="J4268" s="9"/>
      <c r="K4268" s="9">
        <v>44008666</v>
      </c>
      <c r="L4268" s="6" t="str">
        <f t="shared" si="413"/>
        <v>1D  LOFT  YATAK  180x200</v>
      </c>
      <c r="M4268" s="12">
        <v>0.5</v>
      </c>
      <c r="N4268" s="12">
        <v>0.5</v>
      </c>
      <c r="O4268" s="12">
        <v>14100</v>
      </c>
      <c r="P4268" s="12">
        <f t="shared" si="408"/>
        <v>7050</v>
      </c>
      <c r="Q4268" s="12">
        <f t="shared" si="412"/>
        <v>14805</v>
      </c>
      <c r="R4268" s="33">
        <f t="shared" si="409"/>
        <v>14800</v>
      </c>
      <c r="T4268" s="12"/>
      <c r="U4268" s="12">
        <v>12200</v>
      </c>
      <c r="V4268" s="12"/>
      <c r="W4268" s="12">
        <f t="shared" si="414"/>
        <v>17625</v>
      </c>
    </row>
    <row r="4269" spans="1:23" s="6" customFormat="1" ht="21.95" customHeight="1" x14ac:dyDescent="0.2">
      <c r="A4269" s="6" t="s">
        <v>943</v>
      </c>
      <c r="B4269" s="6" t="s">
        <v>1597</v>
      </c>
      <c r="C4269" s="6" t="s">
        <v>1048</v>
      </c>
      <c r="D4269" s="6" t="s">
        <v>1380</v>
      </c>
      <c r="I4269" s="9"/>
      <c r="J4269" s="9"/>
      <c r="K4269" s="9">
        <v>44008667</v>
      </c>
      <c r="L4269" s="6" t="str">
        <f>B4269&amp;" "&amp;C4269&amp;" "&amp;D4269</f>
        <v>1D  LOFT  KOMODİN (2 ADET)</v>
      </c>
      <c r="M4269" s="12">
        <v>0.5</v>
      </c>
      <c r="N4269" s="12">
        <v>0.5</v>
      </c>
      <c r="O4269" s="12">
        <v>13200</v>
      </c>
      <c r="P4269" s="12">
        <f t="shared" ref="P4269:P4332" si="415">O4269*(1-N4269)</f>
        <v>6600</v>
      </c>
      <c r="Q4269" s="12">
        <f t="shared" si="412"/>
        <v>13860</v>
      </c>
      <c r="R4269" s="33">
        <f t="shared" ref="R4269:R4332" si="416">ROUNDDOWN(Q4269,-2)</f>
        <v>13800</v>
      </c>
      <c r="T4269" s="12"/>
      <c r="U4269" s="12">
        <v>12900</v>
      </c>
      <c r="V4269" s="12"/>
      <c r="W4269" s="12">
        <f t="shared" si="414"/>
        <v>16500</v>
      </c>
    </row>
    <row r="4270" spans="1:23" s="6" customFormat="1" ht="21.95" customHeight="1" x14ac:dyDescent="0.2">
      <c r="A4270" s="6" t="s">
        <v>943</v>
      </c>
      <c r="B4270" s="6" t="s">
        <v>1597</v>
      </c>
      <c r="C4270" s="6" t="s">
        <v>1402</v>
      </c>
      <c r="D4270" s="6" t="s">
        <v>2305</v>
      </c>
      <c r="G4270" s="6">
        <v>140</v>
      </c>
      <c r="H4270" s="6">
        <v>200</v>
      </c>
      <c r="I4270" s="9"/>
      <c r="J4270" s="9"/>
      <c r="K4270" s="9">
        <v>44008680</v>
      </c>
      <c r="L4270" s="6" t="str">
        <f t="shared" ref="L4270:L4277" si="417">B4270&amp;" "&amp;C4270&amp;" "&amp;D4270&amp;" "&amp;G4270&amp;"x"&amp;H4270</f>
        <v>1D  LUMERA  BAZA + BAŞLIK + TRAVERS 140x200</v>
      </c>
      <c r="M4270" s="12">
        <v>0.5</v>
      </c>
      <c r="N4270" s="12">
        <v>0.5</v>
      </c>
      <c r="O4270" s="12">
        <v>25400</v>
      </c>
      <c r="P4270" s="12">
        <f t="shared" si="415"/>
        <v>12700</v>
      </c>
      <c r="Q4270" s="12">
        <f t="shared" si="412"/>
        <v>26670</v>
      </c>
      <c r="R4270" s="33">
        <f t="shared" si="416"/>
        <v>26600</v>
      </c>
      <c r="T4270" s="12"/>
      <c r="U4270" s="12">
        <v>13000</v>
      </c>
      <c r="V4270" s="12"/>
      <c r="W4270" s="12">
        <f t="shared" si="414"/>
        <v>31750</v>
      </c>
    </row>
    <row r="4271" spans="1:23" s="6" customFormat="1" ht="21.95" customHeight="1" x14ac:dyDescent="0.2">
      <c r="A4271" s="6" t="s">
        <v>943</v>
      </c>
      <c r="B4271" s="6" t="s">
        <v>1597</v>
      </c>
      <c r="C4271" s="6" t="s">
        <v>1402</v>
      </c>
      <c r="D4271" s="6" t="s">
        <v>2305</v>
      </c>
      <c r="G4271" s="6">
        <v>150</v>
      </c>
      <c r="H4271" s="6">
        <v>200</v>
      </c>
      <c r="I4271" s="9"/>
      <c r="J4271" s="9"/>
      <c r="K4271" s="9">
        <v>44008681</v>
      </c>
      <c r="L4271" s="6" t="str">
        <f t="shared" si="417"/>
        <v>1D  LUMERA  BAZA + BAŞLIK + TRAVERS 150x200</v>
      </c>
      <c r="M4271" s="12">
        <v>0.5</v>
      </c>
      <c r="N4271" s="12">
        <v>0.5</v>
      </c>
      <c r="O4271" s="12">
        <v>27200</v>
      </c>
      <c r="P4271" s="12">
        <f t="shared" si="415"/>
        <v>13600</v>
      </c>
      <c r="Q4271" s="12">
        <f t="shared" si="412"/>
        <v>28560</v>
      </c>
      <c r="R4271" s="33">
        <f t="shared" si="416"/>
        <v>28500</v>
      </c>
      <c r="T4271" s="12"/>
      <c r="U4271" s="12">
        <v>15600</v>
      </c>
      <c r="V4271" s="12"/>
      <c r="W4271" s="12">
        <f t="shared" si="414"/>
        <v>34000</v>
      </c>
    </row>
    <row r="4272" spans="1:23" s="6" customFormat="1" ht="21.95" customHeight="1" x14ac:dyDescent="0.2">
      <c r="A4272" s="6" t="s">
        <v>943</v>
      </c>
      <c r="B4272" s="6" t="s">
        <v>1597</v>
      </c>
      <c r="C4272" s="6" t="s">
        <v>1402</v>
      </c>
      <c r="D4272" s="6" t="s">
        <v>2305</v>
      </c>
      <c r="G4272" s="6">
        <v>160</v>
      </c>
      <c r="H4272" s="6">
        <v>200</v>
      </c>
      <c r="I4272" s="9"/>
      <c r="J4272" s="9"/>
      <c r="K4272" s="9">
        <v>44008682</v>
      </c>
      <c r="L4272" s="6" t="str">
        <f t="shared" si="417"/>
        <v>1D  LUMERA  BAZA + BAŞLIK + TRAVERS 160x200</v>
      </c>
      <c r="M4272" s="12">
        <v>0.5</v>
      </c>
      <c r="N4272" s="12">
        <v>0.5</v>
      </c>
      <c r="O4272" s="12">
        <v>29000</v>
      </c>
      <c r="P4272" s="12">
        <f t="shared" si="415"/>
        <v>14500</v>
      </c>
      <c r="Q4272" s="12">
        <f t="shared" si="412"/>
        <v>30450</v>
      </c>
      <c r="R4272" s="33">
        <f t="shared" si="416"/>
        <v>30400</v>
      </c>
      <c r="T4272" s="12"/>
      <c r="U4272" s="12">
        <v>18200</v>
      </c>
      <c r="V4272" s="12"/>
      <c r="W4272" s="12">
        <f t="shared" si="414"/>
        <v>36250</v>
      </c>
    </row>
    <row r="4273" spans="1:23" s="6" customFormat="1" ht="21.95" customHeight="1" x14ac:dyDescent="0.2">
      <c r="A4273" s="6" t="s">
        <v>943</v>
      </c>
      <c r="B4273" s="6" t="s">
        <v>1597</v>
      </c>
      <c r="C4273" s="6" t="s">
        <v>1402</v>
      </c>
      <c r="D4273" s="6" t="s">
        <v>2305</v>
      </c>
      <c r="G4273" s="6">
        <v>180</v>
      </c>
      <c r="H4273" s="6">
        <v>200</v>
      </c>
      <c r="I4273" s="9"/>
      <c r="J4273" s="9"/>
      <c r="K4273" s="9">
        <v>44008683</v>
      </c>
      <c r="L4273" s="6" t="str">
        <f t="shared" si="417"/>
        <v>1D  LUMERA  BAZA + BAŞLIK + TRAVERS 180x200</v>
      </c>
      <c r="M4273" s="12">
        <v>0.5</v>
      </c>
      <c r="N4273" s="12">
        <v>0.5</v>
      </c>
      <c r="O4273" s="12">
        <v>32600</v>
      </c>
      <c r="P4273" s="12">
        <f t="shared" si="415"/>
        <v>16300</v>
      </c>
      <c r="Q4273" s="12">
        <f t="shared" si="412"/>
        <v>34230</v>
      </c>
      <c r="R4273" s="33">
        <f t="shared" si="416"/>
        <v>34200</v>
      </c>
      <c r="T4273" s="12"/>
      <c r="U4273" s="12">
        <v>19500</v>
      </c>
      <c r="V4273" s="12"/>
      <c r="W4273" s="12">
        <f t="shared" si="414"/>
        <v>40750</v>
      </c>
    </row>
    <row r="4274" spans="1:23" s="6" customFormat="1" ht="21.95" customHeight="1" x14ac:dyDescent="0.2">
      <c r="A4274" s="6" t="s">
        <v>943</v>
      </c>
      <c r="B4274" s="6" t="s">
        <v>1597</v>
      </c>
      <c r="C4274" s="6" t="s">
        <v>1402</v>
      </c>
      <c r="D4274" s="6" t="s">
        <v>943</v>
      </c>
      <c r="G4274" s="6">
        <v>140</v>
      </c>
      <c r="H4274" s="6">
        <v>200</v>
      </c>
      <c r="I4274" s="9"/>
      <c r="J4274" s="9"/>
      <c r="K4274" s="9">
        <v>44008688</v>
      </c>
      <c r="L4274" s="6" t="str">
        <f t="shared" si="417"/>
        <v>1D  LUMERA  YATAK  140x200</v>
      </c>
      <c r="M4274" s="12">
        <v>0.5</v>
      </c>
      <c r="N4274" s="12">
        <v>0.5</v>
      </c>
      <c r="O4274" s="12">
        <v>19600</v>
      </c>
      <c r="P4274" s="12">
        <f t="shared" si="415"/>
        <v>9800</v>
      </c>
      <c r="Q4274" s="12">
        <f t="shared" si="412"/>
        <v>20580</v>
      </c>
      <c r="R4274" s="33">
        <f t="shared" si="416"/>
        <v>20500</v>
      </c>
      <c r="T4274" s="12"/>
      <c r="U4274" s="12">
        <v>20800</v>
      </c>
      <c r="V4274" s="12"/>
      <c r="W4274" s="12">
        <f t="shared" si="414"/>
        <v>24500</v>
      </c>
    </row>
    <row r="4275" spans="1:23" s="6" customFormat="1" ht="21.95" customHeight="1" x14ac:dyDescent="0.2">
      <c r="A4275" s="6" t="s">
        <v>943</v>
      </c>
      <c r="B4275" s="6" t="s">
        <v>1597</v>
      </c>
      <c r="C4275" s="6" t="s">
        <v>1402</v>
      </c>
      <c r="D4275" s="6" t="s">
        <v>943</v>
      </c>
      <c r="G4275" s="6">
        <v>150</v>
      </c>
      <c r="H4275" s="6">
        <v>200</v>
      </c>
      <c r="I4275" s="9"/>
      <c r="J4275" s="9"/>
      <c r="K4275" s="9">
        <v>44008689</v>
      </c>
      <c r="L4275" s="6" t="str">
        <f t="shared" si="417"/>
        <v>1D  LUMERA  YATAK  150x200</v>
      </c>
      <c r="M4275" s="12">
        <v>0.5</v>
      </c>
      <c r="N4275" s="12">
        <v>0.5</v>
      </c>
      <c r="O4275" s="12">
        <v>21000</v>
      </c>
      <c r="P4275" s="12">
        <f t="shared" si="415"/>
        <v>10500</v>
      </c>
      <c r="Q4275" s="12">
        <f t="shared" si="412"/>
        <v>22050</v>
      </c>
      <c r="R4275" s="33">
        <f t="shared" si="416"/>
        <v>22000</v>
      </c>
      <c r="T4275" s="12"/>
      <c r="U4275" s="12">
        <v>23400</v>
      </c>
      <c r="V4275" s="12"/>
      <c r="W4275" s="12">
        <f t="shared" si="414"/>
        <v>26250</v>
      </c>
    </row>
    <row r="4276" spans="1:23" s="6" customFormat="1" ht="21.95" customHeight="1" x14ac:dyDescent="0.2">
      <c r="A4276" s="6" t="s">
        <v>943</v>
      </c>
      <c r="B4276" s="6" t="s">
        <v>1597</v>
      </c>
      <c r="C4276" s="6" t="s">
        <v>1402</v>
      </c>
      <c r="D4276" s="6" t="s">
        <v>943</v>
      </c>
      <c r="G4276" s="6">
        <v>160</v>
      </c>
      <c r="H4276" s="6">
        <v>200</v>
      </c>
      <c r="I4276" s="9"/>
      <c r="J4276" s="9"/>
      <c r="K4276" s="9">
        <v>44008690</v>
      </c>
      <c r="L4276" s="6" t="str">
        <f t="shared" si="417"/>
        <v>1D  LUMERA  YATAK  160x200</v>
      </c>
      <c r="M4276" s="12">
        <v>0.5</v>
      </c>
      <c r="N4276" s="12">
        <v>0.5</v>
      </c>
      <c r="O4276" s="12">
        <v>22400</v>
      </c>
      <c r="P4276" s="12">
        <f t="shared" si="415"/>
        <v>11200</v>
      </c>
      <c r="Q4276" s="12">
        <f t="shared" si="412"/>
        <v>23520</v>
      </c>
      <c r="R4276" s="33">
        <f t="shared" si="416"/>
        <v>23500</v>
      </c>
      <c r="T4276" s="12"/>
      <c r="U4276" s="12">
        <v>15800</v>
      </c>
      <c r="V4276" s="12"/>
      <c r="W4276" s="12">
        <f t="shared" si="414"/>
        <v>28000</v>
      </c>
    </row>
    <row r="4277" spans="1:23" s="6" customFormat="1" ht="21.95" customHeight="1" x14ac:dyDescent="0.2">
      <c r="A4277" s="6" t="s">
        <v>943</v>
      </c>
      <c r="B4277" s="6" t="s">
        <v>1597</v>
      </c>
      <c r="C4277" s="6" t="s">
        <v>1402</v>
      </c>
      <c r="D4277" s="6" t="s">
        <v>943</v>
      </c>
      <c r="G4277" s="6">
        <v>180</v>
      </c>
      <c r="H4277" s="6">
        <v>200</v>
      </c>
      <c r="I4277" s="9"/>
      <c r="J4277" s="9"/>
      <c r="K4277" s="9">
        <v>44008691</v>
      </c>
      <c r="L4277" s="6" t="str">
        <f t="shared" si="417"/>
        <v>1D  LUMERA  YATAK  180x200</v>
      </c>
      <c r="M4277" s="12">
        <v>0.5</v>
      </c>
      <c r="N4277" s="12">
        <v>0.5</v>
      </c>
      <c r="O4277" s="12">
        <v>25200</v>
      </c>
      <c r="P4277" s="12">
        <f t="shared" si="415"/>
        <v>12600</v>
      </c>
      <c r="Q4277" s="12">
        <f t="shared" si="412"/>
        <v>26460</v>
      </c>
      <c r="R4277" s="33">
        <f t="shared" si="416"/>
        <v>26400</v>
      </c>
      <c r="T4277" s="12"/>
      <c r="U4277" s="12">
        <v>13200</v>
      </c>
      <c r="V4277" s="12"/>
      <c r="W4277" s="12">
        <f t="shared" si="414"/>
        <v>31500</v>
      </c>
    </row>
    <row r="4278" spans="1:23" s="6" customFormat="1" ht="21.95" customHeight="1" x14ac:dyDescent="0.2">
      <c r="A4278" s="6" t="s">
        <v>943</v>
      </c>
      <c r="B4278" s="6" t="s">
        <v>1597</v>
      </c>
      <c r="C4278" s="6" t="s">
        <v>1402</v>
      </c>
      <c r="D4278" s="6" t="s">
        <v>1380</v>
      </c>
      <c r="I4278" s="9"/>
      <c r="J4278" s="9"/>
      <c r="K4278" s="9">
        <v>44008692</v>
      </c>
      <c r="L4278" s="6" t="str">
        <f>B4278&amp;" "&amp;C4278&amp;" "&amp;D4278</f>
        <v>1D  LUMERA  KOMODİN (2 ADET)</v>
      </c>
      <c r="M4278" s="12">
        <v>0.5</v>
      </c>
      <c r="N4278" s="12">
        <v>0.5</v>
      </c>
      <c r="O4278" s="12">
        <v>14520</v>
      </c>
      <c r="P4278" s="12">
        <f t="shared" si="415"/>
        <v>7260</v>
      </c>
      <c r="Q4278" s="12">
        <f t="shared" si="412"/>
        <v>15246</v>
      </c>
      <c r="R4278" s="33">
        <f t="shared" si="416"/>
        <v>15200</v>
      </c>
      <c r="T4278" s="12"/>
      <c r="U4278" s="12">
        <v>13900</v>
      </c>
      <c r="V4278" s="12"/>
      <c r="W4278" s="12">
        <f t="shared" si="414"/>
        <v>18150</v>
      </c>
    </row>
    <row r="4279" spans="1:23" s="6" customFormat="1" ht="21.95" customHeight="1" x14ac:dyDescent="0.2">
      <c r="A4279" s="6" t="s">
        <v>943</v>
      </c>
      <c r="B4279" s="6" t="s">
        <v>1597</v>
      </c>
      <c r="C4279" s="6" t="s">
        <v>2042</v>
      </c>
      <c r="D4279" s="6" t="s">
        <v>2305</v>
      </c>
      <c r="G4279" s="6">
        <v>140</v>
      </c>
      <c r="H4279" s="6">
        <v>200</v>
      </c>
      <c r="I4279" s="9"/>
      <c r="J4279" s="9"/>
      <c r="K4279" s="9">
        <v>44008705</v>
      </c>
      <c r="L4279" s="6" t="str">
        <f t="shared" ref="L4279:L4286" si="418">B4279&amp;" "&amp;C4279&amp;" "&amp;D4279&amp;" "&amp;G4279&amp;"x"&amp;H4279</f>
        <v>1D  LUNAMORE BAZA + BAŞLIK + TRAVERS 140x200</v>
      </c>
      <c r="M4279" s="12">
        <v>0.5</v>
      </c>
      <c r="N4279" s="12">
        <v>0.5</v>
      </c>
      <c r="O4279" s="12">
        <v>10400</v>
      </c>
      <c r="P4279" s="12">
        <f t="shared" si="415"/>
        <v>5200</v>
      </c>
      <c r="Q4279" s="12">
        <f t="shared" si="412"/>
        <v>10920</v>
      </c>
      <c r="R4279" s="33">
        <f t="shared" si="416"/>
        <v>10900</v>
      </c>
      <c r="T4279" s="12"/>
      <c r="U4279" s="12">
        <v>14100</v>
      </c>
      <c r="V4279" s="12"/>
      <c r="W4279" s="12">
        <f t="shared" si="414"/>
        <v>13000</v>
      </c>
    </row>
    <row r="4280" spans="1:23" s="6" customFormat="1" ht="21.95" customHeight="1" x14ac:dyDescent="0.2">
      <c r="A4280" s="6" t="s">
        <v>943</v>
      </c>
      <c r="B4280" s="6" t="s">
        <v>1597</v>
      </c>
      <c r="C4280" s="6" t="s">
        <v>2042</v>
      </c>
      <c r="D4280" s="6" t="s">
        <v>2305</v>
      </c>
      <c r="G4280" s="6">
        <v>150</v>
      </c>
      <c r="H4280" s="6">
        <v>200</v>
      </c>
      <c r="I4280" s="9"/>
      <c r="J4280" s="9"/>
      <c r="K4280" s="9">
        <v>44008706</v>
      </c>
      <c r="L4280" s="6" t="str">
        <f t="shared" si="418"/>
        <v>1D  LUNAMORE BAZA + BAŞLIK + TRAVERS 150x200</v>
      </c>
      <c r="M4280" s="12">
        <v>0.5</v>
      </c>
      <c r="N4280" s="12">
        <v>0.5</v>
      </c>
      <c r="O4280" s="12">
        <v>11200</v>
      </c>
      <c r="P4280" s="12">
        <f t="shared" si="415"/>
        <v>5600</v>
      </c>
      <c r="Q4280" s="12">
        <f t="shared" si="412"/>
        <v>11760</v>
      </c>
      <c r="R4280" s="33">
        <f t="shared" si="416"/>
        <v>11700</v>
      </c>
      <c r="T4280" s="12"/>
      <c r="U4280" s="12">
        <v>16900</v>
      </c>
      <c r="V4280" s="12"/>
      <c r="W4280" s="12">
        <f t="shared" si="414"/>
        <v>14000</v>
      </c>
    </row>
    <row r="4281" spans="1:23" s="6" customFormat="1" ht="21.95" customHeight="1" x14ac:dyDescent="0.2">
      <c r="A4281" s="6" t="s">
        <v>943</v>
      </c>
      <c r="B4281" s="6" t="s">
        <v>1597</v>
      </c>
      <c r="C4281" s="6" t="s">
        <v>2042</v>
      </c>
      <c r="D4281" s="6" t="s">
        <v>2305</v>
      </c>
      <c r="G4281" s="6">
        <v>160</v>
      </c>
      <c r="H4281" s="6">
        <v>200</v>
      </c>
      <c r="I4281" s="9"/>
      <c r="J4281" s="9"/>
      <c r="K4281" s="9">
        <v>44008707</v>
      </c>
      <c r="L4281" s="6" t="str">
        <f t="shared" si="418"/>
        <v>1D  LUNAMORE BAZA + BAŞLIK + TRAVERS 160x200</v>
      </c>
      <c r="M4281" s="12">
        <v>0.5</v>
      </c>
      <c r="N4281" s="12">
        <v>0.5</v>
      </c>
      <c r="O4281" s="12">
        <v>11900</v>
      </c>
      <c r="P4281" s="12">
        <f t="shared" si="415"/>
        <v>5950</v>
      </c>
      <c r="Q4281" s="12">
        <f t="shared" si="412"/>
        <v>12495</v>
      </c>
      <c r="R4281" s="33">
        <f t="shared" si="416"/>
        <v>12400</v>
      </c>
      <c r="T4281" s="12"/>
      <c r="U4281" s="12">
        <v>19700</v>
      </c>
      <c r="V4281" s="12"/>
      <c r="W4281" s="12">
        <f t="shared" si="414"/>
        <v>14875</v>
      </c>
    </row>
    <row r="4282" spans="1:23" s="6" customFormat="1" ht="21.95" customHeight="1" x14ac:dyDescent="0.2">
      <c r="A4282" s="6" t="s">
        <v>943</v>
      </c>
      <c r="B4282" s="6" t="s">
        <v>1597</v>
      </c>
      <c r="C4282" s="6" t="s">
        <v>2042</v>
      </c>
      <c r="D4282" s="6" t="s">
        <v>2305</v>
      </c>
      <c r="G4282" s="6">
        <v>180</v>
      </c>
      <c r="H4282" s="6">
        <v>200</v>
      </c>
      <c r="I4282" s="9"/>
      <c r="J4282" s="9"/>
      <c r="K4282" s="9">
        <v>44008708</v>
      </c>
      <c r="L4282" s="6" t="str">
        <f t="shared" si="418"/>
        <v>1D  LUNAMORE BAZA + BAŞLIK + TRAVERS 180x200</v>
      </c>
      <c r="M4282" s="12">
        <v>0.5</v>
      </c>
      <c r="N4282" s="12">
        <v>0.5</v>
      </c>
      <c r="O4282" s="12">
        <v>13400</v>
      </c>
      <c r="P4282" s="12">
        <f t="shared" si="415"/>
        <v>6700</v>
      </c>
      <c r="Q4282" s="12">
        <f t="shared" si="412"/>
        <v>14070</v>
      </c>
      <c r="R4282" s="33">
        <f t="shared" si="416"/>
        <v>14000</v>
      </c>
      <c r="T4282" s="12"/>
      <c r="U4282" s="12">
        <v>21100</v>
      </c>
      <c r="V4282" s="12"/>
      <c r="W4282" s="12">
        <f t="shared" si="414"/>
        <v>16750</v>
      </c>
    </row>
    <row r="4283" spans="1:23" s="6" customFormat="1" ht="21.95" customHeight="1" x14ac:dyDescent="0.2">
      <c r="A4283" s="6" t="s">
        <v>943</v>
      </c>
      <c r="B4283" s="6" t="s">
        <v>1597</v>
      </c>
      <c r="C4283" s="6" t="s">
        <v>2042</v>
      </c>
      <c r="D4283" s="6" t="s">
        <v>943</v>
      </c>
      <c r="G4283" s="6">
        <v>140</v>
      </c>
      <c r="H4283" s="6">
        <v>200</v>
      </c>
      <c r="I4283" s="9"/>
      <c r="J4283" s="9"/>
      <c r="K4283" s="9">
        <v>44008713</v>
      </c>
      <c r="L4283" s="6" t="str">
        <f t="shared" si="418"/>
        <v>1D  LUNAMORE YATAK  140x200</v>
      </c>
      <c r="M4283" s="12">
        <v>0.5</v>
      </c>
      <c r="N4283" s="12">
        <v>0.5</v>
      </c>
      <c r="O4283" s="12">
        <v>18500</v>
      </c>
      <c r="P4283" s="12">
        <f t="shared" si="415"/>
        <v>9250</v>
      </c>
      <c r="Q4283" s="12">
        <f t="shared" si="412"/>
        <v>19425</v>
      </c>
      <c r="R4283" s="33">
        <f t="shared" si="416"/>
        <v>19400</v>
      </c>
      <c r="T4283" s="12"/>
      <c r="U4283" s="12">
        <v>22500</v>
      </c>
      <c r="V4283" s="12"/>
      <c r="W4283" s="12">
        <f t="shared" si="414"/>
        <v>23125</v>
      </c>
    </row>
    <row r="4284" spans="1:23" s="6" customFormat="1" ht="21.95" customHeight="1" x14ac:dyDescent="0.2">
      <c r="A4284" s="6" t="s">
        <v>943</v>
      </c>
      <c r="B4284" s="6" t="s">
        <v>1597</v>
      </c>
      <c r="C4284" s="6" t="s">
        <v>2042</v>
      </c>
      <c r="D4284" s="6" t="s">
        <v>943</v>
      </c>
      <c r="G4284" s="6">
        <v>150</v>
      </c>
      <c r="H4284" s="6">
        <v>200</v>
      </c>
      <c r="I4284" s="9"/>
      <c r="J4284" s="9"/>
      <c r="K4284" s="9">
        <v>44008714</v>
      </c>
      <c r="L4284" s="6" t="str">
        <f t="shared" si="418"/>
        <v>1D  LUNAMORE YATAK  150x200</v>
      </c>
      <c r="M4284" s="12">
        <v>0.5</v>
      </c>
      <c r="N4284" s="12">
        <v>0.5</v>
      </c>
      <c r="O4284" s="12">
        <v>19800</v>
      </c>
      <c r="P4284" s="12">
        <f t="shared" si="415"/>
        <v>9900</v>
      </c>
      <c r="Q4284" s="12">
        <f t="shared" si="412"/>
        <v>20790</v>
      </c>
      <c r="R4284" s="33">
        <f t="shared" si="416"/>
        <v>20700</v>
      </c>
      <c r="T4284" s="12"/>
      <c r="U4284" s="12">
        <v>25300</v>
      </c>
      <c r="V4284" s="12"/>
      <c r="W4284" s="12">
        <f t="shared" si="414"/>
        <v>24750</v>
      </c>
    </row>
    <row r="4285" spans="1:23" s="6" customFormat="1" ht="21.95" customHeight="1" x14ac:dyDescent="0.2">
      <c r="A4285" s="6" t="s">
        <v>943</v>
      </c>
      <c r="B4285" s="6" t="s">
        <v>1597</v>
      </c>
      <c r="C4285" s="6" t="s">
        <v>2042</v>
      </c>
      <c r="D4285" s="6" t="s">
        <v>943</v>
      </c>
      <c r="G4285" s="6">
        <v>160</v>
      </c>
      <c r="H4285" s="6">
        <v>200</v>
      </c>
      <c r="I4285" s="9"/>
      <c r="J4285" s="9"/>
      <c r="K4285" s="9">
        <v>44008715</v>
      </c>
      <c r="L4285" s="6" t="str">
        <f t="shared" si="418"/>
        <v>1D  LUNAMORE YATAK  160x200</v>
      </c>
      <c r="M4285" s="12">
        <v>0.5</v>
      </c>
      <c r="N4285" s="12">
        <v>0.5</v>
      </c>
      <c r="O4285" s="12">
        <v>21100</v>
      </c>
      <c r="P4285" s="12">
        <f t="shared" si="415"/>
        <v>10550</v>
      </c>
      <c r="Q4285" s="12">
        <f t="shared" si="412"/>
        <v>22155</v>
      </c>
      <c r="R4285" s="33">
        <f t="shared" si="416"/>
        <v>22100</v>
      </c>
      <c r="T4285" s="12"/>
      <c r="U4285" s="12">
        <v>5300</v>
      </c>
      <c r="V4285" s="12"/>
      <c r="W4285" s="12">
        <f t="shared" si="414"/>
        <v>26375</v>
      </c>
    </row>
    <row r="4286" spans="1:23" s="6" customFormat="1" ht="21.95" customHeight="1" x14ac:dyDescent="0.2">
      <c r="A4286" s="6" t="s">
        <v>943</v>
      </c>
      <c r="B4286" s="6" t="s">
        <v>1597</v>
      </c>
      <c r="C4286" s="6" t="s">
        <v>2042</v>
      </c>
      <c r="D4286" s="6" t="s">
        <v>943</v>
      </c>
      <c r="G4286" s="6">
        <v>180</v>
      </c>
      <c r="H4286" s="6">
        <v>200</v>
      </c>
      <c r="I4286" s="9"/>
      <c r="J4286" s="9"/>
      <c r="K4286" s="9">
        <v>44008716</v>
      </c>
      <c r="L4286" s="6" t="str">
        <f t="shared" si="418"/>
        <v>1D  LUNAMORE YATAK  180x200</v>
      </c>
      <c r="M4286" s="12">
        <v>0.5</v>
      </c>
      <c r="N4286" s="12">
        <v>0.5</v>
      </c>
      <c r="O4286" s="12">
        <v>23700</v>
      </c>
      <c r="P4286" s="12">
        <f t="shared" si="415"/>
        <v>11850</v>
      </c>
      <c r="Q4286" s="12">
        <f t="shared" si="412"/>
        <v>24885</v>
      </c>
      <c r="R4286" s="33">
        <f t="shared" si="416"/>
        <v>24800</v>
      </c>
      <c r="T4286" s="12"/>
      <c r="U4286" s="12">
        <v>5300</v>
      </c>
      <c r="V4286" s="12"/>
      <c r="W4286" s="12">
        <f t="shared" si="414"/>
        <v>29625</v>
      </c>
    </row>
    <row r="4287" spans="1:23" s="6" customFormat="1" ht="21.95" customHeight="1" x14ac:dyDescent="0.2">
      <c r="A4287" s="6" t="s">
        <v>943</v>
      </c>
      <c r="B4287" s="6" t="s">
        <v>1597</v>
      </c>
      <c r="C4287" s="6" t="s">
        <v>2042</v>
      </c>
      <c r="D4287" s="6" t="s">
        <v>1380</v>
      </c>
      <c r="I4287" s="9"/>
      <c r="J4287" s="9"/>
      <c r="K4287" s="9">
        <v>44008717</v>
      </c>
      <c r="L4287" s="6" t="str">
        <f>B4287&amp;" "&amp;C4287&amp;" "&amp;D4287</f>
        <v>1D  LUNAMORE KOMODİN (2 ADET)</v>
      </c>
      <c r="M4287" s="12">
        <v>0.5</v>
      </c>
      <c r="N4287" s="12">
        <v>0.5</v>
      </c>
      <c r="O4287" s="12">
        <v>14520</v>
      </c>
      <c r="P4287" s="12">
        <f t="shared" si="415"/>
        <v>7260</v>
      </c>
      <c r="Q4287" s="12">
        <f t="shared" si="412"/>
        <v>15246</v>
      </c>
      <c r="R4287" s="33">
        <f t="shared" si="416"/>
        <v>15200</v>
      </c>
      <c r="T4287" s="12"/>
      <c r="U4287" s="12">
        <v>5300</v>
      </c>
      <c r="V4287" s="12"/>
      <c r="W4287" s="12">
        <f t="shared" si="414"/>
        <v>18150</v>
      </c>
    </row>
    <row r="4288" spans="1:23" s="6" customFormat="1" ht="21.95" customHeight="1" x14ac:dyDescent="0.2">
      <c r="A4288" s="6" t="s">
        <v>943</v>
      </c>
      <c r="B4288" s="6" t="s">
        <v>1597</v>
      </c>
      <c r="C4288" s="6" t="s">
        <v>1403</v>
      </c>
      <c r="D4288" s="6" t="s">
        <v>989</v>
      </c>
      <c r="G4288" s="6">
        <v>90</v>
      </c>
      <c r="H4288" s="6">
        <v>190</v>
      </c>
      <c r="I4288" s="9"/>
      <c r="J4288" s="9"/>
      <c r="K4288" s="9">
        <v>44008718</v>
      </c>
      <c r="L4288" s="6" t="str">
        <f t="shared" ref="L4288:L4311" si="419">B4288&amp;" "&amp;C4288&amp;" "&amp;D4288&amp;" "&amp;G4288&amp;"x"&amp;H4288</f>
        <v>1D  MADRID  BAZA  90x190</v>
      </c>
      <c r="M4288" s="12">
        <v>0.5</v>
      </c>
      <c r="N4288" s="12">
        <v>0.5</v>
      </c>
      <c r="O4288" s="12">
        <v>10200</v>
      </c>
      <c r="P4288" s="12">
        <f t="shared" si="415"/>
        <v>5100</v>
      </c>
      <c r="Q4288" s="12">
        <f t="shared" si="412"/>
        <v>10710</v>
      </c>
      <c r="R4288" s="33">
        <f t="shared" si="416"/>
        <v>10700</v>
      </c>
      <c r="T4288" s="12"/>
      <c r="U4288" s="12">
        <v>6400</v>
      </c>
      <c r="V4288" s="12"/>
      <c r="W4288" s="12">
        <f t="shared" si="414"/>
        <v>12750</v>
      </c>
    </row>
    <row r="4289" spans="1:23" s="6" customFormat="1" ht="21.95" customHeight="1" x14ac:dyDescent="0.2">
      <c r="A4289" s="6" t="s">
        <v>943</v>
      </c>
      <c r="B4289" s="6" t="s">
        <v>1597</v>
      </c>
      <c r="C4289" s="6" t="s">
        <v>1403</v>
      </c>
      <c r="D4289" s="6" t="s">
        <v>989</v>
      </c>
      <c r="G4289" s="6">
        <v>90</v>
      </c>
      <c r="H4289" s="6">
        <v>200</v>
      </c>
      <c r="I4289" s="9"/>
      <c r="J4289" s="9"/>
      <c r="K4289" s="9">
        <v>44008719</v>
      </c>
      <c r="L4289" s="6" t="str">
        <f t="shared" si="419"/>
        <v>1D  MADRID  BAZA  90x200</v>
      </c>
      <c r="M4289" s="12">
        <v>0.5</v>
      </c>
      <c r="N4289" s="12">
        <v>0.5</v>
      </c>
      <c r="O4289" s="12">
        <v>10700</v>
      </c>
      <c r="P4289" s="12">
        <f t="shared" si="415"/>
        <v>5350</v>
      </c>
      <c r="Q4289" s="12">
        <f t="shared" si="412"/>
        <v>11235</v>
      </c>
      <c r="R4289" s="33">
        <f t="shared" si="416"/>
        <v>11200</v>
      </c>
      <c r="T4289" s="12"/>
      <c r="U4289" s="12">
        <v>7400</v>
      </c>
      <c r="V4289" s="12"/>
      <c r="W4289" s="12">
        <f t="shared" si="414"/>
        <v>13375</v>
      </c>
    </row>
    <row r="4290" spans="1:23" s="6" customFormat="1" ht="21.95" customHeight="1" x14ac:dyDescent="0.2">
      <c r="A4290" s="6" t="s">
        <v>943</v>
      </c>
      <c r="B4290" s="6" t="s">
        <v>1597</v>
      </c>
      <c r="C4290" s="6" t="s">
        <v>1403</v>
      </c>
      <c r="D4290" s="6" t="s">
        <v>989</v>
      </c>
      <c r="G4290" s="6">
        <v>100</v>
      </c>
      <c r="H4290" s="6">
        <v>200</v>
      </c>
      <c r="I4290" s="9"/>
      <c r="J4290" s="9"/>
      <c r="K4290" s="9">
        <v>44008720</v>
      </c>
      <c r="L4290" s="6" t="str">
        <f t="shared" si="419"/>
        <v>1D  MADRID  BAZA  100x200</v>
      </c>
      <c r="M4290" s="12">
        <v>0.5</v>
      </c>
      <c r="N4290" s="12">
        <v>0.5</v>
      </c>
      <c r="O4290" s="12">
        <v>11900</v>
      </c>
      <c r="P4290" s="12">
        <f t="shared" si="415"/>
        <v>5950</v>
      </c>
      <c r="Q4290" s="12">
        <f t="shared" si="412"/>
        <v>12495</v>
      </c>
      <c r="R4290" s="33">
        <f t="shared" si="416"/>
        <v>12400</v>
      </c>
      <c r="T4290" s="12"/>
      <c r="U4290" s="12">
        <v>8000</v>
      </c>
      <c r="V4290" s="12"/>
      <c r="W4290" s="12">
        <f t="shared" si="414"/>
        <v>14875</v>
      </c>
    </row>
    <row r="4291" spans="1:23" s="6" customFormat="1" ht="21.95" customHeight="1" x14ac:dyDescent="0.2">
      <c r="A4291" s="6" t="s">
        <v>943</v>
      </c>
      <c r="B4291" s="6" t="s">
        <v>1597</v>
      </c>
      <c r="C4291" s="6" t="s">
        <v>1403</v>
      </c>
      <c r="D4291" s="6" t="s">
        <v>989</v>
      </c>
      <c r="G4291" s="6">
        <v>120</v>
      </c>
      <c r="H4291" s="6">
        <v>200</v>
      </c>
      <c r="I4291" s="9"/>
      <c r="J4291" s="9"/>
      <c r="K4291" s="9">
        <v>44008721</v>
      </c>
      <c r="L4291" s="6" t="str">
        <f t="shared" si="419"/>
        <v>1D  MADRID  BAZA  120x200</v>
      </c>
      <c r="M4291" s="12">
        <v>0.5</v>
      </c>
      <c r="N4291" s="12">
        <v>0.5</v>
      </c>
      <c r="O4291" s="12">
        <v>14300</v>
      </c>
      <c r="P4291" s="12">
        <f t="shared" si="415"/>
        <v>7150</v>
      </c>
      <c r="Q4291" s="12">
        <f t="shared" si="412"/>
        <v>15015</v>
      </c>
      <c r="R4291" s="33">
        <f t="shared" si="416"/>
        <v>15000</v>
      </c>
      <c r="T4291" s="12"/>
      <c r="U4291" s="12">
        <v>8500</v>
      </c>
      <c r="V4291" s="12"/>
      <c r="W4291" s="12">
        <f t="shared" si="414"/>
        <v>17875</v>
      </c>
    </row>
    <row r="4292" spans="1:23" s="6" customFormat="1" ht="21.95" customHeight="1" x14ac:dyDescent="0.2">
      <c r="A4292" s="6" t="s">
        <v>943</v>
      </c>
      <c r="B4292" s="6" t="s">
        <v>1597</v>
      </c>
      <c r="C4292" s="6" t="s">
        <v>1403</v>
      </c>
      <c r="D4292" s="6" t="s">
        <v>989</v>
      </c>
      <c r="G4292" s="6">
        <v>140</v>
      </c>
      <c r="H4292" s="6">
        <v>200</v>
      </c>
      <c r="I4292" s="9"/>
      <c r="J4292" s="9"/>
      <c r="K4292" s="9">
        <v>44008722</v>
      </c>
      <c r="L4292" s="6" t="str">
        <f t="shared" si="419"/>
        <v>1D  MADRID  BAZA  140x200</v>
      </c>
      <c r="M4292" s="12">
        <v>0.5</v>
      </c>
      <c r="N4292" s="12">
        <v>0.5</v>
      </c>
      <c r="O4292" s="12">
        <v>16700</v>
      </c>
      <c r="P4292" s="12">
        <f t="shared" si="415"/>
        <v>8350</v>
      </c>
      <c r="Q4292" s="12">
        <f t="shared" si="412"/>
        <v>17535</v>
      </c>
      <c r="R4292" s="33">
        <f t="shared" si="416"/>
        <v>17500</v>
      </c>
      <c r="T4292" s="12"/>
      <c r="U4292" s="12">
        <v>9600</v>
      </c>
      <c r="V4292" s="12"/>
      <c r="W4292" s="12">
        <f t="shared" si="414"/>
        <v>20875</v>
      </c>
    </row>
    <row r="4293" spans="1:23" s="6" customFormat="1" ht="21.95" customHeight="1" x14ac:dyDescent="0.2">
      <c r="A4293" s="6" t="s">
        <v>943</v>
      </c>
      <c r="B4293" s="6" t="s">
        <v>1597</v>
      </c>
      <c r="C4293" s="6" t="s">
        <v>1403</v>
      </c>
      <c r="D4293" s="6" t="s">
        <v>989</v>
      </c>
      <c r="G4293" s="6">
        <v>150</v>
      </c>
      <c r="H4293" s="6">
        <v>200</v>
      </c>
      <c r="I4293" s="9"/>
      <c r="J4293" s="9"/>
      <c r="K4293" s="9">
        <v>44008723</v>
      </c>
      <c r="L4293" s="6" t="str">
        <f t="shared" si="419"/>
        <v>1D  MADRID  BAZA  150x200</v>
      </c>
      <c r="M4293" s="12">
        <v>0.5</v>
      </c>
      <c r="N4293" s="12">
        <v>0.5</v>
      </c>
      <c r="O4293" s="12">
        <v>17900</v>
      </c>
      <c r="P4293" s="12">
        <f t="shared" si="415"/>
        <v>8950</v>
      </c>
      <c r="Q4293" s="12">
        <f t="shared" si="412"/>
        <v>18795</v>
      </c>
      <c r="R4293" s="33">
        <f t="shared" si="416"/>
        <v>18700</v>
      </c>
      <c r="T4293" s="12"/>
      <c r="U4293" s="12">
        <v>11300</v>
      </c>
      <c r="V4293" s="12"/>
      <c r="W4293" s="12">
        <f t="shared" si="414"/>
        <v>22375</v>
      </c>
    </row>
    <row r="4294" spans="1:23" s="6" customFormat="1" ht="21.95" customHeight="1" x14ac:dyDescent="0.2">
      <c r="A4294" s="6" t="s">
        <v>943</v>
      </c>
      <c r="B4294" s="6" t="s">
        <v>1597</v>
      </c>
      <c r="C4294" s="6" t="s">
        <v>1403</v>
      </c>
      <c r="D4294" s="6" t="s">
        <v>989</v>
      </c>
      <c r="G4294" s="6">
        <v>160</v>
      </c>
      <c r="H4294" s="6">
        <v>200</v>
      </c>
      <c r="I4294" s="9"/>
      <c r="J4294" s="9"/>
      <c r="K4294" s="9">
        <v>44008724</v>
      </c>
      <c r="L4294" s="6" t="str">
        <f t="shared" si="419"/>
        <v>1D  MADRID  BAZA  160x200</v>
      </c>
      <c r="M4294" s="12">
        <v>0.5</v>
      </c>
      <c r="N4294" s="12">
        <v>0.5</v>
      </c>
      <c r="O4294" s="12">
        <v>19100</v>
      </c>
      <c r="P4294" s="12">
        <f t="shared" si="415"/>
        <v>9550</v>
      </c>
      <c r="Q4294" s="12">
        <f t="shared" si="412"/>
        <v>20055</v>
      </c>
      <c r="R4294" s="33">
        <f t="shared" si="416"/>
        <v>20000</v>
      </c>
      <c r="T4294" s="12"/>
      <c r="U4294" s="12">
        <v>11900</v>
      </c>
      <c r="V4294" s="12"/>
      <c r="W4294" s="12">
        <f t="shared" si="414"/>
        <v>23875</v>
      </c>
    </row>
    <row r="4295" spans="1:23" s="6" customFormat="1" ht="21.95" customHeight="1" x14ac:dyDescent="0.2">
      <c r="A4295" s="6" t="s">
        <v>943</v>
      </c>
      <c r="B4295" s="6" t="s">
        <v>1597</v>
      </c>
      <c r="C4295" s="6" t="s">
        <v>1403</v>
      </c>
      <c r="D4295" s="6" t="s">
        <v>989</v>
      </c>
      <c r="G4295" s="6">
        <v>180</v>
      </c>
      <c r="H4295" s="6">
        <v>200</v>
      </c>
      <c r="I4295" s="9"/>
      <c r="J4295" s="9"/>
      <c r="K4295" s="9">
        <v>44008725</v>
      </c>
      <c r="L4295" s="6" t="str">
        <f t="shared" si="419"/>
        <v>1D  MADRID  BAZA  180x200</v>
      </c>
      <c r="M4295" s="12">
        <v>0.5</v>
      </c>
      <c r="N4295" s="12">
        <v>0.5</v>
      </c>
      <c r="O4295" s="12">
        <v>21500</v>
      </c>
      <c r="P4295" s="12">
        <f t="shared" si="415"/>
        <v>10750</v>
      </c>
      <c r="Q4295" s="12">
        <f t="shared" si="412"/>
        <v>22575</v>
      </c>
      <c r="R4295" s="33">
        <f t="shared" si="416"/>
        <v>22500</v>
      </c>
      <c r="T4295" s="12"/>
      <c r="U4295" s="12">
        <v>12000</v>
      </c>
      <c r="V4295" s="12"/>
      <c r="W4295" s="12">
        <f t="shared" si="414"/>
        <v>26875</v>
      </c>
    </row>
    <row r="4296" spans="1:23" s="6" customFormat="1" ht="21.95" customHeight="1" x14ac:dyDescent="0.2">
      <c r="A4296" s="6" t="s">
        <v>943</v>
      </c>
      <c r="B4296" s="6" t="s">
        <v>1597</v>
      </c>
      <c r="C4296" s="6" t="s">
        <v>1403</v>
      </c>
      <c r="D4296" s="6" t="s">
        <v>1003</v>
      </c>
      <c r="G4296" s="6">
        <v>90</v>
      </c>
      <c r="H4296" s="6">
        <v>190</v>
      </c>
      <c r="I4296" s="9"/>
      <c r="J4296" s="9"/>
      <c r="K4296" s="9">
        <v>44008726</v>
      </c>
      <c r="L4296" s="6" t="str">
        <f t="shared" si="419"/>
        <v>1D  MADRID  BAŞLIK  90x190</v>
      </c>
      <c r="M4296" s="12">
        <v>0.5</v>
      </c>
      <c r="N4296" s="12">
        <v>0.5</v>
      </c>
      <c r="O4296" s="12">
        <v>6900</v>
      </c>
      <c r="P4296" s="12">
        <f t="shared" si="415"/>
        <v>3450</v>
      </c>
      <c r="Q4296" s="12">
        <f t="shared" si="412"/>
        <v>7245</v>
      </c>
      <c r="R4296" s="33">
        <f t="shared" si="416"/>
        <v>7200</v>
      </c>
      <c r="T4296" s="12"/>
      <c r="U4296" s="12">
        <v>14400</v>
      </c>
      <c r="V4296" s="12"/>
      <c r="W4296" s="12">
        <f t="shared" si="414"/>
        <v>8625</v>
      </c>
    </row>
    <row r="4297" spans="1:23" s="6" customFormat="1" ht="21.95" customHeight="1" x14ac:dyDescent="0.2">
      <c r="A4297" s="6" t="s">
        <v>943</v>
      </c>
      <c r="B4297" s="6" t="s">
        <v>1597</v>
      </c>
      <c r="C4297" s="6" t="s">
        <v>1403</v>
      </c>
      <c r="D4297" s="6" t="s">
        <v>1003</v>
      </c>
      <c r="G4297" s="6">
        <v>90</v>
      </c>
      <c r="H4297" s="6">
        <v>200</v>
      </c>
      <c r="I4297" s="9"/>
      <c r="J4297" s="9"/>
      <c r="K4297" s="9">
        <v>44008727</v>
      </c>
      <c r="L4297" s="6" t="str">
        <f t="shared" si="419"/>
        <v>1D  MADRID  BAŞLIK  90x200</v>
      </c>
      <c r="M4297" s="12">
        <v>0.5</v>
      </c>
      <c r="N4297" s="12">
        <v>0.5</v>
      </c>
      <c r="O4297" s="12">
        <v>7300</v>
      </c>
      <c r="P4297" s="12">
        <f t="shared" si="415"/>
        <v>3650</v>
      </c>
      <c r="Q4297" s="12">
        <f t="shared" si="412"/>
        <v>7665</v>
      </c>
      <c r="R4297" s="33">
        <f t="shared" si="416"/>
        <v>7600</v>
      </c>
      <c r="T4297" s="12"/>
      <c r="U4297" s="12">
        <v>16800</v>
      </c>
      <c r="V4297" s="12"/>
      <c r="W4297" s="12">
        <f t="shared" si="414"/>
        <v>9125</v>
      </c>
    </row>
    <row r="4298" spans="1:23" s="6" customFormat="1" ht="21.95" customHeight="1" x14ac:dyDescent="0.2">
      <c r="A4298" s="6" t="s">
        <v>943</v>
      </c>
      <c r="B4298" s="6" t="s">
        <v>1597</v>
      </c>
      <c r="C4298" s="6" t="s">
        <v>1403</v>
      </c>
      <c r="D4298" s="6" t="s">
        <v>1003</v>
      </c>
      <c r="G4298" s="6">
        <v>100</v>
      </c>
      <c r="H4298" s="6">
        <v>200</v>
      </c>
      <c r="I4298" s="9"/>
      <c r="J4298" s="9"/>
      <c r="K4298" s="9">
        <v>44008728</v>
      </c>
      <c r="L4298" s="6" t="str">
        <f t="shared" si="419"/>
        <v>1D  MADRID  BAŞLIK  100x200</v>
      </c>
      <c r="M4298" s="12">
        <v>0.5</v>
      </c>
      <c r="N4298" s="12">
        <v>0.5</v>
      </c>
      <c r="O4298" s="12">
        <v>8100</v>
      </c>
      <c r="P4298" s="12">
        <f t="shared" si="415"/>
        <v>4050</v>
      </c>
      <c r="Q4298" s="12">
        <f t="shared" si="412"/>
        <v>8505</v>
      </c>
      <c r="R4298" s="33">
        <f t="shared" si="416"/>
        <v>8500</v>
      </c>
      <c r="T4298" s="12"/>
      <c r="U4298" s="12">
        <v>18000</v>
      </c>
      <c r="V4298" s="12"/>
      <c r="W4298" s="12">
        <f t="shared" si="414"/>
        <v>10125</v>
      </c>
    </row>
    <row r="4299" spans="1:23" s="6" customFormat="1" ht="21.95" customHeight="1" x14ac:dyDescent="0.2">
      <c r="A4299" s="6" t="s">
        <v>943</v>
      </c>
      <c r="B4299" s="6" t="s">
        <v>1597</v>
      </c>
      <c r="C4299" s="6" t="s">
        <v>1403</v>
      </c>
      <c r="D4299" s="6" t="s">
        <v>1003</v>
      </c>
      <c r="G4299" s="6">
        <v>120</v>
      </c>
      <c r="H4299" s="6">
        <v>200</v>
      </c>
      <c r="I4299" s="9"/>
      <c r="J4299" s="9"/>
      <c r="K4299" s="9">
        <v>44008729</v>
      </c>
      <c r="L4299" s="6" t="str">
        <f t="shared" si="419"/>
        <v>1D  MADRID  BAŞLIK  120x200</v>
      </c>
      <c r="M4299" s="12">
        <v>0.5</v>
      </c>
      <c r="N4299" s="12">
        <v>0.5</v>
      </c>
      <c r="O4299" s="12">
        <v>9700</v>
      </c>
      <c r="P4299" s="12">
        <f t="shared" si="415"/>
        <v>4850</v>
      </c>
      <c r="Q4299" s="12">
        <f t="shared" si="412"/>
        <v>10185</v>
      </c>
      <c r="R4299" s="33">
        <f t="shared" si="416"/>
        <v>10100</v>
      </c>
      <c r="T4299" s="12"/>
      <c r="U4299" s="12">
        <v>19200</v>
      </c>
      <c r="V4299" s="12"/>
      <c r="W4299" s="12">
        <f t="shared" si="414"/>
        <v>12125</v>
      </c>
    </row>
    <row r="4300" spans="1:23" s="6" customFormat="1" ht="21.95" customHeight="1" x14ac:dyDescent="0.2">
      <c r="A4300" s="6" t="s">
        <v>943</v>
      </c>
      <c r="B4300" s="6" t="s">
        <v>1597</v>
      </c>
      <c r="C4300" s="6" t="s">
        <v>1403</v>
      </c>
      <c r="D4300" s="6" t="s">
        <v>1003</v>
      </c>
      <c r="G4300" s="6">
        <v>140</v>
      </c>
      <c r="H4300" s="6">
        <v>200</v>
      </c>
      <c r="I4300" s="9"/>
      <c r="J4300" s="9"/>
      <c r="K4300" s="9">
        <v>44008730</v>
      </c>
      <c r="L4300" s="6" t="str">
        <f t="shared" si="419"/>
        <v>1D  MADRID  BAŞLIK  140x200</v>
      </c>
      <c r="M4300" s="12">
        <v>0.5</v>
      </c>
      <c r="N4300" s="12">
        <v>0.5</v>
      </c>
      <c r="O4300" s="12">
        <v>11300</v>
      </c>
      <c r="P4300" s="12">
        <f t="shared" si="415"/>
        <v>5650</v>
      </c>
      <c r="Q4300" s="12">
        <f t="shared" si="412"/>
        <v>11865</v>
      </c>
      <c r="R4300" s="33">
        <f t="shared" si="416"/>
        <v>11800</v>
      </c>
      <c r="T4300" s="12"/>
      <c r="U4300" s="12">
        <v>21600</v>
      </c>
      <c r="V4300" s="12"/>
      <c r="W4300" s="12">
        <f t="shared" si="414"/>
        <v>14125</v>
      </c>
    </row>
    <row r="4301" spans="1:23" s="6" customFormat="1" ht="21.95" customHeight="1" x14ac:dyDescent="0.2">
      <c r="A4301" s="6" t="s">
        <v>943</v>
      </c>
      <c r="B4301" s="6" t="s">
        <v>1597</v>
      </c>
      <c r="C4301" s="6" t="s">
        <v>1403</v>
      </c>
      <c r="D4301" s="6" t="s">
        <v>1003</v>
      </c>
      <c r="G4301" s="6">
        <v>150</v>
      </c>
      <c r="H4301" s="6">
        <v>200</v>
      </c>
      <c r="I4301" s="9"/>
      <c r="J4301" s="9"/>
      <c r="K4301" s="9">
        <v>44008731</v>
      </c>
      <c r="L4301" s="6" t="str">
        <f t="shared" si="419"/>
        <v>1D  MADRID  BAŞLIK  150x200</v>
      </c>
      <c r="M4301" s="12">
        <v>0.5</v>
      </c>
      <c r="N4301" s="12">
        <v>0.5</v>
      </c>
      <c r="O4301" s="12">
        <v>12100</v>
      </c>
      <c r="P4301" s="12">
        <f t="shared" si="415"/>
        <v>6050</v>
      </c>
      <c r="Q4301" s="12">
        <f t="shared" si="412"/>
        <v>12705</v>
      </c>
      <c r="R4301" s="33">
        <f t="shared" si="416"/>
        <v>12700</v>
      </c>
      <c r="T4301" s="12"/>
      <c r="U4301" s="12">
        <v>15800</v>
      </c>
      <c r="V4301" s="12"/>
      <c r="W4301" s="12">
        <f t="shared" si="414"/>
        <v>15125</v>
      </c>
    </row>
    <row r="4302" spans="1:23" s="6" customFormat="1" ht="21.95" customHeight="1" x14ac:dyDescent="0.2">
      <c r="A4302" s="6" t="s">
        <v>943</v>
      </c>
      <c r="B4302" s="6" t="s">
        <v>1597</v>
      </c>
      <c r="C4302" s="6" t="s">
        <v>1403</v>
      </c>
      <c r="D4302" s="6" t="s">
        <v>1003</v>
      </c>
      <c r="G4302" s="6">
        <v>160</v>
      </c>
      <c r="H4302" s="6">
        <v>200</v>
      </c>
      <c r="I4302" s="9"/>
      <c r="J4302" s="9"/>
      <c r="K4302" s="9">
        <v>44008732</v>
      </c>
      <c r="L4302" s="6" t="str">
        <f t="shared" si="419"/>
        <v>1D  MADRID  BAŞLIK  160x200</v>
      </c>
      <c r="M4302" s="12">
        <v>0.5</v>
      </c>
      <c r="N4302" s="12">
        <v>0.5</v>
      </c>
      <c r="O4302" s="12">
        <v>12900</v>
      </c>
      <c r="P4302" s="12">
        <f t="shared" si="415"/>
        <v>6450</v>
      </c>
      <c r="Q4302" s="12">
        <f t="shared" si="412"/>
        <v>13545</v>
      </c>
      <c r="R4302" s="33">
        <f t="shared" si="416"/>
        <v>13500</v>
      </c>
      <c r="T4302" s="12"/>
      <c r="U4302" s="12">
        <v>13800</v>
      </c>
      <c r="V4302" s="12"/>
      <c r="W4302" s="12">
        <f t="shared" si="414"/>
        <v>16125</v>
      </c>
    </row>
    <row r="4303" spans="1:23" s="6" customFormat="1" ht="21.95" customHeight="1" x14ac:dyDescent="0.2">
      <c r="A4303" s="6" t="s">
        <v>943</v>
      </c>
      <c r="B4303" s="6" t="s">
        <v>1597</v>
      </c>
      <c r="C4303" s="6" t="s">
        <v>1403</v>
      </c>
      <c r="D4303" s="6" t="s">
        <v>1003</v>
      </c>
      <c r="G4303" s="6">
        <v>180</v>
      </c>
      <c r="H4303" s="6">
        <v>200</v>
      </c>
      <c r="I4303" s="9"/>
      <c r="J4303" s="9"/>
      <c r="K4303" s="9">
        <v>44008733</v>
      </c>
      <c r="L4303" s="6" t="str">
        <f t="shared" si="419"/>
        <v>1D  MADRID  BAŞLIK  180x200</v>
      </c>
      <c r="M4303" s="12">
        <v>0.5</v>
      </c>
      <c r="N4303" s="12">
        <v>0.5</v>
      </c>
      <c r="O4303" s="12">
        <v>14500</v>
      </c>
      <c r="P4303" s="12">
        <f t="shared" si="415"/>
        <v>7250</v>
      </c>
      <c r="Q4303" s="12">
        <f t="shared" si="412"/>
        <v>15225</v>
      </c>
      <c r="R4303" s="33">
        <f t="shared" si="416"/>
        <v>15200</v>
      </c>
      <c r="T4303" s="12"/>
      <c r="U4303" s="12">
        <v>14500</v>
      </c>
      <c r="V4303" s="12"/>
      <c r="W4303" s="12">
        <f t="shared" si="414"/>
        <v>18125</v>
      </c>
    </row>
    <row r="4304" spans="1:23" s="6" customFormat="1" ht="21.95" customHeight="1" x14ac:dyDescent="0.2">
      <c r="A4304" s="6" t="s">
        <v>943</v>
      </c>
      <c r="B4304" s="6" t="s">
        <v>1597</v>
      </c>
      <c r="C4304" s="6" t="s">
        <v>1403</v>
      </c>
      <c r="D4304" s="6" t="s">
        <v>943</v>
      </c>
      <c r="G4304" s="6">
        <v>90</v>
      </c>
      <c r="H4304" s="6">
        <v>190</v>
      </c>
      <c r="I4304" s="9"/>
      <c r="J4304" s="9"/>
      <c r="K4304" s="9">
        <v>44008734</v>
      </c>
      <c r="L4304" s="6" t="str">
        <f t="shared" si="419"/>
        <v>1D  MADRID  YATAK  90x190</v>
      </c>
      <c r="M4304" s="12">
        <v>0.5</v>
      </c>
      <c r="N4304" s="12">
        <v>0.5</v>
      </c>
      <c r="O4304" s="12">
        <v>9500</v>
      </c>
      <c r="P4304" s="12">
        <f t="shared" si="415"/>
        <v>4750</v>
      </c>
      <c r="Q4304" s="12">
        <f t="shared" si="412"/>
        <v>9975</v>
      </c>
      <c r="R4304" s="33">
        <f t="shared" si="416"/>
        <v>9900</v>
      </c>
      <c r="T4304" s="12"/>
      <c r="U4304" s="12">
        <v>14600</v>
      </c>
      <c r="V4304" s="12"/>
      <c r="W4304" s="12">
        <f t="shared" si="414"/>
        <v>11875</v>
      </c>
    </row>
    <row r="4305" spans="1:23" s="6" customFormat="1" ht="21.95" customHeight="1" x14ac:dyDescent="0.2">
      <c r="A4305" s="6" t="s">
        <v>943</v>
      </c>
      <c r="B4305" s="6" t="s">
        <v>1597</v>
      </c>
      <c r="C4305" s="6" t="s">
        <v>1403</v>
      </c>
      <c r="D4305" s="6" t="s">
        <v>943</v>
      </c>
      <c r="G4305" s="6">
        <v>90</v>
      </c>
      <c r="H4305" s="6">
        <v>200</v>
      </c>
      <c r="I4305" s="9"/>
      <c r="J4305" s="9"/>
      <c r="K4305" s="9">
        <v>44008735</v>
      </c>
      <c r="L4305" s="6" t="str">
        <f t="shared" si="419"/>
        <v>1D  MADRID  YATAK  90x200</v>
      </c>
      <c r="M4305" s="12">
        <v>0.5</v>
      </c>
      <c r="N4305" s="12">
        <v>0.5</v>
      </c>
      <c r="O4305" s="12">
        <v>10000</v>
      </c>
      <c r="P4305" s="12">
        <f t="shared" si="415"/>
        <v>5000</v>
      </c>
      <c r="Q4305" s="12">
        <f t="shared" si="412"/>
        <v>10500</v>
      </c>
      <c r="R4305" s="33">
        <f t="shared" si="416"/>
        <v>10500</v>
      </c>
      <c r="T4305" s="12"/>
      <c r="U4305" s="12">
        <v>17600</v>
      </c>
      <c r="V4305" s="12"/>
      <c r="W4305" s="12">
        <f t="shared" si="414"/>
        <v>12500</v>
      </c>
    </row>
    <row r="4306" spans="1:23" s="6" customFormat="1" ht="21.95" customHeight="1" x14ac:dyDescent="0.2">
      <c r="A4306" s="6" t="s">
        <v>943</v>
      </c>
      <c r="B4306" s="6" t="s">
        <v>1597</v>
      </c>
      <c r="C4306" s="6" t="s">
        <v>1403</v>
      </c>
      <c r="D4306" s="6" t="s">
        <v>943</v>
      </c>
      <c r="G4306" s="6">
        <v>100</v>
      </c>
      <c r="H4306" s="6">
        <v>200</v>
      </c>
      <c r="I4306" s="9"/>
      <c r="J4306" s="9"/>
      <c r="K4306" s="9">
        <v>44008736</v>
      </c>
      <c r="L4306" s="6" t="str">
        <f t="shared" si="419"/>
        <v>1D  MADRID  YATAK  100x200</v>
      </c>
      <c r="M4306" s="12">
        <v>0.5</v>
      </c>
      <c r="N4306" s="12">
        <v>0.5</v>
      </c>
      <c r="O4306" s="12">
        <v>11100</v>
      </c>
      <c r="P4306" s="12">
        <f t="shared" si="415"/>
        <v>5550</v>
      </c>
      <c r="Q4306" s="12">
        <f t="shared" si="412"/>
        <v>11655</v>
      </c>
      <c r="R4306" s="33">
        <f t="shared" si="416"/>
        <v>11600</v>
      </c>
      <c r="T4306" s="12"/>
      <c r="U4306" s="12">
        <v>20500</v>
      </c>
      <c r="V4306" s="12"/>
      <c r="W4306" s="12">
        <f t="shared" si="414"/>
        <v>13875</v>
      </c>
    </row>
    <row r="4307" spans="1:23" s="6" customFormat="1" ht="21.95" customHeight="1" x14ac:dyDescent="0.2">
      <c r="A4307" s="6" t="s">
        <v>943</v>
      </c>
      <c r="B4307" s="6" t="s">
        <v>1597</v>
      </c>
      <c r="C4307" s="6" t="s">
        <v>1403</v>
      </c>
      <c r="D4307" s="6" t="s">
        <v>943</v>
      </c>
      <c r="G4307" s="6">
        <v>120</v>
      </c>
      <c r="H4307" s="6">
        <v>200</v>
      </c>
      <c r="I4307" s="9"/>
      <c r="J4307" s="9"/>
      <c r="K4307" s="9">
        <v>44008737</v>
      </c>
      <c r="L4307" s="6" t="str">
        <f t="shared" si="419"/>
        <v>1D  MADRID  YATAK  120x200</v>
      </c>
      <c r="M4307" s="12">
        <v>0.5</v>
      </c>
      <c r="N4307" s="12">
        <v>0.5</v>
      </c>
      <c r="O4307" s="12">
        <v>13400</v>
      </c>
      <c r="P4307" s="12">
        <f t="shared" si="415"/>
        <v>6700</v>
      </c>
      <c r="Q4307" s="12">
        <f t="shared" ref="Q4307:Q4370" si="420">O4307*(1-N4307)*2.1</f>
        <v>14070</v>
      </c>
      <c r="R4307" s="33">
        <f t="shared" si="416"/>
        <v>14000</v>
      </c>
      <c r="T4307" s="12"/>
      <c r="U4307" s="12">
        <v>21900</v>
      </c>
      <c r="V4307" s="12"/>
      <c r="W4307" s="12">
        <f t="shared" si="414"/>
        <v>16750</v>
      </c>
    </row>
    <row r="4308" spans="1:23" s="6" customFormat="1" ht="21.95" customHeight="1" x14ac:dyDescent="0.2">
      <c r="A4308" s="6" t="s">
        <v>943</v>
      </c>
      <c r="B4308" s="6" t="s">
        <v>1597</v>
      </c>
      <c r="C4308" s="6" t="s">
        <v>1403</v>
      </c>
      <c r="D4308" s="6" t="s">
        <v>943</v>
      </c>
      <c r="G4308" s="6">
        <v>140</v>
      </c>
      <c r="H4308" s="6">
        <v>200</v>
      </c>
      <c r="I4308" s="9"/>
      <c r="J4308" s="9"/>
      <c r="K4308" s="9">
        <v>44008738</v>
      </c>
      <c r="L4308" s="6" t="str">
        <f t="shared" si="419"/>
        <v>1D  MADRID  YATAK  140x200</v>
      </c>
      <c r="M4308" s="12">
        <v>0.5</v>
      </c>
      <c r="N4308" s="12">
        <v>0.5</v>
      </c>
      <c r="O4308" s="12">
        <v>15600</v>
      </c>
      <c r="P4308" s="12">
        <f t="shared" si="415"/>
        <v>7800</v>
      </c>
      <c r="Q4308" s="12">
        <f t="shared" si="420"/>
        <v>16380</v>
      </c>
      <c r="R4308" s="33">
        <f t="shared" si="416"/>
        <v>16300</v>
      </c>
      <c r="T4308" s="12"/>
      <c r="U4308" s="12">
        <v>23400</v>
      </c>
      <c r="V4308" s="12"/>
      <c r="W4308" s="12">
        <f t="shared" si="414"/>
        <v>19500</v>
      </c>
    </row>
    <row r="4309" spans="1:23" s="6" customFormat="1" ht="21.95" customHeight="1" x14ac:dyDescent="0.2">
      <c r="A4309" s="6" t="s">
        <v>943</v>
      </c>
      <c r="B4309" s="6" t="s">
        <v>1597</v>
      </c>
      <c r="C4309" s="6" t="s">
        <v>1403</v>
      </c>
      <c r="D4309" s="6" t="s">
        <v>943</v>
      </c>
      <c r="G4309" s="6">
        <v>150</v>
      </c>
      <c r="H4309" s="6">
        <v>200</v>
      </c>
      <c r="I4309" s="9"/>
      <c r="J4309" s="9"/>
      <c r="K4309" s="9">
        <v>44008739</v>
      </c>
      <c r="L4309" s="6" t="str">
        <f t="shared" si="419"/>
        <v>1D  MADRID  YATAK  150x200</v>
      </c>
      <c r="M4309" s="12">
        <v>0.5</v>
      </c>
      <c r="N4309" s="12">
        <v>0.5</v>
      </c>
      <c r="O4309" s="12">
        <v>16700</v>
      </c>
      <c r="P4309" s="12">
        <f t="shared" si="415"/>
        <v>8350</v>
      </c>
      <c r="Q4309" s="12">
        <f t="shared" si="420"/>
        <v>17535</v>
      </c>
      <c r="R4309" s="33">
        <f t="shared" si="416"/>
        <v>17500</v>
      </c>
      <c r="T4309" s="12"/>
      <c r="U4309" s="12">
        <v>26300</v>
      </c>
      <c r="V4309" s="12"/>
      <c r="W4309" s="12">
        <f t="shared" si="414"/>
        <v>20875</v>
      </c>
    </row>
    <row r="4310" spans="1:23" s="6" customFormat="1" ht="21.95" customHeight="1" x14ac:dyDescent="0.2">
      <c r="A4310" s="6" t="s">
        <v>943</v>
      </c>
      <c r="B4310" s="6" t="s">
        <v>1597</v>
      </c>
      <c r="C4310" s="6" t="s">
        <v>1403</v>
      </c>
      <c r="D4310" s="6" t="s">
        <v>943</v>
      </c>
      <c r="G4310" s="6">
        <v>160</v>
      </c>
      <c r="H4310" s="6">
        <v>200</v>
      </c>
      <c r="I4310" s="9"/>
      <c r="J4310" s="9"/>
      <c r="K4310" s="9">
        <v>44008740</v>
      </c>
      <c r="L4310" s="6" t="str">
        <f t="shared" si="419"/>
        <v>1D  MADRID  YATAK  160x200</v>
      </c>
      <c r="M4310" s="12">
        <v>0.5</v>
      </c>
      <c r="N4310" s="12">
        <v>0.5</v>
      </c>
      <c r="O4310" s="12">
        <v>17800</v>
      </c>
      <c r="P4310" s="12">
        <f t="shared" si="415"/>
        <v>8900</v>
      </c>
      <c r="Q4310" s="12">
        <f t="shared" si="420"/>
        <v>18690</v>
      </c>
      <c r="R4310" s="33">
        <f t="shared" si="416"/>
        <v>18600</v>
      </c>
      <c r="T4310" s="12"/>
      <c r="U4310" s="12">
        <v>6200</v>
      </c>
      <c r="V4310" s="12"/>
      <c r="W4310" s="12">
        <f t="shared" si="414"/>
        <v>22250</v>
      </c>
    </row>
    <row r="4311" spans="1:23" s="6" customFormat="1" ht="21.95" customHeight="1" x14ac:dyDescent="0.2">
      <c r="A4311" s="6" t="s">
        <v>943</v>
      </c>
      <c r="B4311" s="6" t="s">
        <v>1597</v>
      </c>
      <c r="C4311" s="6" t="s">
        <v>1403</v>
      </c>
      <c r="D4311" s="6" t="s">
        <v>943</v>
      </c>
      <c r="G4311" s="6">
        <v>180</v>
      </c>
      <c r="H4311" s="6">
        <v>200</v>
      </c>
      <c r="I4311" s="9"/>
      <c r="J4311" s="9"/>
      <c r="K4311" s="9">
        <v>44008741</v>
      </c>
      <c r="L4311" s="6" t="str">
        <f t="shared" si="419"/>
        <v>1D  MADRID  YATAK  180x200</v>
      </c>
      <c r="M4311" s="12">
        <v>0.5</v>
      </c>
      <c r="N4311" s="12">
        <v>0.5</v>
      </c>
      <c r="O4311" s="12">
        <v>20000</v>
      </c>
      <c r="P4311" s="12">
        <f t="shared" si="415"/>
        <v>10000</v>
      </c>
      <c r="Q4311" s="12">
        <f t="shared" si="420"/>
        <v>21000</v>
      </c>
      <c r="R4311" s="33">
        <f t="shared" si="416"/>
        <v>21000</v>
      </c>
      <c r="T4311" s="12"/>
      <c r="U4311" s="12">
        <v>6200</v>
      </c>
      <c r="V4311" s="12"/>
      <c r="W4311" s="12">
        <f t="shared" si="414"/>
        <v>25000</v>
      </c>
    </row>
    <row r="4312" spans="1:23" s="6" customFormat="1" ht="21.95" customHeight="1" x14ac:dyDescent="0.2">
      <c r="A4312" s="6" t="s">
        <v>943</v>
      </c>
      <c r="B4312" s="6" t="s">
        <v>1597</v>
      </c>
      <c r="C4312" s="6" t="s">
        <v>1403</v>
      </c>
      <c r="D4312" s="6" t="s">
        <v>1380</v>
      </c>
      <c r="I4312" s="9"/>
      <c r="J4312" s="9"/>
      <c r="K4312" s="9">
        <v>44008742</v>
      </c>
      <c r="L4312" s="6" t="str">
        <f>B4312&amp;" "&amp;C4312&amp;" "&amp;D4312</f>
        <v>1D  MADRID  KOMODİN (2 ADET)</v>
      </c>
      <c r="M4312" s="12">
        <v>0.5</v>
      </c>
      <c r="N4312" s="12">
        <v>0.5</v>
      </c>
      <c r="O4312" s="12">
        <v>14520</v>
      </c>
      <c r="P4312" s="12">
        <f t="shared" si="415"/>
        <v>7260</v>
      </c>
      <c r="Q4312" s="12">
        <f t="shared" si="420"/>
        <v>15246</v>
      </c>
      <c r="R4312" s="33">
        <f t="shared" si="416"/>
        <v>15200</v>
      </c>
      <c r="T4312" s="12"/>
      <c r="U4312" s="12">
        <v>6300</v>
      </c>
      <c r="V4312" s="12"/>
      <c r="W4312" s="12">
        <f t="shared" si="414"/>
        <v>18150</v>
      </c>
    </row>
    <row r="4313" spans="1:23" s="6" customFormat="1" ht="21.95" customHeight="1" x14ac:dyDescent="0.2">
      <c r="A4313" s="6" t="s">
        <v>943</v>
      </c>
      <c r="B4313" s="6" t="s">
        <v>1597</v>
      </c>
      <c r="C4313" s="6" t="s">
        <v>1404</v>
      </c>
      <c r="D4313" s="6" t="s">
        <v>989</v>
      </c>
      <c r="G4313" s="6">
        <v>140</v>
      </c>
      <c r="H4313" s="6">
        <v>200</v>
      </c>
      <c r="I4313" s="9"/>
      <c r="J4313" s="9"/>
      <c r="K4313" s="9">
        <v>44008747</v>
      </c>
      <c r="L4313" s="6" t="str">
        <f t="shared" ref="L4313:L4324" si="421">B4313&amp;" "&amp;C4313&amp;" "&amp;D4313&amp;" "&amp;G4313&amp;"x"&amp;H4313</f>
        <v>1D  MATHILDA  BAZA  140x200</v>
      </c>
      <c r="M4313" s="12">
        <v>0.5</v>
      </c>
      <c r="N4313" s="12">
        <v>0.5</v>
      </c>
      <c r="O4313" s="12">
        <v>16700</v>
      </c>
      <c r="P4313" s="12">
        <f t="shared" si="415"/>
        <v>8350</v>
      </c>
      <c r="Q4313" s="12">
        <f t="shared" si="420"/>
        <v>17535</v>
      </c>
      <c r="R4313" s="33">
        <f t="shared" si="416"/>
        <v>17500</v>
      </c>
      <c r="T4313" s="12"/>
      <c r="U4313" s="12">
        <v>7500</v>
      </c>
      <c r="V4313" s="12"/>
      <c r="W4313" s="12">
        <f t="shared" si="414"/>
        <v>20875</v>
      </c>
    </row>
    <row r="4314" spans="1:23" s="6" customFormat="1" ht="21.95" customHeight="1" x14ac:dyDescent="0.2">
      <c r="A4314" s="6" t="s">
        <v>943</v>
      </c>
      <c r="B4314" s="6" t="s">
        <v>1597</v>
      </c>
      <c r="C4314" s="6" t="s">
        <v>1404</v>
      </c>
      <c r="D4314" s="6" t="s">
        <v>989</v>
      </c>
      <c r="G4314" s="6">
        <v>150</v>
      </c>
      <c r="H4314" s="6">
        <v>200</v>
      </c>
      <c r="I4314" s="9"/>
      <c r="J4314" s="9"/>
      <c r="K4314" s="9">
        <v>44008748</v>
      </c>
      <c r="L4314" s="6" t="str">
        <f t="shared" si="421"/>
        <v>1D  MATHILDA  BAZA  150x200</v>
      </c>
      <c r="M4314" s="12">
        <v>0.5</v>
      </c>
      <c r="N4314" s="12">
        <v>0.5</v>
      </c>
      <c r="O4314" s="12">
        <v>17900</v>
      </c>
      <c r="P4314" s="12">
        <f t="shared" si="415"/>
        <v>8950</v>
      </c>
      <c r="Q4314" s="12">
        <f t="shared" si="420"/>
        <v>18795</v>
      </c>
      <c r="R4314" s="33">
        <f t="shared" si="416"/>
        <v>18700</v>
      </c>
      <c r="T4314" s="12"/>
      <c r="U4314" s="12">
        <v>8800</v>
      </c>
      <c r="V4314" s="12"/>
      <c r="W4314" s="12">
        <f t="shared" si="414"/>
        <v>22375</v>
      </c>
    </row>
    <row r="4315" spans="1:23" s="6" customFormat="1" ht="21.95" customHeight="1" x14ac:dyDescent="0.2">
      <c r="A4315" s="6" t="s">
        <v>943</v>
      </c>
      <c r="B4315" s="6" t="s">
        <v>1597</v>
      </c>
      <c r="C4315" s="6" t="s">
        <v>1404</v>
      </c>
      <c r="D4315" s="6" t="s">
        <v>989</v>
      </c>
      <c r="G4315" s="6">
        <v>160</v>
      </c>
      <c r="H4315" s="6">
        <v>200</v>
      </c>
      <c r="I4315" s="9"/>
      <c r="J4315" s="9"/>
      <c r="K4315" s="9">
        <v>44008749</v>
      </c>
      <c r="L4315" s="6" t="str">
        <f t="shared" si="421"/>
        <v>1D  MATHILDA  BAZA  160x200</v>
      </c>
      <c r="M4315" s="12">
        <v>0.5</v>
      </c>
      <c r="N4315" s="12">
        <v>0.5</v>
      </c>
      <c r="O4315" s="12">
        <v>19100</v>
      </c>
      <c r="P4315" s="12">
        <f t="shared" si="415"/>
        <v>9550</v>
      </c>
      <c r="Q4315" s="12">
        <f t="shared" si="420"/>
        <v>20055</v>
      </c>
      <c r="R4315" s="33">
        <f t="shared" si="416"/>
        <v>20000</v>
      </c>
      <c r="T4315" s="12"/>
      <c r="U4315" s="12">
        <v>9400</v>
      </c>
      <c r="V4315" s="12"/>
      <c r="W4315" s="12">
        <f t="shared" si="414"/>
        <v>23875</v>
      </c>
    </row>
    <row r="4316" spans="1:23" s="6" customFormat="1" ht="21.95" customHeight="1" x14ac:dyDescent="0.2">
      <c r="A4316" s="6" t="s">
        <v>943</v>
      </c>
      <c r="B4316" s="6" t="s">
        <v>1597</v>
      </c>
      <c r="C4316" s="6" t="s">
        <v>1404</v>
      </c>
      <c r="D4316" s="6" t="s">
        <v>989</v>
      </c>
      <c r="G4316" s="6">
        <v>180</v>
      </c>
      <c r="H4316" s="6">
        <v>200</v>
      </c>
      <c r="I4316" s="9"/>
      <c r="J4316" s="9"/>
      <c r="K4316" s="9">
        <v>44008750</v>
      </c>
      <c r="L4316" s="6" t="str">
        <f t="shared" si="421"/>
        <v>1D  MATHILDA  BAZA  180x200</v>
      </c>
      <c r="M4316" s="12">
        <v>0.5</v>
      </c>
      <c r="N4316" s="12">
        <v>0.5</v>
      </c>
      <c r="O4316" s="12">
        <v>21500</v>
      </c>
      <c r="P4316" s="12">
        <f t="shared" si="415"/>
        <v>10750</v>
      </c>
      <c r="Q4316" s="12">
        <f t="shared" si="420"/>
        <v>22575</v>
      </c>
      <c r="R4316" s="33">
        <f t="shared" si="416"/>
        <v>22500</v>
      </c>
      <c r="T4316" s="12"/>
      <c r="U4316" s="12">
        <v>10000</v>
      </c>
      <c r="V4316" s="12"/>
      <c r="W4316" s="12">
        <f t="shared" si="414"/>
        <v>26875</v>
      </c>
    </row>
    <row r="4317" spans="1:23" s="6" customFormat="1" ht="21.95" customHeight="1" x14ac:dyDescent="0.2">
      <c r="A4317" s="6" t="s">
        <v>943</v>
      </c>
      <c r="B4317" s="6" t="s">
        <v>1597</v>
      </c>
      <c r="C4317" s="6" t="s">
        <v>1404</v>
      </c>
      <c r="D4317" s="6" t="s">
        <v>1003</v>
      </c>
      <c r="G4317" s="6">
        <v>140</v>
      </c>
      <c r="H4317" s="6">
        <v>200</v>
      </c>
      <c r="I4317" s="9"/>
      <c r="J4317" s="9"/>
      <c r="K4317" s="9">
        <v>44008755</v>
      </c>
      <c r="L4317" s="6" t="str">
        <f t="shared" si="421"/>
        <v>1D  MATHILDA  BAŞLIK  140x200</v>
      </c>
      <c r="M4317" s="12">
        <v>0.5</v>
      </c>
      <c r="N4317" s="12">
        <v>0.5</v>
      </c>
      <c r="O4317" s="12">
        <v>19600</v>
      </c>
      <c r="P4317" s="12">
        <f t="shared" si="415"/>
        <v>9800</v>
      </c>
      <c r="Q4317" s="12">
        <f t="shared" si="420"/>
        <v>20580</v>
      </c>
      <c r="R4317" s="33">
        <f t="shared" si="416"/>
        <v>20500</v>
      </c>
      <c r="T4317" s="12"/>
      <c r="U4317" s="12">
        <v>11300</v>
      </c>
      <c r="V4317" s="12"/>
      <c r="W4317" s="12">
        <f t="shared" ref="W4317:W4348" si="422">P4317*2.5</f>
        <v>24500</v>
      </c>
    </row>
    <row r="4318" spans="1:23" s="6" customFormat="1" ht="21.95" customHeight="1" x14ac:dyDescent="0.2">
      <c r="A4318" s="6" t="s">
        <v>943</v>
      </c>
      <c r="B4318" s="6" t="s">
        <v>1597</v>
      </c>
      <c r="C4318" s="6" t="s">
        <v>1404</v>
      </c>
      <c r="D4318" s="6" t="s">
        <v>1003</v>
      </c>
      <c r="G4318" s="6">
        <v>150</v>
      </c>
      <c r="H4318" s="6">
        <v>200</v>
      </c>
      <c r="I4318" s="9"/>
      <c r="J4318" s="9"/>
      <c r="K4318" s="9">
        <v>44008756</v>
      </c>
      <c r="L4318" s="6" t="str">
        <f t="shared" si="421"/>
        <v>1D  MATHILDA  BAŞLIK  150x200</v>
      </c>
      <c r="M4318" s="12">
        <v>0.5</v>
      </c>
      <c r="N4318" s="12">
        <v>0.5</v>
      </c>
      <c r="O4318" s="12">
        <v>21000</v>
      </c>
      <c r="P4318" s="12">
        <f t="shared" si="415"/>
        <v>10500</v>
      </c>
      <c r="Q4318" s="12">
        <f t="shared" si="420"/>
        <v>22050</v>
      </c>
      <c r="R4318" s="33">
        <f t="shared" si="416"/>
        <v>22000</v>
      </c>
      <c r="T4318" s="12"/>
      <c r="U4318" s="12">
        <v>12600</v>
      </c>
      <c r="V4318" s="12"/>
      <c r="W4318" s="12">
        <f t="shared" si="422"/>
        <v>26250</v>
      </c>
    </row>
    <row r="4319" spans="1:23" s="6" customFormat="1" ht="21.95" customHeight="1" x14ac:dyDescent="0.2">
      <c r="A4319" s="6" t="s">
        <v>943</v>
      </c>
      <c r="B4319" s="6" t="s">
        <v>1597</v>
      </c>
      <c r="C4319" s="6" t="s">
        <v>1404</v>
      </c>
      <c r="D4319" s="6" t="s">
        <v>1003</v>
      </c>
      <c r="G4319" s="6">
        <v>160</v>
      </c>
      <c r="H4319" s="6">
        <v>200</v>
      </c>
      <c r="I4319" s="9"/>
      <c r="J4319" s="9"/>
      <c r="K4319" s="9">
        <v>44008757</v>
      </c>
      <c r="L4319" s="6" t="str">
        <f t="shared" si="421"/>
        <v>1D  MATHILDA  BAŞLIK  160x200</v>
      </c>
      <c r="M4319" s="12">
        <v>0.5</v>
      </c>
      <c r="N4319" s="12">
        <v>0.5</v>
      </c>
      <c r="O4319" s="12">
        <v>22400</v>
      </c>
      <c r="P4319" s="12">
        <f t="shared" si="415"/>
        <v>11200</v>
      </c>
      <c r="Q4319" s="12">
        <f t="shared" si="420"/>
        <v>23520</v>
      </c>
      <c r="R4319" s="33">
        <f t="shared" si="416"/>
        <v>23500</v>
      </c>
      <c r="T4319" s="12"/>
      <c r="U4319" s="12">
        <v>13200</v>
      </c>
      <c r="V4319" s="12"/>
      <c r="W4319" s="12">
        <f t="shared" si="422"/>
        <v>28000</v>
      </c>
    </row>
    <row r="4320" spans="1:23" s="6" customFormat="1" ht="21.95" customHeight="1" x14ac:dyDescent="0.2">
      <c r="A4320" s="6" t="s">
        <v>943</v>
      </c>
      <c r="B4320" s="6" t="s">
        <v>1597</v>
      </c>
      <c r="C4320" s="6" t="s">
        <v>1404</v>
      </c>
      <c r="D4320" s="6" t="s">
        <v>1003</v>
      </c>
      <c r="G4320" s="6">
        <v>180</v>
      </c>
      <c r="H4320" s="6">
        <v>200</v>
      </c>
      <c r="I4320" s="9"/>
      <c r="J4320" s="9"/>
      <c r="K4320" s="9">
        <v>44008758</v>
      </c>
      <c r="L4320" s="6" t="str">
        <f t="shared" si="421"/>
        <v>1D  MATHILDA  BAŞLIK  180x200</v>
      </c>
      <c r="M4320" s="12">
        <v>0.5</v>
      </c>
      <c r="N4320" s="12">
        <v>0.5</v>
      </c>
      <c r="O4320" s="12">
        <v>25200</v>
      </c>
      <c r="P4320" s="12">
        <f t="shared" si="415"/>
        <v>12600</v>
      </c>
      <c r="Q4320" s="12">
        <f t="shared" si="420"/>
        <v>26460</v>
      </c>
      <c r="R4320" s="33">
        <f t="shared" si="416"/>
        <v>26400</v>
      </c>
      <c r="T4320" s="12"/>
      <c r="U4320" s="12">
        <v>13400</v>
      </c>
      <c r="V4320" s="12"/>
      <c r="W4320" s="12">
        <f t="shared" si="422"/>
        <v>31500</v>
      </c>
    </row>
    <row r="4321" spans="1:23" s="6" customFormat="1" ht="21.95" customHeight="1" x14ac:dyDescent="0.2">
      <c r="A4321" s="6" t="s">
        <v>943</v>
      </c>
      <c r="B4321" s="6" t="s">
        <v>1597</v>
      </c>
      <c r="C4321" s="6" t="s">
        <v>1404</v>
      </c>
      <c r="D4321" s="6" t="s">
        <v>943</v>
      </c>
      <c r="G4321" s="6">
        <v>140</v>
      </c>
      <c r="H4321" s="6">
        <v>200</v>
      </c>
      <c r="I4321" s="9"/>
      <c r="J4321" s="9"/>
      <c r="K4321" s="9">
        <v>44008763</v>
      </c>
      <c r="L4321" s="6" t="str">
        <f t="shared" si="421"/>
        <v>1D  MATHILDA  YATAK  140x200</v>
      </c>
      <c r="M4321" s="12">
        <v>0.5</v>
      </c>
      <c r="N4321" s="12">
        <v>0.5</v>
      </c>
      <c r="O4321" s="12">
        <v>20500</v>
      </c>
      <c r="P4321" s="12">
        <f t="shared" si="415"/>
        <v>10250</v>
      </c>
      <c r="Q4321" s="12">
        <f t="shared" si="420"/>
        <v>21525</v>
      </c>
      <c r="R4321" s="33">
        <f t="shared" si="416"/>
        <v>21500</v>
      </c>
      <c r="T4321" s="12"/>
      <c r="U4321" s="12">
        <v>16100</v>
      </c>
      <c r="V4321" s="12"/>
      <c r="W4321" s="12">
        <f t="shared" si="422"/>
        <v>25625</v>
      </c>
    </row>
    <row r="4322" spans="1:23" s="6" customFormat="1" ht="21.95" customHeight="1" x14ac:dyDescent="0.2">
      <c r="A4322" s="6" t="s">
        <v>943</v>
      </c>
      <c r="B4322" s="6" t="s">
        <v>1597</v>
      </c>
      <c r="C4322" s="6" t="s">
        <v>1404</v>
      </c>
      <c r="D4322" s="6" t="s">
        <v>943</v>
      </c>
      <c r="G4322" s="6">
        <v>150</v>
      </c>
      <c r="H4322" s="6">
        <v>200</v>
      </c>
      <c r="I4322" s="9"/>
      <c r="J4322" s="9"/>
      <c r="K4322" s="9">
        <v>44008764</v>
      </c>
      <c r="L4322" s="6" t="str">
        <f t="shared" si="421"/>
        <v>1D  MATHILDA  YATAK  150x200</v>
      </c>
      <c r="M4322" s="12">
        <v>0.5</v>
      </c>
      <c r="N4322" s="12">
        <v>0.5</v>
      </c>
      <c r="O4322" s="12">
        <v>21900</v>
      </c>
      <c r="P4322" s="12">
        <f t="shared" si="415"/>
        <v>10950</v>
      </c>
      <c r="Q4322" s="12">
        <f t="shared" si="420"/>
        <v>22995</v>
      </c>
      <c r="R4322" s="33">
        <f t="shared" si="416"/>
        <v>22900</v>
      </c>
      <c r="T4322" s="12"/>
      <c r="U4322" s="12">
        <v>18700</v>
      </c>
      <c r="V4322" s="12"/>
      <c r="W4322" s="12">
        <f t="shared" si="422"/>
        <v>27375</v>
      </c>
    </row>
    <row r="4323" spans="1:23" s="6" customFormat="1" ht="21.95" customHeight="1" x14ac:dyDescent="0.2">
      <c r="A4323" s="6" t="s">
        <v>943</v>
      </c>
      <c r="B4323" s="6" t="s">
        <v>1597</v>
      </c>
      <c r="C4323" s="6" t="s">
        <v>1404</v>
      </c>
      <c r="D4323" s="6" t="s">
        <v>943</v>
      </c>
      <c r="G4323" s="6">
        <v>160</v>
      </c>
      <c r="H4323" s="6">
        <v>200</v>
      </c>
      <c r="I4323" s="9"/>
      <c r="J4323" s="9"/>
      <c r="K4323" s="9">
        <v>44008765</v>
      </c>
      <c r="L4323" s="6" t="str">
        <f t="shared" si="421"/>
        <v>1D  MATHILDA  YATAK  160x200</v>
      </c>
      <c r="M4323" s="12">
        <v>0.5</v>
      </c>
      <c r="N4323" s="12">
        <v>0.5</v>
      </c>
      <c r="O4323" s="12">
        <v>23400</v>
      </c>
      <c r="P4323" s="12">
        <f t="shared" si="415"/>
        <v>11700</v>
      </c>
      <c r="Q4323" s="12">
        <f t="shared" si="420"/>
        <v>24570</v>
      </c>
      <c r="R4323" s="33">
        <f t="shared" si="416"/>
        <v>24500</v>
      </c>
      <c r="T4323" s="12"/>
      <c r="U4323" s="12">
        <v>20100</v>
      </c>
      <c r="V4323" s="12"/>
      <c r="W4323" s="12">
        <f t="shared" si="422"/>
        <v>29250</v>
      </c>
    </row>
    <row r="4324" spans="1:23" s="6" customFormat="1" ht="21.95" customHeight="1" x14ac:dyDescent="0.2">
      <c r="A4324" s="6" t="s">
        <v>943</v>
      </c>
      <c r="B4324" s="6" t="s">
        <v>1597</v>
      </c>
      <c r="C4324" s="6" t="s">
        <v>1404</v>
      </c>
      <c r="D4324" s="6" t="s">
        <v>943</v>
      </c>
      <c r="G4324" s="6">
        <v>180</v>
      </c>
      <c r="H4324" s="6">
        <v>200</v>
      </c>
      <c r="I4324" s="9"/>
      <c r="J4324" s="9"/>
      <c r="K4324" s="9">
        <v>44008766</v>
      </c>
      <c r="L4324" s="6" t="str">
        <f t="shared" si="421"/>
        <v>1D  MATHILDA  YATAK  180x200</v>
      </c>
      <c r="M4324" s="12">
        <v>0.5</v>
      </c>
      <c r="N4324" s="12">
        <v>0.5</v>
      </c>
      <c r="O4324" s="12">
        <v>26300</v>
      </c>
      <c r="P4324" s="12">
        <f t="shared" si="415"/>
        <v>13150</v>
      </c>
      <c r="Q4324" s="12">
        <f t="shared" si="420"/>
        <v>27615</v>
      </c>
      <c r="R4324" s="33">
        <f t="shared" si="416"/>
        <v>27600</v>
      </c>
      <c r="T4324" s="12"/>
      <c r="U4324" s="12">
        <v>21400</v>
      </c>
      <c r="V4324" s="12"/>
      <c r="W4324" s="12">
        <f t="shared" si="422"/>
        <v>32875</v>
      </c>
    </row>
    <row r="4325" spans="1:23" s="6" customFormat="1" ht="21.95" customHeight="1" x14ac:dyDescent="0.2">
      <c r="A4325" s="6" t="s">
        <v>943</v>
      </c>
      <c r="B4325" s="6" t="s">
        <v>1597</v>
      </c>
      <c r="C4325" s="6" t="s">
        <v>1404</v>
      </c>
      <c r="D4325" s="6" t="s">
        <v>1380</v>
      </c>
      <c r="I4325" s="9"/>
      <c r="J4325" s="9"/>
      <c r="K4325" s="9">
        <v>44008767</v>
      </c>
      <c r="L4325" s="6" t="str">
        <f>B4325&amp;" "&amp;C4325&amp;" "&amp;D4325</f>
        <v>1D  MATHILDA  KOMODİN (2 ADET)</v>
      </c>
      <c r="M4325" s="12">
        <v>0.5</v>
      </c>
      <c r="N4325" s="12">
        <v>0.5</v>
      </c>
      <c r="O4325" s="12">
        <v>13200</v>
      </c>
      <c r="P4325" s="12">
        <f t="shared" si="415"/>
        <v>6600</v>
      </c>
      <c r="Q4325" s="12">
        <f t="shared" si="420"/>
        <v>13860</v>
      </c>
      <c r="R4325" s="33">
        <f t="shared" si="416"/>
        <v>13800</v>
      </c>
      <c r="T4325" s="12"/>
      <c r="U4325" s="12">
        <v>24100</v>
      </c>
      <c r="V4325" s="12"/>
      <c r="W4325" s="12">
        <f t="shared" si="422"/>
        <v>16500</v>
      </c>
    </row>
    <row r="4326" spans="1:23" s="6" customFormat="1" ht="21.95" customHeight="1" x14ac:dyDescent="0.2">
      <c r="A4326" s="6" t="s">
        <v>943</v>
      </c>
      <c r="B4326" s="6" t="s">
        <v>1597</v>
      </c>
      <c r="C4326" s="6" t="s">
        <v>368</v>
      </c>
      <c r="D4326" s="6" t="s">
        <v>989</v>
      </c>
      <c r="G4326" s="6">
        <v>90</v>
      </c>
      <c r="H4326" s="6">
        <v>190</v>
      </c>
      <c r="I4326" s="9"/>
      <c r="J4326" s="9"/>
      <c r="K4326" s="9">
        <v>44008768</v>
      </c>
      <c r="L4326" s="6" t="str">
        <f t="shared" ref="L4326:L4349" si="423">B4326&amp;" "&amp;C4326&amp;" "&amp;D4326&amp;" "&amp;G4326&amp;"x"&amp;H4326</f>
        <v>1D  MONZA  BAZA  90x190</v>
      </c>
      <c r="M4326" s="12">
        <v>0.5</v>
      </c>
      <c r="N4326" s="12">
        <v>0.5</v>
      </c>
      <c r="O4326" s="12">
        <v>9200</v>
      </c>
      <c r="P4326" s="12">
        <f t="shared" si="415"/>
        <v>4600</v>
      </c>
      <c r="Q4326" s="12">
        <f t="shared" si="420"/>
        <v>9660</v>
      </c>
      <c r="R4326" s="33">
        <f t="shared" si="416"/>
        <v>9600</v>
      </c>
      <c r="T4326" s="12"/>
      <c r="U4326" s="12">
        <v>15800</v>
      </c>
      <c r="V4326" s="12"/>
      <c r="W4326" s="12">
        <f t="shared" si="422"/>
        <v>11500</v>
      </c>
    </row>
    <row r="4327" spans="1:23" s="6" customFormat="1" ht="21.95" customHeight="1" x14ac:dyDescent="0.2">
      <c r="A4327" s="6" t="s">
        <v>943</v>
      </c>
      <c r="B4327" s="6" t="s">
        <v>1597</v>
      </c>
      <c r="C4327" s="6" t="s">
        <v>368</v>
      </c>
      <c r="D4327" s="6" t="s">
        <v>989</v>
      </c>
      <c r="G4327" s="6">
        <v>90</v>
      </c>
      <c r="H4327" s="6">
        <v>200</v>
      </c>
      <c r="I4327" s="9"/>
      <c r="J4327" s="9"/>
      <c r="K4327" s="9">
        <v>44008769</v>
      </c>
      <c r="L4327" s="6" t="str">
        <f t="shared" si="423"/>
        <v>1D  MONZA  BAZA  90x200</v>
      </c>
      <c r="M4327" s="12">
        <v>0.5</v>
      </c>
      <c r="N4327" s="12">
        <v>0.5</v>
      </c>
      <c r="O4327" s="12">
        <v>9700</v>
      </c>
      <c r="P4327" s="12">
        <f t="shared" si="415"/>
        <v>4850</v>
      </c>
      <c r="Q4327" s="12">
        <f t="shared" si="420"/>
        <v>10185</v>
      </c>
      <c r="R4327" s="33">
        <f t="shared" si="416"/>
        <v>10100</v>
      </c>
      <c r="T4327" s="12"/>
      <c r="U4327" s="12">
        <v>53900</v>
      </c>
      <c r="V4327" s="12"/>
      <c r="W4327" s="12">
        <f t="shared" si="422"/>
        <v>12125</v>
      </c>
    </row>
    <row r="4328" spans="1:23" s="6" customFormat="1" ht="21.95" customHeight="1" x14ac:dyDescent="0.2">
      <c r="A4328" s="6" t="s">
        <v>943</v>
      </c>
      <c r="B4328" s="6" t="s">
        <v>1597</v>
      </c>
      <c r="C4328" s="6" t="s">
        <v>368</v>
      </c>
      <c r="D4328" s="6" t="s">
        <v>989</v>
      </c>
      <c r="G4328" s="6">
        <v>100</v>
      </c>
      <c r="H4328" s="6">
        <v>200</v>
      </c>
      <c r="I4328" s="9"/>
      <c r="J4328" s="9"/>
      <c r="K4328" s="9">
        <v>44008770</v>
      </c>
      <c r="L4328" s="6" t="str">
        <f t="shared" si="423"/>
        <v>1D  MONZA  BAZA  100x200</v>
      </c>
      <c r="M4328" s="12">
        <v>0.5</v>
      </c>
      <c r="N4328" s="12">
        <v>0.5</v>
      </c>
      <c r="O4328" s="12">
        <v>10800</v>
      </c>
      <c r="P4328" s="12">
        <f t="shared" si="415"/>
        <v>5400</v>
      </c>
      <c r="Q4328" s="12">
        <f t="shared" si="420"/>
        <v>11340</v>
      </c>
      <c r="R4328" s="33">
        <f t="shared" si="416"/>
        <v>11300</v>
      </c>
      <c r="T4328" s="12"/>
      <c r="U4328" s="12">
        <v>57800</v>
      </c>
      <c r="V4328" s="12"/>
      <c r="W4328" s="12">
        <f t="shared" si="422"/>
        <v>13500</v>
      </c>
    </row>
    <row r="4329" spans="1:23" s="6" customFormat="1" ht="21.95" customHeight="1" x14ac:dyDescent="0.2">
      <c r="A4329" s="6" t="s">
        <v>943</v>
      </c>
      <c r="B4329" s="6" t="s">
        <v>1597</v>
      </c>
      <c r="C4329" s="6" t="s">
        <v>368</v>
      </c>
      <c r="D4329" s="6" t="s">
        <v>989</v>
      </c>
      <c r="G4329" s="6">
        <v>120</v>
      </c>
      <c r="H4329" s="6">
        <v>200</v>
      </c>
      <c r="I4329" s="9"/>
      <c r="J4329" s="9"/>
      <c r="K4329" s="9">
        <v>44008771</v>
      </c>
      <c r="L4329" s="6" t="str">
        <f t="shared" si="423"/>
        <v>1D  MONZA  BAZA  120x200</v>
      </c>
      <c r="M4329" s="12">
        <v>0.5</v>
      </c>
      <c r="N4329" s="12">
        <v>0.5</v>
      </c>
      <c r="O4329" s="12">
        <v>12900</v>
      </c>
      <c r="P4329" s="12">
        <f t="shared" si="415"/>
        <v>6450</v>
      </c>
      <c r="Q4329" s="12">
        <f t="shared" si="420"/>
        <v>13545</v>
      </c>
      <c r="R4329" s="33">
        <f t="shared" si="416"/>
        <v>13500</v>
      </c>
      <c r="T4329" s="12"/>
      <c r="U4329" s="12">
        <v>61600</v>
      </c>
      <c r="V4329" s="12"/>
      <c r="W4329" s="12">
        <f t="shared" si="422"/>
        <v>16125</v>
      </c>
    </row>
    <row r="4330" spans="1:23" s="6" customFormat="1" ht="21.95" customHeight="1" x14ac:dyDescent="0.2">
      <c r="A4330" s="6" t="s">
        <v>943</v>
      </c>
      <c r="B4330" s="6" t="s">
        <v>1597</v>
      </c>
      <c r="C4330" s="6" t="s">
        <v>368</v>
      </c>
      <c r="D4330" s="6" t="s">
        <v>989</v>
      </c>
      <c r="G4330" s="6">
        <v>140</v>
      </c>
      <c r="H4330" s="6">
        <v>200</v>
      </c>
      <c r="I4330" s="9"/>
      <c r="J4330" s="9"/>
      <c r="K4330" s="9">
        <v>44008772</v>
      </c>
      <c r="L4330" s="6" t="str">
        <f t="shared" si="423"/>
        <v>1D  MONZA  BAZA  140x200</v>
      </c>
      <c r="M4330" s="12">
        <v>0.5</v>
      </c>
      <c r="N4330" s="12">
        <v>0.5</v>
      </c>
      <c r="O4330" s="12">
        <v>15100</v>
      </c>
      <c r="P4330" s="12">
        <f t="shared" si="415"/>
        <v>7550</v>
      </c>
      <c r="Q4330" s="12">
        <f t="shared" si="420"/>
        <v>15855</v>
      </c>
      <c r="R4330" s="33">
        <f t="shared" si="416"/>
        <v>15800</v>
      </c>
      <c r="T4330" s="12"/>
      <c r="U4330" s="12">
        <v>69300</v>
      </c>
      <c r="V4330" s="12"/>
      <c r="W4330" s="12">
        <f t="shared" si="422"/>
        <v>18875</v>
      </c>
    </row>
    <row r="4331" spans="1:23" s="6" customFormat="1" ht="21.95" customHeight="1" x14ac:dyDescent="0.2">
      <c r="A4331" s="6" t="s">
        <v>943</v>
      </c>
      <c r="B4331" s="6" t="s">
        <v>1597</v>
      </c>
      <c r="C4331" s="6" t="s">
        <v>368</v>
      </c>
      <c r="D4331" s="6" t="s">
        <v>989</v>
      </c>
      <c r="G4331" s="6">
        <v>150</v>
      </c>
      <c r="H4331" s="6">
        <v>200</v>
      </c>
      <c r="I4331" s="9"/>
      <c r="J4331" s="9"/>
      <c r="K4331" s="9">
        <v>44008773</v>
      </c>
      <c r="L4331" s="6" t="str">
        <f t="shared" si="423"/>
        <v>1D  MONZA  BAZA  150x200</v>
      </c>
      <c r="M4331" s="12">
        <v>0.5</v>
      </c>
      <c r="N4331" s="12">
        <v>0.5</v>
      </c>
      <c r="O4331" s="12">
        <v>16100</v>
      </c>
      <c r="P4331" s="12">
        <f t="shared" si="415"/>
        <v>8050</v>
      </c>
      <c r="Q4331" s="12">
        <f t="shared" si="420"/>
        <v>16905</v>
      </c>
      <c r="R4331" s="33">
        <f t="shared" si="416"/>
        <v>16900</v>
      </c>
      <c r="T4331" s="12"/>
      <c r="U4331" s="12">
        <v>20600</v>
      </c>
      <c r="V4331" s="12"/>
      <c r="W4331" s="12">
        <f t="shared" si="422"/>
        <v>20125</v>
      </c>
    </row>
    <row r="4332" spans="1:23" s="6" customFormat="1" ht="21.95" customHeight="1" x14ac:dyDescent="0.2">
      <c r="A4332" s="6" t="s">
        <v>943</v>
      </c>
      <c r="B4332" s="6" t="s">
        <v>1597</v>
      </c>
      <c r="C4332" s="6" t="s">
        <v>368</v>
      </c>
      <c r="D4332" s="6" t="s">
        <v>989</v>
      </c>
      <c r="G4332" s="6">
        <v>160</v>
      </c>
      <c r="H4332" s="6">
        <v>200</v>
      </c>
      <c r="I4332" s="9"/>
      <c r="J4332" s="9"/>
      <c r="K4332" s="9">
        <v>44008774</v>
      </c>
      <c r="L4332" s="6" t="str">
        <f t="shared" si="423"/>
        <v>1D  MONZA  BAZA  160x200</v>
      </c>
      <c r="M4332" s="12">
        <v>0.5</v>
      </c>
      <c r="N4332" s="12">
        <v>0.5</v>
      </c>
      <c r="O4332" s="12">
        <v>17200</v>
      </c>
      <c r="P4332" s="12">
        <f t="shared" si="415"/>
        <v>8600</v>
      </c>
      <c r="Q4332" s="12">
        <f t="shared" si="420"/>
        <v>18060</v>
      </c>
      <c r="R4332" s="33">
        <f t="shared" si="416"/>
        <v>18000</v>
      </c>
      <c r="T4332" s="12"/>
      <c r="U4332" s="12">
        <v>22000</v>
      </c>
      <c r="V4332" s="12"/>
      <c r="W4332" s="12">
        <f t="shared" si="422"/>
        <v>21500</v>
      </c>
    </row>
    <row r="4333" spans="1:23" s="6" customFormat="1" ht="21.95" customHeight="1" x14ac:dyDescent="0.2">
      <c r="A4333" s="6" t="s">
        <v>943</v>
      </c>
      <c r="B4333" s="6" t="s">
        <v>1597</v>
      </c>
      <c r="C4333" s="6" t="s">
        <v>368</v>
      </c>
      <c r="D4333" s="6" t="s">
        <v>989</v>
      </c>
      <c r="G4333" s="6">
        <v>180</v>
      </c>
      <c r="H4333" s="6">
        <v>200</v>
      </c>
      <c r="I4333" s="9"/>
      <c r="J4333" s="9"/>
      <c r="K4333" s="9">
        <v>44008775</v>
      </c>
      <c r="L4333" s="6" t="str">
        <f t="shared" si="423"/>
        <v>1D  MONZA  BAZA  180x200</v>
      </c>
      <c r="M4333" s="12">
        <v>0.5</v>
      </c>
      <c r="N4333" s="12">
        <v>0.5</v>
      </c>
      <c r="O4333" s="12">
        <v>19400</v>
      </c>
      <c r="P4333" s="12">
        <f t="shared" ref="P4333:P4396" si="424">O4333*(1-N4333)</f>
        <v>9700</v>
      </c>
      <c r="Q4333" s="12">
        <f t="shared" si="420"/>
        <v>20370</v>
      </c>
      <c r="R4333" s="33">
        <f t="shared" ref="R4333:R4396" si="425">ROUNDDOWN(Q4333,-2)</f>
        <v>20300</v>
      </c>
      <c r="T4333" s="12"/>
      <c r="U4333" s="12">
        <v>23500</v>
      </c>
      <c r="V4333" s="12"/>
      <c r="W4333" s="12">
        <f t="shared" si="422"/>
        <v>24250</v>
      </c>
    </row>
    <row r="4334" spans="1:23" s="6" customFormat="1" ht="21.95" customHeight="1" x14ac:dyDescent="0.2">
      <c r="A4334" s="6" t="s">
        <v>943</v>
      </c>
      <c r="B4334" s="6" t="s">
        <v>1597</v>
      </c>
      <c r="C4334" s="6" t="s">
        <v>368</v>
      </c>
      <c r="D4334" s="6" t="s">
        <v>1003</v>
      </c>
      <c r="G4334" s="6">
        <v>90</v>
      </c>
      <c r="H4334" s="6">
        <v>190</v>
      </c>
      <c r="I4334" s="9"/>
      <c r="J4334" s="9"/>
      <c r="K4334" s="9">
        <v>44008776</v>
      </c>
      <c r="L4334" s="6" t="str">
        <f t="shared" si="423"/>
        <v>1D  MONZA  BAŞLIK  90x190</v>
      </c>
      <c r="M4334" s="12">
        <v>0.5</v>
      </c>
      <c r="N4334" s="12">
        <v>0.5</v>
      </c>
      <c r="O4334" s="12">
        <v>4200</v>
      </c>
      <c r="P4334" s="12">
        <f t="shared" si="424"/>
        <v>2100</v>
      </c>
      <c r="Q4334" s="12">
        <f t="shared" si="420"/>
        <v>4410</v>
      </c>
      <c r="R4334" s="33">
        <f t="shared" si="425"/>
        <v>4400</v>
      </c>
      <c r="T4334" s="12"/>
      <c r="U4334" s="12">
        <v>26400</v>
      </c>
      <c r="V4334" s="12"/>
      <c r="W4334" s="12">
        <f t="shared" si="422"/>
        <v>5250</v>
      </c>
    </row>
    <row r="4335" spans="1:23" s="6" customFormat="1" ht="21.95" customHeight="1" x14ac:dyDescent="0.2">
      <c r="A4335" s="6" t="s">
        <v>943</v>
      </c>
      <c r="B4335" s="6" t="s">
        <v>1597</v>
      </c>
      <c r="C4335" s="6" t="s">
        <v>368</v>
      </c>
      <c r="D4335" s="6" t="s">
        <v>1003</v>
      </c>
      <c r="G4335" s="6">
        <v>90</v>
      </c>
      <c r="H4335" s="6">
        <v>200</v>
      </c>
      <c r="I4335" s="9"/>
      <c r="J4335" s="9"/>
      <c r="K4335" s="9">
        <v>44008777</v>
      </c>
      <c r="L4335" s="6" t="str">
        <f t="shared" si="423"/>
        <v>1D  MONZA  BAŞLIK  90x200</v>
      </c>
      <c r="M4335" s="12">
        <v>0.5</v>
      </c>
      <c r="N4335" s="12">
        <v>0.5</v>
      </c>
      <c r="O4335" s="12">
        <v>4400</v>
      </c>
      <c r="P4335" s="12">
        <f t="shared" si="424"/>
        <v>2200</v>
      </c>
      <c r="Q4335" s="12">
        <f t="shared" si="420"/>
        <v>4620</v>
      </c>
      <c r="R4335" s="33">
        <f t="shared" si="425"/>
        <v>4600</v>
      </c>
      <c r="T4335" s="12"/>
      <c r="U4335" s="12">
        <v>19300</v>
      </c>
      <c r="V4335" s="12"/>
      <c r="W4335" s="12">
        <f t="shared" si="422"/>
        <v>5500</v>
      </c>
    </row>
    <row r="4336" spans="1:23" s="6" customFormat="1" ht="21.95" customHeight="1" x14ac:dyDescent="0.2">
      <c r="A4336" s="6" t="s">
        <v>943</v>
      </c>
      <c r="B4336" s="6" t="s">
        <v>1597</v>
      </c>
      <c r="C4336" s="6" t="s">
        <v>368</v>
      </c>
      <c r="D4336" s="6" t="s">
        <v>1003</v>
      </c>
      <c r="G4336" s="6">
        <v>100</v>
      </c>
      <c r="H4336" s="6">
        <v>200</v>
      </c>
      <c r="I4336" s="9"/>
      <c r="J4336" s="9"/>
      <c r="K4336" s="9">
        <v>44008778</v>
      </c>
      <c r="L4336" s="6" t="str">
        <f t="shared" si="423"/>
        <v>1D  MONZA  BAŞLIK  100x200</v>
      </c>
      <c r="M4336" s="12">
        <v>0.5</v>
      </c>
      <c r="N4336" s="12">
        <v>0.5</v>
      </c>
      <c r="O4336" s="12">
        <v>4900</v>
      </c>
      <c r="P4336" s="12">
        <f t="shared" si="424"/>
        <v>2450</v>
      </c>
      <c r="Q4336" s="12">
        <f t="shared" si="420"/>
        <v>5145</v>
      </c>
      <c r="R4336" s="33">
        <f t="shared" si="425"/>
        <v>5100</v>
      </c>
      <c r="T4336" s="12"/>
      <c r="U4336" s="12">
        <v>59100</v>
      </c>
      <c r="V4336" s="12"/>
      <c r="W4336" s="12">
        <f t="shared" si="422"/>
        <v>6125</v>
      </c>
    </row>
    <row r="4337" spans="1:23" s="6" customFormat="1" ht="21.95" customHeight="1" x14ac:dyDescent="0.2">
      <c r="A4337" s="6" t="s">
        <v>943</v>
      </c>
      <c r="B4337" s="6" t="s">
        <v>1597</v>
      </c>
      <c r="C4337" s="6" t="s">
        <v>368</v>
      </c>
      <c r="D4337" s="6" t="s">
        <v>1003</v>
      </c>
      <c r="G4337" s="6">
        <v>120</v>
      </c>
      <c r="H4337" s="6">
        <v>200</v>
      </c>
      <c r="I4337" s="9"/>
      <c r="J4337" s="9"/>
      <c r="K4337" s="9">
        <v>44008779</v>
      </c>
      <c r="L4337" s="6" t="str">
        <f t="shared" si="423"/>
        <v>1D  MONZA  BAŞLIK  120x200</v>
      </c>
      <c r="M4337" s="12">
        <v>0.5</v>
      </c>
      <c r="N4337" s="12">
        <v>0.5</v>
      </c>
      <c r="O4337" s="12">
        <v>5900</v>
      </c>
      <c r="P4337" s="12">
        <f t="shared" si="424"/>
        <v>2950</v>
      </c>
      <c r="Q4337" s="12">
        <f t="shared" si="420"/>
        <v>6195</v>
      </c>
      <c r="R4337" s="33">
        <f t="shared" si="425"/>
        <v>6100</v>
      </c>
      <c r="T4337" s="12"/>
      <c r="U4337" s="12">
        <v>63300</v>
      </c>
      <c r="V4337" s="12"/>
      <c r="W4337" s="12">
        <f t="shared" si="422"/>
        <v>7375</v>
      </c>
    </row>
    <row r="4338" spans="1:23" s="6" customFormat="1" ht="21.95" customHeight="1" x14ac:dyDescent="0.2">
      <c r="A4338" s="6" t="s">
        <v>943</v>
      </c>
      <c r="B4338" s="6" t="s">
        <v>1597</v>
      </c>
      <c r="C4338" s="6" t="s">
        <v>368</v>
      </c>
      <c r="D4338" s="6" t="s">
        <v>1003</v>
      </c>
      <c r="G4338" s="6">
        <v>140</v>
      </c>
      <c r="H4338" s="6">
        <v>200</v>
      </c>
      <c r="I4338" s="9"/>
      <c r="J4338" s="9"/>
      <c r="K4338" s="9">
        <v>44008780</v>
      </c>
      <c r="L4338" s="6" t="str">
        <f t="shared" si="423"/>
        <v>1D  MONZA  BAŞLIK  140x200</v>
      </c>
      <c r="M4338" s="12">
        <v>0.5</v>
      </c>
      <c r="N4338" s="12">
        <v>0.5</v>
      </c>
      <c r="O4338" s="12">
        <v>6900</v>
      </c>
      <c r="P4338" s="12">
        <f t="shared" si="424"/>
        <v>3450</v>
      </c>
      <c r="Q4338" s="12">
        <f t="shared" si="420"/>
        <v>7245</v>
      </c>
      <c r="R4338" s="33">
        <f t="shared" si="425"/>
        <v>7200</v>
      </c>
      <c r="T4338" s="12"/>
      <c r="U4338" s="12">
        <v>67500</v>
      </c>
      <c r="V4338" s="12"/>
      <c r="W4338" s="12">
        <f t="shared" si="422"/>
        <v>8625</v>
      </c>
    </row>
    <row r="4339" spans="1:23" s="6" customFormat="1" ht="21.95" customHeight="1" x14ac:dyDescent="0.2">
      <c r="A4339" s="6" t="s">
        <v>943</v>
      </c>
      <c r="B4339" s="6" t="s">
        <v>1597</v>
      </c>
      <c r="C4339" s="6" t="s">
        <v>368</v>
      </c>
      <c r="D4339" s="6" t="s">
        <v>1003</v>
      </c>
      <c r="G4339" s="6">
        <v>150</v>
      </c>
      <c r="H4339" s="6">
        <v>200</v>
      </c>
      <c r="I4339" s="9"/>
      <c r="J4339" s="9"/>
      <c r="K4339" s="9">
        <v>44008781</v>
      </c>
      <c r="L4339" s="6" t="str">
        <f t="shared" si="423"/>
        <v>1D  MONZA  BAŞLIK  150x200</v>
      </c>
      <c r="M4339" s="12">
        <v>0.5</v>
      </c>
      <c r="N4339" s="12">
        <v>0.5</v>
      </c>
      <c r="O4339" s="12">
        <v>7400</v>
      </c>
      <c r="P4339" s="12">
        <f t="shared" si="424"/>
        <v>3700</v>
      </c>
      <c r="Q4339" s="12">
        <f t="shared" si="420"/>
        <v>7770</v>
      </c>
      <c r="R4339" s="33">
        <f t="shared" si="425"/>
        <v>7700</v>
      </c>
      <c r="T4339" s="12"/>
      <c r="U4339" s="12">
        <v>76000</v>
      </c>
      <c r="V4339" s="12"/>
      <c r="W4339" s="12">
        <f t="shared" si="422"/>
        <v>9250</v>
      </c>
    </row>
    <row r="4340" spans="1:23" s="6" customFormat="1" ht="21.95" customHeight="1" x14ac:dyDescent="0.2">
      <c r="A4340" s="6" t="s">
        <v>943</v>
      </c>
      <c r="B4340" s="6" t="s">
        <v>1597</v>
      </c>
      <c r="C4340" s="6" t="s">
        <v>368</v>
      </c>
      <c r="D4340" s="6" t="s">
        <v>1003</v>
      </c>
      <c r="G4340" s="6">
        <v>160</v>
      </c>
      <c r="H4340" s="6">
        <v>200</v>
      </c>
      <c r="I4340" s="9"/>
      <c r="J4340" s="9"/>
      <c r="K4340" s="9">
        <v>44008782</v>
      </c>
      <c r="L4340" s="6" t="str">
        <f t="shared" si="423"/>
        <v>1D  MONZA  BAŞLIK  160x200</v>
      </c>
      <c r="M4340" s="12">
        <v>0.5</v>
      </c>
      <c r="N4340" s="12">
        <v>0.5</v>
      </c>
      <c r="O4340" s="12">
        <v>7900</v>
      </c>
      <c r="P4340" s="12">
        <f t="shared" si="424"/>
        <v>3950</v>
      </c>
      <c r="Q4340" s="12">
        <f t="shared" si="420"/>
        <v>8295</v>
      </c>
      <c r="R4340" s="33">
        <f t="shared" si="425"/>
        <v>8200</v>
      </c>
      <c r="T4340" s="12"/>
      <c r="U4340" s="12">
        <v>22500</v>
      </c>
      <c r="V4340" s="12"/>
      <c r="W4340" s="12">
        <f t="shared" si="422"/>
        <v>9875</v>
      </c>
    </row>
    <row r="4341" spans="1:23" s="6" customFormat="1" ht="21.95" customHeight="1" x14ac:dyDescent="0.2">
      <c r="A4341" s="6" t="s">
        <v>943</v>
      </c>
      <c r="B4341" s="6" t="s">
        <v>1597</v>
      </c>
      <c r="C4341" s="6" t="s">
        <v>368</v>
      </c>
      <c r="D4341" s="6" t="s">
        <v>1003</v>
      </c>
      <c r="G4341" s="6">
        <v>180</v>
      </c>
      <c r="H4341" s="6">
        <v>200</v>
      </c>
      <c r="I4341" s="9"/>
      <c r="J4341" s="9"/>
      <c r="K4341" s="9">
        <v>44008783</v>
      </c>
      <c r="L4341" s="6" t="str">
        <f t="shared" si="423"/>
        <v>1D  MONZA  BAŞLIK  180x200</v>
      </c>
      <c r="M4341" s="12">
        <v>0.5</v>
      </c>
      <c r="N4341" s="12">
        <v>0.5</v>
      </c>
      <c r="O4341" s="12">
        <v>8900</v>
      </c>
      <c r="P4341" s="12">
        <f t="shared" si="424"/>
        <v>4450</v>
      </c>
      <c r="Q4341" s="12">
        <f t="shared" si="420"/>
        <v>9345</v>
      </c>
      <c r="R4341" s="33">
        <f t="shared" si="425"/>
        <v>9300</v>
      </c>
      <c r="T4341" s="12"/>
      <c r="U4341" s="12">
        <v>24100</v>
      </c>
      <c r="V4341" s="12"/>
      <c r="W4341" s="12">
        <f t="shared" si="422"/>
        <v>11125</v>
      </c>
    </row>
    <row r="4342" spans="1:23" s="6" customFormat="1" ht="21.95" customHeight="1" x14ac:dyDescent="0.2">
      <c r="A4342" s="6" t="s">
        <v>943</v>
      </c>
      <c r="B4342" s="6" t="s">
        <v>1597</v>
      </c>
      <c r="C4342" s="6" t="s">
        <v>368</v>
      </c>
      <c r="D4342" s="6" t="s">
        <v>943</v>
      </c>
      <c r="G4342" s="6">
        <v>90</v>
      </c>
      <c r="H4342" s="6">
        <v>190</v>
      </c>
      <c r="I4342" s="9"/>
      <c r="J4342" s="9"/>
      <c r="K4342" s="9">
        <v>44008784</v>
      </c>
      <c r="L4342" s="6" t="str">
        <f t="shared" si="423"/>
        <v>1D  MONZA  YATAK  90x190</v>
      </c>
      <c r="M4342" s="12">
        <v>0.5</v>
      </c>
      <c r="N4342" s="12">
        <v>0.5</v>
      </c>
      <c r="O4342" s="12">
        <v>6600</v>
      </c>
      <c r="P4342" s="12">
        <f t="shared" si="424"/>
        <v>3300</v>
      </c>
      <c r="Q4342" s="12">
        <f t="shared" si="420"/>
        <v>6930</v>
      </c>
      <c r="R4342" s="33">
        <f t="shared" si="425"/>
        <v>6900</v>
      </c>
      <c r="T4342" s="12"/>
      <c r="U4342" s="12">
        <v>25700</v>
      </c>
      <c r="V4342" s="12"/>
      <c r="W4342" s="12">
        <f t="shared" si="422"/>
        <v>8250</v>
      </c>
    </row>
    <row r="4343" spans="1:23" s="6" customFormat="1" ht="21.95" customHeight="1" x14ac:dyDescent="0.2">
      <c r="A4343" s="6" t="s">
        <v>943</v>
      </c>
      <c r="B4343" s="6" t="s">
        <v>1597</v>
      </c>
      <c r="C4343" s="6" t="s">
        <v>368</v>
      </c>
      <c r="D4343" s="6" t="s">
        <v>943</v>
      </c>
      <c r="G4343" s="6">
        <v>90</v>
      </c>
      <c r="H4343" s="6">
        <v>200</v>
      </c>
      <c r="I4343" s="9"/>
      <c r="J4343" s="9"/>
      <c r="K4343" s="9">
        <v>44008785</v>
      </c>
      <c r="L4343" s="6" t="str">
        <f t="shared" si="423"/>
        <v>1D  MONZA  YATAK  90x200</v>
      </c>
      <c r="M4343" s="12">
        <v>0.5</v>
      </c>
      <c r="N4343" s="12">
        <v>0.5</v>
      </c>
      <c r="O4343" s="12">
        <v>7000</v>
      </c>
      <c r="P4343" s="12">
        <f t="shared" si="424"/>
        <v>3500</v>
      </c>
      <c r="Q4343" s="12">
        <f t="shared" si="420"/>
        <v>7350</v>
      </c>
      <c r="R4343" s="33">
        <f t="shared" si="425"/>
        <v>7300</v>
      </c>
      <c r="T4343" s="12"/>
      <c r="U4343" s="12">
        <v>28900</v>
      </c>
      <c r="V4343" s="12"/>
      <c r="W4343" s="12">
        <f t="shared" si="422"/>
        <v>8750</v>
      </c>
    </row>
    <row r="4344" spans="1:23" s="6" customFormat="1" ht="21.95" customHeight="1" x14ac:dyDescent="0.2">
      <c r="A4344" s="6" t="s">
        <v>943</v>
      </c>
      <c r="B4344" s="6" t="s">
        <v>1597</v>
      </c>
      <c r="C4344" s="6" t="s">
        <v>368</v>
      </c>
      <c r="D4344" s="6" t="s">
        <v>943</v>
      </c>
      <c r="G4344" s="6">
        <v>100</v>
      </c>
      <c r="H4344" s="6">
        <v>200</v>
      </c>
      <c r="I4344" s="9"/>
      <c r="J4344" s="9"/>
      <c r="K4344" s="9">
        <v>44008786</v>
      </c>
      <c r="L4344" s="6" t="str">
        <f t="shared" si="423"/>
        <v>1D  MONZA  YATAK  100x200</v>
      </c>
      <c r="M4344" s="12">
        <v>0.5</v>
      </c>
      <c r="N4344" s="12">
        <v>0.5</v>
      </c>
      <c r="O4344" s="12">
        <v>7800</v>
      </c>
      <c r="P4344" s="12">
        <f t="shared" si="424"/>
        <v>3900</v>
      </c>
      <c r="Q4344" s="12">
        <f t="shared" si="420"/>
        <v>8190</v>
      </c>
      <c r="R4344" s="33">
        <f t="shared" si="425"/>
        <v>8100</v>
      </c>
      <c r="T4344" s="12"/>
      <c r="U4344" s="12">
        <v>19300</v>
      </c>
      <c r="V4344" s="12"/>
      <c r="W4344" s="12">
        <f t="shared" si="422"/>
        <v>9750</v>
      </c>
    </row>
    <row r="4345" spans="1:23" s="6" customFormat="1" ht="21.95" customHeight="1" x14ac:dyDescent="0.2">
      <c r="A4345" s="6" t="s">
        <v>943</v>
      </c>
      <c r="B4345" s="6" t="s">
        <v>1597</v>
      </c>
      <c r="C4345" s="6" t="s">
        <v>368</v>
      </c>
      <c r="D4345" s="6" t="s">
        <v>943</v>
      </c>
      <c r="G4345" s="6">
        <v>120</v>
      </c>
      <c r="H4345" s="6">
        <v>200</v>
      </c>
      <c r="I4345" s="9"/>
      <c r="J4345" s="9"/>
      <c r="K4345" s="9">
        <v>44008787</v>
      </c>
      <c r="L4345" s="6" t="str">
        <f t="shared" si="423"/>
        <v>1D  MONZA  YATAK  120x200</v>
      </c>
      <c r="M4345" s="12">
        <v>0.5</v>
      </c>
      <c r="N4345" s="12">
        <v>0.5</v>
      </c>
      <c r="O4345" s="12">
        <v>9300</v>
      </c>
      <c r="P4345" s="12">
        <f t="shared" si="424"/>
        <v>4650</v>
      </c>
      <c r="Q4345" s="12">
        <f t="shared" si="420"/>
        <v>9765</v>
      </c>
      <c r="R4345" s="33">
        <f t="shared" si="425"/>
        <v>9700</v>
      </c>
      <c r="T4345" s="12"/>
      <c r="U4345" s="12">
        <v>12200</v>
      </c>
      <c r="V4345" s="12"/>
      <c r="W4345" s="12">
        <f t="shared" si="422"/>
        <v>11625</v>
      </c>
    </row>
    <row r="4346" spans="1:23" s="6" customFormat="1" ht="21.95" customHeight="1" x14ac:dyDescent="0.2">
      <c r="A4346" s="6" t="s">
        <v>943</v>
      </c>
      <c r="B4346" s="6" t="s">
        <v>1597</v>
      </c>
      <c r="C4346" s="6" t="s">
        <v>368</v>
      </c>
      <c r="D4346" s="6" t="s">
        <v>943</v>
      </c>
      <c r="G4346" s="6">
        <v>140</v>
      </c>
      <c r="H4346" s="6">
        <v>200</v>
      </c>
      <c r="I4346" s="9"/>
      <c r="J4346" s="9"/>
      <c r="K4346" s="9">
        <v>44008788</v>
      </c>
      <c r="L4346" s="6" t="str">
        <f t="shared" si="423"/>
        <v>1D  MONZA  YATAK  140x200</v>
      </c>
      <c r="M4346" s="12">
        <v>0.5</v>
      </c>
      <c r="N4346" s="12">
        <v>0.5</v>
      </c>
      <c r="O4346" s="12">
        <v>10900</v>
      </c>
      <c r="P4346" s="12">
        <f t="shared" si="424"/>
        <v>5450</v>
      </c>
      <c r="Q4346" s="12">
        <f t="shared" si="420"/>
        <v>11445</v>
      </c>
      <c r="R4346" s="33">
        <f t="shared" si="425"/>
        <v>11400</v>
      </c>
      <c r="T4346" s="12"/>
      <c r="U4346" s="12">
        <v>12900</v>
      </c>
      <c r="V4346" s="12"/>
      <c r="W4346" s="12">
        <f t="shared" si="422"/>
        <v>13625</v>
      </c>
    </row>
    <row r="4347" spans="1:23" s="6" customFormat="1" ht="21.95" customHeight="1" x14ac:dyDescent="0.2">
      <c r="A4347" s="6" t="s">
        <v>943</v>
      </c>
      <c r="B4347" s="6" t="s">
        <v>1597</v>
      </c>
      <c r="C4347" s="6" t="s">
        <v>368</v>
      </c>
      <c r="D4347" s="6" t="s">
        <v>943</v>
      </c>
      <c r="G4347" s="6">
        <v>150</v>
      </c>
      <c r="H4347" s="6">
        <v>200</v>
      </c>
      <c r="I4347" s="9"/>
      <c r="J4347" s="9"/>
      <c r="K4347" s="9">
        <v>44008789</v>
      </c>
      <c r="L4347" s="6" t="str">
        <f t="shared" si="423"/>
        <v>1D  MONZA  YATAK  150x200</v>
      </c>
      <c r="M4347" s="12">
        <v>0.5</v>
      </c>
      <c r="N4347" s="12">
        <v>0.5</v>
      </c>
      <c r="O4347" s="12">
        <v>11600</v>
      </c>
      <c r="P4347" s="12">
        <f t="shared" si="424"/>
        <v>5800</v>
      </c>
      <c r="Q4347" s="12">
        <f t="shared" si="420"/>
        <v>12180</v>
      </c>
      <c r="R4347" s="33">
        <f t="shared" si="425"/>
        <v>12100</v>
      </c>
      <c r="T4347" s="12"/>
      <c r="U4347" s="12">
        <v>13000</v>
      </c>
      <c r="V4347" s="12"/>
      <c r="W4347" s="12">
        <f t="shared" si="422"/>
        <v>14500</v>
      </c>
    </row>
    <row r="4348" spans="1:23" s="6" customFormat="1" ht="21.95" customHeight="1" x14ac:dyDescent="0.2">
      <c r="A4348" s="6" t="s">
        <v>943</v>
      </c>
      <c r="B4348" s="6" t="s">
        <v>1597</v>
      </c>
      <c r="C4348" s="6" t="s">
        <v>368</v>
      </c>
      <c r="D4348" s="6" t="s">
        <v>943</v>
      </c>
      <c r="G4348" s="6">
        <v>160</v>
      </c>
      <c r="H4348" s="6">
        <v>200</v>
      </c>
      <c r="I4348" s="9"/>
      <c r="J4348" s="9"/>
      <c r="K4348" s="9">
        <v>44008790</v>
      </c>
      <c r="L4348" s="6" t="str">
        <f t="shared" si="423"/>
        <v>1D  MONZA  YATAK  160x200</v>
      </c>
      <c r="M4348" s="12">
        <v>0.5</v>
      </c>
      <c r="N4348" s="12">
        <v>0.5</v>
      </c>
      <c r="O4348" s="12">
        <v>12400</v>
      </c>
      <c r="P4348" s="12">
        <f t="shared" si="424"/>
        <v>6200</v>
      </c>
      <c r="Q4348" s="12">
        <f t="shared" si="420"/>
        <v>13020</v>
      </c>
      <c r="R4348" s="33">
        <f t="shared" si="425"/>
        <v>13000</v>
      </c>
      <c r="T4348" s="12"/>
      <c r="U4348" s="12">
        <v>15600</v>
      </c>
      <c r="V4348" s="12"/>
      <c r="W4348" s="12">
        <f t="shared" si="422"/>
        <v>15500</v>
      </c>
    </row>
    <row r="4349" spans="1:23" s="6" customFormat="1" ht="21.95" customHeight="1" x14ac:dyDescent="0.2">
      <c r="A4349" s="6" t="s">
        <v>943</v>
      </c>
      <c r="B4349" s="6" t="s">
        <v>1597</v>
      </c>
      <c r="C4349" s="6" t="s">
        <v>368</v>
      </c>
      <c r="D4349" s="6" t="s">
        <v>943</v>
      </c>
      <c r="G4349" s="6">
        <v>180</v>
      </c>
      <c r="H4349" s="6">
        <v>200</v>
      </c>
      <c r="I4349" s="9"/>
      <c r="J4349" s="9"/>
      <c r="K4349" s="9">
        <v>44008791</v>
      </c>
      <c r="L4349" s="6" t="str">
        <f t="shared" si="423"/>
        <v>1D  MONZA  YATAK  180x200</v>
      </c>
      <c r="M4349" s="12">
        <v>0.5</v>
      </c>
      <c r="N4349" s="12">
        <v>0.5</v>
      </c>
      <c r="O4349" s="12">
        <v>14000</v>
      </c>
      <c r="P4349" s="12">
        <f t="shared" si="424"/>
        <v>7000</v>
      </c>
      <c r="Q4349" s="12">
        <f t="shared" si="420"/>
        <v>14700</v>
      </c>
      <c r="R4349" s="33">
        <f t="shared" si="425"/>
        <v>14700</v>
      </c>
      <c r="T4349" s="12"/>
      <c r="U4349" s="12">
        <v>18200</v>
      </c>
      <c r="V4349" s="12"/>
      <c r="W4349" s="12">
        <f t="shared" ref="W4349:W4394" si="426">P4349*2.5</f>
        <v>17500</v>
      </c>
    </row>
    <row r="4350" spans="1:23" s="6" customFormat="1" ht="21.95" customHeight="1" x14ac:dyDescent="0.2">
      <c r="A4350" s="6" t="s">
        <v>943</v>
      </c>
      <c r="B4350" s="6" t="s">
        <v>1597</v>
      </c>
      <c r="C4350" s="6" t="s">
        <v>368</v>
      </c>
      <c r="D4350" s="6" t="s">
        <v>1380</v>
      </c>
      <c r="I4350" s="9"/>
      <c r="J4350" s="9"/>
      <c r="K4350" s="9">
        <v>44008792</v>
      </c>
      <c r="L4350" s="6" t="str">
        <f>B4350&amp;" "&amp;C4350&amp;" "&amp;D4350</f>
        <v>1D  MONZA  KOMODİN (2 ADET)</v>
      </c>
      <c r="M4350" s="12">
        <v>0.5</v>
      </c>
      <c r="N4350" s="12">
        <v>0.5</v>
      </c>
      <c r="O4350" s="12">
        <v>13200</v>
      </c>
      <c r="P4350" s="12">
        <f t="shared" si="424"/>
        <v>6600</v>
      </c>
      <c r="Q4350" s="12">
        <f t="shared" si="420"/>
        <v>13860</v>
      </c>
      <c r="R4350" s="33">
        <f t="shared" si="425"/>
        <v>13800</v>
      </c>
      <c r="T4350" s="12"/>
      <c r="U4350" s="12">
        <v>19500</v>
      </c>
      <c r="V4350" s="12"/>
      <c r="W4350" s="12">
        <f t="shared" si="426"/>
        <v>16500</v>
      </c>
    </row>
    <row r="4351" spans="1:23" s="6" customFormat="1" ht="21.95" customHeight="1" x14ac:dyDescent="0.2">
      <c r="A4351" s="6" t="s">
        <v>943</v>
      </c>
      <c r="B4351" s="6" t="s">
        <v>1597</v>
      </c>
      <c r="C4351" s="6" t="s">
        <v>1405</v>
      </c>
      <c r="D4351" s="6" t="s">
        <v>989</v>
      </c>
      <c r="G4351" s="6">
        <v>140</v>
      </c>
      <c r="H4351" s="6">
        <v>200</v>
      </c>
      <c r="I4351" s="9"/>
      <c r="J4351" s="9"/>
      <c r="K4351" s="9">
        <v>44008797</v>
      </c>
      <c r="L4351" s="6" t="str">
        <f t="shared" ref="L4351:L4362" si="427">B4351&amp;" "&amp;C4351&amp;" "&amp;D4351&amp;" "&amp;G4351&amp;"x"&amp;H4351</f>
        <v>1D  MOONLIGHT  BAZA  140x200</v>
      </c>
      <c r="M4351" s="12">
        <v>0.5</v>
      </c>
      <c r="N4351" s="12">
        <v>0.5</v>
      </c>
      <c r="O4351" s="12">
        <v>17300</v>
      </c>
      <c r="P4351" s="12">
        <f t="shared" si="424"/>
        <v>8650</v>
      </c>
      <c r="Q4351" s="12">
        <f t="shared" si="420"/>
        <v>18165</v>
      </c>
      <c r="R4351" s="33">
        <f t="shared" si="425"/>
        <v>18100</v>
      </c>
      <c r="T4351" s="12"/>
      <c r="U4351" s="12">
        <v>20800</v>
      </c>
      <c r="V4351" s="12"/>
      <c r="W4351" s="12">
        <f t="shared" si="426"/>
        <v>21625</v>
      </c>
    </row>
    <row r="4352" spans="1:23" s="6" customFormat="1" ht="21.95" customHeight="1" x14ac:dyDescent="0.2">
      <c r="A4352" s="6" t="s">
        <v>943</v>
      </c>
      <c r="B4352" s="6" t="s">
        <v>1597</v>
      </c>
      <c r="C4352" s="6" t="s">
        <v>1405</v>
      </c>
      <c r="D4352" s="6" t="s">
        <v>989</v>
      </c>
      <c r="G4352" s="6">
        <v>150</v>
      </c>
      <c r="H4352" s="6">
        <v>200</v>
      </c>
      <c r="I4352" s="9"/>
      <c r="J4352" s="9"/>
      <c r="K4352" s="9">
        <v>44008798</v>
      </c>
      <c r="L4352" s="6" t="str">
        <f t="shared" si="427"/>
        <v>1D  MOONLIGHT  BAZA  150x200</v>
      </c>
      <c r="M4352" s="12">
        <v>0.5</v>
      </c>
      <c r="N4352" s="12">
        <v>0.5</v>
      </c>
      <c r="O4352" s="12">
        <v>18600</v>
      </c>
      <c r="P4352" s="12">
        <f t="shared" si="424"/>
        <v>9300</v>
      </c>
      <c r="Q4352" s="12">
        <f t="shared" si="420"/>
        <v>19530</v>
      </c>
      <c r="R4352" s="33">
        <f t="shared" si="425"/>
        <v>19500</v>
      </c>
      <c r="T4352" s="12"/>
      <c r="U4352" s="12">
        <v>23400</v>
      </c>
      <c r="V4352" s="12"/>
      <c r="W4352" s="12">
        <f t="shared" si="426"/>
        <v>23250</v>
      </c>
    </row>
    <row r="4353" spans="1:23" s="6" customFormat="1" ht="21.95" customHeight="1" x14ac:dyDescent="0.2">
      <c r="A4353" s="6" t="s">
        <v>943</v>
      </c>
      <c r="B4353" s="6" t="s">
        <v>1597</v>
      </c>
      <c r="C4353" s="6" t="s">
        <v>1405</v>
      </c>
      <c r="D4353" s="6" t="s">
        <v>989</v>
      </c>
      <c r="G4353" s="6">
        <v>160</v>
      </c>
      <c r="H4353" s="6">
        <v>200</v>
      </c>
      <c r="I4353" s="9"/>
      <c r="J4353" s="9"/>
      <c r="K4353" s="9">
        <v>44008799</v>
      </c>
      <c r="L4353" s="6" t="str">
        <f t="shared" si="427"/>
        <v>1D  MOONLIGHT  BAZA  160x200</v>
      </c>
      <c r="M4353" s="12">
        <v>0.5</v>
      </c>
      <c r="N4353" s="12">
        <v>0.5</v>
      </c>
      <c r="O4353" s="12">
        <v>19800</v>
      </c>
      <c r="P4353" s="12">
        <f t="shared" si="424"/>
        <v>9900</v>
      </c>
      <c r="Q4353" s="12">
        <f t="shared" si="420"/>
        <v>20790</v>
      </c>
      <c r="R4353" s="33">
        <f t="shared" si="425"/>
        <v>20700</v>
      </c>
      <c r="T4353" s="12"/>
      <c r="U4353" s="12">
        <v>17100</v>
      </c>
      <c r="V4353" s="12"/>
      <c r="W4353" s="12">
        <f t="shared" si="426"/>
        <v>24750</v>
      </c>
    </row>
    <row r="4354" spans="1:23" s="6" customFormat="1" ht="21.95" customHeight="1" x14ac:dyDescent="0.2">
      <c r="A4354" s="6" t="s">
        <v>943</v>
      </c>
      <c r="B4354" s="6" t="s">
        <v>1597</v>
      </c>
      <c r="C4354" s="6" t="s">
        <v>1405</v>
      </c>
      <c r="D4354" s="6" t="s">
        <v>989</v>
      </c>
      <c r="G4354" s="6">
        <v>180</v>
      </c>
      <c r="H4354" s="6">
        <v>200</v>
      </c>
      <c r="I4354" s="9"/>
      <c r="J4354" s="9"/>
      <c r="K4354" s="9">
        <v>44008800</v>
      </c>
      <c r="L4354" s="6" t="str">
        <f t="shared" si="427"/>
        <v>1D  MOONLIGHT  BAZA  180x200</v>
      </c>
      <c r="M4354" s="12">
        <v>0.5</v>
      </c>
      <c r="N4354" s="12">
        <v>0.5</v>
      </c>
      <c r="O4354" s="12">
        <v>22300</v>
      </c>
      <c r="P4354" s="12">
        <f t="shared" si="424"/>
        <v>11150</v>
      </c>
      <c r="Q4354" s="12">
        <f t="shared" si="420"/>
        <v>23415</v>
      </c>
      <c r="R4354" s="33">
        <f t="shared" si="425"/>
        <v>23400</v>
      </c>
      <c r="T4354" s="12"/>
      <c r="U4354" s="12">
        <v>17100</v>
      </c>
      <c r="V4354" s="12"/>
      <c r="W4354" s="12">
        <f t="shared" si="426"/>
        <v>27875</v>
      </c>
    </row>
    <row r="4355" spans="1:23" s="6" customFormat="1" ht="21.95" customHeight="1" x14ac:dyDescent="0.2">
      <c r="A4355" s="6" t="s">
        <v>943</v>
      </c>
      <c r="B4355" s="6" t="s">
        <v>1597</v>
      </c>
      <c r="C4355" s="6" t="s">
        <v>1405</v>
      </c>
      <c r="D4355" s="6" t="s">
        <v>1003</v>
      </c>
      <c r="G4355" s="6">
        <v>140</v>
      </c>
      <c r="H4355" s="6">
        <v>200</v>
      </c>
      <c r="I4355" s="9"/>
      <c r="J4355" s="9"/>
      <c r="K4355" s="9">
        <v>44008805</v>
      </c>
      <c r="L4355" s="6" t="str">
        <f t="shared" si="427"/>
        <v>1D  MOONLIGHT  BAŞLIK  140x200</v>
      </c>
      <c r="M4355" s="12">
        <v>0.5</v>
      </c>
      <c r="N4355" s="12">
        <v>0.5</v>
      </c>
      <c r="O4355" s="12">
        <v>22800</v>
      </c>
      <c r="P4355" s="12">
        <f t="shared" si="424"/>
        <v>11400</v>
      </c>
      <c r="Q4355" s="12">
        <f t="shared" si="420"/>
        <v>23940</v>
      </c>
      <c r="R4355" s="33">
        <f t="shared" si="425"/>
        <v>23900</v>
      </c>
      <c r="T4355" s="12"/>
      <c r="U4355" s="12">
        <v>17300</v>
      </c>
      <c r="V4355" s="12"/>
      <c r="W4355" s="12">
        <f t="shared" si="426"/>
        <v>28500</v>
      </c>
    </row>
    <row r="4356" spans="1:23" s="6" customFormat="1" ht="21.95" customHeight="1" x14ac:dyDescent="0.2">
      <c r="A4356" s="6" t="s">
        <v>943</v>
      </c>
      <c r="B4356" s="6" t="s">
        <v>1597</v>
      </c>
      <c r="C4356" s="6" t="s">
        <v>1405</v>
      </c>
      <c r="D4356" s="6" t="s">
        <v>1003</v>
      </c>
      <c r="G4356" s="6">
        <v>150</v>
      </c>
      <c r="H4356" s="6">
        <v>200</v>
      </c>
      <c r="I4356" s="9"/>
      <c r="J4356" s="9"/>
      <c r="K4356" s="9">
        <v>44008806</v>
      </c>
      <c r="L4356" s="6" t="str">
        <f t="shared" si="427"/>
        <v>1D  MOONLIGHT  BAŞLIK  150x200</v>
      </c>
      <c r="M4356" s="12">
        <v>0.5</v>
      </c>
      <c r="N4356" s="12">
        <v>0.5</v>
      </c>
      <c r="O4356" s="12">
        <v>24400</v>
      </c>
      <c r="P4356" s="12">
        <f t="shared" si="424"/>
        <v>12200</v>
      </c>
      <c r="Q4356" s="12">
        <f t="shared" si="420"/>
        <v>25620</v>
      </c>
      <c r="R4356" s="33">
        <f t="shared" si="425"/>
        <v>25600</v>
      </c>
      <c r="T4356" s="12"/>
      <c r="U4356" s="12">
        <v>20700</v>
      </c>
      <c r="V4356" s="12"/>
      <c r="W4356" s="12">
        <f t="shared" si="426"/>
        <v>30500</v>
      </c>
    </row>
    <row r="4357" spans="1:23" s="6" customFormat="1" ht="21.95" customHeight="1" x14ac:dyDescent="0.2">
      <c r="A4357" s="6" t="s">
        <v>943</v>
      </c>
      <c r="B4357" s="6" t="s">
        <v>1597</v>
      </c>
      <c r="C4357" s="6" t="s">
        <v>1405</v>
      </c>
      <c r="D4357" s="6" t="s">
        <v>1003</v>
      </c>
      <c r="G4357" s="6">
        <v>160</v>
      </c>
      <c r="H4357" s="6">
        <v>200</v>
      </c>
      <c r="I4357" s="9"/>
      <c r="J4357" s="9"/>
      <c r="K4357" s="9">
        <v>44008807</v>
      </c>
      <c r="L4357" s="6" t="str">
        <f t="shared" si="427"/>
        <v>1D  MOONLIGHT  BAŞLIK  160x200</v>
      </c>
      <c r="M4357" s="12">
        <v>0.5</v>
      </c>
      <c r="N4357" s="12">
        <v>0.5</v>
      </c>
      <c r="O4357" s="12">
        <v>26000</v>
      </c>
      <c r="P4357" s="12">
        <f t="shared" si="424"/>
        <v>13000</v>
      </c>
      <c r="Q4357" s="12">
        <f t="shared" si="420"/>
        <v>27300</v>
      </c>
      <c r="R4357" s="33">
        <f t="shared" si="425"/>
        <v>27300</v>
      </c>
      <c r="T4357" s="12"/>
      <c r="U4357" s="12">
        <v>24200</v>
      </c>
      <c r="V4357" s="12"/>
      <c r="W4357" s="12">
        <f t="shared" si="426"/>
        <v>32500</v>
      </c>
    </row>
    <row r="4358" spans="1:23" s="6" customFormat="1" ht="21.95" customHeight="1" x14ac:dyDescent="0.2">
      <c r="A4358" s="6" t="s">
        <v>943</v>
      </c>
      <c r="B4358" s="6" t="s">
        <v>1597</v>
      </c>
      <c r="C4358" s="6" t="s">
        <v>1405</v>
      </c>
      <c r="D4358" s="6" t="s">
        <v>1003</v>
      </c>
      <c r="G4358" s="6">
        <v>180</v>
      </c>
      <c r="H4358" s="6">
        <v>200</v>
      </c>
      <c r="I4358" s="9"/>
      <c r="J4358" s="9"/>
      <c r="K4358" s="9">
        <v>44008808</v>
      </c>
      <c r="L4358" s="6" t="str">
        <f t="shared" si="427"/>
        <v>1D  MOONLIGHT  BAŞLIK  180x200</v>
      </c>
      <c r="M4358" s="12">
        <v>0.5</v>
      </c>
      <c r="N4358" s="12">
        <v>0.5</v>
      </c>
      <c r="O4358" s="12">
        <v>29300</v>
      </c>
      <c r="P4358" s="12">
        <f t="shared" si="424"/>
        <v>14650</v>
      </c>
      <c r="Q4358" s="12">
        <f t="shared" si="420"/>
        <v>30765</v>
      </c>
      <c r="R4358" s="33">
        <f t="shared" si="425"/>
        <v>30700</v>
      </c>
      <c r="T4358" s="12"/>
      <c r="U4358" s="12">
        <v>25900</v>
      </c>
      <c r="V4358" s="12"/>
      <c r="W4358" s="12">
        <f t="shared" si="426"/>
        <v>36625</v>
      </c>
    </row>
    <row r="4359" spans="1:23" s="6" customFormat="1" ht="21.95" customHeight="1" x14ac:dyDescent="0.2">
      <c r="A4359" s="6" t="s">
        <v>943</v>
      </c>
      <c r="B4359" s="6" t="s">
        <v>1597</v>
      </c>
      <c r="C4359" s="6" t="s">
        <v>1405</v>
      </c>
      <c r="D4359" s="6" t="s">
        <v>943</v>
      </c>
      <c r="G4359" s="6">
        <v>140</v>
      </c>
      <c r="H4359" s="6">
        <v>200</v>
      </c>
      <c r="I4359" s="9"/>
      <c r="J4359" s="9"/>
      <c r="K4359" s="9">
        <v>44008813</v>
      </c>
      <c r="L4359" s="6" t="str">
        <f t="shared" si="427"/>
        <v>1D  MOONLIGHT  YATAK  140x200</v>
      </c>
      <c r="M4359" s="12">
        <v>0.5</v>
      </c>
      <c r="N4359" s="12">
        <v>0.5</v>
      </c>
      <c r="O4359" s="12">
        <v>15100</v>
      </c>
      <c r="P4359" s="12">
        <f t="shared" si="424"/>
        <v>7550</v>
      </c>
      <c r="Q4359" s="12">
        <f t="shared" si="420"/>
        <v>15855</v>
      </c>
      <c r="R4359" s="33">
        <f t="shared" si="425"/>
        <v>15800</v>
      </c>
      <c r="T4359" s="12"/>
      <c r="U4359" s="12">
        <v>27600</v>
      </c>
      <c r="V4359" s="12"/>
      <c r="W4359" s="12">
        <f t="shared" si="426"/>
        <v>18875</v>
      </c>
    </row>
    <row r="4360" spans="1:23" s="6" customFormat="1" ht="21.95" customHeight="1" x14ac:dyDescent="0.2">
      <c r="A4360" s="6" t="s">
        <v>943</v>
      </c>
      <c r="B4360" s="6" t="s">
        <v>1597</v>
      </c>
      <c r="C4360" s="6" t="s">
        <v>1405</v>
      </c>
      <c r="D4360" s="6" t="s">
        <v>943</v>
      </c>
      <c r="G4360" s="6">
        <v>150</v>
      </c>
      <c r="H4360" s="6">
        <v>200</v>
      </c>
      <c r="I4360" s="9"/>
      <c r="J4360" s="9"/>
      <c r="K4360" s="9">
        <v>44008814</v>
      </c>
      <c r="L4360" s="6" t="str">
        <f t="shared" si="427"/>
        <v>1D  MOONLIGHT  YATAK  150x200</v>
      </c>
      <c r="M4360" s="12">
        <v>0.5</v>
      </c>
      <c r="N4360" s="12">
        <v>0.5</v>
      </c>
      <c r="O4360" s="12">
        <v>16100</v>
      </c>
      <c r="P4360" s="12">
        <f t="shared" si="424"/>
        <v>8050</v>
      </c>
      <c r="Q4360" s="12">
        <f t="shared" si="420"/>
        <v>16905</v>
      </c>
      <c r="R4360" s="33">
        <f t="shared" si="425"/>
        <v>16900</v>
      </c>
      <c r="T4360" s="12"/>
      <c r="U4360" s="12">
        <v>31100</v>
      </c>
      <c r="V4360" s="12"/>
      <c r="W4360" s="12">
        <f t="shared" si="426"/>
        <v>20125</v>
      </c>
    </row>
    <row r="4361" spans="1:23" s="6" customFormat="1" ht="21.95" customHeight="1" x14ac:dyDescent="0.2">
      <c r="A4361" s="6" t="s">
        <v>943</v>
      </c>
      <c r="B4361" s="6" t="s">
        <v>1597</v>
      </c>
      <c r="C4361" s="6" t="s">
        <v>1405</v>
      </c>
      <c r="D4361" s="6" t="s">
        <v>943</v>
      </c>
      <c r="G4361" s="6">
        <v>160</v>
      </c>
      <c r="H4361" s="6">
        <v>200</v>
      </c>
      <c r="I4361" s="9"/>
      <c r="J4361" s="9"/>
      <c r="K4361" s="9">
        <v>44008815</v>
      </c>
      <c r="L4361" s="6" t="str">
        <f t="shared" si="427"/>
        <v>1D  MOONLIGHT  YATAK  160x200</v>
      </c>
      <c r="M4361" s="12">
        <v>0.5</v>
      </c>
      <c r="N4361" s="12">
        <v>0.5</v>
      </c>
      <c r="O4361" s="12">
        <v>17200</v>
      </c>
      <c r="P4361" s="12">
        <f t="shared" si="424"/>
        <v>8600</v>
      </c>
      <c r="Q4361" s="12">
        <f t="shared" si="420"/>
        <v>18060</v>
      </c>
      <c r="R4361" s="33">
        <f t="shared" si="425"/>
        <v>18000</v>
      </c>
      <c r="T4361" s="12"/>
      <c r="U4361" s="12">
        <v>12400</v>
      </c>
      <c r="V4361" s="12"/>
      <c r="W4361" s="12">
        <f t="shared" si="426"/>
        <v>21500</v>
      </c>
    </row>
    <row r="4362" spans="1:23" s="6" customFormat="1" ht="21.95" customHeight="1" x14ac:dyDescent="0.2">
      <c r="A4362" s="6" t="s">
        <v>943</v>
      </c>
      <c r="B4362" s="6" t="s">
        <v>1597</v>
      </c>
      <c r="C4362" s="6" t="s">
        <v>1405</v>
      </c>
      <c r="D4362" s="6" t="s">
        <v>943</v>
      </c>
      <c r="G4362" s="6">
        <v>180</v>
      </c>
      <c r="H4362" s="6">
        <v>200</v>
      </c>
      <c r="I4362" s="9"/>
      <c r="J4362" s="9"/>
      <c r="K4362" s="9">
        <v>44008816</v>
      </c>
      <c r="L4362" s="6" t="str">
        <f t="shared" si="427"/>
        <v>1D  MOONLIGHT  YATAK  180x200</v>
      </c>
      <c r="M4362" s="12">
        <v>0.5</v>
      </c>
      <c r="N4362" s="12">
        <v>0.5</v>
      </c>
      <c r="O4362" s="12">
        <v>19400</v>
      </c>
      <c r="P4362" s="12">
        <f t="shared" si="424"/>
        <v>9700</v>
      </c>
      <c r="Q4362" s="12">
        <f t="shared" si="420"/>
        <v>20370</v>
      </c>
      <c r="R4362" s="33">
        <f t="shared" si="425"/>
        <v>20300</v>
      </c>
      <c r="T4362" s="12"/>
      <c r="U4362" s="12">
        <v>13100</v>
      </c>
      <c r="V4362" s="12"/>
      <c r="W4362" s="12">
        <f t="shared" si="426"/>
        <v>24250</v>
      </c>
    </row>
    <row r="4363" spans="1:23" s="6" customFormat="1" ht="21.95" customHeight="1" x14ac:dyDescent="0.2">
      <c r="A4363" s="6" t="s">
        <v>943</v>
      </c>
      <c r="B4363" s="6" t="s">
        <v>1597</v>
      </c>
      <c r="C4363" s="6" t="s">
        <v>1405</v>
      </c>
      <c r="D4363" s="6" t="s">
        <v>1380</v>
      </c>
      <c r="I4363" s="9"/>
      <c r="J4363" s="9"/>
      <c r="K4363" s="9">
        <v>44008817</v>
      </c>
      <c r="L4363" s="6" t="str">
        <f>B4363&amp;" "&amp;C4363&amp;" "&amp;D4363</f>
        <v>1D  MOONLIGHT  KOMODİN (2 ADET)</v>
      </c>
      <c r="M4363" s="12">
        <v>0.5</v>
      </c>
      <c r="N4363" s="12">
        <v>0.5</v>
      </c>
      <c r="O4363" s="12">
        <v>13200</v>
      </c>
      <c r="P4363" s="12">
        <f t="shared" si="424"/>
        <v>6600</v>
      </c>
      <c r="Q4363" s="12">
        <f t="shared" si="420"/>
        <v>13860</v>
      </c>
      <c r="R4363" s="33">
        <f t="shared" si="425"/>
        <v>13800</v>
      </c>
      <c r="T4363" s="12"/>
      <c r="U4363" s="12">
        <v>13200</v>
      </c>
      <c r="V4363" s="12"/>
      <c r="W4363" s="12">
        <f t="shared" si="426"/>
        <v>16500</v>
      </c>
    </row>
    <row r="4364" spans="1:23" s="6" customFormat="1" ht="21.95" customHeight="1" x14ac:dyDescent="0.2">
      <c r="A4364" s="6" t="s">
        <v>943</v>
      </c>
      <c r="B4364" s="6" t="s">
        <v>1597</v>
      </c>
      <c r="C4364" s="6" t="s">
        <v>1405</v>
      </c>
      <c r="D4364" s="6" t="s">
        <v>122</v>
      </c>
      <c r="I4364" s="9"/>
      <c r="J4364" s="9"/>
      <c r="K4364" s="9">
        <v>44008818</v>
      </c>
      <c r="L4364" s="6" t="str">
        <f>B4364&amp;" "&amp;C4364&amp;" "&amp;D4364</f>
        <v xml:space="preserve">1D  MOONLIGHT  BENCH </v>
      </c>
      <c r="M4364" s="12">
        <v>0.5</v>
      </c>
      <c r="N4364" s="12">
        <v>0.5</v>
      </c>
      <c r="O4364" s="12">
        <v>8400</v>
      </c>
      <c r="P4364" s="12">
        <f t="shared" si="424"/>
        <v>4200</v>
      </c>
      <c r="Q4364" s="12">
        <f t="shared" si="420"/>
        <v>8820</v>
      </c>
      <c r="R4364" s="33">
        <f t="shared" si="425"/>
        <v>8800</v>
      </c>
      <c r="T4364" s="12"/>
      <c r="U4364" s="12">
        <v>15800</v>
      </c>
      <c r="V4364" s="12"/>
      <c r="W4364" s="12">
        <f t="shared" si="426"/>
        <v>10500</v>
      </c>
    </row>
    <row r="4365" spans="1:23" s="6" customFormat="1" ht="21.95" customHeight="1" x14ac:dyDescent="0.2">
      <c r="A4365" s="6" t="s">
        <v>943</v>
      </c>
      <c r="B4365" s="6" t="s">
        <v>1597</v>
      </c>
      <c r="C4365" s="6" t="s">
        <v>1405</v>
      </c>
      <c r="D4365" s="6" t="s">
        <v>122</v>
      </c>
      <c r="I4365" s="9"/>
      <c r="J4365" s="9"/>
      <c r="K4365" s="9">
        <v>44008819</v>
      </c>
      <c r="L4365" s="6" t="str">
        <f>B4365&amp;" "&amp;C4365&amp;" "&amp;D4365</f>
        <v xml:space="preserve">1D  MOONLIGHT  BENCH </v>
      </c>
      <c r="M4365" s="12">
        <v>0.5</v>
      </c>
      <c r="N4365" s="12">
        <v>0.5</v>
      </c>
      <c r="O4365" s="12">
        <v>8400</v>
      </c>
      <c r="P4365" s="12">
        <f t="shared" si="424"/>
        <v>4200</v>
      </c>
      <c r="Q4365" s="12">
        <f t="shared" si="420"/>
        <v>8820</v>
      </c>
      <c r="R4365" s="33">
        <f t="shared" si="425"/>
        <v>8800</v>
      </c>
      <c r="T4365" s="12"/>
      <c r="U4365" s="12">
        <v>18500</v>
      </c>
      <c r="V4365" s="12"/>
      <c r="W4365" s="12">
        <f t="shared" si="426"/>
        <v>10500</v>
      </c>
    </row>
    <row r="4366" spans="1:23" s="6" customFormat="1" ht="21.95" customHeight="1" x14ac:dyDescent="0.2">
      <c r="A4366" s="6" t="s">
        <v>943</v>
      </c>
      <c r="B4366" s="6" t="s">
        <v>1597</v>
      </c>
      <c r="C4366" s="6" t="s">
        <v>1405</v>
      </c>
      <c r="D4366" s="6" t="s">
        <v>122</v>
      </c>
      <c r="I4366" s="9"/>
      <c r="J4366" s="9"/>
      <c r="K4366" s="9">
        <v>44008820</v>
      </c>
      <c r="L4366" s="6" t="str">
        <f>B4366&amp;" "&amp;C4366&amp;" "&amp;D4366</f>
        <v xml:space="preserve">1D  MOONLIGHT  BENCH </v>
      </c>
      <c r="M4366" s="12">
        <v>0.5</v>
      </c>
      <c r="N4366" s="12">
        <v>0.5</v>
      </c>
      <c r="O4366" s="12">
        <v>9500</v>
      </c>
      <c r="P4366" s="12">
        <f t="shared" si="424"/>
        <v>4750</v>
      </c>
      <c r="Q4366" s="12">
        <f t="shared" si="420"/>
        <v>9975</v>
      </c>
      <c r="R4366" s="33">
        <f t="shared" si="425"/>
        <v>9900</v>
      </c>
      <c r="T4366" s="12"/>
      <c r="U4366" s="12">
        <v>19800</v>
      </c>
      <c r="V4366" s="12"/>
      <c r="W4366" s="12">
        <f t="shared" si="426"/>
        <v>11875</v>
      </c>
    </row>
    <row r="4367" spans="1:23" s="6" customFormat="1" ht="21.95" customHeight="1" x14ac:dyDescent="0.2">
      <c r="A4367" s="6" t="s">
        <v>943</v>
      </c>
      <c r="B4367" s="6" t="s">
        <v>1597</v>
      </c>
      <c r="C4367" s="6" t="s">
        <v>1406</v>
      </c>
      <c r="D4367" s="6" t="s">
        <v>989</v>
      </c>
      <c r="G4367" s="6">
        <v>90</v>
      </c>
      <c r="H4367" s="6">
        <v>190</v>
      </c>
      <c r="I4367" s="9"/>
      <c r="J4367" s="9"/>
      <c r="K4367" s="9">
        <v>44008821</v>
      </c>
      <c r="L4367" s="6" t="str">
        <f t="shared" ref="L4367:L4390" si="428">B4367&amp;" "&amp;C4367&amp;" "&amp;D4367&amp;" "&amp;G4367&amp;"x"&amp;H4367</f>
        <v>1D  MİNİ MOONLIGHT  BAZA  90x190</v>
      </c>
      <c r="M4367" s="12">
        <v>0.5</v>
      </c>
      <c r="N4367" s="12">
        <v>0.5</v>
      </c>
      <c r="O4367" s="12">
        <v>10600</v>
      </c>
      <c r="P4367" s="12">
        <f t="shared" si="424"/>
        <v>5300</v>
      </c>
      <c r="Q4367" s="12">
        <f t="shared" si="420"/>
        <v>11130</v>
      </c>
      <c r="R4367" s="33">
        <f t="shared" si="425"/>
        <v>11100</v>
      </c>
      <c r="T4367" s="12"/>
      <c r="U4367" s="12">
        <v>21100</v>
      </c>
      <c r="V4367" s="12"/>
      <c r="W4367" s="12">
        <f t="shared" si="426"/>
        <v>13250</v>
      </c>
    </row>
    <row r="4368" spans="1:23" s="6" customFormat="1" ht="21.95" customHeight="1" x14ac:dyDescent="0.2">
      <c r="A4368" s="6" t="s">
        <v>943</v>
      </c>
      <c r="B4368" s="6" t="s">
        <v>1597</v>
      </c>
      <c r="C4368" s="6" t="s">
        <v>1406</v>
      </c>
      <c r="D4368" s="6" t="s">
        <v>989</v>
      </c>
      <c r="G4368" s="6">
        <v>90</v>
      </c>
      <c r="H4368" s="6">
        <v>200</v>
      </c>
      <c r="I4368" s="9"/>
      <c r="J4368" s="9"/>
      <c r="K4368" s="9">
        <v>44008822</v>
      </c>
      <c r="L4368" s="6" t="str">
        <f t="shared" si="428"/>
        <v>1D  MİNİ MOONLIGHT  BAZA  90x200</v>
      </c>
      <c r="M4368" s="12">
        <v>0.5</v>
      </c>
      <c r="N4368" s="12">
        <v>0.5</v>
      </c>
      <c r="O4368" s="12">
        <v>11100</v>
      </c>
      <c r="P4368" s="12">
        <f t="shared" si="424"/>
        <v>5550</v>
      </c>
      <c r="Q4368" s="12">
        <f t="shared" si="420"/>
        <v>11655</v>
      </c>
      <c r="R4368" s="33">
        <f t="shared" si="425"/>
        <v>11600</v>
      </c>
      <c r="T4368" s="12"/>
      <c r="U4368" s="12">
        <v>23700</v>
      </c>
      <c r="V4368" s="12"/>
      <c r="W4368" s="12">
        <f t="shared" si="426"/>
        <v>13875</v>
      </c>
    </row>
    <row r="4369" spans="1:23" s="6" customFormat="1" ht="21.95" customHeight="1" x14ac:dyDescent="0.2">
      <c r="A4369" s="6" t="s">
        <v>943</v>
      </c>
      <c r="B4369" s="6" t="s">
        <v>1597</v>
      </c>
      <c r="C4369" s="6" t="s">
        <v>1406</v>
      </c>
      <c r="D4369" s="6" t="s">
        <v>989</v>
      </c>
      <c r="G4369" s="6">
        <v>100</v>
      </c>
      <c r="H4369" s="6">
        <v>200</v>
      </c>
      <c r="I4369" s="9"/>
      <c r="J4369" s="9"/>
      <c r="K4369" s="9">
        <v>44008823</v>
      </c>
      <c r="L4369" s="6" t="str">
        <f t="shared" si="428"/>
        <v>1D  MİNİ MOONLIGHT  BAZA  100x200</v>
      </c>
      <c r="M4369" s="12">
        <v>0.5</v>
      </c>
      <c r="N4369" s="12">
        <v>0.5</v>
      </c>
      <c r="O4369" s="12">
        <v>12400</v>
      </c>
      <c r="P4369" s="12">
        <f t="shared" si="424"/>
        <v>6200</v>
      </c>
      <c r="Q4369" s="12">
        <f t="shared" si="420"/>
        <v>13020</v>
      </c>
      <c r="R4369" s="33">
        <f t="shared" si="425"/>
        <v>13000</v>
      </c>
      <c r="T4369" s="12"/>
      <c r="U4369" s="12">
        <v>15800</v>
      </c>
      <c r="V4369" s="12"/>
      <c r="W4369" s="12">
        <f t="shared" si="426"/>
        <v>15500</v>
      </c>
    </row>
    <row r="4370" spans="1:23" s="6" customFormat="1" ht="21.95" customHeight="1" x14ac:dyDescent="0.2">
      <c r="A4370" s="6" t="s">
        <v>943</v>
      </c>
      <c r="B4370" s="6" t="s">
        <v>1597</v>
      </c>
      <c r="C4370" s="6" t="s">
        <v>1406</v>
      </c>
      <c r="D4370" s="6" t="s">
        <v>989</v>
      </c>
      <c r="G4370" s="6">
        <v>120</v>
      </c>
      <c r="H4370" s="6">
        <v>200</v>
      </c>
      <c r="I4370" s="9"/>
      <c r="J4370" s="9"/>
      <c r="K4370" s="9">
        <v>44008824</v>
      </c>
      <c r="L4370" s="6" t="str">
        <f t="shared" si="428"/>
        <v>1D  MİNİ MOONLIGHT  BAZA  120x200</v>
      </c>
      <c r="M4370" s="12">
        <v>0.5</v>
      </c>
      <c r="N4370" s="12">
        <v>0.5</v>
      </c>
      <c r="O4370" s="12">
        <v>14900</v>
      </c>
      <c r="P4370" s="12">
        <f t="shared" si="424"/>
        <v>7450</v>
      </c>
      <c r="Q4370" s="12">
        <f t="shared" si="420"/>
        <v>15645</v>
      </c>
      <c r="R4370" s="33">
        <f t="shared" si="425"/>
        <v>15600</v>
      </c>
      <c r="T4370" s="12"/>
      <c r="U4370" s="12">
        <v>11800</v>
      </c>
      <c r="V4370" s="12"/>
      <c r="W4370" s="12">
        <f t="shared" si="426"/>
        <v>18625</v>
      </c>
    </row>
    <row r="4371" spans="1:23" s="6" customFormat="1" ht="21.95" customHeight="1" x14ac:dyDescent="0.2">
      <c r="A4371" s="6" t="s">
        <v>943</v>
      </c>
      <c r="B4371" s="6" t="s">
        <v>1597</v>
      </c>
      <c r="C4371" s="6" t="s">
        <v>1406</v>
      </c>
      <c r="D4371" s="6" t="s">
        <v>989</v>
      </c>
      <c r="G4371" s="6">
        <v>140</v>
      </c>
      <c r="H4371" s="6">
        <v>200</v>
      </c>
      <c r="I4371" s="9"/>
      <c r="J4371" s="9"/>
      <c r="K4371" s="9">
        <v>44008825</v>
      </c>
      <c r="L4371" s="6" t="str">
        <f t="shared" si="428"/>
        <v>1D  MİNİ MOONLIGHT  BAZA  140x200</v>
      </c>
      <c r="M4371" s="12">
        <v>0.5</v>
      </c>
      <c r="N4371" s="12">
        <v>0.5</v>
      </c>
      <c r="O4371" s="12">
        <v>17300</v>
      </c>
      <c r="P4371" s="12">
        <f t="shared" si="424"/>
        <v>8650</v>
      </c>
      <c r="Q4371" s="12">
        <f t="shared" ref="Q4371:Q4434" si="429">O4371*(1-N4371)*2.1</f>
        <v>18165</v>
      </c>
      <c r="R4371" s="33">
        <f t="shared" si="425"/>
        <v>18100</v>
      </c>
      <c r="T4371" s="12"/>
      <c r="U4371" s="12">
        <v>12400</v>
      </c>
      <c r="V4371" s="12"/>
      <c r="W4371" s="12">
        <f t="shared" si="426"/>
        <v>21625</v>
      </c>
    </row>
    <row r="4372" spans="1:23" s="6" customFormat="1" ht="21.95" customHeight="1" x14ac:dyDescent="0.2">
      <c r="A4372" s="6" t="s">
        <v>943</v>
      </c>
      <c r="B4372" s="6" t="s">
        <v>1597</v>
      </c>
      <c r="C4372" s="6" t="s">
        <v>1406</v>
      </c>
      <c r="D4372" s="6" t="s">
        <v>989</v>
      </c>
      <c r="G4372" s="6">
        <v>150</v>
      </c>
      <c r="H4372" s="6">
        <v>200</v>
      </c>
      <c r="I4372" s="9"/>
      <c r="J4372" s="9"/>
      <c r="K4372" s="9">
        <v>44008826</v>
      </c>
      <c r="L4372" s="6" t="str">
        <f t="shared" si="428"/>
        <v>1D  MİNİ MOONLIGHT  BAZA  150x200</v>
      </c>
      <c r="M4372" s="12">
        <v>0.5</v>
      </c>
      <c r="N4372" s="12">
        <v>0.5</v>
      </c>
      <c r="O4372" s="12">
        <v>18600</v>
      </c>
      <c r="P4372" s="12">
        <f t="shared" si="424"/>
        <v>9300</v>
      </c>
      <c r="Q4372" s="12">
        <f t="shared" si="429"/>
        <v>19530</v>
      </c>
      <c r="R4372" s="33">
        <f t="shared" si="425"/>
        <v>19500</v>
      </c>
      <c r="T4372" s="12"/>
      <c r="U4372" s="12">
        <v>12600</v>
      </c>
      <c r="V4372" s="12"/>
      <c r="W4372" s="12">
        <f t="shared" si="426"/>
        <v>23250</v>
      </c>
    </row>
    <row r="4373" spans="1:23" s="6" customFormat="1" ht="21.95" customHeight="1" x14ac:dyDescent="0.2">
      <c r="A4373" s="6" t="s">
        <v>943</v>
      </c>
      <c r="B4373" s="6" t="s">
        <v>1597</v>
      </c>
      <c r="C4373" s="6" t="s">
        <v>1406</v>
      </c>
      <c r="D4373" s="6" t="s">
        <v>989</v>
      </c>
      <c r="G4373" s="6">
        <v>160</v>
      </c>
      <c r="H4373" s="6">
        <v>200</v>
      </c>
      <c r="I4373" s="9"/>
      <c r="J4373" s="9"/>
      <c r="K4373" s="9">
        <v>44008827</v>
      </c>
      <c r="L4373" s="6" t="str">
        <f t="shared" si="428"/>
        <v>1D  MİNİ MOONLIGHT  BAZA  160x200</v>
      </c>
      <c r="M4373" s="12">
        <v>0.5</v>
      </c>
      <c r="N4373" s="12">
        <v>0.5</v>
      </c>
      <c r="O4373" s="12">
        <v>19800</v>
      </c>
      <c r="P4373" s="12">
        <f t="shared" si="424"/>
        <v>9900</v>
      </c>
      <c r="Q4373" s="12">
        <f t="shared" si="429"/>
        <v>20790</v>
      </c>
      <c r="R4373" s="33">
        <f t="shared" si="425"/>
        <v>20700</v>
      </c>
      <c r="T4373" s="12"/>
      <c r="U4373" s="12">
        <v>15100</v>
      </c>
      <c r="V4373" s="12"/>
      <c r="W4373" s="12">
        <f t="shared" si="426"/>
        <v>24750</v>
      </c>
    </row>
    <row r="4374" spans="1:23" s="6" customFormat="1" ht="21.95" customHeight="1" x14ac:dyDescent="0.2">
      <c r="A4374" s="6" t="s">
        <v>943</v>
      </c>
      <c r="B4374" s="6" t="s">
        <v>1597</v>
      </c>
      <c r="C4374" s="6" t="s">
        <v>1406</v>
      </c>
      <c r="D4374" s="6" t="s">
        <v>989</v>
      </c>
      <c r="G4374" s="6">
        <v>180</v>
      </c>
      <c r="H4374" s="6">
        <v>200</v>
      </c>
      <c r="I4374" s="9"/>
      <c r="J4374" s="9"/>
      <c r="K4374" s="9">
        <v>44008828</v>
      </c>
      <c r="L4374" s="6" t="str">
        <f t="shared" si="428"/>
        <v>1D  MİNİ MOONLIGHT  BAZA  180x200</v>
      </c>
      <c r="M4374" s="12">
        <v>0.5</v>
      </c>
      <c r="N4374" s="12">
        <v>0.5</v>
      </c>
      <c r="O4374" s="12">
        <v>22300</v>
      </c>
      <c r="P4374" s="12">
        <f t="shared" si="424"/>
        <v>11150</v>
      </c>
      <c r="Q4374" s="12">
        <f t="shared" si="429"/>
        <v>23415</v>
      </c>
      <c r="R4374" s="33">
        <f t="shared" si="425"/>
        <v>23400</v>
      </c>
      <c r="T4374" s="12"/>
      <c r="U4374" s="12">
        <v>17600</v>
      </c>
      <c r="V4374" s="12"/>
      <c r="W4374" s="12">
        <f t="shared" si="426"/>
        <v>27875</v>
      </c>
    </row>
    <row r="4375" spans="1:23" s="6" customFormat="1" ht="21.95" customHeight="1" x14ac:dyDescent="0.2">
      <c r="A4375" s="6" t="s">
        <v>943</v>
      </c>
      <c r="B4375" s="6" t="s">
        <v>1597</v>
      </c>
      <c r="C4375" s="6" t="s">
        <v>1406</v>
      </c>
      <c r="D4375" s="6" t="s">
        <v>1003</v>
      </c>
      <c r="G4375" s="6">
        <v>90</v>
      </c>
      <c r="H4375" s="6">
        <v>190</v>
      </c>
      <c r="I4375" s="9"/>
      <c r="J4375" s="9"/>
      <c r="K4375" s="9">
        <v>44008829</v>
      </c>
      <c r="L4375" s="6" t="str">
        <f t="shared" si="428"/>
        <v>1D  MİNİ MOONLIGHT  BAŞLIK  90x190</v>
      </c>
      <c r="M4375" s="12">
        <v>0.5</v>
      </c>
      <c r="N4375" s="12">
        <v>0.5</v>
      </c>
      <c r="O4375" s="12">
        <v>7400</v>
      </c>
      <c r="P4375" s="12">
        <f t="shared" si="424"/>
        <v>3700</v>
      </c>
      <c r="Q4375" s="12">
        <f t="shared" si="429"/>
        <v>7770</v>
      </c>
      <c r="R4375" s="33">
        <f t="shared" si="425"/>
        <v>7700</v>
      </c>
      <c r="T4375" s="12"/>
      <c r="U4375" s="12">
        <v>18800</v>
      </c>
      <c r="V4375" s="12"/>
      <c r="W4375" s="12">
        <f t="shared" si="426"/>
        <v>9250</v>
      </c>
    </row>
    <row r="4376" spans="1:23" s="6" customFormat="1" ht="21.95" customHeight="1" x14ac:dyDescent="0.2">
      <c r="A4376" s="6" t="s">
        <v>943</v>
      </c>
      <c r="B4376" s="6" t="s">
        <v>1597</v>
      </c>
      <c r="C4376" s="6" t="s">
        <v>1406</v>
      </c>
      <c r="D4376" s="6" t="s">
        <v>1003</v>
      </c>
      <c r="G4376" s="6">
        <v>90</v>
      </c>
      <c r="H4376" s="6">
        <v>200</v>
      </c>
      <c r="I4376" s="9"/>
      <c r="J4376" s="9"/>
      <c r="K4376" s="9">
        <v>44008830</v>
      </c>
      <c r="L4376" s="6" t="str">
        <f t="shared" si="428"/>
        <v>1D  MİNİ MOONLIGHT  BAŞLIK  90x200</v>
      </c>
      <c r="M4376" s="12">
        <v>0.5</v>
      </c>
      <c r="N4376" s="12">
        <v>0.5</v>
      </c>
      <c r="O4376" s="12">
        <v>7800</v>
      </c>
      <c r="P4376" s="12">
        <f t="shared" si="424"/>
        <v>3900</v>
      </c>
      <c r="Q4376" s="12">
        <f t="shared" si="429"/>
        <v>8190</v>
      </c>
      <c r="R4376" s="33">
        <f t="shared" si="425"/>
        <v>8100</v>
      </c>
      <c r="T4376" s="12"/>
      <c r="U4376" s="12">
        <v>20100</v>
      </c>
      <c r="V4376" s="12"/>
      <c r="W4376" s="12">
        <f t="shared" si="426"/>
        <v>9750</v>
      </c>
    </row>
    <row r="4377" spans="1:23" s="6" customFormat="1" ht="21.95" customHeight="1" x14ac:dyDescent="0.2">
      <c r="A4377" s="6" t="s">
        <v>943</v>
      </c>
      <c r="B4377" s="6" t="s">
        <v>1597</v>
      </c>
      <c r="C4377" s="6" t="s">
        <v>1406</v>
      </c>
      <c r="D4377" s="6" t="s">
        <v>1003</v>
      </c>
      <c r="G4377" s="6">
        <v>100</v>
      </c>
      <c r="H4377" s="6">
        <v>200</v>
      </c>
      <c r="I4377" s="9"/>
      <c r="J4377" s="9"/>
      <c r="K4377" s="9">
        <v>44008831</v>
      </c>
      <c r="L4377" s="6" t="str">
        <f t="shared" si="428"/>
        <v>1D  MİNİ MOONLIGHT  BAŞLIK  100x200</v>
      </c>
      <c r="M4377" s="12">
        <v>0.5</v>
      </c>
      <c r="N4377" s="12">
        <v>0.5</v>
      </c>
      <c r="O4377" s="12">
        <v>8700</v>
      </c>
      <c r="P4377" s="12">
        <f t="shared" si="424"/>
        <v>4350</v>
      </c>
      <c r="Q4377" s="12">
        <f t="shared" si="429"/>
        <v>9135</v>
      </c>
      <c r="R4377" s="33">
        <f t="shared" si="425"/>
        <v>9100</v>
      </c>
      <c r="T4377" s="12"/>
      <c r="U4377" s="12">
        <v>22600</v>
      </c>
      <c r="V4377" s="12"/>
      <c r="W4377" s="12">
        <f t="shared" si="426"/>
        <v>10875</v>
      </c>
    </row>
    <row r="4378" spans="1:23" s="6" customFormat="1" ht="21.95" customHeight="1" x14ac:dyDescent="0.2">
      <c r="A4378" s="6" t="s">
        <v>943</v>
      </c>
      <c r="B4378" s="6" t="s">
        <v>1597</v>
      </c>
      <c r="C4378" s="6" t="s">
        <v>1406</v>
      </c>
      <c r="D4378" s="6" t="s">
        <v>1003</v>
      </c>
      <c r="G4378" s="6">
        <v>120</v>
      </c>
      <c r="H4378" s="6">
        <v>200</v>
      </c>
      <c r="I4378" s="9"/>
      <c r="J4378" s="9"/>
      <c r="K4378" s="9">
        <v>44008832</v>
      </c>
      <c r="L4378" s="6" t="str">
        <f t="shared" si="428"/>
        <v>1D  MİNİ MOONLIGHT  BAŞLIK  120x200</v>
      </c>
      <c r="M4378" s="12">
        <v>0.5</v>
      </c>
      <c r="N4378" s="12">
        <v>0.5</v>
      </c>
      <c r="O4378" s="12">
        <v>10400</v>
      </c>
      <c r="P4378" s="12">
        <f t="shared" si="424"/>
        <v>5200</v>
      </c>
      <c r="Q4378" s="12">
        <f t="shared" si="429"/>
        <v>10920</v>
      </c>
      <c r="R4378" s="33">
        <f t="shared" si="425"/>
        <v>10900</v>
      </c>
      <c r="T4378" s="12"/>
      <c r="U4378" s="12">
        <v>4900</v>
      </c>
      <c r="V4378" s="12"/>
      <c r="W4378" s="12">
        <f t="shared" si="426"/>
        <v>13000</v>
      </c>
    </row>
    <row r="4379" spans="1:23" s="6" customFormat="1" ht="21.95" customHeight="1" x14ac:dyDescent="0.2">
      <c r="A4379" s="6" t="s">
        <v>943</v>
      </c>
      <c r="B4379" s="6" t="s">
        <v>1597</v>
      </c>
      <c r="C4379" s="6" t="s">
        <v>1406</v>
      </c>
      <c r="D4379" s="6" t="s">
        <v>1003</v>
      </c>
      <c r="G4379" s="6">
        <v>140</v>
      </c>
      <c r="H4379" s="6">
        <v>200</v>
      </c>
      <c r="I4379" s="9"/>
      <c r="J4379" s="9"/>
      <c r="K4379" s="9">
        <v>44008833</v>
      </c>
      <c r="L4379" s="6" t="str">
        <f t="shared" si="428"/>
        <v>1D  MİNİ MOONLIGHT  BAŞLIK  140x200</v>
      </c>
      <c r="M4379" s="12">
        <v>0.5</v>
      </c>
      <c r="N4379" s="12">
        <v>0.5</v>
      </c>
      <c r="O4379" s="12">
        <v>12200</v>
      </c>
      <c r="P4379" s="12">
        <f t="shared" si="424"/>
        <v>6100</v>
      </c>
      <c r="Q4379" s="12">
        <f t="shared" si="429"/>
        <v>12810</v>
      </c>
      <c r="R4379" s="33">
        <f t="shared" si="425"/>
        <v>12800</v>
      </c>
      <c r="T4379" s="12"/>
      <c r="U4379" s="12">
        <v>4900</v>
      </c>
      <c r="V4379" s="12"/>
      <c r="W4379" s="12">
        <f t="shared" si="426"/>
        <v>15250</v>
      </c>
    </row>
    <row r="4380" spans="1:23" s="6" customFormat="1" ht="21.95" customHeight="1" x14ac:dyDescent="0.2">
      <c r="A4380" s="6" t="s">
        <v>943</v>
      </c>
      <c r="B4380" s="6" t="s">
        <v>1597</v>
      </c>
      <c r="C4380" s="6" t="s">
        <v>1406</v>
      </c>
      <c r="D4380" s="6" t="s">
        <v>1003</v>
      </c>
      <c r="G4380" s="6">
        <v>150</v>
      </c>
      <c r="H4380" s="6">
        <v>200</v>
      </c>
      <c r="I4380" s="9"/>
      <c r="J4380" s="9"/>
      <c r="K4380" s="9">
        <v>44008834</v>
      </c>
      <c r="L4380" s="6" t="str">
        <f t="shared" si="428"/>
        <v>1D  MİNİ MOONLIGHT  BAŞLIK  150x200</v>
      </c>
      <c r="M4380" s="12">
        <v>0.5</v>
      </c>
      <c r="N4380" s="12">
        <v>0.5</v>
      </c>
      <c r="O4380" s="12">
        <v>13000</v>
      </c>
      <c r="P4380" s="12">
        <f t="shared" si="424"/>
        <v>6500</v>
      </c>
      <c r="Q4380" s="12">
        <f t="shared" si="429"/>
        <v>13650</v>
      </c>
      <c r="R4380" s="33">
        <f t="shared" si="425"/>
        <v>13600</v>
      </c>
      <c r="T4380" s="12"/>
      <c r="U4380" s="12">
        <v>4900</v>
      </c>
      <c r="V4380" s="12"/>
      <c r="W4380" s="12">
        <f t="shared" si="426"/>
        <v>16250</v>
      </c>
    </row>
    <row r="4381" spans="1:23" s="6" customFormat="1" ht="21.95" customHeight="1" x14ac:dyDescent="0.2">
      <c r="A4381" s="6" t="s">
        <v>943</v>
      </c>
      <c r="B4381" s="6" t="s">
        <v>1597</v>
      </c>
      <c r="C4381" s="6" t="s">
        <v>1406</v>
      </c>
      <c r="D4381" s="6" t="s">
        <v>1003</v>
      </c>
      <c r="G4381" s="6">
        <v>160</v>
      </c>
      <c r="H4381" s="6">
        <v>200</v>
      </c>
      <c r="I4381" s="9"/>
      <c r="J4381" s="9"/>
      <c r="K4381" s="9">
        <v>44008835</v>
      </c>
      <c r="L4381" s="6" t="str">
        <f t="shared" si="428"/>
        <v>1D  MİNİ MOONLIGHT  BAŞLIK  160x200</v>
      </c>
      <c r="M4381" s="12">
        <v>0.5</v>
      </c>
      <c r="N4381" s="12">
        <v>0.5</v>
      </c>
      <c r="O4381" s="12">
        <v>13900</v>
      </c>
      <c r="P4381" s="12">
        <f t="shared" si="424"/>
        <v>6950</v>
      </c>
      <c r="Q4381" s="12">
        <f t="shared" si="429"/>
        <v>14595</v>
      </c>
      <c r="R4381" s="33">
        <f t="shared" si="425"/>
        <v>14500</v>
      </c>
      <c r="T4381" s="12"/>
      <c r="U4381" s="12">
        <v>5900</v>
      </c>
      <c r="V4381" s="12"/>
      <c r="W4381" s="12">
        <f t="shared" si="426"/>
        <v>17375</v>
      </c>
    </row>
    <row r="4382" spans="1:23" s="6" customFormat="1" ht="21.95" customHeight="1" x14ac:dyDescent="0.2">
      <c r="A4382" s="6" t="s">
        <v>943</v>
      </c>
      <c r="B4382" s="6" t="s">
        <v>1597</v>
      </c>
      <c r="C4382" s="6" t="s">
        <v>1406</v>
      </c>
      <c r="D4382" s="6" t="s">
        <v>1003</v>
      </c>
      <c r="G4382" s="6">
        <v>180</v>
      </c>
      <c r="H4382" s="6">
        <v>200</v>
      </c>
      <c r="I4382" s="9"/>
      <c r="J4382" s="9"/>
      <c r="K4382" s="9">
        <v>44008836</v>
      </c>
      <c r="L4382" s="6" t="str">
        <f t="shared" si="428"/>
        <v>1D  MİNİ MOONLIGHT  BAŞLIK  180x200</v>
      </c>
      <c r="M4382" s="12">
        <v>0.5</v>
      </c>
      <c r="N4382" s="12">
        <v>0.5</v>
      </c>
      <c r="O4382" s="12">
        <v>15600</v>
      </c>
      <c r="P4382" s="12">
        <f t="shared" si="424"/>
        <v>7800</v>
      </c>
      <c r="Q4382" s="12">
        <f t="shared" si="429"/>
        <v>16380</v>
      </c>
      <c r="R4382" s="33">
        <f t="shared" si="425"/>
        <v>16300</v>
      </c>
      <c r="T4382" s="12"/>
      <c r="U4382" s="12">
        <v>6900</v>
      </c>
      <c r="V4382" s="12"/>
      <c r="W4382" s="12">
        <f t="shared" si="426"/>
        <v>19500</v>
      </c>
    </row>
    <row r="4383" spans="1:23" s="6" customFormat="1" ht="21.95" customHeight="1" x14ac:dyDescent="0.2">
      <c r="A4383" s="6" t="s">
        <v>943</v>
      </c>
      <c r="B4383" s="6" t="s">
        <v>1597</v>
      </c>
      <c r="C4383" s="6" t="s">
        <v>1406</v>
      </c>
      <c r="D4383" s="6" t="s">
        <v>943</v>
      </c>
      <c r="G4383" s="6">
        <v>90</v>
      </c>
      <c r="H4383" s="6">
        <v>190</v>
      </c>
      <c r="I4383" s="9"/>
      <c r="J4383" s="9"/>
      <c r="K4383" s="9">
        <v>44008837</v>
      </c>
      <c r="L4383" s="6" t="str">
        <f t="shared" si="428"/>
        <v>1D  MİNİ MOONLIGHT  YATAK  90x190</v>
      </c>
      <c r="M4383" s="12">
        <v>0.5</v>
      </c>
      <c r="N4383" s="12">
        <v>0.5</v>
      </c>
      <c r="O4383" s="12">
        <v>10200</v>
      </c>
      <c r="P4383" s="12">
        <f t="shared" si="424"/>
        <v>5100</v>
      </c>
      <c r="Q4383" s="12">
        <f t="shared" si="429"/>
        <v>10710</v>
      </c>
      <c r="R4383" s="33">
        <f t="shared" si="425"/>
        <v>10700</v>
      </c>
      <c r="T4383" s="12"/>
      <c r="U4383" s="12">
        <v>7400</v>
      </c>
      <c r="V4383" s="12"/>
      <c r="W4383" s="12">
        <f t="shared" si="426"/>
        <v>12750</v>
      </c>
    </row>
    <row r="4384" spans="1:23" s="6" customFormat="1" ht="21.95" customHeight="1" x14ac:dyDescent="0.2">
      <c r="A4384" s="6" t="s">
        <v>943</v>
      </c>
      <c r="B4384" s="6" t="s">
        <v>1597</v>
      </c>
      <c r="C4384" s="6" t="s">
        <v>1406</v>
      </c>
      <c r="D4384" s="6" t="s">
        <v>943</v>
      </c>
      <c r="G4384" s="6">
        <v>90</v>
      </c>
      <c r="H4384" s="6">
        <v>200</v>
      </c>
      <c r="I4384" s="9"/>
      <c r="J4384" s="9"/>
      <c r="K4384" s="9">
        <v>44008838</v>
      </c>
      <c r="L4384" s="6" t="str">
        <f t="shared" si="428"/>
        <v>1D  MİNİ MOONLIGHT  YATAK  90x200</v>
      </c>
      <c r="M4384" s="12">
        <v>0.5</v>
      </c>
      <c r="N4384" s="12">
        <v>0.5</v>
      </c>
      <c r="O4384" s="12">
        <v>10700</v>
      </c>
      <c r="P4384" s="12">
        <f t="shared" si="424"/>
        <v>5350</v>
      </c>
      <c r="Q4384" s="12">
        <f t="shared" si="429"/>
        <v>11235</v>
      </c>
      <c r="R4384" s="33">
        <f t="shared" si="425"/>
        <v>11200</v>
      </c>
      <c r="T4384" s="12"/>
      <c r="U4384" s="12">
        <v>7900</v>
      </c>
      <c r="V4384" s="12"/>
      <c r="W4384" s="12">
        <f t="shared" si="426"/>
        <v>13375</v>
      </c>
    </row>
    <row r="4385" spans="1:23" s="6" customFormat="1" ht="21.95" customHeight="1" x14ac:dyDescent="0.2">
      <c r="A4385" s="6" t="s">
        <v>943</v>
      </c>
      <c r="B4385" s="6" t="s">
        <v>1597</v>
      </c>
      <c r="C4385" s="6" t="s">
        <v>1406</v>
      </c>
      <c r="D4385" s="6" t="s">
        <v>943</v>
      </c>
      <c r="G4385" s="6">
        <v>100</v>
      </c>
      <c r="H4385" s="6">
        <v>200</v>
      </c>
      <c r="I4385" s="9"/>
      <c r="J4385" s="9"/>
      <c r="K4385" s="9">
        <v>44008839</v>
      </c>
      <c r="L4385" s="6" t="str">
        <f t="shared" si="428"/>
        <v>1D  MİNİ MOONLIGHT  YATAK  100x200</v>
      </c>
      <c r="M4385" s="12">
        <v>0.5</v>
      </c>
      <c r="N4385" s="12">
        <v>0.5</v>
      </c>
      <c r="O4385" s="12">
        <v>11900</v>
      </c>
      <c r="P4385" s="12">
        <f t="shared" si="424"/>
        <v>5950</v>
      </c>
      <c r="Q4385" s="12">
        <f t="shared" si="429"/>
        <v>12495</v>
      </c>
      <c r="R4385" s="33">
        <f t="shared" si="425"/>
        <v>12400</v>
      </c>
      <c r="T4385" s="12"/>
      <c r="U4385" s="12">
        <v>8900</v>
      </c>
      <c r="V4385" s="12"/>
      <c r="W4385" s="12">
        <f t="shared" si="426"/>
        <v>14875</v>
      </c>
    </row>
    <row r="4386" spans="1:23" s="6" customFormat="1" ht="21.95" customHeight="1" x14ac:dyDescent="0.2">
      <c r="A4386" s="6" t="s">
        <v>943</v>
      </c>
      <c r="B4386" s="6" t="s">
        <v>1597</v>
      </c>
      <c r="C4386" s="6" t="s">
        <v>1406</v>
      </c>
      <c r="D4386" s="6" t="s">
        <v>943</v>
      </c>
      <c r="G4386" s="6">
        <v>120</v>
      </c>
      <c r="H4386" s="6">
        <v>200</v>
      </c>
      <c r="I4386" s="9"/>
      <c r="J4386" s="9"/>
      <c r="K4386" s="9">
        <v>44008840</v>
      </c>
      <c r="L4386" s="6" t="str">
        <f t="shared" si="428"/>
        <v>1D  MİNİ MOONLIGHT  YATAK  120x200</v>
      </c>
      <c r="M4386" s="12">
        <v>0.5</v>
      </c>
      <c r="N4386" s="12">
        <v>0.5</v>
      </c>
      <c r="O4386" s="12">
        <v>14300</v>
      </c>
      <c r="P4386" s="12">
        <f t="shared" si="424"/>
        <v>7150</v>
      </c>
      <c r="Q4386" s="12">
        <f t="shared" si="429"/>
        <v>15015</v>
      </c>
      <c r="R4386" s="33">
        <f t="shared" si="425"/>
        <v>15000</v>
      </c>
      <c r="T4386" s="12"/>
      <c r="U4386" s="12">
        <v>10000</v>
      </c>
      <c r="V4386" s="12"/>
      <c r="W4386" s="12">
        <f t="shared" si="426"/>
        <v>17875</v>
      </c>
    </row>
    <row r="4387" spans="1:23" s="6" customFormat="1" ht="21.95" customHeight="1" x14ac:dyDescent="0.2">
      <c r="A4387" s="6" t="s">
        <v>943</v>
      </c>
      <c r="B4387" s="6" t="s">
        <v>1597</v>
      </c>
      <c r="C4387" s="6" t="s">
        <v>1406</v>
      </c>
      <c r="D4387" s="6" t="s">
        <v>943</v>
      </c>
      <c r="G4387" s="6">
        <v>140</v>
      </c>
      <c r="H4387" s="6">
        <v>200</v>
      </c>
      <c r="I4387" s="9"/>
      <c r="J4387" s="9"/>
      <c r="K4387" s="9">
        <v>44008841</v>
      </c>
      <c r="L4387" s="6" t="str">
        <f t="shared" si="428"/>
        <v>1D  MİNİ MOONLIGHT  YATAK  140x200</v>
      </c>
      <c r="M4387" s="12">
        <v>0.5</v>
      </c>
      <c r="N4387" s="12">
        <v>0.5</v>
      </c>
      <c r="O4387" s="12">
        <v>16700</v>
      </c>
      <c r="P4387" s="12">
        <f t="shared" si="424"/>
        <v>8350</v>
      </c>
      <c r="Q4387" s="12">
        <f t="shared" si="429"/>
        <v>17535</v>
      </c>
      <c r="R4387" s="33">
        <f t="shared" si="425"/>
        <v>17500</v>
      </c>
      <c r="T4387" s="12"/>
      <c r="U4387" s="12">
        <v>10500</v>
      </c>
      <c r="V4387" s="12"/>
      <c r="W4387" s="12">
        <f t="shared" si="426"/>
        <v>20875</v>
      </c>
    </row>
    <row r="4388" spans="1:23" s="6" customFormat="1" ht="21.95" customHeight="1" x14ac:dyDescent="0.2">
      <c r="A4388" s="6" t="s">
        <v>943</v>
      </c>
      <c r="B4388" s="6" t="s">
        <v>1597</v>
      </c>
      <c r="C4388" s="6" t="s">
        <v>1406</v>
      </c>
      <c r="D4388" s="6" t="s">
        <v>943</v>
      </c>
      <c r="G4388" s="6">
        <v>150</v>
      </c>
      <c r="H4388" s="6">
        <v>200</v>
      </c>
      <c r="I4388" s="9"/>
      <c r="J4388" s="9"/>
      <c r="K4388" s="9">
        <v>44008842</v>
      </c>
      <c r="L4388" s="6" t="str">
        <f t="shared" si="428"/>
        <v>1D  MİNİ MOONLIGHT  YATAK  150x200</v>
      </c>
      <c r="M4388" s="12">
        <v>0.5</v>
      </c>
      <c r="N4388" s="12">
        <v>0.5</v>
      </c>
      <c r="O4388" s="12">
        <v>17900</v>
      </c>
      <c r="P4388" s="12">
        <f t="shared" si="424"/>
        <v>8950</v>
      </c>
      <c r="Q4388" s="12">
        <f t="shared" si="429"/>
        <v>18795</v>
      </c>
      <c r="R4388" s="33">
        <f t="shared" si="425"/>
        <v>18700</v>
      </c>
      <c r="T4388" s="12"/>
      <c r="U4388" s="12">
        <v>10600</v>
      </c>
      <c r="V4388" s="12"/>
      <c r="W4388" s="12">
        <f t="shared" si="426"/>
        <v>22375</v>
      </c>
    </row>
    <row r="4389" spans="1:23" s="6" customFormat="1" ht="21.95" customHeight="1" x14ac:dyDescent="0.2">
      <c r="A4389" s="6" t="s">
        <v>943</v>
      </c>
      <c r="B4389" s="6" t="s">
        <v>1597</v>
      </c>
      <c r="C4389" s="6" t="s">
        <v>1406</v>
      </c>
      <c r="D4389" s="6" t="s">
        <v>943</v>
      </c>
      <c r="G4389" s="6">
        <v>160</v>
      </c>
      <c r="H4389" s="6">
        <v>200</v>
      </c>
      <c r="I4389" s="9"/>
      <c r="J4389" s="9"/>
      <c r="K4389" s="9">
        <v>44008843</v>
      </c>
      <c r="L4389" s="6" t="str">
        <f t="shared" si="428"/>
        <v>1D  MİNİ MOONLIGHT  YATAK  160x200</v>
      </c>
      <c r="M4389" s="12">
        <v>0.5</v>
      </c>
      <c r="N4389" s="12">
        <v>0.5</v>
      </c>
      <c r="O4389" s="12">
        <v>19100</v>
      </c>
      <c r="P4389" s="12">
        <f t="shared" si="424"/>
        <v>9550</v>
      </c>
      <c r="Q4389" s="12">
        <f t="shared" si="429"/>
        <v>20055</v>
      </c>
      <c r="R4389" s="33">
        <f t="shared" si="425"/>
        <v>20000</v>
      </c>
      <c r="T4389" s="12"/>
      <c r="U4389" s="12">
        <v>12800</v>
      </c>
      <c r="V4389" s="12"/>
      <c r="W4389" s="12">
        <f t="shared" si="426"/>
        <v>23875</v>
      </c>
    </row>
    <row r="4390" spans="1:23" s="6" customFormat="1" ht="21.95" customHeight="1" x14ac:dyDescent="0.2">
      <c r="A4390" s="6" t="s">
        <v>943</v>
      </c>
      <c r="B4390" s="6" t="s">
        <v>1597</v>
      </c>
      <c r="C4390" s="6" t="s">
        <v>1406</v>
      </c>
      <c r="D4390" s="6" t="s">
        <v>943</v>
      </c>
      <c r="G4390" s="6">
        <v>180</v>
      </c>
      <c r="H4390" s="6">
        <v>200</v>
      </c>
      <c r="I4390" s="9"/>
      <c r="J4390" s="9"/>
      <c r="K4390" s="9">
        <v>44008844</v>
      </c>
      <c r="L4390" s="6" t="str">
        <f t="shared" si="428"/>
        <v>1D  MİNİ MOONLIGHT  YATAK  180x200</v>
      </c>
      <c r="M4390" s="12">
        <v>0.5</v>
      </c>
      <c r="N4390" s="12">
        <v>0.5</v>
      </c>
      <c r="O4390" s="12">
        <v>21500</v>
      </c>
      <c r="P4390" s="12">
        <f t="shared" si="424"/>
        <v>10750</v>
      </c>
      <c r="Q4390" s="12">
        <f t="shared" si="429"/>
        <v>22575</v>
      </c>
      <c r="R4390" s="33">
        <f t="shared" si="425"/>
        <v>22500</v>
      </c>
      <c r="T4390" s="12"/>
      <c r="U4390" s="12">
        <v>14900</v>
      </c>
      <c r="V4390" s="12"/>
      <c r="W4390" s="12">
        <f t="shared" si="426"/>
        <v>26875</v>
      </c>
    </row>
    <row r="4391" spans="1:23" s="6" customFormat="1" ht="21.95" customHeight="1" x14ac:dyDescent="0.2">
      <c r="A4391" s="6" t="s">
        <v>943</v>
      </c>
      <c r="B4391" s="6" t="s">
        <v>1597</v>
      </c>
      <c r="C4391" s="6" t="s">
        <v>1406</v>
      </c>
      <c r="D4391" s="6" t="s">
        <v>1380</v>
      </c>
      <c r="I4391" s="9"/>
      <c r="J4391" s="9"/>
      <c r="K4391" s="9">
        <v>44008845</v>
      </c>
      <c r="L4391" s="6" t="str">
        <f>B4391&amp;" "&amp;C4391&amp;" "&amp;D4391</f>
        <v>1D  MİNİ MOONLIGHT  KOMODİN (2 ADET)</v>
      </c>
      <c r="M4391" s="12">
        <v>0.5</v>
      </c>
      <c r="N4391" s="12">
        <v>0.5</v>
      </c>
      <c r="O4391" s="12">
        <v>13200</v>
      </c>
      <c r="P4391" s="12">
        <f t="shared" si="424"/>
        <v>6600</v>
      </c>
      <c r="Q4391" s="12">
        <f t="shared" si="429"/>
        <v>13860</v>
      </c>
      <c r="R4391" s="33">
        <f t="shared" si="425"/>
        <v>13800</v>
      </c>
      <c r="T4391" s="12"/>
      <c r="U4391" s="12">
        <v>15900</v>
      </c>
      <c r="V4391" s="12"/>
      <c r="W4391" s="12">
        <f t="shared" si="426"/>
        <v>16500</v>
      </c>
    </row>
    <row r="4392" spans="1:23" s="6" customFormat="1" ht="21.95" customHeight="1" x14ac:dyDescent="0.2">
      <c r="A4392" s="6" t="s">
        <v>943</v>
      </c>
      <c r="B4392" s="6" t="s">
        <v>1597</v>
      </c>
      <c r="C4392" s="6" t="s">
        <v>1407</v>
      </c>
      <c r="D4392" s="6" t="s">
        <v>989</v>
      </c>
      <c r="G4392" s="6">
        <v>90</v>
      </c>
      <c r="H4392" s="6">
        <v>190</v>
      </c>
      <c r="I4392" s="9"/>
      <c r="J4392" s="9"/>
      <c r="K4392" s="9">
        <v>44008846</v>
      </c>
      <c r="L4392" s="6" t="str">
        <f t="shared" ref="L4392:L4415" si="430">B4392&amp;" "&amp;C4392&amp;" "&amp;D4392&amp;" "&amp;G4392&amp;"x"&amp;H4392</f>
        <v>1D  MOON  BAZA  90x190</v>
      </c>
      <c r="M4392" s="12">
        <v>0.5</v>
      </c>
      <c r="N4392" s="12">
        <v>0.5</v>
      </c>
      <c r="O4392" s="12">
        <v>9900</v>
      </c>
      <c r="P4392" s="12">
        <f t="shared" si="424"/>
        <v>4950</v>
      </c>
      <c r="Q4392" s="12">
        <f t="shared" si="429"/>
        <v>10395</v>
      </c>
      <c r="R4392" s="33">
        <f t="shared" si="425"/>
        <v>10300</v>
      </c>
      <c r="T4392" s="12"/>
      <c r="U4392" s="12">
        <v>17000</v>
      </c>
      <c r="V4392" s="12"/>
      <c r="W4392" s="12">
        <f t="shared" si="426"/>
        <v>12375</v>
      </c>
    </row>
    <row r="4393" spans="1:23" s="6" customFormat="1" ht="21.95" customHeight="1" x14ac:dyDescent="0.2">
      <c r="A4393" s="6" t="s">
        <v>943</v>
      </c>
      <c r="B4393" s="6" t="s">
        <v>1597</v>
      </c>
      <c r="C4393" s="6" t="s">
        <v>1407</v>
      </c>
      <c r="D4393" s="6" t="s">
        <v>989</v>
      </c>
      <c r="G4393" s="6">
        <v>90</v>
      </c>
      <c r="H4393" s="6">
        <v>200</v>
      </c>
      <c r="I4393" s="9"/>
      <c r="J4393" s="9"/>
      <c r="K4393" s="9">
        <v>44008847</v>
      </c>
      <c r="L4393" s="6" t="str">
        <f t="shared" si="430"/>
        <v>1D  MOON  BAZA  90x200</v>
      </c>
      <c r="M4393" s="12">
        <v>0.5</v>
      </c>
      <c r="N4393" s="12">
        <v>0.5</v>
      </c>
      <c r="O4393" s="12">
        <v>10400</v>
      </c>
      <c r="P4393" s="12">
        <f t="shared" si="424"/>
        <v>5200</v>
      </c>
      <c r="Q4393" s="12">
        <f t="shared" si="429"/>
        <v>10920</v>
      </c>
      <c r="R4393" s="33">
        <f t="shared" si="425"/>
        <v>10900</v>
      </c>
      <c r="T4393" s="12"/>
      <c r="U4393" s="12">
        <v>19100</v>
      </c>
      <c r="V4393" s="12"/>
      <c r="W4393" s="12">
        <f t="shared" si="426"/>
        <v>13000</v>
      </c>
    </row>
    <row r="4394" spans="1:23" s="6" customFormat="1" ht="21.95" customHeight="1" x14ac:dyDescent="0.2">
      <c r="A4394" s="6" t="s">
        <v>943</v>
      </c>
      <c r="B4394" s="6" t="s">
        <v>1597</v>
      </c>
      <c r="C4394" s="6" t="s">
        <v>1407</v>
      </c>
      <c r="D4394" s="6" t="s">
        <v>989</v>
      </c>
      <c r="G4394" s="6">
        <v>100</v>
      </c>
      <c r="H4394" s="6">
        <v>200</v>
      </c>
      <c r="I4394" s="9"/>
      <c r="J4394" s="9"/>
      <c r="K4394" s="9">
        <v>44008848</v>
      </c>
      <c r="L4394" s="6" t="str">
        <f t="shared" si="430"/>
        <v>1D  MOON  BAZA  100x200</v>
      </c>
      <c r="M4394" s="12">
        <v>0.5</v>
      </c>
      <c r="N4394" s="12">
        <v>0.5</v>
      </c>
      <c r="O4394" s="12">
        <v>11600</v>
      </c>
      <c r="P4394" s="12">
        <f t="shared" si="424"/>
        <v>5800</v>
      </c>
      <c r="Q4394" s="12">
        <f t="shared" si="429"/>
        <v>12180</v>
      </c>
      <c r="R4394" s="33">
        <f t="shared" si="425"/>
        <v>12100</v>
      </c>
      <c r="T4394" s="12"/>
      <c r="U4394" s="12">
        <v>15800</v>
      </c>
      <c r="V4394" s="12"/>
      <c r="W4394" s="12">
        <f t="shared" si="426"/>
        <v>14500</v>
      </c>
    </row>
    <row r="4395" spans="1:23" s="6" customFormat="1" ht="21.95" customHeight="1" x14ac:dyDescent="0.2">
      <c r="A4395" s="6" t="s">
        <v>943</v>
      </c>
      <c r="B4395" s="6" t="s">
        <v>1597</v>
      </c>
      <c r="C4395" s="6" t="s">
        <v>1407</v>
      </c>
      <c r="D4395" s="6" t="s">
        <v>989</v>
      </c>
      <c r="G4395" s="6">
        <v>120</v>
      </c>
      <c r="H4395" s="6">
        <v>200</v>
      </c>
      <c r="I4395" s="9"/>
      <c r="J4395" s="9"/>
      <c r="K4395" s="9">
        <v>44008849</v>
      </c>
      <c r="L4395" s="6" t="str">
        <f t="shared" si="430"/>
        <v>1D  MOON  BAZA  120x200</v>
      </c>
      <c r="M4395" s="12">
        <v>0.5</v>
      </c>
      <c r="N4395" s="12">
        <v>0.5</v>
      </c>
      <c r="O4395" s="12">
        <v>13900</v>
      </c>
      <c r="P4395" s="12">
        <f t="shared" si="424"/>
        <v>6950</v>
      </c>
      <c r="Q4395" s="12">
        <f t="shared" si="429"/>
        <v>14595</v>
      </c>
      <c r="R4395" s="33">
        <f t="shared" si="425"/>
        <v>14500</v>
      </c>
      <c r="T4395" s="12"/>
      <c r="U4395" s="12">
        <v>11500</v>
      </c>
      <c r="V4395" s="12"/>
      <c r="W4395" s="12">
        <f t="shared" ref="W4395:W4451" si="431">P4395*2.5</f>
        <v>17375</v>
      </c>
    </row>
    <row r="4396" spans="1:23" s="6" customFormat="1" ht="21.95" customHeight="1" x14ac:dyDescent="0.2">
      <c r="A4396" s="6" t="s">
        <v>943</v>
      </c>
      <c r="B4396" s="6" t="s">
        <v>1597</v>
      </c>
      <c r="C4396" s="6" t="s">
        <v>1407</v>
      </c>
      <c r="D4396" s="6" t="s">
        <v>989</v>
      </c>
      <c r="G4396" s="6">
        <v>140</v>
      </c>
      <c r="H4396" s="6">
        <v>200</v>
      </c>
      <c r="I4396" s="9"/>
      <c r="J4396" s="9"/>
      <c r="K4396" s="9">
        <v>44008850</v>
      </c>
      <c r="L4396" s="6" t="str">
        <f t="shared" si="430"/>
        <v>1D  MOON  BAZA  140x200</v>
      </c>
      <c r="M4396" s="12">
        <v>0.5</v>
      </c>
      <c r="N4396" s="12">
        <v>0.5</v>
      </c>
      <c r="O4396" s="12">
        <v>16200</v>
      </c>
      <c r="P4396" s="12">
        <f t="shared" si="424"/>
        <v>8100</v>
      </c>
      <c r="Q4396" s="12">
        <f t="shared" si="429"/>
        <v>17010</v>
      </c>
      <c r="R4396" s="33">
        <f t="shared" si="425"/>
        <v>17000</v>
      </c>
      <c r="T4396" s="12"/>
      <c r="U4396" s="12">
        <v>12100</v>
      </c>
      <c r="V4396" s="12"/>
      <c r="W4396" s="12">
        <f t="shared" si="431"/>
        <v>20250</v>
      </c>
    </row>
    <row r="4397" spans="1:23" s="6" customFormat="1" ht="21.95" customHeight="1" x14ac:dyDescent="0.2">
      <c r="A4397" s="6" t="s">
        <v>943</v>
      </c>
      <c r="B4397" s="6" t="s">
        <v>1597</v>
      </c>
      <c r="C4397" s="6" t="s">
        <v>1407</v>
      </c>
      <c r="D4397" s="6" t="s">
        <v>989</v>
      </c>
      <c r="G4397" s="6">
        <v>150</v>
      </c>
      <c r="H4397" s="6">
        <v>200</v>
      </c>
      <c r="I4397" s="9"/>
      <c r="J4397" s="9"/>
      <c r="K4397" s="9">
        <v>44008851</v>
      </c>
      <c r="L4397" s="6" t="str">
        <f t="shared" si="430"/>
        <v>1D  MOON  BAZA  150x200</v>
      </c>
      <c r="M4397" s="12">
        <v>0.5</v>
      </c>
      <c r="N4397" s="12">
        <v>0.5</v>
      </c>
      <c r="O4397" s="12">
        <v>17300</v>
      </c>
      <c r="P4397" s="12">
        <f t="shared" ref="P4397:P4460" si="432">O4397*(1-N4397)</f>
        <v>8650</v>
      </c>
      <c r="Q4397" s="12">
        <f t="shared" si="429"/>
        <v>18165</v>
      </c>
      <c r="R4397" s="33">
        <f t="shared" ref="R4397:R4460" si="433">ROUNDDOWN(Q4397,-2)</f>
        <v>18100</v>
      </c>
      <c r="T4397" s="12"/>
      <c r="U4397" s="12">
        <v>12300</v>
      </c>
      <c r="V4397" s="12"/>
      <c r="W4397" s="12">
        <f t="shared" si="431"/>
        <v>21625</v>
      </c>
    </row>
    <row r="4398" spans="1:23" s="6" customFormat="1" ht="21.95" customHeight="1" x14ac:dyDescent="0.2">
      <c r="A4398" s="6" t="s">
        <v>943</v>
      </c>
      <c r="B4398" s="6" t="s">
        <v>1597</v>
      </c>
      <c r="C4398" s="6" t="s">
        <v>1407</v>
      </c>
      <c r="D4398" s="6" t="s">
        <v>989</v>
      </c>
      <c r="G4398" s="6">
        <v>160</v>
      </c>
      <c r="H4398" s="6">
        <v>200</v>
      </c>
      <c r="I4398" s="9"/>
      <c r="J4398" s="9"/>
      <c r="K4398" s="9">
        <v>44008852</v>
      </c>
      <c r="L4398" s="6" t="str">
        <f t="shared" si="430"/>
        <v>1D  MOON  BAZA  160x200</v>
      </c>
      <c r="M4398" s="12">
        <v>0.5</v>
      </c>
      <c r="N4398" s="12">
        <v>0.5</v>
      </c>
      <c r="O4398" s="12">
        <v>18500</v>
      </c>
      <c r="P4398" s="12">
        <f t="shared" si="432"/>
        <v>9250</v>
      </c>
      <c r="Q4398" s="12">
        <f t="shared" si="429"/>
        <v>19425</v>
      </c>
      <c r="R4398" s="33">
        <f t="shared" si="433"/>
        <v>19400</v>
      </c>
      <c r="T4398" s="12"/>
      <c r="U4398" s="12">
        <v>14700</v>
      </c>
      <c r="V4398" s="12"/>
      <c r="W4398" s="12">
        <f t="shared" si="431"/>
        <v>23125</v>
      </c>
    </row>
    <row r="4399" spans="1:23" s="6" customFormat="1" ht="21.95" customHeight="1" x14ac:dyDescent="0.2">
      <c r="A4399" s="6" t="s">
        <v>943</v>
      </c>
      <c r="B4399" s="6" t="s">
        <v>1597</v>
      </c>
      <c r="C4399" s="6" t="s">
        <v>1407</v>
      </c>
      <c r="D4399" s="6" t="s">
        <v>989</v>
      </c>
      <c r="G4399" s="6">
        <v>180</v>
      </c>
      <c r="H4399" s="6">
        <v>200</v>
      </c>
      <c r="I4399" s="9"/>
      <c r="J4399" s="9"/>
      <c r="K4399" s="9">
        <v>44008853</v>
      </c>
      <c r="L4399" s="6" t="str">
        <f t="shared" si="430"/>
        <v>1D  MOON  BAZA  180x200</v>
      </c>
      <c r="M4399" s="12">
        <v>0.5</v>
      </c>
      <c r="N4399" s="12">
        <v>0.5</v>
      </c>
      <c r="O4399" s="12">
        <v>20800</v>
      </c>
      <c r="P4399" s="12">
        <f t="shared" si="432"/>
        <v>10400</v>
      </c>
      <c r="Q4399" s="12">
        <f t="shared" si="429"/>
        <v>21840</v>
      </c>
      <c r="R4399" s="33">
        <f t="shared" si="433"/>
        <v>21800</v>
      </c>
      <c r="T4399" s="12"/>
      <c r="U4399" s="12">
        <v>17200</v>
      </c>
      <c r="V4399" s="12"/>
      <c r="W4399" s="12">
        <f t="shared" si="431"/>
        <v>26000</v>
      </c>
    </row>
    <row r="4400" spans="1:23" s="6" customFormat="1" ht="21.95" customHeight="1" x14ac:dyDescent="0.2">
      <c r="A4400" s="6" t="s">
        <v>943</v>
      </c>
      <c r="B4400" s="6" t="s">
        <v>1597</v>
      </c>
      <c r="C4400" s="6" t="s">
        <v>1407</v>
      </c>
      <c r="D4400" s="6" t="s">
        <v>1003</v>
      </c>
      <c r="G4400" s="6">
        <v>90</v>
      </c>
      <c r="H4400" s="6">
        <v>190</v>
      </c>
      <c r="I4400" s="9"/>
      <c r="J4400" s="9"/>
      <c r="K4400" s="9">
        <v>44008854</v>
      </c>
      <c r="L4400" s="6" t="str">
        <f t="shared" si="430"/>
        <v>1D  MOON  BAŞLIK  90x190</v>
      </c>
      <c r="M4400" s="12">
        <v>0.5</v>
      </c>
      <c r="N4400" s="12">
        <v>0.5</v>
      </c>
      <c r="O4400" s="12">
        <v>7700</v>
      </c>
      <c r="P4400" s="12">
        <f t="shared" si="432"/>
        <v>3850</v>
      </c>
      <c r="Q4400" s="12">
        <f t="shared" si="429"/>
        <v>8085</v>
      </c>
      <c r="R4400" s="33">
        <f t="shared" si="433"/>
        <v>8000</v>
      </c>
      <c r="T4400" s="12"/>
      <c r="U4400" s="12">
        <v>18400</v>
      </c>
      <c r="V4400" s="12"/>
      <c r="W4400" s="12">
        <f t="shared" si="431"/>
        <v>9625</v>
      </c>
    </row>
    <row r="4401" spans="1:23" s="6" customFormat="1" ht="21.95" customHeight="1" x14ac:dyDescent="0.2">
      <c r="A4401" s="6" t="s">
        <v>943</v>
      </c>
      <c r="B4401" s="6" t="s">
        <v>1597</v>
      </c>
      <c r="C4401" s="6" t="s">
        <v>1407</v>
      </c>
      <c r="D4401" s="6" t="s">
        <v>1003</v>
      </c>
      <c r="G4401" s="6">
        <v>90</v>
      </c>
      <c r="H4401" s="6">
        <v>200</v>
      </c>
      <c r="I4401" s="9"/>
      <c r="J4401" s="9"/>
      <c r="K4401" s="9">
        <v>44008855</v>
      </c>
      <c r="L4401" s="6" t="str">
        <f t="shared" si="430"/>
        <v>1D  MOON  BAŞLIK  90x200</v>
      </c>
      <c r="M4401" s="12">
        <v>0.5</v>
      </c>
      <c r="N4401" s="12">
        <v>0.5</v>
      </c>
      <c r="O4401" s="12">
        <v>8200</v>
      </c>
      <c r="P4401" s="12">
        <f t="shared" si="432"/>
        <v>4100</v>
      </c>
      <c r="Q4401" s="12">
        <f t="shared" si="429"/>
        <v>8610</v>
      </c>
      <c r="R4401" s="33">
        <f t="shared" si="433"/>
        <v>8600</v>
      </c>
      <c r="T4401" s="12"/>
      <c r="U4401" s="12">
        <v>19600</v>
      </c>
      <c r="V4401" s="12"/>
      <c r="W4401" s="12">
        <f t="shared" si="431"/>
        <v>10250</v>
      </c>
    </row>
    <row r="4402" spans="1:23" s="6" customFormat="1" ht="21.95" customHeight="1" x14ac:dyDescent="0.2">
      <c r="A4402" s="6" t="s">
        <v>943</v>
      </c>
      <c r="B4402" s="6" t="s">
        <v>1597</v>
      </c>
      <c r="C4402" s="6" t="s">
        <v>1407</v>
      </c>
      <c r="D4402" s="6" t="s">
        <v>1003</v>
      </c>
      <c r="G4402" s="6">
        <v>100</v>
      </c>
      <c r="H4402" s="6">
        <v>200</v>
      </c>
      <c r="I4402" s="9"/>
      <c r="J4402" s="9"/>
      <c r="K4402" s="9">
        <v>44008856</v>
      </c>
      <c r="L4402" s="6" t="str">
        <f t="shared" si="430"/>
        <v>1D  MOON  BAŞLIK  100x200</v>
      </c>
      <c r="M4402" s="12">
        <v>0.5</v>
      </c>
      <c r="N4402" s="12">
        <v>0.5</v>
      </c>
      <c r="O4402" s="12">
        <v>9100</v>
      </c>
      <c r="P4402" s="12">
        <f t="shared" si="432"/>
        <v>4550</v>
      </c>
      <c r="Q4402" s="12">
        <f t="shared" si="429"/>
        <v>9555</v>
      </c>
      <c r="R4402" s="33">
        <f t="shared" si="433"/>
        <v>9500</v>
      </c>
      <c r="T4402" s="12"/>
      <c r="U4402" s="12">
        <v>22100</v>
      </c>
      <c r="V4402" s="12"/>
      <c r="W4402" s="12">
        <f t="shared" si="431"/>
        <v>11375</v>
      </c>
    </row>
    <row r="4403" spans="1:23" s="6" customFormat="1" ht="21.95" customHeight="1" x14ac:dyDescent="0.2">
      <c r="A4403" s="6" t="s">
        <v>943</v>
      </c>
      <c r="B4403" s="6" t="s">
        <v>1597</v>
      </c>
      <c r="C4403" s="6" t="s">
        <v>1407</v>
      </c>
      <c r="D4403" s="6" t="s">
        <v>1003</v>
      </c>
      <c r="G4403" s="6">
        <v>120</v>
      </c>
      <c r="H4403" s="6">
        <v>200</v>
      </c>
      <c r="I4403" s="9"/>
      <c r="J4403" s="9"/>
      <c r="K4403" s="9">
        <v>44008857</v>
      </c>
      <c r="L4403" s="6" t="str">
        <f t="shared" si="430"/>
        <v>1D  MOON  BAŞLIK  120x200</v>
      </c>
      <c r="M4403" s="12">
        <v>0.5</v>
      </c>
      <c r="N4403" s="12">
        <v>0.5</v>
      </c>
      <c r="O4403" s="12">
        <v>10900</v>
      </c>
      <c r="P4403" s="12">
        <f t="shared" si="432"/>
        <v>5450</v>
      </c>
      <c r="Q4403" s="12">
        <f t="shared" si="429"/>
        <v>11445</v>
      </c>
      <c r="R4403" s="33">
        <f t="shared" si="433"/>
        <v>11400</v>
      </c>
      <c r="T4403" s="12"/>
      <c r="U4403" s="12">
        <v>4000</v>
      </c>
      <c r="V4403" s="12"/>
      <c r="W4403" s="12">
        <f t="shared" si="431"/>
        <v>13625</v>
      </c>
    </row>
    <row r="4404" spans="1:23" s="6" customFormat="1" ht="21.95" customHeight="1" x14ac:dyDescent="0.2">
      <c r="A4404" s="6" t="s">
        <v>943</v>
      </c>
      <c r="B4404" s="6" t="s">
        <v>1597</v>
      </c>
      <c r="C4404" s="6" t="s">
        <v>1407</v>
      </c>
      <c r="D4404" s="6" t="s">
        <v>1003</v>
      </c>
      <c r="G4404" s="6">
        <v>140</v>
      </c>
      <c r="H4404" s="6">
        <v>200</v>
      </c>
      <c r="I4404" s="9"/>
      <c r="J4404" s="9"/>
      <c r="K4404" s="9">
        <v>44008858</v>
      </c>
      <c r="L4404" s="6" t="str">
        <f t="shared" si="430"/>
        <v>1D  MOON  BAŞLIK  140x200</v>
      </c>
      <c r="M4404" s="12">
        <v>0.5</v>
      </c>
      <c r="N4404" s="12">
        <v>0.5</v>
      </c>
      <c r="O4404" s="12">
        <v>12700</v>
      </c>
      <c r="P4404" s="12">
        <f t="shared" si="432"/>
        <v>6350</v>
      </c>
      <c r="Q4404" s="12">
        <f t="shared" si="429"/>
        <v>13335</v>
      </c>
      <c r="R4404" s="33">
        <f t="shared" si="433"/>
        <v>13300</v>
      </c>
      <c r="T4404" s="12"/>
      <c r="U4404" s="12">
        <v>4000</v>
      </c>
      <c r="V4404" s="12"/>
      <c r="W4404" s="12">
        <f t="shared" si="431"/>
        <v>15875</v>
      </c>
    </row>
    <row r="4405" spans="1:23" s="6" customFormat="1" ht="21.95" customHeight="1" x14ac:dyDescent="0.2">
      <c r="A4405" s="6" t="s">
        <v>943</v>
      </c>
      <c r="B4405" s="6" t="s">
        <v>1597</v>
      </c>
      <c r="C4405" s="6" t="s">
        <v>1407</v>
      </c>
      <c r="D4405" s="6" t="s">
        <v>1003</v>
      </c>
      <c r="G4405" s="6">
        <v>150</v>
      </c>
      <c r="H4405" s="6">
        <v>200</v>
      </c>
      <c r="I4405" s="9"/>
      <c r="J4405" s="9"/>
      <c r="K4405" s="9">
        <v>44008859</v>
      </c>
      <c r="L4405" s="6" t="str">
        <f t="shared" si="430"/>
        <v>1D  MOON  BAŞLIK  150x200</v>
      </c>
      <c r="M4405" s="12">
        <v>0.5</v>
      </c>
      <c r="N4405" s="12">
        <v>0.5</v>
      </c>
      <c r="O4405" s="12">
        <v>13600</v>
      </c>
      <c r="P4405" s="12">
        <f t="shared" si="432"/>
        <v>6800</v>
      </c>
      <c r="Q4405" s="12">
        <f t="shared" si="429"/>
        <v>14280</v>
      </c>
      <c r="R4405" s="33">
        <f t="shared" si="433"/>
        <v>14200</v>
      </c>
      <c r="T4405" s="12"/>
      <c r="U4405" s="12">
        <v>4100</v>
      </c>
      <c r="V4405" s="12"/>
      <c r="W4405" s="12">
        <f t="shared" si="431"/>
        <v>17000</v>
      </c>
    </row>
    <row r="4406" spans="1:23" s="6" customFormat="1" ht="21.95" customHeight="1" x14ac:dyDescent="0.2">
      <c r="A4406" s="6" t="s">
        <v>943</v>
      </c>
      <c r="B4406" s="6" t="s">
        <v>1597</v>
      </c>
      <c r="C4406" s="6" t="s">
        <v>1407</v>
      </c>
      <c r="D4406" s="6" t="s">
        <v>1003</v>
      </c>
      <c r="G4406" s="6">
        <v>160</v>
      </c>
      <c r="H4406" s="6">
        <v>200</v>
      </c>
      <c r="I4406" s="9"/>
      <c r="J4406" s="9"/>
      <c r="K4406" s="9">
        <v>44008860</v>
      </c>
      <c r="L4406" s="6" t="str">
        <f t="shared" si="430"/>
        <v>1D  MOON  BAŞLIK  160x200</v>
      </c>
      <c r="M4406" s="12">
        <v>0.5</v>
      </c>
      <c r="N4406" s="12">
        <v>0.5</v>
      </c>
      <c r="O4406" s="12">
        <v>14500</v>
      </c>
      <c r="P4406" s="12">
        <f t="shared" si="432"/>
        <v>7250</v>
      </c>
      <c r="Q4406" s="12">
        <f t="shared" si="429"/>
        <v>15225</v>
      </c>
      <c r="R4406" s="33">
        <f t="shared" si="433"/>
        <v>15200</v>
      </c>
      <c r="T4406" s="12"/>
      <c r="U4406" s="12">
        <v>4900</v>
      </c>
      <c r="V4406" s="12"/>
      <c r="W4406" s="12">
        <f t="shared" si="431"/>
        <v>18125</v>
      </c>
    </row>
    <row r="4407" spans="1:23" s="6" customFormat="1" ht="21.95" customHeight="1" x14ac:dyDescent="0.2">
      <c r="A4407" s="6" t="s">
        <v>943</v>
      </c>
      <c r="B4407" s="6" t="s">
        <v>1597</v>
      </c>
      <c r="C4407" s="6" t="s">
        <v>1407</v>
      </c>
      <c r="D4407" s="6" t="s">
        <v>1003</v>
      </c>
      <c r="G4407" s="6">
        <v>180</v>
      </c>
      <c r="H4407" s="6">
        <v>200</v>
      </c>
      <c r="I4407" s="9"/>
      <c r="J4407" s="9"/>
      <c r="K4407" s="9">
        <v>44008861</v>
      </c>
      <c r="L4407" s="6" t="str">
        <f t="shared" si="430"/>
        <v>1D  MOON  BAŞLIK  180x200</v>
      </c>
      <c r="M4407" s="12">
        <v>0.5</v>
      </c>
      <c r="N4407" s="12">
        <v>0.5</v>
      </c>
      <c r="O4407" s="12">
        <v>16300</v>
      </c>
      <c r="P4407" s="12">
        <f t="shared" si="432"/>
        <v>8150</v>
      </c>
      <c r="Q4407" s="12">
        <f t="shared" si="429"/>
        <v>17115</v>
      </c>
      <c r="R4407" s="33">
        <f t="shared" si="433"/>
        <v>17100</v>
      </c>
      <c r="T4407" s="12"/>
      <c r="U4407" s="12">
        <v>5700</v>
      </c>
      <c r="V4407" s="12"/>
      <c r="W4407" s="12">
        <f t="shared" si="431"/>
        <v>20375</v>
      </c>
    </row>
    <row r="4408" spans="1:23" s="6" customFormat="1" ht="21.95" customHeight="1" x14ac:dyDescent="0.2">
      <c r="A4408" s="6" t="s">
        <v>943</v>
      </c>
      <c r="B4408" s="6" t="s">
        <v>1597</v>
      </c>
      <c r="C4408" s="6" t="s">
        <v>1407</v>
      </c>
      <c r="D4408" s="6" t="s">
        <v>943</v>
      </c>
      <c r="G4408" s="6">
        <v>90</v>
      </c>
      <c r="H4408" s="6">
        <v>190</v>
      </c>
      <c r="I4408" s="9"/>
      <c r="J4408" s="9"/>
      <c r="K4408" s="9">
        <v>44008862</v>
      </c>
      <c r="L4408" s="6" t="str">
        <f t="shared" si="430"/>
        <v>1D  MOON  YATAK  90x190</v>
      </c>
      <c r="M4408" s="12">
        <v>0.5</v>
      </c>
      <c r="N4408" s="12">
        <v>0.5</v>
      </c>
      <c r="O4408" s="12">
        <v>9900</v>
      </c>
      <c r="P4408" s="12">
        <f t="shared" si="432"/>
        <v>4950</v>
      </c>
      <c r="Q4408" s="12">
        <f t="shared" si="429"/>
        <v>10395</v>
      </c>
      <c r="R4408" s="33">
        <f t="shared" si="433"/>
        <v>10300</v>
      </c>
      <c r="T4408" s="12"/>
      <c r="U4408" s="12">
        <v>6100</v>
      </c>
      <c r="V4408" s="12"/>
      <c r="W4408" s="12">
        <f t="shared" si="431"/>
        <v>12375</v>
      </c>
    </row>
    <row r="4409" spans="1:23" s="6" customFormat="1" ht="21.95" customHeight="1" x14ac:dyDescent="0.2">
      <c r="A4409" s="6" t="s">
        <v>943</v>
      </c>
      <c r="B4409" s="6" t="s">
        <v>1597</v>
      </c>
      <c r="C4409" s="6" t="s">
        <v>1407</v>
      </c>
      <c r="D4409" s="6" t="s">
        <v>943</v>
      </c>
      <c r="G4409" s="6">
        <v>90</v>
      </c>
      <c r="H4409" s="6">
        <v>200</v>
      </c>
      <c r="I4409" s="9"/>
      <c r="J4409" s="9"/>
      <c r="K4409" s="9">
        <v>44008863</v>
      </c>
      <c r="L4409" s="6" t="str">
        <f t="shared" si="430"/>
        <v>1D  MOON  YATAK  90x200</v>
      </c>
      <c r="M4409" s="12">
        <v>0.5</v>
      </c>
      <c r="N4409" s="12">
        <v>0.5</v>
      </c>
      <c r="O4409" s="12">
        <v>10400</v>
      </c>
      <c r="P4409" s="12">
        <f t="shared" si="432"/>
        <v>5200</v>
      </c>
      <c r="Q4409" s="12">
        <f t="shared" si="429"/>
        <v>10920</v>
      </c>
      <c r="R4409" s="33">
        <f t="shared" si="433"/>
        <v>10900</v>
      </c>
      <c r="T4409" s="12"/>
      <c r="U4409" s="12">
        <v>6500</v>
      </c>
      <c r="V4409" s="12"/>
      <c r="W4409" s="12">
        <f t="shared" si="431"/>
        <v>13000</v>
      </c>
    </row>
    <row r="4410" spans="1:23" s="6" customFormat="1" ht="21.95" customHeight="1" x14ac:dyDescent="0.2">
      <c r="A4410" s="6" t="s">
        <v>943</v>
      </c>
      <c r="B4410" s="6" t="s">
        <v>1597</v>
      </c>
      <c r="C4410" s="6" t="s">
        <v>1407</v>
      </c>
      <c r="D4410" s="6" t="s">
        <v>943</v>
      </c>
      <c r="G4410" s="6">
        <v>100</v>
      </c>
      <c r="H4410" s="6">
        <v>200</v>
      </c>
      <c r="I4410" s="9"/>
      <c r="J4410" s="9"/>
      <c r="K4410" s="9">
        <v>44008864</v>
      </c>
      <c r="L4410" s="6" t="str">
        <f t="shared" si="430"/>
        <v>1D  MOON  YATAK  100x200</v>
      </c>
      <c r="M4410" s="12">
        <v>0.5</v>
      </c>
      <c r="N4410" s="12">
        <v>0.5</v>
      </c>
      <c r="O4410" s="12">
        <v>11600</v>
      </c>
      <c r="P4410" s="12">
        <f t="shared" si="432"/>
        <v>5800</v>
      </c>
      <c r="Q4410" s="12">
        <f t="shared" si="429"/>
        <v>12180</v>
      </c>
      <c r="R4410" s="33">
        <f t="shared" si="433"/>
        <v>12100</v>
      </c>
      <c r="T4410" s="12"/>
      <c r="U4410" s="12">
        <v>7300</v>
      </c>
      <c r="V4410" s="12"/>
      <c r="W4410" s="12">
        <f t="shared" si="431"/>
        <v>14500</v>
      </c>
    </row>
    <row r="4411" spans="1:23" s="6" customFormat="1" ht="21.95" customHeight="1" x14ac:dyDescent="0.2">
      <c r="A4411" s="6" t="s">
        <v>943</v>
      </c>
      <c r="B4411" s="6" t="s">
        <v>1597</v>
      </c>
      <c r="C4411" s="6" t="s">
        <v>1407</v>
      </c>
      <c r="D4411" s="6" t="s">
        <v>943</v>
      </c>
      <c r="G4411" s="6">
        <v>120</v>
      </c>
      <c r="H4411" s="6">
        <v>200</v>
      </c>
      <c r="I4411" s="9"/>
      <c r="J4411" s="9"/>
      <c r="K4411" s="9">
        <v>44008865</v>
      </c>
      <c r="L4411" s="6" t="str">
        <f t="shared" si="430"/>
        <v>1D  MOON  YATAK  120x200</v>
      </c>
      <c r="M4411" s="12">
        <v>0.5</v>
      </c>
      <c r="N4411" s="12">
        <v>0.5</v>
      </c>
      <c r="O4411" s="12">
        <v>13900</v>
      </c>
      <c r="P4411" s="12">
        <f t="shared" si="432"/>
        <v>6950</v>
      </c>
      <c r="Q4411" s="12">
        <f t="shared" si="429"/>
        <v>14595</v>
      </c>
      <c r="R4411" s="33">
        <f t="shared" si="433"/>
        <v>14500</v>
      </c>
      <c r="T4411" s="12"/>
      <c r="U4411" s="12">
        <v>12900</v>
      </c>
      <c r="V4411" s="12"/>
      <c r="W4411" s="12">
        <f t="shared" si="431"/>
        <v>17375</v>
      </c>
    </row>
    <row r="4412" spans="1:23" s="6" customFormat="1" ht="21.95" customHeight="1" x14ac:dyDescent="0.2">
      <c r="A4412" s="6" t="s">
        <v>943</v>
      </c>
      <c r="B4412" s="6" t="s">
        <v>1597</v>
      </c>
      <c r="C4412" s="6" t="s">
        <v>1407</v>
      </c>
      <c r="D4412" s="6" t="s">
        <v>943</v>
      </c>
      <c r="G4412" s="6">
        <v>140</v>
      </c>
      <c r="H4412" s="6">
        <v>200</v>
      </c>
      <c r="I4412" s="9"/>
      <c r="J4412" s="9"/>
      <c r="K4412" s="9">
        <v>44008866</v>
      </c>
      <c r="L4412" s="6" t="str">
        <f t="shared" si="430"/>
        <v>1D  MOON  YATAK  140x200</v>
      </c>
      <c r="M4412" s="12">
        <v>0.5</v>
      </c>
      <c r="N4412" s="12">
        <v>0.5</v>
      </c>
      <c r="O4412" s="12">
        <v>16200</v>
      </c>
      <c r="P4412" s="12">
        <f t="shared" si="432"/>
        <v>8100</v>
      </c>
      <c r="Q4412" s="12">
        <f t="shared" si="429"/>
        <v>17010</v>
      </c>
      <c r="R4412" s="33">
        <f t="shared" si="433"/>
        <v>17000</v>
      </c>
      <c r="T4412" s="12"/>
      <c r="U4412" s="12">
        <v>13600</v>
      </c>
      <c r="V4412" s="12"/>
      <c r="W4412" s="12">
        <f t="shared" si="431"/>
        <v>20250</v>
      </c>
    </row>
    <row r="4413" spans="1:23" s="6" customFormat="1" ht="21.95" customHeight="1" x14ac:dyDescent="0.2">
      <c r="A4413" s="6" t="s">
        <v>943</v>
      </c>
      <c r="B4413" s="6" t="s">
        <v>1597</v>
      </c>
      <c r="C4413" s="6" t="s">
        <v>1407</v>
      </c>
      <c r="D4413" s="6" t="s">
        <v>943</v>
      </c>
      <c r="G4413" s="6">
        <v>150</v>
      </c>
      <c r="H4413" s="6">
        <v>200</v>
      </c>
      <c r="I4413" s="9"/>
      <c r="J4413" s="9"/>
      <c r="K4413" s="9">
        <v>44008867</v>
      </c>
      <c r="L4413" s="6" t="str">
        <f t="shared" si="430"/>
        <v>1D  MOON  YATAK  150x200</v>
      </c>
      <c r="M4413" s="12">
        <v>0.5</v>
      </c>
      <c r="N4413" s="12">
        <v>0.5</v>
      </c>
      <c r="O4413" s="12">
        <v>17300</v>
      </c>
      <c r="P4413" s="12">
        <f t="shared" si="432"/>
        <v>8650</v>
      </c>
      <c r="Q4413" s="12">
        <f t="shared" si="429"/>
        <v>18165</v>
      </c>
      <c r="R4413" s="33">
        <f t="shared" si="433"/>
        <v>18100</v>
      </c>
      <c r="T4413" s="12"/>
      <c r="U4413" s="12">
        <v>13700</v>
      </c>
      <c r="V4413" s="12"/>
      <c r="W4413" s="12">
        <f t="shared" si="431"/>
        <v>21625</v>
      </c>
    </row>
    <row r="4414" spans="1:23" s="6" customFormat="1" ht="21.95" customHeight="1" x14ac:dyDescent="0.2">
      <c r="A4414" s="6" t="s">
        <v>943</v>
      </c>
      <c r="B4414" s="6" t="s">
        <v>1597</v>
      </c>
      <c r="C4414" s="6" t="s">
        <v>1407</v>
      </c>
      <c r="D4414" s="6" t="s">
        <v>943</v>
      </c>
      <c r="G4414" s="6">
        <v>160</v>
      </c>
      <c r="H4414" s="6">
        <v>200</v>
      </c>
      <c r="I4414" s="9"/>
      <c r="J4414" s="9"/>
      <c r="K4414" s="9">
        <v>44008868</v>
      </c>
      <c r="L4414" s="6" t="str">
        <f t="shared" si="430"/>
        <v>1D  MOON  YATAK  160x200</v>
      </c>
      <c r="M4414" s="12">
        <v>0.5</v>
      </c>
      <c r="N4414" s="12">
        <v>0.5</v>
      </c>
      <c r="O4414" s="12">
        <v>18500</v>
      </c>
      <c r="P4414" s="12">
        <f t="shared" si="432"/>
        <v>9250</v>
      </c>
      <c r="Q4414" s="12">
        <f t="shared" si="429"/>
        <v>19425</v>
      </c>
      <c r="R4414" s="33">
        <f t="shared" si="433"/>
        <v>19400</v>
      </c>
      <c r="T4414" s="12"/>
      <c r="U4414" s="12">
        <v>16400</v>
      </c>
      <c r="V4414" s="12"/>
      <c r="W4414" s="12">
        <f t="shared" si="431"/>
        <v>23125</v>
      </c>
    </row>
    <row r="4415" spans="1:23" s="6" customFormat="1" ht="21.95" customHeight="1" x14ac:dyDescent="0.2">
      <c r="A4415" s="6" t="s">
        <v>943</v>
      </c>
      <c r="B4415" s="6" t="s">
        <v>1597</v>
      </c>
      <c r="C4415" s="6" t="s">
        <v>1407</v>
      </c>
      <c r="D4415" s="6" t="s">
        <v>943</v>
      </c>
      <c r="G4415" s="6">
        <v>180</v>
      </c>
      <c r="H4415" s="6">
        <v>200</v>
      </c>
      <c r="I4415" s="9"/>
      <c r="J4415" s="9"/>
      <c r="K4415" s="9">
        <v>44008869</v>
      </c>
      <c r="L4415" s="6" t="str">
        <f t="shared" si="430"/>
        <v>1D  MOON  YATAK  180x200</v>
      </c>
      <c r="M4415" s="12">
        <v>0.5</v>
      </c>
      <c r="N4415" s="12">
        <v>0.5</v>
      </c>
      <c r="O4415" s="12">
        <v>20800</v>
      </c>
      <c r="P4415" s="12">
        <f t="shared" si="432"/>
        <v>10400</v>
      </c>
      <c r="Q4415" s="12">
        <f t="shared" si="429"/>
        <v>21840</v>
      </c>
      <c r="R4415" s="33">
        <f t="shared" si="433"/>
        <v>21800</v>
      </c>
      <c r="T4415" s="12"/>
      <c r="U4415" s="12">
        <v>19200</v>
      </c>
      <c r="V4415" s="12"/>
      <c r="W4415" s="12">
        <f t="shared" si="431"/>
        <v>26000</v>
      </c>
    </row>
    <row r="4416" spans="1:23" s="6" customFormat="1" ht="21.95" customHeight="1" x14ac:dyDescent="0.2">
      <c r="A4416" s="6" t="s">
        <v>943</v>
      </c>
      <c r="B4416" s="6" t="s">
        <v>1597</v>
      </c>
      <c r="C4416" s="6" t="s">
        <v>1407</v>
      </c>
      <c r="D4416" s="6" t="s">
        <v>1380</v>
      </c>
      <c r="I4416" s="9"/>
      <c r="J4416" s="9"/>
      <c r="K4416" s="9">
        <v>44008870</v>
      </c>
      <c r="L4416" s="6" t="str">
        <f>B4416&amp;" "&amp;C4416&amp;" "&amp;D4416</f>
        <v>1D  MOON  KOMODİN (2 ADET)</v>
      </c>
      <c r="M4416" s="12">
        <v>0.5</v>
      </c>
      <c r="N4416" s="12">
        <v>0.5</v>
      </c>
      <c r="O4416" s="12">
        <v>14520</v>
      </c>
      <c r="P4416" s="12">
        <f t="shared" si="432"/>
        <v>7260</v>
      </c>
      <c r="Q4416" s="12">
        <f t="shared" si="429"/>
        <v>15246</v>
      </c>
      <c r="R4416" s="33">
        <f t="shared" si="433"/>
        <v>15200</v>
      </c>
      <c r="T4416" s="12"/>
      <c r="U4416" s="12">
        <v>20500</v>
      </c>
      <c r="V4416" s="12"/>
      <c r="W4416" s="12">
        <f t="shared" si="431"/>
        <v>18150</v>
      </c>
    </row>
    <row r="4417" spans="1:23" s="6" customFormat="1" ht="21.95" customHeight="1" x14ac:dyDescent="0.2">
      <c r="A4417" s="6" t="s">
        <v>943</v>
      </c>
      <c r="B4417" s="6" t="s">
        <v>1597</v>
      </c>
      <c r="C4417" s="6" t="s">
        <v>1408</v>
      </c>
      <c r="D4417" s="6" t="s">
        <v>989</v>
      </c>
      <c r="G4417" s="6">
        <v>140</v>
      </c>
      <c r="H4417" s="6">
        <v>200</v>
      </c>
      <c r="I4417" s="9"/>
      <c r="J4417" s="9"/>
      <c r="K4417" s="9">
        <v>44008875</v>
      </c>
      <c r="L4417" s="6" t="str">
        <f t="shared" ref="L4417:L4453" si="434">B4417&amp;" "&amp;C4417&amp;" "&amp;D4417&amp;" "&amp;G4417&amp;"x"&amp;H4417</f>
        <v>1D  MYKONOS BAZA  140x200</v>
      </c>
      <c r="M4417" s="12">
        <v>0.5</v>
      </c>
      <c r="N4417" s="12">
        <v>0.5</v>
      </c>
      <c r="O4417" s="12">
        <v>19100</v>
      </c>
      <c r="P4417" s="12">
        <f t="shared" si="432"/>
        <v>9550</v>
      </c>
      <c r="Q4417" s="12">
        <f t="shared" si="429"/>
        <v>20055</v>
      </c>
      <c r="R4417" s="33">
        <f t="shared" si="433"/>
        <v>20000</v>
      </c>
      <c r="T4417" s="12"/>
      <c r="U4417" s="12">
        <v>21900</v>
      </c>
      <c r="V4417" s="12"/>
      <c r="W4417" s="12">
        <f t="shared" si="431"/>
        <v>23875</v>
      </c>
    </row>
    <row r="4418" spans="1:23" s="6" customFormat="1" ht="21.95" customHeight="1" x14ac:dyDescent="0.2">
      <c r="A4418" s="6" t="s">
        <v>943</v>
      </c>
      <c r="B4418" s="6" t="s">
        <v>1597</v>
      </c>
      <c r="C4418" s="6" t="s">
        <v>1408</v>
      </c>
      <c r="D4418" s="6" t="s">
        <v>989</v>
      </c>
      <c r="G4418" s="6">
        <v>150</v>
      </c>
      <c r="H4418" s="6">
        <v>200</v>
      </c>
      <c r="I4418" s="9"/>
      <c r="J4418" s="9"/>
      <c r="K4418" s="9">
        <v>44008876</v>
      </c>
      <c r="L4418" s="6" t="str">
        <f t="shared" si="434"/>
        <v>1D  MYKONOS BAZA  150x200</v>
      </c>
      <c r="M4418" s="12">
        <v>0.5</v>
      </c>
      <c r="N4418" s="12">
        <v>0.5</v>
      </c>
      <c r="O4418" s="12">
        <v>20400</v>
      </c>
      <c r="P4418" s="12">
        <f t="shared" si="432"/>
        <v>10200</v>
      </c>
      <c r="Q4418" s="12">
        <f t="shared" si="429"/>
        <v>21420</v>
      </c>
      <c r="R4418" s="33">
        <f t="shared" si="433"/>
        <v>21400</v>
      </c>
      <c r="T4418" s="12"/>
      <c r="U4418" s="12">
        <v>24600</v>
      </c>
      <c r="V4418" s="12"/>
      <c r="W4418" s="12">
        <f t="shared" si="431"/>
        <v>25500</v>
      </c>
    </row>
    <row r="4419" spans="1:23" s="6" customFormat="1" ht="21.95" customHeight="1" x14ac:dyDescent="0.2">
      <c r="A4419" s="6" t="s">
        <v>943</v>
      </c>
      <c r="B4419" s="6" t="s">
        <v>1597</v>
      </c>
      <c r="C4419" s="6" t="s">
        <v>1408</v>
      </c>
      <c r="D4419" s="6" t="s">
        <v>989</v>
      </c>
      <c r="G4419" s="6">
        <v>160</v>
      </c>
      <c r="H4419" s="6">
        <v>200</v>
      </c>
      <c r="I4419" s="9"/>
      <c r="J4419" s="9"/>
      <c r="K4419" s="9">
        <v>44008877</v>
      </c>
      <c r="L4419" s="6" t="str">
        <f t="shared" si="434"/>
        <v>1D  MYKONOS BAZA  160x200</v>
      </c>
      <c r="M4419" s="12">
        <v>0.5</v>
      </c>
      <c r="N4419" s="12">
        <v>0.5</v>
      </c>
      <c r="O4419" s="12">
        <v>21800</v>
      </c>
      <c r="P4419" s="12">
        <f t="shared" si="432"/>
        <v>10900</v>
      </c>
      <c r="Q4419" s="12">
        <f t="shared" si="429"/>
        <v>22890</v>
      </c>
      <c r="R4419" s="33">
        <f t="shared" si="433"/>
        <v>22800</v>
      </c>
      <c r="T4419" s="12"/>
      <c r="U4419" s="12">
        <v>15800</v>
      </c>
      <c r="V4419" s="12"/>
      <c r="W4419" s="12">
        <f t="shared" si="431"/>
        <v>27250</v>
      </c>
    </row>
    <row r="4420" spans="1:23" s="6" customFormat="1" ht="21.95" customHeight="1" x14ac:dyDescent="0.2">
      <c r="A4420" s="6" t="s">
        <v>943</v>
      </c>
      <c r="B4420" s="6" t="s">
        <v>1597</v>
      </c>
      <c r="C4420" s="6" t="s">
        <v>1408</v>
      </c>
      <c r="D4420" s="6" t="s">
        <v>989</v>
      </c>
      <c r="G4420" s="6">
        <v>180</v>
      </c>
      <c r="H4420" s="6">
        <v>200</v>
      </c>
      <c r="I4420" s="9"/>
      <c r="J4420" s="9"/>
      <c r="K4420" s="9">
        <v>44008878</v>
      </c>
      <c r="L4420" s="6" t="str">
        <f t="shared" si="434"/>
        <v>1D  MYKONOS BAZA  180x200</v>
      </c>
      <c r="M4420" s="12">
        <v>0.5</v>
      </c>
      <c r="N4420" s="12">
        <v>0.5</v>
      </c>
      <c r="O4420" s="12">
        <v>24500</v>
      </c>
      <c r="P4420" s="12">
        <f t="shared" si="432"/>
        <v>12250</v>
      </c>
      <c r="Q4420" s="12">
        <f t="shared" si="429"/>
        <v>25725</v>
      </c>
      <c r="R4420" s="33">
        <f t="shared" si="433"/>
        <v>25700</v>
      </c>
      <c r="T4420" s="12"/>
      <c r="U4420" s="12">
        <v>11900</v>
      </c>
      <c r="V4420" s="12"/>
      <c r="W4420" s="12">
        <f t="shared" si="431"/>
        <v>30625</v>
      </c>
    </row>
    <row r="4421" spans="1:23" s="6" customFormat="1" ht="21.95" customHeight="1" x14ac:dyDescent="0.2">
      <c r="A4421" s="6" t="s">
        <v>943</v>
      </c>
      <c r="B4421" s="6" t="s">
        <v>1597</v>
      </c>
      <c r="C4421" s="6" t="s">
        <v>1408</v>
      </c>
      <c r="D4421" s="6" t="s">
        <v>1003</v>
      </c>
      <c r="G4421" s="6">
        <v>140</v>
      </c>
      <c r="H4421" s="6">
        <v>200</v>
      </c>
      <c r="I4421" s="9"/>
      <c r="J4421" s="9"/>
      <c r="K4421" s="9">
        <v>44008883</v>
      </c>
      <c r="L4421" s="6" t="str">
        <f t="shared" si="434"/>
        <v>1D  MYKONOS BAŞLIK  140x200</v>
      </c>
      <c r="M4421" s="12">
        <v>0.5</v>
      </c>
      <c r="N4421" s="12">
        <v>0.5</v>
      </c>
      <c r="O4421" s="12">
        <v>17900</v>
      </c>
      <c r="P4421" s="12">
        <f t="shared" si="432"/>
        <v>8950</v>
      </c>
      <c r="Q4421" s="12">
        <f t="shared" si="429"/>
        <v>18795</v>
      </c>
      <c r="R4421" s="33">
        <f t="shared" si="433"/>
        <v>18700</v>
      </c>
      <c r="T4421" s="12"/>
      <c r="U4421" s="12">
        <v>12500</v>
      </c>
      <c r="V4421" s="12"/>
      <c r="W4421" s="12">
        <f t="shared" si="431"/>
        <v>22375</v>
      </c>
    </row>
    <row r="4422" spans="1:23" s="6" customFormat="1" ht="21.95" customHeight="1" x14ac:dyDescent="0.2">
      <c r="A4422" s="6" t="s">
        <v>943</v>
      </c>
      <c r="B4422" s="6" t="s">
        <v>1597</v>
      </c>
      <c r="C4422" s="6" t="s">
        <v>1408</v>
      </c>
      <c r="D4422" s="6" t="s">
        <v>1003</v>
      </c>
      <c r="G4422" s="6">
        <v>150</v>
      </c>
      <c r="H4422" s="6">
        <v>200</v>
      </c>
      <c r="I4422" s="9"/>
      <c r="J4422" s="9"/>
      <c r="K4422" s="9">
        <v>44008884</v>
      </c>
      <c r="L4422" s="6" t="str">
        <f t="shared" si="434"/>
        <v>1D  MYKONOS BAŞLIK  150x200</v>
      </c>
      <c r="M4422" s="12">
        <v>0.5</v>
      </c>
      <c r="N4422" s="12">
        <v>0.5</v>
      </c>
      <c r="O4422" s="12">
        <v>19200</v>
      </c>
      <c r="P4422" s="12">
        <f t="shared" si="432"/>
        <v>9600</v>
      </c>
      <c r="Q4422" s="12">
        <f t="shared" si="429"/>
        <v>20160</v>
      </c>
      <c r="R4422" s="33">
        <f t="shared" si="433"/>
        <v>20100</v>
      </c>
      <c r="T4422" s="12"/>
      <c r="U4422" s="12">
        <v>12600</v>
      </c>
      <c r="V4422" s="12"/>
      <c r="W4422" s="12">
        <f t="shared" si="431"/>
        <v>24000</v>
      </c>
    </row>
    <row r="4423" spans="1:23" s="6" customFormat="1" ht="21.95" customHeight="1" x14ac:dyDescent="0.2">
      <c r="A4423" s="6" t="s">
        <v>943</v>
      </c>
      <c r="B4423" s="6" t="s">
        <v>1597</v>
      </c>
      <c r="C4423" s="6" t="s">
        <v>1408</v>
      </c>
      <c r="D4423" s="6" t="s">
        <v>1003</v>
      </c>
      <c r="G4423" s="6">
        <v>160</v>
      </c>
      <c r="H4423" s="6">
        <v>200</v>
      </c>
      <c r="I4423" s="9"/>
      <c r="J4423" s="9"/>
      <c r="K4423" s="9">
        <v>44008885</v>
      </c>
      <c r="L4423" s="6" t="str">
        <f t="shared" si="434"/>
        <v>1D  MYKONOS BAŞLIK  160x200</v>
      </c>
      <c r="M4423" s="12">
        <v>0.5</v>
      </c>
      <c r="N4423" s="12">
        <v>0.5</v>
      </c>
      <c r="O4423" s="12">
        <v>20500</v>
      </c>
      <c r="P4423" s="12">
        <f t="shared" si="432"/>
        <v>10250</v>
      </c>
      <c r="Q4423" s="12">
        <f t="shared" si="429"/>
        <v>21525</v>
      </c>
      <c r="R4423" s="33">
        <f t="shared" si="433"/>
        <v>21500</v>
      </c>
      <c r="T4423" s="12"/>
      <c r="U4423" s="12">
        <v>15200</v>
      </c>
      <c r="V4423" s="12"/>
      <c r="W4423" s="12">
        <f t="shared" si="431"/>
        <v>25625</v>
      </c>
    </row>
    <row r="4424" spans="1:23" s="6" customFormat="1" ht="21.95" customHeight="1" x14ac:dyDescent="0.2">
      <c r="A4424" s="6" t="s">
        <v>943</v>
      </c>
      <c r="B4424" s="6" t="s">
        <v>1597</v>
      </c>
      <c r="C4424" s="6" t="s">
        <v>1408</v>
      </c>
      <c r="D4424" s="6" t="s">
        <v>1003</v>
      </c>
      <c r="G4424" s="6">
        <v>180</v>
      </c>
      <c r="H4424" s="6">
        <v>200</v>
      </c>
      <c r="I4424" s="9"/>
      <c r="J4424" s="9"/>
      <c r="K4424" s="9">
        <v>44008886</v>
      </c>
      <c r="L4424" s="6" t="str">
        <f t="shared" si="434"/>
        <v>1D  MYKONOS BAŞLIK  180x200</v>
      </c>
      <c r="M4424" s="12">
        <v>0.5</v>
      </c>
      <c r="N4424" s="12">
        <v>0.5</v>
      </c>
      <c r="O4424" s="12">
        <v>23100</v>
      </c>
      <c r="P4424" s="12">
        <f t="shared" si="432"/>
        <v>11550</v>
      </c>
      <c r="Q4424" s="12">
        <f t="shared" si="429"/>
        <v>24255</v>
      </c>
      <c r="R4424" s="33">
        <f t="shared" si="433"/>
        <v>24200</v>
      </c>
      <c r="T4424" s="12"/>
      <c r="U4424" s="12">
        <v>17700</v>
      </c>
      <c r="V4424" s="12"/>
      <c r="W4424" s="12">
        <f t="shared" si="431"/>
        <v>28875</v>
      </c>
    </row>
    <row r="4425" spans="1:23" s="6" customFormat="1" ht="21.95" customHeight="1" x14ac:dyDescent="0.2">
      <c r="A4425" s="6" t="s">
        <v>943</v>
      </c>
      <c r="B4425" s="6" t="s">
        <v>1597</v>
      </c>
      <c r="C4425" s="6" t="s">
        <v>1408</v>
      </c>
      <c r="D4425" s="6" t="s">
        <v>943</v>
      </c>
      <c r="G4425" s="6">
        <v>140</v>
      </c>
      <c r="H4425" s="6">
        <v>200</v>
      </c>
      <c r="I4425" s="9"/>
      <c r="J4425" s="9"/>
      <c r="K4425" s="9">
        <v>44008891</v>
      </c>
      <c r="L4425" s="6" t="str">
        <f t="shared" si="434"/>
        <v>1D  MYKONOS YATAK  140x200</v>
      </c>
      <c r="M4425" s="12">
        <v>0.5</v>
      </c>
      <c r="N4425" s="12">
        <v>0.5</v>
      </c>
      <c r="O4425" s="12">
        <v>16700</v>
      </c>
      <c r="P4425" s="12">
        <f t="shared" si="432"/>
        <v>8350</v>
      </c>
      <c r="Q4425" s="12">
        <f t="shared" si="429"/>
        <v>17535</v>
      </c>
      <c r="R4425" s="33">
        <f t="shared" si="433"/>
        <v>17500</v>
      </c>
      <c r="T4425" s="12"/>
      <c r="U4425" s="12">
        <v>18900</v>
      </c>
      <c r="V4425" s="12"/>
      <c r="W4425" s="12">
        <f t="shared" si="431"/>
        <v>20875</v>
      </c>
    </row>
    <row r="4426" spans="1:23" s="6" customFormat="1" ht="21.95" customHeight="1" x14ac:dyDescent="0.2">
      <c r="A4426" s="6" t="s">
        <v>943</v>
      </c>
      <c r="B4426" s="6" t="s">
        <v>1597</v>
      </c>
      <c r="C4426" s="6" t="s">
        <v>1408</v>
      </c>
      <c r="D4426" s="6" t="s">
        <v>943</v>
      </c>
      <c r="G4426" s="6">
        <v>150</v>
      </c>
      <c r="H4426" s="6">
        <v>200</v>
      </c>
      <c r="I4426" s="9"/>
      <c r="J4426" s="9"/>
      <c r="K4426" s="9">
        <v>44008892</v>
      </c>
      <c r="L4426" s="6" t="str">
        <f t="shared" si="434"/>
        <v>1D  MYKONOS YATAK  150x200</v>
      </c>
      <c r="M4426" s="12">
        <v>0.5</v>
      </c>
      <c r="N4426" s="12">
        <v>0.5</v>
      </c>
      <c r="O4426" s="12">
        <v>17900</v>
      </c>
      <c r="P4426" s="12">
        <f t="shared" si="432"/>
        <v>8950</v>
      </c>
      <c r="Q4426" s="12">
        <f t="shared" si="429"/>
        <v>18795</v>
      </c>
      <c r="R4426" s="33">
        <f t="shared" si="433"/>
        <v>18700</v>
      </c>
      <c r="T4426" s="12"/>
      <c r="U4426" s="12">
        <v>20200</v>
      </c>
      <c r="V4426" s="12"/>
      <c r="W4426" s="12">
        <f t="shared" si="431"/>
        <v>22375</v>
      </c>
    </row>
    <row r="4427" spans="1:23" s="6" customFormat="1" ht="21.95" customHeight="1" x14ac:dyDescent="0.2">
      <c r="A4427" s="6" t="s">
        <v>943</v>
      </c>
      <c r="B4427" s="6" t="s">
        <v>1597</v>
      </c>
      <c r="C4427" s="6" t="s">
        <v>1408</v>
      </c>
      <c r="D4427" s="6" t="s">
        <v>943</v>
      </c>
      <c r="G4427" s="6">
        <v>160</v>
      </c>
      <c r="H4427" s="6">
        <v>200</v>
      </c>
      <c r="I4427" s="9"/>
      <c r="J4427" s="9"/>
      <c r="K4427" s="9">
        <v>44008893</v>
      </c>
      <c r="L4427" s="6" t="str">
        <f t="shared" si="434"/>
        <v>1D  MYKONOS YATAK  160x200</v>
      </c>
      <c r="M4427" s="12">
        <v>0.5</v>
      </c>
      <c r="N4427" s="12">
        <v>0.5</v>
      </c>
      <c r="O4427" s="12">
        <v>19100</v>
      </c>
      <c r="P4427" s="12">
        <f t="shared" si="432"/>
        <v>9550</v>
      </c>
      <c r="Q4427" s="12">
        <f t="shared" si="429"/>
        <v>20055</v>
      </c>
      <c r="R4427" s="33">
        <f t="shared" si="433"/>
        <v>20000</v>
      </c>
      <c r="T4427" s="12"/>
      <c r="U4427" s="12">
        <v>22700</v>
      </c>
      <c r="V4427" s="12"/>
      <c r="W4427" s="12">
        <f t="shared" si="431"/>
        <v>23875</v>
      </c>
    </row>
    <row r="4428" spans="1:23" s="6" customFormat="1" ht="21.95" customHeight="1" x14ac:dyDescent="0.2">
      <c r="A4428" s="6" t="s">
        <v>943</v>
      </c>
      <c r="B4428" s="6" t="s">
        <v>1597</v>
      </c>
      <c r="C4428" s="6" t="s">
        <v>1408</v>
      </c>
      <c r="D4428" s="6" t="s">
        <v>943</v>
      </c>
      <c r="G4428" s="6">
        <v>180</v>
      </c>
      <c r="H4428" s="6">
        <v>200</v>
      </c>
      <c r="I4428" s="9"/>
      <c r="J4428" s="9"/>
      <c r="K4428" s="9">
        <v>44008894</v>
      </c>
      <c r="L4428" s="6" t="str">
        <f t="shared" si="434"/>
        <v>1D  MYKONOS YATAK  180x200</v>
      </c>
      <c r="M4428" s="12">
        <v>0.5</v>
      </c>
      <c r="N4428" s="12">
        <v>0.5</v>
      </c>
      <c r="O4428" s="12">
        <v>21500</v>
      </c>
      <c r="P4428" s="12">
        <f t="shared" si="432"/>
        <v>10750</v>
      </c>
      <c r="Q4428" s="12">
        <f t="shared" si="429"/>
        <v>22575</v>
      </c>
      <c r="R4428" s="33">
        <f t="shared" si="433"/>
        <v>22500</v>
      </c>
      <c r="T4428" s="12"/>
      <c r="U4428" s="12">
        <v>4700</v>
      </c>
      <c r="V4428" s="12"/>
      <c r="W4428" s="12">
        <f t="shared" si="431"/>
        <v>26875</v>
      </c>
    </row>
    <row r="4429" spans="1:23" s="6" customFormat="1" ht="21.95" customHeight="1" x14ac:dyDescent="0.2">
      <c r="A4429" s="6" t="s">
        <v>943</v>
      </c>
      <c r="B4429" s="6" t="s">
        <v>1597</v>
      </c>
      <c r="C4429" s="6" t="s">
        <v>1408</v>
      </c>
      <c r="D4429" s="6" t="s">
        <v>1380</v>
      </c>
      <c r="I4429" s="9"/>
      <c r="J4429" s="9"/>
      <c r="K4429" s="9">
        <v>44008895</v>
      </c>
      <c r="L4429" s="6" t="str">
        <f t="shared" si="434"/>
        <v>1D  MYKONOS KOMODİN (2 ADET) x</v>
      </c>
      <c r="M4429" s="12">
        <v>0.5</v>
      </c>
      <c r="N4429" s="12">
        <v>0.5</v>
      </c>
      <c r="O4429" s="12">
        <v>14520</v>
      </c>
      <c r="P4429" s="12">
        <f t="shared" si="432"/>
        <v>7260</v>
      </c>
      <c r="Q4429" s="12">
        <f t="shared" si="429"/>
        <v>15246</v>
      </c>
      <c r="R4429" s="33">
        <f t="shared" si="433"/>
        <v>15200</v>
      </c>
      <c r="T4429" s="12"/>
      <c r="U4429" s="12">
        <v>4700</v>
      </c>
      <c r="V4429" s="12"/>
      <c r="W4429" s="12">
        <f t="shared" si="431"/>
        <v>18150</v>
      </c>
    </row>
    <row r="4430" spans="1:23" s="6" customFormat="1" ht="21.95" customHeight="1" x14ac:dyDescent="0.2">
      <c r="A4430" s="6" t="s">
        <v>943</v>
      </c>
      <c r="B4430" s="6" t="s">
        <v>1597</v>
      </c>
      <c r="C4430" s="6" t="s">
        <v>1409</v>
      </c>
      <c r="D4430" s="6" t="s">
        <v>989</v>
      </c>
      <c r="G4430" s="6">
        <v>90</v>
      </c>
      <c r="H4430" s="6">
        <v>190</v>
      </c>
      <c r="I4430" s="9"/>
      <c r="J4430" s="9"/>
      <c r="K4430" s="9">
        <v>44008921</v>
      </c>
      <c r="L4430" s="6" t="str">
        <f t="shared" si="434"/>
        <v>1D  ODESSA BAZA  90x190</v>
      </c>
      <c r="M4430" s="12">
        <v>0.5</v>
      </c>
      <c r="N4430" s="12">
        <v>0.5</v>
      </c>
      <c r="O4430" s="12">
        <v>9900</v>
      </c>
      <c r="P4430" s="12">
        <f t="shared" si="432"/>
        <v>4950</v>
      </c>
      <c r="Q4430" s="12">
        <f t="shared" si="429"/>
        <v>10395</v>
      </c>
      <c r="R4430" s="33">
        <f t="shared" si="433"/>
        <v>10300</v>
      </c>
      <c r="T4430" s="12"/>
      <c r="U4430" s="12">
        <v>4800</v>
      </c>
      <c r="V4430" s="12"/>
      <c r="W4430" s="12">
        <f t="shared" si="431"/>
        <v>12375</v>
      </c>
    </row>
    <row r="4431" spans="1:23" s="6" customFormat="1" ht="21.95" customHeight="1" x14ac:dyDescent="0.2">
      <c r="A4431" s="6" t="s">
        <v>943</v>
      </c>
      <c r="B4431" s="6" t="s">
        <v>1597</v>
      </c>
      <c r="C4431" s="6" t="s">
        <v>1409</v>
      </c>
      <c r="D4431" s="6" t="s">
        <v>989</v>
      </c>
      <c r="G4431" s="6">
        <v>90</v>
      </c>
      <c r="H4431" s="6">
        <v>200</v>
      </c>
      <c r="I4431" s="9"/>
      <c r="J4431" s="9"/>
      <c r="K4431" s="9">
        <v>44008922</v>
      </c>
      <c r="L4431" s="6" t="str">
        <f t="shared" si="434"/>
        <v>1D  ODESSA BAZA  90x200</v>
      </c>
      <c r="M4431" s="12">
        <v>0.5</v>
      </c>
      <c r="N4431" s="12">
        <v>0.5</v>
      </c>
      <c r="O4431" s="12">
        <v>10400</v>
      </c>
      <c r="P4431" s="12">
        <f t="shared" si="432"/>
        <v>5200</v>
      </c>
      <c r="Q4431" s="12">
        <f t="shared" si="429"/>
        <v>10920</v>
      </c>
      <c r="R4431" s="33">
        <f t="shared" si="433"/>
        <v>10900</v>
      </c>
      <c r="T4431" s="12"/>
      <c r="U4431" s="12">
        <v>5700</v>
      </c>
      <c r="V4431" s="12"/>
      <c r="W4431" s="12">
        <f t="shared" si="431"/>
        <v>13000</v>
      </c>
    </row>
    <row r="4432" spans="1:23" s="6" customFormat="1" ht="21.95" customHeight="1" x14ac:dyDescent="0.2">
      <c r="A4432" s="6" t="s">
        <v>943</v>
      </c>
      <c r="B4432" s="6" t="s">
        <v>1597</v>
      </c>
      <c r="C4432" s="6" t="s">
        <v>1409</v>
      </c>
      <c r="D4432" s="6" t="s">
        <v>989</v>
      </c>
      <c r="G4432" s="6">
        <v>100</v>
      </c>
      <c r="H4432" s="6">
        <v>200</v>
      </c>
      <c r="I4432" s="9"/>
      <c r="J4432" s="9"/>
      <c r="K4432" s="9">
        <v>44008923</v>
      </c>
      <c r="L4432" s="6" t="str">
        <f t="shared" si="434"/>
        <v>1D  ODESSA BAZA  100x200</v>
      </c>
      <c r="M4432" s="12">
        <v>0.5</v>
      </c>
      <c r="N4432" s="12">
        <v>0.5</v>
      </c>
      <c r="O4432" s="12">
        <v>11600</v>
      </c>
      <c r="P4432" s="12">
        <f t="shared" si="432"/>
        <v>5800</v>
      </c>
      <c r="Q4432" s="12">
        <f t="shared" si="429"/>
        <v>12180</v>
      </c>
      <c r="R4432" s="33">
        <f t="shared" si="433"/>
        <v>12100</v>
      </c>
      <c r="T4432" s="12"/>
      <c r="U4432" s="12">
        <v>6700</v>
      </c>
      <c r="V4432" s="12"/>
      <c r="W4432" s="12">
        <f t="shared" si="431"/>
        <v>14500</v>
      </c>
    </row>
    <row r="4433" spans="1:23" s="6" customFormat="1" ht="21.95" customHeight="1" x14ac:dyDescent="0.2">
      <c r="A4433" s="6" t="s">
        <v>943</v>
      </c>
      <c r="B4433" s="6" t="s">
        <v>1597</v>
      </c>
      <c r="C4433" s="6" t="s">
        <v>1409</v>
      </c>
      <c r="D4433" s="6" t="s">
        <v>989</v>
      </c>
      <c r="G4433" s="6">
        <v>120</v>
      </c>
      <c r="H4433" s="6">
        <v>200</v>
      </c>
      <c r="I4433" s="9"/>
      <c r="J4433" s="9"/>
      <c r="K4433" s="9">
        <v>44008924</v>
      </c>
      <c r="L4433" s="6" t="str">
        <f t="shared" si="434"/>
        <v>1D  ODESSA BAZA  120x200</v>
      </c>
      <c r="M4433" s="12">
        <v>0.5</v>
      </c>
      <c r="N4433" s="12">
        <v>0.5</v>
      </c>
      <c r="O4433" s="12">
        <v>13900</v>
      </c>
      <c r="P4433" s="12">
        <f t="shared" si="432"/>
        <v>6950</v>
      </c>
      <c r="Q4433" s="12">
        <f t="shared" si="429"/>
        <v>14595</v>
      </c>
      <c r="R4433" s="33">
        <f t="shared" si="433"/>
        <v>14500</v>
      </c>
      <c r="T4433" s="12"/>
      <c r="U4433" s="12">
        <v>7100</v>
      </c>
      <c r="V4433" s="12"/>
      <c r="W4433" s="12">
        <f t="shared" si="431"/>
        <v>17375</v>
      </c>
    </row>
    <row r="4434" spans="1:23" s="6" customFormat="1" ht="21.95" customHeight="1" x14ac:dyDescent="0.2">
      <c r="A4434" s="6" t="s">
        <v>943</v>
      </c>
      <c r="B4434" s="6" t="s">
        <v>1597</v>
      </c>
      <c r="C4434" s="6" t="s">
        <v>1409</v>
      </c>
      <c r="D4434" s="6" t="s">
        <v>989</v>
      </c>
      <c r="G4434" s="6">
        <v>140</v>
      </c>
      <c r="H4434" s="6">
        <v>200</v>
      </c>
      <c r="I4434" s="9"/>
      <c r="J4434" s="9"/>
      <c r="K4434" s="9">
        <v>44008925</v>
      </c>
      <c r="L4434" s="6" t="str">
        <f t="shared" si="434"/>
        <v>1D  ODESSA BAZA  140x200</v>
      </c>
      <c r="M4434" s="12">
        <v>0.5</v>
      </c>
      <c r="N4434" s="12">
        <v>0.5</v>
      </c>
      <c r="O4434" s="12">
        <v>16200</v>
      </c>
      <c r="P4434" s="12">
        <f t="shared" si="432"/>
        <v>8100</v>
      </c>
      <c r="Q4434" s="12">
        <f t="shared" si="429"/>
        <v>17010</v>
      </c>
      <c r="R4434" s="33">
        <f t="shared" si="433"/>
        <v>17000</v>
      </c>
      <c r="T4434" s="12"/>
      <c r="U4434" s="12">
        <v>7600</v>
      </c>
      <c r="V4434" s="12"/>
      <c r="W4434" s="12">
        <f t="shared" si="431"/>
        <v>20250</v>
      </c>
    </row>
    <row r="4435" spans="1:23" s="6" customFormat="1" ht="21.95" customHeight="1" x14ac:dyDescent="0.2">
      <c r="A4435" s="6" t="s">
        <v>943</v>
      </c>
      <c r="B4435" s="6" t="s">
        <v>1597</v>
      </c>
      <c r="C4435" s="6" t="s">
        <v>1409</v>
      </c>
      <c r="D4435" s="6" t="s">
        <v>989</v>
      </c>
      <c r="G4435" s="6">
        <v>150</v>
      </c>
      <c r="H4435" s="6">
        <v>200</v>
      </c>
      <c r="I4435" s="9"/>
      <c r="J4435" s="9"/>
      <c r="K4435" s="9">
        <v>44008926</v>
      </c>
      <c r="L4435" s="6" t="str">
        <f t="shared" si="434"/>
        <v>1D  ODESSA BAZA  150x200</v>
      </c>
      <c r="M4435" s="12">
        <v>0.5</v>
      </c>
      <c r="N4435" s="12">
        <v>0.5</v>
      </c>
      <c r="O4435" s="12">
        <v>17300</v>
      </c>
      <c r="P4435" s="12">
        <f t="shared" si="432"/>
        <v>8650</v>
      </c>
      <c r="Q4435" s="12">
        <f t="shared" ref="Q4435:Q4498" si="435">O4435*(1-N4435)*2.1</f>
        <v>18165</v>
      </c>
      <c r="R4435" s="33">
        <f t="shared" si="433"/>
        <v>18100</v>
      </c>
      <c r="T4435" s="12"/>
      <c r="U4435" s="12">
        <v>8600</v>
      </c>
      <c r="V4435" s="12"/>
      <c r="W4435" s="12">
        <f t="shared" si="431"/>
        <v>21625</v>
      </c>
    </row>
    <row r="4436" spans="1:23" s="6" customFormat="1" ht="21.95" customHeight="1" x14ac:dyDescent="0.2">
      <c r="A4436" s="6" t="s">
        <v>943</v>
      </c>
      <c r="B4436" s="6" t="s">
        <v>1597</v>
      </c>
      <c r="C4436" s="6" t="s">
        <v>1409</v>
      </c>
      <c r="D4436" s="6" t="s">
        <v>989</v>
      </c>
      <c r="G4436" s="6">
        <v>160</v>
      </c>
      <c r="H4436" s="6">
        <v>200</v>
      </c>
      <c r="I4436" s="9"/>
      <c r="J4436" s="9"/>
      <c r="K4436" s="9">
        <v>44008927</v>
      </c>
      <c r="L4436" s="6" t="str">
        <f t="shared" si="434"/>
        <v>1D  ODESSA BAZA  160x200</v>
      </c>
      <c r="M4436" s="12">
        <v>0.5</v>
      </c>
      <c r="N4436" s="12">
        <v>0.5</v>
      </c>
      <c r="O4436" s="12">
        <v>18500</v>
      </c>
      <c r="P4436" s="12">
        <f t="shared" si="432"/>
        <v>9250</v>
      </c>
      <c r="Q4436" s="12">
        <f t="shared" si="435"/>
        <v>19425</v>
      </c>
      <c r="R4436" s="33">
        <f t="shared" si="433"/>
        <v>19400</v>
      </c>
      <c r="T4436" s="12"/>
      <c r="U4436" s="12">
        <v>13000</v>
      </c>
      <c r="V4436" s="12"/>
      <c r="W4436" s="12">
        <f t="shared" si="431"/>
        <v>23125</v>
      </c>
    </row>
    <row r="4437" spans="1:23" s="6" customFormat="1" ht="21.95" customHeight="1" x14ac:dyDescent="0.2">
      <c r="A4437" s="6" t="s">
        <v>943</v>
      </c>
      <c r="B4437" s="6" t="s">
        <v>1597</v>
      </c>
      <c r="C4437" s="6" t="s">
        <v>1409</v>
      </c>
      <c r="D4437" s="6" t="s">
        <v>989</v>
      </c>
      <c r="G4437" s="6">
        <v>180</v>
      </c>
      <c r="H4437" s="6">
        <v>200</v>
      </c>
      <c r="I4437" s="9"/>
      <c r="J4437" s="9"/>
      <c r="K4437" s="9">
        <v>44008928</v>
      </c>
      <c r="L4437" s="6" t="str">
        <f t="shared" si="434"/>
        <v>1D  ODESSA BAZA  180x200</v>
      </c>
      <c r="M4437" s="12">
        <v>0.5</v>
      </c>
      <c r="N4437" s="12">
        <v>0.5</v>
      </c>
      <c r="O4437" s="12">
        <v>20800</v>
      </c>
      <c r="P4437" s="12">
        <f t="shared" si="432"/>
        <v>10400</v>
      </c>
      <c r="Q4437" s="12">
        <f t="shared" si="435"/>
        <v>21840</v>
      </c>
      <c r="R4437" s="33">
        <f t="shared" si="433"/>
        <v>21800</v>
      </c>
      <c r="T4437" s="12"/>
      <c r="U4437" s="12">
        <v>13700</v>
      </c>
      <c r="V4437" s="12"/>
      <c r="W4437" s="12">
        <f t="shared" si="431"/>
        <v>26000</v>
      </c>
    </row>
    <row r="4438" spans="1:23" s="6" customFormat="1" ht="21.95" customHeight="1" x14ac:dyDescent="0.2">
      <c r="A4438" s="6" t="s">
        <v>943</v>
      </c>
      <c r="B4438" s="6" t="s">
        <v>1597</v>
      </c>
      <c r="C4438" s="6" t="s">
        <v>1409</v>
      </c>
      <c r="D4438" s="6" t="s">
        <v>1003</v>
      </c>
      <c r="G4438" s="6">
        <v>90</v>
      </c>
      <c r="H4438" s="6">
        <v>190</v>
      </c>
      <c r="I4438" s="9"/>
      <c r="J4438" s="9"/>
      <c r="K4438" s="9">
        <v>44008929</v>
      </c>
      <c r="L4438" s="6" t="str">
        <f t="shared" si="434"/>
        <v>1D  ODESSA BAŞLIK  90x190</v>
      </c>
      <c r="M4438" s="12">
        <v>0.5</v>
      </c>
      <c r="N4438" s="12">
        <v>0.5</v>
      </c>
      <c r="O4438" s="12">
        <v>8700</v>
      </c>
      <c r="P4438" s="12">
        <f t="shared" si="432"/>
        <v>4350</v>
      </c>
      <c r="Q4438" s="12">
        <f t="shared" si="435"/>
        <v>9135</v>
      </c>
      <c r="R4438" s="33">
        <f t="shared" si="433"/>
        <v>9100</v>
      </c>
      <c r="T4438" s="12"/>
      <c r="U4438" s="12">
        <v>13900</v>
      </c>
      <c r="V4438" s="12"/>
      <c r="W4438" s="12">
        <f t="shared" si="431"/>
        <v>10875</v>
      </c>
    </row>
    <row r="4439" spans="1:23" s="6" customFormat="1" ht="21.95" customHeight="1" x14ac:dyDescent="0.2">
      <c r="A4439" s="6" t="s">
        <v>943</v>
      </c>
      <c r="B4439" s="6" t="s">
        <v>1597</v>
      </c>
      <c r="C4439" s="6" t="s">
        <v>1409</v>
      </c>
      <c r="D4439" s="6" t="s">
        <v>1003</v>
      </c>
      <c r="G4439" s="6">
        <v>90</v>
      </c>
      <c r="H4439" s="6">
        <v>200</v>
      </c>
      <c r="I4439" s="9"/>
      <c r="J4439" s="9"/>
      <c r="K4439" s="9">
        <v>44008930</v>
      </c>
      <c r="L4439" s="6" t="str">
        <f t="shared" si="434"/>
        <v>1D  ODESSA BAŞLIK  90x200</v>
      </c>
      <c r="M4439" s="12">
        <v>0.5</v>
      </c>
      <c r="N4439" s="12">
        <v>0.5</v>
      </c>
      <c r="O4439" s="12">
        <v>9100</v>
      </c>
      <c r="P4439" s="12">
        <f t="shared" si="432"/>
        <v>4550</v>
      </c>
      <c r="Q4439" s="12">
        <f t="shared" si="435"/>
        <v>9555</v>
      </c>
      <c r="R4439" s="33">
        <f t="shared" si="433"/>
        <v>9500</v>
      </c>
      <c r="T4439" s="12"/>
      <c r="U4439" s="12">
        <v>16700</v>
      </c>
      <c r="V4439" s="12"/>
      <c r="W4439" s="12">
        <f t="shared" si="431"/>
        <v>11375</v>
      </c>
    </row>
    <row r="4440" spans="1:23" s="6" customFormat="1" ht="21.95" customHeight="1" x14ac:dyDescent="0.2">
      <c r="A4440" s="6" t="s">
        <v>943</v>
      </c>
      <c r="B4440" s="6" t="s">
        <v>1597</v>
      </c>
      <c r="C4440" s="6" t="s">
        <v>1409</v>
      </c>
      <c r="D4440" s="6" t="s">
        <v>1003</v>
      </c>
      <c r="G4440" s="6">
        <v>100</v>
      </c>
      <c r="H4440" s="6">
        <v>200</v>
      </c>
      <c r="I4440" s="9"/>
      <c r="J4440" s="9"/>
      <c r="K4440" s="9">
        <v>44008931</v>
      </c>
      <c r="L4440" s="6" t="str">
        <f t="shared" si="434"/>
        <v>1D  ODESSA BAŞLIK  100x200</v>
      </c>
      <c r="M4440" s="12">
        <v>0.5</v>
      </c>
      <c r="N4440" s="12">
        <v>0.5</v>
      </c>
      <c r="O4440" s="12">
        <v>10100</v>
      </c>
      <c r="P4440" s="12">
        <f t="shared" si="432"/>
        <v>5050</v>
      </c>
      <c r="Q4440" s="12">
        <f t="shared" si="435"/>
        <v>10605</v>
      </c>
      <c r="R4440" s="33">
        <f t="shared" si="433"/>
        <v>10600</v>
      </c>
      <c r="T4440" s="12"/>
      <c r="U4440" s="12">
        <v>19400</v>
      </c>
      <c r="V4440" s="12"/>
      <c r="W4440" s="12">
        <f t="shared" si="431"/>
        <v>12625</v>
      </c>
    </row>
    <row r="4441" spans="1:23" s="6" customFormat="1" ht="21.95" customHeight="1" x14ac:dyDescent="0.2">
      <c r="A4441" s="6" t="s">
        <v>943</v>
      </c>
      <c r="B4441" s="6" t="s">
        <v>1597</v>
      </c>
      <c r="C4441" s="6" t="s">
        <v>1409</v>
      </c>
      <c r="D4441" s="6" t="s">
        <v>1003</v>
      </c>
      <c r="G4441" s="6">
        <v>120</v>
      </c>
      <c r="H4441" s="6">
        <v>200</v>
      </c>
      <c r="I4441" s="9"/>
      <c r="J4441" s="9"/>
      <c r="K4441" s="9">
        <v>44008932</v>
      </c>
      <c r="L4441" s="6" t="str">
        <f t="shared" si="434"/>
        <v>1D  ODESSA BAŞLIK  120x200</v>
      </c>
      <c r="M4441" s="12">
        <v>0.5</v>
      </c>
      <c r="N4441" s="12">
        <v>0.5</v>
      </c>
      <c r="O4441" s="12">
        <v>12200</v>
      </c>
      <c r="P4441" s="12">
        <f t="shared" si="432"/>
        <v>6100</v>
      </c>
      <c r="Q4441" s="12">
        <f t="shared" si="435"/>
        <v>12810</v>
      </c>
      <c r="R4441" s="33">
        <f t="shared" si="433"/>
        <v>12800</v>
      </c>
      <c r="T4441" s="12"/>
      <c r="U4441" s="12">
        <v>20800</v>
      </c>
      <c r="V4441" s="12"/>
      <c r="W4441" s="12">
        <f t="shared" si="431"/>
        <v>15250</v>
      </c>
    </row>
    <row r="4442" spans="1:23" s="6" customFormat="1" ht="21.95" customHeight="1" x14ac:dyDescent="0.2">
      <c r="A4442" s="6" t="s">
        <v>943</v>
      </c>
      <c r="B4442" s="6" t="s">
        <v>1597</v>
      </c>
      <c r="C4442" s="6" t="s">
        <v>1409</v>
      </c>
      <c r="D4442" s="6" t="s">
        <v>1003</v>
      </c>
      <c r="G4442" s="6">
        <v>140</v>
      </c>
      <c r="H4442" s="6">
        <v>200</v>
      </c>
      <c r="I4442" s="9"/>
      <c r="J4442" s="9"/>
      <c r="K4442" s="9">
        <v>44008933</v>
      </c>
      <c r="L4442" s="6" t="str">
        <f t="shared" si="434"/>
        <v>1D  ODESSA BAŞLIK  140x200</v>
      </c>
      <c r="M4442" s="12">
        <v>0.5</v>
      </c>
      <c r="N4442" s="12">
        <v>0.5</v>
      </c>
      <c r="O4442" s="12">
        <v>14200</v>
      </c>
      <c r="P4442" s="12">
        <f t="shared" si="432"/>
        <v>7100</v>
      </c>
      <c r="Q4442" s="12">
        <f t="shared" si="435"/>
        <v>14910</v>
      </c>
      <c r="R4442" s="33">
        <f t="shared" si="433"/>
        <v>14900</v>
      </c>
      <c r="T4442" s="12"/>
      <c r="U4442" s="12">
        <v>22200</v>
      </c>
      <c r="V4442" s="12"/>
      <c r="W4442" s="12">
        <f t="shared" si="431"/>
        <v>17750</v>
      </c>
    </row>
    <row r="4443" spans="1:23" s="6" customFormat="1" ht="21.95" customHeight="1" x14ac:dyDescent="0.2">
      <c r="A4443" s="6" t="s">
        <v>943</v>
      </c>
      <c r="B4443" s="6" t="s">
        <v>1597</v>
      </c>
      <c r="C4443" s="6" t="s">
        <v>1409</v>
      </c>
      <c r="D4443" s="6" t="s">
        <v>1003</v>
      </c>
      <c r="G4443" s="6">
        <v>150</v>
      </c>
      <c r="H4443" s="6">
        <v>200</v>
      </c>
      <c r="I4443" s="9"/>
      <c r="J4443" s="9"/>
      <c r="K4443" s="9">
        <v>44008934</v>
      </c>
      <c r="L4443" s="6" t="str">
        <f t="shared" si="434"/>
        <v>1D  ODESSA BAŞLIK  150x200</v>
      </c>
      <c r="M4443" s="12">
        <v>0.5</v>
      </c>
      <c r="N4443" s="12">
        <v>0.5</v>
      </c>
      <c r="O4443" s="12">
        <v>15200</v>
      </c>
      <c r="P4443" s="12">
        <f t="shared" si="432"/>
        <v>7600</v>
      </c>
      <c r="Q4443" s="12">
        <f t="shared" si="435"/>
        <v>15960</v>
      </c>
      <c r="R4443" s="33">
        <f t="shared" si="433"/>
        <v>15900</v>
      </c>
      <c r="T4443" s="12"/>
      <c r="U4443" s="12">
        <v>25000</v>
      </c>
      <c r="V4443" s="12"/>
      <c r="W4443" s="12">
        <f t="shared" si="431"/>
        <v>19000</v>
      </c>
    </row>
    <row r="4444" spans="1:23" s="6" customFormat="1" ht="21.95" customHeight="1" x14ac:dyDescent="0.2">
      <c r="A4444" s="6" t="s">
        <v>943</v>
      </c>
      <c r="B4444" s="6" t="s">
        <v>1597</v>
      </c>
      <c r="C4444" s="6" t="s">
        <v>1409</v>
      </c>
      <c r="D4444" s="6" t="s">
        <v>1003</v>
      </c>
      <c r="G4444" s="6">
        <v>160</v>
      </c>
      <c r="H4444" s="6">
        <v>200</v>
      </c>
      <c r="I4444" s="9"/>
      <c r="J4444" s="9"/>
      <c r="K4444" s="9">
        <v>44008935</v>
      </c>
      <c r="L4444" s="6" t="str">
        <f t="shared" si="434"/>
        <v>1D  ODESSA BAŞLIK  160x200</v>
      </c>
      <c r="M4444" s="12">
        <v>0.5</v>
      </c>
      <c r="N4444" s="12">
        <v>0.5</v>
      </c>
      <c r="O4444" s="12">
        <v>16200</v>
      </c>
      <c r="P4444" s="12">
        <f t="shared" si="432"/>
        <v>8100</v>
      </c>
      <c r="Q4444" s="12">
        <f t="shared" si="435"/>
        <v>17010</v>
      </c>
      <c r="R4444" s="33">
        <f t="shared" si="433"/>
        <v>17000</v>
      </c>
      <c r="T4444" s="12"/>
      <c r="U4444" s="12">
        <v>19300</v>
      </c>
      <c r="V4444" s="12"/>
      <c r="W4444" s="12">
        <f t="shared" si="431"/>
        <v>20250</v>
      </c>
    </row>
    <row r="4445" spans="1:23" s="6" customFormat="1" ht="21.95" customHeight="1" x14ac:dyDescent="0.2">
      <c r="A4445" s="6" t="s">
        <v>943</v>
      </c>
      <c r="B4445" s="6" t="s">
        <v>1597</v>
      </c>
      <c r="C4445" s="6" t="s">
        <v>1409</v>
      </c>
      <c r="D4445" s="6" t="s">
        <v>1003</v>
      </c>
      <c r="G4445" s="6">
        <v>180</v>
      </c>
      <c r="H4445" s="6">
        <v>200</v>
      </c>
      <c r="I4445" s="9"/>
      <c r="J4445" s="9"/>
      <c r="K4445" s="9">
        <v>44008936</v>
      </c>
      <c r="L4445" s="6" t="str">
        <f t="shared" si="434"/>
        <v>1D  ODESSA BAŞLIK  180x200</v>
      </c>
      <c r="M4445" s="12">
        <v>0.5</v>
      </c>
      <c r="N4445" s="12">
        <v>0.5</v>
      </c>
      <c r="O4445" s="12">
        <v>18200</v>
      </c>
      <c r="P4445" s="12">
        <f t="shared" si="432"/>
        <v>9100</v>
      </c>
      <c r="Q4445" s="12">
        <f t="shared" si="435"/>
        <v>19110</v>
      </c>
      <c r="R4445" s="33">
        <f t="shared" si="433"/>
        <v>19100</v>
      </c>
      <c r="T4445" s="12"/>
      <c r="U4445" s="12">
        <v>11800</v>
      </c>
      <c r="V4445" s="12"/>
      <c r="W4445" s="12">
        <f t="shared" si="431"/>
        <v>22750</v>
      </c>
    </row>
    <row r="4446" spans="1:23" s="6" customFormat="1" ht="21.95" customHeight="1" x14ac:dyDescent="0.2">
      <c r="A4446" s="6" t="s">
        <v>943</v>
      </c>
      <c r="B4446" s="6" t="s">
        <v>1597</v>
      </c>
      <c r="C4446" s="6" t="s">
        <v>1409</v>
      </c>
      <c r="D4446" s="6" t="s">
        <v>943</v>
      </c>
      <c r="G4446" s="6">
        <v>90</v>
      </c>
      <c r="H4446" s="6">
        <v>190</v>
      </c>
      <c r="I4446" s="9"/>
      <c r="J4446" s="9"/>
      <c r="K4446" s="9">
        <v>44008937</v>
      </c>
      <c r="L4446" s="6" t="str">
        <f t="shared" si="434"/>
        <v>1D  ODESSA YATAK  90x190</v>
      </c>
      <c r="M4446" s="12">
        <v>0.5</v>
      </c>
      <c r="N4446" s="12">
        <v>0.5</v>
      </c>
      <c r="O4446" s="12">
        <v>11200</v>
      </c>
      <c r="P4446" s="12">
        <f t="shared" si="432"/>
        <v>5600</v>
      </c>
      <c r="Q4446" s="12">
        <f t="shared" si="435"/>
        <v>11760</v>
      </c>
      <c r="R4446" s="33">
        <f t="shared" si="433"/>
        <v>11700</v>
      </c>
      <c r="T4446" s="12"/>
      <c r="U4446" s="12">
        <v>12400</v>
      </c>
      <c r="V4446" s="12"/>
      <c r="W4446" s="12">
        <f t="shared" si="431"/>
        <v>14000</v>
      </c>
    </row>
    <row r="4447" spans="1:23" s="6" customFormat="1" ht="21.95" customHeight="1" x14ac:dyDescent="0.2">
      <c r="A4447" s="6" t="s">
        <v>943</v>
      </c>
      <c r="B4447" s="6" t="s">
        <v>1597</v>
      </c>
      <c r="C4447" s="6" t="s">
        <v>1409</v>
      </c>
      <c r="D4447" s="6" t="s">
        <v>943</v>
      </c>
      <c r="G4447" s="6">
        <v>90</v>
      </c>
      <c r="H4447" s="6">
        <v>200</v>
      </c>
      <c r="I4447" s="9"/>
      <c r="J4447" s="9"/>
      <c r="K4447" s="9">
        <v>44008938</v>
      </c>
      <c r="L4447" s="6" t="str">
        <f t="shared" si="434"/>
        <v>1D  ODESSA YATAK  90x200</v>
      </c>
      <c r="M4447" s="12">
        <v>0.5</v>
      </c>
      <c r="N4447" s="12">
        <v>0.5</v>
      </c>
      <c r="O4447" s="12">
        <v>11800</v>
      </c>
      <c r="P4447" s="12">
        <f t="shared" si="432"/>
        <v>5900</v>
      </c>
      <c r="Q4447" s="12">
        <f t="shared" si="435"/>
        <v>12390</v>
      </c>
      <c r="R4447" s="33">
        <f t="shared" si="433"/>
        <v>12300</v>
      </c>
      <c r="T4447" s="12"/>
      <c r="U4447" s="12">
        <v>12500</v>
      </c>
      <c r="V4447" s="12"/>
      <c r="W4447" s="12">
        <f t="shared" si="431"/>
        <v>14750</v>
      </c>
    </row>
    <row r="4448" spans="1:23" s="6" customFormat="1" ht="21.95" customHeight="1" x14ac:dyDescent="0.2">
      <c r="A4448" s="6" t="s">
        <v>943</v>
      </c>
      <c r="B4448" s="6" t="s">
        <v>1597</v>
      </c>
      <c r="C4448" s="6" t="s">
        <v>1409</v>
      </c>
      <c r="D4448" s="6" t="s">
        <v>943</v>
      </c>
      <c r="G4448" s="6">
        <v>100</v>
      </c>
      <c r="H4448" s="6">
        <v>200</v>
      </c>
      <c r="I4448" s="9"/>
      <c r="J4448" s="9"/>
      <c r="K4448" s="9">
        <v>44008939</v>
      </c>
      <c r="L4448" s="6" t="str">
        <f t="shared" si="434"/>
        <v>1D  ODESSA YATAK  100x200</v>
      </c>
      <c r="M4448" s="12">
        <v>0.5</v>
      </c>
      <c r="N4448" s="12">
        <v>0.5</v>
      </c>
      <c r="O4448" s="12">
        <v>13100</v>
      </c>
      <c r="P4448" s="12">
        <f t="shared" si="432"/>
        <v>6550</v>
      </c>
      <c r="Q4448" s="12">
        <f t="shared" si="435"/>
        <v>13755</v>
      </c>
      <c r="R4448" s="33">
        <f t="shared" si="433"/>
        <v>13700</v>
      </c>
      <c r="T4448" s="12"/>
      <c r="U4448" s="12">
        <v>15000</v>
      </c>
      <c r="V4448" s="12"/>
      <c r="W4448" s="12">
        <f t="shared" si="431"/>
        <v>16375</v>
      </c>
    </row>
    <row r="4449" spans="1:23" s="6" customFormat="1" ht="21.95" customHeight="1" x14ac:dyDescent="0.2">
      <c r="A4449" s="6" t="s">
        <v>943</v>
      </c>
      <c r="B4449" s="6" t="s">
        <v>1597</v>
      </c>
      <c r="C4449" s="6" t="s">
        <v>1409</v>
      </c>
      <c r="D4449" s="6" t="s">
        <v>943</v>
      </c>
      <c r="G4449" s="6">
        <v>120</v>
      </c>
      <c r="H4449" s="6">
        <v>200</v>
      </c>
      <c r="I4449" s="9"/>
      <c r="J4449" s="9"/>
      <c r="K4449" s="9">
        <v>44008940</v>
      </c>
      <c r="L4449" s="6" t="str">
        <f t="shared" si="434"/>
        <v>1D  ODESSA YATAK  120x200</v>
      </c>
      <c r="M4449" s="12">
        <v>0.5</v>
      </c>
      <c r="N4449" s="12">
        <v>0.5</v>
      </c>
      <c r="O4449" s="12">
        <v>15700</v>
      </c>
      <c r="P4449" s="12">
        <f t="shared" si="432"/>
        <v>7850</v>
      </c>
      <c r="Q4449" s="12">
        <f t="shared" si="435"/>
        <v>16485</v>
      </c>
      <c r="R4449" s="33">
        <f t="shared" si="433"/>
        <v>16400</v>
      </c>
      <c r="T4449" s="12"/>
      <c r="U4449" s="12">
        <v>17500</v>
      </c>
      <c r="V4449" s="12"/>
      <c r="W4449" s="12">
        <f t="shared" si="431"/>
        <v>19625</v>
      </c>
    </row>
    <row r="4450" spans="1:23" s="6" customFormat="1" ht="21.95" customHeight="1" x14ac:dyDescent="0.2">
      <c r="A4450" s="6" t="s">
        <v>943</v>
      </c>
      <c r="B4450" s="6" t="s">
        <v>1597</v>
      </c>
      <c r="C4450" s="6" t="s">
        <v>1409</v>
      </c>
      <c r="D4450" s="6" t="s">
        <v>943</v>
      </c>
      <c r="G4450" s="6">
        <v>140</v>
      </c>
      <c r="H4450" s="6">
        <v>200</v>
      </c>
      <c r="I4450" s="9"/>
      <c r="J4450" s="9"/>
      <c r="K4450" s="9">
        <v>44008941</v>
      </c>
      <c r="L4450" s="6" t="str">
        <f t="shared" si="434"/>
        <v>1D  ODESSA YATAK  140x200</v>
      </c>
      <c r="M4450" s="12">
        <v>0.5</v>
      </c>
      <c r="N4450" s="12">
        <v>0.5</v>
      </c>
      <c r="O4450" s="12">
        <v>18300</v>
      </c>
      <c r="P4450" s="12">
        <f t="shared" si="432"/>
        <v>9150</v>
      </c>
      <c r="Q4450" s="12">
        <f t="shared" si="435"/>
        <v>19215</v>
      </c>
      <c r="R4450" s="33">
        <f t="shared" si="433"/>
        <v>19200</v>
      </c>
      <c r="T4450" s="12"/>
      <c r="U4450" s="12">
        <v>18800</v>
      </c>
      <c r="V4450" s="12"/>
      <c r="W4450" s="12">
        <f t="shared" si="431"/>
        <v>22875</v>
      </c>
    </row>
    <row r="4451" spans="1:23" s="6" customFormat="1" ht="21.95" customHeight="1" x14ac:dyDescent="0.2">
      <c r="A4451" s="6" t="s">
        <v>943</v>
      </c>
      <c r="B4451" s="6" t="s">
        <v>1597</v>
      </c>
      <c r="C4451" s="6" t="s">
        <v>1409</v>
      </c>
      <c r="D4451" s="6" t="s">
        <v>943</v>
      </c>
      <c r="G4451" s="6">
        <v>150</v>
      </c>
      <c r="H4451" s="6">
        <v>200</v>
      </c>
      <c r="I4451" s="9"/>
      <c r="J4451" s="9"/>
      <c r="K4451" s="9">
        <v>44008942</v>
      </c>
      <c r="L4451" s="6" t="str">
        <f t="shared" si="434"/>
        <v>1D  ODESSA YATAK  150x200</v>
      </c>
      <c r="M4451" s="12">
        <v>0.5</v>
      </c>
      <c r="N4451" s="12">
        <v>0.5</v>
      </c>
      <c r="O4451" s="12">
        <v>19600</v>
      </c>
      <c r="P4451" s="12">
        <f t="shared" si="432"/>
        <v>9800</v>
      </c>
      <c r="Q4451" s="12">
        <f t="shared" si="435"/>
        <v>20580</v>
      </c>
      <c r="R4451" s="33">
        <f t="shared" si="433"/>
        <v>20500</v>
      </c>
      <c r="T4451" s="12"/>
      <c r="U4451" s="12">
        <v>20000</v>
      </c>
      <c r="V4451" s="12"/>
      <c r="W4451" s="12">
        <f t="shared" si="431"/>
        <v>24500</v>
      </c>
    </row>
    <row r="4452" spans="1:23" s="6" customFormat="1" ht="21.95" customHeight="1" x14ac:dyDescent="0.2">
      <c r="A4452" s="6" t="s">
        <v>943</v>
      </c>
      <c r="B4452" s="6" t="s">
        <v>1597</v>
      </c>
      <c r="C4452" s="6" t="s">
        <v>1409</v>
      </c>
      <c r="D4452" s="6" t="s">
        <v>943</v>
      </c>
      <c r="G4452" s="6">
        <v>160</v>
      </c>
      <c r="H4452" s="6">
        <v>200</v>
      </c>
      <c r="I4452" s="9"/>
      <c r="J4452" s="9"/>
      <c r="K4452" s="9">
        <v>44008943</v>
      </c>
      <c r="L4452" s="6" t="str">
        <f t="shared" si="434"/>
        <v>1D  ODESSA YATAK  160x200</v>
      </c>
      <c r="M4452" s="12">
        <v>0.5</v>
      </c>
      <c r="N4452" s="12">
        <v>0.5</v>
      </c>
      <c r="O4452" s="12">
        <v>20900</v>
      </c>
      <c r="P4452" s="12">
        <f t="shared" si="432"/>
        <v>10450</v>
      </c>
      <c r="Q4452" s="12">
        <f t="shared" si="435"/>
        <v>21945</v>
      </c>
      <c r="R4452" s="33">
        <f t="shared" si="433"/>
        <v>21900</v>
      </c>
      <c r="T4452" s="12"/>
      <c r="U4452" s="12">
        <v>22500</v>
      </c>
      <c r="V4452" s="12"/>
      <c r="W4452" s="12">
        <f t="shared" ref="W4452:W4490" si="436">P4452*2.5</f>
        <v>26125</v>
      </c>
    </row>
    <row r="4453" spans="1:23" s="6" customFormat="1" ht="21.95" customHeight="1" x14ac:dyDescent="0.2">
      <c r="A4453" s="6" t="s">
        <v>943</v>
      </c>
      <c r="B4453" s="6" t="s">
        <v>1597</v>
      </c>
      <c r="C4453" s="6" t="s">
        <v>1409</v>
      </c>
      <c r="D4453" s="6" t="s">
        <v>943</v>
      </c>
      <c r="G4453" s="6">
        <v>180</v>
      </c>
      <c r="H4453" s="6">
        <v>200</v>
      </c>
      <c r="I4453" s="9"/>
      <c r="J4453" s="9"/>
      <c r="K4453" s="9">
        <v>44008944</v>
      </c>
      <c r="L4453" s="6" t="str">
        <f t="shared" si="434"/>
        <v>1D  ODESSA YATAK  180x200</v>
      </c>
      <c r="M4453" s="12">
        <v>0.5</v>
      </c>
      <c r="N4453" s="12">
        <v>0.5</v>
      </c>
      <c r="O4453" s="12">
        <v>23500</v>
      </c>
      <c r="P4453" s="12">
        <f t="shared" si="432"/>
        <v>11750</v>
      </c>
      <c r="Q4453" s="12">
        <f t="shared" si="435"/>
        <v>24675</v>
      </c>
      <c r="R4453" s="33">
        <f t="shared" si="433"/>
        <v>24600</v>
      </c>
      <c r="T4453" s="12"/>
      <c r="U4453" s="12">
        <v>4800</v>
      </c>
      <c r="V4453" s="12"/>
      <c r="W4453" s="12">
        <f t="shared" si="436"/>
        <v>29375</v>
      </c>
    </row>
    <row r="4454" spans="1:23" s="6" customFormat="1" ht="21.95" customHeight="1" x14ac:dyDescent="0.2">
      <c r="A4454" s="6" t="s">
        <v>943</v>
      </c>
      <c r="B4454" s="6" t="s">
        <v>1597</v>
      </c>
      <c r="C4454" s="6" t="s">
        <v>1409</v>
      </c>
      <c r="D4454" s="6" t="s">
        <v>1380</v>
      </c>
      <c r="I4454" s="9"/>
      <c r="J4454" s="9"/>
      <c r="K4454" s="9">
        <v>44008945</v>
      </c>
      <c r="L4454" s="6" t="str">
        <f>B4454&amp;" "&amp;C4454&amp;" "&amp;D4454</f>
        <v>1D  ODESSA KOMODİN (2 ADET)</v>
      </c>
      <c r="M4454" s="12">
        <v>0.5</v>
      </c>
      <c r="N4454" s="12">
        <v>0.5</v>
      </c>
      <c r="O4454" s="12">
        <v>13200</v>
      </c>
      <c r="P4454" s="12">
        <f t="shared" si="432"/>
        <v>6600</v>
      </c>
      <c r="Q4454" s="12">
        <f t="shared" si="435"/>
        <v>13860</v>
      </c>
      <c r="R4454" s="33">
        <f t="shared" si="433"/>
        <v>13800</v>
      </c>
      <c r="T4454" s="12"/>
      <c r="U4454" s="12">
        <v>4800</v>
      </c>
      <c r="V4454" s="12"/>
      <c r="W4454" s="12">
        <f t="shared" si="436"/>
        <v>16500</v>
      </c>
    </row>
    <row r="4455" spans="1:23" s="6" customFormat="1" ht="21.95" customHeight="1" x14ac:dyDescent="0.2">
      <c r="A4455" s="6" t="s">
        <v>943</v>
      </c>
      <c r="B4455" s="6" t="s">
        <v>1597</v>
      </c>
      <c r="C4455" s="6" t="s">
        <v>735</v>
      </c>
      <c r="D4455" s="6" t="s">
        <v>989</v>
      </c>
      <c r="G4455" s="6">
        <v>90</v>
      </c>
      <c r="H4455" s="6">
        <v>190</v>
      </c>
      <c r="I4455" s="9"/>
      <c r="J4455" s="9"/>
      <c r="K4455" s="9">
        <v>44008996</v>
      </c>
      <c r="L4455" s="6" t="str">
        <f t="shared" ref="L4455:L4478" si="437">B4455&amp;" "&amp;C4455&amp;" "&amp;D4455&amp;" "&amp;G4455&amp;"x"&amp;H4455</f>
        <v>1D  PARMA BAZA  90x190</v>
      </c>
      <c r="M4455" s="12">
        <v>0.5</v>
      </c>
      <c r="N4455" s="12">
        <v>0.5</v>
      </c>
      <c r="O4455" s="12">
        <v>9900</v>
      </c>
      <c r="P4455" s="12">
        <f t="shared" si="432"/>
        <v>4950</v>
      </c>
      <c r="Q4455" s="12">
        <f t="shared" si="435"/>
        <v>10395</v>
      </c>
      <c r="R4455" s="33">
        <f t="shared" si="433"/>
        <v>10300</v>
      </c>
      <c r="T4455" s="12"/>
      <c r="U4455" s="12">
        <v>4900</v>
      </c>
      <c r="V4455" s="12"/>
      <c r="W4455" s="12">
        <f t="shared" si="436"/>
        <v>12375</v>
      </c>
    </row>
    <row r="4456" spans="1:23" s="6" customFormat="1" ht="21.95" customHeight="1" x14ac:dyDescent="0.2">
      <c r="A4456" s="6" t="s">
        <v>943</v>
      </c>
      <c r="B4456" s="6" t="s">
        <v>1597</v>
      </c>
      <c r="C4456" s="6" t="s">
        <v>735</v>
      </c>
      <c r="D4456" s="6" t="s">
        <v>989</v>
      </c>
      <c r="G4456" s="6">
        <v>90</v>
      </c>
      <c r="H4456" s="6">
        <v>200</v>
      </c>
      <c r="I4456" s="9"/>
      <c r="J4456" s="9"/>
      <c r="K4456" s="9">
        <v>44008997</v>
      </c>
      <c r="L4456" s="6" t="str">
        <f t="shared" si="437"/>
        <v>1D  PARMA BAZA  90x200</v>
      </c>
      <c r="M4456" s="12">
        <v>0.5</v>
      </c>
      <c r="N4456" s="12">
        <v>0.5</v>
      </c>
      <c r="O4456" s="12">
        <v>10400</v>
      </c>
      <c r="P4456" s="12">
        <f t="shared" si="432"/>
        <v>5200</v>
      </c>
      <c r="Q4456" s="12">
        <f t="shared" si="435"/>
        <v>10920</v>
      </c>
      <c r="R4456" s="33">
        <f t="shared" si="433"/>
        <v>10900</v>
      </c>
      <c r="T4456" s="12"/>
      <c r="U4456" s="12">
        <v>5900</v>
      </c>
      <c r="V4456" s="12"/>
      <c r="W4456" s="12">
        <f t="shared" si="436"/>
        <v>13000</v>
      </c>
    </row>
    <row r="4457" spans="1:23" s="6" customFormat="1" ht="21.95" customHeight="1" x14ac:dyDescent="0.2">
      <c r="A4457" s="6" t="s">
        <v>943</v>
      </c>
      <c r="B4457" s="6" t="s">
        <v>1597</v>
      </c>
      <c r="C4457" s="6" t="s">
        <v>735</v>
      </c>
      <c r="D4457" s="6" t="s">
        <v>989</v>
      </c>
      <c r="G4457" s="6">
        <v>100</v>
      </c>
      <c r="H4457" s="6">
        <v>200</v>
      </c>
      <c r="I4457" s="9"/>
      <c r="J4457" s="9"/>
      <c r="K4457" s="9">
        <v>44008998</v>
      </c>
      <c r="L4457" s="6" t="str">
        <f t="shared" si="437"/>
        <v>1D  PARMA BAZA  100x200</v>
      </c>
      <c r="M4457" s="12">
        <v>0.5</v>
      </c>
      <c r="N4457" s="12">
        <v>0.5</v>
      </c>
      <c r="O4457" s="12">
        <v>11600</v>
      </c>
      <c r="P4457" s="12">
        <f t="shared" si="432"/>
        <v>5800</v>
      </c>
      <c r="Q4457" s="12">
        <f t="shared" si="435"/>
        <v>12180</v>
      </c>
      <c r="R4457" s="33">
        <f t="shared" si="433"/>
        <v>12100</v>
      </c>
      <c r="T4457" s="12"/>
      <c r="U4457" s="12">
        <v>6800</v>
      </c>
      <c r="V4457" s="12"/>
      <c r="W4457" s="12">
        <f t="shared" si="436"/>
        <v>14500</v>
      </c>
    </row>
    <row r="4458" spans="1:23" s="6" customFormat="1" ht="21.95" customHeight="1" x14ac:dyDescent="0.2">
      <c r="A4458" s="6" t="s">
        <v>943</v>
      </c>
      <c r="B4458" s="6" t="s">
        <v>1597</v>
      </c>
      <c r="C4458" s="6" t="s">
        <v>735</v>
      </c>
      <c r="D4458" s="6" t="s">
        <v>989</v>
      </c>
      <c r="G4458" s="6">
        <v>120</v>
      </c>
      <c r="H4458" s="6">
        <v>200</v>
      </c>
      <c r="I4458" s="9"/>
      <c r="J4458" s="9"/>
      <c r="K4458" s="9">
        <v>44008999</v>
      </c>
      <c r="L4458" s="6" t="str">
        <f t="shared" si="437"/>
        <v>1D  PARMA BAZA  120x200</v>
      </c>
      <c r="M4458" s="12">
        <v>0.5</v>
      </c>
      <c r="N4458" s="12">
        <v>0.5</v>
      </c>
      <c r="O4458" s="12">
        <v>13900</v>
      </c>
      <c r="P4458" s="12">
        <f t="shared" si="432"/>
        <v>6950</v>
      </c>
      <c r="Q4458" s="12">
        <f t="shared" si="435"/>
        <v>14595</v>
      </c>
      <c r="R4458" s="33">
        <f t="shared" si="433"/>
        <v>14500</v>
      </c>
      <c r="T4458" s="12"/>
      <c r="U4458" s="12">
        <v>7300</v>
      </c>
      <c r="V4458" s="12"/>
      <c r="W4458" s="12">
        <f t="shared" si="436"/>
        <v>17375</v>
      </c>
    </row>
    <row r="4459" spans="1:23" s="6" customFormat="1" ht="21.95" customHeight="1" x14ac:dyDescent="0.2">
      <c r="A4459" s="6" t="s">
        <v>943</v>
      </c>
      <c r="B4459" s="6" t="s">
        <v>1597</v>
      </c>
      <c r="C4459" s="6" t="s">
        <v>735</v>
      </c>
      <c r="D4459" s="6" t="s">
        <v>989</v>
      </c>
      <c r="G4459" s="6">
        <v>140</v>
      </c>
      <c r="H4459" s="6">
        <v>200</v>
      </c>
      <c r="I4459" s="9"/>
      <c r="J4459" s="9"/>
      <c r="K4459" s="9">
        <v>44009000</v>
      </c>
      <c r="L4459" s="6" t="str">
        <f t="shared" si="437"/>
        <v>1D  PARMA BAZA  140x200</v>
      </c>
      <c r="M4459" s="12">
        <v>0.5</v>
      </c>
      <c r="N4459" s="12">
        <v>0.5</v>
      </c>
      <c r="O4459" s="12">
        <v>16200</v>
      </c>
      <c r="P4459" s="12">
        <f t="shared" si="432"/>
        <v>8100</v>
      </c>
      <c r="Q4459" s="12">
        <f t="shared" si="435"/>
        <v>17010</v>
      </c>
      <c r="R4459" s="33">
        <f t="shared" si="433"/>
        <v>17000</v>
      </c>
      <c r="T4459" s="12"/>
      <c r="U4459" s="12">
        <v>7800</v>
      </c>
      <c r="V4459" s="12"/>
      <c r="W4459" s="12">
        <f t="shared" si="436"/>
        <v>20250</v>
      </c>
    </row>
    <row r="4460" spans="1:23" s="6" customFormat="1" ht="21.95" customHeight="1" x14ac:dyDescent="0.2">
      <c r="A4460" s="6" t="s">
        <v>943</v>
      </c>
      <c r="B4460" s="6" t="s">
        <v>1597</v>
      </c>
      <c r="C4460" s="6" t="s">
        <v>735</v>
      </c>
      <c r="D4460" s="6" t="s">
        <v>989</v>
      </c>
      <c r="G4460" s="6">
        <v>150</v>
      </c>
      <c r="H4460" s="6">
        <v>200</v>
      </c>
      <c r="I4460" s="9"/>
      <c r="J4460" s="9"/>
      <c r="K4460" s="9">
        <v>44009001</v>
      </c>
      <c r="L4460" s="6" t="str">
        <f t="shared" si="437"/>
        <v>1D  PARMA BAZA  150x200</v>
      </c>
      <c r="M4460" s="12">
        <v>0.5</v>
      </c>
      <c r="N4460" s="12">
        <v>0.5</v>
      </c>
      <c r="O4460" s="12">
        <v>17300</v>
      </c>
      <c r="P4460" s="12">
        <f t="shared" si="432"/>
        <v>8650</v>
      </c>
      <c r="Q4460" s="12">
        <f t="shared" si="435"/>
        <v>18165</v>
      </c>
      <c r="R4460" s="33">
        <f t="shared" si="433"/>
        <v>18100</v>
      </c>
      <c r="T4460" s="12"/>
      <c r="U4460" s="12">
        <v>8800</v>
      </c>
      <c r="V4460" s="12"/>
      <c r="W4460" s="12">
        <f t="shared" si="436"/>
        <v>21625</v>
      </c>
    </row>
    <row r="4461" spans="1:23" s="6" customFormat="1" ht="21.95" customHeight="1" x14ac:dyDescent="0.2">
      <c r="A4461" s="6" t="s">
        <v>943</v>
      </c>
      <c r="B4461" s="6" t="s">
        <v>1597</v>
      </c>
      <c r="C4461" s="6" t="s">
        <v>735</v>
      </c>
      <c r="D4461" s="6" t="s">
        <v>989</v>
      </c>
      <c r="G4461" s="6">
        <v>160</v>
      </c>
      <c r="H4461" s="6">
        <v>200</v>
      </c>
      <c r="I4461" s="9"/>
      <c r="J4461" s="9"/>
      <c r="K4461" s="9">
        <v>44009002</v>
      </c>
      <c r="L4461" s="6" t="str">
        <f t="shared" si="437"/>
        <v>1D  PARMA BAZA  160x200</v>
      </c>
      <c r="M4461" s="12">
        <v>0.5</v>
      </c>
      <c r="N4461" s="12">
        <v>0.5</v>
      </c>
      <c r="O4461" s="12">
        <v>18500</v>
      </c>
      <c r="P4461" s="12">
        <f t="shared" ref="P4461:P4524" si="438">O4461*(1-N4461)</f>
        <v>9250</v>
      </c>
      <c r="Q4461" s="12">
        <f t="shared" si="435"/>
        <v>19425</v>
      </c>
      <c r="R4461" s="33">
        <f t="shared" ref="R4461:R4524" si="439">ROUNDDOWN(Q4461,-2)</f>
        <v>19400</v>
      </c>
      <c r="T4461" s="12"/>
      <c r="U4461" s="12">
        <v>9800</v>
      </c>
      <c r="V4461" s="12"/>
      <c r="W4461" s="12">
        <f t="shared" si="436"/>
        <v>23125</v>
      </c>
    </row>
    <row r="4462" spans="1:23" s="6" customFormat="1" ht="21.95" customHeight="1" x14ac:dyDescent="0.2">
      <c r="A4462" s="6" t="s">
        <v>943</v>
      </c>
      <c r="B4462" s="6" t="s">
        <v>1597</v>
      </c>
      <c r="C4462" s="6" t="s">
        <v>735</v>
      </c>
      <c r="D4462" s="6" t="s">
        <v>989</v>
      </c>
      <c r="G4462" s="6">
        <v>180</v>
      </c>
      <c r="H4462" s="6">
        <v>200</v>
      </c>
      <c r="I4462" s="9"/>
      <c r="J4462" s="9"/>
      <c r="K4462" s="9">
        <v>44009003</v>
      </c>
      <c r="L4462" s="6" t="str">
        <f t="shared" si="437"/>
        <v>1D  PARMA BAZA  180x200</v>
      </c>
      <c r="M4462" s="12">
        <v>0.5</v>
      </c>
      <c r="N4462" s="12">
        <v>0.5</v>
      </c>
      <c r="O4462" s="12">
        <v>20800</v>
      </c>
      <c r="P4462" s="12">
        <f t="shared" si="438"/>
        <v>10400</v>
      </c>
      <c r="Q4462" s="12">
        <f t="shared" si="435"/>
        <v>21840</v>
      </c>
      <c r="R4462" s="33">
        <f t="shared" si="439"/>
        <v>21800</v>
      </c>
      <c r="T4462" s="12"/>
      <c r="U4462" s="12">
        <v>10300</v>
      </c>
      <c r="V4462" s="12"/>
      <c r="W4462" s="12">
        <f t="shared" si="436"/>
        <v>26000</v>
      </c>
    </row>
    <row r="4463" spans="1:23" s="6" customFormat="1" ht="21.95" customHeight="1" x14ac:dyDescent="0.2">
      <c r="A4463" s="6" t="s">
        <v>943</v>
      </c>
      <c r="B4463" s="6" t="s">
        <v>1597</v>
      </c>
      <c r="C4463" s="6" t="s">
        <v>735</v>
      </c>
      <c r="D4463" s="6" t="s">
        <v>1003</v>
      </c>
      <c r="G4463" s="6">
        <v>90</v>
      </c>
      <c r="H4463" s="6">
        <v>190</v>
      </c>
      <c r="I4463" s="9"/>
      <c r="J4463" s="9"/>
      <c r="K4463" s="9">
        <v>44009004</v>
      </c>
      <c r="L4463" s="6" t="str">
        <f t="shared" si="437"/>
        <v>1D  PARMA BAŞLIK  90x190</v>
      </c>
      <c r="M4463" s="12">
        <v>0.5</v>
      </c>
      <c r="N4463" s="12">
        <v>0.5</v>
      </c>
      <c r="O4463" s="12">
        <v>6800</v>
      </c>
      <c r="P4463" s="12">
        <f t="shared" si="438"/>
        <v>3400</v>
      </c>
      <c r="Q4463" s="12">
        <f t="shared" si="435"/>
        <v>7140</v>
      </c>
      <c r="R4463" s="33">
        <f t="shared" si="439"/>
        <v>7100</v>
      </c>
      <c r="T4463" s="12"/>
      <c r="U4463" s="12">
        <v>10400</v>
      </c>
      <c r="V4463" s="12"/>
      <c r="W4463" s="12">
        <f t="shared" si="436"/>
        <v>8500</v>
      </c>
    </row>
    <row r="4464" spans="1:23" s="6" customFormat="1" ht="21.95" customHeight="1" x14ac:dyDescent="0.2">
      <c r="A4464" s="6" t="s">
        <v>943</v>
      </c>
      <c r="B4464" s="6" t="s">
        <v>1597</v>
      </c>
      <c r="C4464" s="6" t="s">
        <v>735</v>
      </c>
      <c r="D4464" s="6" t="s">
        <v>1003</v>
      </c>
      <c r="G4464" s="6">
        <v>90</v>
      </c>
      <c r="H4464" s="6">
        <v>200</v>
      </c>
      <c r="I4464" s="9"/>
      <c r="J4464" s="9"/>
      <c r="K4464" s="9">
        <v>44009005</v>
      </c>
      <c r="L4464" s="6" t="str">
        <f t="shared" si="437"/>
        <v>1D  PARMA BAŞLIK  90x200</v>
      </c>
      <c r="M4464" s="12">
        <v>0.5</v>
      </c>
      <c r="N4464" s="12">
        <v>0.5</v>
      </c>
      <c r="O4464" s="12">
        <v>7200</v>
      </c>
      <c r="P4464" s="12">
        <f t="shared" si="438"/>
        <v>3600</v>
      </c>
      <c r="Q4464" s="12">
        <f t="shared" si="435"/>
        <v>7560</v>
      </c>
      <c r="R4464" s="33">
        <f t="shared" si="439"/>
        <v>7500</v>
      </c>
      <c r="T4464" s="12"/>
      <c r="U4464" s="12">
        <v>12500</v>
      </c>
      <c r="V4464" s="12"/>
      <c r="W4464" s="12">
        <f t="shared" si="436"/>
        <v>9000</v>
      </c>
    </row>
    <row r="4465" spans="1:23" s="6" customFormat="1" ht="21.95" customHeight="1" x14ac:dyDescent="0.2">
      <c r="A4465" s="6" t="s">
        <v>943</v>
      </c>
      <c r="B4465" s="6" t="s">
        <v>1597</v>
      </c>
      <c r="C4465" s="6" t="s">
        <v>735</v>
      </c>
      <c r="D4465" s="6" t="s">
        <v>1003</v>
      </c>
      <c r="G4465" s="6">
        <v>100</v>
      </c>
      <c r="H4465" s="6">
        <v>200</v>
      </c>
      <c r="I4465" s="9"/>
      <c r="J4465" s="9"/>
      <c r="K4465" s="9">
        <v>44009006</v>
      </c>
      <c r="L4465" s="6" t="str">
        <f t="shared" si="437"/>
        <v>1D  PARMA BAŞLIK  100x200</v>
      </c>
      <c r="M4465" s="12">
        <v>0.5</v>
      </c>
      <c r="N4465" s="12">
        <v>0.5</v>
      </c>
      <c r="O4465" s="12">
        <v>8000</v>
      </c>
      <c r="P4465" s="12">
        <f t="shared" si="438"/>
        <v>4000</v>
      </c>
      <c r="Q4465" s="12">
        <f t="shared" si="435"/>
        <v>8400</v>
      </c>
      <c r="R4465" s="33">
        <f t="shared" si="439"/>
        <v>8400</v>
      </c>
      <c r="T4465" s="12"/>
      <c r="U4465" s="12">
        <v>14600</v>
      </c>
      <c r="V4465" s="12"/>
      <c r="W4465" s="12">
        <f t="shared" si="436"/>
        <v>10000</v>
      </c>
    </row>
    <row r="4466" spans="1:23" s="6" customFormat="1" ht="21.95" customHeight="1" x14ac:dyDescent="0.2">
      <c r="A4466" s="6" t="s">
        <v>943</v>
      </c>
      <c r="B4466" s="6" t="s">
        <v>1597</v>
      </c>
      <c r="C4466" s="6" t="s">
        <v>735</v>
      </c>
      <c r="D4466" s="6" t="s">
        <v>1003</v>
      </c>
      <c r="G4466" s="6">
        <v>120</v>
      </c>
      <c r="H4466" s="6">
        <v>200</v>
      </c>
      <c r="I4466" s="9"/>
      <c r="J4466" s="9"/>
      <c r="K4466" s="9">
        <v>44009007</v>
      </c>
      <c r="L4466" s="6" t="str">
        <f t="shared" si="437"/>
        <v>1D  PARMA BAŞLIK  120x200</v>
      </c>
      <c r="M4466" s="12">
        <v>0.5</v>
      </c>
      <c r="N4466" s="12">
        <v>0.5</v>
      </c>
      <c r="O4466" s="12">
        <v>9600</v>
      </c>
      <c r="P4466" s="12">
        <f t="shared" si="438"/>
        <v>4800</v>
      </c>
      <c r="Q4466" s="12">
        <f t="shared" si="435"/>
        <v>10080</v>
      </c>
      <c r="R4466" s="33">
        <f t="shared" si="439"/>
        <v>10000</v>
      </c>
      <c r="T4466" s="12"/>
      <c r="U4466" s="12">
        <v>15700</v>
      </c>
      <c r="V4466" s="12"/>
      <c r="W4466" s="12">
        <f t="shared" si="436"/>
        <v>12000</v>
      </c>
    </row>
    <row r="4467" spans="1:23" s="6" customFormat="1" ht="21.95" customHeight="1" x14ac:dyDescent="0.2">
      <c r="A4467" s="6" t="s">
        <v>943</v>
      </c>
      <c r="B4467" s="6" t="s">
        <v>1597</v>
      </c>
      <c r="C4467" s="6" t="s">
        <v>735</v>
      </c>
      <c r="D4467" s="6" t="s">
        <v>1003</v>
      </c>
      <c r="G4467" s="6">
        <v>140</v>
      </c>
      <c r="H4467" s="6">
        <v>200</v>
      </c>
      <c r="I4467" s="9"/>
      <c r="J4467" s="9"/>
      <c r="K4467" s="9">
        <v>44009008</v>
      </c>
      <c r="L4467" s="6" t="str">
        <f t="shared" si="437"/>
        <v>1D  PARMA BAŞLIK  140x200</v>
      </c>
      <c r="M4467" s="12">
        <v>0.5</v>
      </c>
      <c r="N4467" s="12">
        <v>0.5</v>
      </c>
      <c r="O4467" s="12">
        <v>11200</v>
      </c>
      <c r="P4467" s="12">
        <f t="shared" si="438"/>
        <v>5600</v>
      </c>
      <c r="Q4467" s="12">
        <f t="shared" si="435"/>
        <v>11760</v>
      </c>
      <c r="R4467" s="33">
        <f t="shared" si="439"/>
        <v>11700</v>
      </c>
      <c r="T4467" s="12"/>
      <c r="U4467" s="12">
        <v>16700</v>
      </c>
      <c r="V4467" s="12"/>
      <c r="W4467" s="12">
        <f t="shared" si="436"/>
        <v>14000</v>
      </c>
    </row>
    <row r="4468" spans="1:23" s="6" customFormat="1" ht="21.95" customHeight="1" x14ac:dyDescent="0.2">
      <c r="A4468" s="6" t="s">
        <v>943</v>
      </c>
      <c r="B4468" s="6" t="s">
        <v>1597</v>
      </c>
      <c r="C4468" s="6" t="s">
        <v>735</v>
      </c>
      <c r="D4468" s="6" t="s">
        <v>1003</v>
      </c>
      <c r="G4468" s="6">
        <v>150</v>
      </c>
      <c r="H4468" s="6">
        <v>200</v>
      </c>
      <c r="I4468" s="9"/>
      <c r="J4468" s="9"/>
      <c r="K4468" s="9">
        <v>44009009</v>
      </c>
      <c r="L4468" s="6" t="str">
        <f t="shared" si="437"/>
        <v>1D  PARMA BAŞLIK  150x200</v>
      </c>
      <c r="M4468" s="12">
        <v>0.5</v>
      </c>
      <c r="N4468" s="12">
        <v>0.5</v>
      </c>
      <c r="O4468" s="12">
        <v>12000</v>
      </c>
      <c r="P4468" s="12">
        <f t="shared" si="438"/>
        <v>6000</v>
      </c>
      <c r="Q4468" s="12">
        <f t="shared" si="435"/>
        <v>12600</v>
      </c>
      <c r="R4468" s="33">
        <f t="shared" si="439"/>
        <v>12600</v>
      </c>
      <c r="T4468" s="12"/>
      <c r="U4468" s="12">
        <v>18800</v>
      </c>
      <c r="V4468" s="12"/>
      <c r="W4468" s="12">
        <f t="shared" si="436"/>
        <v>15000</v>
      </c>
    </row>
    <row r="4469" spans="1:23" s="6" customFormat="1" ht="21.95" customHeight="1" x14ac:dyDescent="0.2">
      <c r="A4469" s="6" t="s">
        <v>943</v>
      </c>
      <c r="B4469" s="6" t="s">
        <v>1597</v>
      </c>
      <c r="C4469" s="6" t="s">
        <v>735</v>
      </c>
      <c r="D4469" s="6" t="s">
        <v>1003</v>
      </c>
      <c r="G4469" s="6">
        <v>160</v>
      </c>
      <c r="H4469" s="6">
        <v>200</v>
      </c>
      <c r="I4469" s="9"/>
      <c r="J4469" s="9"/>
      <c r="K4469" s="9">
        <v>44009010</v>
      </c>
      <c r="L4469" s="6" t="str">
        <f t="shared" si="437"/>
        <v>1D  PARMA BAŞLIK  160x200</v>
      </c>
      <c r="M4469" s="12">
        <v>0.5</v>
      </c>
      <c r="N4469" s="12">
        <v>0.5</v>
      </c>
      <c r="O4469" s="12">
        <v>12800</v>
      </c>
      <c r="P4469" s="12">
        <f t="shared" si="438"/>
        <v>6400</v>
      </c>
      <c r="Q4469" s="12">
        <f t="shared" si="435"/>
        <v>13440</v>
      </c>
      <c r="R4469" s="33">
        <f t="shared" si="439"/>
        <v>13400</v>
      </c>
      <c r="T4469" s="12"/>
      <c r="U4469" s="12">
        <v>15800</v>
      </c>
      <c r="V4469" s="12"/>
      <c r="W4469" s="12">
        <f t="shared" si="436"/>
        <v>16000</v>
      </c>
    </row>
    <row r="4470" spans="1:23" s="6" customFormat="1" ht="21.95" customHeight="1" x14ac:dyDescent="0.2">
      <c r="A4470" s="6" t="s">
        <v>943</v>
      </c>
      <c r="B4470" s="6" t="s">
        <v>1597</v>
      </c>
      <c r="C4470" s="6" t="s">
        <v>735</v>
      </c>
      <c r="D4470" s="6" t="s">
        <v>1003</v>
      </c>
      <c r="G4470" s="6">
        <v>180</v>
      </c>
      <c r="H4470" s="6">
        <v>200</v>
      </c>
      <c r="I4470" s="9"/>
      <c r="J4470" s="9"/>
      <c r="K4470" s="9">
        <v>44009011</v>
      </c>
      <c r="L4470" s="6" t="str">
        <f t="shared" si="437"/>
        <v>1D  PARMA BAŞLIK  180x200</v>
      </c>
      <c r="M4470" s="12">
        <v>0.5</v>
      </c>
      <c r="N4470" s="12">
        <v>0.5</v>
      </c>
      <c r="O4470" s="12">
        <v>14400</v>
      </c>
      <c r="P4470" s="12">
        <f t="shared" si="438"/>
        <v>7200</v>
      </c>
      <c r="Q4470" s="12">
        <f t="shared" si="435"/>
        <v>15120</v>
      </c>
      <c r="R4470" s="33">
        <f t="shared" si="439"/>
        <v>15100</v>
      </c>
      <c r="T4470" s="12"/>
      <c r="U4470" s="12">
        <v>12200</v>
      </c>
      <c r="V4470" s="12"/>
      <c r="W4470" s="12">
        <f t="shared" si="436"/>
        <v>18000</v>
      </c>
    </row>
    <row r="4471" spans="1:23" s="6" customFormat="1" ht="21.95" customHeight="1" x14ac:dyDescent="0.2">
      <c r="A4471" s="6" t="s">
        <v>943</v>
      </c>
      <c r="B4471" s="6" t="s">
        <v>1597</v>
      </c>
      <c r="C4471" s="6" t="s">
        <v>735</v>
      </c>
      <c r="D4471" s="6" t="s">
        <v>943</v>
      </c>
      <c r="G4471" s="6">
        <v>90</v>
      </c>
      <c r="H4471" s="6">
        <v>190</v>
      </c>
      <c r="I4471" s="9"/>
      <c r="J4471" s="9"/>
      <c r="K4471" s="9">
        <v>44009012</v>
      </c>
      <c r="L4471" s="6" t="str">
        <f t="shared" si="437"/>
        <v>1D  PARMA YATAK  90x190</v>
      </c>
      <c r="M4471" s="12">
        <v>0.5</v>
      </c>
      <c r="N4471" s="12">
        <v>0.5</v>
      </c>
      <c r="O4471" s="12">
        <v>10000</v>
      </c>
      <c r="P4471" s="12">
        <f t="shared" si="438"/>
        <v>5000</v>
      </c>
      <c r="Q4471" s="12">
        <f t="shared" si="435"/>
        <v>10500</v>
      </c>
      <c r="R4471" s="33">
        <f t="shared" si="439"/>
        <v>10500</v>
      </c>
      <c r="T4471" s="12"/>
      <c r="U4471" s="12">
        <v>12900</v>
      </c>
      <c r="V4471" s="12"/>
      <c r="W4471" s="12">
        <f t="shared" si="436"/>
        <v>12500</v>
      </c>
    </row>
    <row r="4472" spans="1:23" s="6" customFormat="1" ht="21.95" customHeight="1" x14ac:dyDescent="0.2">
      <c r="A4472" s="6" t="s">
        <v>943</v>
      </c>
      <c r="B4472" s="6" t="s">
        <v>1597</v>
      </c>
      <c r="C4472" s="6" t="s">
        <v>735</v>
      </c>
      <c r="D4472" s="6" t="s">
        <v>943</v>
      </c>
      <c r="G4472" s="6">
        <v>90</v>
      </c>
      <c r="H4472" s="6">
        <v>200</v>
      </c>
      <c r="I4472" s="9"/>
      <c r="J4472" s="9"/>
      <c r="K4472" s="9">
        <v>44009013</v>
      </c>
      <c r="L4472" s="6" t="str">
        <f t="shared" si="437"/>
        <v>1D  PARMA YATAK  90x200</v>
      </c>
      <c r="M4472" s="12">
        <v>0.5</v>
      </c>
      <c r="N4472" s="12">
        <v>0.5</v>
      </c>
      <c r="O4472" s="12">
        <v>10500</v>
      </c>
      <c r="P4472" s="12">
        <f t="shared" si="438"/>
        <v>5250</v>
      </c>
      <c r="Q4472" s="12">
        <f t="shared" si="435"/>
        <v>11025</v>
      </c>
      <c r="R4472" s="33">
        <f t="shared" si="439"/>
        <v>11000</v>
      </c>
      <c r="T4472" s="12"/>
      <c r="U4472" s="12">
        <v>13000</v>
      </c>
      <c r="V4472" s="12"/>
      <c r="W4472" s="12">
        <f t="shared" si="436"/>
        <v>13125</v>
      </c>
    </row>
    <row r="4473" spans="1:23" s="6" customFormat="1" ht="21.95" customHeight="1" x14ac:dyDescent="0.2">
      <c r="A4473" s="6" t="s">
        <v>943</v>
      </c>
      <c r="B4473" s="6" t="s">
        <v>1597</v>
      </c>
      <c r="C4473" s="6" t="s">
        <v>735</v>
      </c>
      <c r="D4473" s="6" t="s">
        <v>943</v>
      </c>
      <c r="G4473" s="6">
        <v>100</v>
      </c>
      <c r="H4473" s="6">
        <v>200</v>
      </c>
      <c r="I4473" s="9"/>
      <c r="J4473" s="9"/>
      <c r="K4473" s="9">
        <v>44009014</v>
      </c>
      <c r="L4473" s="6" t="str">
        <f t="shared" si="437"/>
        <v>1D  PARMA YATAK  100x200</v>
      </c>
      <c r="M4473" s="12">
        <v>0.5</v>
      </c>
      <c r="N4473" s="12">
        <v>0.5</v>
      </c>
      <c r="O4473" s="12">
        <v>11700</v>
      </c>
      <c r="P4473" s="12">
        <f t="shared" si="438"/>
        <v>5850</v>
      </c>
      <c r="Q4473" s="12">
        <f t="shared" si="435"/>
        <v>12285</v>
      </c>
      <c r="R4473" s="33">
        <f t="shared" si="439"/>
        <v>12200</v>
      </c>
      <c r="T4473" s="12"/>
      <c r="U4473" s="12">
        <v>15600</v>
      </c>
      <c r="V4473" s="12"/>
      <c r="W4473" s="12">
        <f t="shared" si="436"/>
        <v>14625</v>
      </c>
    </row>
    <row r="4474" spans="1:23" s="6" customFormat="1" ht="21.95" customHeight="1" x14ac:dyDescent="0.2">
      <c r="A4474" s="6" t="s">
        <v>943</v>
      </c>
      <c r="B4474" s="6" t="s">
        <v>1597</v>
      </c>
      <c r="C4474" s="6" t="s">
        <v>735</v>
      </c>
      <c r="D4474" s="6" t="s">
        <v>943</v>
      </c>
      <c r="G4474" s="6">
        <v>120</v>
      </c>
      <c r="H4474" s="6">
        <v>200</v>
      </c>
      <c r="I4474" s="9"/>
      <c r="J4474" s="9"/>
      <c r="K4474" s="9">
        <v>44009015</v>
      </c>
      <c r="L4474" s="6" t="str">
        <f t="shared" si="437"/>
        <v>1D  PARMA YATAK  120x200</v>
      </c>
      <c r="M4474" s="12">
        <v>0.5</v>
      </c>
      <c r="N4474" s="12">
        <v>0.5</v>
      </c>
      <c r="O4474" s="12">
        <v>14000</v>
      </c>
      <c r="P4474" s="12">
        <f t="shared" si="438"/>
        <v>7000</v>
      </c>
      <c r="Q4474" s="12">
        <f t="shared" si="435"/>
        <v>14700</v>
      </c>
      <c r="R4474" s="33">
        <f t="shared" si="439"/>
        <v>14700</v>
      </c>
      <c r="T4474" s="12"/>
      <c r="U4474" s="12">
        <v>18200</v>
      </c>
      <c r="V4474" s="12"/>
      <c r="W4474" s="12">
        <f t="shared" si="436"/>
        <v>17500</v>
      </c>
    </row>
    <row r="4475" spans="1:23" s="6" customFormat="1" ht="21.95" customHeight="1" x14ac:dyDescent="0.2">
      <c r="A4475" s="6" t="s">
        <v>943</v>
      </c>
      <c r="B4475" s="6" t="s">
        <v>1597</v>
      </c>
      <c r="C4475" s="6" t="s">
        <v>735</v>
      </c>
      <c r="D4475" s="6" t="s">
        <v>943</v>
      </c>
      <c r="G4475" s="6">
        <v>140</v>
      </c>
      <c r="H4475" s="6">
        <v>200</v>
      </c>
      <c r="I4475" s="9"/>
      <c r="J4475" s="9"/>
      <c r="K4475" s="9">
        <v>44009016</v>
      </c>
      <c r="L4475" s="6" t="str">
        <f t="shared" si="437"/>
        <v>1D  PARMA YATAK  140x200</v>
      </c>
      <c r="M4475" s="12">
        <v>0.5</v>
      </c>
      <c r="N4475" s="12">
        <v>0.5</v>
      </c>
      <c r="O4475" s="12">
        <v>16400</v>
      </c>
      <c r="P4475" s="12">
        <f t="shared" si="438"/>
        <v>8200</v>
      </c>
      <c r="Q4475" s="12">
        <f t="shared" si="435"/>
        <v>17220</v>
      </c>
      <c r="R4475" s="33">
        <f t="shared" si="439"/>
        <v>17200</v>
      </c>
      <c r="T4475" s="12"/>
      <c r="U4475" s="12">
        <v>19500</v>
      </c>
      <c r="V4475" s="12"/>
      <c r="W4475" s="12">
        <f t="shared" si="436"/>
        <v>20500</v>
      </c>
    </row>
    <row r="4476" spans="1:23" s="6" customFormat="1" ht="21.95" customHeight="1" x14ac:dyDescent="0.2">
      <c r="A4476" s="6" t="s">
        <v>943</v>
      </c>
      <c r="B4476" s="6" t="s">
        <v>1597</v>
      </c>
      <c r="C4476" s="6" t="s">
        <v>735</v>
      </c>
      <c r="D4476" s="6" t="s">
        <v>943</v>
      </c>
      <c r="G4476" s="6">
        <v>150</v>
      </c>
      <c r="H4476" s="6">
        <v>200</v>
      </c>
      <c r="I4476" s="9"/>
      <c r="J4476" s="9"/>
      <c r="K4476" s="9">
        <v>44009017</v>
      </c>
      <c r="L4476" s="6" t="str">
        <f t="shared" si="437"/>
        <v>1D  PARMA YATAK  150x200</v>
      </c>
      <c r="M4476" s="12">
        <v>0.5</v>
      </c>
      <c r="N4476" s="12">
        <v>0.5</v>
      </c>
      <c r="O4476" s="12">
        <v>17500</v>
      </c>
      <c r="P4476" s="12">
        <f t="shared" si="438"/>
        <v>8750</v>
      </c>
      <c r="Q4476" s="12">
        <f t="shared" si="435"/>
        <v>18375</v>
      </c>
      <c r="R4476" s="33">
        <f t="shared" si="439"/>
        <v>18300</v>
      </c>
      <c r="T4476" s="12"/>
      <c r="U4476" s="12">
        <v>20800</v>
      </c>
      <c r="V4476" s="12"/>
      <c r="W4476" s="12">
        <f t="shared" si="436"/>
        <v>21875</v>
      </c>
    </row>
    <row r="4477" spans="1:23" s="6" customFormat="1" ht="21.95" customHeight="1" x14ac:dyDescent="0.2">
      <c r="A4477" s="6" t="s">
        <v>943</v>
      </c>
      <c r="B4477" s="6" t="s">
        <v>1597</v>
      </c>
      <c r="C4477" s="6" t="s">
        <v>735</v>
      </c>
      <c r="D4477" s="6" t="s">
        <v>943</v>
      </c>
      <c r="G4477" s="6">
        <v>160</v>
      </c>
      <c r="H4477" s="6">
        <v>200</v>
      </c>
      <c r="I4477" s="9"/>
      <c r="J4477" s="9"/>
      <c r="K4477" s="9">
        <v>44009018</v>
      </c>
      <c r="L4477" s="6" t="str">
        <f t="shared" si="437"/>
        <v>1D  PARMA YATAK  160x200</v>
      </c>
      <c r="M4477" s="12">
        <v>0.5</v>
      </c>
      <c r="N4477" s="12">
        <v>0.5</v>
      </c>
      <c r="O4477" s="12">
        <v>18700</v>
      </c>
      <c r="P4477" s="12">
        <f t="shared" si="438"/>
        <v>9350</v>
      </c>
      <c r="Q4477" s="12">
        <f t="shared" si="435"/>
        <v>19635</v>
      </c>
      <c r="R4477" s="33">
        <f t="shared" si="439"/>
        <v>19600</v>
      </c>
      <c r="T4477" s="12"/>
      <c r="U4477" s="12">
        <v>23400</v>
      </c>
      <c r="V4477" s="12"/>
      <c r="W4477" s="12">
        <f t="shared" si="436"/>
        <v>23375</v>
      </c>
    </row>
    <row r="4478" spans="1:23" s="6" customFormat="1" ht="21.95" customHeight="1" x14ac:dyDescent="0.2">
      <c r="A4478" s="6" t="s">
        <v>943</v>
      </c>
      <c r="B4478" s="6" t="s">
        <v>1597</v>
      </c>
      <c r="C4478" s="6" t="s">
        <v>735</v>
      </c>
      <c r="D4478" s="6" t="s">
        <v>943</v>
      </c>
      <c r="G4478" s="6">
        <v>180</v>
      </c>
      <c r="H4478" s="6">
        <v>200</v>
      </c>
      <c r="I4478" s="9"/>
      <c r="J4478" s="9"/>
      <c r="K4478" s="9">
        <v>44009019</v>
      </c>
      <c r="L4478" s="6" t="str">
        <f t="shared" si="437"/>
        <v>1D  PARMA YATAK  180x200</v>
      </c>
      <c r="M4478" s="12">
        <v>0.5</v>
      </c>
      <c r="N4478" s="12">
        <v>0.5</v>
      </c>
      <c r="O4478" s="12">
        <v>21000</v>
      </c>
      <c r="P4478" s="12">
        <f t="shared" si="438"/>
        <v>10500</v>
      </c>
      <c r="Q4478" s="12">
        <f t="shared" si="435"/>
        <v>22050</v>
      </c>
      <c r="R4478" s="33">
        <f t="shared" si="439"/>
        <v>22000</v>
      </c>
      <c r="T4478" s="12"/>
      <c r="U4478" s="12">
        <v>7300</v>
      </c>
      <c r="V4478" s="12"/>
      <c r="W4478" s="12">
        <f t="shared" si="436"/>
        <v>26250</v>
      </c>
    </row>
    <row r="4479" spans="1:23" s="6" customFormat="1" ht="21.95" customHeight="1" x14ac:dyDescent="0.2">
      <c r="A4479" s="6" t="s">
        <v>943</v>
      </c>
      <c r="B4479" s="6" t="s">
        <v>1597</v>
      </c>
      <c r="C4479" s="6" t="s">
        <v>735</v>
      </c>
      <c r="D4479" s="6" t="s">
        <v>1380</v>
      </c>
      <c r="I4479" s="9"/>
      <c r="J4479" s="9"/>
      <c r="K4479" s="9">
        <v>44009020</v>
      </c>
      <c r="L4479" s="6" t="str">
        <f>B4479&amp;" "&amp;C4479&amp;" "&amp;D4479</f>
        <v>1D  PARMA KOMODİN (2 ADET)</v>
      </c>
      <c r="M4479" s="12">
        <v>0.5</v>
      </c>
      <c r="N4479" s="12">
        <v>0.5</v>
      </c>
      <c r="O4479" s="12">
        <v>13200</v>
      </c>
      <c r="P4479" s="12">
        <f t="shared" si="438"/>
        <v>6600</v>
      </c>
      <c r="Q4479" s="12">
        <f t="shared" si="435"/>
        <v>13860</v>
      </c>
      <c r="R4479" s="33">
        <f t="shared" si="439"/>
        <v>13800</v>
      </c>
      <c r="T4479" s="12"/>
      <c r="U4479" s="12">
        <v>7300</v>
      </c>
      <c r="V4479" s="12"/>
      <c r="W4479" s="12">
        <f t="shared" si="436"/>
        <v>16500</v>
      </c>
    </row>
    <row r="4480" spans="1:23" s="6" customFormat="1" ht="21.95" customHeight="1" x14ac:dyDescent="0.2">
      <c r="A4480" s="6" t="s">
        <v>943</v>
      </c>
      <c r="B4480" s="6" t="s">
        <v>1597</v>
      </c>
      <c r="C4480" s="6" t="s">
        <v>1410</v>
      </c>
      <c r="D4480" s="6" t="s">
        <v>989</v>
      </c>
      <c r="G4480" s="6">
        <v>90</v>
      </c>
      <c r="H4480" s="6">
        <v>190</v>
      </c>
      <c r="I4480" s="9"/>
      <c r="J4480" s="9"/>
      <c r="K4480" s="9">
        <v>44009021</v>
      </c>
      <c r="L4480" s="6" t="str">
        <f t="shared" ref="L4480:L4503" si="440">B4480&amp;" "&amp;C4480&amp;" "&amp;D4480&amp;" "&amp;G4480&amp;"x"&amp;H4480</f>
        <v>1D  PAROS  BAZA  90x190</v>
      </c>
      <c r="M4480" s="12">
        <v>0.5</v>
      </c>
      <c r="N4480" s="12">
        <v>0.5</v>
      </c>
      <c r="O4480" s="12">
        <v>10600</v>
      </c>
      <c r="P4480" s="12">
        <f t="shared" si="438"/>
        <v>5300</v>
      </c>
      <c r="Q4480" s="12">
        <f t="shared" si="435"/>
        <v>11130</v>
      </c>
      <c r="R4480" s="33">
        <f t="shared" si="439"/>
        <v>11100</v>
      </c>
      <c r="T4480" s="12"/>
      <c r="U4480" s="12">
        <v>7400</v>
      </c>
      <c r="V4480" s="12"/>
      <c r="W4480" s="12">
        <f t="shared" si="436"/>
        <v>13250</v>
      </c>
    </row>
    <row r="4481" spans="1:23" s="6" customFormat="1" ht="21.95" customHeight="1" x14ac:dyDescent="0.2">
      <c r="A4481" s="6" t="s">
        <v>943</v>
      </c>
      <c r="B4481" s="6" t="s">
        <v>1597</v>
      </c>
      <c r="C4481" s="6" t="s">
        <v>1410</v>
      </c>
      <c r="D4481" s="6" t="s">
        <v>989</v>
      </c>
      <c r="G4481" s="6">
        <v>90</v>
      </c>
      <c r="H4481" s="6">
        <v>200</v>
      </c>
      <c r="I4481" s="9"/>
      <c r="J4481" s="9"/>
      <c r="K4481" s="9">
        <v>44009022</v>
      </c>
      <c r="L4481" s="6" t="str">
        <f t="shared" si="440"/>
        <v>1D  PAROS  BAZA  90x200</v>
      </c>
      <c r="M4481" s="12">
        <v>0.5</v>
      </c>
      <c r="N4481" s="12">
        <v>0.5</v>
      </c>
      <c r="O4481" s="12">
        <v>11100</v>
      </c>
      <c r="P4481" s="12">
        <f t="shared" si="438"/>
        <v>5550</v>
      </c>
      <c r="Q4481" s="12">
        <f t="shared" si="435"/>
        <v>11655</v>
      </c>
      <c r="R4481" s="33">
        <f t="shared" si="439"/>
        <v>11600</v>
      </c>
      <c r="T4481" s="12"/>
      <c r="U4481" s="12">
        <v>8900</v>
      </c>
      <c r="V4481" s="12"/>
      <c r="W4481" s="12">
        <f t="shared" si="436"/>
        <v>13875</v>
      </c>
    </row>
    <row r="4482" spans="1:23" s="6" customFormat="1" ht="21.95" customHeight="1" x14ac:dyDescent="0.2">
      <c r="A4482" s="6" t="s">
        <v>943</v>
      </c>
      <c r="B4482" s="6" t="s">
        <v>1597</v>
      </c>
      <c r="C4482" s="6" t="s">
        <v>1410</v>
      </c>
      <c r="D4482" s="6" t="s">
        <v>989</v>
      </c>
      <c r="G4482" s="6">
        <v>100</v>
      </c>
      <c r="H4482" s="6">
        <v>200</v>
      </c>
      <c r="I4482" s="9"/>
      <c r="J4482" s="9"/>
      <c r="K4482" s="9">
        <v>44009023</v>
      </c>
      <c r="L4482" s="6" t="str">
        <f t="shared" si="440"/>
        <v>1D  PAROS  BAZA  100x200</v>
      </c>
      <c r="M4482" s="12">
        <v>0.5</v>
      </c>
      <c r="N4482" s="12">
        <v>0.5</v>
      </c>
      <c r="O4482" s="12">
        <v>12400</v>
      </c>
      <c r="P4482" s="12">
        <f t="shared" si="438"/>
        <v>6200</v>
      </c>
      <c r="Q4482" s="12">
        <f t="shared" si="435"/>
        <v>13020</v>
      </c>
      <c r="R4482" s="33">
        <f t="shared" si="439"/>
        <v>13000</v>
      </c>
      <c r="T4482" s="12"/>
      <c r="U4482" s="12">
        <v>10300</v>
      </c>
      <c r="V4482" s="12"/>
      <c r="W4482" s="12">
        <f t="shared" si="436"/>
        <v>15500</v>
      </c>
    </row>
    <row r="4483" spans="1:23" s="6" customFormat="1" ht="21.95" customHeight="1" x14ac:dyDescent="0.2">
      <c r="A4483" s="6" t="s">
        <v>943</v>
      </c>
      <c r="B4483" s="6" t="s">
        <v>1597</v>
      </c>
      <c r="C4483" s="6" t="s">
        <v>1410</v>
      </c>
      <c r="D4483" s="6" t="s">
        <v>989</v>
      </c>
      <c r="G4483" s="6">
        <v>120</v>
      </c>
      <c r="H4483" s="6">
        <v>200</v>
      </c>
      <c r="I4483" s="9"/>
      <c r="J4483" s="9"/>
      <c r="K4483" s="9">
        <v>44009024</v>
      </c>
      <c r="L4483" s="6" t="str">
        <f t="shared" si="440"/>
        <v>1D  PAROS  BAZA  120x200</v>
      </c>
      <c r="M4483" s="12">
        <v>0.5</v>
      </c>
      <c r="N4483" s="12">
        <v>0.5</v>
      </c>
      <c r="O4483" s="12">
        <v>14900</v>
      </c>
      <c r="P4483" s="12">
        <f t="shared" si="438"/>
        <v>7450</v>
      </c>
      <c r="Q4483" s="12">
        <f t="shared" si="435"/>
        <v>15645</v>
      </c>
      <c r="R4483" s="33">
        <f t="shared" si="439"/>
        <v>15600</v>
      </c>
      <c r="T4483" s="12"/>
      <c r="U4483" s="12">
        <v>11100</v>
      </c>
      <c r="V4483" s="12"/>
      <c r="W4483" s="12">
        <f t="shared" si="436"/>
        <v>18625</v>
      </c>
    </row>
    <row r="4484" spans="1:23" s="6" customFormat="1" ht="21.95" customHeight="1" x14ac:dyDescent="0.2">
      <c r="A4484" s="6" t="s">
        <v>943</v>
      </c>
      <c r="B4484" s="6" t="s">
        <v>1597</v>
      </c>
      <c r="C4484" s="6" t="s">
        <v>1410</v>
      </c>
      <c r="D4484" s="6" t="s">
        <v>989</v>
      </c>
      <c r="G4484" s="6">
        <v>140</v>
      </c>
      <c r="H4484" s="6">
        <v>200</v>
      </c>
      <c r="I4484" s="9"/>
      <c r="J4484" s="9"/>
      <c r="K4484" s="9">
        <v>44009025</v>
      </c>
      <c r="L4484" s="6" t="str">
        <f t="shared" si="440"/>
        <v>1D  PAROS  BAZA  140x200</v>
      </c>
      <c r="M4484" s="12">
        <v>0.5</v>
      </c>
      <c r="N4484" s="12">
        <v>0.5</v>
      </c>
      <c r="O4484" s="12">
        <v>17300</v>
      </c>
      <c r="P4484" s="12">
        <f t="shared" si="438"/>
        <v>8650</v>
      </c>
      <c r="Q4484" s="12">
        <f t="shared" si="435"/>
        <v>18165</v>
      </c>
      <c r="R4484" s="33">
        <f t="shared" si="439"/>
        <v>18100</v>
      </c>
      <c r="T4484" s="12"/>
      <c r="U4484" s="12">
        <v>11800</v>
      </c>
      <c r="V4484" s="12"/>
      <c r="W4484" s="12">
        <f t="shared" si="436"/>
        <v>21625</v>
      </c>
    </row>
    <row r="4485" spans="1:23" s="6" customFormat="1" ht="21.95" customHeight="1" x14ac:dyDescent="0.2">
      <c r="A4485" s="6" t="s">
        <v>943</v>
      </c>
      <c r="B4485" s="6" t="s">
        <v>1597</v>
      </c>
      <c r="C4485" s="6" t="s">
        <v>1410</v>
      </c>
      <c r="D4485" s="6" t="s">
        <v>989</v>
      </c>
      <c r="G4485" s="6">
        <v>150</v>
      </c>
      <c r="H4485" s="6">
        <v>200</v>
      </c>
      <c r="I4485" s="9"/>
      <c r="J4485" s="9"/>
      <c r="K4485" s="9">
        <v>44009026</v>
      </c>
      <c r="L4485" s="6" t="str">
        <f t="shared" si="440"/>
        <v>1D  PAROS  BAZA  150x200</v>
      </c>
      <c r="M4485" s="12">
        <v>0.5</v>
      </c>
      <c r="N4485" s="12">
        <v>0.5</v>
      </c>
      <c r="O4485" s="12">
        <v>18600</v>
      </c>
      <c r="P4485" s="12">
        <f t="shared" si="438"/>
        <v>9300</v>
      </c>
      <c r="Q4485" s="12">
        <f t="shared" si="435"/>
        <v>19530</v>
      </c>
      <c r="R4485" s="33">
        <f t="shared" si="439"/>
        <v>19500</v>
      </c>
      <c r="T4485" s="12"/>
      <c r="U4485" s="12">
        <v>13300</v>
      </c>
      <c r="V4485" s="12"/>
      <c r="W4485" s="12">
        <f t="shared" si="436"/>
        <v>23250</v>
      </c>
    </row>
    <row r="4486" spans="1:23" s="6" customFormat="1" ht="21.95" customHeight="1" x14ac:dyDescent="0.2">
      <c r="A4486" s="6" t="s">
        <v>943</v>
      </c>
      <c r="B4486" s="6" t="s">
        <v>1597</v>
      </c>
      <c r="C4486" s="6" t="s">
        <v>1410</v>
      </c>
      <c r="D4486" s="6" t="s">
        <v>989</v>
      </c>
      <c r="G4486" s="6">
        <v>160</v>
      </c>
      <c r="H4486" s="6">
        <v>200</v>
      </c>
      <c r="I4486" s="9"/>
      <c r="J4486" s="9"/>
      <c r="K4486" s="9">
        <v>44009027</v>
      </c>
      <c r="L4486" s="6" t="str">
        <f t="shared" si="440"/>
        <v>1D  PAROS  BAZA  160x200</v>
      </c>
      <c r="M4486" s="12">
        <v>0.5</v>
      </c>
      <c r="N4486" s="12">
        <v>0.5</v>
      </c>
      <c r="O4486" s="12">
        <v>19800</v>
      </c>
      <c r="P4486" s="12">
        <f t="shared" si="438"/>
        <v>9900</v>
      </c>
      <c r="Q4486" s="12">
        <f t="shared" si="435"/>
        <v>20790</v>
      </c>
      <c r="R4486" s="33">
        <f t="shared" si="439"/>
        <v>20700</v>
      </c>
      <c r="T4486" s="12"/>
      <c r="U4486" s="12">
        <v>12200</v>
      </c>
      <c r="V4486" s="12"/>
      <c r="W4486" s="12">
        <f t="shared" si="436"/>
        <v>24750</v>
      </c>
    </row>
    <row r="4487" spans="1:23" s="6" customFormat="1" ht="21.95" customHeight="1" x14ac:dyDescent="0.2">
      <c r="A4487" s="6" t="s">
        <v>943</v>
      </c>
      <c r="B4487" s="6" t="s">
        <v>1597</v>
      </c>
      <c r="C4487" s="6" t="s">
        <v>1410</v>
      </c>
      <c r="D4487" s="6" t="s">
        <v>989</v>
      </c>
      <c r="G4487" s="6">
        <v>180</v>
      </c>
      <c r="H4487" s="6">
        <v>200</v>
      </c>
      <c r="I4487" s="9"/>
      <c r="J4487" s="9"/>
      <c r="K4487" s="9">
        <v>44009028</v>
      </c>
      <c r="L4487" s="6" t="str">
        <f t="shared" si="440"/>
        <v>1D  PAROS  BAZA  180x200</v>
      </c>
      <c r="M4487" s="12">
        <v>0.5</v>
      </c>
      <c r="N4487" s="12">
        <v>0.5</v>
      </c>
      <c r="O4487" s="12">
        <v>22300</v>
      </c>
      <c r="P4487" s="12">
        <f t="shared" si="438"/>
        <v>11150</v>
      </c>
      <c r="Q4487" s="12">
        <f t="shared" si="435"/>
        <v>23415</v>
      </c>
      <c r="R4487" s="33">
        <f t="shared" si="439"/>
        <v>23400</v>
      </c>
      <c r="T4487" s="12"/>
      <c r="U4487" s="12">
        <v>12800</v>
      </c>
      <c r="V4487" s="12"/>
      <c r="W4487" s="12">
        <f t="shared" si="436"/>
        <v>27875</v>
      </c>
    </row>
    <row r="4488" spans="1:23" s="6" customFormat="1" ht="21.95" customHeight="1" x14ac:dyDescent="0.2">
      <c r="A4488" s="6" t="s">
        <v>943</v>
      </c>
      <c r="B4488" s="6" t="s">
        <v>1597</v>
      </c>
      <c r="C4488" s="6" t="s">
        <v>1410</v>
      </c>
      <c r="D4488" s="6" t="s">
        <v>1003</v>
      </c>
      <c r="G4488" s="6">
        <v>90</v>
      </c>
      <c r="H4488" s="6">
        <v>190</v>
      </c>
      <c r="I4488" s="9"/>
      <c r="J4488" s="9"/>
      <c r="K4488" s="9">
        <v>44009029</v>
      </c>
      <c r="L4488" s="6" t="str">
        <f t="shared" si="440"/>
        <v>1D  PAROS  BAŞLIK  90x190</v>
      </c>
      <c r="M4488" s="12">
        <v>0.5</v>
      </c>
      <c r="N4488" s="12">
        <v>0.5</v>
      </c>
      <c r="O4488" s="12">
        <v>6400</v>
      </c>
      <c r="P4488" s="12">
        <f t="shared" si="438"/>
        <v>3200</v>
      </c>
      <c r="Q4488" s="12">
        <f t="shared" si="435"/>
        <v>6720</v>
      </c>
      <c r="R4488" s="33">
        <f t="shared" si="439"/>
        <v>6700</v>
      </c>
      <c r="T4488" s="12"/>
      <c r="U4488" s="12">
        <v>12900</v>
      </c>
      <c r="V4488" s="12"/>
      <c r="W4488" s="12">
        <f t="shared" si="436"/>
        <v>8000</v>
      </c>
    </row>
    <row r="4489" spans="1:23" s="6" customFormat="1" ht="21.95" customHeight="1" x14ac:dyDescent="0.2">
      <c r="A4489" s="6" t="s">
        <v>943</v>
      </c>
      <c r="B4489" s="6" t="s">
        <v>1597</v>
      </c>
      <c r="C4489" s="6" t="s">
        <v>1410</v>
      </c>
      <c r="D4489" s="6" t="s">
        <v>1003</v>
      </c>
      <c r="G4489" s="6">
        <v>90</v>
      </c>
      <c r="H4489" s="6">
        <v>200</v>
      </c>
      <c r="I4489" s="9"/>
      <c r="J4489" s="9"/>
      <c r="K4489" s="9">
        <v>44009030</v>
      </c>
      <c r="L4489" s="6" t="str">
        <f t="shared" si="440"/>
        <v>1D  PAROS  BAŞLIK  90x200</v>
      </c>
      <c r="M4489" s="12">
        <v>0.5</v>
      </c>
      <c r="N4489" s="12">
        <v>0.5</v>
      </c>
      <c r="O4489" s="12">
        <v>6700</v>
      </c>
      <c r="P4489" s="12">
        <f t="shared" si="438"/>
        <v>3350</v>
      </c>
      <c r="Q4489" s="12">
        <f t="shared" si="435"/>
        <v>7035</v>
      </c>
      <c r="R4489" s="33">
        <f t="shared" si="439"/>
        <v>7000</v>
      </c>
      <c r="T4489" s="12"/>
      <c r="U4489" s="12">
        <v>15500</v>
      </c>
      <c r="V4489" s="12"/>
      <c r="W4489" s="12">
        <f t="shared" si="436"/>
        <v>8375</v>
      </c>
    </row>
    <row r="4490" spans="1:23" s="6" customFormat="1" ht="21.95" customHeight="1" x14ac:dyDescent="0.2">
      <c r="A4490" s="6" t="s">
        <v>943</v>
      </c>
      <c r="B4490" s="6" t="s">
        <v>1597</v>
      </c>
      <c r="C4490" s="6" t="s">
        <v>1410</v>
      </c>
      <c r="D4490" s="6" t="s">
        <v>1003</v>
      </c>
      <c r="G4490" s="6">
        <v>100</v>
      </c>
      <c r="H4490" s="6">
        <v>200</v>
      </c>
      <c r="I4490" s="9"/>
      <c r="J4490" s="9"/>
      <c r="K4490" s="9">
        <v>44009031</v>
      </c>
      <c r="L4490" s="6" t="str">
        <f t="shared" si="440"/>
        <v>1D  PAROS  BAŞLIK  100x200</v>
      </c>
      <c r="M4490" s="12">
        <v>0.5</v>
      </c>
      <c r="N4490" s="12">
        <v>0.5</v>
      </c>
      <c r="O4490" s="12">
        <v>7400</v>
      </c>
      <c r="P4490" s="12">
        <f t="shared" si="438"/>
        <v>3700</v>
      </c>
      <c r="Q4490" s="12">
        <f t="shared" si="435"/>
        <v>7770</v>
      </c>
      <c r="R4490" s="33">
        <f t="shared" si="439"/>
        <v>7700</v>
      </c>
      <c r="T4490" s="12"/>
      <c r="U4490" s="12">
        <v>18100</v>
      </c>
      <c r="V4490" s="12"/>
      <c r="W4490" s="12">
        <f t="shared" si="436"/>
        <v>9250</v>
      </c>
    </row>
    <row r="4491" spans="1:23" s="6" customFormat="1" ht="21.95" customHeight="1" x14ac:dyDescent="0.2">
      <c r="A4491" s="6" t="s">
        <v>943</v>
      </c>
      <c r="B4491" s="6" t="s">
        <v>1597</v>
      </c>
      <c r="C4491" s="6" t="s">
        <v>1410</v>
      </c>
      <c r="D4491" s="6" t="s">
        <v>1003</v>
      </c>
      <c r="G4491" s="6">
        <v>120</v>
      </c>
      <c r="H4491" s="6">
        <v>200</v>
      </c>
      <c r="I4491" s="9"/>
      <c r="J4491" s="9"/>
      <c r="K4491" s="9">
        <v>44009032</v>
      </c>
      <c r="L4491" s="6" t="str">
        <f t="shared" si="440"/>
        <v>1D  PAROS  BAŞLIK  120x200</v>
      </c>
      <c r="M4491" s="12">
        <v>0.5</v>
      </c>
      <c r="N4491" s="12">
        <v>0.5</v>
      </c>
      <c r="O4491" s="12">
        <v>8900</v>
      </c>
      <c r="P4491" s="12">
        <f t="shared" si="438"/>
        <v>4450</v>
      </c>
      <c r="Q4491" s="12">
        <f t="shared" si="435"/>
        <v>9345</v>
      </c>
      <c r="R4491" s="33">
        <f t="shared" si="439"/>
        <v>9300</v>
      </c>
      <c r="T4491" s="12"/>
      <c r="U4491" s="12">
        <v>19400</v>
      </c>
      <c r="V4491" s="12"/>
      <c r="W4491" s="12">
        <f t="shared" ref="W4491:W4528" si="441">P4491*2.5</f>
        <v>11125</v>
      </c>
    </row>
    <row r="4492" spans="1:23" s="6" customFormat="1" ht="21.95" customHeight="1" x14ac:dyDescent="0.2">
      <c r="A4492" s="6" t="s">
        <v>943</v>
      </c>
      <c r="B4492" s="6" t="s">
        <v>1597</v>
      </c>
      <c r="C4492" s="6" t="s">
        <v>1410</v>
      </c>
      <c r="D4492" s="6" t="s">
        <v>1003</v>
      </c>
      <c r="G4492" s="6">
        <v>140</v>
      </c>
      <c r="H4492" s="6">
        <v>200</v>
      </c>
      <c r="I4492" s="9"/>
      <c r="J4492" s="9"/>
      <c r="K4492" s="9">
        <v>44009033</v>
      </c>
      <c r="L4492" s="6" t="str">
        <f t="shared" si="440"/>
        <v>1D  PAROS  BAŞLIK  140x200</v>
      </c>
      <c r="M4492" s="12">
        <v>0.5</v>
      </c>
      <c r="N4492" s="12">
        <v>0.5</v>
      </c>
      <c r="O4492" s="12">
        <v>10400</v>
      </c>
      <c r="P4492" s="12">
        <f t="shared" si="438"/>
        <v>5200</v>
      </c>
      <c r="Q4492" s="12">
        <f t="shared" si="435"/>
        <v>10920</v>
      </c>
      <c r="R4492" s="33">
        <f t="shared" si="439"/>
        <v>10900</v>
      </c>
      <c r="T4492" s="12"/>
      <c r="U4492" s="12">
        <v>20700</v>
      </c>
      <c r="V4492" s="12"/>
      <c r="W4492" s="12">
        <f t="shared" si="441"/>
        <v>13000</v>
      </c>
    </row>
    <row r="4493" spans="1:23" s="6" customFormat="1" ht="21.95" customHeight="1" x14ac:dyDescent="0.2">
      <c r="A4493" s="6" t="s">
        <v>943</v>
      </c>
      <c r="B4493" s="6" t="s">
        <v>1597</v>
      </c>
      <c r="C4493" s="6" t="s">
        <v>1410</v>
      </c>
      <c r="D4493" s="6" t="s">
        <v>1003</v>
      </c>
      <c r="G4493" s="6">
        <v>150</v>
      </c>
      <c r="H4493" s="6">
        <v>200</v>
      </c>
      <c r="I4493" s="9"/>
      <c r="J4493" s="9"/>
      <c r="K4493" s="9">
        <v>44009034</v>
      </c>
      <c r="L4493" s="6" t="str">
        <f t="shared" si="440"/>
        <v>1D  PAROS  BAŞLIK  150x200</v>
      </c>
      <c r="M4493" s="12">
        <v>0.5</v>
      </c>
      <c r="N4493" s="12">
        <v>0.5</v>
      </c>
      <c r="O4493" s="12">
        <v>11200</v>
      </c>
      <c r="P4493" s="12">
        <f t="shared" si="438"/>
        <v>5600</v>
      </c>
      <c r="Q4493" s="12">
        <f t="shared" si="435"/>
        <v>11760</v>
      </c>
      <c r="R4493" s="33">
        <f t="shared" si="439"/>
        <v>11700</v>
      </c>
      <c r="T4493" s="12"/>
      <c r="U4493" s="12">
        <v>23300</v>
      </c>
      <c r="V4493" s="12"/>
      <c r="W4493" s="12">
        <f t="shared" si="441"/>
        <v>14000</v>
      </c>
    </row>
    <row r="4494" spans="1:23" s="6" customFormat="1" ht="21.95" customHeight="1" x14ac:dyDescent="0.2">
      <c r="A4494" s="6" t="s">
        <v>943</v>
      </c>
      <c r="B4494" s="6" t="s">
        <v>1597</v>
      </c>
      <c r="C4494" s="6" t="s">
        <v>1410</v>
      </c>
      <c r="D4494" s="6" t="s">
        <v>1003</v>
      </c>
      <c r="G4494" s="6">
        <v>160</v>
      </c>
      <c r="H4494" s="6">
        <v>200</v>
      </c>
      <c r="I4494" s="9"/>
      <c r="J4494" s="9"/>
      <c r="K4494" s="9">
        <v>44009035</v>
      </c>
      <c r="L4494" s="6" t="str">
        <f t="shared" si="440"/>
        <v>1D  PAROS  BAŞLIK  160x200</v>
      </c>
      <c r="M4494" s="12">
        <v>0.5</v>
      </c>
      <c r="N4494" s="12">
        <v>0.5</v>
      </c>
      <c r="O4494" s="12">
        <v>11900</v>
      </c>
      <c r="P4494" s="12">
        <f t="shared" si="438"/>
        <v>5950</v>
      </c>
      <c r="Q4494" s="12">
        <f t="shared" si="435"/>
        <v>12495</v>
      </c>
      <c r="R4494" s="33">
        <f t="shared" si="439"/>
        <v>12400</v>
      </c>
      <c r="T4494" s="12"/>
      <c r="U4494" s="12">
        <v>15800</v>
      </c>
      <c r="V4494" s="12"/>
      <c r="W4494" s="12">
        <f t="shared" si="441"/>
        <v>14875</v>
      </c>
    </row>
    <row r="4495" spans="1:23" s="6" customFormat="1" ht="21.95" customHeight="1" x14ac:dyDescent="0.2">
      <c r="A4495" s="6" t="s">
        <v>943</v>
      </c>
      <c r="B4495" s="6" t="s">
        <v>1597</v>
      </c>
      <c r="C4495" s="6" t="s">
        <v>1410</v>
      </c>
      <c r="D4495" s="6" t="s">
        <v>1003</v>
      </c>
      <c r="G4495" s="6">
        <v>180</v>
      </c>
      <c r="H4495" s="6">
        <v>200</v>
      </c>
      <c r="I4495" s="9"/>
      <c r="J4495" s="9"/>
      <c r="K4495" s="9">
        <v>44009036</v>
      </c>
      <c r="L4495" s="6" t="str">
        <f t="shared" si="440"/>
        <v>1D  PAROS  BAŞLIK  180x200</v>
      </c>
      <c r="M4495" s="12">
        <v>0.5</v>
      </c>
      <c r="N4495" s="12">
        <v>0.5</v>
      </c>
      <c r="O4495" s="12">
        <v>13400</v>
      </c>
      <c r="P4495" s="12">
        <f t="shared" si="438"/>
        <v>6700</v>
      </c>
      <c r="Q4495" s="12">
        <f t="shared" si="435"/>
        <v>14070</v>
      </c>
      <c r="R4495" s="33">
        <f t="shared" si="439"/>
        <v>14000</v>
      </c>
      <c r="T4495" s="12"/>
      <c r="U4495" s="12">
        <v>26600</v>
      </c>
      <c r="V4495" s="12"/>
      <c r="W4495" s="12">
        <f t="shared" si="441"/>
        <v>16750</v>
      </c>
    </row>
    <row r="4496" spans="1:23" s="6" customFormat="1" ht="21.95" customHeight="1" x14ac:dyDescent="0.2">
      <c r="A4496" s="6" t="s">
        <v>943</v>
      </c>
      <c r="B4496" s="6" t="s">
        <v>1597</v>
      </c>
      <c r="C4496" s="6" t="s">
        <v>1410</v>
      </c>
      <c r="D4496" s="6" t="s">
        <v>943</v>
      </c>
      <c r="G4496" s="6">
        <v>90</v>
      </c>
      <c r="H4496" s="6">
        <v>190</v>
      </c>
      <c r="I4496" s="9"/>
      <c r="J4496" s="9"/>
      <c r="K4496" s="9">
        <v>44009037</v>
      </c>
      <c r="L4496" s="6" t="str">
        <f t="shared" si="440"/>
        <v>1D  PAROS  YATAK  90x190</v>
      </c>
      <c r="M4496" s="12">
        <v>0.5</v>
      </c>
      <c r="N4496" s="12">
        <v>0.5</v>
      </c>
      <c r="O4496" s="12">
        <v>9500</v>
      </c>
      <c r="P4496" s="12">
        <f t="shared" si="438"/>
        <v>4750</v>
      </c>
      <c r="Q4496" s="12">
        <f t="shared" si="435"/>
        <v>9975</v>
      </c>
      <c r="R4496" s="33">
        <f t="shared" si="439"/>
        <v>9900</v>
      </c>
      <c r="T4496" s="12"/>
      <c r="U4496" s="12">
        <v>27400</v>
      </c>
      <c r="V4496" s="12"/>
      <c r="W4496" s="12">
        <f t="shared" si="441"/>
        <v>11875</v>
      </c>
    </row>
    <row r="4497" spans="1:23" s="6" customFormat="1" ht="21.95" customHeight="1" x14ac:dyDescent="0.2">
      <c r="A4497" s="6" t="s">
        <v>943</v>
      </c>
      <c r="B4497" s="6" t="s">
        <v>1597</v>
      </c>
      <c r="C4497" s="6" t="s">
        <v>1410</v>
      </c>
      <c r="D4497" s="6" t="s">
        <v>943</v>
      </c>
      <c r="G4497" s="6">
        <v>90</v>
      </c>
      <c r="H4497" s="6">
        <v>200</v>
      </c>
      <c r="I4497" s="9"/>
      <c r="J4497" s="9"/>
      <c r="K4497" s="9">
        <v>44009038</v>
      </c>
      <c r="L4497" s="6" t="str">
        <f t="shared" si="440"/>
        <v>1D  PAROS  YATAK  90x200</v>
      </c>
      <c r="M4497" s="12">
        <v>0.5</v>
      </c>
      <c r="N4497" s="12">
        <v>0.5</v>
      </c>
      <c r="O4497" s="12">
        <v>10000</v>
      </c>
      <c r="P4497" s="12">
        <f t="shared" si="438"/>
        <v>5000</v>
      </c>
      <c r="Q4497" s="12">
        <f t="shared" si="435"/>
        <v>10500</v>
      </c>
      <c r="R4497" s="33">
        <f t="shared" si="439"/>
        <v>10500</v>
      </c>
      <c r="T4497" s="12"/>
      <c r="U4497" s="12">
        <v>27600</v>
      </c>
      <c r="V4497" s="12"/>
      <c r="W4497" s="12">
        <f t="shared" si="441"/>
        <v>12500</v>
      </c>
    </row>
    <row r="4498" spans="1:23" s="6" customFormat="1" ht="21.95" customHeight="1" x14ac:dyDescent="0.2">
      <c r="A4498" s="6" t="s">
        <v>943</v>
      </c>
      <c r="B4498" s="6" t="s">
        <v>1597</v>
      </c>
      <c r="C4498" s="6" t="s">
        <v>1410</v>
      </c>
      <c r="D4498" s="6" t="s">
        <v>943</v>
      </c>
      <c r="G4498" s="6">
        <v>100</v>
      </c>
      <c r="H4498" s="6">
        <v>200</v>
      </c>
      <c r="I4498" s="9"/>
      <c r="J4498" s="9"/>
      <c r="K4498" s="9">
        <v>44009039</v>
      </c>
      <c r="L4498" s="6" t="str">
        <f t="shared" si="440"/>
        <v>1D  PAROS  YATAK  100x200</v>
      </c>
      <c r="M4498" s="12">
        <v>0.5</v>
      </c>
      <c r="N4498" s="12">
        <v>0.5</v>
      </c>
      <c r="O4498" s="12">
        <v>11100</v>
      </c>
      <c r="P4498" s="12">
        <f t="shared" si="438"/>
        <v>5550</v>
      </c>
      <c r="Q4498" s="12">
        <f t="shared" si="435"/>
        <v>11655</v>
      </c>
      <c r="R4498" s="33">
        <f t="shared" si="439"/>
        <v>11600</v>
      </c>
      <c r="T4498" s="12"/>
      <c r="U4498" s="12">
        <v>33200</v>
      </c>
      <c r="V4498" s="12"/>
      <c r="W4498" s="12">
        <f t="shared" si="441"/>
        <v>13875</v>
      </c>
    </row>
    <row r="4499" spans="1:23" s="6" customFormat="1" ht="21.95" customHeight="1" x14ac:dyDescent="0.2">
      <c r="A4499" s="6" t="s">
        <v>943</v>
      </c>
      <c r="B4499" s="6" t="s">
        <v>1597</v>
      </c>
      <c r="C4499" s="6" t="s">
        <v>1410</v>
      </c>
      <c r="D4499" s="6" t="s">
        <v>943</v>
      </c>
      <c r="G4499" s="6">
        <v>120</v>
      </c>
      <c r="H4499" s="6">
        <v>200</v>
      </c>
      <c r="I4499" s="9"/>
      <c r="J4499" s="9"/>
      <c r="K4499" s="9">
        <v>44009040</v>
      </c>
      <c r="L4499" s="6" t="str">
        <f t="shared" si="440"/>
        <v>1D  PAROS  YATAK  120x200</v>
      </c>
      <c r="M4499" s="12">
        <v>0.5</v>
      </c>
      <c r="N4499" s="12">
        <v>0.5</v>
      </c>
      <c r="O4499" s="12">
        <v>13400</v>
      </c>
      <c r="P4499" s="12">
        <f t="shared" si="438"/>
        <v>6700</v>
      </c>
      <c r="Q4499" s="12">
        <f t="shared" ref="Q4499:Q4562" si="442">O4499*(1-N4499)*2.1</f>
        <v>14070</v>
      </c>
      <c r="R4499" s="33">
        <f t="shared" si="439"/>
        <v>14000</v>
      </c>
      <c r="T4499" s="12"/>
      <c r="U4499" s="12">
        <v>38600</v>
      </c>
      <c r="V4499" s="12"/>
      <c r="W4499" s="12">
        <f t="shared" si="441"/>
        <v>16750</v>
      </c>
    </row>
    <row r="4500" spans="1:23" s="6" customFormat="1" ht="21.95" customHeight="1" x14ac:dyDescent="0.2">
      <c r="A4500" s="6" t="s">
        <v>943</v>
      </c>
      <c r="B4500" s="6" t="s">
        <v>1597</v>
      </c>
      <c r="C4500" s="6" t="s">
        <v>1410</v>
      </c>
      <c r="D4500" s="6" t="s">
        <v>943</v>
      </c>
      <c r="G4500" s="6">
        <v>140</v>
      </c>
      <c r="H4500" s="6">
        <v>200</v>
      </c>
      <c r="I4500" s="9"/>
      <c r="J4500" s="9"/>
      <c r="K4500" s="9">
        <v>44009041</v>
      </c>
      <c r="L4500" s="6" t="str">
        <f t="shared" si="440"/>
        <v>1D  PAROS  YATAK  140x200</v>
      </c>
      <c r="M4500" s="12">
        <v>0.5</v>
      </c>
      <c r="N4500" s="12">
        <v>0.5</v>
      </c>
      <c r="O4500" s="12">
        <v>15600</v>
      </c>
      <c r="P4500" s="12">
        <f t="shared" si="438"/>
        <v>7800</v>
      </c>
      <c r="Q4500" s="12">
        <f t="shared" si="442"/>
        <v>16380</v>
      </c>
      <c r="R4500" s="33">
        <f t="shared" si="439"/>
        <v>16300</v>
      </c>
      <c r="T4500" s="12"/>
      <c r="U4500" s="12">
        <v>41400</v>
      </c>
      <c r="V4500" s="12"/>
      <c r="W4500" s="12">
        <f t="shared" si="441"/>
        <v>19500</v>
      </c>
    </row>
    <row r="4501" spans="1:23" s="6" customFormat="1" ht="21.95" customHeight="1" x14ac:dyDescent="0.2">
      <c r="A4501" s="6" t="s">
        <v>943</v>
      </c>
      <c r="B4501" s="6" t="s">
        <v>1597</v>
      </c>
      <c r="C4501" s="6" t="s">
        <v>1410</v>
      </c>
      <c r="D4501" s="6" t="s">
        <v>943</v>
      </c>
      <c r="G4501" s="6">
        <v>150</v>
      </c>
      <c r="H4501" s="6">
        <v>200</v>
      </c>
      <c r="I4501" s="9"/>
      <c r="J4501" s="9"/>
      <c r="K4501" s="9">
        <v>44009042</v>
      </c>
      <c r="L4501" s="6" t="str">
        <f t="shared" si="440"/>
        <v>1D  PAROS  YATAK  150x200</v>
      </c>
      <c r="M4501" s="12">
        <v>0.5</v>
      </c>
      <c r="N4501" s="12">
        <v>0.5</v>
      </c>
      <c r="O4501" s="12">
        <v>16700</v>
      </c>
      <c r="P4501" s="12">
        <f t="shared" si="438"/>
        <v>8350</v>
      </c>
      <c r="Q4501" s="12">
        <f t="shared" si="442"/>
        <v>17535</v>
      </c>
      <c r="R4501" s="33">
        <f t="shared" si="439"/>
        <v>17500</v>
      </c>
      <c r="T4501" s="12"/>
      <c r="U4501" s="12">
        <v>44200</v>
      </c>
      <c r="V4501" s="12"/>
      <c r="W4501" s="12">
        <f t="shared" si="441"/>
        <v>20875</v>
      </c>
    </row>
    <row r="4502" spans="1:23" s="6" customFormat="1" ht="21.95" customHeight="1" x14ac:dyDescent="0.2">
      <c r="A4502" s="6" t="s">
        <v>943</v>
      </c>
      <c r="B4502" s="6" t="s">
        <v>1597</v>
      </c>
      <c r="C4502" s="6" t="s">
        <v>1410</v>
      </c>
      <c r="D4502" s="6" t="s">
        <v>943</v>
      </c>
      <c r="G4502" s="6">
        <v>160</v>
      </c>
      <c r="H4502" s="6">
        <v>200</v>
      </c>
      <c r="I4502" s="9"/>
      <c r="J4502" s="9"/>
      <c r="K4502" s="9">
        <v>44009043</v>
      </c>
      <c r="L4502" s="6" t="str">
        <f t="shared" si="440"/>
        <v>1D  PAROS  YATAK  160x200</v>
      </c>
      <c r="M4502" s="12">
        <v>0.5</v>
      </c>
      <c r="N4502" s="12">
        <v>0.5</v>
      </c>
      <c r="O4502" s="12">
        <v>17800</v>
      </c>
      <c r="P4502" s="12">
        <f t="shared" si="438"/>
        <v>8900</v>
      </c>
      <c r="Q4502" s="12">
        <f t="shared" si="442"/>
        <v>18690</v>
      </c>
      <c r="R4502" s="33">
        <f t="shared" si="439"/>
        <v>18600</v>
      </c>
      <c r="T4502" s="12"/>
      <c r="U4502" s="12">
        <v>49800</v>
      </c>
      <c r="V4502" s="12"/>
      <c r="W4502" s="12">
        <f t="shared" si="441"/>
        <v>22250</v>
      </c>
    </row>
    <row r="4503" spans="1:23" s="6" customFormat="1" ht="21.95" customHeight="1" x14ac:dyDescent="0.2">
      <c r="A4503" s="6" t="s">
        <v>943</v>
      </c>
      <c r="B4503" s="6" t="s">
        <v>1597</v>
      </c>
      <c r="C4503" s="6" t="s">
        <v>1410</v>
      </c>
      <c r="D4503" s="6" t="s">
        <v>943</v>
      </c>
      <c r="G4503" s="6">
        <v>180</v>
      </c>
      <c r="H4503" s="6">
        <v>200</v>
      </c>
      <c r="I4503" s="9"/>
      <c r="J4503" s="9"/>
      <c r="K4503" s="9">
        <v>44009044</v>
      </c>
      <c r="L4503" s="6" t="str">
        <f t="shared" si="440"/>
        <v>1D  PAROS  YATAK  180x200</v>
      </c>
      <c r="M4503" s="12">
        <v>0.5</v>
      </c>
      <c r="N4503" s="12">
        <v>0.5</v>
      </c>
      <c r="O4503" s="12">
        <v>20000</v>
      </c>
      <c r="P4503" s="12">
        <f t="shared" si="438"/>
        <v>10000</v>
      </c>
      <c r="Q4503" s="12">
        <f t="shared" si="442"/>
        <v>21000</v>
      </c>
      <c r="R4503" s="33">
        <f t="shared" si="439"/>
        <v>21000</v>
      </c>
      <c r="T4503" s="12"/>
      <c r="U4503" s="12">
        <v>12800</v>
      </c>
      <c r="V4503" s="12"/>
      <c r="W4503" s="12">
        <f t="shared" si="441"/>
        <v>25000</v>
      </c>
    </row>
    <row r="4504" spans="1:23" s="6" customFormat="1" ht="21.95" customHeight="1" x14ac:dyDescent="0.2">
      <c r="A4504" s="6" t="s">
        <v>943</v>
      </c>
      <c r="B4504" s="6" t="s">
        <v>1597</v>
      </c>
      <c r="C4504" s="6" t="s">
        <v>1410</v>
      </c>
      <c r="D4504" s="6" t="s">
        <v>1380</v>
      </c>
      <c r="I4504" s="9"/>
      <c r="J4504" s="9"/>
      <c r="K4504" s="9">
        <v>44009045</v>
      </c>
      <c r="L4504" s="6" t="str">
        <f>B4504&amp;" "&amp;C4504&amp;" "&amp;D4504</f>
        <v>1D  PAROS  KOMODİN (2 ADET)</v>
      </c>
      <c r="M4504" s="12">
        <v>0.5</v>
      </c>
      <c r="N4504" s="12">
        <v>0.5</v>
      </c>
      <c r="O4504" s="12">
        <v>13200</v>
      </c>
      <c r="P4504" s="12">
        <f t="shared" si="438"/>
        <v>6600</v>
      </c>
      <c r="Q4504" s="12">
        <f t="shared" si="442"/>
        <v>13860</v>
      </c>
      <c r="R4504" s="33">
        <f t="shared" si="439"/>
        <v>13800</v>
      </c>
      <c r="T4504" s="12"/>
      <c r="U4504" s="12">
        <v>13400</v>
      </c>
      <c r="V4504" s="12"/>
      <c r="W4504" s="12">
        <f t="shared" si="441"/>
        <v>16500</v>
      </c>
    </row>
    <row r="4505" spans="1:23" s="6" customFormat="1" ht="21.95" customHeight="1" x14ac:dyDescent="0.2">
      <c r="A4505" s="6" t="s">
        <v>943</v>
      </c>
      <c r="B4505" s="6" t="s">
        <v>1597</v>
      </c>
      <c r="C4505" s="6" t="s">
        <v>1411</v>
      </c>
      <c r="D4505" s="6" t="s">
        <v>989</v>
      </c>
      <c r="G4505" s="6">
        <v>90</v>
      </c>
      <c r="H4505" s="6">
        <v>190</v>
      </c>
      <c r="I4505" s="9"/>
      <c r="J4505" s="9"/>
      <c r="K4505" s="9">
        <v>44009046</v>
      </c>
      <c r="L4505" s="6" t="str">
        <f t="shared" ref="L4505:L4528" si="443">B4505&amp;" "&amp;C4505&amp;" "&amp;D4505&amp;" "&amp;G4505&amp;"x"&amp;H4505</f>
        <v>1D  PAROS XL  BAZA  90x190</v>
      </c>
      <c r="M4505" s="12">
        <v>0.5</v>
      </c>
      <c r="N4505" s="12">
        <v>0.5</v>
      </c>
      <c r="O4505" s="12">
        <v>10600</v>
      </c>
      <c r="P4505" s="12">
        <f t="shared" si="438"/>
        <v>5300</v>
      </c>
      <c r="Q4505" s="12">
        <f t="shared" si="442"/>
        <v>11130</v>
      </c>
      <c r="R4505" s="33">
        <f t="shared" si="439"/>
        <v>11100</v>
      </c>
      <c r="T4505" s="12"/>
      <c r="U4505" s="12">
        <v>13600</v>
      </c>
      <c r="V4505" s="12"/>
      <c r="W4505" s="12">
        <f t="shared" si="441"/>
        <v>13250</v>
      </c>
    </row>
    <row r="4506" spans="1:23" s="6" customFormat="1" ht="21.95" customHeight="1" x14ac:dyDescent="0.2">
      <c r="A4506" s="6" t="s">
        <v>943</v>
      </c>
      <c r="B4506" s="6" t="s">
        <v>1597</v>
      </c>
      <c r="C4506" s="6" t="s">
        <v>1411</v>
      </c>
      <c r="D4506" s="6" t="s">
        <v>989</v>
      </c>
      <c r="G4506" s="6">
        <v>90</v>
      </c>
      <c r="H4506" s="6">
        <v>200</v>
      </c>
      <c r="I4506" s="9"/>
      <c r="J4506" s="9"/>
      <c r="K4506" s="9">
        <v>44009047</v>
      </c>
      <c r="L4506" s="6" t="str">
        <f t="shared" si="443"/>
        <v>1D  PAROS XL  BAZA  90x200</v>
      </c>
      <c r="M4506" s="12">
        <v>0.5</v>
      </c>
      <c r="N4506" s="12">
        <v>0.5</v>
      </c>
      <c r="O4506" s="12">
        <v>11100</v>
      </c>
      <c r="P4506" s="12">
        <f t="shared" si="438"/>
        <v>5550</v>
      </c>
      <c r="Q4506" s="12">
        <f t="shared" si="442"/>
        <v>11655</v>
      </c>
      <c r="R4506" s="33">
        <f t="shared" si="439"/>
        <v>11600</v>
      </c>
      <c r="T4506" s="12"/>
      <c r="U4506" s="12">
        <v>16300</v>
      </c>
      <c r="V4506" s="12"/>
      <c r="W4506" s="12">
        <f t="shared" si="441"/>
        <v>13875</v>
      </c>
    </row>
    <row r="4507" spans="1:23" s="6" customFormat="1" ht="21.95" customHeight="1" x14ac:dyDescent="0.2">
      <c r="A4507" s="6" t="s">
        <v>943</v>
      </c>
      <c r="B4507" s="6" t="s">
        <v>1597</v>
      </c>
      <c r="C4507" s="6" t="s">
        <v>1411</v>
      </c>
      <c r="D4507" s="6" t="s">
        <v>989</v>
      </c>
      <c r="G4507" s="6">
        <v>100</v>
      </c>
      <c r="H4507" s="6">
        <v>200</v>
      </c>
      <c r="I4507" s="9"/>
      <c r="J4507" s="9"/>
      <c r="K4507" s="9">
        <v>44009048</v>
      </c>
      <c r="L4507" s="6" t="str">
        <f t="shared" si="443"/>
        <v>1D  PAROS XL  BAZA  100x200</v>
      </c>
      <c r="M4507" s="12">
        <v>0.5</v>
      </c>
      <c r="N4507" s="12">
        <v>0.5</v>
      </c>
      <c r="O4507" s="12">
        <v>12400</v>
      </c>
      <c r="P4507" s="12">
        <f t="shared" si="438"/>
        <v>6200</v>
      </c>
      <c r="Q4507" s="12">
        <f t="shared" si="442"/>
        <v>13020</v>
      </c>
      <c r="R4507" s="33">
        <f t="shared" si="439"/>
        <v>13000</v>
      </c>
      <c r="T4507" s="12"/>
      <c r="U4507" s="12">
        <v>19000</v>
      </c>
      <c r="V4507" s="12"/>
      <c r="W4507" s="12">
        <f t="shared" si="441"/>
        <v>15500</v>
      </c>
    </row>
    <row r="4508" spans="1:23" s="6" customFormat="1" ht="21.95" customHeight="1" x14ac:dyDescent="0.2">
      <c r="A4508" s="6" t="s">
        <v>943</v>
      </c>
      <c r="B4508" s="6" t="s">
        <v>1597</v>
      </c>
      <c r="C4508" s="6" t="s">
        <v>1411</v>
      </c>
      <c r="D4508" s="6" t="s">
        <v>989</v>
      </c>
      <c r="G4508" s="6">
        <v>120</v>
      </c>
      <c r="H4508" s="6">
        <v>200</v>
      </c>
      <c r="I4508" s="9"/>
      <c r="J4508" s="9"/>
      <c r="K4508" s="9">
        <v>44009049</v>
      </c>
      <c r="L4508" s="6" t="str">
        <f t="shared" si="443"/>
        <v>1D  PAROS XL  BAZA  120x200</v>
      </c>
      <c r="M4508" s="12">
        <v>0.5</v>
      </c>
      <c r="N4508" s="12">
        <v>0.5</v>
      </c>
      <c r="O4508" s="12">
        <v>14900</v>
      </c>
      <c r="P4508" s="12">
        <f t="shared" si="438"/>
        <v>7450</v>
      </c>
      <c r="Q4508" s="12">
        <f t="shared" si="442"/>
        <v>15645</v>
      </c>
      <c r="R4508" s="33">
        <f t="shared" si="439"/>
        <v>15600</v>
      </c>
      <c r="T4508" s="12"/>
      <c r="U4508" s="12">
        <v>20300</v>
      </c>
      <c r="V4508" s="12"/>
      <c r="W4508" s="12">
        <f t="shared" si="441"/>
        <v>18625</v>
      </c>
    </row>
    <row r="4509" spans="1:23" s="6" customFormat="1" ht="21.95" customHeight="1" x14ac:dyDescent="0.2">
      <c r="A4509" s="6" t="s">
        <v>943</v>
      </c>
      <c r="B4509" s="6" t="s">
        <v>1597</v>
      </c>
      <c r="C4509" s="6" t="s">
        <v>1411</v>
      </c>
      <c r="D4509" s="6" t="s">
        <v>989</v>
      </c>
      <c r="G4509" s="6">
        <v>140</v>
      </c>
      <c r="H4509" s="6">
        <v>200</v>
      </c>
      <c r="I4509" s="9"/>
      <c r="J4509" s="9"/>
      <c r="K4509" s="9">
        <v>44009050</v>
      </c>
      <c r="L4509" s="6" t="str">
        <f t="shared" si="443"/>
        <v>1D  PAROS XL  BAZA  140x200</v>
      </c>
      <c r="M4509" s="12">
        <v>0.5</v>
      </c>
      <c r="N4509" s="12">
        <v>0.5</v>
      </c>
      <c r="O4509" s="12">
        <v>17300</v>
      </c>
      <c r="P4509" s="12">
        <f t="shared" si="438"/>
        <v>8650</v>
      </c>
      <c r="Q4509" s="12">
        <f t="shared" si="442"/>
        <v>18165</v>
      </c>
      <c r="R4509" s="33">
        <f t="shared" si="439"/>
        <v>18100</v>
      </c>
      <c r="T4509" s="12"/>
      <c r="U4509" s="12">
        <v>21700</v>
      </c>
      <c r="V4509" s="12"/>
      <c r="W4509" s="12">
        <f t="shared" si="441"/>
        <v>21625</v>
      </c>
    </row>
    <row r="4510" spans="1:23" s="6" customFormat="1" ht="21.95" customHeight="1" x14ac:dyDescent="0.2">
      <c r="A4510" s="6" t="s">
        <v>943</v>
      </c>
      <c r="B4510" s="6" t="s">
        <v>1597</v>
      </c>
      <c r="C4510" s="6" t="s">
        <v>1411</v>
      </c>
      <c r="D4510" s="6" t="s">
        <v>989</v>
      </c>
      <c r="G4510" s="6">
        <v>150</v>
      </c>
      <c r="H4510" s="6">
        <v>200</v>
      </c>
      <c r="I4510" s="9"/>
      <c r="J4510" s="9"/>
      <c r="K4510" s="9">
        <v>44009051</v>
      </c>
      <c r="L4510" s="6" t="str">
        <f t="shared" si="443"/>
        <v>1D  PAROS XL  BAZA  150x200</v>
      </c>
      <c r="M4510" s="12">
        <v>0.5</v>
      </c>
      <c r="N4510" s="12">
        <v>0.5</v>
      </c>
      <c r="O4510" s="12">
        <v>18600</v>
      </c>
      <c r="P4510" s="12">
        <f t="shared" si="438"/>
        <v>9300</v>
      </c>
      <c r="Q4510" s="12">
        <f t="shared" si="442"/>
        <v>19530</v>
      </c>
      <c r="R4510" s="33">
        <f t="shared" si="439"/>
        <v>19500</v>
      </c>
      <c r="T4510" s="12"/>
      <c r="U4510" s="12">
        <v>24400</v>
      </c>
      <c r="V4510" s="12"/>
      <c r="W4510" s="12">
        <f t="shared" si="441"/>
        <v>23250</v>
      </c>
    </row>
    <row r="4511" spans="1:23" s="6" customFormat="1" ht="21.95" customHeight="1" x14ac:dyDescent="0.2">
      <c r="A4511" s="6" t="s">
        <v>943</v>
      </c>
      <c r="B4511" s="6" t="s">
        <v>1597</v>
      </c>
      <c r="C4511" s="6" t="s">
        <v>1411</v>
      </c>
      <c r="D4511" s="6" t="s">
        <v>989</v>
      </c>
      <c r="G4511" s="6">
        <v>160</v>
      </c>
      <c r="H4511" s="6">
        <v>200</v>
      </c>
      <c r="I4511" s="9"/>
      <c r="J4511" s="9"/>
      <c r="K4511" s="9">
        <v>44009052</v>
      </c>
      <c r="L4511" s="6" t="str">
        <f t="shared" si="443"/>
        <v>1D  PAROS XL  BAZA  160x200</v>
      </c>
      <c r="M4511" s="12">
        <v>0.5</v>
      </c>
      <c r="N4511" s="12">
        <v>0.5</v>
      </c>
      <c r="O4511" s="12">
        <v>19800</v>
      </c>
      <c r="P4511" s="12">
        <f t="shared" si="438"/>
        <v>9900</v>
      </c>
      <c r="Q4511" s="12">
        <f t="shared" si="442"/>
        <v>20790</v>
      </c>
      <c r="R4511" s="33">
        <f t="shared" si="439"/>
        <v>20700</v>
      </c>
      <c r="T4511" s="12"/>
      <c r="U4511" s="12">
        <v>19300</v>
      </c>
      <c r="V4511" s="12"/>
      <c r="W4511" s="12">
        <f t="shared" si="441"/>
        <v>24750</v>
      </c>
    </row>
    <row r="4512" spans="1:23" s="6" customFormat="1" ht="21.95" customHeight="1" x14ac:dyDescent="0.2">
      <c r="A4512" s="6" t="s">
        <v>943</v>
      </c>
      <c r="B4512" s="6" t="s">
        <v>1597</v>
      </c>
      <c r="C4512" s="6" t="s">
        <v>1411</v>
      </c>
      <c r="D4512" s="6" t="s">
        <v>989</v>
      </c>
      <c r="G4512" s="6">
        <v>180</v>
      </c>
      <c r="H4512" s="6">
        <v>200</v>
      </c>
      <c r="I4512" s="9"/>
      <c r="J4512" s="9"/>
      <c r="K4512" s="9">
        <v>44009053</v>
      </c>
      <c r="L4512" s="6" t="str">
        <f t="shared" si="443"/>
        <v>1D  PAROS XL  BAZA  180x200</v>
      </c>
      <c r="M4512" s="12">
        <v>0.5</v>
      </c>
      <c r="N4512" s="12">
        <v>0.5</v>
      </c>
      <c r="O4512" s="12">
        <v>22300</v>
      </c>
      <c r="P4512" s="12">
        <f t="shared" si="438"/>
        <v>11150</v>
      </c>
      <c r="Q4512" s="12">
        <f t="shared" si="442"/>
        <v>23415</v>
      </c>
      <c r="R4512" s="33">
        <f t="shared" si="439"/>
        <v>23400</v>
      </c>
      <c r="T4512" s="12"/>
      <c r="U4512" s="12">
        <v>25400</v>
      </c>
      <c r="V4512" s="12"/>
      <c r="W4512" s="12">
        <f t="shared" si="441"/>
        <v>27875</v>
      </c>
    </row>
    <row r="4513" spans="1:23" s="6" customFormat="1" ht="21.95" customHeight="1" x14ac:dyDescent="0.2">
      <c r="A4513" s="6" t="s">
        <v>943</v>
      </c>
      <c r="B4513" s="6" t="s">
        <v>1597</v>
      </c>
      <c r="C4513" s="6" t="s">
        <v>1411</v>
      </c>
      <c r="D4513" s="6" t="s">
        <v>1003</v>
      </c>
      <c r="G4513" s="6">
        <v>90</v>
      </c>
      <c r="H4513" s="6">
        <v>190</v>
      </c>
      <c r="I4513" s="9"/>
      <c r="J4513" s="9"/>
      <c r="K4513" s="9">
        <v>44009054</v>
      </c>
      <c r="L4513" s="6" t="str">
        <f t="shared" si="443"/>
        <v>1D  PAROS XL  BAŞLIK  90x190</v>
      </c>
      <c r="M4513" s="12">
        <v>0.5</v>
      </c>
      <c r="N4513" s="12">
        <v>0.5</v>
      </c>
      <c r="O4513" s="12">
        <v>8400</v>
      </c>
      <c r="P4513" s="12">
        <f t="shared" si="438"/>
        <v>4200</v>
      </c>
      <c r="Q4513" s="12">
        <f t="shared" si="442"/>
        <v>8820</v>
      </c>
      <c r="R4513" s="33">
        <f t="shared" si="439"/>
        <v>8800</v>
      </c>
      <c r="T4513" s="12"/>
      <c r="U4513" s="12">
        <v>25900</v>
      </c>
      <c r="V4513" s="12"/>
      <c r="W4513" s="12">
        <f t="shared" si="441"/>
        <v>10500</v>
      </c>
    </row>
    <row r="4514" spans="1:23" s="6" customFormat="1" ht="21.95" customHeight="1" x14ac:dyDescent="0.2">
      <c r="A4514" s="6" t="s">
        <v>943</v>
      </c>
      <c r="B4514" s="6" t="s">
        <v>1597</v>
      </c>
      <c r="C4514" s="6" t="s">
        <v>1411</v>
      </c>
      <c r="D4514" s="6" t="s">
        <v>1003</v>
      </c>
      <c r="G4514" s="6">
        <v>90</v>
      </c>
      <c r="H4514" s="6">
        <v>200</v>
      </c>
      <c r="I4514" s="9"/>
      <c r="J4514" s="9"/>
      <c r="K4514" s="9">
        <v>44009055</v>
      </c>
      <c r="L4514" s="6" t="str">
        <f t="shared" si="443"/>
        <v>1D  PAROS XL  BAŞLIK  90x200</v>
      </c>
      <c r="M4514" s="12">
        <v>0.5</v>
      </c>
      <c r="N4514" s="12">
        <v>0.5</v>
      </c>
      <c r="O4514" s="12">
        <v>8900</v>
      </c>
      <c r="P4514" s="12">
        <f t="shared" si="438"/>
        <v>4450</v>
      </c>
      <c r="Q4514" s="12">
        <f t="shared" si="442"/>
        <v>9345</v>
      </c>
      <c r="R4514" s="33">
        <f t="shared" si="439"/>
        <v>9300</v>
      </c>
      <c r="T4514" s="12"/>
      <c r="U4514" s="12">
        <v>26200</v>
      </c>
      <c r="V4514" s="12"/>
      <c r="W4514" s="12">
        <f t="shared" si="441"/>
        <v>11125</v>
      </c>
    </row>
    <row r="4515" spans="1:23" s="6" customFormat="1" ht="21.95" customHeight="1" x14ac:dyDescent="0.2">
      <c r="A4515" s="6" t="s">
        <v>943</v>
      </c>
      <c r="B4515" s="6" t="s">
        <v>1597</v>
      </c>
      <c r="C4515" s="6" t="s">
        <v>1411</v>
      </c>
      <c r="D4515" s="6" t="s">
        <v>1003</v>
      </c>
      <c r="G4515" s="6">
        <v>100</v>
      </c>
      <c r="H4515" s="6">
        <v>200</v>
      </c>
      <c r="I4515" s="9"/>
      <c r="J4515" s="9"/>
      <c r="K4515" s="9">
        <v>44009056</v>
      </c>
      <c r="L4515" s="6" t="str">
        <f t="shared" si="443"/>
        <v>1D  PAROS XL  BAŞLIK  100x200</v>
      </c>
      <c r="M4515" s="12">
        <v>0.5</v>
      </c>
      <c r="N4515" s="12">
        <v>0.5</v>
      </c>
      <c r="O4515" s="12">
        <v>9900</v>
      </c>
      <c r="P4515" s="12">
        <f t="shared" si="438"/>
        <v>4950</v>
      </c>
      <c r="Q4515" s="12">
        <f t="shared" si="442"/>
        <v>10395</v>
      </c>
      <c r="R4515" s="33">
        <f t="shared" si="439"/>
        <v>10300</v>
      </c>
      <c r="T4515" s="12"/>
      <c r="U4515" s="12">
        <v>31400</v>
      </c>
      <c r="V4515" s="12"/>
      <c r="W4515" s="12">
        <f t="shared" si="441"/>
        <v>12375</v>
      </c>
    </row>
    <row r="4516" spans="1:23" s="6" customFormat="1" ht="21.95" customHeight="1" x14ac:dyDescent="0.2">
      <c r="A4516" s="6" t="s">
        <v>943</v>
      </c>
      <c r="B4516" s="6" t="s">
        <v>1597</v>
      </c>
      <c r="C4516" s="6" t="s">
        <v>1411</v>
      </c>
      <c r="D4516" s="6" t="s">
        <v>1003</v>
      </c>
      <c r="G4516" s="6">
        <v>120</v>
      </c>
      <c r="H4516" s="6">
        <v>200</v>
      </c>
      <c r="I4516" s="9"/>
      <c r="J4516" s="9"/>
      <c r="K4516" s="9">
        <v>44009057</v>
      </c>
      <c r="L4516" s="6" t="str">
        <f t="shared" si="443"/>
        <v>1D  PAROS XL  BAŞLIK  120x200</v>
      </c>
      <c r="M4516" s="12">
        <v>0.5</v>
      </c>
      <c r="N4516" s="12">
        <v>0.5</v>
      </c>
      <c r="O4516" s="12">
        <v>11900</v>
      </c>
      <c r="P4516" s="12">
        <f t="shared" si="438"/>
        <v>5950</v>
      </c>
      <c r="Q4516" s="12">
        <f t="shared" si="442"/>
        <v>12495</v>
      </c>
      <c r="R4516" s="33">
        <f t="shared" si="439"/>
        <v>12400</v>
      </c>
      <c r="T4516" s="12"/>
      <c r="U4516" s="12">
        <v>36600</v>
      </c>
      <c r="V4516" s="12"/>
      <c r="W4516" s="12">
        <f t="shared" si="441"/>
        <v>14875</v>
      </c>
    </row>
    <row r="4517" spans="1:23" s="6" customFormat="1" ht="21.95" customHeight="1" x14ac:dyDescent="0.2">
      <c r="A4517" s="6" t="s">
        <v>943</v>
      </c>
      <c r="B4517" s="6" t="s">
        <v>1597</v>
      </c>
      <c r="C4517" s="6" t="s">
        <v>1411</v>
      </c>
      <c r="D4517" s="6" t="s">
        <v>1003</v>
      </c>
      <c r="G4517" s="6">
        <v>140</v>
      </c>
      <c r="H4517" s="6">
        <v>200</v>
      </c>
      <c r="I4517" s="9"/>
      <c r="J4517" s="9"/>
      <c r="K4517" s="9">
        <v>44009058</v>
      </c>
      <c r="L4517" s="6" t="str">
        <f t="shared" si="443"/>
        <v>1D  PAROS XL  BAŞLIK  140x200</v>
      </c>
      <c r="M4517" s="12">
        <v>0.5</v>
      </c>
      <c r="N4517" s="12">
        <v>0.5</v>
      </c>
      <c r="O4517" s="12">
        <v>13800</v>
      </c>
      <c r="P4517" s="12">
        <f t="shared" si="438"/>
        <v>6900</v>
      </c>
      <c r="Q4517" s="12">
        <f t="shared" si="442"/>
        <v>14490</v>
      </c>
      <c r="R4517" s="33">
        <f t="shared" si="439"/>
        <v>14400</v>
      </c>
      <c r="T4517" s="12"/>
      <c r="U4517" s="12">
        <v>39200</v>
      </c>
      <c r="V4517" s="12"/>
      <c r="W4517" s="12">
        <f t="shared" si="441"/>
        <v>17250</v>
      </c>
    </row>
    <row r="4518" spans="1:23" s="6" customFormat="1" ht="21.95" customHeight="1" x14ac:dyDescent="0.2">
      <c r="A4518" s="6" t="s">
        <v>943</v>
      </c>
      <c r="B4518" s="6" t="s">
        <v>1597</v>
      </c>
      <c r="C4518" s="6" t="s">
        <v>1411</v>
      </c>
      <c r="D4518" s="6" t="s">
        <v>1003</v>
      </c>
      <c r="G4518" s="6">
        <v>150</v>
      </c>
      <c r="H4518" s="6">
        <v>200</v>
      </c>
      <c r="I4518" s="9"/>
      <c r="J4518" s="9"/>
      <c r="K4518" s="9">
        <v>44009059</v>
      </c>
      <c r="L4518" s="6" t="str">
        <f t="shared" si="443"/>
        <v>1D  PAROS XL  BAŞLIK  150x200</v>
      </c>
      <c r="M4518" s="12">
        <v>0.5</v>
      </c>
      <c r="N4518" s="12">
        <v>0.5</v>
      </c>
      <c r="O4518" s="12">
        <v>14800</v>
      </c>
      <c r="P4518" s="12">
        <f t="shared" si="438"/>
        <v>7400</v>
      </c>
      <c r="Q4518" s="12">
        <f t="shared" si="442"/>
        <v>15540</v>
      </c>
      <c r="R4518" s="33">
        <f t="shared" si="439"/>
        <v>15500</v>
      </c>
      <c r="T4518" s="12"/>
      <c r="U4518" s="12">
        <v>41800</v>
      </c>
      <c r="V4518" s="12"/>
      <c r="W4518" s="12">
        <f t="shared" si="441"/>
        <v>18500</v>
      </c>
    </row>
    <row r="4519" spans="1:23" s="6" customFormat="1" ht="21.95" customHeight="1" x14ac:dyDescent="0.2">
      <c r="A4519" s="6" t="s">
        <v>943</v>
      </c>
      <c r="B4519" s="6" t="s">
        <v>1597</v>
      </c>
      <c r="C4519" s="6" t="s">
        <v>1411</v>
      </c>
      <c r="D4519" s="6" t="s">
        <v>1003</v>
      </c>
      <c r="G4519" s="6">
        <v>160</v>
      </c>
      <c r="H4519" s="6">
        <v>200</v>
      </c>
      <c r="I4519" s="9"/>
      <c r="J4519" s="9"/>
      <c r="K4519" s="9">
        <v>44009060</v>
      </c>
      <c r="L4519" s="6" t="str">
        <f t="shared" si="443"/>
        <v>1D  PAROS XL  BAŞLIK  160x200</v>
      </c>
      <c r="M4519" s="12">
        <v>0.5</v>
      </c>
      <c r="N4519" s="12">
        <v>0.5</v>
      </c>
      <c r="O4519" s="12">
        <v>15800</v>
      </c>
      <c r="P4519" s="12">
        <f t="shared" si="438"/>
        <v>7900</v>
      </c>
      <c r="Q4519" s="12">
        <f t="shared" si="442"/>
        <v>16590</v>
      </c>
      <c r="R4519" s="33">
        <f t="shared" si="439"/>
        <v>16500</v>
      </c>
      <c r="T4519" s="12"/>
      <c r="U4519" s="12">
        <v>47100</v>
      </c>
      <c r="V4519" s="12"/>
      <c r="W4519" s="12">
        <f t="shared" si="441"/>
        <v>19750</v>
      </c>
    </row>
    <row r="4520" spans="1:23" s="6" customFormat="1" ht="21.95" customHeight="1" x14ac:dyDescent="0.2">
      <c r="A4520" s="6" t="s">
        <v>943</v>
      </c>
      <c r="B4520" s="6" t="s">
        <v>1597</v>
      </c>
      <c r="C4520" s="6" t="s">
        <v>1411</v>
      </c>
      <c r="D4520" s="6" t="s">
        <v>1003</v>
      </c>
      <c r="G4520" s="6">
        <v>180</v>
      </c>
      <c r="H4520" s="6">
        <v>200</v>
      </c>
      <c r="I4520" s="9"/>
      <c r="J4520" s="9"/>
      <c r="K4520" s="9">
        <v>44009061</v>
      </c>
      <c r="L4520" s="6" t="str">
        <f t="shared" si="443"/>
        <v>1D  PAROS XL  BAŞLIK  180x200</v>
      </c>
      <c r="M4520" s="12">
        <v>0.5</v>
      </c>
      <c r="N4520" s="12">
        <v>0.5</v>
      </c>
      <c r="O4520" s="12">
        <v>17800</v>
      </c>
      <c r="P4520" s="12">
        <f t="shared" si="438"/>
        <v>8900</v>
      </c>
      <c r="Q4520" s="12">
        <f t="shared" si="442"/>
        <v>18690</v>
      </c>
      <c r="R4520" s="33">
        <f t="shared" si="439"/>
        <v>18600</v>
      </c>
      <c r="T4520" s="12"/>
      <c r="U4520" s="12">
        <v>16600</v>
      </c>
      <c r="V4520" s="12"/>
      <c r="W4520" s="12">
        <f t="shared" si="441"/>
        <v>22250</v>
      </c>
    </row>
    <row r="4521" spans="1:23" s="6" customFormat="1" ht="21.95" customHeight="1" x14ac:dyDescent="0.2">
      <c r="A4521" s="6" t="s">
        <v>943</v>
      </c>
      <c r="B4521" s="6" t="s">
        <v>1597</v>
      </c>
      <c r="C4521" s="6" t="s">
        <v>1411</v>
      </c>
      <c r="D4521" s="6" t="s">
        <v>943</v>
      </c>
      <c r="G4521" s="6">
        <v>90</v>
      </c>
      <c r="H4521" s="6">
        <v>190</v>
      </c>
      <c r="I4521" s="9"/>
      <c r="J4521" s="9"/>
      <c r="K4521" s="9">
        <v>44009062</v>
      </c>
      <c r="L4521" s="6" t="str">
        <f t="shared" si="443"/>
        <v>1D  PAROS XL  YATAK  90x190</v>
      </c>
      <c r="M4521" s="12">
        <v>0.5</v>
      </c>
      <c r="N4521" s="12">
        <v>0.5</v>
      </c>
      <c r="O4521" s="12">
        <v>11300</v>
      </c>
      <c r="P4521" s="12">
        <f t="shared" si="438"/>
        <v>5650</v>
      </c>
      <c r="Q4521" s="12">
        <f t="shared" si="442"/>
        <v>11865</v>
      </c>
      <c r="R4521" s="33">
        <f t="shared" si="439"/>
        <v>11800</v>
      </c>
      <c r="T4521" s="12"/>
      <c r="U4521" s="12">
        <v>17500</v>
      </c>
      <c r="V4521" s="12"/>
      <c r="W4521" s="12">
        <f t="shared" si="441"/>
        <v>14125</v>
      </c>
    </row>
    <row r="4522" spans="1:23" s="6" customFormat="1" ht="21.95" customHeight="1" x14ac:dyDescent="0.2">
      <c r="A4522" s="6" t="s">
        <v>943</v>
      </c>
      <c r="B4522" s="6" t="s">
        <v>1597</v>
      </c>
      <c r="C4522" s="6" t="s">
        <v>1411</v>
      </c>
      <c r="D4522" s="6" t="s">
        <v>943</v>
      </c>
      <c r="G4522" s="6">
        <v>90</v>
      </c>
      <c r="H4522" s="6">
        <v>200</v>
      </c>
      <c r="I4522" s="9"/>
      <c r="J4522" s="9"/>
      <c r="K4522" s="9">
        <v>44009063</v>
      </c>
      <c r="L4522" s="6" t="str">
        <f t="shared" si="443"/>
        <v>1D  PAROS XL  YATAK  90x200</v>
      </c>
      <c r="M4522" s="12">
        <v>0.5</v>
      </c>
      <c r="N4522" s="12">
        <v>0.5</v>
      </c>
      <c r="O4522" s="12">
        <v>11900</v>
      </c>
      <c r="P4522" s="12">
        <f t="shared" si="438"/>
        <v>5950</v>
      </c>
      <c r="Q4522" s="12">
        <f t="shared" si="442"/>
        <v>12495</v>
      </c>
      <c r="R4522" s="33">
        <f t="shared" si="439"/>
        <v>12400</v>
      </c>
      <c r="T4522" s="12"/>
      <c r="U4522" s="12">
        <v>17700</v>
      </c>
      <c r="V4522" s="12"/>
      <c r="W4522" s="12">
        <f t="shared" si="441"/>
        <v>14875</v>
      </c>
    </row>
    <row r="4523" spans="1:23" s="6" customFormat="1" ht="21.95" customHeight="1" x14ac:dyDescent="0.2">
      <c r="A4523" s="6" t="s">
        <v>943</v>
      </c>
      <c r="B4523" s="6" t="s">
        <v>1597</v>
      </c>
      <c r="C4523" s="6" t="s">
        <v>1411</v>
      </c>
      <c r="D4523" s="6" t="s">
        <v>943</v>
      </c>
      <c r="G4523" s="6">
        <v>100</v>
      </c>
      <c r="H4523" s="6">
        <v>200</v>
      </c>
      <c r="I4523" s="9"/>
      <c r="J4523" s="9"/>
      <c r="K4523" s="9">
        <v>44009064</v>
      </c>
      <c r="L4523" s="6" t="str">
        <f t="shared" si="443"/>
        <v>1D  PAROS XL  YATAK  100x200</v>
      </c>
      <c r="M4523" s="12">
        <v>0.5</v>
      </c>
      <c r="N4523" s="12">
        <v>0.5</v>
      </c>
      <c r="O4523" s="12">
        <v>13200</v>
      </c>
      <c r="P4523" s="12">
        <f t="shared" si="438"/>
        <v>6600</v>
      </c>
      <c r="Q4523" s="12">
        <f t="shared" si="442"/>
        <v>13860</v>
      </c>
      <c r="R4523" s="33">
        <f t="shared" si="439"/>
        <v>13800</v>
      </c>
      <c r="T4523" s="12"/>
      <c r="U4523" s="12">
        <v>21200</v>
      </c>
      <c r="V4523" s="12"/>
      <c r="W4523" s="12">
        <f t="shared" si="441"/>
        <v>16500</v>
      </c>
    </row>
    <row r="4524" spans="1:23" s="6" customFormat="1" ht="21.95" customHeight="1" x14ac:dyDescent="0.2">
      <c r="A4524" s="6" t="s">
        <v>943</v>
      </c>
      <c r="B4524" s="6" t="s">
        <v>1597</v>
      </c>
      <c r="C4524" s="6" t="s">
        <v>1411</v>
      </c>
      <c r="D4524" s="6" t="s">
        <v>943</v>
      </c>
      <c r="G4524" s="6">
        <v>120</v>
      </c>
      <c r="H4524" s="6">
        <v>200</v>
      </c>
      <c r="I4524" s="9"/>
      <c r="J4524" s="9"/>
      <c r="K4524" s="9">
        <v>44009065</v>
      </c>
      <c r="L4524" s="6" t="str">
        <f t="shared" si="443"/>
        <v>1D  PAROS XL  YATAK  120x200</v>
      </c>
      <c r="M4524" s="12">
        <v>0.5</v>
      </c>
      <c r="N4524" s="12">
        <v>0.5</v>
      </c>
      <c r="O4524" s="12">
        <v>15800</v>
      </c>
      <c r="P4524" s="12">
        <f t="shared" si="438"/>
        <v>7900</v>
      </c>
      <c r="Q4524" s="12">
        <f t="shared" si="442"/>
        <v>16590</v>
      </c>
      <c r="R4524" s="33">
        <f t="shared" si="439"/>
        <v>16500</v>
      </c>
      <c r="T4524" s="12"/>
      <c r="U4524" s="12">
        <v>24800</v>
      </c>
      <c r="V4524" s="12"/>
      <c r="W4524" s="12">
        <f t="shared" si="441"/>
        <v>19750</v>
      </c>
    </row>
    <row r="4525" spans="1:23" s="6" customFormat="1" ht="21.95" customHeight="1" x14ac:dyDescent="0.2">
      <c r="A4525" s="6" t="s">
        <v>943</v>
      </c>
      <c r="B4525" s="6" t="s">
        <v>1597</v>
      </c>
      <c r="C4525" s="6" t="s">
        <v>1411</v>
      </c>
      <c r="D4525" s="6" t="s">
        <v>943</v>
      </c>
      <c r="G4525" s="6">
        <v>140</v>
      </c>
      <c r="H4525" s="6">
        <v>200</v>
      </c>
      <c r="I4525" s="9"/>
      <c r="J4525" s="9"/>
      <c r="K4525" s="9">
        <v>44009066</v>
      </c>
      <c r="L4525" s="6" t="str">
        <f t="shared" si="443"/>
        <v>1D  PAROS XL  YATAK  140x200</v>
      </c>
      <c r="M4525" s="12">
        <v>0.5</v>
      </c>
      <c r="N4525" s="12">
        <v>0.5</v>
      </c>
      <c r="O4525" s="12">
        <v>18500</v>
      </c>
      <c r="P4525" s="12">
        <f t="shared" ref="P4525:P4588" si="444">O4525*(1-N4525)</f>
        <v>9250</v>
      </c>
      <c r="Q4525" s="12">
        <f t="shared" si="442"/>
        <v>19425</v>
      </c>
      <c r="R4525" s="33">
        <f t="shared" ref="R4525:R4588" si="445">ROUNDDOWN(Q4525,-2)</f>
        <v>19400</v>
      </c>
      <c r="T4525" s="12"/>
      <c r="U4525" s="12">
        <v>26500</v>
      </c>
      <c r="V4525" s="12"/>
      <c r="W4525" s="12">
        <f t="shared" si="441"/>
        <v>23125</v>
      </c>
    </row>
    <row r="4526" spans="1:23" s="6" customFormat="1" ht="21.95" customHeight="1" x14ac:dyDescent="0.2">
      <c r="A4526" s="6" t="s">
        <v>943</v>
      </c>
      <c r="B4526" s="6" t="s">
        <v>1597</v>
      </c>
      <c r="C4526" s="6" t="s">
        <v>1411</v>
      </c>
      <c r="D4526" s="6" t="s">
        <v>943</v>
      </c>
      <c r="G4526" s="6">
        <v>150</v>
      </c>
      <c r="H4526" s="6">
        <v>200</v>
      </c>
      <c r="I4526" s="9"/>
      <c r="J4526" s="9"/>
      <c r="K4526" s="9">
        <v>44009067</v>
      </c>
      <c r="L4526" s="6" t="str">
        <f t="shared" si="443"/>
        <v>1D  PAROS XL  YATAK  150x200</v>
      </c>
      <c r="M4526" s="12">
        <v>0.5</v>
      </c>
      <c r="N4526" s="12">
        <v>0.5</v>
      </c>
      <c r="O4526" s="12">
        <v>19800</v>
      </c>
      <c r="P4526" s="12">
        <f t="shared" si="444"/>
        <v>9900</v>
      </c>
      <c r="Q4526" s="12">
        <f t="shared" si="442"/>
        <v>20790</v>
      </c>
      <c r="R4526" s="33">
        <f t="shared" si="445"/>
        <v>20700</v>
      </c>
      <c r="T4526" s="12"/>
      <c r="U4526" s="12">
        <v>28300</v>
      </c>
      <c r="V4526" s="12"/>
      <c r="W4526" s="12">
        <f t="shared" si="441"/>
        <v>24750</v>
      </c>
    </row>
    <row r="4527" spans="1:23" s="6" customFormat="1" ht="21.95" customHeight="1" x14ac:dyDescent="0.2">
      <c r="A4527" s="6" t="s">
        <v>943</v>
      </c>
      <c r="B4527" s="6" t="s">
        <v>1597</v>
      </c>
      <c r="C4527" s="6" t="s">
        <v>1411</v>
      </c>
      <c r="D4527" s="6" t="s">
        <v>943</v>
      </c>
      <c r="G4527" s="6">
        <v>160</v>
      </c>
      <c r="H4527" s="6">
        <v>200</v>
      </c>
      <c r="I4527" s="9"/>
      <c r="J4527" s="9"/>
      <c r="K4527" s="9">
        <v>44009068</v>
      </c>
      <c r="L4527" s="6" t="str">
        <f t="shared" si="443"/>
        <v>1D  PAROS XL  YATAK  160x200</v>
      </c>
      <c r="M4527" s="12">
        <v>0.5</v>
      </c>
      <c r="N4527" s="12">
        <v>0.5</v>
      </c>
      <c r="O4527" s="12">
        <v>21100</v>
      </c>
      <c r="P4527" s="12">
        <f t="shared" si="444"/>
        <v>10550</v>
      </c>
      <c r="Q4527" s="12">
        <f t="shared" si="442"/>
        <v>22155</v>
      </c>
      <c r="R4527" s="33">
        <f t="shared" si="445"/>
        <v>22100</v>
      </c>
      <c r="T4527" s="12"/>
      <c r="U4527" s="12">
        <v>31800</v>
      </c>
      <c r="V4527" s="12"/>
      <c r="W4527" s="12">
        <f t="shared" si="441"/>
        <v>26375</v>
      </c>
    </row>
    <row r="4528" spans="1:23" s="6" customFormat="1" ht="21.95" customHeight="1" x14ac:dyDescent="0.2">
      <c r="A4528" s="6" t="s">
        <v>943</v>
      </c>
      <c r="B4528" s="6" t="s">
        <v>1597</v>
      </c>
      <c r="C4528" s="6" t="s">
        <v>1411</v>
      </c>
      <c r="D4528" s="6" t="s">
        <v>943</v>
      </c>
      <c r="G4528" s="6">
        <v>180</v>
      </c>
      <c r="H4528" s="6">
        <v>200</v>
      </c>
      <c r="I4528" s="9"/>
      <c r="J4528" s="9"/>
      <c r="K4528" s="9">
        <v>44009069</v>
      </c>
      <c r="L4528" s="6" t="str">
        <f t="shared" si="443"/>
        <v>1D  PAROS XL  YATAK  180x200</v>
      </c>
      <c r="M4528" s="12">
        <v>0.5</v>
      </c>
      <c r="N4528" s="12">
        <v>0.5</v>
      </c>
      <c r="O4528" s="12">
        <v>23700</v>
      </c>
      <c r="P4528" s="12">
        <f t="shared" si="444"/>
        <v>11850</v>
      </c>
      <c r="Q4528" s="12">
        <f t="shared" si="442"/>
        <v>24885</v>
      </c>
      <c r="R4528" s="33">
        <f t="shared" si="445"/>
        <v>24800</v>
      </c>
      <c r="T4528" s="12"/>
      <c r="U4528" s="12">
        <v>19300</v>
      </c>
      <c r="V4528" s="12"/>
      <c r="W4528" s="12">
        <f t="shared" si="441"/>
        <v>29625</v>
      </c>
    </row>
    <row r="4529" spans="1:23" s="6" customFormat="1" ht="21.95" customHeight="1" x14ac:dyDescent="0.2">
      <c r="A4529" s="6" t="s">
        <v>943</v>
      </c>
      <c r="B4529" s="6" t="s">
        <v>1597</v>
      </c>
      <c r="C4529" s="6" t="s">
        <v>1411</v>
      </c>
      <c r="D4529" s="6" t="s">
        <v>1380</v>
      </c>
      <c r="I4529" s="9"/>
      <c r="J4529" s="9"/>
      <c r="K4529" s="9">
        <v>44009070</v>
      </c>
      <c r="L4529" s="6" t="str">
        <f>B4529&amp;" "&amp;C4529&amp;" "&amp;D4529</f>
        <v>1D  PAROS XL  KOMODİN (2 ADET)</v>
      </c>
      <c r="M4529" s="12">
        <v>0.5</v>
      </c>
      <c r="N4529" s="12">
        <v>0.5</v>
      </c>
      <c r="O4529" s="12">
        <v>13200</v>
      </c>
      <c r="P4529" s="12">
        <f t="shared" si="444"/>
        <v>6600</v>
      </c>
      <c r="Q4529" s="12">
        <f t="shared" si="442"/>
        <v>13860</v>
      </c>
      <c r="R4529" s="33">
        <f t="shared" si="445"/>
        <v>13800</v>
      </c>
      <c r="T4529" s="12"/>
      <c r="U4529" s="12">
        <v>18600</v>
      </c>
      <c r="V4529" s="12"/>
      <c r="W4529" s="12">
        <f t="shared" ref="W4529:W4545" si="446">P4529*2.5</f>
        <v>16500</v>
      </c>
    </row>
    <row r="4530" spans="1:23" s="6" customFormat="1" ht="21.95" customHeight="1" x14ac:dyDescent="0.2">
      <c r="A4530" s="6" t="s">
        <v>943</v>
      </c>
      <c r="B4530" s="6" t="s">
        <v>1597</v>
      </c>
      <c r="C4530" s="6" t="s">
        <v>1412</v>
      </c>
      <c r="D4530" s="6" t="s">
        <v>989</v>
      </c>
      <c r="G4530" s="6">
        <v>90</v>
      </c>
      <c r="H4530" s="6">
        <v>190</v>
      </c>
      <c r="I4530" s="9"/>
      <c r="J4530" s="9"/>
      <c r="K4530" s="9">
        <v>44009071</v>
      </c>
      <c r="L4530" s="6" t="str">
        <f t="shared" ref="L4530:L4553" si="447">B4530&amp;" "&amp;C4530&amp;" "&amp;D4530&amp;" "&amp;G4530&amp;"x"&amp;H4530</f>
        <v>1D  PERRY LUX  BAZA  90x190</v>
      </c>
      <c r="M4530" s="12">
        <v>0.5</v>
      </c>
      <c r="N4530" s="12">
        <v>0.5</v>
      </c>
      <c r="O4530" s="12">
        <v>9500</v>
      </c>
      <c r="P4530" s="12">
        <f t="shared" si="444"/>
        <v>4750</v>
      </c>
      <c r="Q4530" s="12">
        <f t="shared" si="442"/>
        <v>9975</v>
      </c>
      <c r="R4530" s="33">
        <f t="shared" si="445"/>
        <v>9900</v>
      </c>
      <c r="T4530" s="12"/>
      <c r="U4530" s="12">
        <v>20000</v>
      </c>
      <c r="V4530" s="12"/>
      <c r="W4530" s="12">
        <f t="shared" si="446"/>
        <v>11875</v>
      </c>
    </row>
    <row r="4531" spans="1:23" s="6" customFormat="1" ht="21.95" customHeight="1" x14ac:dyDescent="0.2">
      <c r="A4531" s="6" t="s">
        <v>943</v>
      </c>
      <c r="B4531" s="6" t="s">
        <v>1597</v>
      </c>
      <c r="C4531" s="6" t="s">
        <v>1412</v>
      </c>
      <c r="D4531" s="6" t="s">
        <v>989</v>
      </c>
      <c r="G4531" s="6">
        <v>90</v>
      </c>
      <c r="H4531" s="6">
        <v>200</v>
      </c>
      <c r="I4531" s="9"/>
      <c r="J4531" s="9"/>
      <c r="K4531" s="9">
        <v>44009072</v>
      </c>
      <c r="L4531" s="6" t="str">
        <f t="shared" si="447"/>
        <v>1D  PERRY LUX  BAZA  90x200</v>
      </c>
      <c r="M4531" s="12">
        <v>0.5</v>
      </c>
      <c r="N4531" s="12">
        <v>0.5</v>
      </c>
      <c r="O4531" s="12">
        <v>10000</v>
      </c>
      <c r="P4531" s="12">
        <f t="shared" si="444"/>
        <v>5000</v>
      </c>
      <c r="Q4531" s="12">
        <f t="shared" si="442"/>
        <v>10500</v>
      </c>
      <c r="R4531" s="33">
        <f t="shared" si="445"/>
        <v>10500</v>
      </c>
      <c r="T4531" s="12"/>
      <c r="U4531" s="12">
        <v>21300</v>
      </c>
      <c r="V4531" s="12"/>
      <c r="W4531" s="12">
        <f t="shared" si="446"/>
        <v>12500</v>
      </c>
    </row>
    <row r="4532" spans="1:23" s="6" customFormat="1" ht="21.95" customHeight="1" x14ac:dyDescent="0.2">
      <c r="A4532" s="6" t="s">
        <v>943</v>
      </c>
      <c r="B4532" s="6" t="s">
        <v>1597</v>
      </c>
      <c r="C4532" s="6" t="s">
        <v>1412</v>
      </c>
      <c r="D4532" s="6" t="s">
        <v>989</v>
      </c>
      <c r="G4532" s="6">
        <v>100</v>
      </c>
      <c r="H4532" s="6">
        <v>200</v>
      </c>
      <c r="I4532" s="9"/>
      <c r="J4532" s="9"/>
      <c r="K4532" s="9">
        <v>44009073</v>
      </c>
      <c r="L4532" s="6" t="str">
        <f t="shared" si="447"/>
        <v>1D  PERRY LUX  BAZA  100x200</v>
      </c>
      <c r="M4532" s="12">
        <v>0.5</v>
      </c>
      <c r="N4532" s="12">
        <v>0.5</v>
      </c>
      <c r="O4532" s="12">
        <v>11100</v>
      </c>
      <c r="P4532" s="12">
        <f t="shared" si="444"/>
        <v>5550</v>
      </c>
      <c r="Q4532" s="12">
        <f t="shared" si="442"/>
        <v>11655</v>
      </c>
      <c r="R4532" s="33">
        <f t="shared" si="445"/>
        <v>11600</v>
      </c>
      <c r="T4532" s="12"/>
      <c r="U4532" s="12">
        <v>24000</v>
      </c>
      <c r="V4532" s="12"/>
      <c r="W4532" s="12">
        <f t="shared" si="446"/>
        <v>13875</v>
      </c>
    </row>
    <row r="4533" spans="1:23" s="6" customFormat="1" ht="21.95" customHeight="1" x14ac:dyDescent="0.2">
      <c r="A4533" s="6" t="s">
        <v>943</v>
      </c>
      <c r="B4533" s="6" t="s">
        <v>1597</v>
      </c>
      <c r="C4533" s="6" t="s">
        <v>1412</v>
      </c>
      <c r="D4533" s="6" t="s">
        <v>989</v>
      </c>
      <c r="G4533" s="6">
        <v>120</v>
      </c>
      <c r="H4533" s="6">
        <v>200</v>
      </c>
      <c r="I4533" s="9"/>
      <c r="J4533" s="9"/>
      <c r="K4533" s="9">
        <v>44009074</v>
      </c>
      <c r="L4533" s="6" t="str">
        <f t="shared" si="447"/>
        <v>1D  PERRY LUX  BAZA  120x200</v>
      </c>
      <c r="M4533" s="12">
        <v>0.5</v>
      </c>
      <c r="N4533" s="12">
        <v>0.5</v>
      </c>
      <c r="O4533" s="12">
        <v>13400</v>
      </c>
      <c r="P4533" s="12">
        <f t="shared" si="444"/>
        <v>6700</v>
      </c>
      <c r="Q4533" s="12">
        <f t="shared" si="442"/>
        <v>14070</v>
      </c>
      <c r="R4533" s="33">
        <f t="shared" si="445"/>
        <v>14000</v>
      </c>
      <c r="T4533" s="12"/>
      <c r="U4533" s="12">
        <v>36900</v>
      </c>
      <c r="V4533" s="12"/>
      <c r="W4533" s="12">
        <f t="shared" si="446"/>
        <v>16750</v>
      </c>
    </row>
    <row r="4534" spans="1:23" s="6" customFormat="1" ht="21.95" customHeight="1" x14ac:dyDescent="0.2">
      <c r="A4534" s="6" t="s">
        <v>943</v>
      </c>
      <c r="B4534" s="6" t="s">
        <v>1597</v>
      </c>
      <c r="C4534" s="6" t="s">
        <v>1412</v>
      </c>
      <c r="D4534" s="6" t="s">
        <v>989</v>
      </c>
      <c r="G4534" s="6">
        <v>140</v>
      </c>
      <c r="H4534" s="6">
        <v>200</v>
      </c>
      <c r="I4534" s="9"/>
      <c r="J4534" s="9"/>
      <c r="K4534" s="9">
        <v>44009075</v>
      </c>
      <c r="L4534" s="6" t="str">
        <f t="shared" si="447"/>
        <v>1D  PERRY LUX  BAZA  140x200</v>
      </c>
      <c r="M4534" s="12">
        <v>0.5</v>
      </c>
      <c r="N4534" s="12">
        <v>0.5</v>
      </c>
      <c r="O4534" s="12">
        <v>15600</v>
      </c>
      <c r="P4534" s="12">
        <f t="shared" si="444"/>
        <v>7800</v>
      </c>
      <c r="Q4534" s="12">
        <f t="shared" si="442"/>
        <v>16380</v>
      </c>
      <c r="R4534" s="33">
        <f t="shared" si="445"/>
        <v>16300</v>
      </c>
      <c r="T4534" s="12"/>
      <c r="U4534" s="12">
        <v>39600</v>
      </c>
      <c r="V4534" s="12"/>
      <c r="W4534" s="12">
        <f t="shared" si="446"/>
        <v>19500</v>
      </c>
    </row>
    <row r="4535" spans="1:23" s="6" customFormat="1" ht="21.95" customHeight="1" x14ac:dyDescent="0.2">
      <c r="A4535" s="6" t="s">
        <v>943</v>
      </c>
      <c r="B4535" s="6" t="s">
        <v>1597</v>
      </c>
      <c r="C4535" s="6" t="s">
        <v>1412</v>
      </c>
      <c r="D4535" s="6" t="s">
        <v>989</v>
      </c>
      <c r="G4535" s="6">
        <v>150</v>
      </c>
      <c r="H4535" s="6">
        <v>200</v>
      </c>
      <c r="I4535" s="9"/>
      <c r="J4535" s="9"/>
      <c r="K4535" s="9">
        <v>44009076</v>
      </c>
      <c r="L4535" s="6" t="str">
        <f t="shared" si="447"/>
        <v>1D  PERRY LUX  BAZA  150x200</v>
      </c>
      <c r="M4535" s="12">
        <v>0.5</v>
      </c>
      <c r="N4535" s="12">
        <v>0.5</v>
      </c>
      <c r="O4535" s="12">
        <v>16700</v>
      </c>
      <c r="P4535" s="12">
        <f t="shared" si="444"/>
        <v>8350</v>
      </c>
      <c r="Q4535" s="12">
        <f t="shared" si="442"/>
        <v>17535</v>
      </c>
      <c r="R4535" s="33">
        <f t="shared" si="445"/>
        <v>17500</v>
      </c>
      <c r="T4535" s="12"/>
      <c r="U4535" s="12">
        <v>42200</v>
      </c>
      <c r="V4535" s="12"/>
      <c r="W4535" s="12">
        <f t="shared" si="446"/>
        <v>20875</v>
      </c>
    </row>
    <row r="4536" spans="1:23" s="6" customFormat="1" ht="22.15" customHeight="1" x14ac:dyDescent="0.2">
      <c r="A4536" s="6" t="s">
        <v>943</v>
      </c>
      <c r="B4536" s="6" t="s">
        <v>1597</v>
      </c>
      <c r="C4536" s="6" t="s">
        <v>1412</v>
      </c>
      <c r="D4536" s="6" t="s">
        <v>989</v>
      </c>
      <c r="G4536" s="6">
        <v>160</v>
      </c>
      <c r="H4536" s="6">
        <v>200</v>
      </c>
      <c r="I4536" s="9"/>
      <c r="J4536" s="9"/>
      <c r="K4536" s="9">
        <v>44009077</v>
      </c>
      <c r="L4536" s="6" t="str">
        <f t="shared" si="447"/>
        <v>1D  PERRY LUX  BAZA  160x200</v>
      </c>
      <c r="M4536" s="12">
        <v>0.5</v>
      </c>
      <c r="N4536" s="12">
        <v>0.5</v>
      </c>
      <c r="O4536" s="12">
        <v>17800</v>
      </c>
      <c r="P4536" s="12">
        <f t="shared" si="444"/>
        <v>8900</v>
      </c>
      <c r="Q4536" s="12">
        <f t="shared" si="442"/>
        <v>18690</v>
      </c>
      <c r="R4536" s="33">
        <f t="shared" si="445"/>
        <v>18600</v>
      </c>
      <c r="T4536" s="12"/>
      <c r="U4536" s="12">
        <v>47500</v>
      </c>
      <c r="V4536" s="12"/>
      <c r="W4536" s="12">
        <f t="shared" si="446"/>
        <v>22250</v>
      </c>
    </row>
    <row r="4537" spans="1:23" s="6" customFormat="1" ht="21.95" customHeight="1" x14ac:dyDescent="0.2">
      <c r="A4537" s="6" t="s">
        <v>943</v>
      </c>
      <c r="B4537" s="6" t="s">
        <v>1597</v>
      </c>
      <c r="C4537" s="6" t="s">
        <v>1412</v>
      </c>
      <c r="D4537" s="6" t="s">
        <v>989</v>
      </c>
      <c r="G4537" s="6">
        <v>180</v>
      </c>
      <c r="H4537" s="6">
        <v>200</v>
      </c>
      <c r="I4537" s="9"/>
      <c r="J4537" s="9"/>
      <c r="K4537" s="9">
        <v>44009078</v>
      </c>
      <c r="L4537" s="6" t="str">
        <f t="shared" si="447"/>
        <v>1D  PERRY LUX  BAZA  180x200</v>
      </c>
      <c r="M4537" s="12">
        <v>0.5</v>
      </c>
      <c r="N4537" s="12">
        <v>0.5</v>
      </c>
      <c r="O4537" s="12">
        <v>20000</v>
      </c>
      <c r="P4537" s="12">
        <f t="shared" si="444"/>
        <v>10000</v>
      </c>
      <c r="Q4537" s="12">
        <f t="shared" si="442"/>
        <v>21000</v>
      </c>
      <c r="R4537" s="33">
        <f t="shared" si="445"/>
        <v>21000</v>
      </c>
      <c r="T4537" s="12"/>
      <c r="U4537" s="12">
        <v>24700</v>
      </c>
      <c r="V4537" s="12"/>
      <c r="W4537" s="12">
        <f t="shared" si="446"/>
        <v>25000</v>
      </c>
    </row>
    <row r="4538" spans="1:23" s="6" customFormat="1" ht="21.95" customHeight="1" x14ac:dyDescent="0.2">
      <c r="A4538" s="6" t="s">
        <v>943</v>
      </c>
      <c r="B4538" s="6" t="s">
        <v>1597</v>
      </c>
      <c r="C4538" s="6" t="s">
        <v>1412</v>
      </c>
      <c r="D4538" s="6" t="s">
        <v>1003</v>
      </c>
      <c r="G4538" s="6">
        <v>90</v>
      </c>
      <c r="H4538" s="6">
        <v>190</v>
      </c>
      <c r="I4538" s="9"/>
      <c r="J4538" s="9"/>
      <c r="K4538" s="9">
        <v>44009079</v>
      </c>
      <c r="L4538" s="6" t="str">
        <f t="shared" si="447"/>
        <v>1D  PERRY LUX  BAŞLIK  90x190</v>
      </c>
      <c r="M4538" s="12">
        <v>0.5</v>
      </c>
      <c r="N4538" s="12">
        <v>0.5</v>
      </c>
      <c r="O4538" s="12">
        <v>6700</v>
      </c>
      <c r="P4538" s="12">
        <f t="shared" si="444"/>
        <v>3350</v>
      </c>
      <c r="Q4538" s="12">
        <f t="shared" si="442"/>
        <v>7035</v>
      </c>
      <c r="R4538" s="33">
        <f t="shared" si="445"/>
        <v>7000</v>
      </c>
      <c r="T4538" s="12"/>
      <c r="U4538" s="12">
        <v>26400</v>
      </c>
      <c r="V4538" s="12"/>
      <c r="W4538" s="12">
        <f t="shared" si="446"/>
        <v>8375</v>
      </c>
    </row>
    <row r="4539" spans="1:23" s="6" customFormat="1" ht="21.95" customHeight="1" x14ac:dyDescent="0.2">
      <c r="A4539" s="6" t="s">
        <v>943</v>
      </c>
      <c r="B4539" s="6" t="s">
        <v>1597</v>
      </c>
      <c r="C4539" s="6" t="s">
        <v>1412</v>
      </c>
      <c r="D4539" s="6" t="s">
        <v>1003</v>
      </c>
      <c r="G4539" s="6">
        <v>90</v>
      </c>
      <c r="H4539" s="6">
        <v>200</v>
      </c>
      <c r="I4539" s="9"/>
      <c r="J4539" s="9"/>
      <c r="K4539" s="9">
        <v>44009080</v>
      </c>
      <c r="L4539" s="6" t="str">
        <f t="shared" si="447"/>
        <v>1D  PERRY LUX  BAŞLIK  90x200</v>
      </c>
      <c r="M4539" s="12">
        <v>0.5</v>
      </c>
      <c r="N4539" s="12">
        <v>0.5</v>
      </c>
      <c r="O4539" s="12">
        <v>7000</v>
      </c>
      <c r="P4539" s="12">
        <f t="shared" si="444"/>
        <v>3500</v>
      </c>
      <c r="Q4539" s="12">
        <f t="shared" si="442"/>
        <v>7350</v>
      </c>
      <c r="R4539" s="33">
        <f t="shared" si="445"/>
        <v>7300</v>
      </c>
      <c r="T4539" s="12"/>
      <c r="U4539" s="12">
        <v>28200</v>
      </c>
      <c r="V4539" s="12"/>
      <c r="W4539" s="12">
        <f t="shared" si="446"/>
        <v>8750</v>
      </c>
    </row>
    <row r="4540" spans="1:23" s="6" customFormat="1" ht="21.95" customHeight="1" x14ac:dyDescent="0.2">
      <c r="A4540" s="6" t="s">
        <v>943</v>
      </c>
      <c r="B4540" s="6" t="s">
        <v>1597</v>
      </c>
      <c r="C4540" s="6" t="s">
        <v>1412</v>
      </c>
      <c r="D4540" s="6" t="s">
        <v>1003</v>
      </c>
      <c r="G4540" s="6">
        <v>100</v>
      </c>
      <c r="H4540" s="6">
        <v>200</v>
      </c>
      <c r="I4540" s="9"/>
      <c r="J4540" s="9"/>
      <c r="K4540" s="9">
        <v>44009081</v>
      </c>
      <c r="L4540" s="6" t="str">
        <f t="shared" si="447"/>
        <v>1D  PERRY LUX  BAŞLIK  100x200</v>
      </c>
      <c r="M4540" s="12">
        <v>0.5</v>
      </c>
      <c r="N4540" s="12">
        <v>0.5</v>
      </c>
      <c r="O4540" s="12">
        <v>7800</v>
      </c>
      <c r="P4540" s="12">
        <f t="shared" si="444"/>
        <v>3900</v>
      </c>
      <c r="Q4540" s="12">
        <f t="shared" si="442"/>
        <v>8190</v>
      </c>
      <c r="R4540" s="33">
        <f t="shared" si="445"/>
        <v>8100</v>
      </c>
      <c r="T4540" s="12"/>
      <c r="U4540" s="12">
        <v>31700</v>
      </c>
      <c r="V4540" s="12"/>
      <c r="W4540" s="12">
        <f t="shared" si="446"/>
        <v>9750</v>
      </c>
    </row>
    <row r="4541" spans="1:23" s="6" customFormat="1" ht="21.95" customHeight="1" x14ac:dyDescent="0.2">
      <c r="A4541" s="6" t="s">
        <v>943</v>
      </c>
      <c r="B4541" s="6" t="s">
        <v>1597</v>
      </c>
      <c r="C4541" s="6" t="s">
        <v>1412</v>
      </c>
      <c r="D4541" s="6" t="s">
        <v>1003</v>
      </c>
      <c r="G4541" s="6">
        <v>120</v>
      </c>
      <c r="H4541" s="6">
        <v>200</v>
      </c>
      <c r="I4541" s="9"/>
      <c r="J4541" s="9"/>
      <c r="K4541" s="9">
        <v>44009082</v>
      </c>
      <c r="L4541" s="6" t="str">
        <f t="shared" si="447"/>
        <v>1D  PERRY LUX  BAŞLIK  120x200</v>
      </c>
      <c r="M4541" s="12">
        <v>0.5</v>
      </c>
      <c r="N4541" s="12">
        <v>0.5</v>
      </c>
      <c r="O4541" s="12">
        <v>9400</v>
      </c>
      <c r="P4541" s="12">
        <f t="shared" si="444"/>
        <v>4700</v>
      </c>
      <c r="Q4541" s="12">
        <f t="shared" si="442"/>
        <v>9870</v>
      </c>
      <c r="R4541" s="33">
        <f t="shared" si="445"/>
        <v>9800</v>
      </c>
      <c r="T4541" s="12"/>
      <c r="U4541" s="12">
        <v>19300</v>
      </c>
      <c r="V4541" s="12"/>
      <c r="W4541" s="12">
        <f t="shared" si="446"/>
        <v>11750</v>
      </c>
    </row>
    <row r="4542" spans="1:23" s="6" customFormat="1" ht="21.95" customHeight="1" x14ac:dyDescent="0.2">
      <c r="A4542" s="6" t="s">
        <v>943</v>
      </c>
      <c r="B4542" s="6" t="s">
        <v>1597</v>
      </c>
      <c r="C4542" s="6" t="s">
        <v>1412</v>
      </c>
      <c r="D4542" s="6" t="s">
        <v>1003</v>
      </c>
      <c r="G4542" s="6">
        <v>140</v>
      </c>
      <c r="H4542" s="6">
        <v>200</v>
      </c>
      <c r="I4542" s="9"/>
      <c r="J4542" s="9"/>
      <c r="K4542" s="9">
        <v>44009083</v>
      </c>
      <c r="L4542" s="6" t="str">
        <f t="shared" si="447"/>
        <v>1D  PERRY LUX  BAŞLIK  140x200</v>
      </c>
      <c r="M4542" s="12">
        <v>0.5</v>
      </c>
      <c r="N4542" s="12">
        <v>0.5</v>
      </c>
      <c r="O4542" s="12">
        <v>10900</v>
      </c>
      <c r="P4542" s="12">
        <f t="shared" si="444"/>
        <v>5450</v>
      </c>
      <c r="Q4542" s="12">
        <f t="shared" si="442"/>
        <v>11445</v>
      </c>
      <c r="R4542" s="33">
        <f t="shared" si="445"/>
        <v>11400</v>
      </c>
      <c r="T4542" s="12"/>
      <c r="U4542" s="12">
        <v>19000</v>
      </c>
      <c r="V4542" s="12"/>
      <c r="W4542" s="12">
        <f t="shared" si="446"/>
        <v>13625</v>
      </c>
    </row>
    <row r="4543" spans="1:23" s="6" customFormat="1" ht="21.6" customHeight="1" x14ac:dyDescent="0.2">
      <c r="A4543" s="6" t="s">
        <v>943</v>
      </c>
      <c r="B4543" s="6" t="s">
        <v>1597</v>
      </c>
      <c r="C4543" s="6" t="s">
        <v>1412</v>
      </c>
      <c r="D4543" s="6" t="s">
        <v>1003</v>
      </c>
      <c r="G4543" s="6">
        <v>150</v>
      </c>
      <c r="H4543" s="6">
        <v>200</v>
      </c>
      <c r="I4543" s="9"/>
      <c r="J4543" s="9"/>
      <c r="K4543" s="9">
        <v>44009084</v>
      </c>
      <c r="L4543" s="6" t="str">
        <f t="shared" si="447"/>
        <v>1D  PERRY LUX  BAŞLIK  150x200</v>
      </c>
      <c r="M4543" s="12">
        <v>0.5</v>
      </c>
      <c r="N4543" s="12">
        <v>0.5</v>
      </c>
      <c r="O4543" s="12">
        <v>11700</v>
      </c>
      <c r="P4543" s="12">
        <f t="shared" si="444"/>
        <v>5850</v>
      </c>
      <c r="Q4543" s="12">
        <f t="shared" si="442"/>
        <v>12285</v>
      </c>
      <c r="R4543" s="33">
        <f t="shared" si="445"/>
        <v>12200</v>
      </c>
      <c r="T4543" s="12"/>
      <c r="U4543" s="12">
        <v>213700</v>
      </c>
      <c r="V4543" s="12"/>
      <c r="W4543" s="12">
        <f t="shared" si="446"/>
        <v>14625</v>
      </c>
    </row>
    <row r="4544" spans="1:23" s="6" customFormat="1" ht="21.95" customHeight="1" x14ac:dyDescent="0.2">
      <c r="A4544" s="6" t="s">
        <v>943</v>
      </c>
      <c r="B4544" s="6" t="s">
        <v>1597</v>
      </c>
      <c r="C4544" s="6" t="s">
        <v>1412</v>
      </c>
      <c r="D4544" s="6" t="s">
        <v>1003</v>
      </c>
      <c r="G4544" s="6">
        <v>160</v>
      </c>
      <c r="H4544" s="6">
        <v>200</v>
      </c>
      <c r="I4544" s="9"/>
      <c r="J4544" s="9"/>
      <c r="K4544" s="9">
        <v>44009085</v>
      </c>
      <c r="L4544" s="6" t="str">
        <f t="shared" si="447"/>
        <v>1D  PERRY LUX  BAŞLIK  160x200</v>
      </c>
      <c r="M4544" s="12">
        <v>0.5</v>
      </c>
      <c r="N4544" s="12">
        <v>0.5</v>
      </c>
      <c r="O4544" s="12">
        <v>12500</v>
      </c>
      <c r="P4544" s="12">
        <f t="shared" si="444"/>
        <v>6250</v>
      </c>
      <c r="Q4544" s="12">
        <f t="shared" si="442"/>
        <v>13125</v>
      </c>
      <c r="R4544" s="33">
        <f t="shared" si="445"/>
        <v>13100</v>
      </c>
      <c r="T4544" s="12"/>
      <c r="U4544" s="12">
        <v>50700</v>
      </c>
      <c r="V4544" s="12"/>
      <c r="W4544" s="12">
        <f t="shared" si="446"/>
        <v>15625</v>
      </c>
    </row>
    <row r="4545" spans="1:23" s="6" customFormat="1" ht="21.95" customHeight="1" x14ac:dyDescent="0.2">
      <c r="A4545" s="6" t="s">
        <v>943</v>
      </c>
      <c r="B4545" s="6" t="s">
        <v>1597</v>
      </c>
      <c r="C4545" s="6" t="s">
        <v>1412</v>
      </c>
      <c r="D4545" s="6" t="s">
        <v>1003</v>
      </c>
      <c r="G4545" s="6">
        <v>180</v>
      </c>
      <c r="H4545" s="6">
        <v>200</v>
      </c>
      <c r="I4545" s="9"/>
      <c r="J4545" s="9"/>
      <c r="K4545" s="9">
        <v>44009086</v>
      </c>
      <c r="L4545" s="6" t="str">
        <f t="shared" si="447"/>
        <v>1D  PERRY LUX  BAŞLIK  180x200</v>
      </c>
      <c r="M4545" s="12">
        <v>0.5</v>
      </c>
      <c r="N4545" s="12">
        <v>0.5</v>
      </c>
      <c r="O4545" s="12">
        <v>14100</v>
      </c>
      <c r="P4545" s="12">
        <f t="shared" si="444"/>
        <v>7050</v>
      </c>
      <c r="Q4545" s="12">
        <f t="shared" si="442"/>
        <v>14805</v>
      </c>
      <c r="R4545" s="33">
        <f t="shared" si="445"/>
        <v>14800</v>
      </c>
      <c r="T4545" s="12"/>
      <c r="U4545" s="12">
        <v>57000</v>
      </c>
      <c r="V4545" s="12"/>
      <c r="W4545" s="12">
        <f t="shared" si="446"/>
        <v>17625</v>
      </c>
    </row>
    <row r="4546" spans="1:23" s="6" customFormat="1" ht="21.95" customHeight="1" x14ac:dyDescent="0.2">
      <c r="A4546" s="6" t="s">
        <v>943</v>
      </c>
      <c r="B4546" s="6" t="s">
        <v>1597</v>
      </c>
      <c r="C4546" s="6" t="s">
        <v>1412</v>
      </c>
      <c r="D4546" s="6" t="s">
        <v>943</v>
      </c>
      <c r="G4546" s="6">
        <v>90</v>
      </c>
      <c r="H4546" s="6">
        <v>190</v>
      </c>
      <c r="I4546" s="9"/>
      <c r="J4546" s="9"/>
      <c r="K4546" s="9">
        <v>44009087</v>
      </c>
      <c r="L4546" s="6" t="str">
        <f t="shared" si="447"/>
        <v>1D  PERRY LUX  YATAK  90x190</v>
      </c>
      <c r="M4546" s="12">
        <v>0.5</v>
      </c>
      <c r="N4546" s="12">
        <v>0.5</v>
      </c>
      <c r="O4546" s="12">
        <v>10400</v>
      </c>
      <c r="P4546" s="12">
        <f t="shared" si="444"/>
        <v>5200</v>
      </c>
      <c r="Q4546" s="12">
        <f t="shared" si="442"/>
        <v>10920</v>
      </c>
      <c r="R4546" s="33">
        <f t="shared" si="445"/>
        <v>10900</v>
      </c>
      <c r="T4546" s="12"/>
      <c r="U4546" s="12">
        <v>19300</v>
      </c>
      <c r="V4546" s="12"/>
      <c r="W4546" s="12">
        <f t="shared" ref="W4546:W4609" si="448">P4546*2.5</f>
        <v>13000</v>
      </c>
    </row>
    <row r="4547" spans="1:23" s="6" customFormat="1" ht="21.95" customHeight="1" x14ac:dyDescent="0.2">
      <c r="A4547" s="6" t="s">
        <v>943</v>
      </c>
      <c r="B4547" s="6" t="s">
        <v>1597</v>
      </c>
      <c r="C4547" s="6" t="s">
        <v>1412</v>
      </c>
      <c r="D4547" s="6" t="s">
        <v>943</v>
      </c>
      <c r="G4547" s="6">
        <v>90</v>
      </c>
      <c r="H4547" s="6">
        <v>200</v>
      </c>
      <c r="I4547" s="9"/>
      <c r="J4547" s="9"/>
      <c r="K4547" s="9">
        <v>44009088</v>
      </c>
      <c r="L4547" s="6" t="str">
        <f t="shared" si="447"/>
        <v>1D  PERRY LUX  YATAK  90x200</v>
      </c>
      <c r="M4547" s="12">
        <v>0.5</v>
      </c>
      <c r="N4547" s="12">
        <v>0.5</v>
      </c>
      <c r="O4547" s="12">
        <v>11000</v>
      </c>
      <c r="P4547" s="12">
        <f t="shared" si="444"/>
        <v>5500</v>
      </c>
      <c r="Q4547" s="12">
        <f t="shared" si="442"/>
        <v>11550</v>
      </c>
      <c r="R4547" s="33">
        <f t="shared" si="445"/>
        <v>11500</v>
      </c>
      <c r="T4547" s="12"/>
      <c r="U4547" s="12">
        <v>12100</v>
      </c>
      <c r="V4547" s="12"/>
      <c r="W4547" s="12">
        <f t="shared" si="448"/>
        <v>13750</v>
      </c>
    </row>
    <row r="4548" spans="1:23" s="6" customFormat="1" ht="21.95" customHeight="1" x14ac:dyDescent="0.2">
      <c r="A4548" s="6" t="s">
        <v>943</v>
      </c>
      <c r="B4548" s="6" t="s">
        <v>1597</v>
      </c>
      <c r="C4548" s="6" t="s">
        <v>1412</v>
      </c>
      <c r="D4548" s="6" t="s">
        <v>943</v>
      </c>
      <c r="G4548" s="6">
        <v>100</v>
      </c>
      <c r="H4548" s="6">
        <v>200</v>
      </c>
      <c r="I4548" s="9"/>
      <c r="J4548" s="9"/>
      <c r="K4548" s="9">
        <v>44009089</v>
      </c>
      <c r="L4548" s="6" t="str">
        <f t="shared" si="447"/>
        <v>1D  PERRY LUX  YATAK  100x200</v>
      </c>
      <c r="M4548" s="12">
        <v>0.5</v>
      </c>
      <c r="N4548" s="12">
        <v>0.5</v>
      </c>
      <c r="O4548" s="12">
        <v>12200</v>
      </c>
      <c r="P4548" s="12">
        <f t="shared" si="444"/>
        <v>6100</v>
      </c>
      <c r="Q4548" s="12">
        <f t="shared" si="442"/>
        <v>12810</v>
      </c>
      <c r="R4548" s="33">
        <f t="shared" si="445"/>
        <v>12800</v>
      </c>
      <c r="T4548" s="12"/>
      <c r="U4548" s="12">
        <v>12700</v>
      </c>
      <c r="V4548" s="12"/>
      <c r="W4548" s="12">
        <f t="shared" si="448"/>
        <v>15250</v>
      </c>
    </row>
    <row r="4549" spans="1:23" s="6" customFormat="1" ht="21.95" customHeight="1" x14ac:dyDescent="0.2">
      <c r="A4549" s="6" t="s">
        <v>943</v>
      </c>
      <c r="B4549" s="6" t="s">
        <v>1597</v>
      </c>
      <c r="C4549" s="6" t="s">
        <v>1412</v>
      </c>
      <c r="D4549" s="6" t="s">
        <v>943</v>
      </c>
      <c r="G4549" s="6">
        <v>120</v>
      </c>
      <c r="H4549" s="6">
        <v>200</v>
      </c>
      <c r="I4549" s="9"/>
      <c r="J4549" s="9"/>
      <c r="K4549" s="9">
        <v>44009090</v>
      </c>
      <c r="L4549" s="6" t="str">
        <f t="shared" si="447"/>
        <v>1D  PERRY LUX  YATAK  120x200</v>
      </c>
      <c r="M4549" s="12">
        <v>0.5</v>
      </c>
      <c r="N4549" s="12">
        <v>0.5</v>
      </c>
      <c r="O4549" s="12">
        <v>14600</v>
      </c>
      <c r="P4549" s="12">
        <f t="shared" si="444"/>
        <v>7300</v>
      </c>
      <c r="Q4549" s="12">
        <f t="shared" si="442"/>
        <v>15330</v>
      </c>
      <c r="R4549" s="33">
        <f t="shared" si="445"/>
        <v>15300</v>
      </c>
      <c r="T4549" s="12"/>
      <c r="U4549" s="12">
        <v>12900</v>
      </c>
      <c r="V4549" s="12"/>
      <c r="W4549" s="12">
        <f t="shared" si="448"/>
        <v>18250</v>
      </c>
    </row>
    <row r="4550" spans="1:23" s="6" customFormat="1" ht="21.95" customHeight="1" x14ac:dyDescent="0.2">
      <c r="A4550" s="6" t="s">
        <v>943</v>
      </c>
      <c r="B4550" s="6" t="s">
        <v>1597</v>
      </c>
      <c r="C4550" s="6" t="s">
        <v>1412</v>
      </c>
      <c r="D4550" s="6" t="s">
        <v>943</v>
      </c>
      <c r="G4550" s="6">
        <v>140</v>
      </c>
      <c r="H4550" s="6">
        <v>200</v>
      </c>
      <c r="I4550" s="9"/>
      <c r="J4550" s="9"/>
      <c r="K4550" s="9">
        <v>44009091</v>
      </c>
      <c r="L4550" s="6" t="str">
        <f t="shared" si="447"/>
        <v>1D  PERRY LUX  YATAK  140x200</v>
      </c>
      <c r="M4550" s="12">
        <v>0.5</v>
      </c>
      <c r="N4550" s="12">
        <v>0.5</v>
      </c>
      <c r="O4550" s="12">
        <v>17100</v>
      </c>
      <c r="P4550" s="12">
        <f t="shared" si="444"/>
        <v>8550</v>
      </c>
      <c r="Q4550" s="12">
        <f t="shared" si="442"/>
        <v>17955</v>
      </c>
      <c r="R4550" s="33">
        <f t="shared" si="445"/>
        <v>17900</v>
      </c>
      <c r="T4550" s="12"/>
      <c r="U4550" s="12">
        <v>15500</v>
      </c>
      <c r="V4550" s="12"/>
      <c r="W4550" s="12">
        <f t="shared" si="448"/>
        <v>21375</v>
      </c>
    </row>
    <row r="4551" spans="1:23" s="6" customFormat="1" ht="21.95" customHeight="1" x14ac:dyDescent="0.2">
      <c r="A4551" s="6" t="s">
        <v>943</v>
      </c>
      <c r="B4551" s="6" t="s">
        <v>1597</v>
      </c>
      <c r="C4551" s="6" t="s">
        <v>1412</v>
      </c>
      <c r="D4551" s="6" t="s">
        <v>943</v>
      </c>
      <c r="G4551" s="6">
        <v>150</v>
      </c>
      <c r="H4551" s="6">
        <v>200</v>
      </c>
      <c r="I4551" s="9"/>
      <c r="J4551" s="9"/>
      <c r="K4551" s="9">
        <v>44009092</v>
      </c>
      <c r="L4551" s="6" t="str">
        <f t="shared" si="447"/>
        <v>1D  PERRY LUX  YATAK  150x200</v>
      </c>
      <c r="M4551" s="12">
        <v>0.5</v>
      </c>
      <c r="N4551" s="12">
        <v>0.5</v>
      </c>
      <c r="O4551" s="12">
        <v>18300</v>
      </c>
      <c r="P4551" s="12">
        <f t="shared" si="444"/>
        <v>9150</v>
      </c>
      <c r="Q4551" s="12">
        <f t="shared" si="442"/>
        <v>19215</v>
      </c>
      <c r="R4551" s="33">
        <f t="shared" si="445"/>
        <v>19200</v>
      </c>
      <c r="T4551" s="12"/>
      <c r="U4551" s="12">
        <v>18000</v>
      </c>
      <c r="V4551" s="12"/>
      <c r="W4551" s="12">
        <f t="shared" si="448"/>
        <v>22875</v>
      </c>
    </row>
    <row r="4552" spans="1:23" s="6" customFormat="1" ht="21.95" customHeight="1" x14ac:dyDescent="0.2">
      <c r="A4552" s="6" t="s">
        <v>943</v>
      </c>
      <c r="B4552" s="6" t="s">
        <v>1597</v>
      </c>
      <c r="C4552" s="6" t="s">
        <v>1412</v>
      </c>
      <c r="D4552" s="6" t="s">
        <v>943</v>
      </c>
      <c r="G4552" s="6">
        <v>160</v>
      </c>
      <c r="H4552" s="6">
        <v>200</v>
      </c>
      <c r="I4552" s="9"/>
      <c r="J4552" s="9"/>
      <c r="K4552" s="9">
        <v>44009093</v>
      </c>
      <c r="L4552" s="6" t="str">
        <f t="shared" si="447"/>
        <v>1D  PERRY LUX  YATAK  160x200</v>
      </c>
      <c r="M4552" s="12">
        <v>0.5</v>
      </c>
      <c r="N4552" s="12">
        <v>0.5</v>
      </c>
      <c r="O4552" s="12">
        <v>19500</v>
      </c>
      <c r="P4552" s="12">
        <f t="shared" si="444"/>
        <v>9750</v>
      </c>
      <c r="Q4552" s="12">
        <f t="shared" si="442"/>
        <v>20475</v>
      </c>
      <c r="R4552" s="33">
        <f t="shared" si="445"/>
        <v>20400</v>
      </c>
      <c r="T4552" s="12"/>
      <c r="U4552" s="12">
        <v>19300</v>
      </c>
      <c r="V4552" s="12"/>
      <c r="W4552" s="12">
        <f t="shared" si="448"/>
        <v>24375</v>
      </c>
    </row>
    <row r="4553" spans="1:23" s="6" customFormat="1" ht="21.95" customHeight="1" x14ac:dyDescent="0.2">
      <c r="A4553" s="6" t="s">
        <v>943</v>
      </c>
      <c r="B4553" s="6" t="s">
        <v>1597</v>
      </c>
      <c r="C4553" s="6" t="s">
        <v>1412</v>
      </c>
      <c r="D4553" s="6" t="s">
        <v>943</v>
      </c>
      <c r="G4553" s="6">
        <v>180</v>
      </c>
      <c r="H4553" s="6">
        <v>200</v>
      </c>
      <c r="I4553" s="9"/>
      <c r="J4553" s="9"/>
      <c r="K4553" s="9">
        <v>44009094</v>
      </c>
      <c r="L4553" s="6" t="str">
        <f t="shared" si="447"/>
        <v>1D  PERRY LUX  YATAK  180x200</v>
      </c>
      <c r="M4553" s="12">
        <v>0.5</v>
      </c>
      <c r="N4553" s="12">
        <v>0.5</v>
      </c>
      <c r="O4553" s="12">
        <v>21900</v>
      </c>
      <c r="P4553" s="12">
        <f t="shared" si="444"/>
        <v>10950</v>
      </c>
      <c r="Q4553" s="12">
        <f t="shared" si="442"/>
        <v>22995</v>
      </c>
      <c r="R4553" s="33">
        <f t="shared" si="445"/>
        <v>22900</v>
      </c>
      <c r="T4553" s="12"/>
      <c r="U4553" s="12">
        <v>20600</v>
      </c>
      <c r="V4553" s="12"/>
      <c r="W4553" s="12">
        <f t="shared" si="448"/>
        <v>27375</v>
      </c>
    </row>
    <row r="4554" spans="1:23" s="6" customFormat="1" ht="21.95" customHeight="1" x14ac:dyDescent="0.2">
      <c r="A4554" s="6" t="s">
        <v>943</v>
      </c>
      <c r="B4554" s="6" t="s">
        <v>1597</v>
      </c>
      <c r="C4554" s="6" t="s">
        <v>1412</v>
      </c>
      <c r="D4554" s="6" t="s">
        <v>1380</v>
      </c>
      <c r="I4554" s="9"/>
      <c r="J4554" s="9"/>
      <c r="K4554" s="9">
        <v>44009095</v>
      </c>
      <c r="L4554" s="6" t="str">
        <f>B4554&amp;" "&amp;C4554&amp;" "&amp;D4554</f>
        <v>1D  PERRY LUX  KOMODİN (2 ADET)</v>
      </c>
      <c r="M4554" s="12">
        <v>0.5</v>
      </c>
      <c r="N4554" s="12">
        <v>0.5</v>
      </c>
      <c r="O4554" s="12">
        <v>13200</v>
      </c>
      <c r="P4554" s="12">
        <f t="shared" si="444"/>
        <v>6600</v>
      </c>
      <c r="Q4554" s="12">
        <f t="shared" si="442"/>
        <v>13860</v>
      </c>
      <c r="R4554" s="33">
        <f t="shared" si="445"/>
        <v>13800</v>
      </c>
      <c r="T4554" s="12"/>
      <c r="U4554" s="12">
        <v>23200</v>
      </c>
      <c r="V4554" s="12"/>
      <c r="W4554" s="12">
        <f t="shared" si="448"/>
        <v>16500</v>
      </c>
    </row>
    <row r="4555" spans="1:23" s="6" customFormat="1" ht="21.95" customHeight="1" x14ac:dyDescent="0.2">
      <c r="A4555" s="6" t="s">
        <v>943</v>
      </c>
      <c r="B4555" s="6" t="s">
        <v>1597</v>
      </c>
      <c r="C4555" s="6" t="s">
        <v>1413</v>
      </c>
      <c r="D4555" s="6" t="s">
        <v>989</v>
      </c>
      <c r="G4555" s="6">
        <v>140</v>
      </c>
      <c r="H4555" s="6">
        <v>200</v>
      </c>
      <c r="I4555" s="9"/>
      <c r="J4555" s="9"/>
      <c r="K4555" s="9">
        <v>44009150</v>
      </c>
      <c r="L4555" s="6" t="str">
        <f t="shared" ref="L4555:L4566" si="449">B4555&amp;" "&amp;C4555&amp;" "&amp;D4555&amp;" "&amp;G4555&amp;"x"&amp;H4555</f>
        <v>1D  PUZZLE  BAZA  140x200</v>
      </c>
      <c r="M4555" s="12">
        <v>0.5</v>
      </c>
      <c r="N4555" s="12">
        <v>0.5</v>
      </c>
      <c r="O4555" s="12">
        <v>16200</v>
      </c>
      <c r="P4555" s="12">
        <f t="shared" si="444"/>
        <v>8100</v>
      </c>
      <c r="Q4555" s="12">
        <f t="shared" si="442"/>
        <v>17010</v>
      </c>
      <c r="R4555" s="33">
        <f t="shared" si="445"/>
        <v>17000</v>
      </c>
      <c r="T4555" s="12"/>
      <c r="U4555" s="12">
        <v>5700</v>
      </c>
      <c r="V4555" s="12"/>
      <c r="W4555" s="12">
        <f t="shared" si="448"/>
        <v>20250</v>
      </c>
    </row>
    <row r="4556" spans="1:23" s="6" customFormat="1" ht="21.95" customHeight="1" x14ac:dyDescent="0.2">
      <c r="A4556" s="6" t="s">
        <v>943</v>
      </c>
      <c r="B4556" s="6" t="s">
        <v>1597</v>
      </c>
      <c r="C4556" s="6" t="s">
        <v>1413</v>
      </c>
      <c r="D4556" s="6" t="s">
        <v>989</v>
      </c>
      <c r="G4556" s="6">
        <v>150</v>
      </c>
      <c r="H4556" s="6">
        <v>200</v>
      </c>
      <c r="I4556" s="9"/>
      <c r="J4556" s="9"/>
      <c r="K4556" s="9">
        <v>44009151</v>
      </c>
      <c r="L4556" s="6" t="str">
        <f t="shared" si="449"/>
        <v>1D  PUZZLE  BAZA  150x200</v>
      </c>
      <c r="M4556" s="12">
        <v>0.5</v>
      </c>
      <c r="N4556" s="12">
        <v>0.5</v>
      </c>
      <c r="O4556" s="12">
        <v>17300</v>
      </c>
      <c r="P4556" s="12">
        <f t="shared" si="444"/>
        <v>8650</v>
      </c>
      <c r="Q4556" s="12">
        <f t="shared" si="442"/>
        <v>18165</v>
      </c>
      <c r="R4556" s="33">
        <f t="shared" si="445"/>
        <v>18100</v>
      </c>
      <c r="T4556" s="12"/>
      <c r="U4556" s="12">
        <v>5700</v>
      </c>
      <c r="V4556" s="12"/>
      <c r="W4556" s="12">
        <f t="shared" si="448"/>
        <v>21625</v>
      </c>
    </row>
    <row r="4557" spans="1:23" s="6" customFormat="1" ht="21.95" customHeight="1" x14ac:dyDescent="0.2">
      <c r="A4557" s="6" t="s">
        <v>943</v>
      </c>
      <c r="B4557" s="6" t="s">
        <v>1597</v>
      </c>
      <c r="C4557" s="6" t="s">
        <v>1413</v>
      </c>
      <c r="D4557" s="6" t="s">
        <v>989</v>
      </c>
      <c r="G4557" s="6">
        <v>160</v>
      </c>
      <c r="H4557" s="6">
        <v>200</v>
      </c>
      <c r="I4557" s="9"/>
      <c r="J4557" s="9"/>
      <c r="K4557" s="9">
        <v>44009152</v>
      </c>
      <c r="L4557" s="6" t="str">
        <f t="shared" si="449"/>
        <v>1D  PUZZLE  BAZA  160x200</v>
      </c>
      <c r="M4557" s="12">
        <v>0.5</v>
      </c>
      <c r="N4557" s="12">
        <v>0.5</v>
      </c>
      <c r="O4557" s="12">
        <v>18500</v>
      </c>
      <c r="P4557" s="12">
        <f t="shared" si="444"/>
        <v>9250</v>
      </c>
      <c r="Q4557" s="12">
        <f t="shared" si="442"/>
        <v>19425</v>
      </c>
      <c r="R4557" s="33">
        <f t="shared" si="445"/>
        <v>19400</v>
      </c>
      <c r="T4557" s="12"/>
      <c r="U4557" s="12">
        <v>5800</v>
      </c>
      <c r="V4557" s="12"/>
      <c r="W4557" s="12">
        <f t="shared" si="448"/>
        <v>23125</v>
      </c>
    </row>
    <row r="4558" spans="1:23" s="6" customFormat="1" ht="21.95" customHeight="1" x14ac:dyDescent="0.2">
      <c r="A4558" s="6" t="s">
        <v>943</v>
      </c>
      <c r="B4558" s="6" t="s">
        <v>1597</v>
      </c>
      <c r="C4558" s="6" t="s">
        <v>1413</v>
      </c>
      <c r="D4558" s="6" t="s">
        <v>989</v>
      </c>
      <c r="G4558" s="6">
        <v>180</v>
      </c>
      <c r="H4558" s="6">
        <v>200</v>
      </c>
      <c r="I4558" s="9"/>
      <c r="J4558" s="9"/>
      <c r="K4558" s="9">
        <v>44009153</v>
      </c>
      <c r="L4558" s="6" t="str">
        <f t="shared" si="449"/>
        <v>1D  PUZZLE  BAZA  180x200</v>
      </c>
      <c r="M4558" s="12">
        <v>0.5</v>
      </c>
      <c r="N4558" s="12">
        <v>0.5</v>
      </c>
      <c r="O4558" s="12">
        <v>20800</v>
      </c>
      <c r="P4558" s="12">
        <f t="shared" si="444"/>
        <v>10400</v>
      </c>
      <c r="Q4558" s="12">
        <f t="shared" si="442"/>
        <v>21840</v>
      </c>
      <c r="R4558" s="33">
        <f t="shared" si="445"/>
        <v>21800</v>
      </c>
      <c r="T4558" s="12"/>
      <c r="U4558" s="12">
        <v>6900</v>
      </c>
      <c r="V4558" s="12"/>
      <c r="W4558" s="12">
        <f t="shared" si="448"/>
        <v>26000</v>
      </c>
    </row>
    <row r="4559" spans="1:23" s="6" customFormat="1" ht="21.95" customHeight="1" x14ac:dyDescent="0.2">
      <c r="A4559" s="6" t="s">
        <v>943</v>
      </c>
      <c r="B4559" s="6" t="s">
        <v>1597</v>
      </c>
      <c r="C4559" s="6" t="s">
        <v>1413</v>
      </c>
      <c r="D4559" s="6" t="s">
        <v>1003</v>
      </c>
      <c r="G4559" s="6">
        <v>140</v>
      </c>
      <c r="H4559" s="6">
        <v>200</v>
      </c>
      <c r="I4559" s="9"/>
      <c r="J4559" s="9"/>
      <c r="K4559" s="9">
        <v>44009158</v>
      </c>
      <c r="L4559" s="6" t="str">
        <f t="shared" si="449"/>
        <v>1D  PUZZLE  BAŞLIK  140x200</v>
      </c>
      <c r="M4559" s="12">
        <v>0.5</v>
      </c>
      <c r="N4559" s="12">
        <v>0.5</v>
      </c>
      <c r="O4559" s="12">
        <v>18600</v>
      </c>
      <c r="P4559" s="12">
        <f t="shared" si="444"/>
        <v>9300</v>
      </c>
      <c r="Q4559" s="12">
        <f t="shared" si="442"/>
        <v>19530</v>
      </c>
      <c r="R4559" s="33">
        <f t="shared" si="445"/>
        <v>19500</v>
      </c>
      <c r="T4559" s="12"/>
      <c r="U4559" s="12">
        <v>8100</v>
      </c>
      <c r="V4559" s="12"/>
      <c r="W4559" s="12">
        <f t="shared" si="448"/>
        <v>23250</v>
      </c>
    </row>
    <row r="4560" spans="1:23" s="6" customFormat="1" ht="21.95" customHeight="1" x14ac:dyDescent="0.2">
      <c r="A4560" s="6" t="s">
        <v>943</v>
      </c>
      <c r="B4560" s="6" t="s">
        <v>1597</v>
      </c>
      <c r="C4560" s="6" t="s">
        <v>1413</v>
      </c>
      <c r="D4560" s="6" t="s">
        <v>1003</v>
      </c>
      <c r="G4560" s="6">
        <v>150</v>
      </c>
      <c r="H4560" s="6">
        <v>200</v>
      </c>
      <c r="I4560" s="9"/>
      <c r="J4560" s="9"/>
      <c r="K4560" s="9">
        <v>44009159</v>
      </c>
      <c r="L4560" s="6" t="str">
        <f t="shared" si="449"/>
        <v>1D  PUZZLE  BAŞLIK  150x200</v>
      </c>
      <c r="M4560" s="12">
        <v>0.5</v>
      </c>
      <c r="N4560" s="12">
        <v>0.5</v>
      </c>
      <c r="O4560" s="12">
        <v>20000</v>
      </c>
      <c r="P4560" s="12">
        <f t="shared" si="444"/>
        <v>10000</v>
      </c>
      <c r="Q4560" s="12">
        <f t="shared" si="442"/>
        <v>21000</v>
      </c>
      <c r="R4560" s="33">
        <f t="shared" si="445"/>
        <v>21000</v>
      </c>
      <c r="T4560" s="12"/>
      <c r="U4560" s="12">
        <v>8600</v>
      </c>
      <c r="V4560" s="12"/>
      <c r="W4560" s="12">
        <f t="shared" si="448"/>
        <v>25000</v>
      </c>
    </row>
    <row r="4561" spans="1:23" s="6" customFormat="1" ht="21.95" customHeight="1" x14ac:dyDescent="0.2">
      <c r="A4561" s="6" t="s">
        <v>943</v>
      </c>
      <c r="B4561" s="6" t="s">
        <v>1597</v>
      </c>
      <c r="C4561" s="6" t="s">
        <v>1413</v>
      </c>
      <c r="D4561" s="6" t="s">
        <v>1003</v>
      </c>
      <c r="G4561" s="6">
        <v>160</v>
      </c>
      <c r="H4561" s="6">
        <v>200</v>
      </c>
      <c r="I4561" s="9"/>
      <c r="J4561" s="9"/>
      <c r="K4561" s="9">
        <v>44009160</v>
      </c>
      <c r="L4561" s="6" t="str">
        <f t="shared" si="449"/>
        <v>1D  PUZZLE  BAŞLIK  160x200</v>
      </c>
      <c r="M4561" s="12">
        <v>0.5</v>
      </c>
      <c r="N4561" s="12">
        <v>0.5</v>
      </c>
      <c r="O4561" s="12">
        <v>21300</v>
      </c>
      <c r="P4561" s="12">
        <f t="shared" si="444"/>
        <v>10650</v>
      </c>
      <c r="Q4561" s="12">
        <f t="shared" si="442"/>
        <v>22365</v>
      </c>
      <c r="R4561" s="33">
        <f t="shared" si="445"/>
        <v>22300</v>
      </c>
      <c r="T4561" s="12"/>
      <c r="U4561" s="12">
        <v>9200</v>
      </c>
      <c r="V4561" s="12"/>
      <c r="W4561" s="12">
        <f t="shared" si="448"/>
        <v>26625</v>
      </c>
    </row>
    <row r="4562" spans="1:23" s="6" customFormat="1" ht="21.95" customHeight="1" x14ac:dyDescent="0.2">
      <c r="A4562" s="6" t="s">
        <v>943</v>
      </c>
      <c r="B4562" s="6" t="s">
        <v>1597</v>
      </c>
      <c r="C4562" s="6" t="s">
        <v>1413</v>
      </c>
      <c r="D4562" s="6" t="s">
        <v>1003</v>
      </c>
      <c r="G4562" s="6">
        <v>180</v>
      </c>
      <c r="H4562" s="6">
        <v>200</v>
      </c>
      <c r="I4562" s="9"/>
      <c r="J4562" s="9"/>
      <c r="K4562" s="9">
        <v>44009161</v>
      </c>
      <c r="L4562" s="6" t="str">
        <f t="shared" si="449"/>
        <v>1D  PUZZLE  BAŞLIK  180x200</v>
      </c>
      <c r="M4562" s="12">
        <v>0.5</v>
      </c>
      <c r="N4562" s="12">
        <v>0.5</v>
      </c>
      <c r="O4562" s="12">
        <v>24000</v>
      </c>
      <c r="P4562" s="12">
        <f t="shared" si="444"/>
        <v>12000</v>
      </c>
      <c r="Q4562" s="12">
        <f t="shared" si="442"/>
        <v>25200</v>
      </c>
      <c r="R4562" s="33">
        <f t="shared" si="445"/>
        <v>25200</v>
      </c>
      <c r="T4562" s="12"/>
      <c r="U4562" s="12">
        <v>10400</v>
      </c>
      <c r="V4562" s="12"/>
      <c r="W4562" s="12">
        <f t="shared" si="448"/>
        <v>30000</v>
      </c>
    </row>
    <row r="4563" spans="1:23" s="6" customFormat="1" ht="21.95" customHeight="1" x14ac:dyDescent="0.2">
      <c r="A4563" s="6" t="s">
        <v>943</v>
      </c>
      <c r="B4563" s="6" t="s">
        <v>1597</v>
      </c>
      <c r="C4563" s="6" t="s">
        <v>1413</v>
      </c>
      <c r="D4563" s="6" t="s">
        <v>943</v>
      </c>
      <c r="G4563" s="6">
        <v>140</v>
      </c>
      <c r="H4563" s="6">
        <v>200</v>
      </c>
      <c r="I4563" s="9"/>
      <c r="J4563" s="9"/>
      <c r="K4563" s="9">
        <v>44009166</v>
      </c>
      <c r="L4563" s="6" t="str">
        <f t="shared" si="449"/>
        <v>1D  PUZZLE  YATAK  140x200</v>
      </c>
      <c r="M4563" s="12">
        <v>0.5</v>
      </c>
      <c r="N4563" s="12">
        <v>0.5</v>
      </c>
      <c r="O4563" s="12">
        <v>20700</v>
      </c>
      <c r="P4563" s="12">
        <f t="shared" si="444"/>
        <v>10350</v>
      </c>
      <c r="Q4563" s="12">
        <f t="shared" ref="Q4563:Q4626" si="450">O4563*(1-N4563)*2.1</f>
        <v>21735</v>
      </c>
      <c r="R4563" s="33">
        <f t="shared" si="445"/>
        <v>21700</v>
      </c>
      <c r="T4563" s="12"/>
      <c r="U4563" s="12">
        <v>10200</v>
      </c>
      <c r="V4563" s="12"/>
      <c r="W4563" s="12">
        <f t="shared" si="448"/>
        <v>25875</v>
      </c>
    </row>
    <row r="4564" spans="1:23" s="6" customFormat="1" ht="21.95" customHeight="1" x14ac:dyDescent="0.2">
      <c r="A4564" s="6" t="s">
        <v>943</v>
      </c>
      <c r="B4564" s="6" t="s">
        <v>1597</v>
      </c>
      <c r="C4564" s="6" t="s">
        <v>1413</v>
      </c>
      <c r="D4564" s="6" t="s">
        <v>943</v>
      </c>
      <c r="G4564" s="6">
        <v>150</v>
      </c>
      <c r="H4564" s="6">
        <v>200</v>
      </c>
      <c r="I4564" s="9"/>
      <c r="J4564" s="9"/>
      <c r="K4564" s="9">
        <v>44009167</v>
      </c>
      <c r="L4564" s="6" t="str">
        <f t="shared" si="449"/>
        <v>1D  PUZZLE  YATAK  150x200</v>
      </c>
      <c r="M4564" s="12">
        <v>0.5</v>
      </c>
      <c r="N4564" s="12">
        <v>0.5</v>
      </c>
      <c r="O4564" s="12">
        <v>22100</v>
      </c>
      <c r="P4564" s="12">
        <f t="shared" si="444"/>
        <v>11050</v>
      </c>
      <c r="Q4564" s="12">
        <f t="shared" si="450"/>
        <v>23205</v>
      </c>
      <c r="R4564" s="33">
        <f t="shared" si="445"/>
        <v>23200</v>
      </c>
      <c r="T4564" s="12"/>
      <c r="U4564" s="12">
        <v>10800</v>
      </c>
      <c r="V4564" s="12"/>
      <c r="W4564" s="12">
        <f t="shared" si="448"/>
        <v>27625</v>
      </c>
    </row>
    <row r="4565" spans="1:23" s="6" customFormat="1" ht="21.95" customHeight="1" x14ac:dyDescent="0.2">
      <c r="A4565" s="6" t="s">
        <v>943</v>
      </c>
      <c r="B4565" s="6" t="s">
        <v>1597</v>
      </c>
      <c r="C4565" s="6" t="s">
        <v>1413</v>
      </c>
      <c r="D4565" s="6" t="s">
        <v>943</v>
      </c>
      <c r="G4565" s="6">
        <v>160</v>
      </c>
      <c r="H4565" s="6">
        <v>200</v>
      </c>
      <c r="I4565" s="9"/>
      <c r="J4565" s="9"/>
      <c r="K4565" s="9">
        <v>44009168</v>
      </c>
      <c r="L4565" s="6" t="str">
        <f t="shared" si="449"/>
        <v>1D  PUZZLE  YATAK  160x200</v>
      </c>
      <c r="M4565" s="12">
        <v>0.5</v>
      </c>
      <c r="N4565" s="12">
        <v>0.5</v>
      </c>
      <c r="O4565" s="12">
        <v>23600</v>
      </c>
      <c r="P4565" s="12">
        <f t="shared" si="444"/>
        <v>11800</v>
      </c>
      <c r="Q4565" s="12">
        <f t="shared" si="450"/>
        <v>24780</v>
      </c>
      <c r="R4565" s="33">
        <f t="shared" si="445"/>
        <v>24700</v>
      </c>
      <c r="T4565" s="12"/>
      <c r="U4565" s="12">
        <v>10900</v>
      </c>
      <c r="V4565" s="12"/>
      <c r="W4565" s="12">
        <f t="shared" si="448"/>
        <v>29500</v>
      </c>
    </row>
    <row r="4566" spans="1:23" s="6" customFormat="1" ht="21.95" customHeight="1" x14ac:dyDescent="0.2">
      <c r="A4566" s="6" t="s">
        <v>943</v>
      </c>
      <c r="B4566" s="6" t="s">
        <v>1597</v>
      </c>
      <c r="C4566" s="6" t="s">
        <v>1413</v>
      </c>
      <c r="D4566" s="6" t="s">
        <v>943</v>
      </c>
      <c r="G4566" s="6">
        <v>180</v>
      </c>
      <c r="H4566" s="6">
        <v>200</v>
      </c>
      <c r="I4566" s="9"/>
      <c r="J4566" s="9"/>
      <c r="K4566" s="9">
        <v>44009169</v>
      </c>
      <c r="L4566" s="6" t="str">
        <f t="shared" si="449"/>
        <v>1D  PUZZLE  YATAK  180x200</v>
      </c>
      <c r="M4566" s="12">
        <v>0.5</v>
      </c>
      <c r="N4566" s="12">
        <v>0.5</v>
      </c>
      <c r="O4566" s="12">
        <v>26600</v>
      </c>
      <c r="P4566" s="12">
        <f t="shared" si="444"/>
        <v>13300</v>
      </c>
      <c r="Q4566" s="12">
        <f t="shared" si="450"/>
        <v>27930</v>
      </c>
      <c r="R4566" s="33">
        <f t="shared" si="445"/>
        <v>27900</v>
      </c>
      <c r="T4566" s="12"/>
      <c r="U4566" s="12">
        <v>13100</v>
      </c>
      <c r="V4566" s="12"/>
      <c r="W4566" s="12">
        <f t="shared" si="448"/>
        <v>33250</v>
      </c>
    </row>
    <row r="4567" spans="1:23" s="6" customFormat="1" ht="21.95" customHeight="1" x14ac:dyDescent="0.2">
      <c r="A4567" s="6" t="s">
        <v>943</v>
      </c>
      <c r="B4567" s="6" t="s">
        <v>1597</v>
      </c>
      <c r="C4567" s="6" t="s">
        <v>1413</v>
      </c>
      <c r="D4567" s="6" t="s">
        <v>1380</v>
      </c>
      <c r="I4567" s="9"/>
      <c r="J4567" s="9"/>
      <c r="K4567" s="9">
        <v>44009170</v>
      </c>
      <c r="L4567" s="6" t="str">
        <f>B4567&amp;" "&amp;C4567&amp;" "&amp;D4567</f>
        <v>1D  PUZZLE  KOMODİN (2 ADET)</v>
      </c>
      <c r="M4567" s="12">
        <v>0.5</v>
      </c>
      <c r="N4567" s="12">
        <v>0.5</v>
      </c>
      <c r="O4567" s="12">
        <v>13200</v>
      </c>
      <c r="P4567" s="12">
        <f t="shared" si="444"/>
        <v>6600</v>
      </c>
      <c r="Q4567" s="12">
        <f t="shared" si="450"/>
        <v>13860</v>
      </c>
      <c r="R4567" s="33">
        <f t="shared" si="445"/>
        <v>13800</v>
      </c>
      <c r="T4567" s="12"/>
      <c r="U4567" s="12">
        <v>15200</v>
      </c>
      <c r="V4567" s="12"/>
      <c r="W4567" s="12">
        <f t="shared" si="448"/>
        <v>16500</v>
      </c>
    </row>
    <row r="4568" spans="1:23" s="6" customFormat="1" ht="21.95" customHeight="1" x14ac:dyDescent="0.2">
      <c r="A4568" s="6" t="s">
        <v>943</v>
      </c>
      <c r="B4568" s="6" t="s">
        <v>1597</v>
      </c>
      <c r="C4568" s="6" t="s">
        <v>1414</v>
      </c>
      <c r="D4568" s="6" t="s">
        <v>989</v>
      </c>
      <c r="G4568" s="6">
        <v>90</v>
      </c>
      <c r="H4568" s="6">
        <v>190</v>
      </c>
      <c r="I4568" s="9"/>
      <c r="J4568" s="9"/>
      <c r="K4568" s="9">
        <v>44009171</v>
      </c>
      <c r="L4568" s="6" t="str">
        <f t="shared" ref="L4568:L4591" si="451">B4568&amp;" "&amp;C4568&amp;" "&amp;D4568&amp;" "&amp;G4568&amp;"x"&amp;H4568</f>
        <v>1D  MINI PUZZLE  BAZA  90x190</v>
      </c>
      <c r="M4568" s="12">
        <v>0.5</v>
      </c>
      <c r="N4568" s="12">
        <v>0.5</v>
      </c>
      <c r="O4568" s="12">
        <v>9500</v>
      </c>
      <c r="P4568" s="12">
        <f t="shared" si="444"/>
        <v>4750</v>
      </c>
      <c r="Q4568" s="12">
        <f t="shared" si="450"/>
        <v>9975</v>
      </c>
      <c r="R4568" s="33">
        <f t="shared" si="445"/>
        <v>9900</v>
      </c>
      <c r="T4568" s="12"/>
      <c r="U4568" s="12">
        <v>16300</v>
      </c>
      <c r="V4568" s="12"/>
      <c r="W4568" s="12">
        <f t="shared" si="448"/>
        <v>11875</v>
      </c>
    </row>
    <row r="4569" spans="1:23" s="6" customFormat="1" ht="21.95" customHeight="1" x14ac:dyDescent="0.2">
      <c r="A4569" s="6" t="s">
        <v>943</v>
      </c>
      <c r="B4569" s="6" t="s">
        <v>1597</v>
      </c>
      <c r="C4569" s="6" t="s">
        <v>1414</v>
      </c>
      <c r="D4569" s="6" t="s">
        <v>989</v>
      </c>
      <c r="G4569" s="6">
        <v>90</v>
      </c>
      <c r="H4569" s="6">
        <v>200</v>
      </c>
      <c r="I4569" s="9"/>
      <c r="J4569" s="9"/>
      <c r="K4569" s="9">
        <v>44009172</v>
      </c>
      <c r="L4569" s="6" t="str">
        <f t="shared" si="451"/>
        <v>1D  MINI PUZZLE  BAZA  90x200</v>
      </c>
      <c r="M4569" s="12">
        <v>0.5</v>
      </c>
      <c r="N4569" s="12">
        <v>0.5</v>
      </c>
      <c r="O4569" s="12">
        <v>10000</v>
      </c>
      <c r="P4569" s="12">
        <f t="shared" si="444"/>
        <v>5000</v>
      </c>
      <c r="Q4569" s="12">
        <f t="shared" si="450"/>
        <v>10500</v>
      </c>
      <c r="R4569" s="33">
        <f t="shared" si="445"/>
        <v>10500</v>
      </c>
      <c r="T4569" s="12"/>
      <c r="U4569" s="12">
        <v>17400</v>
      </c>
      <c r="V4569" s="12"/>
      <c r="W4569" s="12">
        <f t="shared" si="448"/>
        <v>12500</v>
      </c>
    </row>
    <row r="4570" spans="1:23" s="6" customFormat="1" ht="21.95" customHeight="1" x14ac:dyDescent="0.2">
      <c r="A4570" s="6" t="s">
        <v>943</v>
      </c>
      <c r="B4570" s="6" t="s">
        <v>1597</v>
      </c>
      <c r="C4570" s="6" t="s">
        <v>1414</v>
      </c>
      <c r="D4570" s="6" t="s">
        <v>989</v>
      </c>
      <c r="G4570" s="6">
        <v>100</v>
      </c>
      <c r="H4570" s="6">
        <v>200</v>
      </c>
      <c r="I4570" s="9"/>
      <c r="J4570" s="9"/>
      <c r="K4570" s="9">
        <v>44009173</v>
      </c>
      <c r="L4570" s="6" t="str">
        <f t="shared" si="451"/>
        <v>1D  MINI PUZZLE  BAZA  100x200</v>
      </c>
      <c r="M4570" s="12">
        <v>0.5</v>
      </c>
      <c r="N4570" s="12">
        <v>0.5</v>
      </c>
      <c r="O4570" s="12">
        <v>11100</v>
      </c>
      <c r="P4570" s="12">
        <f t="shared" si="444"/>
        <v>5550</v>
      </c>
      <c r="Q4570" s="12">
        <f t="shared" si="450"/>
        <v>11655</v>
      </c>
      <c r="R4570" s="33">
        <f t="shared" si="445"/>
        <v>11600</v>
      </c>
      <c r="T4570" s="12"/>
      <c r="U4570" s="12">
        <v>19600</v>
      </c>
      <c r="V4570" s="12"/>
      <c r="W4570" s="12">
        <f t="shared" si="448"/>
        <v>13875</v>
      </c>
    </row>
    <row r="4571" spans="1:23" s="6" customFormat="1" ht="21.95" customHeight="1" x14ac:dyDescent="0.2">
      <c r="A4571" s="6" t="s">
        <v>943</v>
      </c>
      <c r="B4571" s="6" t="s">
        <v>1597</v>
      </c>
      <c r="C4571" s="6" t="s">
        <v>1414</v>
      </c>
      <c r="D4571" s="6" t="s">
        <v>989</v>
      </c>
      <c r="G4571" s="6">
        <v>120</v>
      </c>
      <c r="H4571" s="6">
        <v>200</v>
      </c>
      <c r="I4571" s="9"/>
      <c r="J4571" s="9"/>
      <c r="K4571" s="9">
        <v>44009174</v>
      </c>
      <c r="L4571" s="6" t="str">
        <f t="shared" si="451"/>
        <v>1D  MINI PUZZLE  BAZA  120x200</v>
      </c>
      <c r="M4571" s="12">
        <v>0.5</v>
      </c>
      <c r="N4571" s="12">
        <v>0.5</v>
      </c>
      <c r="O4571" s="12">
        <v>13400</v>
      </c>
      <c r="P4571" s="12">
        <f t="shared" si="444"/>
        <v>6700</v>
      </c>
      <c r="Q4571" s="12">
        <f t="shared" si="450"/>
        <v>14070</v>
      </c>
      <c r="R4571" s="33">
        <f t="shared" si="445"/>
        <v>14000</v>
      </c>
      <c r="T4571" s="12"/>
      <c r="U4571" s="12">
        <v>15800</v>
      </c>
      <c r="V4571" s="12"/>
      <c r="W4571" s="12">
        <f t="shared" si="448"/>
        <v>16750</v>
      </c>
    </row>
    <row r="4572" spans="1:23" s="6" customFormat="1" ht="21.95" customHeight="1" x14ac:dyDescent="0.2">
      <c r="A4572" s="6" t="s">
        <v>943</v>
      </c>
      <c r="B4572" s="6" t="s">
        <v>1597</v>
      </c>
      <c r="C4572" s="6" t="s">
        <v>1414</v>
      </c>
      <c r="D4572" s="6" t="s">
        <v>989</v>
      </c>
      <c r="G4572" s="6">
        <v>140</v>
      </c>
      <c r="H4572" s="6">
        <v>200</v>
      </c>
      <c r="I4572" s="9"/>
      <c r="J4572" s="9"/>
      <c r="K4572" s="9">
        <v>44009175</v>
      </c>
      <c r="L4572" s="6" t="str">
        <f t="shared" si="451"/>
        <v>1D  MINI PUZZLE  BAZA  140x200</v>
      </c>
      <c r="M4572" s="12">
        <v>0.5</v>
      </c>
      <c r="N4572" s="12">
        <v>0.5</v>
      </c>
      <c r="O4572" s="12">
        <v>15600</v>
      </c>
      <c r="P4572" s="12">
        <f t="shared" si="444"/>
        <v>7800</v>
      </c>
      <c r="Q4572" s="12">
        <f t="shared" si="450"/>
        <v>16380</v>
      </c>
      <c r="R4572" s="33">
        <f t="shared" si="445"/>
        <v>16300</v>
      </c>
      <c r="T4572" s="12"/>
      <c r="U4572" s="12">
        <v>12200</v>
      </c>
      <c r="V4572" s="12"/>
      <c r="W4572" s="12">
        <f t="shared" si="448"/>
        <v>19500</v>
      </c>
    </row>
    <row r="4573" spans="1:23" s="6" customFormat="1" ht="21.95" customHeight="1" x14ac:dyDescent="0.2">
      <c r="A4573" s="6" t="s">
        <v>943</v>
      </c>
      <c r="B4573" s="6" t="s">
        <v>1597</v>
      </c>
      <c r="C4573" s="6" t="s">
        <v>1414</v>
      </c>
      <c r="D4573" s="6" t="s">
        <v>989</v>
      </c>
      <c r="G4573" s="6">
        <v>150</v>
      </c>
      <c r="H4573" s="6">
        <v>200</v>
      </c>
      <c r="I4573" s="9"/>
      <c r="J4573" s="9"/>
      <c r="K4573" s="9">
        <v>44009176</v>
      </c>
      <c r="L4573" s="6" t="str">
        <f t="shared" si="451"/>
        <v>1D  MINI PUZZLE  BAZA  150x200</v>
      </c>
      <c r="M4573" s="12">
        <v>0.5</v>
      </c>
      <c r="N4573" s="12">
        <v>0.5</v>
      </c>
      <c r="O4573" s="12">
        <v>16700</v>
      </c>
      <c r="P4573" s="12">
        <f t="shared" si="444"/>
        <v>8350</v>
      </c>
      <c r="Q4573" s="12">
        <f t="shared" si="450"/>
        <v>17535</v>
      </c>
      <c r="R4573" s="33">
        <f t="shared" si="445"/>
        <v>17500</v>
      </c>
      <c r="T4573" s="12"/>
      <c r="U4573" s="12">
        <v>12900</v>
      </c>
      <c r="V4573" s="12"/>
      <c r="W4573" s="12">
        <f t="shared" si="448"/>
        <v>20875</v>
      </c>
    </row>
    <row r="4574" spans="1:23" s="6" customFormat="1" ht="21.95" customHeight="1" x14ac:dyDescent="0.2">
      <c r="A4574" s="6" t="s">
        <v>943</v>
      </c>
      <c r="B4574" s="6" t="s">
        <v>1597</v>
      </c>
      <c r="C4574" s="6" t="s">
        <v>1414</v>
      </c>
      <c r="D4574" s="6" t="s">
        <v>989</v>
      </c>
      <c r="G4574" s="6">
        <v>160</v>
      </c>
      <c r="H4574" s="6">
        <v>200</v>
      </c>
      <c r="I4574" s="9"/>
      <c r="J4574" s="9"/>
      <c r="K4574" s="9">
        <v>44009177</v>
      </c>
      <c r="L4574" s="6" t="str">
        <f t="shared" si="451"/>
        <v>1D  MINI PUZZLE  BAZA  160x200</v>
      </c>
      <c r="M4574" s="12">
        <v>0.5</v>
      </c>
      <c r="N4574" s="12">
        <v>0.5</v>
      </c>
      <c r="O4574" s="12">
        <v>17800</v>
      </c>
      <c r="P4574" s="12">
        <f t="shared" si="444"/>
        <v>8900</v>
      </c>
      <c r="Q4574" s="12">
        <f t="shared" si="450"/>
        <v>18690</v>
      </c>
      <c r="R4574" s="33">
        <f t="shared" si="445"/>
        <v>18600</v>
      </c>
      <c r="T4574" s="12"/>
      <c r="U4574" s="12">
        <v>13000</v>
      </c>
      <c r="V4574" s="12"/>
      <c r="W4574" s="12">
        <f t="shared" si="448"/>
        <v>22250</v>
      </c>
    </row>
    <row r="4575" spans="1:23" s="6" customFormat="1" ht="21.95" customHeight="1" x14ac:dyDescent="0.2">
      <c r="A4575" s="6" t="s">
        <v>943</v>
      </c>
      <c r="B4575" s="6" t="s">
        <v>1597</v>
      </c>
      <c r="C4575" s="6" t="s">
        <v>1414</v>
      </c>
      <c r="D4575" s="6" t="s">
        <v>989</v>
      </c>
      <c r="G4575" s="6">
        <v>180</v>
      </c>
      <c r="H4575" s="6">
        <v>200</v>
      </c>
      <c r="I4575" s="9"/>
      <c r="J4575" s="9"/>
      <c r="K4575" s="9">
        <v>44009178</v>
      </c>
      <c r="L4575" s="6" t="str">
        <f t="shared" si="451"/>
        <v>1D  MINI PUZZLE  BAZA  180x200</v>
      </c>
      <c r="M4575" s="12">
        <v>0.5</v>
      </c>
      <c r="N4575" s="12">
        <v>0.5</v>
      </c>
      <c r="O4575" s="12">
        <v>20000</v>
      </c>
      <c r="P4575" s="12">
        <f t="shared" si="444"/>
        <v>10000</v>
      </c>
      <c r="Q4575" s="12">
        <f t="shared" si="450"/>
        <v>21000</v>
      </c>
      <c r="R4575" s="33">
        <f t="shared" si="445"/>
        <v>21000</v>
      </c>
      <c r="T4575" s="12"/>
      <c r="U4575" s="12">
        <v>15600</v>
      </c>
      <c r="V4575" s="12"/>
      <c r="W4575" s="12">
        <f t="shared" si="448"/>
        <v>25000</v>
      </c>
    </row>
    <row r="4576" spans="1:23" s="6" customFormat="1" ht="21.95" customHeight="1" x14ac:dyDescent="0.2">
      <c r="A4576" s="6" t="s">
        <v>943</v>
      </c>
      <c r="B4576" s="6" t="s">
        <v>1597</v>
      </c>
      <c r="C4576" s="6" t="s">
        <v>1414</v>
      </c>
      <c r="D4576" s="6" t="s">
        <v>1003</v>
      </c>
      <c r="G4576" s="6">
        <v>90</v>
      </c>
      <c r="H4576" s="6">
        <v>190</v>
      </c>
      <c r="I4576" s="9"/>
      <c r="J4576" s="9"/>
      <c r="K4576" s="9">
        <v>44009179</v>
      </c>
      <c r="L4576" s="6" t="str">
        <f t="shared" si="451"/>
        <v>1D  MINI PUZZLE  BAŞLIK  90x190</v>
      </c>
      <c r="M4576" s="12">
        <v>0.5</v>
      </c>
      <c r="N4576" s="12">
        <v>0.5</v>
      </c>
      <c r="O4576" s="12">
        <v>9500</v>
      </c>
      <c r="P4576" s="12">
        <f t="shared" si="444"/>
        <v>4750</v>
      </c>
      <c r="Q4576" s="12">
        <f t="shared" si="450"/>
        <v>9975</v>
      </c>
      <c r="R4576" s="33">
        <f t="shared" si="445"/>
        <v>9900</v>
      </c>
      <c r="T4576" s="12"/>
      <c r="U4576" s="12">
        <v>18200</v>
      </c>
      <c r="V4576" s="12"/>
      <c r="W4576" s="12">
        <f t="shared" si="448"/>
        <v>11875</v>
      </c>
    </row>
    <row r="4577" spans="1:23" s="6" customFormat="1" ht="21.95" customHeight="1" x14ac:dyDescent="0.2">
      <c r="A4577" s="6" t="s">
        <v>943</v>
      </c>
      <c r="B4577" s="6" t="s">
        <v>1597</v>
      </c>
      <c r="C4577" s="6" t="s">
        <v>1414</v>
      </c>
      <c r="D4577" s="6" t="s">
        <v>1003</v>
      </c>
      <c r="G4577" s="6">
        <v>90</v>
      </c>
      <c r="H4577" s="6">
        <v>200</v>
      </c>
      <c r="I4577" s="9"/>
      <c r="J4577" s="9"/>
      <c r="K4577" s="9">
        <v>44009180</v>
      </c>
      <c r="L4577" s="6" t="str">
        <f t="shared" si="451"/>
        <v>1D  MINI PUZZLE  BAŞLIK  90x200</v>
      </c>
      <c r="M4577" s="12">
        <v>0.5</v>
      </c>
      <c r="N4577" s="12">
        <v>0.5</v>
      </c>
      <c r="O4577" s="12">
        <v>10000</v>
      </c>
      <c r="P4577" s="12">
        <f t="shared" si="444"/>
        <v>5000</v>
      </c>
      <c r="Q4577" s="12">
        <f t="shared" si="450"/>
        <v>10500</v>
      </c>
      <c r="R4577" s="33">
        <f t="shared" si="445"/>
        <v>10500</v>
      </c>
      <c r="T4577" s="12"/>
      <c r="U4577" s="12">
        <v>19500</v>
      </c>
      <c r="V4577" s="12"/>
      <c r="W4577" s="12">
        <f t="shared" si="448"/>
        <v>12500</v>
      </c>
    </row>
    <row r="4578" spans="1:23" s="6" customFormat="1" ht="21.95" customHeight="1" x14ac:dyDescent="0.2">
      <c r="A4578" s="6" t="s">
        <v>943</v>
      </c>
      <c r="B4578" s="6" t="s">
        <v>1597</v>
      </c>
      <c r="C4578" s="6" t="s">
        <v>1414</v>
      </c>
      <c r="D4578" s="6" t="s">
        <v>1003</v>
      </c>
      <c r="G4578" s="6">
        <v>100</v>
      </c>
      <c r="H4578" s="6">
        <v>200</v>
      </c>
      <c r="I4578" s="9"/>
      <c r="J4578" s="9"/>
      <c r="K4578" s="9">
        <v>44009181</v>
      </c>
      <c r="L4578" s="6" t="str">
        <f t="shared" si="451"/>
        <v>1D  MINI PUZZLE  BAŞLIK  100x200</v>
      </c>
      <c r="M4578" s="12">
        <v>0.5</v>
      </c>
      <c r="N4578" s="12">
        <v>0.5</v>
      </c>
      <c r="O4578" s="12">
        <v>11100</v>
      </c>
      <c r="P4578" s="12">
        <f t="shared" si="444"/>
        <v>5550</v>
      </c>
      <c r="Q4578" s="12">
        <f t="shared" si="450"/>
        <v>11655</v>
      </c>
      <c r="R4578" s="33">
        <f t="shared" si="445"/>
        <v>11600</v>
      </c>
      <c r="T4578" s="12"/>
      <c r="U4578" s="12">
        <v>20800</v>
      </c>
      <c r="V4578" s="12"/>
      <c r="W4578" s="12">
        <f t="shared" si="448"/>
        <v>13875</v>
      </c>
    </row>
    <row r="4579" spans="1:23" s="6" customFormat="1" ht="21.95" customHeight="1" x14ac:dyDescent="0.2">
      <c r="A4579" s="6" t="s">
        <v>943</v>
      </c>
      <c r="B4579" s="6" t="s">
        <v>1597</v>
      </c>
      <c r="C4579" s="6" t="s">
        <v>1414</v>
      </c>
      <c r="D4579" s="6" t="s">
        <v>1003</v>
      </c>
      <c r="G4579" s="6">
        <v>120</v>
      </c>
      <c r="H4579" s="6">
        <v>200</v>
      </c>
      <c r="I4579" s="9"/>
      <c r="J4579" s="9"/>
      <c r="K4579" s="9">
        <v>44009182</v>
      </c>
      <c r="L4579" s="6" t="str">
        <f t="shared" si="451"/>
        <v>1D  MINI PUZZLE  BAŞLIK  120x200</v>
      </c>
      <c r="M4579" s="12">
        <v>0.5</v>
      </c>
      <c r="N4579" s="12">
        <v>0.5</v>
      </c>
      <c r="O4579" s="12">
        <v>13400</v>
      </c>
      <c r="P4579" s="12">
        <f t="shared" si="444"/>
        <v>6700</v>
      </c>
      <c r="Q4579" s="12">
        <f t="shared" si="450"/>
        <v>14070</v>
      </c>
      <c r="R4579" s="33">
        <f t="shared" si="445"/>
        <v>14000</v>
      </c>
      <c r="T4579" s="12"/>
      <c r="U4579" s="12">
        <v>23400</v>
      </c>
      <c r="V4579" s="12"/>
      <c r="W4579" s="12">
        <f t="shared" si="448"/>
        <v>16750</v>
      </c>
    </row>
    <row r="4580" spans="1:23" s="6" customFormat="1" ht="21.95" customHeight="1" x14ac:dyDescent="0.2">
      <c r="A4580" s="6" t="s">
        <v>943</v>
      </c>
      <c r="B4580" s="6" t="s">
        <v>1597</v>
      </c>
      <c r="C4580" s="6" t="s">
        <v>1414</v>
      </c>
      <c r="D4580" s="6" t="s">
        <v>1003</v>
      </c>
      <c r="G4580" s="6">
        <v>140</v>
      </c>
      <c r="H4580" s="6">
        <v>200</v>
      </c>
      <c r="I4580" s="9"/>
      <c r="J4580" s="9"/>
      <c r="K4580" s="9">
        <v>44009183</v>
      </c>
      <c r="L4580" s="6" t="str">
        <f t="shared" si="451"/>
        <v>1D  MINI PUZZLE  BAŞLIK  140x200</v>
      </c>
      <c r="M4580" s="12">
        <v>0.5</v>
      </c>
      <c r="N4580" s="12">
        <v>0.5</v>
      </c>
      <c r="O4580" s="12">
        <v>15600</v>
      </c>
      <c r="P4580" s="12">
        <f t="shared" si="444"/>
        <v>7800</v>
      </c>
      <c r="Q4580" s="12">
        <f t="shared" si="450"/>
        <v>16380</v>
      </c>
      <c r="R4580" s="33">
        <f t="shared" si="445"/>
        <v>16300</v>
      </c>
      <c r="T4580" s="12"/>
      <c r="U4580" s="12">
        <v>7000</v>
      </c>
      <c r="V4580" s="12"/>
      <c r="W4580" s="12">
        <f t="shared" si="448"/>
        <v>19500</v>
      </c>
    </row>
    <row r="4581" spans="1:23" s="6" customFormat="1" ht="21.95" customHeight="1" x14ac:dyDescent="0.2">
      <c r="A4581" s="6" t="s">
        <v>943</v>
      </c>
      <c r="B4581" s="6" t="s">
        <v>1597</v>
      </c>
      <c r="C4581" s="6" t="s">
        <v>1414</v>
      </c>
      <c r="D4581" s="6" t="s">
        <v>1003</v>
      </c>
      <c r="G4581" s="6">
        <v>150</v>
      </c>
      <c r="H4581" s="6">
        <v>200</v>
      </c>
      <c r="I4581" s="9"/>
      <c r="J4581" s="9"/>
      <c r="K4581" s="9">
        <v>44009184</v>
      </c>
      <c r="L4581" s="6" t="str">
        <f t="shared" si="451"/>
        <v>1D  MINI PUZZLE  BAŞLIK  150x200</v>
      </c>
      <c r="M4581" s="12">
        <v>0.5</v>
      </c>
      <c r="N4581" s="12">
        <v>0.5</v>
      </c>
      <c r="O4581" s="12">
        <v>16700</v>
      </c>
      <c r="P4581" s="12">
        <f t="shared" si="444"/>
        <v>8350</v>
      </c>
      <c r="Q4581" s="12">
        <f t="shared" si="450"/>
        <v>17535</v>
      </c>
      <c r="R4581" s="33">
        <f t="shared" si="445"/>
        <v>17500</v>
      </c>
      <c r="T4581" s="12"/>
      <c r="U4581" s="12">
        <v>7000</v>
      </c>
      <c r="V4581" s="12"/>
      <c r="W4581" s="12">
        <f t="shared" si="448"/>
        <v>20875</v>
      </c>
    </row>
    <row r="4582" spans="1:23" s="6" customFormat="1" ht="21.95" customHeight="1" x14ac:dyDescent="0.2">
      <c r="A4582" s="6" t="s">
        <v>943</v>
      </c>
      <c r="B4582" s="6" t="s">
        <v>1597</v>
      </c>
      <c r="C4582" s="6" t="s">
        <v>1414</v>
      </c>
      <c r="D4582" s="6" t="s">
        <v>1003</v>
      </c>
      <c r="G4582" s="6">
        <v>160</v>
      </c>
      <c r="H4582" s="6">
        <v>200</v>
      </c>
      <c r="I4582" s="9"/>
      <c r="J4582" s="9"/>
      <c r="K4582" s="9">
        <v>44009185</v>
      </c>
      <c r="L4582" s="6" t="str">
        <f t="shared" si="451"/>
        <v>1D  MINI PUZZLE  BAŞLIK  160x200</v>
      </c>
      <c r="M4582" s="12">
        <v>0.5</v>
      </c>
      <c r="N4582" s="12">
        <v>0.5</v>
      </c>
      <c r="O4582" s="12">
        <v>17800</v>
      </c>
      <c r="P4582" s="12">
        <f t="shared" si="444"/>
        <v>8900</v>
      </c>
      <c r="Q4582" s="12">
        <f t="shared" si="450"/>
        <v>18690</v>
      </c>
      <c r="R4582" s="33">
        <f t="shared" si="445"/>
        <v>18600</v>
      </c>
      <c r="T4582" s="12"/>
      <c r="U4582" s="12">
        <v>7100</v>
      </c>
      <c r="V4582" s="12"/>
      <c r="W4582" s="12">
        <f t="shared" si="448"/>
        <v>22250</v>
      </c>
    </row>
    <row r="4583" spans="1:23" s="6" customFormat="1" ht="21.95" customHeight="1" x14ac:dyDescent="0.2">
      <c r="A4583" s="6" t="s">
        <v>943</v>
      </c>
      <c r="B4583" s="6" t="s">
        <v>1597</v>
      </c>
      <c r="C4583" s="6" t="s">
        <v>1414</v>
      </c>
      <c r="D4583" s="6" t="s">
        <v>1003</v>
      </c>
      <c r="G4583" s="6">
        <v>180</v>
      </c>
      <c r="H4583" s="6">
        <v>200</v>
      </c>
      <c r="I4583" s="9"/>
      <c r="J4583" s="9"/>
      <c r="K4583" s="9">
        <v>44009186</v>
      </c>
      <c r="L4583" s="6" t="str">
        <f t="shared" si="451"/>
        <v>1D  MINI PUZZLE  BAŞLIK  180x200</v>
      </c>
      <c r="M4583" s="12">
        <v>0.5</v>
      </c>
      <c r="N4583" s="12">
        <v>0.5</v>
      </c>
      <c r="O4583" s="12">
        <v>20000</v>
      </c>
      <c r="P4583" s="12">
        <f t="shared" si="444"/>
        <v>10000</v>
      </c>
      <c r="Q4583" s="12">
        <f t="shared" si="450"/>
        <v>21000</v>
      </c>
      <c r="R4583" s="33">
        <f t="shared" si="445"/>
        <v>21000</v>
      </c>
      <c r="T4583" s="12"/>
      <c r="U4583" s="12">
        <v>8500</v>
      </c>
      <c r="V4583" s="12"/>
      <c r="W4583" s="12">
        <f t="shared" si="448"/>
        <v>25000</v>
      </c>
    </row>
    <row r="4584" spans="1:23" s="6" customFormat="1" ht="21.95" customHeight="1" x14ac:dyDescent="0.2">
      <c r="A4584" s="6" t="s">
        <v>943</v>
      </c>
      <c r="B4584" s="6" t="s">
        <v>1597</v>
      </c>
      <c r="C4584" s="6" t="s">
        <v>1414</v>
      </c>
      <c r="D4584" s="6" t="s">
        <v>943</v>
      </c>
      <c r="G4584" s="6">
        <v>90</v>
      </c>
      <c r="H4584" s="6">
        <v>190</v>
      </c>
      <c r="I4584" s="9"/>
      <c r="J4584" s="9"/>
      <c r="K4584" s="9">
        <v>44009187</v>
      </c>
      <c r="L4584" s="6" t="str">
        <f t="shared" si="451"/>
        <v>1D  MINI PUZZLE  YATAK  90x190</v>
      </c>
      <c r="M4584" s="12">
        <v>0.5</v>
      </c>
      <c r="N4584" s="12">
        <v>0.5</v>
      </c>
      <c r="O4584" s="12">
        <v>11300</v>
      </c>
      <c r="P4584" s="12">
        <f t="shared" si="444"/>
        <v>5650</v>
      </c>
      <c r="Q4584" s="12">
        <f t="shared" si="450"/>
        <v>11865</v>
      </c>
      <c r="R4584" s="33">
        <f t="shared" si="445"/>
        <v>11800</v>
      </c>
      <c r="T4584" s="12"/>
      <c r="U4584" s="12">
        <v>9900</v>
      </c>
      <c r="V4584" s="12"/>
      <c r="W4584" s="12">
        <f t="shared" si="448"/>
        <v>14125</v>
      </c>
    </row>
    <row r="4585" spans="1:23" s="6" customFormat="1" ht="21.95" customHeight="1" x14ac:dyDescent="0.2">
      <c r="A4585" s="6" t="s">
        <v>943</v>
      </c>
      <c r="B4585" s="6" t="s">
        <v>1597</v>
      </c>
      <c r="C4585" s="6" t="s">
        <v>1414</v>
      </c>
      <c r="D4585" s="6" t="s">
        <v>943</v>
      </c>
      <c r="G4585" s="6">
        <v>90</v>
      </c>
      <c r="H4585" s="6">
        <v>200</v>
      </c>
      <c r="I4585" s="9"/>
      <c r="J4585" s="9"/>
      <c r="K4585" s="9">
        <v>44009188</v>
      </c>
      <c r="L4585" s="6" t="str">
        <f t="shared" si="451"/>
        <v>1D  MINI PUZZLE  YATAK  90x200</v>
      </c>
      <c r="M4585" s="12">
        <v>0.5</v>
      </c>
      <c r="N4585" s="12">
        <v>0.5</v>
      </c>
      <c r="O4585" s="12">
        <v>11900</v>
      </c>
      <c r="P4585" s="12">
        <f t="shared" si="444"/>
        <v>5950</v>
      </c>
      <c r="Q4585" s="12">
        <f t="shared" si="450"/>
        <v>12495</v>
      </c>
      <c r="R4585" s="33">
        <f t="shared" si="445"/>
        <v>12400</v>
      </c>
      <c r="T4585" s="12"/>
      <c r="U4585" s="12">
        <v>10600</v>
      </c>
      <c r="V4585" s="12"/>
      <c r="W4585" s="12">
        <f t="shared" si="448"/>
        <v>14875</v>
      </c>
    </row>
    <row r="4586" spans="1:23" s="6" customFormat="1" ht="21.95" customHeight="1" x14ac:dyDescent="0.2">
      <c r="A4586" s="6" t="s">
        <v>943</v>
      </c>
      <c r="B4586" s="6" t="s">
        <v>1597</v>
      </c>
      <c r="C4586" s="6" t="s">
        <v>1414</v>
      </c>
      <c r="D4586" s="6" t="s">
        <v>943</v>
      </c>
      <c r="G4586" s="6">
        <v>100</v>
      </c>
      <c r="H4586" s="6">
        <v>200</v>
      </c>
      <c r="I4586" s="9"/>
      <c r="J4586" s="9"/>
      <c r="K4586" s="9">
        <v>44009189</v>
      </c>
      <c r="L4586" s="6" t="str">
        <f t="shared" si="451"/>
        <v>1D  MINI PUZZLE  YATAK  100x200</v>
      </c>
      <c r="M4586" s="12">
        <v>0.5</v>
      </c>
      <c r="N4586" s="12">
        <v>0.5</v>
      </c>
      <c r="O4586" s="12">
        <v>13200</v>
      </c>
      <c r="P4586" s="12">
        <f t="shared" si="444"/>
        <v>6600</v>
      </c>
      <c r="Q4586" s="12">
        <f t="shared" si="450"/>
        <v>13860</v>
      </c>
      <c r="R4586" s="33">
        <f t="shared" si="445"/>
        <v>13800</v>
      </c>
      <c r="T4586" s="12"/>
      <c r="U4586" s="12">
        <v>11300</v>
      </c>
      <c r="V4586" s="12"/>
      <c r="W4586" s="12">
        <f t="shared" si="448"/>
        <v>16500</v>
      </c>
    </row>
    <row r="4587" spans="1:23" s="6" customFormat="1" ht="21.95" customHeight="1" x14ac:dyDescent="0.2">
      <c r="A4587" s="6" t="s">
        <v>943</v>
      </c>
      <c r="B4587" s="6" t="s">
        <v>1597</v>
      </c>
      <c r="C4587" s="6" t="s">
        <v>1414</v>
      </c>
      <c r="D4587" s="6" t="s">
        <v>943</v>
      </c>
      <c r="G4587" s="6">
        <v>120</v>
      </c>
      <c r="H4587" s="6">
        <v>200</v>
      </c>
      <c r="I4587" s="9"/>
      <c r="J4587" s="9"/>
      <c r="K4587" s="9">
        <v>44009190</v>
      </c>
      <c r="L4587" s="6" t="str">
        <f t="shared" si="451"/>
        <v>1D  MINI PUZZLE  YATAK  120x200</v>
      </c>
      <c r="M4587" s="12">
        <v>0.5</v>
      </c>
      <c r="N4587" s="12">
        <v>0.5</v>
      </c>
      <c r="O4587" s="12">
        <v>15800</v>
      </c>
      <c r="P4587" s="12">
        <f t="shared" si="444"/>
        <v>7900</v>
      </c>
      <c r="Q4587" s="12">
        <f t="shared" si="450"/>
        <v>16590</v>
      </c>
      <c r="R4587" s="33">
        <f t="shared" si="445"/>
        <v>16500</v>
      </c>
      <c r="T4587" s="12"/>
      <c r="U4587" s="12">
        <v>12700</v>
      </c>
      <c r="V4587" s="12"/>
      <c r="W4587" s="12">
        <f t="shared" si="448"/>
        <v>19750</v>
      </c>
    </row>
    <row r="4588" spans="1:23" s="6" customFormat="1" ht="21.95" customHeight="1" x14ac:dyDescent="0.2">
      <c r="A4588" s="6" t="s">
        <v>943</v>
      </c>
      <c r="B4588" s="6" t="s">
        <v>1597</v>
      </c>
      <c r="C4588" s="6" t="s">
        <v>1414</v>
      </c>
      <c r="D4588" s="6" t="s">
        <v>943</v>
      </c>
      <c r="G4588" s="6">
        <v>140</v>
      </c>
      <c r="H4588" s="6">
        <v>200</v>
      </c>
      <c r="I4588" s="9"/>
      <c r="J4588" s="9"/>
      <c r="K4588" s="9">
        <v>44009191</v>
      </c>
      <c r="L4588" s="6" t="str">
        <f t="shared" si="451"/>
        <v>1D  MINI PUZZLE  YATAK  140x200</v>
      </c>
      <c r="M4588" s="12">
        <v>0.5</v>
      </c>
      <c r="N4588" s="12">
        <v>0.5</v>
      </c>
      <c r="O4588" s="12">
        <v>18500</v>
      </c>
      <c r="P4588" s="12">
        <f t="shared" si="444"/>
        <v>9250</v>
      </c>
      <c r="Q4588" s="12">
        <f t="shared" si="450"/>
        <v>19425</v>
      </c>
      <c r="R4588" s="33">
        <f t="shared" si="445"/>
        <v>19400</v>
      </c>
      <c r="T4588" s="12"/>
      <c r="U4588" s="12">
        <v>12600</v>
      </c>
      <c r="V4588" s="12"/>
      <c r="W4588" s="12">
        <f t="shared" si="448"/>
        <v>23125</v>
      </c>
    </row>
    <row r="4589" spans="1:23" s="6" customFormat="1" ht="21.95" customHeight="1" x14ac:dyDescent="0.2">
      <c r="A4589" s="6" t="s">
        <v>943</v>
      </c>
      <c r="B4589" s="6" t="s">
        <v>1597</v>
      </c>
      <c r="C4589" s="6" t="s">
        <v>1414</v>
      </c>
      <c r="D4589" s="6" t="s">
        <v>943</v>
      </c>
      <c r="G4589" s="6">
        <v>150</v>
      </c>
      <c r="H4589" s="6">
        <v>200</v>
      </c>
      <c r="I4589" s="9"/>
      <c r="J4589" s="9"/>
      <c r="K4589" s="9">
        <v>44009192</v>
      </c>
      <c r="L4589" s="6" t="str">
        <f t="shared" si="451"/>
        <v>1D  MINI PUZZLE  YATAK  150x200</v>
      </c>
      <c r="M4589" s="12">
        <v>0.5</v>
      </c>
      <c r="N4589" s="12">
        <v>0.5</v>
      </c>
      <c r="O4589" s="12">
        <v>19800</v>
      </c>
      <c r="P4589" s="12">
        <f t="shared" ref="P4589:P4652" si="452">O4589*(1-N4589)</f>
        <v>9900</v>
      </c>
      <c r="Q4589" s="12">
        <f t="shared" si="450"/>
        <v>20790</v>
      </c>
      <c r="R4589" s="33">
        <f t="shared" ref="R4589:R4652" si="453">ROUNDDOWN(Q4589,-2)</f>
        <v>20700</v>
      </c>
      <c r="T4589" s="12"/>
      <c r="U4589" s="12">
        <v>13300</v>
      </c>
      <c r="V4589" s="12"/>
      <c r="W4589" s="12">
        <f t="shared" si="448"/>
        <v>24750</v>
      </c>
    </row>
    <row r="4590" spans="1:23" s="6" customFormat="1" ht="21.95" customHeight="1" x14ac:dyDescent="0.2">
      <c r="A4590" s="6" t="s">
        <v>943</v>
      </c>
      <c r="B4590" s="6" t="s">
        <v>1597</v>
      </c>
      <c r="C4590" s="6" t="s">
        <v>1414</v>
      </c>
      <c r="D4590" s="6" t="s">
        <v>943</v>
      </c>
      <c r="G4590" s="6">
        <v>160</v>
      </c>
      <c r="H4590" s="6">
        <v>200</v>
      </c>
      <c r="I4590" s="9"/>
      <c r="J4590" s="9"/>
      <c r="K4590" s="9">
        <v>44009193</v>
      </c>
      <c r="L4590" s="6" t="str">
        <f t="shared" si="451"/>
        <v>1D  MINI PUZZLE  YATAK  160x200</v>
      </c>
      <c r="M4590" s="12">
        <v>0.5</v>
      </c>
      <c r="N4590" s="12">
        <v>0.5</v>
      </c>
      <c r="O4590" s="12">
        <v>21100</v>
      </c>
      <c r="P4590" s="12">
        <f t="shared" si="452"/>
        <v>10550</v>
      </c>
      <c r="Q4590" s="12">
        <f t="shared" si="450"/>
        <v>22155</v>
      </c>
      <c r="R4590" s="33">
        <f t="shared" si="453"/>
        <v>22100</v>
      </c>
      <c r="T4590" s="12"/>
      <c r="U4590" s="12">
        <v>13400</v>
      </c>
      <c r="V4590" s="12"/>
      <c r="W4590" s="12">
        <f t="shared" si="448"/>
        <v>26375</v>
      </c>
    </row>
    <row r="4591" spans="1:23" s="6" customFormat="1" ht="21.95" customHeight="1" x14ac:dyDescent="0.2">
      <c r="A4591" s="6" t="s">
        <v>943</v>
      </c>
      <c r="B4591" s="6" t="s">
        <v>1597</v>
      </c>
      <c r="C4591" s="6" t="s">
        <v>1414</v>
      </c>
      <c r="D4591" s="6" t="s">
        <v>943</v>
      </c>
      <c r="G4591" s="6">
        <v>180</v>
      </c>
      <c r="H4591" s="6">
        <v>200</v>
      </c>
      <c r="I4591" s="9"/>
      <c r="J4591" s="9"/>
      <c r="K4591" s="9">
        <v>44009194</v>
      </c>
      <c r="L4591" s="6" t="str">
        <f t="shared" si="451"/>
        <v>1D  MINI PUZZLE  YATAK  180x200</v>
      </c>
      <c r="M4591" s="12">
        <v>0.5</v>
      </c>
      <c r="N4591" s="12">
        <v>0.5</v>
      </c>
      <c r="O4591" s="12">
        <v>23700</v>
      </c>
      <c r="P4591" s="12">
        <f t="shared" si="452"/>
        <v>11850</v>
      </c>
      <c r="Q4591" s="12">
        <f t="shared" si="450"/>
        <v>24885</v>
      </c>
      <c r="R4591" s="33">
        <f t="shared" si="453"/>
        <v>24800</v>
      </c>
      <c r="T4591" s="12"/>
      <c r="U4591" s="12">
        <v>16100</v>
      </c>
      <c r="V4591" s="12"/>
      <c r="W4591" s="12">
        <f t="shared" si="448"/>
        <v>29625</v>
      </c>
    </row>
    <row r="4592" spans="1:23" s="6" customFormat="1" ht="21.95" customHeight="1" x14ac:dyDescent="0.2">
      <c r="A4592" s="6" t="s">
        <v>943</v>
      </c>
      <c r="B4592" s="6" t="s">
        <v>1597</v>
      </c>
      <c r="C4592" s="6" t="s">
        <v>1414</v>
      </c>
      <c r="D4592" s="6" t="s">
        <v>1380</v>
      </c>
      <c r="I4592" s="9"/>
      <c r="J4592" s="9"/>
      <c r="K4592" s="9">
        <v>44009195</v>
      </c>
      <c r="L4592" s="6" t="str">
        <f>B4592&amp;" "&amp;C4592&amp;" "&amp;D4592</f>
        <v>1D  MINI PUZZLE  KOMODİN (2 ADET)</v>
      </c>
      <c r="M4592" s="12">
        <v>0.5</v>
      </c>
      <c r="N4592" s="12">
        <v>0.5</v>
      </c>
      <c r="O4592" s="12">
        <v>13200</v>
      </c>
      <c r="P4592" s="12">
        <f t="shared" si="452"/>
        <v>6600</v>
      </c>
      <c r="Q4592" s="12">
        <f t="shared" si="450"/>
        <v>13860</v>
      </c>
      <c r="R4592" s="33">
        <f t="shared" si="453"/>
        <v>13800</v>
      </c>
      <c r="T4592" s="12"/>
      <c r="U4592" s="12">
        <v>18800</v>
      </c>
      <c r="V4592" s="12"/>
      <c r="W4592" s="12">
        <f t="shared" si="448"/>
        <v>16500</v>
      </c>
    </row>
    <row r="4593" spans="1:23" s="6" customFormat="1" ht="21.95" customHeight="1" x14ac:dyDescent="0.2">
      <c r="A4593" s="6" t="s">
        <v>943</v>
      </c>
      <c r="B4593" s="6" t="s">
        <v>1597</v>
      </c>
      <c r="C4593" s="6" t="s">
        <v>1415</v>
      </c>
      <c r="D4593" s="6" t="s">
        <v>2305</v>
      </c>
      <c r="G4593" s="6">
        <v>90</v>
      </c>
      <c r="H4593" s="6">
        <v>190</v>
      </c>
      <c r="I4593" s="9"/>
      <c r="J4593" s="9"/>
      <c r="K4593" s="9">
        <v>44009229</v>
      </c>
      <c r="L4593" s="6" t="str">
        <f t="shared" ref="L4593:L4608" si="454">B4593&amp;" "&amp;C4593&amp;" "&amp;D4593&amp;" "&amp;G4593&amp;"x"&amp;H4593</f>
        <v>1D  RODOS  BAZA + BAŞLIK + TRAVERS 90x190</v>
      </c>
      <c r="M4593" s="12">
        <v>0.5</v>
      </c>
      <c r="N4593" s="12">
        <v>0.5</v>
      </c>
      <c r="O4593" s="12">
        <v>13000</v>
      </c>
      <c r="P4593" s="12">
        <f t="shared" si="452"/>
        <v>6500</v>
      </c>
      <c r="Q4593" s="12">
        <f t="shared" si="450"/>
        <v>13650</v>
      </c>
      <c r="R4593" s="33">
        <f t="shared" si="453"/>
        <v>13600</v>
      </c>
      <c r="T4593" s="12"/>
      <c r="U4593" s="12">
        <v>20200</v>
      </c>
      <c r="V4593" s="12"/>
      <c r="W4593" s="12">
        <f t="shared" si="448"/>
        <v>16250</v>
      </c>
    </row>
    <row r="4594" spans="1:23" s="6" customFormat="1" ht="21.95" customHeight="1" x14ac:dyDescent="0.2">
      <c r="A4594" s="6" t="s">
        <v>943</v>
      </c>
      <c r="B4594" s="6" t="s">
        <v>1597</v>
      </c>
      <c r="C4594" s="6" t="s">
        <v>1415</v>
      </c>
      <c r="D4594" s="6" t="s">
        <v>2305</v>
      </c>
      <c r="G4594" s="6">
        <v>90</v>
      </c>
      <c r="H4594" s="6">
        <v>200</v>
      </c>
      <c r="I4594" s="9"/>
      <c r="J4594" s="9"/>
      <c r="K4594" s="9">
        <v>44009230</v>
      </c>
      <c r="L4594" s="6" t="str">
        <f t="shared" si="454"/>
        <v>1D  RODOS  BAZA + BAŞLIK + TRAVERS 90x200</v>
      </c>
      <c r="M4594" s="12">
        <v>0.5</v>
      </c>
      <c r="N4594" s="12">
        <v>0.5</v>
      </c>
      <c r="O4594" s="12">
        <v>13700</v>
      </c>
      <c r="P4594" s="12">
        <f t="shared" si="452"/>
        <v>6850</v>
      </c>
      <c r="Q4594" s="12">
        <f t="shared" si="450"/>
        <v>14385</v>
      </c>
      <c r="R4594" s="33">
        <f t="shared" si="453"/>
        <v>14300</v>
      </c>
      <c r="T4594" s="12"/>
      <c r="U4594" s="12">
        <v>21500</v>
      </c>
      <c r="V4594" s="12"/>
      <c r="W4594" s="12">
        <f t="shared" si="448"/>
        <v>17125</v>
      </c>
    </row>
    <row r="4595" spans="1:23" s="6" customFormat="1" ht="21.95" customHeight="1" x14ac:dyDescent="0.2">
      <c r="A4595" s="6" t="s">
        <v>943</v>
      </c>
      <c r="B4595" s="6" t="s">
        <v>1597</v>
      </c>
      <c r="C4595" s="6" t="s">
        <v>1415</v>
      </c>
      <c r="D4595" s="6" t="s">
        <v>2305</v>
      </c>
      <c r="G4595" s="6">
        <v>100</v>
      </c>
      <c r="H4595" s="6">
        <v>200</v>
      </c>
      <c r="I4595" s="9"/>
      <c r="J4595" s="9"/>
      <c r="K4595" s="9">
        <v>44009231</v>
      </c>
      <c r="L4595" s="6" t="str">
        <f t="shared" si="454"/>
        <v>1D  RODOS  BAZA + BAŞLIK + TRAVERS 100x200</v>
      </c>
      <c r="M4595" s="12">
        <v>0.5</v>
      </c>
      <c r="N4595" s="12">
        <v>0.5</v>
      </c>
      <c r="O4595" s="12">
        <v>15300</v>
      </c>
      <c r="P4595" s="12">
        <f t="shared" si="452"/>
        <v>7650</v>
      </c>
      <c r="Q4595" s="12">
        <f t="shared" si="450"/>
        <v>16065</v>
      </c>
      <c r="R4595" s="33">
        <f t="shared" si="453"/>
        <v>16000</v>
      </c>
      <c r="T4595" s="12"/>
      <c r="U4595" s="12">
        <v>24200</v>
      </c>
      <c r="V4595" s="12"/>
      <c r="W4595" s="12">
        <f t="shared" si="448"/>
        <v>19125</v>
      </c>
    </row>
    <row r="4596" spans="1:23" s="6" customFormat="1" ht="21.95" customHeight="1" x14ac:dyDescent="0.2">
      <c r="A4596" s="6" t="s">
        <v>943</v>
      </c>
      <c r="B4596" s="6" t="s">
        <v>1597</v>
      </c>
      <c r="C4596" s="6" t="s">
        <v>1415</v>
      </c>
      <c r="D4596" s="6" t="s">
        <v>2305</v>
      </c>
      <c r="G4596" s="6">
        <v>120</v>
      </c>
      <c r="H4596" s="6">
        <v>200</v>
      </c>
      <c r="I4596" s="9"/>
      <c r="J4596" s="9"/>
      <c r="K4596" s="9">
        <v>44009232</v>
      </c>
      <c r="L4596" s="6" t="str">
        <f t="shared" si="454"/>
        <v>1D  RODOS  BAZA + BAŞLIK + TRAVERS 120x200</v>
      </c>
      <c r="M4596" s="12">
        <v>0.5</v>
      </c>
      <c r="N4596" s="12">
        <v>0.5</v>
      </c>
      <c r="O4596" s="12">
        <v>18300</v>
      </c>
      <c r="P4596" s="12">
        <f t="shared" si="452"/>
        <v>9150</v>
      </c>
      <c r="Q4596" s="12">
        <f t="shared" si="450"/>
        <v>19215</v>
      </c>
      <c r="R4596" s="33">
        <f t="shared" si="453"/>
        <v>19200</v>
      </c>
      <c r="T4596" s="12"/>
      <c r="U4596" s="12">
        <v>19300</v>
      </c>
      <c r="V4596" s="12"/>
      <c r="W4596" s="12">
        <f t="shared" si="448"/>
        <v>22875</v>
      </c>
    </row>
    <row r="4597" spans="1:23" s="6" customFormat="1" ht="21.95" customHeight="1" x14ac:dyDescent="0.2">
      <c r="A4597" s="6" t="s">
        <v>943</v>
      </c>
      <c r="B4597" s="6" t="s">
        <v>1597</v>
      </c>
      <c r="C4597" s="6" t="s">
        <v>1415</v>
      </c>
      <c r="D4597" s="6" t="s">
        <v>2305</v>
      </c>
      <c r="G4597" s="6">
        <v>140</v>
      </c>
      <c r="H4597" s="6">
        <v>200</v>
      </c>
      <c r="I4597" s="9"/>
      <c r="J4597" s="9"/>
      <c r="K4597" s="9">
        <v>44009233</v>
      </c>
      <c r="L4597" s="6" t="str">
        <f t="shared" si="454"/>
        <v>1D  RODOS  BAZA + BAŞLIK + TRAVERS 140x200</v>
      </c>
      <c r="M4597" s="12">
        <v>0.5</v>
      </c>
      <c r="N4597" s="12">
        <v>0.5</v>
      </c>
      <c r="O4597" s="12">
        <v>21400</v>
      </c>
      <c r="P4597" s="12">
        <f t="shared" si="452"/>
        <v>10700</v>
      </c>
      <c r="Q4597" s="12">
        <f t="shared" si="450"/>
        <v>22470</v>
      </c>
      <c r="R4597" s="33">
        <f t="shared" si="453"/>
        <v>22400</v>
      </c>
      <c r="T4597" s="12"/>
      <c r="U4597" s="12">
        <v>12600</v>
      </c>
      <c r="V4597" s="12"/>
      <c r="W4597" s="12">
        <f t="shared" si="448"/>
        <v>26750</v>
      </c>
    </row>
    <row r="4598" spans="1:23" s="6" customFormat="1" ht="21.95" customHeight="1" x14ac:dyDescent="0.2">
      <c r="A4598" s="6" t="s">
        <v>943</v>
      </c>
      <c r="B4598" s="6" t="s">
        <v>1597</v>
      </c>
      <c r="C4598" s="6" t="s">
        <v>1415</v>
      </c>
      <c r="D4598" s="6" t="s">
        <v>2305</v>
      </c>
      <c r="G4598" s="6">
        <v>150</v>
      </c>
      <c r="H4598" s="6">
        <v>200</v>
      </c>
      <c r="I4598" s="9"/>
      <c r="J4598" s="9"/>
      <c r="K4598" s="9">
        <v>44009234</v>
      </c>
      <c r="L4598" s="6" t="str">
        <f t="shared" si="454"/>
        <v>1D  RODOS  BAZA + BAŞLIK + TRAVERS 150x200</v>
      </c>
      <c r="M4598" s="12">
        <v>0.5</v>
      </c>
      <c r="N4598" s="12">
        <v>0.5</v>
      </c>
      <c r="O4598" s="12">
        <v>22900</v>
      </c>
      <c r="P4598" s="12">
        <f t="shared" si="452"/>
        <v>11450</v>
      </c>
      <c r="Q4598" s="12">
        <f t="shared" si="450"/>
        <v>24045</v>
      </c>
      <c r="R4598" s="33">
        <f t="shared" si="453"/>
        <v>24000</v>
      </c>
      <c r="T4598" s="12"/>
      <c r="U4598" s="12">
        <v>13300</v>
      </c>
      <c r="V4598" s="12"/>
      <c r="W4598" s="12">
        <f t="shared" si="448"/>
        <v>28625</v>
      </c>
    </row>
    <row r="4599" spans="1:23" s="6" customFormat="1" ht="21.95" customHeight="1" x14ac:dyDescent="0.2">
      <c r="A4599" s="6" t="s">
        <v>943</v>
      </c>
      <c r="B4599" s="6" t="s">
        <v>1597</v>
      </c>
      <c r="C4599" s="6" t="s">
        <v>1415</v>
      </c>
      <c r="D4599" s="6" t="s">
        <v>2305</v>
      </c>
      <c r="G4599" s="6">
        <v>160</v>
      </c>
      <c r="H4599" s="6">
        <v>200</v>
      </c>
      <c r="I4599" s="9"/>
      <c r="J4599" s="9"/>
      <c r="K4599" s="9">
        <v>44009235</v>
      </c>
      <c r="L4599" s="6" t="str">
        <f t="shared" si="454"/>
        <v>1D  RODOS  BAZA + BAŞLIK + TRAVERS 160x200</v>
      </c>
      <c r="M4599" s="12">
        <v>0.5</v>
      </c>
      <c r="N4599" s="12">
        <v>0.5</v>
      </c>
      <c r="O4599" s="12">
        <v>24400</v>
      </c>
      <c r="P4599" s="12">
        <f t="shared" si="452"/>
        <v>12200</v>
      </c>
      <c r="Q4599" s="12">
        <f t="shared" si="450"/>
        <v>25620</v>
      </c>
      <c r="R4599" s="33">
        <f t="shared" si="453"/>
        <v>25600</v>
      </c>
      <c r="T4599" s="12"/>
      <c r="U4599" s="12">
        <v>13400</v>
      </c>
      <c r="V4599" s="12"/>
      <c r="W4599" s="12">
        <f t="shared" si="448"/>
        <v>30500</v>
      </c>
    </row>
    <row r="4600" spans="1:23" s="6" customFormat="1" ht="21.95" customHeight="1" x14ac:dyDescent="0.2">
      <c r="A4600" s="6" t="s">
        <v>943</v>
      </c>
      <c r="B4600" s="6" t="s">
        <v>1597</v>
      </c>
      <c r="C4600" s="6" t="s">
        <v>1415</v>
      </c>
      <c r="D4600" s="6" t="s">
        <v>2305</v>
      </c>
      <c r="G4600" s="6">
        <v>180</v>
      </c>
      <c r="H4600" s="6">
        <v>200</v>
      </c>
      <c r="I4600" s="9"/>
      <c r="J4600" s="9"/>
      <c r="K4600" s="9">
        <v>44009236</v>
      </c>
      <c r="L4600" s="6" t="str">
        <f t="shared" si="454"/>
        <v>1D  RODOS  BAZA + BAŞLIK + TRAVERS 180x200</v>
      </c>
      <c r="M4600" s="12">
        <v>0.5</v>
      </c>
      <c r="N4600" s="12">
        <v>0.5</v>
      </c>
      <c r="O4600" s="12">
        <v>27500</v>
      </c>
      <c r="P4600" s="12">
        <f t="shared" si="452"/>
        <v>13750</v>
      </c>
      <c r="Q4600" s="12">
        <f t="shared" si="450"/>
        <v>28875</v>
      </c>
      <c r="R4600" s="33">
        <f t="shared" si="453"/>
        <v>28800</v>
      </c>
      <c r="T4600" s="12"/>
      <c r="U4600" s="12">
        <v>16100</v>
      </c>
      <c r="V4600" s="12"/>
      <c r="W4600" s="12">
        <f t="shared" si="448"/>
        <v>34375</v>
      </c>
    </row>
    <row r="4601" spans="1:23" s="6" customFormat="1" ht="21.95" customHeight="1" x14ac:dyDescent="0.2">
      <c r="A4601" s="6" t="s">
        <v>943</v>
      </c>
      <c r="B4601" s="6" t="s">
        <v>1597</v>
      </c>
      <c r="C4601" s="6" t="s">
        <v>1415</v>
      </c>
      <c r="D4601" s="6" t="s">
        <v>943</v>
      </c>
      <c r="G4601" s="6">
        <v>90</v>
      </c>
      <c r="H4601" s="6">
        <v>190</v>
      </c>
      <c r="I4601" s="9"/>
      <c r="J4601" s="9"/>
      <c r="K4601" s="9">
        <v>44009237</v>
      </c>
      <c r="L4601" s="6" t="str">
        <f t="shared" si="454"/>
        <v>1D  RODOS  YATAK  90x190</v>
      </c>
      <c r="M4601" s="12">
        <v>0.5</v>
      </c>
      <c r="N4601" s="12">
        <v>0.5</v>
      </c>
      <c r="O4601" s="12">
        <v>11200</v>
      </c>
      <c r="P4601" s="12">
        <f t="shared" si="452"/>
        <v>5600</v>
      </c>
      <c r="Q4601" s="12">
        <f t="shared" si="450"/>
        <v>11760</v>
      </c>
      <c r="R4601" s="33">
        <f t="shared" si="453"/>
        <v>11700</v>
      </c>
      <c r="T4601" s="12"/>
      <c r="U4601" s="12">
        <v>18800</v>
      </c>
      <c r="V4601" s="12"/>
      <c r="W4601" s="12">
        <f t="shared" si="448"/>
        <v>14000</v>
      </c>
    </row>
    <row r="4602" spans="1:23" s="6" customFormat="1" ht="21.95" customHeight="1" x14ac:dyDescent="0.2">
      <c r="A4602" s="6" t="s">
        <v>943</v>
      </c>
      <c r="B4602" s="6" t="s">
        <v>1597</v>
      </c>
      <c r="C4602" s="6" t="s">
        <v>1415</v>
      </c>
      <c r="D4602" s="6" t="s">
        <v>943</v>
      </c>
      <c r="G4602" s="6">
        <v>90</v>
      </c>
      <c r="H4602" s="6">
        <v>200</v>
      </c>
      <c r="I4602" s="9"/>
      <c r="J4602" s="9"/>
      <c r="K4602" s="9">
        <v>44009238</v>
      </c>
      <c r="L4602" s="6" t="str">
        <f t="shared" si="454"/>
        <v>1D  RODOS  YATAK  90x200</v>
      </c>
      <c r="M4602" s="12">
        <v>0.5</v>
      </c>
      <c r="N4602" s="12">
        <v>0.5</v>
      </c>
      <c r="O4602" s="12">
        <v>11800</v>
      </c>
      <c r="P4602" s="12">
        <f t="shared" si="452"/>
        <v>5900</v>
      </c>
      <c r="Q4602" s="12">
        <f t="shared" si="450"/>
        <v>12390</v>
      </c>
      <c r="R4602" s="33">
        <f t="shared" si="453"/>
        <v>12300</v>
      </c>
      <c r="T4602" s="12"/>
      <c r="U4602" s="12">
        <v>20200</v>
      </c>
      <c r="V4602" s="12"/>
      <c r="W4602" s="12">
        <f t="shared" si="448"/>
        <v>14750</v>
      </c>
    </row>
    <row r="4603" spans="1:23" s="6" customFormat="1" ht="21.95" customHeight="1" x14ac:dyDescent="0.2">
      <c r="A4603" s="6" t="s">
        <v>943</v>
      </c>
      <c r="B4603" s="6" t="s">
        <v>1597</v>
      </c>
      <c r="C4603" s="6" t="s">
        <v>1415</v>
      </c>
      <c r="D4603" s="6" t="s">
        <v>943</v>
      </c>
      <c r="G4603" s="6">
        <v>100</v>
      </c>
      <c r="H4603" s="6">
        <v>200</v>
      </c>
      <c r="I4603" s="9"/>
      <c r="J4603" s="9"/>
      <c r="K4603" s="9">
        <v>44009239</v>
      </c>
      <c r="L4603" s="6" t="str">
        <f t="shared" si="454"/>
        <v>1D  RODOS  YATAK  100x200</v>
      </c>
      <c r="M4603" s="12">
        <v>0.5</v>
      </c>
      <c r="N4603" s="12">
        <v>0.5</v>
      </c>
      <c r="O4603" s="12">
        <v>13100</v>
      </c>
      <c r="P4603" s="12">
        <f t="shared" si="452"/>
        <v>6550</v>
      </c>
      <c r="Q4603" s="12">
        <f t="shared" si="450"/>
        <v>13755</v>
      </c>
      <c r="R4603" s="33">
        <f t="shared" si="453"/>
        <v>13700</v>
      </c>
      <c r="T4603" s="12"/>
      <c r="U4603" s="12">
        <v>21500</v>
      </c>
      <c r="V4603" s="12"/>
      <c r="W4603" s="12">
        <f t="shared" si="448"/>
        <v>16375</v>
      </c>
    </row>
    <row r="4604" spans="1:23" s="6" customFormat="1" ht="21.95" customHeight="1" x14ac:dyDescent="0.2">
      <c r="A4604" s="6" t="s">
        <v>943</v>
      </c>
      <c r="B4604" s="6" t="s">
        <v>1597</v>
      </c>
      <c r="C4604" s="6" t="s">
        <v>1415</v>
      </c>
      <c r="D4604" s="6" t="s">
        <v>943</v>
      </c>
      <c r="G4604" s="6">
        <v>120</v>
      </c>
      <c r="H4604" s="6">
        <v>200</v>
      </c>
      <c r="I4604" s="9"/>
      <c r="J4604" s="9"/>
      <c r="K4604" s="9">
        <v>44009240</v>
      </c>
      <c r="L4604" s="6" t="str">
        <f t="shared" si="454"/>
        <v>1D  RODOS  YATAK  120x200</v>
      </c>
      <c r="M4604" s="12">
        <v>0.5</v>
      </c>
      <c r="N4604" s="12">
        <v>0.5</v>
      </c>
      <c r="O4604" s="12">
        <v>15800</v>
      </c>
      <c r="P4604" s="12">
        <f t="shared" si="452"/>
        <v>7900</v>
      </c>
      <c r="Q4604" s="12">
        <f t="shared" si="450"/>
        <v>16590</v>
      </c>
      <c r="R4604" s="33">
        <f t="shared" si="453"/>
        <v>16500</v>
      </c>
      <c r="T4604" s="12"/>
      <c r="U4604" s="12">
        <v>24200</v>
      </c>
      <c r="V4604" s="12"/>
      <c r="W4604" s="12">
        <f t="shared" si="448"/>
        <v>19750</v>
      </c>
    </row>
    <row r="4605" spans="1:23" s="6" customFormat="1" ht="21.95" customHeight="1" x14ac:dyDescent="0.2">
      <c r="A4605" s="6" t="s">
        <v>943</v>
      </c>
      <c r="B4605" s="6" t="s">
        <v>1597</v>
      </c>
      <c r="C4605" s="6" t="s">
        <v>1415</v>
      </c>
      <c r="D4605" s="6" t="s">
        <v>943</v>
      </c>
      <c r="G4605" s="6">
        <v>140</v>
      </c>
      <c r="H4605" s="6">
        <v>200</v>
      </c>
      <c r="I4605" s="9"/>
      <c r="J4605" s="9"/>
      <c r="K4605" s="9">
        <v>44009241</v>
      </c>
      <c r="L4605" s="6" t="str">
        <f t="shared" si="454"/>
        <v>1D  RODOS  YATAK  140x200</v>
      </c>
      <c r="M4605" s="12">
        <v>0.5</v>
      </c>
      <c r="N4605" s="12">
        <v>0.5</v>
      </c>
      <c r="O4605" s="12">
        <v>18400</v>
      </c>
      <c r="P4605" s="12">
        <f t="shared" si="452"/>
        <v>9200</v>
      </c>
      <c r="Q4605" s="12">
        <f t="shared" si="450"/>
        <v>19320</v>
      </c>
      <c r="R4605" s="33">
        <f t="shared" si="453"/>
        <v>19300</v>
      </c>
      <c r="T4605" s="12"/>
      <c r="U4605" s="12">
        <v>16700</v>
      </c>
      <c r="V4605" s="12"/>
      <c r="W4605" s="12">
        <f t="shared" si="448"/>
        <v>23000</v>
      </c>
    </row>
    <row r="4606" spans="1:23" s="6" customFormat="1" ht="21.95" customHeight="1" x14ac:dyDescent="0.2">
      <c r="A4606" s="6" t="s">
        <v>943</v>
      </c>
      <c r="B4606" s="6" t="s">
        <v>1597</v>
      </c>
      <c r="C4606" s="6" t="s">
        <v>1415</v>
      </c>
      <c r="D4606" s="6" t="s">
        <v>943</v>
      </c>
      <c r="G4606" s="6">
        <v>150</v>
      </c>
      <c r="H4606" s="6">
        <v>200</v>
      </c>
      <c r="I4606" s="9"/>
      <c r="J4606" s="9"/>
      <c r="K4606" s="9">
        <v>44009242</v>
      </c>
      <c r="L4606" s="6" t="str">
        <f t="shared" si="454"/>
        <v>1D  RODOS  YATAK  150x200</v>
      </c>
      <c r="M4606" s="12">
        <v>0.5</v>
      </c>
      <c r="N4606" s="12">
        <v>0.5</v>
      </c>
      <c r="O4606" s="12">
        <v>19700</v>
      </c>
      <c r="P4606" s="12">
        <f t="shared" si="452"/>
        <v>9850</v>
      </c>
      <c r="Q4606" s="12">
        <f t="shared" si="450"/>
        <v>20685</v>
      </c>
      <c r="R4606" s="33">
        <f t="shared" si="453"/>
        <v>20600</v>
      </c>
      <c r="T4606" s="12"/>
      <c r="U4606" s="12">
        <v>16700</v>
      </c>
      <c r="V4606" s="12"/>
      <c r="W4606" s="12">
        <f t="shared" si="448"/>
        <v>24625</v>
      </c>
    </row>
    <row r="4607" spans="1:23" s="6" customFormat="1" ht="21.95" customHeight="1" x14ac:dyDescent="0.2">
      <c r="A4607" s="6" t="s">
        <v>943</v>
      </c>
      <c r="B4607" s="6" t="s">
        <v>1597</v>
      </c>
      <c r="C4607" s="6" t="s">
        <v>1415</v>
      </c>
      <c r="D4607" s="6" t="s">
        <v>943</v>
      </c>
      <c r="G4607" s="6">
        <v>160</v>
      </c>
      <c r="H4607" s="6">
        <v>200</v>
      </c>
      <c r="I4607" s="9"/>
      <c r="J4607" s="9"/>
      <c r="K4607" s="9">
        <v>44009243</v>
      </c>
      <c r="L4607" s="6" t="str">
        <f t="shared" si="454"/>
        <v>1D  RODOS  YATAK  160x200</v>
      </c>
      <c r="M4607" s="12">
        <v>0.5</v>
      </c>
      <c r="N4607" s="12">
        <v>0.5</v>
      </c>
      <c r="O4607" s="12">
        <v>21000</v>
      </c>
      <c r="P4607" s="12">
        <f t="shared" si="452"/>
        <v>10500</v>
      </c>
      <c r="Q4607" s="12">
        <f t="shared" si="450"/>
        <v>22050</v>
      </c>
      <c r="R4607" s="33">
        <f t="shared" si="453"/>
        <v>22000</v>
      </c>
      <c r="T4607" s="12"/>
      <c r="U4607" s="12">
        <v>16900</v>
      </c>
      <c r="V4607" s="12"/>
      <c r="W4607" s="12">
        <f t="shared" si="448"/>
        <v>26250</v>
      </c>
    </row>
    <row r="4608" spans="1:23" s="6" customFormat="1" ht="21.95" customHeight="1" x14ac:dyDescent="0.2">
      <c r="A4608" s="6" t="s">
        <v>943</v>
      </c>
      <c r="B4608" s="6" t="s">
        <v>1597</v>
      </c>
      <c r="C4608" s="6" t="s">
        <v>1415</v>
      </c>
      <c r="D4608" s="6" t="s">
        <v>943</v>
      </c>
      <c r="G4608" s="6">
        <v>180</v>
      </c>
      <c r="H4608" s="6">
        <v>200</v>
      </c>
      <c r="I4608" s="9"/>
      <c r="J4608" s="9"/>
      <c r="K4608" s="9">
        <v>44009244</v>
      </c>
      <c r="L4608" s="6" t="str">
        <f t="shared" si="454"/>
        <v>1D  RODOS  YATAK  180x200</v>
      </c>
      <c r="M4608" s="12">
        <v>0.5</v>
      </c>
      <c r="N4608" s="12">
        <v>0.5</v>
      </c>
      <c r="O4608" s="12">
        <v>23600</v>
      </c>
      <c r="P4608" s="12">
        <f t="shared" si="452"/>
        <v>11800</v>
      </c>
      <c r="Q4608" s="12">
        <f t="shared" si="450"/>
        <v>24780</v>
      </c>
      <c r="R4608" s="33">
        <f t="shared" si="453"/>
        <v>24700</v>
      </c>
      <c r="T4608" s="12"/>
      <c r="U4608" s="12">
        <v>20300</v>
      </c>
      <c r="V4608" s="12"/>
      <c r="W4608" s="12">
        <f t="shared" si="448"/>
        <v>29500</v>
      </c>
    </row>
    <row r="4609" spans="1:23" s="6" customFormat="1" ht="21.95" customHeight="1" x14ac:dyDescent="0.2">
      <c r="A4609" s="6" t="s">
        <v>943</v>
      </c>
      <c r="B4609" s="6" t="s">
        <v>1597</v>
      </c>
      <c r="C4609" s="6" t="s">
        <v>1415</v>
      </c>
      <c r="D4609" s="6" t="s">
        <v>1380</v>
      </c>
      <c r="I4609" s="9"/>
      <c r="J4609" s="9"/>
      <c r="K4609" s="9">
        <v>44009245</v>
      </c>
      <c r="L4609" s="6" t="str">
        <f>B4609&amp;" "&amp;C4609&amp;" "&amp;D4609</f>
        <v>1D  RODOS  KOMODİN (2 ADET)</v>
      </c>
      <c r="M4609" s="12">
        <v>0.5</v>
      </c>
      <c r="N4609" s="12">
        <v>0.5</v>
      </c>
      <c r="O4609" s="12">
        <v>14520</v>
      </c>
      <c r="P4609" s="12">
        <f t="shared" si="452"/>
        <v>7260</v>
      </c>
      <c r="Q4609" s="12">
        <f t="shared" si="450"/>
        <v>15246</v>
      </c>
      <c r="R4609" s="33">
        <f t="shared" si="453"/>
        <v>15200</v>
      </c>
      <c r="T4609" s="12"/>
      <c r="U4609" s="12">
        <v>23600</v>
      </c>
      <c r="V4609" s="12"/>
      <c r="W4609" s="12">
        <f t="shared" si="448"/>
        <v>18150</v>
      </c>
    </row>
    <row r="4610" spans="1:23" s="6" customFormat="1" ht="21.95" customHeight="1" x14ac:dyDescent="0.2">
      <c r="A4610" s="6" t="s">
        <v>943</v>
      </c>
      <c r="B4610" s="6" t="s">
        <v>1597</v>
      </c>
      <c r="C4610" s="6" t="s">
        <v>1416</v>
      </c>
      <c r="D4610" s="6" t="s">
        <v>2307</v>
      </c>
      <c r="G4610" s="6">
        <v>90</v>
      </c>
      <c r="H4610" s="6">
        <v>190</v>
      </c>
      <c r="I4610" s="9"/>
      <c r="J4610" s="9"/>
      <c r="K4610" s="9">
        <v>44009254</v>
      </c>
      <c r="L4610" s="6" t="str">
        <f t="shared" ref="L4610:L4625" si="455">B4610&amp;" "&amp;C4610&amp;" "&amp;D4610&amp;" "&amp;G4610&amp;"x"&amp;H4610</f>
        <v>1D  RODOS PRO  BAZA + BAŞLIK + YATAK  90x190</v>
      </c>
      <c r="M4610" s="12">
        <v>0.5</v>
      </c>
      <c r="N4610" s="12">
        <v>0.5</v>
      </c>
      <c r="O4610" s="12">
        <v>10600</v>
      </c>
      <c r="P4610" s="12">
        <f t="shared" si="452"/>
        <v>5300</v>
      </c>
      <c r="Q4610" s="12">
        <f t="shared" si="450"/>
        <v>11130</v>
      </c>
      <c r="R4610" s="33">
        <f t="shared" si="453"/>
        <v>11100</v>
      </c>
      <c r="T4610" s="12"/>
      <c r="U4610" s="12">
        <v>25300</v>
      </c>
      <c r="V4610" s="12"/>
      <c r="W4610" s="12">
        <f t="shared" ref="W4610:W4651" si="456">P4610*2.5</f>
        <v>13250</v>
      </c>
    </row>
    <row r="4611" spans="1:23" s="6" customFormat="1" ht="21.95" customHeight="1" x14ac:dyDescent="0.2">
      <c r="A4611" s="6" t="s">
        <v>943</v>
      </c>
      <c r="B4611" s="6" t="s">
        <v>1597</v>
      </c>
      <c r="C4611" s="6" t="s">
        <v>1416</v>
      </c>
      <c r="D4611" s="6" t="s">
        <v>2307</v>
      </c>
      <c r="G4611" s="6">
        <v>90</v>
      </c>
      <c r="H4611" s="6">
        <v>200</v>
      </c>
      <c r="I4611" s="9"/>
      <c r="J4611" s="9"/>
      <c r="K4611" s="9">
        <v>44009255</v>
      </c>
      <c r="L4611" s="6" t="str">
        <f t="shared" si="455"/>
        <v>1D  RODOS PRO  BAZA + BAŞLIK + YATAK  90x200</v>
      </c>
      <c r="M4611" s="12">
        <v>0.5</v>
      </c>
      <c r="N4611" s="12">
        <v>0.5</v>
      </c>
      <c r="O4611" s="12">
        <v>11100</v>
      </c>
      <c r="P4611" s="12">
        <f t="shared" si="452"/>
        <v>5550</v>
      </c>
      <c r="Q4611" s="12">
        <f t="shared" si="450"/>
        <v>11655</v>
      </c>
      <c r="R4611" s="33">
        <f t="shared" si="453"/>
        <v>11600</v>
      </c>
      <c r="T4611" s="12"/>
      <c r="U4611" s="12">
        <v>27000</v>
      </c>
      <c r="V4611" s="12"/>
      <c r="W4611" s="12">
        <f t="shared" si="456"/>
        <v>13875</v>
      </c>
    </row>
    <row r="4612" spans="1:23" s="6" customFormat="1" ht="21.95" customHeight="1" x14ac:dyDescent="0.2">
      <c r="A4612" s="6" t="s">
        <v>943</v>
      </c>
      <c r="B4612" s="6" t="s">
        <v>1597</v>
      </c>
      <c r="C4612" s="6" t="s">
        <v>1416</v>
      </c>
      <c r="D4612" s="6" t="s">
        <v>2307</v>
      </c>
      <c r="G4612" s="6">
        <v>100</v>
      </c>
      <c r="H4612" s="6">
        <v>200</v>
      </c>
      <c r="I4612" s="9"/>
      <c r="J4612" s="9"/>
      <c r="K4612" s="9">
        <v>44009256</v>
      </c>
      <c r="L4612" s="6" t="str">
        <f t="shared" si="455"/>
        <v>1D  RODOS PRO  BAZA + BAŞLIK + YATAK  100x200</v>
      </c>
      <c r="M4612" s="12">
        <v>0.5</v>
      </c>
      <c r="N4612" s="12">
        <v>0.5</v>
      </c>
      <c r="O4612" s="12">
        <v>12400</v>
      </c>
      <c r="P4612" s="12">
        <f t="shared" si="452"/>
        <v>6200</v>
      </c>
      <c r="Q4612" s="12">
        <f t="shared" si="450"/>
        <v>13020</v>
      </c>
      <c r="R4612" s="33">
        <f t="shared" si="453"/>
        <v>13000</v>
      </c>
      <c r="T4612" s="12"/>
      <c r="U4612" s="12">
        <v>30400</v>
      </c>
      <c r="V4612" s="12"/>
      <c r="W4612" s="12">
        <f t="shared" si="456"/>
        <v>15500</v>
      </c>
    </row>
    <row r="4613" spans="1:23" s="6" customFormat="1" ht="21.95" customHeight="1" x14ac:dyDescent="0.2">
      <c r="A4613" s="6" t="s">
        <v>943</v>
      </c>
      <c r="B4613" s="6" t="s">
        <v>1597</v>
      </c>
      <c r="C4613" s="6" t="s">
        <v>1416</v>
      </c>
      <c r="D4613" s="6" t="s">
        <v>2307</v>
      </c>
      <c r="G4613" s="6">
        <v>120</v>
      </c>
      <c r="H4613" s="6">
        <v>200</v>
      </c>
      <c r="I4613" s="9"/>
      <c r="J4613" s="9"/>
      <c r="K4613" s="9">
        <v>44009257</v>
      </c>
      <c r="L4613" s="6" t="str">
        <f t="shared" si="455"/>
        <v>1D  RODOS PRO  BAZA + BAŞLIK + YATAK  120x200</v>
      </c>
      <c r="M4613" s="12">
        <v>0.5</v>
      </c>
      <c r="N4613" s="12">
        <v>0.5</v>
      </c>
      <c r="O4613" s="12">
        <v>14900</v>
      </c>
      <c r="P4613" s="12">
        <f t="shared" si="452"/>
        <v>7450</v>
      </c>
      <c r="Q4613" s="12">
        <f t="shared" si="450"/>
        <v>15645</v>
      </c>
      <c r="R4613" s="33">
        <f t="shared" si="453"/>
        <v>15600</v>
      </c>
      <c r="T4613" s="12"/>
      <c r="U4613" s="12">
        <v>12500</v>
      </c>
      <c r="V4613" s="12"/>
      <c r="W4613" s="12">
        <f t="shared" si="456"/>
        <v>18625</v>
      </c>
    </row>
    <row r="4614" spans="1:23" s="6" customFormat="1" ht="21.95" customHeight="1" x14ac:dyDescent="0.2">
      <c r="A4614" s="6" t="s">
        <v>943</v>
      </c>
      <c r="B4614" s="6" t="s">
        <v>1597</v>
      </c>
      <c r="C4614" s="6" t="s">
        <v>1416</v>
      </c>
      <c r="D4614" s="6" t="s">
        <v>2307</v>
      </c>
      <c r="G4614" s="6">
        <v>140</v>
      </c>
      <c r="H4614" s="6">
        <v>200</v>
      </c>
      <c r="I4614" s="9"/>
      <c r="J4614" s="9"/>
      <c r="K4614" s="9">
        <v>44009258</v>
      </c>
      <c r="L4614" s="6" t="str">
        <f t="shared" si="455"/>
        <v>1D  RODOS PRO  BAZA + BAŞLIK + YATAK  140x200</v>
      </c>
      <c r="M4614" s="12">
        <v>0.5</v>
      </c>
      <c r="N4614" s="12">
        <v>0.5</v>
      </c>
      <c r="O4614" s="12">
        <v>17300</v>
      </c>
      <c r="P4614" s="12">
        <f t="shared" si="452"/>
        <v>8650</v>
      </c>
      <c r="Q4614" s="12">
        <f t="shared" si="450"/>
        <v>18165</v>
      </c>
      <c r="R4614" s="33">
        <f t="shared" si="453"/>
        <v>18100</v>
      </c>
      <c r="T4614" s="12"/>
      <c r="U4614" s="12">
        <v>13200</v>
      </c>
      <c r="V4614" s="12"/>
      <c r="W4614" s="12">
        <f t="shared" si="456"/>
        <v>21625</v>
      </c>
    </row>
    <row r="4615" spans="1:23" s="6" customFormat="1" ht="21.95" customHeight="1" x14ac:dyDescent="0.2">
      <c r="A4615" s="6" t="s">
        <v>943</v>
      </c>
      <c r="B4615" s="6" t="s">
        <v>1597</v>
      </c>
      <c r="C4615" s="6" t="s">
        <v>1416</v>
      </c>
      <c r="D4615" s="6" t="s">
        <v>2307</v>
      </c>
      <c r="G4615" s="6">
        <v>150</v>
      </c>
      <c r="H4615" s="6">
        <v>200</v>
      </c>
      <c r="I4615" s="9"/>
      <c r="J4615" s="9"/>
      <c r="K4615" s="9">
        <v>44009259</v>
      </c>
      <c r="L4615" s="6" t="str">
        <f t="shared" si="455"/>
        <v>1D  RODOS PRO  BAZA + BAŞLIK + YATAK  150x200</v>
      </c>
      <c r="M4615" s="12">
        <v>0.5</v>
      </c>
      <c r="N4615" s="12">
        <v>0.5</v>
      </c>
      <c r="O4615" s="12">
        <v>18600</v>
      </c>
      <c r="P4615" s="12">
        <f t="shared" si="452"/>
        <v>9300</v>
      </c>
      <c r="Q4615" s="12">
        <f t="shared" si="450"/>
        <v>19530</v>
      </c>
      <c r="R4615" s="33">
        <f t="shared" si="453"/>
        <v>19500</v>
      </c>
      <c r="T4615" s="12"/>
      <c r="U4615" s="12">
        <v>13300</v>
      </c>
      <c r="V4615" s="12"/>
      <c r="W4615" s="12">
        <f t="shared" si="456"/>
        <v>23250</v>
      </c>
    </row>
    <row r="4616" spans="1:23" s="6" customFormat="1" ht="21.95" customHeight="1" x14ac:dyDescent="0.2">
      <c r="A4616" s="6" t="s">
        <v>943</v>
      </c>
      <c r="B4616" s="6" t="s">
        <v>1597</v>
      </c>
      <c r="C4616" s="6" t="s">
        <v>1416</v>
      </c>
      <c r="D4616" s="6" t="s">
        <v>2307</v>
      </c>
      <c r="G4616" s="6">
        <v>160</v>
      </c>
      <c r="H4616" s="6">
        <v>200</v>
      </c>
      <c r="I4616" s="9"/>
      <c r="J4616" s="9"/>
      <c r="K4616" s="9">
        <v>44009260</v>
      </c>
      <c r="L4616" s="6" t="str">
        <f t="shared" si="455"/>
        <v>1D  RODOS PRO  BAZA + BAŞLIK + YATAK  160x200</v>
      </c>
      <c r="M4616" s="12">
        <v>0.5</v>
      </c>
      <c r="N4616" s="12">
        <v>0.5</v>
      </c>
      <c r="O4616" s="12">
        <v>19800</v>
      </c>
      <c r="P4616" s="12">
        <f t="shared" si="452"/>
        <v>9900</v>
      </c>
      <c r="Q4616" s="12">
        <f t="shared" si="450"/>
        <v>20790</v>
      </c>
      <c r="R4616" s="33">
        <f t="shared" si="453"/>
        <v>20700</v>
      </c>
      <c r="T4616" s="12"/>
      <c r="U4616" s="12">
        <v>16000</v>
      </c>
      <c r="V4616" s="12"/>
      <c r="W4616" s="12">
        <f t="shared" si="456"/>
        <v>24750</v>
      </c>
    </row>
    <row r="4617" spans="1:23" s="6" customFormat="1" ht="21.95" customHeight="1" x14ac:dyDescent="0.2">
      <c r="A4617" s="6" t="s">
        <v>943</v>
      </c>
      <c r="B4617" s="6" t="s">
        <v>1597</v>
      </c>
      <c r="C4617" s="6" t="s">
        <v>1416</v>
      </c>
      <c r="D4617" s="6" t="s">
        <v>2307</v>
      </c>
      <c r="G4617" s="6">
        <v>180</v>
      </c>
      <c r="H4617" s="6">
        <v>200</v>
      </c>
      <c r="I4617" s="9"/>
      <c r="J4617" s="9"/>
      <c r="K4617" s="9">
        <v>44009261</v>
      </c>
      <c r="L4617" s="6" t="str">
        <f t="shared" si="455"/>
        <v>1D  RODOS PRO  BAZA + BAŞLIK + YATAK  180x200</v>
      </c>
      <c r="M4617" s="12">
        <v>0.5</v>
      </c>
      <c r="N4617" s="12">
        <v>0.5</v>
      </c>
      <c r="O4617" s="12">
        <v>22300</v>
      </c>
      <c r="P4617" s="12">
        <f t="shared" si="452"/>
        <v>11150</v>
      </c>
      <c r="Q4617" s="12">
        <f t="shared" si="450"/>
        <v>23415</v>
      </c>
      <c r="R4617" s="33">
        <f t="shared" si="453"/>
        <v>23400</v>
      </c>
      <c r="T4617" s="12"/>
      <c r="U4617" s="12">
        <v>18600</v>
      </c>
      <c r="V4617" s="12"/>
      <c r="W4617" s="12">
        <f t="shared" si="456"/>
        <v>27875</v>
      </c>
    </row>
    <row r="4618" spans="1:23" s="6" customFormat="1" ht="21.95" customHeight="1" x14ac:dyDescent="0.2">
      <c r="A4618" s="6" t="s">
        <v>943</v>
      </c>
      <c r="B4618" s="6" t="s">
        <v>1597</v>
      </c>
      <c r="C4618" s="6" t="s">
        <v>1416</v>
      </c>
      <c r="D4618" s="6" t="s">
        <v>943</v>
      </c>
      <c r="G4618" s="6">
        <v>90</v>
      </c>
      <c r="H4618" s="6">
        <v>190</v>
      </c>
      <c r="I4618" s="9"/>
      <c r="J4618" s="9"/>
      <c r="K4618" s="9">
        <v>44009262</v>
      </c>
      <c r="L4618" s="6" t="str">
        <f t="shared" si="455"/>
        <v>1D  RODOS PRO  YATAK  90x190</v>
      </c>
      <c r="M4618" s="12">
        <v>0.5</v>
      </c>
      <c r="N4618" s="12">
        <v>0.5</v>
      </c>
      <c r="O4618" s="12">
        <v>10600</v>
      </c>
      <c r="P4618" s="12">
        <f t="shared" si="452"/>
        <v>5300</v>
      </c>
      <c r="Q4618" s="12">
        <f t="shared" si="450"/>
        <v>11130</v>
      </c>
      <c r="R4618" s="33">
        <f t="shared" si="453"/>
        <v>11100</v>
      </c>
      <c r="T4618" s="12"/>
      <c r="U4618" s="12">
        <v>20000</v>
      </c>
      <c r="V4618" s="12"/>
      <c r="W4618" s="12">
        <f t="shared" si="456"/>
        <v>13250</v>
      </c>
    </row>
    <row r="4619" spans="1:23" s="6" customFormat="1" ht="21.95" customHeight="1" x14ac:dyDescent="0.2">
      <c r="A4619" s="6" t="s">
        <v>943</v>
      </c>
      <c r="B4619" s="6" t="s">
        <v>1597</v>
      </c>
      <c r="C4619" s="6" t="s">
        <v>1416</v>
      </c>
      <c r="D4619" s="6" t="s">
        <v>943</v>
      </c>
      <c r="G4619" s="6">
        <v>90</v>
      </c>
      <c r="H4619" s="6">
        <v>200</v>
      </c>
      <c r="I4619" s="9"/>
      <c r="J4619" s="9"/>
      <c r="K4619" s="9">
        <v>44009263</v>
      </c>
      <c r="L4619" s="6" t="str">
        <f t="shared" si="455"/>
        <v>1D  RODOS PRO  YATAK  90x200</v>
      </c>
      <c r="M4619" s="12">
        <v>0.5</v>
      </c>
      <c r="N4619" s="12">
        <v>0.5</v>
      </c>
      <c r="O4619" s="12">
        <v>11100</v>
      </c>
      <c r="P4619" s="12">
        <f t="shared" si="452"/>
        <v>5550</v>
      </c>
      <c r="Q4619" s="12">
        <f t="shared" si="450"/>
        <v>11655</v>
      </c>
      <c r="R4619" s="33">
        <f t="shared" si="453"/>
        <v>11600</v>
      </c>
      <c r="T4619" s="12"/>
      <c r="U4619" s="12">
        <v>21300</v>
      </c>
      <c r="V4619" s="12"/>
      <c r="W4619" s="12">
        <f t="shared" si="456"/>
        <v>13875</v>
      </c>
    </row>
    <row r="4620" spans="1:23" s="6" customFormat="1" ht="21.95" customHeight="1" x14ac:dyDescent="0.2">
      <c r="A4620" s="6" t="s">
        <v>943</v>
      </c>
      <c r="B4620" s="6" t="s">
        <v>1597</v>
      </c>
      <c r="C4620" s="6" t="s">
        <v>1416</v>
      </c>
      <c r="D4620" s="6" t="s">
        <v>943</v>
      </c>
      <c r="G4620" s="6">
        <v>100</v>
      </c>
      <c r="H4620" s="6">
        <v>200</v>
      </c>
      <c r="I4620" s="9"/>
      <c r="J4620" s="9"/>
      <c r="K4620" s="9">
        <v>44009264</v>
      </c>
      <c r="L4620" s="6" t="str">
        <f t="shared" si="455"/>
        <v>1D  RODOS PRO  YATAK  100x200</v>
      </c>
      <c r="M4620" s="12">
        <v>0.5</v>
      </c>
      <c r="N4620" s="12">
        <v>0.5</v>
      </c>
      <c r="O4620" s="12">
        <v>12400</v>
      </c>
      <c r="P4620" s="12">
        <f t="shared" si="452"/>
        <v>6200</v>
      </c>
      <c r="Q4620" s="12">
        <f t="shared" si="450"/>
        <v>13020</v>
      </c>
      <c r="R4620" s="33">
        <f t="shared" si="453"/>
        <v>13000</v>
      </c>
      <c r="T4620" s="12"/>
      <c r="U4620" s="12">
        <v>24000</v>
      </c>
      <c r="V4620" s="12"/>
      <c r="W4620" s="12">
        <f t="shared" si="456"/>
        <v>15500</v>
      </c>
    </row>
    <row r="4621" spans="1:23" s="6" customFormat="1" ht="21.95" customHeight="1" x14ac:dyDescent="0.2">
      <c r="A4621" s="6" t="s">
        <v>943</v>
      </c>
      <c r="B4621" s="6" t="s">
        <v>1597</v>
      </c>
      <c r="C4621" s="6" t="s">
        <v>1416</v>
      </c>
      <c r="D4621" s="6" t="s">
        <v>943</v>
      </c>
      <c r="G4621" s="6">
        <v>120</v>
      </c>
      <c r="H4621" s="6">
        <v>200</v>
      </c>
      <c r="I4621" s="9"/>
      <c r="J4621" s="9"/>
      <c r="K4621" s="9">
        <v>44009265</v>
      </c>
      <c r="L4621" s="6" t="str">
        <f t="shared" si="455"/>
        <v>1D  RODOS PRO  YATAK  120x200</v>
      </c>
      <c r="M4621" s="12">
        <v>0.5</v>
      </c>
      <c r="N4621" s="12">
        <v>0.5</v>
      </c>
      <c r="O4621" s="12">
        <v>14900</v>
      </c>
      <c r="P4621" s="12">
        <f t="shared" si="452"/>
        <v>7450</v>
      </c>
      <c r="Q4621" s="12">
        <f t="shared" si="450"/>
        <v>15645</v>
      </c>
      <c r="R4621" s="33">
        <f t="shared" si="453"/>
        <v>15600</v>
      </c>
      <c r="T4621" s="12"/>
      <c r="U4621" s="12">
        <v>19300</v>
      </c>
      <c r="V4621" s="12"/>
      <c r="W4621" s="12">
        <f t="shared" si="456"/>
        <v>18625</v>
      </c>
    </row>
    <row r="4622" spans="1:23" s="6" customFormat="1" ht="21.95" customHeight="1" x14ac:dyDescent="0.2">
      <c r="A4622" s="6" t="s">
        <v>943</v>
      </c>
      <c r="B4622" s="6" t="s">
        <v>1597</v>
      </c>
      <c r="C4622" s="6" t="s">
        <v>1416</v>
      </c>
      <c r="D4622" s="6" t="s">
        <v>943</v>
      </c>
      <c r="G4622" s="6">
        <v>140</v>
      </c>
      <c r="H4622" s="6">
        <v>200</v>
      </c>
      <c r="I4622" s="9"/>
      <c r="J4622" s="9"/>
      <c r="K4622" s="9">
        <v>44009266</v>
      </c>
      <c r="L4622" s="6" t="str">
        <f t="shared" si="455"/>
        <v>1D  RODOS PRO  YATAK  140x200</v>
      </c>
      <c r="M4622" s="12">
        <v>0.5</v>
      </c>
      <c r="N4622" s="12">
        <v>0.5</v>
      </c>
      <c r="O4622" s="12">
        <v>17300</v>
      </c>
      <c r="P4622" s="12">
        <f t="shared" si="452"/>
        <v>8650</v>
      </c>
      <c r="Q4622" s="12">
        <f t="shared" si="450"/>
        <v>18165</v>
      </c>
      <c r="R4622" s="33">
        <f t="shared" si="453"/>
        <v>18100</v>
      </c>
      <c r="T4622" s="12"/>
      <c r="U4622" s="12">
        <v>46400</v>
      </c>
      <c r="V4622" s="12"/>
      <c r="W4622" s="12">
        <f t="shared" si="456"/>
        <v>21625</v>
      </c>
    </row>
    <row r="4623" spans="1:23" s="6" customFormat="1" ht="21.95" customHeight="1" x14ac:dyDescent="0.2">
      <c r="A4623" s="6" t="s">
        <v>943</v>
      </c>
      <c r="B4623" s="6" t="s">
        <v>1597</v>
      </c>
      <c r="C4623" s="6" t="s">
        <v>1416</v>
      </c>
      <c r="D4623" s="6" t="s">
        <v>943</v>
      </c>
      <c r="G4623" s="6">
        <v>150</v>
      </c>
      <c r="H4623" s="6">
        <v>200</v>
      </c>
      <c r="I4623" s="9"/>
      <c r="J4623" s="9"/>
      <c r="K4623" s="9">
        <v>44009267</v>
      </c>
      <c r="L4623" s="6" t="str">
        <f t="shared" si="455"/>
        <v>1D  RODOS PRO  YATAK  150x200</v>
      </c>
      <c r="M4623" s="12">
        <v>0.5</v>
      </c>
      <c r="N4623" s="12">
        <v>0.5</v>
      </c>
      <c r="O4623" s="12">
        <v>18600</v>
      </c>
      <c r="P4623" s="12">
        <f t="shared" si="452"/>
        <v>9300</v>
      </c>
      <c r="Q4623" s="12">
        <f t="shared" si="450"/>
        <v>19530</v>
      </c>
      <c r="R4623" s="33">
        <f t="shared" si="453"/>
        <v>19500</v>
      </c>
      <c r="T4623" s="12"/>
      <c r="U4623" s="12">
        <v>52200</v>
      </c>
      <c r="V4623" s="12"/>
      <c r="W4623" s="12">
        <f t="shared" si="456"/>
        <v>23250</v>
      </c>
    </row>
    <row r="4624" spans="1:23" s="6" customFormat="1" ht="21.95" customHeight="1" x14ac:dyDescent="0.2">
      <c r="A4624" s="6" t="s">
        <v>943</v>
      </c>
      <c r="B4624" s="6" t="s">
        <v>1597</v>
      </c>
      <c r="C4624" s="6" t="s">
        <v>1416</v>
      </c>
      <c r="D4624" s="6" t="s">
        <v>943</v>
      </c>
      <c r="G4624" s="6">
        <v>160</v>
      </c>
      <c r="H4624" s="6">
        <v>200</v>
      </c>
      <c r="I4624" s="9"/>
      <c r="J4624" s="9"/>
      <c r="K4624" s="9">
        <v>44009268</v>
      </c>
      <c r="L4624" s="6" t="str">
        <f t="shared" si="455"/>
        <v>1D  RODOS PRO  YATAK  160x200</v>
      </c>
      <c r="M4624" s="12">
        <v>0.5</v>
      </c>
      <c r="N4624" s="12">
        <v>0.5</v>
      </c>
      <c r="O4624" s="12">
        <v>19800</v>
      </c>
      <c r="P4624" s="12">
        <f t="shared" si="452"/>
        <v>9900</v>
      </c>
      <c r="Q4624" s="12">
        <f t="shared" si="450"/>
        <v>20790</v>
      </c>
      <c r="R4624" s="33">
        <f t="shared" si="453"/>
        <v>20700</v>
      </c>
      <c r="T4624" s="12"/>
      <c r="U4624" s="12">
        <v>24200</v>
      </c>
      <c r="V4624" s="12"/>
      <c r="W4624" s="12">
        <f t="shared" si="456"/>
        <v>24750</v>
      </c>
    </row>
    <row r="4625" spans="1:23" s="6" customFormat="1" ht="21.95" customHeight="1" x14ac:dyDescent="0.2">
      <c r="A4625" s="6" t="s">
        <v>943</v>
      </c>
      <c r="B4625" s="6" t="s">
        <v>1597</v>
      </c>
      <c r="C4625" s="6" t="s">
        <v>1416</v>
      </c>
      <c r="D4625" s="6" t="s">
        <v>943</v>
      </c>
      <c r="G4625" s="6">
        <v>180</v>
      </c>
      <c r="H4625" s="6">
        <v>200</v>
      </c>
      <c r="I4625" s="9"/>
      <c r="J4625" s="9"/>
      <c r="K4625" s="9">
        <v>44009269</v>
      </c>
      <c r="L4625" s="6" t="str">
        <f t="shared" si="455"/>
        <v>1D  RODOS PRO  YATAK  180x200</v>
      </c>
      <c r="M4625" s="12">
        <v>0.5</v>
      </c>
      <c r="N4625" s="12">
        <v>0.5</v>
      </c>
      <c r="O4625" s="12">
        <v>22300</v>
      </c>
      <c r="P4625" s="12">
        <f t="shared" si="452"/>
        <v>11150</v>
      </c>
      <c r="Q4625" s="12">
        <f t="shared" si="450"/>
        <v>23415</v>
      </c>
      <c r="R4625" s="33">
        <f t="shared" si="453"/>
        <v>23400</v>
      </c>
      <c r="T4625" s="12"/>
      <c r="U4625" s="12">
        <v>27200</v>
      </c>
      <c r="V4625" s="12"/>
      <c r="W4625" s="12">
        <f t="shared" si="456"/>
        <v>27875</v>
      </c>
    </row>
    <row r="4626" spans="1:23" s="6" customFormat="1" ht="21.95" customHeight="1" x14ac:dyDescent="0.2">
      <c r="A4626" s="6" t="s">
        <v>943</v>
      </c>
      <c r="B4626" s="6" t="s">
        <v>1597</v>
      </c>
      <c r="C4626" s="6" t="s">
        <v>1416</v>
      </c>
      <c r="D4626" s="6" t="s">
        <v>1380</v>
      </c>
      <c r="I4626" s="9"/>
      <c r="J4626" s="9"/>
      <c r="K4626" s="9">
        <v>44009270</v>
      </c>
      <c r="L4626" s="6" t="str">
        <f>B4626&amp;" "&amp;C4626&amp;" "&amp;D4626</f>
        <v>1D  RODOS PRO  KOMODİN (2 ADET)</v>
      </c>
      <c r="M4626" s="12">
        <v>0.5</v>
      </c>
      <c r="N4626" s="12">
        <v>0.5</v>
      </c>
      <c r="O4626" s="12">
        <v>14520</v>
      </c>
      <c r="P4626" s="12">
        <f t="shared" si="452"/>
        <v>7260</v>
      </c>
      <c r="Q4626" s="12">
        <f t="shared" si="450"/>
        <v>15246</v>
      </c>
      <c r="R4626" s="33">
        <f t="shared" si="453"/>
        <v>15200</v>
      </c>
      <c r="T4626" s="12"/>
      <c r="U4626" s="12">
        <v>19300</v>
      </c>
      <c r="V4626" s="12"/>
      <c r="W4626" s="12">
        <f t="shared" si="456"/>
        <v>18150</v>
      </c>
    </row>
    <row r="4627" spans="1:23" s="6" customFormat="1" ht="21.95" customHeight="1" x14ac:dyDescent="0.2">
      <c r="A4627" s="6" t="s">
        <v>943</v>
      </c>
      <c r="B4627" s="6" t="s">
        <v>1597</v>
      </c>
      <c r="C4627" s="6" t="s">
        <v>1417</v>
      </c>
      <c r="D4627" s="6" t="s">
        <v>989</v>
      </c>
      <c r="G4627" s="6">
        <v>90</v>
      </c>
      <c r="H4627" s="6">
        <v>190</v>
      </c>
      <c r="I4627" s="9"/>
      <c r="J4627" s="9"/>
      <c r="K4627" s="9">
        <v>44009271</v>
      </c>
      <c r="L4627" s="6" t="str">
        <f t="shared" ref="L4627:L4650" si="457">B4627&amp;" "&amp;C4627&amp;" "&amp;D4627&amp;" "&amp;G4627&amp;"x"&amp;H4627</f>
        <v>1D  SIESTA BAZA  90x190</v>
      </c>
      <c r="M4627" s="12">
        <v>0.5</v>
      </c>
      <c r="N4627" s="12">
        <v>0.5</v>
      </c>
      <c r="O4627" s="12">
        <v>9500</v>
      </c>
      <c r="P4627" s="12">
        <f t="shared" si="452"/>
        <v>4750</v>
      </c>
      <c r="Q4627" s="12">
        <f t="shared" ref="Q4627:Q4690" si="458">O4627*(1-N4627)*2.1</f>
        <v>9975</v>
      </c>
      <c r="R4627" s="33">
        <f t="shared" si="453"/>
        <v>9900</v>
      </c>
      <c r="T4627" s="12"/>
      <c r="U4627" s="12">
        <v>11400</v>
      </c>
      <c r="V4627" s="12"/>
      <c r="W4627" s="12">
        <f t="shared" si="456"/>
        <v>11875</v>
      </c>
    </row>
    <row r="4628" spans="1:23" s="6" customFormat="1" ht="21.95" customHeight="1" x14ac:dyDescent="0.2">
      <c r="A4628" s="6" t="s">
        <v>943</v>
      </c>
      <c r="B4628" s="6" t="s">
        <v>1597</v>
      </c>
      <c r="C4628" s="6" t="s">
        <v>1417</v>
      </c>
      <c r="D4628" s="6" t="s">
        <v>989</v>
      </c>
      <c r="G4628" s="6">
        <v>90</v>
      </c>
      <c r="H4628" s="6">
        <v>200</v>
      </c>
      <c r="I4628" s="9"/>
      <c r="J4628" s="9"/>
      <c r="K4628" s="9">
        <v>44009272</v>
      </c>
      <c r="L4628" s="6" t="str">
        <f t="shared" si="457"/>
        <v>1D  SIESTA BAZA  90x200</v>
      </c>
      <c r="M4628" s="12">
        <v>0.5</v>
      </c>
      <c r="N4628" s="12">
        <v>0.5</v>
      </c>
      <c r="O4628" s="12">
        <v>10000</v>
      </c>
      <c r="P4628" s="12">
        <f t="shared" si="452"/>
        <v>5000</v>
      </c>
      <c r="Q4628" s="12">
        <f t="shared" si="458"/>
        <v>10500</v>
      </c>
      <c r="R4628" s="33">
        <f t="shared" si="453"/>
        <v>10500</v>
      </c>
      <c r="T4628" s="12"/>
      <c r="U4628" s="12">
        <v>12000</v>
      </c>
      <c r="V4628" s="12"/>
      <c r="W4628" s="12">
        <f t="shared" si="456"/>
        <v>12500</v>
      </c>
    </row>
    <row r="4629" spans="1:23" s="6" customFormat="1" ht="21.95" customHeight="1" x14ac:dyDescent="0.2">
      <c r="A4629" s="6" t="s">
        <v>943</v>
      </c>
      <c r="B4629" s="6" t="s">
        <v>1597</v>
      </c>
      <c r="C4629" s="6" t="s">
        <v>1417</v>
      </c>
      <c r="D4629" s="6" t="s">
        <v>989</v>
      </c>
      <c r="G4629" s="6">
        <v>100</v>
      </c>
      <c r="H4629" s="6">
        <v>200</v>
      </c>
      <c r="I4629" s="9"/>
      <c r="J4629" s="9"/>
      <c r="K4629" s="9">
        <v>44009273</v>
      </c>
      <c r="L4629" s="6" t="str">
        <f t="shared" si="457"/>
        <v>1D  SIESTA BAZA  100x200</v>
      </c>
      <c r="M4629" s="12">
        <v>0.5</v>
      </c>
      <c r="N4629" s="12">
        <v>0.5</v>
      </c>
      <c r="O4629" s="12">
        <v>11100</v>
      </c>
      <c r="P4629" s="12">
        <f t="shared" si="452"/>
        <v>5550</v>
      </c>
      <c r="Q4629" s="12">
        <f t="shared" si="458"/>
        <v>11655</v>
      </c>
      <c r="R4629" s="33">
        <f t="shared" si="453"/>
        <v>11600</v>
      </c>
      <c r="T4629" s="12"/>
      <c r="U4629" s="12">
        <v>12100</v>
      </c>
      <c r="V4629" s="12"/>
      <c r="W4629" s="12">
        <f t="shared" si="456"/>
        <v>13875</v>
      </c>
    </row>
    <row r="4630" spans="1:23" s="6" customFormat="1" ht="21.95" customHeight="1" x14ac:dyDescent="0.2">
      <c r="A4630" s="6" t="s">
        <v>943</v>
      </c>
      <c r="B4630" s="6" t="s">
        <v>1597</v>
      </c>
      <c r="C4630" s="6" t="s">
        <v>1417</v>
      </c>
      <c r="D4630" s="6" t="s">
        <v>989</v>
      </c>
      <c r="G4630" s="6">
        <v>120</v>
      </c>
      <c r="H4630" s="6">
        <v>200</v>
      </c>
      <c r="I4630" s="9"/>
      <c r="J4630" s="9"/>
      <c r="K4630" s="9">
        <v>44009274</v>
      </c>
      <c r="L4630" s="6" t="str">
        <f t="shared" si="457"/>
        <v>1D  SIESTA BAZA  120x200</v>
      </c>
      <c r="M4630" s="12">
        <v>0.5</v>
      </c>
      <c r="N4630" s="12">
        <v>0.5</v>
      </c>
      <c r="O4630" s="12">
        <v>13400</v>
      </c>
      <c r="P4630" s="12">
        <f t="shared" si="452"/>
        <v>6700</v>
      </c>
      <c r="Q4630" s="12">
        <f t="shared" si="458"/>
        <v>14070</v>
      </c>
      <c r="R4630" s="33">
        <f t="shared" si="453"/>
        <v>14000</v>
      </c>
      <c r="T4630" s="12"/>
      <c r="U4630" s="12">
        <v>14600</v>
      </c>
      <c r="V4630" s="12"/>
      <c r="W4630" s="12">
        <f t="shared" si="456"/>
        <v>16750</v>
      </c>
    </row>
    <row r="4631" spans="1:23" s="6" customFormat="1" ht="21.95" customHeight="1" x14ac:dyDescent="0.2">
      <c r="A4631" s="6" t="s">
        <v>943</v>
      </c>
      <c r="B4631" s="6" t="s">
        <v>1597</v>
      </c>
      <c r="C4631" s="6" t="s">
        <v>1417</v>
      </c>
      <c r="D4631" s="6" t="s">
        <v>989</v>
      </c>
      <c r="G4631" s="6">
        <v>140</v>
      </c>
      <c r="H4631" s="6">
        <v>200</v>
      </c>
      <c r="I4631" s="9"/>
      <c r="J4631" s="9"/>
      <c r="K4631" s="9">
        <v>44009275</v>
      </c>
      <c r="L4631" s="6" t="str">
        <f t="shared" si="457"/>
        <v>1D  SIESTA BAZA  140x200</v>
      </c>
      <c r="M4631" s="12">
        <v>0.5</v>
      </c>
      <c r="N4631" s="12">
        <v>0.5</v>
      </c>
      <c r="O4631" s="12">
        <v>15600</v>
      </c>
      <c r="P4631" s="12">
        <f t="shared" si="452"/>
        <v>7800</v>
      </c>
      <c r="Q4631" s="12">
        <f t="shared" si="458"/>
        <v>16380</v>
      </c>
      <c r="R4631" s="33">
        <f t="shared" si="453"/>
        <v>16300</v>
      </c>
      <c r="T4631" s="12"/>
      <c r="U4631" s="12">
        <v>17000</v>
      </c>
      <c r="V4631" s="12"/>
      <c r="W4631" s="12">
        <f t="shared" si="456"/>
        <v>19500</v>
      </c>
    </row>
    <row r="4632" spans="1:23" s="6" customFormat="1" ht="21.95" customHeight="1" x14ac:dyDescent="0.2">
      <c r="A4632" s="6" t="s">
        <v>943</v>
      </c>
      <c r="B4632" s="6" t="s">
        <v>1597</v>
      </c>
      <c r="C4632" s="6" t="s">
        <v>1417</v>
      </c>
      <c r="D4632" s="6" t="s">
        <v>989</v>
      </c>
      <c r="G4632" s="6">
        <v>150</v>
      </c>
      <c r="H4632" s="6">
        <v>200</v>
      </c>
      <c r="I4632" s="9"/>
      <c r="J4632" s="9"/>
      <c r="K4632" s="9">
        <v>44009276</v>
      </c>
      <c r="L4632" s="6" t="str">
        <f t="shared" si="457"/>
        <v>1D  SIESTA BAZA  150x200</v>
      </c>
      <c r="M4632" s="12">
        <v>0.5</v>
      </c>
      <c r="N4632" s="12">
        <v>0.5</v>
      </c>
      <c r="O4632" s="12">
        <v>16700</v>
      </c>
      <c r="P4632" s="12">
        <f t="shared" si="452"/>
        <v>8350</v>
      </c>
      <c r="Q4632" s="12">
        <f t="shared" si="458"/>
        <v>17535</v>
      </c>
      <c r="R4632" s="33">
        <f t="shared" si="453"/>
        <v>17500</v>
      </c>
      <c r="T4632" s="12"/>
      <c r="U4632" s="12">
        <v>18200</v>
      </c>
      <c r="V4632" s="12"/>
      <c r="W4632" s="12">
        <f t="shared" si="456"/>
        <v>20875</v>
      </c>
    </row>
    <row r="4633" spans="1:23" s="6" customFormat="1" ht="21.95" customHeight="1" x14ac:dyDescent="0.2">
      <c r="A4633" s="6" t="s">
        <v>943</v>
      </c>
      <c r="B4633" s="6" t="s">
        <v>1597</v>
      </c>
      <c r="C4633" s="6" t="s">
        <v>1417</v>
      </c>
      <c r="D4633" s="6" t="s">
        <v>989</v>
      </c>
      <c r="G4633" s="6">
        <v>160</v>
      </c>
      <c r="H4633" s="6">
        <v>200</v>
      </c>
      <c r="I4633" s="9"/>
      <c r="J4633" s="9"/>
      <c r="K4633" s="9">
        <v>44009277</v>
      </c>
      <c r="L4633" s="6" t="str">
        <f t="shared" si="457"/>
        <v>1D  SIESTA BAZA  160x200</v>
      </c>
      <c r="M4633" s="12">
        <v>0.5</v>
      </c>
      <c r="N4633" s="12">
        <v>0.5</v>
      </c>
      <c r="O4633" s="12">
        <v>17800</v>
      </c>
      <c r="P4633" s="12">
        <f t="shared" si="452"/>
        <v>8900</v>
      </c>
      <c r="Q4633" s="12">
        <f t="shared" si="458"/>
        <v>18690</v>
      </c>
      <c r="R4633" s="33">
        <f t="shared" si="453"/>
        <v>18600</v>
      </c>
      <c r="T4633" s="12"/>
      <c r="U4633" s="12">
        <v>19400</v>
      </c>
      <c r="V4633" s="12"/>
      <c r="W4633" s="12">
        <f t="shared" si="456"/>
        <v>22250</v>
      </c>
    </row>
    <row r="4634" spans="1:23" s="6" customFormat="1" ht="21.95" customHeight="1" x14ac:dyDescent="0.2">
      <c r="A4634" s="6" t="s">
        <v>943</v>
      </c>
      <c r="B4634" s="6" t="s">
        <v>1597</v>
      </c>
      <c r="C4634" s="6" t="s">
        <v>1417</v>
      </c>
      <c r="D4634" s="6" t="s">
        <v>989</v>
      </c>
      <c r="G4634" s="6">
        <v>180</v>
      </c>
      <c r="H4634" s="6">
        <v>200</v>
      </c>
      <c r="I4634" s="9"/>
      <c r="J4634" s="9"/>
      <c r="K4634" s="9">
        <v>44009278</v>
      </c>
      <c r="L4634" s="6" t="str">
        <f t="shared" si="457"/>
        <v>1D  SIESTA BAZA  180x200</v>
      </c>
      <c r="M4634" s="12">
        <v>0.5</v>
      </c>
      <c r="N4634" s="12">
        <v>0.5</v>
      </c>
      <c r="O4634" s="12">
        <v>20000</v>
      </c>
      <c r="P4634" s="12">
        <f t="shared" si="452"/>
        <v>10000</v>
      </c>
      <c r="Q4634" s="12">
        <f t="shared" si="458"/>
        <v>21000</v>
      </c>
      <c r="R4634" s="33">
        <f t="shared" si="453"/>
        <v>21000</v>
      </c>
      <c r="T4634" s="12"/>
      <c r="U4634" s="12">
        <v>21800</v>
      </c>
      <c r="V4634" s="12"/>
      <c r="W4634" s="12">
        <f t="shared" si="456"/>
        <v>25000</v>
      </c>
    </row>
    <row r="4635" spans="1:23" s="6" customFormat="1" ht="21.95" customHeight="1" x14ac:dyDescent="0.2">
      <c r="A4635" s="6" t="s">
        <v>943</v>
      </c>
      <c r="B4635" s="6" t="s">
        <v>1597</v>
      </c>
      <c r="C4635" s="6" t="s">
        <v>1417</v>
      </c>
      <c r="D4635" s="6" t="s">
        <v>1003</v>
      </c>
      <c r="G4635" s="6">
        <v>90</v>
      </c>
      <c r="H4635" s="6">
        <v>190</v>
      </c>
      <c r="I4635" s="9"/>
      <c r="J4635" s="9"/>
      <c r="K4635" s="9">
        <v>44009279</v>
      </c>
      <c r="L4635" s="6" t="str">
        <f t="shared" si="457"/>
        <v>1D  SIESTA BAŞLIK  90x190</v>
      </c>
      <c r="M4635" s="12">
        <v>0.5</v>
      </c>
      <c r="N4635" s="12">
        <v>0.5</v>
      </c>
      <c r="O4635" s="12">
        <v>2400</v>
      </c>
      <c r="P4635" s="12">
        <f t="shared" si="452"/>
        <v>1200</v>
      </c>
      <c r="Q4635" s="12">
        <f t="shared" si="458"/>
        <v>2520</v>
      </c>
      <c r="R4635" s="33">
        <f t="shared" si="453"/>
        <v>2500</v>
      </c>
      <c r="T4635" s="12"/>
      <c r="U4635" s="12">
        <v>3300</v>
      </c>
      <c r="V4635" s="12"/>
      <c r="W4635" s="12">
        <f t="shared" si="456"/>
        <v>3000</v>
      </c>
    </row>
    <row r="4636" spans="1:23" s="6" customFormat="1" ht="21.95" customHeight="1" x14ac:dyDescent="0.2">
      <c r="A4636" s="6" t="s">
        <v>943</v>
      </c>
      <c r="B4636" s="6" t="s">
        <v>1597</v>
      </c>
      <c r="C4636" s="6" t="s">
        <v>1417</v>
      </c>
      <c r="D4636" s="6" t="s">
        <v>1003</v>
      </c>
      <c r="G4636" s="6">
        <v>90</v>
      </c>
      <c r="H4636" s="6">
        <v>200</v>
      </c>
      <c r="I4636" s="9"/>
      <c r="J4636" s="9"/>
      <c r="K4636" s="9">
        <v>44009280</v>
      </c>
      <c r="L4636" s="6" t="str">
        <f t="shared" si="457"/>
        <v>1D  SIESTA BAŞLIK  90x200</v>
      </c>
      <c r="M4636" s="12">
        <v>0.5</v>
      </c>
      <c r="N4636" s="12">
        <v>0.5</v>
      </c>
      <c r="O4636" s="12">
        <v>2500</v>
      </c>
      <c r="P4636" s="12">
        <f t="shared" si="452"/>
        <v>1250</v>
      </c>
      <c r="Q4636" s="12">
        <f t="shared" si="458"/>
        <v>2625</v>
      </c>
      <c r="R4636" s="33">
        <f t="shared" si="453"/>
        <v>2600</v>
      </c>
      <c r="T4636" s="12"/>
      <c r="U4636" s="12">
        <v>3300</v>
      </c>
      <c r="V4636" s="12"/>
      <c r="W4636" s="12">
        <f t="shared" si="456"/>
        <v>3125</v>
      </c>
    </row>
    <row r="4637" spans="1:23" s="6" customFormat="1" ht="21.95" customHeight="1" x14ac:dyDescent="0.2">
      <c r="A4637" s="6" t="s">
        <v>943</v>
      </c>
      <c r="B4637" s="6" t="s">
        <v>1597</v>
      </c>
      <c r="C4637" s="6" t="s">
        <v>1417</v>
      </c>
      <c r="D4637" s="6" t="s">
        <v>1003</v>
      </c>
      <c r="G4637" s="6">
        <v>100</v>
      </c>
      <c r="H4637" s="6">
        <v>200</v>
      </c>
      <c r="I4637" s="9"/>
      <c r="J4637" s="9"/>
      <c r="K4637" s="9">
        <v>44009281</v>
      </c>
      <c r="L4637" s="6" t="str">
        <f t="shared" si="457"/>
        <v>1D  SIESTA BAŞLIK  100x200</v>
      </c>
      <c r="M4637" s="12">
        <v>0.5</v>
      </c>
      <c r="N4637" s="12">
        <v>0.5</v>
      </c>
      <c r="O4637" s="12">
        <v>2800</v>
      </c>
      <c r="P4637" s="12">
        <f t="shared" si="452"/>
        <v>1400</v>
      </c>
      <c r="Q4637" s="12">
        <f t="shared" si="458"/>
        <v>2940</v>
      </c>
      <c r="R4637" s="33">
        <f t="shared" si="453"/>
        <v>2900</v>
      </c>
      <c r="T4637" s="12"/>
      <c r="U4637" s="12">
        <v>3400</v>
      </c>
      <c r="V4637" s="12"/>
      <c r="W4637" s="12">
        <f t="shared" si="456"/>
        <v>3500</v>
      </c>
    </row>
    <row r="4638" spans="1:23" s="6" customFormat="1" ht="21.95" customHeight="1" x14ac:dyDescent="0.2">
      <c r="A4638" s="6" t="s">
        <v>943</v>
      </c>
      <c r="B4638" s="6" t="s">
        <v>1597</v>
      </c>
      <c r="C4638" s="6" t="s">
        <v>1417</v>
      </c>
      <c r="D4638" s="6" t="s">
        <v>1003</v>
      </c>
      <c r="G4638" s="6">
        <v>120</v>
      </c>
      <c r="H4638" s="6">
        <v>200</v>
      </c>
      <c r="I4638" s="9"/>
      <c r="J4638" s="9"/>
      <c r="K4638" s="9">
        <v>44009282</v>
      </c>
      <c r="L4638" s="6" t="str">
        <f t="shared" si="457"/>
        <v>1D  SIESTA BAŞLIK  120x200</v>
      </c>
      <c r="M4638" s="12">
        <v>0.5</v>
      </c>
      <c r="N4638" s="12">
        <v>0.5</v>
      </c>
      <c r="O4638" s="12">
        <v>3300</v>
      </c>
      <c r="P4638" s="12">
        <f t="shared" si="452"/>
        <v>1650</v>
      </c>
      <c r="Q4638" s="12">
        <f t="shared" si="458"/>
        <v>3465</v>
      </c>
      <c r="R4638" s="33">
        <f t="shared" si="453"/>
        <v>3400</v>
      </c>
      <c r="T4638" s="12"/>
      <c r="U4638" s="12">
        <v>4100</v>
      </c>
      <c r="V4638" s="12"/>
      <c r="W4638" s="12">
        <f t="shared" si="456"/>
        <v>4125</v>
      </c>
    </row>
    <row r="4639" spans="1:23" s="6" customFormat="1" ht="21.95" customHeight="1" x14ac:dyDescent="0.2">
      <c r="A4639" s="6" t="s">
        <v>943</v>
      </c>
      <c r="B4639" s="6" t="s">
        <v>1597</v>
      </c>
      <c r="C4639" s="6" t="s">
        <v>1417</v>
      </c>
      <c r="D4639" s="6" t="s">
        <v>1003</v>
      </c>
      <c r="G4639" s="6">
        <v>140</v>
      </c>
      <c r="H4639" s="6">
        <v>200</v>
      </c>
      <c r="I4639" s="9"/>
      <c r="J4639" s="9"/>
      <c r="K4639" s="9">
        <v>44009283</v>
      </c>
      <c r="L4639" s="6" t="str">
        <f t="shared" si="457"/>
        <v>1D  SIESTA BAŞLIK  140x200</v>
      </c>
      <c r="M4639" s="12">
        <v>0.5</v>
      </c>
      <c r="N4639" s="12">
        <v>0.5</v>
      </c>
      <c r="O4639" s="12">
        <v>3900</v>
      </c>
      <c r="P4639" s="12">
        <f t="shared" si="452"/>
        <v>1950</v>
      </c>
      <c r="Q4639" s="12">
        <f t="shared" si="458"/>
        <v>4095</v>
      </c>
      <c r="R4639" s="33">
        <f t="shared" si="453"/>
        <v>4000</v>
      </c>
      <c r="T4639" s="12"/>
      <c r="U4639" s="12">
        <v>4700</v>
      </c>
      <c r="V4639" s="12"/>
      <c r="W4639" s="12">
        <f t="shared" si="456"/>
        <v>4875</v>
      </c>
    </row>
    <row r="4640" spans="1:23" s="6" customFormat="1" ht="21.95" customHeight="1" x14ac:dyDescent="0.2">
      <c r="A4640" s="6" t="s">
        <v>943</v>
      </c>
      <c r="B4640" s="6" t="s">
        <v>1597</v>
      </c>
      <c r="C4640" s="6" t="s">
        <v>1417</v>
      </c>
      <c r="D4640" s="6" t="s">
        <v>1003</v>
      </c>
      <c r="G4640" s="6">
        <v>150</v>
      </c>
      <c r="H4640" s="6">
        <v>200</v>
      </c>
      <c r="I4640" s="9"/>
      <c r="J4640" s="9"/>
      <c r="K4640" s="9">
        <v>44009284</v>
      </c>
      <c r="L4640" s="6" t="str">
        <f t="shared" si="457"/>
        <v>1D  SIESTA BAŞLIK  150x200</v>
      </c>
      <c r="M4640" s="12">
        <v>0.5</v>
      </c>
      <c r="N4640" s="12">
        <v>0.5</v>
      </c>
      <c r="O4640" s="12">
        <v>4100</v>
      </c>
      <c r="P4640" s="12">
        <f t="shared" si="452"/>
        <v>2050</v>
      </c>
      <c r="Q4640" s="12">
        <f t="shared" si="458"/>
        <v>4305</v>
      </c>
      <c r="R4640" s="33">
        <f t="shared" si="453"/>
        <v>4300</v>
      </c>
      <c r="T4640" s="12"/>
      <c r="U4640" s="12">
        <v>5100</v>
      </c>
      <c r="V4640" s="12"/>
      <c r="W4640" s="12">
        <f t="shared" si="456"/>
        <v>5125</v>
      </c>
    </row>
    <row r="4641" spans="1:23" s="6" customFormat="1" ht="21.95" customHeight="1" x14ac:dyDescent="0.2">
      <c r="A4641" s="6" t="s">
        <v>943</v>
      </c>
      <c r="B4641" s="6" t="s">
        <v>1597</v>
      </c>
      <c r="C4641" s="6" t="s">
        <v>1417</v>
      </c>
      <c r="D4641" s="6" t="s">
        <v>1003</v>
      </c>
      <c r="G4641" s="6">
        <v>160</v>
      </c>
      <c r="H4641" s="6">
        <v>200</v>
      </c>
      <c r="I4641" s="9"/>
      <c r="J4641" s="9"/>
      <c r="K4641" s="9">
        <v>44009285</v>
      </c>
      <c r="L4641" s="6" t="str">
        <f t="shared" si="457"/>
        <v>1D  SIESTA BAŞLIK  160x200</v>
      </c>
      <c r="M4641" s="12">
        <v>0.5</v>
      </c>
      <c r="N4641" s="12">
        <v>0.5</v>
      </c>
      <c r="O4641" s="12">
        <v>4400</v>
      </c>
      <c r="P4641" s="12">
        <f t="shared" si="452"/>
        <v>2200</v>
      </c>
      <c r="Q4641" s="12">
        <f t="shared" si="458"/>
        <v>4620</v>
      </c>
      <c r="R4641" s="33">
        <f t="shared" si="453"/>
        <v>4600</v>
      </c>
      <c r="T4641" s="12"/>
      <c r="U4641" s="12">
        <v>5400</v>
      </c>
      <c r="V4641" s="12"/>
      <c r="W4641" s="12">
        <f t="shared" si="456"/>
        <v>5500</v>
      </c>
    </row>
    <row r="4642" spans="1:23" s="6" customFormat="1" ht="21.95" customHeight="1" x14ac:dyDescent="0.2">
      <c r="A4642" s="6" t="s">
        <v>943</v>
      </c>
      <c r="B4642" s="6" t="s">
        <v>1597</v>
      </c>
      <c r="C4642" s="6" t="s">
        <v>1417</v>
      </c>
      <c r="D4642" s="6" t="s">
        <v>1003</v>
      </c>
      <c r="G4642" s="6">
        <v>180</v>
      </c>
      <c r="H4642" s="6">
        <v>200</v>
      </c>
      <c r="I4642" s="9"/>
      <c r="J4642" s="9"/>
      <c r="K4642" s="9">
        <v>44009286</v>
      </c>
      <c r="L4642" s="6" t="str">
        <f t="shared" si="457"/>
        <v>1D  SIESTA BAŞLIK  180x200</v>
      </c>
      <c r="M4642" s="12">
        <v>0.5</v>
      </c>
      <c r="N4642" s="12">
        <v>0.5</v>
      </c>
      <c r="O4642" s="12">
        <v>5000</v>
      </c>
      <c r="P4642" s="12">
        <f t="shared" si="452"/>
        <v>2500</v>
      </c>
      <c r="Q4642" s="12">
        <f t="shared" si="458"/>
        <v>5250</v>
      </c>
      <c r="R4642" s="33">
        <f t="shared" si="453"/>
        <v>5200</v>
      </c>
      <c r="T4642" s="12"/>
      <c r="U4642" s="12">
        <v>6100</v>
      </c>
      <c r="V4642" s="12"/>
      <c r="W4642" s="12">
        <f t="shared" si="456"/>
        <v>6250</v>
      </c>
    </row>
    <row r="4643" spans="1:23" s="6" customFormat="1" ht="21.95" customHeight="1" x14ac:dyDescent="0.2">
      <c r="A4643" s="6" t="s">
        <v>943</v>
      </c>
      <c r="B4643" s="6" t="s">
        <v>1597</v>
      </c>
      <c r="C4643" s="6" t="s">
        <v>1417</v>
      </c>
      <c r="D4643" s="6" t="s">
        <v>943</v>
      </c>
      <c r="G4643" s="6">
        <v>90</v>
      </c>
      <c r="H4643" s="6">
        <v>190</v>
      </c>
      <c r="I4643" s="9"/>
      <c r="J4643" s="9"/>
      <c r="K4643" s="9">
        <v>44009287</v>
      </c>
      <c r="L4643" s="6" t="str">
        <f t="shared" si="457"/>
        <v>1D  SIESTA YATAK  90x190</v>
      </c>
      <c r="M4643" s="12">
        <v>0.5</v>
      </c>
      <c r="N4643" s="12">
        <v>0.5</v>
      </c>
      <c r="O4643" s="12">
        <v>6700</v>
      </c>
      <c r="P4643" s="12">
        <f t="shared" si="452"/>
        <v>3350</v>
      </c>
      <c r="Q4643" s="12">
        <f t="shared" si="458"/>
        <v>7035</v>
      </c>
      <c r="R4643" s="33">
        <f t="shared" si="453"/>
        <v>7000</v>
      </c>
      <c r="T4643" s="12"/>
      <c r="U4643" s="12">
        <v>9600</v>
      </c>
      <c r="V4643" s="12"/>
      <c r="W4643" s="12">
        <f t="shared" si="456"/>
        <v>8375</v>
      </c>
    </row>
    <row r="4644" spans="1:23" s="6" customFormat="1" ht="21.95" customHeight="1" x14ac:dyDescent="0.2">
      <c r="A4644" s="6" t="s">
        <v>943</v>
      </c>
      <c r="B4644" s="6" t="s">
        <v>1597</v>
      </c>
      <c r="C4644" s="6" t="s">
        <v>1417</v>
      </c>
      <c r="D4644" s="6" t="s">
        <v>943</v>
      </c>
      <c r="G4644" s="6">
        <v>90</v>
      </c>
      <c r="H4644" s="6">
        <v>200</v>
      </c>
      <c r="I4644" s="9"/>
      <c r="J4644" s="9"/>
      <c r="K4644" s="9">
        <v>44009288</v>
      </c>
      <c r="L4644" s="6" t="str">
        <f t="shared" si="457"/>
        <v>1D  SIESTA YATAK  90x200</v>
      </c>
      <c r="M4644" s="12">
        <v>0.5</v>
      </c>
      <c r="N4644" s="12">
        <v>0.5</v>
      </c>
      <c r="O4644" s="12">
        <v>7000</v>
      </c>
      <c r="P4644" s="12">
        <f t="shared" si="452"/>
        <v>3500</v>
      </c>
      <c r="Q4644" s="12">
        <f t="shared" si="458"/>
        <v>7350</v>
      </c>
      <c r="R4644" s="33">
        <f t="shared" si="453"/>
        <v>7300</v>
      </c>
      <c r="T4644" s="12"/>
      <c r="U4644" s="12">
        <v>10100</v>
      </c>
      <c r="V4644" s="12"/>
      <c r="W4644" s="12">
        <f t="shared" si="456"/>
        <v>8750</v>
      </c>
    </row>
    <row r="4645" spans="1:23" s="6" customFormat="1" ht="21.95" customHeight="1" x14ac:dyDescent="0.2">
      <c r="A4645" s="6" t="s">
        <v>943</v>
      </c>
      <c r="B4645" s="6" t="s">
        <v>1597</v>
      </c>
      <c r="C4645" s="6" t="s">
        <v>1417</v>
      </c>
      <c r="D4645" s="6" t="s">
        <v>943</v>
      </c>
      <c r="G4645" s="6">
        <v>100</v>
      </c>
      <c r="H4645" s="6">
        <v>200</v>
      </c>
      <c r="I4645" s="9"/>
      <c r="J4645" s="9"/>
      <c r="K4645" s="9">
        <v>44009289</v>
      </c>
      <c r="L4645" s="6" t="str">
        <f t="shared" si="457"/>
        <v>1D  SIESTA YATAK  100x200</v>
      </c>
      <c r="M4645" s="12">
        <v>0.5</v>
      </c>
      <c r="N4645" s="12">
        <v>0.5</v>
      </c>
      <c r="O4645" s="12">
        <v>7800</v>
      </c>
      <c r="P4645" s="12">
        <f t="shared" si="452"/>
        <v>3900</v>
      </c>
      <c r="Q4645" s="12">
        <f t="shared" si="458"/>
        <v>8190</v>
      </c>
      <c r="R4645" s="33">
        <f t="shared" si="453"/>
        <v>8100</v>
      </c>
      <c r="T4645" s="12"/>
      <c r="U4645" s="12">
        <v>10300</v>
      </c>
      <c r="V4645" s="12"/>
      <c r="W4645" s="12">
        <f t="shared" si="456"/>
        <v>9750</v>
      </c>
    </row>
    <row r="4646" spans="1:23" s="6" customFormat="1" ht="21.95" customHeight="1" x14ac:dyDescent="0.2">
      <c r="A4646" s="6" t="s">
        <v>943</v>
      </c>
      <c r="B4646" s="6" t="s">
        <v>1597</v>
      </c>
      <c r="C4646" s="6" t="s">
        <v>1417</v>
      </c>
      <c r="D4646" s="6" t="s">
        <v>943</v>
      </c>
      <c r="G4646" s="6">
        <v>120</v>
      </c>
      <c r="H4646" s="6">
        <v>200</v>
      </c>
      <c r="I4646" s="9"/>
      <c r="J4646" s="9"/>
      <c r="K4646" s="9">
        <v>44009290</v>
      </c>
      <c r="L4646" s="6" t="str">
        <f t="shared" si="457"/>
        <v>1D  SIESTA YATAK  120x200</v>
      </c>
      <c r="M4646" s="12">
        <v>0.5</v>
      </c>
      <c r="N4646" s="12">
        <v>0.5</v>
      </c>
      <c r="O4646" s="12">
        <v>9400</v>
      </c>
      <c r="P4646" s="12">
        <f t="shared" si="452"/>
        <v>4700</v>
      </c>
      <c r="Q4646" s="12">
        <f t="shared" si="458"/>
        <v>9870</v>
      </c>
      <c r="R4646" s="33">
        <f t="shared" si="453"/>
        <v>9800</v>
      </c>
      <c r="T4646" s="12"/>
      <c r="U4646" s="12">
        <v>12300</v>
      </c>
      <c r="V4646" s="12"/>
      <c r="W4646" s="12">
        <f t="shared" si="456"/>
        <v>11750</v>
      </c>
    </row>
    <row r="4647" spans="1:23" s="6" customFormat="1" ht="21.95" customHeight="1" x14ac:dyDescent="0.2">
      <c r="A4647" s="6" t="s">
        <v>943</v>
      </c>
      <c r="B4647" s="6" t="s">
        <v>1597</v>
      </c>
      <c r="C4647" s="6" t="s">
        <v>1417</v>
      </c>
      <c r="D4647" s="6" t="s">
        <v>943</v>
      </c>
      <c r="G4647" s="6">
        <v>140</v>
      </c>
      <c r="H4647" s="6">
        <v>200</v>
      </c>
      <c r="I4647" s="9"/>
      <c r="J4647" s="9"/>
      <c r="K4647" s="9">
        <v>44009291</v>
      </c>
      <c r="L4647" s="6" t="str">
        <f t="shared" si="457"/>
        <v>1D  SIESTA YATAK  140x200</v>
      </c>
      <c r="M4647" s="12">
        <v>0.5</v>
      </c>
      <c r="N4647" s="12">
        <v>0.5</v>
      </c>
      <c r="O4647" s="12">
        <v>10900</v>
      </c>
      <c r="P4647" s="12">
        <f t="shared" si="452"/>
        <v>5450</v>
      </c>
      <c r="Q4647" s="12">
        <f t="shared" si="458"/>
        <v>11445</v>
      </c>
      <c r="R4647" s="33">
        <f t="shared" si="453"/>
        <v>11400</v>
      </c>
      <c r="T4647" s="12"/>
      <c r="U4647" s="12">
        <v>14400</v>
      </c>
      <c r="V4647" s="12"/>
      <c r="W4647" s="12">
        <f t="shared" si="456"/>
        <v>13625</v>
      </c>
    </row>
    <row r="4648" spans="1:23" s="6" customFormat="1" ht="21.95" customHeight="1" x14ac:dyDescent="0.2">
      <c r="A4648" s="6" t="s">
        <v>943</v>
      </c>
      <c r="B4648" s="6" t="s">
        <v>1597</v>
      </c>
      <c r="C4648" s="6" t="s">
        <v>1417</v>
      </c>
      <c r="D4648" s="6" t="s">
        <v>943</v>
      </c>
      <c r="G4648" s="6">
        <v>150</v>
      </c>
      <c r="H4648" s="6">
        <v>200</v>
      </c>
      <c r="I4648" s="9"/>
      <c r="J4648" s="9"/>
      <c r="K4648" s="9">
        <v>44009292</v>
      </c>
      <c r="L4648" s="6" t="str">
        <f t="shared" si="457"/>
        <v>1D  SIESTA YATAK  150x200</v>
      </c>
      <c r="M4648" s="12">
        <v>0.5</v>
      </c>
      <c r="N4648" s="12">
        <v>0.5</v>
      </c>
      <c r="O4648" s="12">
        <v>11700</v>
      </c>
      <c r="P4648" s="12">
        <f t="shared" si="452"/>
        <v>5850</v>
      </c>
      <c r="Q4648" s="12">
        <f t="shared" si="458"/>
        <v>12285</v>
      </c>
      <c r="R4648" s="33">
        <f t="shared" si="453"/>
        <v>12200</v>
      </c>
      <c r="T4648" s="12"/>
      <c r="U4648" s="12">
        <v>15400</v>
      </c>
      <c r="V4648" s="12"/>
      <c r="W4648" s="12">
        <f t="shared" si="456"/>
        <v>14625</v>
      </c>
    </row>
    <row r="4649" spans="1:23" s="6" customFormat="1" ht="21.95" customHeight="1" x14ac:dyDescent="0.2">
      <c r="A4649" s="6" t="s">
        <v>943</v>
      </c>
      <c r="B4649" s="6" t="s">
        <v>1597</v>
      </c>
      <c r="C4649" s="6" t="s">
        <v>1417</v>
      </c>
      <c r="D4649" s="6" t="s">
        <v>943</v>
      </c>
      <c r="G4649" s="6">
        <v>160</v>
      </c>
      <c r="H4649" s="6">
        <v>200</v>
      </c>
      <c r="I4649" s="9"/>
      <c r="J4649" s="9"/>
      <c r="K4649" s="9">
        <v>44009293</v>
      </c>
      <c r="L4649" s="6" t="str">
        <f t="shared" si="457"/>
        <v>1D  SIESTA YATAK  160x200</v>
      </c>
      <c r="M4649" s="12">
        <v>0.5</v>
      </c>
      <c r="N4649" s="12">
        <v>0.5</v>
      </c>
      <c r="O4649" s="12">
        <v>12500</v>
      </c>
      <c r="P4649" s="12">
        <f t="shared" si="452"/>
        <v>6250</v>
      </c>
      <c r="Q4649" s="12">
        <f t="shared" si="458"/>
        <v>13125</v>
      </c>
      <c r="R4649" s="33">
        <f t="shared" si="453"/>
        <v>13100</v>
      </c>
      <c r="T4649" s="12"/>
      <c r="U4649" s="12">
        <v>16400</v>
      </c>
      <c r="V4649" s="12"/>
      <c r="W4649" s="12">
        <f t="shared" si="456"/>
        <v>15625</v>
      </c>
    </row>
    <row r="4650" spans="1:23" s="6" customFormat="1" ht="21.95" customHeight="1" x14ac:dyDescent="0.2">
      <c r="A4650" s="6" t="s">
        <v>943</v>
      </c>
      <c r="B4650" s="6" t="s">
        <v>1597</v>
      </c>
      <c r="C4650" s="6" t="s">
        <v>1417</v>
      </c>
      <c r="D4650" s="6" t="s">
        <v>943</v>
      </c>
      <c r="G4650" s="6">
        <v>180</v>
      </c>
      <c r="H4650" s="6">
        <v>200</v>
      </c>
      <c r="I4650" s="9"/>
      <c r="J4650" s="9"/>
      <c r="K4650" s="9">
        <v>44009294</v>
      </c>
      <c r="L4650" s="6" t="str">
        <f t="shared" si="457"/>
        <v>1D  SIESTA YATAK  180x200</v>
      </c>
      <c r="M4650" s="12">
        <v>0.5</v>
      </c>
      <c r="N4650" s="12">
        <v>0.5</v>
      </c>
      <c r="O4650" s="12">
        <v>14100</v>
      </c>
      <c r="P4650" s="12">
        <f t="shared" si="452"/>
        <v>7050</v>
      </c>
      <c r="Q4650" s="12">
        <f t="shared" si="458"/>
        <v>14805</v>
      </c>
      <c r="R4650" s="33">
        <f t="shared" si="453"/>
        <v>14800</v>
      </c>
      <c r="T4650" s="12"/>
      <c r="U4650" s="12">
        <v>18500</v>
      </c>
      <c r="V4650" s="12"/>
      <c r="W4650" s="12">
        <f t="shared" si="456"/>
        <v>17625</v>
      </c>
    </row>
    <row r="4651" spans="1:23" s="6" customFormat="1" ht="21.95" customHeight="1" x14ac:dyDescent="0.2">
      <c r="A4651" s="6" t="s">
        <v>943</v>
      </c>
      <c r="B4651" s="6" t="s">
        <v>1597</v>
      </c>
      <c r="C4651" s="6" t="s">
        <v>1417</v>
      </c>
      <c r="D4651" s="6" t="s">
        <v>1380</v>
      </c>
      <c r="I4651" s="9"/>
      <c r="J4651" s="9"/>
      <c r="K4651" s="9">
        <v>44009295</v>
      </c>
      <c r="L4651" s="6" t="str">
        <f>B4651&amp;" "&amp;C4651&amp;" "&amp;D4651</f>
        <v>1D  SIESTA KOMODİN (2 ADET)</v>
      </c>
      <c r="M4651" s="12">
        <v>0.5</v>
      </c>
      <c r="N4651" s="12">
        <v>0.5</v>
      </c>
      <c r="O4651" s="12">
        <v>13200</v>
      </c>
      <c r="P4651" s="12">
        <f t="shared" si="452"/>
        <v>6600</v>
      </c>
      <c r="Q4651" s="12">
        <f t="shared" si="458"/>
        <v>13860</v>
      </c>
      <c r="R4651" s="33">
        <f t="shared" si="453"/>
        <v>13800</v>
      </c>
      <c r="T4651" s="12"/>
      <c r="U4651" s="12">
        <v>15800</v>
      </c>
      <c r="V4651" s="12"/>
      <c r="W4651" s="12">
        <f t="shared" si="456"/>
        <v>16500</v>
      </c>
    </row>
    <row r="4652" spans="1:23" s="6" customFormat="1" ht="21.95" customHeight="1" x14ac:dyDescent="0.2">
      <c r="A4652" s="6" t="s">
        <v>943</v>
      </c>
      <c r="B4652" s="6" t="s">
        <v>1597</v>
      </c>
      <c r="C4652" s="6" t="s">
        <v>1418</v>
      </c>
      <c r="D4652" s="6" t="s">
        <v>989</v>
      </c>
      <c r="G4652" s="6">
        <v>90</v>
      </c>
      <c r="H4652" s="6">
        <v>190</v>
      </c>
      <c r="I4652" s="9"/>
      <c r="J4652" s="9"/>
      <c r="K4652" s="9">
        <v>44009396</v>
      </c>
      <c r="L4652" s="6" t="str">
        <f t="shared" ref="L4652:L4675" si="459">B4652&amp;" "&amp;C4652&amp;" "&amp;D4652&amp;" "&amp;G4652&amp;"x"&amp;H4652</f>
        <v>1D  VESTA BAZA  90x190</v>
      </c>
      <c r="M4652" s="12">
        <v>0.5</v>
      </c>
      <c r="N4652" s="12">
        <v>0.5</v>
      </c>
      <c r="O4652" s="12">
        <v>10200</v>
      </c>
      <c r="P4652" s="12">
        <f t="shared" si="452"/>
        <v>5100</v>
      </c>
      <c r="Q4652" s="12">
        <f t="shared" si="458"/>
        <v>10710</v>
      </c>
      <c r="R4652" s="33">
        <f t="shared" si="453"/>
        <v>10700</v>
      </c>
      <c r="T4652" s="12"/>
      <c r="U4652" s="12">
        <v>52800</v>
      </c>
      <c r="V4652" s="12"/>
      <c r="W4652" s="12">
        <f t="shared" ref="W4652:W4685" si="460">P4652*2.5</f>
        <v>12750</v>
      </c>
    </row>
    <row r="4653" spans="1:23" s="6" customFormat="1" ht="21.95" customHeight="1" x14ac:dyDescent="0.2">
      <c r="A4653" s="6" t="s">
        <v>943</v>
      </c>
      <c r="B4653" s="6" t="s">
        <v>1597</v>
      </c>
      <c r="C4653" s="6" t="s">
        <v>1418</v>
      </c>
      <c r="D4653" s="6" t="s">
        <v>989</v>
      </c>
      <c r="G4653" s="6">
        <v>90</v>
      </c>
      <c r="H4653" s="6">
        <v>200</v>
      </c>
      <c r="I4653" s="9"/>
      <c r="J4653" s="9"/>
      <c r="K4653" s="9">
        <v>44009397</v>
      </c>
      <c r="L4653" s="6" t="str">
        <f t="shared" si="459"/>
        <v>1D  VESTA BAZA  90x200</v>
      </c>
      <c r="M4653" s="12">
        <v>0.5</v>
      </c>
      <c r="N4653" s="12">
        <v>0.5</v>
      </c>
      <c r="O4653" s="12">
        <v>10700</v>
      </c>
      <c r="P4653" s="12">
        <f t="shared" ref="P4653:P4716" si="461">O4653*(1-N4653)</f>
        <v>5350</v>
      </c>
      <c r="Q4653" s="12">
        <f t="shared" si="458"/>
        <v>11235</v>
      </c>
      <c r="R4653" s="33">
        <f t="shared" ref="R4653:R4716" si="462">ROUNDDOWN(Q4653,-2)</f>
        <v>11200</v>
      </c>
      <c r="T4653" s="12"/>
      <c r="U4653" s="12">
        <v>56500</v>
      </c>
      <c r="V4653" s="12"/>
      <c r="W4653" s="12">
        <f t="shared" si="460"/>
        <v>13375</v>
      </c>
    </row>
    <row r="4654" spans="1:23" s="6" customFormat="1" ht="21.95" customHeight="1" x14ac:dyDescent="0.2">
      <c r="A4654" s="6" t="s">
        <v>943</v>
      </c>
      <c r="B4654" s="6" t="s">
        <v>1597</v>
      </c>
      <c r="C4654" s="6" t="s">
        <v>1418</v>
      </c>
      <c r="D4654" s="6" t="s">
        <v>989</v>
      </c>
      <c r="G4654" s="6">
        <v>100</v>
      </c>
      <c r="H4654" s="6">
        <v>200</v>
      </c>
      <c r="I4654" s="9"/>
      <c r="J4654" s="9"/>
      <c r="K4654" s="9">
        <v>44009398</v>
      </c>
      <c r="L4654" s="6" t="str">
        <f t="shared" si="459"/>
        <v>1D  VESTA BAZA  100x200</v>
      </c>
      <c r="M4654" s="12">
        <v>0.5</v>
      </c>
      <c r="N4654" s="12">
        <v>0.5</v>
      </c>
      <c r="O4654" s="12">
        <v>11900</v>
      </c>
      <c r="P4654" s="12">
        <f t="shared" si="461"/>
        <v>5950</v>
      </c>
      <c r="Q4654" s="12">
        <f t="shared" si="458"/>
        <v>12495</v>
      </c>
      <c r="R4654" s="33">
        <f t="shared" si="462"/>
        <v>12400</v>
      </c>
      <c r="T4654" s="12"/>
      <c r="U4654" s="12">
        <v>60300</v>
      </c>
      <c r="V4654" s="12"/>
      <c r="W4654" s="12">
        <f t="shared" si="460"/>
        <v>14875</v>
      </c>
    </row>
    <row r="4655" spans="1:23" s="6" customFormat="1" ht="21.95" customHeight="1" x14ac:dyDescent="0.2">
      <c r="A4655" s="6" t="s">
        <v>943</v>
      </c>
      <c r="B4655" s="6" t="s">
        <v>1597</v>
      </c>
      <c r="C4655" s="6" t="s">
        <v>1418</v>
      </c>
      <c r="D4655" s="6" t="s">
        <v>989</v>
      </c>
      <c r="G4655" s="6">
        <v>120</v>
      </c>
      <c r="H4655" s="6">
        <v>200</v>
      </c>
      <c r="I4655" s="9"/>
      <c r="J4655" s="9"/>
      <c r="K4655" s="9">
        <v>44009399</v>
      </c>
      <c r="L4655" s="6" t="str">
        <f t="shared" si="459"/>
        <v>1D  VESTA BAZA  120x200</v>
      </c>
      <c r="M4655" s="12">
        <v>0.5</v>
      </c>
      <c r="N4655" s="12">
        <v>0.5</v>
      </c>
      <c r="O4655" s="12">
        <v>14300</v>
      </c>
      <c r="P4655" s="12">
        <f t="shared" si="461"/>
        <v>7150</v>
      </c>
      <c r="Q4655" s="12">
        <f t="shared" si="458"/>
        <v>15015</v>
      </c>
      <c r="R4655" s="33">
        <f t="shared" si="462"/>
        <v>15000</v>
      </c>
      <c r="T4655" s="12"/>
      <c r="U4655" s="12">
        <v>67800</v>
      </c>
      <c r="V4655" s="12"/>
      <c r="W4655" s="12">
        <f t="shared" si="460"/>
        <v>17875</v>
      </c>
    </row>
    <row r="4656" spans="1:23" s="6" customFormat="1" ht="21.95" customHeight="1" x14ac:dyDescent="0.2">
      <c r="A4656" s="6" t="s">
        <v>943</v>
      </c>
      <c r="B4656" s="6" t="s">
        <v>1597</v>
      </c>
      <c r="C4656" s="6" t="s">
        <v>1418</v>
      </c>
      <c r="D4656" s="6" t="s">
        <v>989</v>
      </c>
      <c r="G4656" s="6">
        <v>140</v>
      </c>
      <c r="H4656" s="6">
        <v>200</v>
      </c>
      <c r="I4656" s="9"/>
      <c r="J4656" s="9"/>
      <c r="K4656" s="9">
        <v>44009400</v>
      </c>
      <c r="L4656" s="6" t="str">
        <f t="shared" si="459"/>
        <v>1D  VESTA BAZA  140x200</v>
      </c>
      <c r="M4656" s="12">
        <v>0.5</v>
      </c>
      <c r="N4656" s="12">
        <v>0.5</v>
      </c>
      <c r="O4656" s="12">
        <v>16700</v>
      </c>
      <c r="P4656" s="12">
        <f t="shared" si="461"/>
        <v>8350</v>
      </c>
      <c r="Q4656" s="12">
        <f t="shared" si="458"/>
        <v>17535</v>
      </c>
      <c r="R4656" s="33">
        <f t="shared" si="462"/>
        <v>17500</v>
      </c>
      <c r="T4656" s="12"/>
      <c r="U4656" s="12">
        <v>19600</v>
      </c>
      <c r="V4656" s="12"/>
      <c r="W4656" s="12">
        <f t="shared" si="460"/>
        <v>20875</v>
      </c>
    </row>
    <row r="4657" spans="1:23" s="6" customFormat="1" ht="21.95" customHeight="1" x14ac:dyDescent="0.2">
      <c r="A4657" s="6" t="s">
        <v>943</v>
      </c>
      <c r="B4657" s="6" t="s">
        <v>1597</v>
      </c>
      <c r="C4657" s="6" t="s">
        <v>1418</v>
      </c>
      <c r="D4657" s="6" t="s">
        <v>989</v>
      </c>
      <c r="G4657" s="6">
        <v>150</v>
      </c>
      <c r="H4657" s="6">
        <v>200</v>
      </c>
      <c r="I4657" s="9"/>
      <c r="J4657" s="9"/>
      <c r="K4657" s="9">
        <v>44009401</v>
      </c>
      <c r="L4657" s="6" t="str">
        <f t="shared" si="459"/>
        <v>1D  VESTA BAZA  150x200</v>
      </c>
      <c r="M4657" s="12">
        <v>0.5</v>
      </c>
      <c r="N4657" s="12">
        <v>0.5</v>
      </c>
      <c r="O4657" s="12">
        <v>17900</v>
      </c>
      <c r="P4657" s="12">
        <f t="shared" si="461"/>
        <v>8950</v>
      </c>
      <c r="Q4657" s="12">
        <f t="shared" si="458"/>
        <v>18795</v>
      </c>
      <c r="R4657" s="33">
        <f t="shared" si="462"/>
        <v>18700</v>
      </c>
      <c r="T4657" s="12"/>
      <c r="U4657" s="12">
        <v>21000</v>
      </c>
      <c r="V4657" s="12"/>
      <c r="W4657" s="12">
        <f t="shared" si="460"/>
        <v>22375</v>
      </c>
    </row>
    <row r="4658" spans="1:23" s="6" customFormat="1" ht="21.95" customHeight="1" x14ac:dyDescent="0.2">
      <c r="A4658" s="6" t="s">
        <v>943</v>
      </c>
      <c r="B4658" s="6" t="s">
        <v>1597</v>
      </c>
      <c r="C4658" s="6" t="s">
        <v>1418</v>
      </c>
      <c r="D4658" s="6" t="s">
        <v>989</v>
      </c>
      <c r="G4658" s="6">
        <v>160</v>
      </c>
      <c r="H4658" s="6">
        <v>200</v>
      </c>
      <c r="I4658" s="9"/>
      <c r="J4658" s="9"/>
      <c r="K4658" s="9">
        <v>44009402</v>
      </c>
      <c r="L4658" s="6" t="str">
        <f t="shared" si="459"/>
        <v>1D  VESTA BAZA  160x200</v>
      </c>
      <c r="M4658" s="12">
        <v>0.5</v>
      </c>
      <c r="N4658" s="12">
        <v>0.5</v>
      </c>
      <c r="O4658" s="12">
        <v>19100</v>
      </c>
      <c r="P4658" s="12">
        <f t="shared" si="461"/>
        <v>9550</v>
      </c>
      <c r="Q4658" s="12">
        <f t="shared" si="458"/>
        <v>20055</v>
      </c>
      <c r="R4658" s="33">
        <f t="shared" si="462"/>
        <v>20000</v>
      </c>
      <c r="T4658" s="12"/>
      <c r="U4658" s="12">
        <v>22400</v>
      </c>
      <c r="V4658" s="12"/>
      <c r="W4658" s="12">
        <f t="shared" si="460"/>
        <v>23875</v>
      </c>
    </row>
    <row r="4659" spans="1:23" s="6" customFormat="1" ht="21.95" customHeight="1" x14ac:dyDescent="0.2">
      <c r="A4659" s="6" t="s">
        <v>943</v>
      </c>
      <c r="B4659" s="6" t="s">
        <v>1597</v>
      </c>
      <c r="C4659" s="6" t="s">
        <v>1418</v>
      </c>
      <c r="D4659" s="6" t="s">
        <v>989</v>
      </c>
      <c r="G4659" s="6">
        <v>180</v>
      </c>
      <c r="H4659" s="6">
        <v>200</v>
      </c>
      <c r="I4659" s="9"/>
      <c r="J4659" s="9"/>
      <c r="K4659" s="9">
        <v>44009403</v>
      </c>
      <c r="L4659" s="6" t="str">
        <f t="shared" si="459"/>
        <v>1D  VESTA BAZA  180x200</v>
      </c>
      <c r="M4659" s="12">
        <v>0.5</v>
      </c>
      <c r="N4659" s="12">
        <v>0.5</v>
      </c>
      <c r="O4659" s="12">
        <v>21500</v>
      </c>
      <c r="P4659" s="12">
        <f t="shared" si="461"/>
        <v>10750</v>
      </c>
      <c r="Q4659" s="12">
        <f t="shared" si="458"/>
        <v>22575</v>
      </c>
      <c r="R4659" s="33">
        <f t="shared" si="462"/>
        <v>22500</v>
      </c>
      <c r="T4659" s="12"/>
      <c r="U4659" s="12">
        <v>25200</v>
      </c>
      <c r="V4659" s="12"/>
      <c r="W4659" s="12">
        <f t="shared" si="460"/>
        <v>26875</v>
      </c>
    </row>
    <row r="4660" spans="1:23" s="6" customFormat="1" ht="21.95" customHeight="1" x14ac:dyDescent="0.2">
      <c r="A4660" s="6" t="s">
        <v>943</v>
      </c>
      <c r="B4660" s="6" t="s">
        <v>1597</v>
      </c>
      <c r="C4660" s="6" t="s">
        <v>1418</v>
      </c>
      <c r="D4660" s="6" t="s">
        <v>1003</v>
      </c>
      <c r="G4660" s="6">
        <v>90</v>
      </c>
      <c r="H4660" s="6">
        <v>190</v>
      </c>
      <c r="I4660" s="9"/>
      <c r="J4660" s="9"/>
      <c r="K4660" s="9">
        <v>44009404</v>
      </c>
      <c r="L4660" s="6" t="str">
        <f t="shared" si="459"/>
        <v>1D  VESTA BAŞLIK  90x190</v>
      </c>
      <c r="M4660" s="12">
        <v>0.5</v>
      </c>
      <c r="N4660" s="12">
        <v>0.5</v>
      </c>
      <c r="O4660" s="12">
        <v>6600</v>
      </c>
      <c r="P4660" s="12">
        <f t="shared" si="461"/>
        <v>3300</v>
      </c>
      <c r="Q4660" s="12">
        <f t="shared" si="458"/>
        <v>6930</v>
      </c>
      <c r="R4660" s="33">
        <f t="shared" si="462"/>
        <v>6900</v>
      </c>
      <c r="T4660" s="12"/>
      <c r="U4660" s="12">
        <v>19300</v>
      </c>
      <c r="V4660" s="12"/>
      <c r="W4660" s="12">
        <f t="shared" si="460"/>
        <v>8250</v>
      </c>
    </row>
    <row r="4661" spans="1:23" s="6" customFormat="1" ht="21.95" customHeight="1" x14ac:dyDescent="0.2">
      <c r="A4661" s="6" t="s">
        <v>943</v>
      </c>
      <c r="B4661" s="6" t="s">
        <v>1597</v>
      </c>
      <c r="C4661" s="6" t="s">
        <v>1418</v>
      </c>
      <c r="D4661" s="6" t="s">
        <v>1003</v>
      </c>
      <c r="G4661" s="6">
        <v>90</v>
      </c>
      <c r="H4661" s="6">
        <v>200</v>
      </c>
      <c r="I4661" s="9"/>
      <c r="J4661" s="9"/>
      <c r="K4661" s="9">
        <v>44009405</v>
      </c>
      <c r="L4661" s="6" t="str">
        <f t="shared" si="459"/>
        <v>1D  VESTA BAŞLIK  90x200</v>
      </c>
      <c r="M4661" s="12">
        <v>0.5</v>
      </c>
      <c r="N4661" s="12">
        <v>0.5</v>
      </c>
      <c r="O4661" s="12">
        <v>7000</v>
      </c>
      <c r="P4661" s="12">
        <f t="shared" si="461"/>
        <v>3500</v>
      </c>
      <c r="Q4661" s="12">
        <f t="shared" si="458"/>
        <v>7350</v>
      </c>
      <c r="R4661" s="33">
        <f t="shared" si="462"/>
        <v>7300</v>
      </c>
      <c r="T4661" s="12"/>
      <c r="U4661" s="12">
        <v>37800</v>
      </c>
      <c r="V4661" s="12"/>
      <c r="W4661" s="12">
        <f t="shared" si="460"/>
        <v>8750</v>
      </c>
    </row>
    <row r="4662" spans="1:23" s="6" customFormat="1" ht="21.95" customHeight="1" x14ac:dyDescent="0.2">
      <c r="A4662" s="6" t="s">
        <v>943</v>
      </c>
      <c r="B4662" s="6" t="s">
        <v>1597</v>
      </c>
      <c r="C4662" s="6" t="s">
        <v>1418</v>
      </c>
      <c r="D4662" s="6" t="s">
        <v>1003</v>
      </c>
      <c r="G4662" s="6">
        <v>100</v>
      </c>
      <c r="H4662" s="6">
        <v>200</v>
      </c>
      <c r="I4662" s="9"/>
      <c r="J4662" s="9"/>
      <c r="K4662" s="9">
        <v>44009406</v>
      </c>
      <c r="L4662" s="6" t="str">
        <f t="shared" si="459"/>
        <v>1D  VESTA BAŞLIK  100x200</v>
      </c>
      <c r="M4662" s="12">
        <v>0.5</v>
      </c>
      <c r="N4662" s="12">
        <v>0.5</v>
      </c>
      <c r="O4662" s="12">
        <v>7800</v>
      </c>
      <c r="P4662" s="12">
        <f t="shared" si="461"/>
        <v>3900</v>
      </c>
      <c r="Q4662" s="12">
        <f t="shared" si="458"/>
        <v>8190</v>
      </c>
      <c r="R4662" s="33">
        <f t="shared" si="462"/>
        <v>8100</v>
      </c>
      <c r="T4662" s="12"/>
      <c r="U4662" s="12">
        <v>40500</v>
      </c>
      <c r="V4662" s="12"/>
      <c r="W4662" s="12">
        <f t="shared" si="460"/>
        <v>9750</v>
      </c>
    </row>
    <row r="4663" spans="1:23" s="6" customFormat="1" ht="21.95" customHeight="1" x14ac:dyDescent="0.2">
      <c r="A4663" s="6" t="s">
        <v>943</v>
      </c>
      <c r="B4663" s="6" t="s">
        <v>1597</v>
      </c>
      <c r="C4663" s="6" t="s">
        <v>1418</v>
      </c>
      <c r="D4663" s="6" t="s">
        <v>1003</v>
      </c>
      <c r="G4663" s="6">
        <v>120</v>
      </c>
      <c r="H4663" s="6">
        <v>200</v>
      </c>
      <c r="I4663" s="9"/>
      <c r="J4663" s="9"/>
      <c r="K4663" s="9">
        <v>44009407</v>
      </c>
      <c r="L4663" s="6" t="str">
        <f t="shared" si="459"/>
        <v>1D  VESTA BAŞLIK  120x200</v>
      </c>
      <c r="M4663" s="12">
        <v>0.5</v>
      </c>
      <c r="N4663" s="12">
        <v>0.5</v>
      </c>
      <c r="O4663" s="12">
        <v>9300</v>
      </c>
      <c r="P4663" s="12">
        <f t="shared" si="461"/>
        <v>4650</v>
      </c>
      <c r="Q4663" s="12">
        <f t="shared" si="458"/>
        <v>9765</v>
      </c>
      <c r="R4663" s="33">
        <f t="shared" si="462"/>
        <v>9700</v>
      </c>
      <c r="T4663" s="12"/>
      <c r="U4663" s="12">
        <v>43200</v>
      </c>
      <c r="V4663" s="12"/>
      <c r="W4663" s="12">
        <f t="shared" si="460"/>
        <v>11625</v>
      </c>
    </row>
    <row r="4664" spans="1:23" s="6" customFormat="1" ht="21.95" customHeight="1" x14ac:dyDescent="0.2">
      <c r="A4664" s="6" t="s">
        <v>943</v>
      </c>
      <c r="B4664" s="6" t="s">
        <v>1597</v>
      </c>
      <c r="C4664" s="6" t="s">
        <v>1418</v>
      </c>
      <c r="D4664" s="6" t="s">
        <v>1003</v>
      </c>
      <c r="G4664" s="6">
        <v>140</v>
      </c>
      <c r="H4664" s="6">
        <v>200</v>
      </c>
      <c r="I4664" s="9"/>
      <c r="J4664" s="9"/>
      <c r="K4664" s="9">
        <v>44009408</v>
      </c>
      <c r="L4664" s="6" t="str">
        <f t="shared" si="459"/>
        <v>1D  VESTA BAŞLIK  140x200</v>
      </c>
      <c r="M4664" s="12">
        <v>0.5</v>
      </c>
      <c r="N4664" s="12">
        <v>0.5</v>
      </c>
      <c r="O4664" s="12">
        <v>10900</v>
      </c>
      <c r="P4664" s="12">
        <f t="shared" si="461"/>
        <v>5450</v>
      </c>
      <c r="Q4664" s="12">
        <f t="shared" si="458"/>
        <v>11445</v>
      </c>
      <c r="R4664" s="33">
        <f t="shared" si="462"/>
        <v>11400</v>
      </c>
      <c r="T4664" s="12"/>
      <c r="U4664" s="12">
        <v>48600</v>
      </c>
      <c r="V4664" s="12"/>
      <c r="W4664" s="12">
        <f t="shared" si="460"/>
        <v>13625</v>
      </c>
    </row>
    <row r="4665" spans="1:23" s="6" customFormat="1" ht="21.95" customHeight="1" x14ac:dyDescent="0.2">
      <c r="A4665" s="6" t="s">
        <v>943</v>
      </c>
      <c r="B4665" s="6" t="s">
        <v>1597</v>
      </c>
      <c r="C4665" s="6" t="s">
        <v>1418</v>
      </c>
      <c r="D4665" s="6" t="s">
        <v>1003</v>
      </c>
      <c r="G4665" s="6">
        <v>150</v>
      </c>
      <c r="H4665" s="6">
        <v>200</v>
      </c>
      <c r="I4665" s="9"/>
      <c r="J4665" s="9"/>
      <c r="K4665" s="9">
        <v>44009409</v>
      </c>
      <c r="L4665" s="6" t="str">
        <f t="shared" si="459"/>
        <v>1D  VESTA BAŞLIK  150x200</v>
      </c>
      <c r="M4665" s="12">
        <v>0.5</v>
      </c>
      <c r="N4665" s="12">
        <v>0.5</v>
      </c>
      <c r="O4665" s="12">
        <v>11600</v>
      </c>
      <c r="P4665" s="12">
        <f t="shared" si="461"/>
        <v>5800</v>
      </c>
      <c r="Q4665" s="12">
        <f t="shared" si="458"/>
        <v>12180</v>
      </c>
      <c r="R4665" s="33">
        <f t="shared" si="462"/>
        <v>12100</v>
      </c>
      <c r="T4665" s="12"/>
      <c r="U4665" s="12">
        <v>20100</v>
      </c>
      <c r="V4665" s="12"/>
      <c r="W4665" s="12">
        <f t="shared" si="460"/>
        <v>14500</v>
      </c>
    </row>
    <row r="4666" spans="1:23" s="6" customFormat="1" ht="21.95" customHeight="1" x14ac:dyDescent="0.2">
      <c r="A4666" s="6" t="s">
        <v>943</v>
      </c>
      <c r="B4666" s="6" t="s">
        <v>1597</v>
      </c>
      <c r="C4666" s="6" t="s">
        <v>1418</v>
      </c>
      <c r="D4666" s="6" t="s">
        <v>1003</v>
      </c>
      <c r="G4666" s="6">
        <v>160</v>
      </c>
      <c r="H4666" s="6">
        <v>200</v>
      </c>
      <c r="I4666" s="9"/>
      <c r="J4666" s="9"/>
      <c r="K4666" s="9">
        <v>44009410</v>
      </c>
      <c r="L4666" s="6" t="str">
        <f t="shared" si="459"/>
        <v>1D  VESTA BAŞLIK  160x200</v>
      </c>
      <c r="M4666" s="12">
        <v>0.5</v>
      </c>
      <c r="N4666" s="12">
        <v>0.5</v>
      </c>
      <c r="O4666" s="12">
        <v>12400</v>
      </c>
      <c r="P4666" s="12">
        <f t="shared" si="461"/>
        <v>6200</v>
      </c>
      <c r="Q4666" s="12">
        <f t="shared" si="458"/>
        <v>13020</v>
      </c>
      <c r="R4666" s="33">
        <f t="shared" si="462"/>
        <v>13000</v>
      </c>
      <c r="T4666" s="12"/>
      <c r="U4666" s="12">
        <v>21600</v>
      </c>
      <c r="V4666" s="12"/>
      <c r="W4666" s="12">
        <f t="shared" si="460"/>
        <v>15500</v>
      </c>
    </row>
    <row r="4667" spans="1:23" s="6" customFormat="1" ht="21.95" customHeight="1" x14ac:dyDescent="0.2">
      <c r="A4667" s="6" t="s">
        <v>943</v>
      </c>
      <c r="B4667" s="6" t="s">
        <v>1597</v>
      </c>
      <c r="C4667" s="6" t="s">
        <v>1418</v>
      </c>
      <c r="D4667" s="6" t="s">
        <v>1003</v>
      </c>
      <c r="G4667" s="6">
        <v>180</v>
      </c>
      <c r="H4667" s="6">
        <v>200</v>
      </c>
      <c r="I4667" s="9"/>
      <c r="J4667" s="9"/>
      <c r="K4667" s="9">
        <v>44009411</v>
      </c>
      <c r="L4667" s="6" t="str">
        <f t="shared" si="459"/>
        <v>1D  VESTA BAŞLIK  180x200</v>
      </c>
      <c r="M4667" s="12">
        <v>0.5</v>
      </c>
      <c r="N4667" s="12">
        <v>0.5</v>
      </c>
      <c r="O4667" s="12">
        <v>14000</v>
      </c>
      <c r="P4667" s="12">
        <f t="shared" si="461"/>
        <v>7000</v>
      </c>
      <c r="Q4667" s="12">
        <f t="shared" si="458"/>
        <v>14700</v>
      </c>
      <c r="R4667" s="33">
        <f t="shared" si="462"/>
        <v>14700</v>
      </c>
      <c r="T4667" s="12"/>
      <c r="U4667" s="12">
        <v>23000</v>
      </c>
      <c r="V4667" s="12"/>
      <c r="W4667" s="12">
        <f t="shared" si="460"/>
        <v>17500</v>
      </c>
    </row>
    <row r="4668" spans="1:23" s="6" customFormat="1" ht="21.95" customHeight="1" x14ac:dyDescent="0.2">
      <c r="A4668" s="6" t="s">
        <v>943</v>
      </c>
      <c r="B4668" s="6" t="s">
        <v>1597</v>
      </c>
      <c r="C4668" s="6" t="s">
        <v>1418</v>
      </c>
      <c r="D4668" s="6" t="s">
        <v>943</v>
      </c>
      <c r="G4668" s="6">
        <v>90</v>
      </c>
      <c r="H4668" s="6">
        <v>190</v>
      </c>
      <c r="I4668" s="9"/>
      <c r="J4668" s="9"/>
      <c r="K4668" s="9">
        <v>44009412</v>
      </c>
      <c r="L4668" s="6" t="str">
        <f t="shared" si="459"/>
        <v>1D  VESTA YATAK  90x190</v>
      </c>
      <c r="M4668" s="12">
        <v>0.5</v>
      </c>
      <c r="N4668" s="12">
        <v>0.5</v>
      </c>
      <c r="O4668" s="12">
        <v>9900</v>
      </c>
      <c r="P4668" s="12">
        <f t="shared" si="461"/>
        <v>4950</v>
      </c>
      <c r="Q4668" s="12">
        <f t="shared" si="458"/>
        <v>10395</v>
      </c>
      <c r="R4668" s="33">
        <f t="shared" si="462"/>
        <v>10300</v>
      </c>
      <c r="T4668" s="12"/>
      <c r="U4668" s="12">
        <v>25900</v>
      </c>
      <c r="V4668" s="12"/>
      <c r="W4668" s="12">
        <f t="shared" si="460"/>
        <v>12375</v>
      </c>
    </row>
    <row r="4669" spans="1:23" s="6" customFormat="1" ht="21.95" customHeight="1" x14ac:dyDescent="0.2">
      <c r="A4669" s="6" t="s">
        <v>943</v>
      </c>
      <c r="B4669" s="6" t="s">
        <v>1597</v>
      </c>
      <c r="C4669" s="6" t="s">
        <v>1418</v>
      </c>
      <c r="D4669" s="6" t="s">
        <v>943</v>
      </c>
      <c r="G4669" s="6">
        <v>90</v>
      </c>
      <c r="H4669" s="6">
        <v>200</v>
      </c>
      <c r="I4669" s="9"/>
      <c r="J4669" s="9"/>
      <c r="K4669" s="9">
        <v>44009413</v>
      </c>
      <c r="L4669" s="6" t="str">
        <f t="shared" si="459"/>
        <v>1D  VESTA YATAK  90x200</v>
      </c>
      <c r="M4669" s="12">
        <v>0.5</v>
      </c>
      <c r="N4669" s="12">
        <v>0.5</v>
      </c>
      <c r="O4669" s="12">
        <v>10400</v>
      </c>
      <c r="P4669" s="12">
        <f t="shared" si="461"/>
        <v>5200</v>
      </c>
      <c r="Q4669" s="12">
        <f t="shared" si="458"/>
        <v>10920</v>
      </c>
      <c r="R4669" s="33">
        <f t="shared" si="462"/>
        <v>10900</v>
      </c>
      <c r="T4669" s="12"/>
      <c r="U4669" s="12">
        <v>19300</v>
      </c>
      <c r="V4669" s="12"/>
      <c r="W4669" s="12">
        <f t="shared" si="460"/>
        <v>13000</v>
      </c>
    </row>
    <row r="4670" spans="1:23" s="6" customFormat="1" ht="21.95" customHeight="1" x14ac:dyDescent="0.2">
      <c r="A4670" s="6" t="s">
        <v>943</v>
      </c>
      <c r="B4670" s="6" t="s">
        <v>1597</v>
      </c>
      <c r="C4670" s="6" t="s">
        <v>1418</v>
      </c>
      <c r="D4670" s="6" t="s">
        <v>943</v>
      </c>
      <c r="G4670" s="6">
        <v>100</v>
      </c>
      <c r="H4670" s="6">
        <v>200</v>
      </c>
      <c r="I4670" s="9"/>
      <c r="J4670" s="9"/>
      <c r="K4670" s="9">
        <v>44009414</v>
      </c>
      <c r="L4670" s="6" t="str">
        <f t="shared" si="459"/>
        <v>1D  VESTA YATAK  100x200</v>
      </c>
      <c r="M4670" s="12">
        <v>0.5</v>
      </c>
      <c r="N4670" s="12">
        <v>0.5</v>
      </c>
      <c r="O4670" s="12">
        <v>11600</v>
      </c>
      <c r="P4670" s="12">
        <f t="shared" si="461"/>
        <v>5800</v>
      </c>
      <c r="Q4670" s="12">
        <f t="shared" si="458"/>
        <v>12180</v>
      </c>
      <c r="R4670" s="33">
        <f t="shared" si="462"/>
        <v>12100</v>
      </c>
      <c r="T4670" s="12"/>
      <c r="U4670" s="12">
        <v>12200</v>
      </c>
      <c r="V4670" s="12"/>
      <c r="W4670" s="12">
        <f t="shared" si="460"/>
        <v>14500</v>
      </c>
    </row>
    <row r="4671" spans="1:23" s="6" customFormat="1" ht="21.95" customHeight="1" x14ac:dyDescent="0.2">
      <c r="A4671" s="6" t="s">
        <v>943</v>
      </c>
      <c r="B4671" s="6" t="s">
        <v>1597</v>
      </c>
      <c r="C4671" s="6" t="s">
        <v>1418</v>
      </c>
      <c r="D4671" s="6" t="s">
        <v>943</v>
      </c>
      <c r="G4671" s="6">
        <v>120</v>
      </c>
      <c r="H4671" s="6">
        <v>200</v>
      </c>
      <c r="I4671" s="9"/>
      <c r="J4671" s="9"/>
      <c r="K4671" s="9">
        <v>44009415</v>
      </c>
      <c r="L4671" s="6" t="str">
        <f t="shared" si="459"/>
        <v>1D  VESTA YATAK  120x200</v>
      </c>
      <c r="M4671" s="12">
        <v>0.5</v>
      </c>
      <c r="N4671" s="12">
        <v>0.5</v>
      </c>
      <c r="O4671" s="12">
        <v>13900</v>
      </c>
      <c r="P4671" s="12">
        <f t="shared" si="461"/>
        <v>6950</v>
      </c>
      <c r="Q4671" s="12">
        <f t="shared" si="458"/>
        <v>14595</v>
      </c>
      <c r="R4671" s="33">
        <f t="shared" si="462"/>
        <v>14500</v>
      </c>
      <c r="T4671" s="12"/>
      <c r="U4671" s="12">
        <v>12900</v>
      </c>
      <c r="V4671" s="12"/>
      <c r="W4671" s="12">
        <f t="shared" si="460"/>
        <v>17375</v>
      </c>
    </row>
    <row r="4672" spans="1:23" s="6" customFormat="1" ht="21.95" customHeight="1" x14ac:dyDescent="0.2">
      <c r="A4672" s="6" t="s">
        <v>943</v>
      </c>
      <c r="B4672" s="6" t="s">
        <v>1597</v>
      </c>
      <c r="C4672" s="6" t="s">
        <v>1418</v>
      </c>
      <c r="D4672" s="6" t="s">
        <v>943</v>
      </c>
      <c r="G4672" s="6">
        <v>140</v>
      </c>
      <c r="H4672" s="6">
        <v>200</v>
      </c>
      <c r="I4672" s="9"/>
      <c r="J4672" s="9"/>
      <c r="K4672" s="9">
        <v>44009416</v>
      </c>
      <c r="L4672" s="6" t="str">
        <f t="shared" si="459"/>
        <v>1D  VESTA YATAK  140x200</v>
      </c>
      <c r="M4672" s="12">
        <v>0.5</v>
      </c>
      <c r="N4672" s="12">
        <v>0.5</v>
      </c>
      <c r="O4672" s="12">
        <v>16200</v>
      </c>
      <c r="P4672" s="12">
        <f t="shared" si="461"/>
        <v>8100</v>
      </c>
      <c r="Q4672" s="12">
        <f t="shared" si="458"/>
        <v>17010</v>
      </c>
      <c r="R4672" s="33">
        <f t="shared" si="462"/>
        <v>17000</v>
      </c>
      <c r="T4672" s="12"/>
      <c r="U4672" s="12">
        <v>13000</v>
      </c>
      <c r="V4672" s="12"/>
      <c r="W4672" s="12">
        <f t="shared" si="460"/>
        <v>20250</v>
      </c>
    </row>
    <row r="4673" spans="1:23" s="6" customFormat="1" ht="21.95" customHeight="1" x14ac:dyDescent="0.2">
      <c r="A4673" s="6" t="s">
        <v>943</v>
      </c>
      <c r="B4673" s="6" t="s">
        <v>1597</v>
      </c>
      <c r="C4673" s="6" t="s">
        <v>1418</v>
      </c>
      <c r="D4673" s="6" t="s">
        <v>943</v>
      </c>
      <c r="G4673" s="6">
        <v>150</v>
      </c>
      <c r="H4673" s="6">
        <v>200</v>
      </c>
      <c r="I4673" s="9"/>
      <c r="J4673" s="9"/>
      <c r="K4673" s="9">
        <v>44009417</v>
      </c>
      <c r="L4673" s="6" t="str">
        <f t="shared" si="459"/>
        <v>1D  VESTA YATAK  150x200</v>
      </c>
      <c r="M4673" s="12">
        <v>0.5</v>
      </c>
      <c r="N4673" s="12">
        <v>0.5</v>
      </c>
      <c r="O4673" s="12">
        <v>17300</v>
      </c>
      <c r="P4673" s="12">
        <f t="shared" si="461"/>
        <v>8650</v>
      </c>
      <c r="Q4673" s="12">
        <f t="shared" si="458"/>
        <v>18165</v>
      </c>
      <c r="R4673" s="33">
        <f t="shared" si="462"/>
        <v>18100</v>
      </c>
      <c r="T4673" s="12"/>
      <c r="U4673" s="12">
        <v>15600</v>
      </c>
      <c r="V4673" s="12"/>
      <c r="W4673" s="12">
        <f t="shared" si="460"/>
        <v>21625</v>
      </c>
    </row>
    <row r="4674" spans="1:23" s="6" customFormat="1" ht="21.95" customHeight="1" x14ac:dyDescent="0.2">
      <c r="A4674" s="6" t="s">
        <v>943</v>
      </c>
      <c r="B4674" s="6" t="s">
        <v>1597</v>
      </c>
      <c r="C4674" s="6" t="s">
        <v>1418</v>
      </c>
      <c r="D4674" s="6" t="s">
        <v>943</v>
      </c>
      <c r="G4674" s="6">
        <v>160</v>
      </c>
      <c r="H4674" s="6">
        <v>200</v>
      </c>
      <c r="I4674" s="9"/>
      <c r="J4674" s="9"/>
      <c r="K4674" s="9">
        <v>44009418</v>
      </c>
      <c r="L4674" s="6" t="str">
        <f t="shared" si="459"/>
        <v>1D  VESTA YATAK  160x200</v>
      </c>
      <c r="M4674" s="12">
        <v>0.5</v>
      </c>
      <c r="N4674" s="12">
        <v>0.5</v>
      </c>
      <c r="O4674" s="12">
        <v>18500</v>
      </c>
      <c r="P4674" s="12">
        <f t="shared" si="461"/>
        <v>9250</v>
      </c>
      <c r="Q4674" s="12">
        <f t="shared" si="458"/>
        <v>19425</v>
      </c>
      <c r="R4674" s="33">
        <f t="shared" si="462"/>
        <v>19400</v>
      </c>
      <c r="T4674" s="12"/>
      <c r="U4674" s="12">
        <v>18200</v>
      </c>
      <c r="V4674" s="12"/>
      <c r="W4674" s="12">
        <f t="shared" si="460"/>
        <v>23125</v>
      </c>
    </row>
    <row r="4675" spans="1:23" s="6" customFormat="1" ht="21.95" customHeight="1" x14ac:dyDescent="0.2">
      <c r="A4675" s="6" t="s">
        <v>943</v>
      </c>
      <c r="B4675" s="6" t="s">
        <v>1597</v>
      </c>
      <c r="C4675" s="6" t="s">
        <v>1418</v>
      </c>
      <c r="D4675" s="6" t="s">
        <v>943</v>
      </c>
      <c r="G4675" s="6">
        <v>180</v>
      </c>
      <c r="H4675" s="6">
        <v>200</v>
      </c>
      <c r="I4675" s="9"/>
      <c r="J4675" s="9"/>
      <c r="K4675" s="9">
        <v>44009419</v>
      </c>
      <c r="L4675" s="6" t="str">
        <f t="shared" si="459"/>
        <v>1D  VESTA YATAK  180x200</v>
      </c>
      <c r="M4675" s="12">
        <v>0.5</v>
      </c>
      <c r="N4675" s="12">
        <v>0.5</v>
      </c>
      <c r="O4675" s="12">
        <v>20800</v>
      </c>
      <c r="P4675" s="12">
        <f t="shared" si="461"/>
        <v>10400</v>
      </c>
      <c r="Q4675" s="12">
        <f t="shared" si="458"/>
        <v>21840</v>
      </c>
      <c r="R4675" s="33">
        <f t="shared" si="462"/>
        <v>21800</v>
      </c>
      <c r="T4675" s="12"/>
      <c r="U4675" s="12">
        <v>19500</v>
      </c>
      <c r="V4675" s="12"/>
      <c r="W4675" s="12">
        <f t="shared" si="460"/>
        <v>26000</v>
      </c>
    </row>
    <row r="4676" spans="1:23" s="6" customFormat="1" ht="21.95" customHeight="1" x14ac:dyDescent="0.2">
      <c r="A4676" s="6" t="s">
        <v>943</v>
      </c>
      <c r="B4676" s="6" t="s">
        <v>1597</v>
      </c>
      <c r="C4676" s="6" t="s">
        <v>1418</v>
      </c>
      <c r="D4676" s="6" t="s">
        <v>1380</v>
      </c>
      <c r="I4676" s="9"/>
      <c r="J4676" s="9"/>
      <c r="K4676" s="9">
        <v>44009420</v>
      </c>
      <c r="L4676" s="6" t="str">
        <f>B4676&amp;" "&amp;C4676&amp;" "&amp;D4676</f>
        <v>1D  VESTA KOMODİN (2 ADET)</v>
      </c>
      <c r="M4676" s="12">
        <v>0.5</v>
      </c>
      <c r="N4676" s="12">
        <v>0.5</v>
      </c>
      <c r="O4676" s="12">
        <v>13200</v>
      </c>
      <c r="P4676" s="12">
        <f t="shared" si="461"/>
        <v>6600</v>
      </c>
      <c r="Q4676" s="12">
        <f t="shared" si="458"/>
        <v>13860</v>
      </c>
      <c r="R4676" s="33">
        <f t="shared" si="462"/>
        <v>13800</v>
      </c>
      <c r="T4676" s="12"/>
      <c r="U4676" s="12">
        <v>20800</v>
      </c>
      <c r="V4676" s="12"/>
      <c r="W4676" s="12">
        <f t="shared" si="460"/>
        <v>16500</v>
      </c>
    </row>
    <row r="4677" spans="1:23" s="6" customFormat="1" ht="21.95" customHeight="1" x14ac:dyDescent="0.2">
      <c r="A4677" s="6" t="s">
        <v>943</v>
      </c>
      <c r="B4677" s="6" t="s">
        <v>1597</v>
      </c>
      <c r="C4677" s="6" t="s">
        <v>2139</v>
      </c>
      <c r="D4677" s="6" t="s">
        <v>943</v>
      </c>
      <c r="G4677" s="6">
        <v>90</v>
      </c>
      <c r="H4677" s="6">
        <v>190</v>
      </c>
      <c r="I4677" s="9"/>
      <c r="J4677" s="9"/>
      <c r="K4677" s="9">
        <v>44009446</v>
      </c>
      <c r="L4677" s="6" t="str">
        <f t="shared" ref="L4677:L4708" si="463">B4677&amp;" "&amp;C4677&amp;" "&amp;D4677&amp;" "&amp;G4677&amp;"x"&amp;H4677</f>
        <v>1D  COOLBED YATAK  90x190</v>
      </c>
      <c r="M4677" s="12">
        <v>0.5</v>
      </c>
      <c r="N4677" s="12">
        <v>0.5</v>
      </c>
      <c r="O4677" s="12">
        <v>11200</v>
      </c>
      <c r="P4677" s="12">
        <f t="shared" si="461"/>
        <v>5600</v>
      </c>
      <c r="Q4677" s="12">
        <f t="shared" si="458"/>
        <v>11760</v>
      </c>
      <c r="R4677" s="33">
        <f t="shared" si="462"/>
        <v>11700</v>
      </c>
      <c r="T4677" s="12"/>
      <c r="U4677" s="12">
        <v>23400</v>
      </c>
      <c r="V4677" s="12"/>
      <c r="W4677" s="12">
        <f t="shared" si="460"/>
        <v>14000</v>
      </c>
    </row>
    <row r="4678" spans="1:23" s="6" customFormat="1" ht="21.95" customHeight="1" x14ac:dyDescent="0.2">
      <c r="A4678" s="6" t="s">
        <v>943</v>
      </c>
      <c r="B4678" s="6" t="s">
        <v>1597</v>
      </c>
      <c r="C4678" s="6" t="s">
        <v>2139</v>
      </c>
      <c r="D4678" s="6" t="s">
        <v>943</v>
      </c>
      <c r="G4678" s="6">
        <v>90</v>
      </c>
      <c r="H4678" s="6">
        <v>200</v>
      </c>
      <c r="I4678" s="9"/>
      <c r="J4678" s="9"/>
      <c r="K4678" s="9">
        <v>44009447</v>
      </c>
      <c r="L4678" s="6" t="str">
        <f t="shared" si="463"/>
        <v>1D  COOLBED YATAK  90x200</v>
      </c>
      <c r="M4678" s="12">
        <v>0.5</v>
      </c>
      <c r="N4678" s="12">
        <v>0.5</v>
      </c>
      <c r="O4678" s="12">
        <v>11800</v>
      </c>
      <c r="P4678" s="12">
        <f t="shared" si="461"/>
        <v>5900</v>
      </c>
      <c r="Q4678" s="12">
        <f t="shared" si="458"/>
        <v>12390</v>
      </c>
      <c r="R4678" s="33">
        <f t="shared" si="462"/>
        <v>12300</v>
      </c>
      <c r="T4678" s="12"/>
      <c r="U4678" s="12">
        <v>7000</v>
      </c>
      <c r="V4678" s="12"/>
      <c r="W4678" s="12">
        <f t="shared" si="460"/>
        <v>14750</v>
      </c>
    </row>
    <row r="4679" spans="1:23" s="6" customFormat="1" ht="21.95" customHeight="1" x14ac:dyDescent="0.2">
      <c r="A4679" s="6" t="s">
        <v>943</v>
      </c>
      <c r="B4679" s="6" t="s">
        <v>1597</v>
      </c>
      <c r="C4679" s="6" t="s">
        <v>2139</v>
      </c>
      <c r="D4679" s="6" t="s">
        <v>943</v>
      </c>
      <c r="G4679" s="6">
        <v>100</v>
      </c>
      <c r="H4679" s="6">
        <v>200</v>
      </c>
      <c r="I4679" s="9"/>
      <c r="J4679" s="9"/>
      <c r="K4679" s="9">
        <v>44009448</v>
      </c>
      <c r="L4679" s="6" t="str">
        <f t="shared" si="463"/>
        <v>1D  COOLBED YATAK  100x200</v>
      </c>
      <c r="M4679" s="12">
        <v>0.5</v>
      </c>
      <c r="N4679" s="12">
        <v>0.5</v>
      </c>
      <c r="O4679" s="12">
        <v>13100</v>
      </c>
      <c r="P4679" s="12">
        <f t="shared" si="461"/>
        <v>6550</v>
      </c>
      <c r="Q4679" s="12">
        <f t="shared" si="458"/>
        <v>13755</v>
      </c>
      <c r="R4679" s="33">
        <f t="shared" si="462"/>
        <v>13700</v>
      </c>
      <c r="T4679" s="12"/>
      <c r="U4679" s="12">
        <v>7000</v>
      </c>
      <c r="V4679" s="12"/>
      <c r="W4679" s="12">
        <f t="shared" si="460"/>
        <v>16375</v>
      </c>
    </row>
    <row r="4680" spans="1:23" s="6" customFormat="1" ht="21.95" customHeight="1" x14ac:dyDescent="0.2">
      <c r="A4680" s="6" t="s">
        <v>943</v>
      </c>
      <c r="B4680" s="6" t="s">
        <v>1597</v>
      </c>
      <c r="C4680" s="6" t="s">
        <v>2139</v>
      </c>
      <c r="D4680" s="6" t="s">
        <v>943</v>
      </c>
      <c r="G4680" s="6">
        <v>120</v>
      </c>
      <c r="H4680" s="6">
        <v>200</v>
      </c>
      <c r="I4680" s="9"/>
      <c r="J4680" s="9"/>
      <c r="K4680" s="9">
        <v>44009449</v>
      </c>
      <c r="L4680" s="6" t="str">
        <f t="shared" si="463"/>
        <v>1D  COOLBED YATAK  120x200</v>
      </c>
      <c r="M4680" s="12">
        <v>0.5</v>
      </c>
      <c r="N4680" s="12">
        <v>0.5</v>
      </c>
      <c r="O4680" s="12">
        <v>15700</v>
      </c>
      <c r="P4680" s="12">
        <f t="shared" si="461"/>
        <v>7850</v>
      </c>
      <c r="Q4680" s="12">
        <f t="shared" si="458"/>
        <v>16485</v>
      </c>
      <c r="R4680" s="33">
        <f t="shared" si="462"/>
        <v>16400</v>
      </c>
      <c r="T4680" s="12"/>
      <c r="U4680" s="12">
        <v>7100</v>
      </c>
      <c r="V4680" s="12"/>
      <c r="W4680" s="12">
        <f t="shared" si="460"/>
        <v>19625</v>
      </c>
    </row>
    <row r="4681" spans="1:23" s="6" customFormat="1" ht="21.95" customHeight="1" x14ac:dyDescent="0.2">
      <c r="A4681" s="6" t="s">
        <v>943</v>
      </c>
      <c r="B4681" s="6" t="s">
        <v>1597</v>
      </c>
      <c r="C4681" s="6" t="s">
        <v>2139</v>
      </c>
      <c r="D4681" s="6" t="s">
        <v>943</v>
      </c>
      <c r="G4681" s="6">
        <v>140</v>
      </c>
      <c r="H4681" s="6">
        <v>200</v>
      </c>
      <c r="I4681" s="9"/>
      <c r="J4681" s="9"/>
      <c r="K4681" s="9">
        <v>44009450</v>
      </c>
      <c r="L4681" s="6" t="str">
        <f t="shared" si="463"/>
        <v>1D  COOLBED YATAK  140x200</v>
      </c>
      <c r="M4681" s="12">
        <v>0.5</v>
      </c>
      <c r="N4681" s="12">
        <v>0.5</v>
      </c>
      <c r="O4681" s="12">
        <v>18300</v>
      </c>
      <c r="P4681" s="12">
        <f t="shared" si="461"/>
        <v>9150</v>
      </c>
      <c r="Q4681" s="12">
        <f t="shared" si="458"/>
        <v>19215</v>
      </c>
      <c r="R4681" s="33">
        <f t="shared" si="462"/>
        <v>19200</v>
      </c>
      <c r="T4681" s="12"/>
      <c r="U4681" s="12">
        <v>8500</v>
      </c>
      <c r="V4681" s="12"/>
      <c r="W4681" s="12">
        <f t="shared" si="460"/>
        <v>22875</v>
      </c>
    </row>
    <row r="4682" spans="1:23" s="6" customFormat="1" ht="21.95" customHeight="1" x14ac:dyDescent="0.2">
      <c r="A4682" s="6" t="s">
        <v>943</v>
      </c>
      <c r="B4682" s="6" t="s">
        <v>1597</v>
      </c>
      <c r="C4682" s="6" t="s">
        <v>2139</v>
      </c>
      <c r="D4682" s="6" t="s">
        <v>943</v>
      </c>
      <c r="G4682" s="6">
        <v>150</v>
      </c>
      <c r="H4682" s="6">
        <v>200</v>
      </c>
      <c r="I4682" s="9"/>
      <c r="J4682" s="9"/>
      <c r="K4682" s="9">
        <v>44009451</v>
      </c>
      <c r="L4682" s="6" t="str">
        <f t="shared" si="463"/>
        <v>1D  COOLBED YATAK  150x200</v>
      </c>
      <c r="M4682" s="12">
        <v>0.5</v>
      </c>
      <c r="N4682" s="12">
        <v>0.5</v>
      </c>
      <c r="O4682" s="12">
        <v>19600</v>
      </c>
      <c r="P4682" s="12">
        <f t="shared" si="461"/>
        <v>9800</v>
      </c>
      <c r="Q4682" s="12">
        <f t="shared" si="458"/>
        <v>20580</v>
      </c>
      <c r="R4682" s="33">
        <f t="shared" si="462"/>
        <v>20500</v>
      </c>
      <c r="T4682" s="12"/>
      <c r="U4682" s="12">
        <v>9900</v>
      </c>
      <c r="V4682" s="12"/>
      <c r="W4682" s="12">
        <f t="shared" si="460"/>
        <v>24500</v>
      </c>
    </row>
    <row r="4683" spans="1:23" s="6" customFormat="1" ht="21.95" customHeight="1" x14ac:dyDescent="0.2">
      <c r="A4683" s="6" t="s">
        <v>943</v>
      </c>
      <c r="B4683" s="6" t="s">
        <v>1597</v>
      </c>
      <c r="C4683" s="6" t="s">
        <v>2139</v>
      </c>
      <c r="D4683" s="6" t="s">
        <v>943</v>
      </c>
      <c r="G4683" s="6">
        <v>160</v>
      </c>
      <c r="H4683" s="6">
        <v>200</v>
      </c>
      <c r="I4683" s="9"/>
      <c r="J4683" s="9"/>
      <c r="K4683" s="9">
        <v>44009452</v>
      </c>
      <c r="L4683" s="6" t="str">
        <f t="shared" si="463"/>
        <v>1D  COOLBED YATAK  160x200</v>
      </c>
      <c r="M4683" s="12">
        <v>0.5</v>
      </c>
      <c r="N4683" s="12">
        <v>0.5</v>
      </c>
      <c r="O4683" s="12">
        <v>20900</v>
      </c>
      <c r="P4683" s="12">
        <f t="shared" si="461"/>
        <v>10450</v>
      </c>
      <c r="Q4683" s="12">
        <f t="shared" si="458"/>
        <v>21945</v>
      </c>
      <c r="R4683" s="33">
        <f t="shared" si="462"/>
        <v>21900</v>
      </c>
      <c r="T4683" s="12"/>
      <c r="U4683" s="12">
        <v>10600</v>
      </c>
      <c r="V4683" s="12"/>
      <c r="W4683" s="12">
        <f t="shared" si="460"/>
        <v>26125</v>
      </c>
    </row>
    <row r="4684" spans="1:23" s="6" customFormat="1" ht="21.95" customHeight="1" x14ac:dyDescent="0.2">
      <c r="A4684" s="6" t="s">
        <v>943</v>
      </c>
      <c r="B4684" s="6" t="s">
        <v>1597</v>
      </c>
      <c r="C4684" s="6" t="s">
        <v>2139</v>
      </c>
      <c r="D4684" s="6" t="s">
        <v>943</v>
      </c>
      <c r="G4684" s="6">
        <v>180</v>
      </c>
      <c r="H4684" s="6">
        <v>200</v>
      </c>
      <c r="I4684" s="9"/>
      <c r="J4684" s="9"/>
      <c r="K4684" s="9">
        <v>44009453</v>
      </c>
      <c r="L4684" s="6" t="str">
        <f t="shared" si="463"/>
        <v>1D  COOLBED YATAK  180x200</v>
      </c>
      <c r="M4684" s="12">
        <v>0.5</v>
      </c>
      <c r="N4684" s="12">
        <v>0.5</v>
      </c>
      <c r="O4684" s="12">
        <v>23500</v>
      </c>
      <c r="P4684" s="12">
        <f t="shared" si="461"/>
        <v>11750</v>
      </c>
      <c r="Q4684" s="12">
        <f t="shared" si="458"/>
        <v>24675</v>
      </c>
      <c r="R4684" s="33">
        <f t="shared" si="462"/>
        <v>24600</v>
      </c>
      <c r="T4684" s="12"/>
      <c r="U4684" s="12">
        <v>11300</v>
      </c>
      <c r="V4684" s="12"/>
      <c r="W4684" s="12">
        <f t="shared" si="460"/>
        <v>29375</v>
      </c>
    </row>
    <row r="4685" spans="1:23" s="6" customFormat="1" ht="21.95" customHeight="1" x14ac:dyDescent="0.2">
      <c r="A4685" s="6" t="s">
        <v>943</v>
      </c>
      <c r="B4685" s="6" t="s">
        <v>1597</v>
      </c>
      <c r="C4685" s="6" t="s">
        <v>1419</v>
      </c>
      <c r="D4685" s="6" t="s">
        <v>943</v>
      </c>
      <c r="G4685" s="6">
        <v>90</v>
      </c>
      <c r="H4685" s="6">
        <v>190</v>
      </c>
      <c r="I4685" s="9"/>
      <c r="J4685" s="9"/>
      <c r="K4685" s="9">
        <v>44009454</v>
      </c>
      <c r="L4685" s="6" t="str">
        <f t="shared" si="463"/>
        <v>1D  DIAMOND YATAK  90x190</v>
      </c>
      <c r="M4685" s="12">
        <v>0.5</v>
      </c>
      <c r="N4685" s="12">
        <v>0.5</v>
      </c>
      <c r="O4685" s="12">
        <v>8200</v>
      </c>
      <c r="P4685" s="12">
        <f t="shared" si="461"/>
        <v>4100</v>
      </c>
      <c r="Q4685" s="12">
        <f t="shared" si="458"/>
        <v>8610</v>
      </c>
      <c r="R4685" s="33">
        <f t="shared" si="462"/>
        <v>8600</v>
      </c>
      <c r="T4685" s="12"/>
      <c r="U4685" s="12">
        <v>12700</v>
      </c>
      <c r="V4685" s="12"/>
      <c r="W4685" s="12">
        <f t="shared" si="460"/>
        <v>10250</v>
      </c>
    </row>
    <row r="4686" spans="1:23" s="6" customFormat="1" ht="21.95" customHeight="1" x14ac:dyDescent="0.2">
      <c r="A4686" s="6" t="s">
        <v>943</v>
      </c>
      <c r="B4686" s="6" t="s">
        <v>1597</v>
      </c>
      <c r="C4686" s="6" t="s">
        <v>1419</v>
      </c>
      <c r="D4686" s="6" t="s">
        <v>943</v>
      </c>
      <c r="G4686" s="6">
        <v>90</v>
      </c>
      <c r="H4686" s="6">
        <v>200</v>
      </c>
      <c r="I4686" s="9"/>
      <c r="J4686" s="9"/>
      <c r="K4686" s="9">
        <v>44009455</v>
      </c>
      <c r="L4686" s="6" t="str">
        <f t="shared" si="463"/>
        <v>1D  DIAMOND YATAK  90x200</v>
      </c>
      <c r="M4686" s="12">
        <v>0.5</v>
      </c>
      <c r="N4686" s="12">
        <v>0.5</v>
      </c>
      <c r="O4686" s="12">
        <v>8600</v>
      </c>
      <c r="P4686" s="12">
        <f t="shared" si="461"/>
        <v>4300</v>
      </c>
      <c r="Q4686" s="12">
        <f t="shared" si="458"/>
        <v>9030</v>
      </c>
      <c r="R4686" s="33">
        <f t="shared" si="462"/>
        <v>9000</v>
      </c>
      <c r="T4686" s="12"/>
      <c r="U4686" s="12">
        <v>13300</v>
      </c>
      <c r="V4686" s="12"/>
      <c r="W4686" s="12">
        <f t="shared" ref="W4686:W4733" si="464">P4686*2.5</f>
        <v>10750</v>
      </c>
    </row>
    <row r="4687" spans="1:23" s="6" customFormat="1" ht="21.95" customHeight="1" x14ac:dyDescent="0.2">
      <c r="A4687" s="6" t="s">
        <v>943</v>
      </c>
      <c r="B4687" s="6" t="s">
        <v>1597</v>
      </c>
      <c r="C4687" s="6" t="s">
        <v>1419</v>
      </c>
      <c r="D4687" s="6" t="s">
        <v>943</v>
      </c>
      <c r="G4687" s="6">
        <v>100</v>
      </c>
      <c r="H4687" s="6">
        <v>200</v>
      </c>
      <c r="I4687" s="9"/>
      <c r="J4687" s="9"/>
      <c r="K4687" s="9">
        <v>44009456</v>
      </c>
      <c r="L4687" s="6" t="str">
        <f t="shared" si="463"/>
        <v>1D  DIAMOND YATAK  100x200</v>
      </c>
      <c r="M4687" s="12">
        <v>0.5</v>
      </c>
      <c r="N4687" s="12">
        <v>0.5</v>
      </c>
      <c r="O4687" s="12">
        <v>9600</v>
      </c>
      <c r="P4687" s="12">
        <f t="shared" si="461"/>
        <v>4800</v>
      </c>
      <c r="Q4687" s="12">
        <f t="shared" si="458"/>
        <v>10080</v>
      </c>
      <c r="R4687" s="33">
        <f t="shared" si="462"/>
        <v>10000</v>
      </c>
      <c r="T4687" s="12"/>
      <c r="U4687" s="12">
        <v>14000</v>
      </c>
      <c r="V4687" s="12"/>
      <c r="W4687" s="12">
        <f t="shared" si="464"/>
        <v>12000</v>
      </c>
    </row>
    <row r="4688" spans="1:23" s="6" customFormat="1" ht="21.95" customHeight="1" x14ac:dyDescent="0.2">
      <c r="A4688" s="6" t="s">
        <v>943</v>
      </c>
      <c r="B4688" s="6" t="s">
        <v>1597</v>
      </c>
      <c r="C4688" s="6" t="s">
        <v>1419</v>
      </c>
      <c r="D4688" s="6" t="s">
        <v>943</v>
      </c>
      <c r="G4688" s="6">
        <v>120</v>
      </c>
      <c r="H4688" s="6">
        <v>200</v>
      </c>
      <c r="I4688" s="9"/>
      <c r="J4688" s="9"/>
      <c r="K4688" s="9">
        <v>44009457</v>
      </c>
      <c r="L4688" s="6" t="str">
        <f t="shared" si="463"/>
        <v>1D  DIAMOND YATAK  120x200</v>
      </c>
      <c r="M4688" s="12">
        <v>0.5</v>
      </c>
      <c r="N4688" s="12">
        <v>0.5</v>
      </c>
      <c r="O4688" s="12">
        <v>11500</v>
      </c>
      <c r="P4688" s="12">
        <f t="shared" si="461"/>
        <v>5750</v>
      </c>
      <c r="Q4688" s="12">
        <f t="shared" si="458"/>
        <v>12075</v>
      </c>
      <c r="R4688" s="33">
        <f t="shared" si="462"/>
        <v>12000</v>
      </c>
      <c r="T4688" s="12"/>
      <c r="U4688" s="12">
        <v>14200</v>
      </c>
      <c r="V4688" s="12"/>
      <c r="W4688" s="12">
        <f t="shared" si="464"/>
        <v>14375</v>
      </c>
    </row>
    <row r="4689" spans="1:23" s="6" customFormat="1" ht="21.95" customHeight="1" x14ac:dyDescent="0.2">
      <c r="A4689" s="6" t="s">
        <v>943</v>
      </c>
      <c r="B4689" s="6" t="s">
        <v>1597</v>
      </c>
      <c r="C4689" s="6" t="s">
        <v>1419</v>
      </c>
      <c r="D4689" s="6" t="s">
        <v>943</v>
      </c>
      <c r="G4689" s="6">
        <v>140</v>
      </c>
      <c r="H4689" s="6">
        <v>200</v>
      </c>
      <c r="I4689" s="9"/>
      <c r="J4689" s="9"/>
      <c r="K4689" s="9">
        <v>44009458</v>
      </c>
      <c r="L4689" s="6" t="str">
        <f t="shared" si="463"/>
        <v>1D  DIAMOND YATAK  140x200</v>
      </c>
      <c r="M4689" s="12">
        <v>0.5</v>
      </c>
      <c r="N4689" s="12">
        <v>0.5</v>
      </c>
      <c r="O4689" s="12">
        <v>13400</v>
      </c>
      <c r="P4689" s="12">
        <f t="shared" si="461"/>
        <v>6700</v>
      </c>
      <c r="Q4689" s="12">
        <f t="shared" si="458"/>
        <v>14070</v>
      </c>
      <c r="R4689" s="33">
        <f t="shared" si="462"/>
        <v>14000</v>
      </c>
      <c r="T4689" s="12"/>
      <c r="U4689" s="12">
        <v>17000</v>
      </c>
      <c r="V4689" s="12"/>
      <c r="W4689" s="12">
        <f t="shared" si="464"/>
        <v>16750</v>
      </c>
    </row>
    <row r="4690" spans="1:23" s="6" customFormat="1" ht="21.95" customHeight="1" x14ac:dyDescent="0.2">
      <c r="A4690" s="6" t="s">
        <v>943</v>
      </c>
      <c r="B4690" s="6" t="s">
        <v>1597</v>
      </c>
      <c r="C4690" s="6" t="s">
        <v>1419</v>
      </c>
      <c r="D4690" s="6" t="s">
        <v>943</v>
      </c>
      <c r="G4690" s="6">
        <v>150</v>
      </c>
      <c r="H4690" s="6">
        <v>200</v>
      </c>
      <c r="I4690" s="9"/>
      <c r="J4690" s="9"/>
      <c r="K4690" s="9">
        <v>44009459</v>
      </c>
      <c r="L4690" s="6" t="str">
        <f t="shared" si="463"/>
        <v>1D  DIAMOND YATAK  150x200</v>
      </c>
      <c r="M4690" s="12">
        <v>0.5</v>
      </c>
      <c r="N4690" s="12">
        <v>0.5</v>
      </c>
      <c r="O4690" s="12">
        <v>14300</v>
      </c>
      <c r="P4690" s="12">
        <f t="shared" si="461"/>
        <v>7150</v>
      </c>
      <c r="Q4690" s="12">
        <f t="shared" si="458"/>
        <v>15015</v>
      </c>
      <c r="R4690" s="33">
        <f t="shared" si="462"/>
        <v>15000</v>
      </c>
      <c r="T4690" s="12"/>
      <c r="U4690" s="12">
        <v>19900</v>
      </c>
      <c r="V4690" s="12"/>
      <c r="W4690" s="12">
        <f t="shared" si="464"/>
        <v>17875</v>
      </c>
    </row>
    <row r="4691" spans="1:23" s="6" customFormat="1" ht="21.95" customHeight="1" x14ac:dyDescent="0.2">
      <c r="A4691" s="6" t="s">
        <v>943</v>
      </c>
      <c r="B4691" s="6" t="s">
        <v>1597</v>
      </c>
      <c r="C4691" s="6" t="s">
        <v>1419</v>
      </c>
      <c r="D4691" s="6" t="s">
        <v>943</v>
      </c>
      <c r="G4691" s="6">
        <v>160</v>
      </c>
      <c r="H4691" s="6">
        <v>200</v>
      </c>
      <c r="I4691" s="9"/>
      <c r="J4691" s="9"/>
      <c r="K4691" s="9">
        <v>44009460</v>
      </c>
      <c r="L4691" s="6" t="str">
        <f t="shared" si="463"/>
        <v>1D  DIAMOND YATAK  160x200</v>
      </c>
      <c r="M4691" s="12">
        <v>0.5</v>
      </c>
      <c r="N4691" s="12">
        <v>0.5</v>
      </c>
      <c r="O4691" s="12">
        <v>15300</v>
      </c>
      <c r="P4691" s="12">
        <f t="shared" si="461"/>
        <v>7650</v>
      </c>
      <c r="Q4691" s="12">
        <f t="shared" ref="Q4691:Q4743" si="465">O4691*(1-N4691)*2.1</f>
        <v>16065</v>
      </c>
      <c r="R4691" s="33">
        <f t="shared" si="462"/>
        <v>16000</v>
      </c>
      <c r="T4691" s="12"/>
      <c r="U4691" s="12">
        <v>21300</v>
      </c>
      <c r="V4691" s="12"/>
      <c r="W4691" s="12">
        <f t="shared" si="464"/>
        <v>19125</v>
      </c>
    </row>
    <row r="4692" spans="1:23" s="6" customFormat="1" ht="21.95" customHeight="1" x14ac:dyDescent="0.2">
      <c r="A4692" s="6" t="s">
        <v>943</v>
      </c>
      <c r="B4692" s="6" t="s">
        <v>1597</v>
      </c>
      <c r="C4692" s="6" t="s">
        <v>1419</v>
      </c>
      <c r="D4692" s="6" t="s">
        <v>943</v>
      </c>
      <c r="G4692" s="6">
        <v>180</v>
      </c>
      <c r="H4692" s="6">
        <v>200</v>
      </c>
      <c r="I4692" s="9"/>
      <c r="J4692" s="9"/>
      <c r="K4692" s="9">
        <v>44009461</v>
      </c>
      <c r="L4692" s="6" t="str">
        <f t="shared" si="463"/>
        <v>1D  DIAMOND YATAK  180x200</v>
      </c>
      <c r="M4692" s="12">
        <v>0.5</v>
      </c>
      <c r="N4692" s="12">
        <v>0.5</v>
      </c>
      <c r="O4692" s="12">
        <v>17200</v>
      </c>
      <c r="P4692" s="12">
        <f t="shared" si="461"/>
        <v>8600</v>
      </c>
      <c r="Q4692" s="12">
        <f t="shared" si="465"/>
        <v>18060</v>
      </c>
      <c r="R4692" s="33">
        <f t="shared" si="462"/>
        <v>18000</v>
      </c>
      <c r="T4692" s="12"/>
      <c r="U4692" s="12">
        <v>22700</v>
      </c>
      <c r="V4692" s="12"/>
      <c r="W4692" s="12">
        <f t="shared" si="464"/>
        <v>21500</v>
      </c>
    </row>
    <row r="4693" spans="1:23" s="6" customFormat="1" ht="21.95" customHeight="1" x14ac:dyDescent="0.2">
      <c r="A4693" s="6" t="s">
        <v>943</v>
      </c>
      <c r="B4693" s="6" t="s">
        <v>1597</v>
      </c>
      <c r="C4693" s="6" t="s">
        <v>1421</v>
      </c>
      <c r="D4693" s="6" t="s">
        <v>943</v>
      </c>
      <c r="G4693" s="6">
        <v>90</v>
      </c>
      <c r="H4693" s="6">
        <v>190</v>
      </c>
      <c r="I4693" s="9"/>
      <c r="J4693" s="9"/>
      <c r="K4693" s="9">
        <v>44009470</v>
      </c>
      <c r="L4693" s="6" t="str">
        <f t="shared" si="463"/>
        <v>1D  JOYBED YATAK  90x190</v>
      </c>
      <c r="M4693" s="12">
        <v>0.5</v>
      </c>
      <c r="N4693" s="12">
        <v>0.5</v>
      </c>
      <c r="O4693" s="12">
        <v>8600</v>
      </c>
      <c r="P4693" s="12">
        <f t="shared" si="461"/>
        <v>4300</v>
      </c>
      <c r="Q4693" s="12">
        <f t="shared" si="465"/>
        <v>9030</v>
      </c>
      <c r="R4693" s="33">
        <f t="shared" si="462"/>
        <v>9000</v>
      </c>
      <c r="T4693" s="12"/>
      <c r="U4693" s="12">
        <v>25500</v>
      </c>
      <c r="V4693" s="12"/>
      <c r="W4693" s="12">
        <f t="shared" si="464"/>
        <v>10750</v>
      </c>
    </row>
    <row r="4694" spans="1:23" s="6" customFormat="1" ht="21.95" customHeight="1" x14ac:dyDescent="0.2">
      <c r="A4694" s="6" t="s">
        <v>943</v>
      </c>
      <c r="B4694" s="6" t="s">
        <v>1597</v>
      </c>
      <c r="C4694" s="6" t="s">
        <v>1421</v>
      </c>
      <c r="D4694" s="6" t="s">
        <v>943</v>
      </c>
      <c r="G4694" s="6">
        <v>90</v>
      </c>
      <c r="H4694" s="6">
        <v>200</v>
      </c>
      <c r="I4694" s="9"/>
      <c r="J4694" s="9"/>
      <c r="K4694" s="9">
        <v>44009471</v>
      </c>
      <c r="L4694" s="6" t="str">
        <f t="shared" si="463"/>
        <v>1D  JOYBED YATAK  90x200</v>
      </c>
      <c r="M4694" s="12">
        <v>0.5</v>
      </c>
      <c r="N4694" s="12">
        <v>0.5</v>
      </c>
      <c r="O4694" s="12">
        <v>9000</v>
      </c>
      <c r="P4694" s="12">
        <f t="shared" si="461"/>
        <v>4500</v>
      </c>
      <c r="Q4694" s="12">
        <f t="shared" si="465"/>
        <v>9450</v>
      </c>
      <c r="R4694" s="33">
        <f t="shared" si="462"/>
        <v>9400</v>
      </c>
      <c r="T4694" s="12"/>
      <c r="U4694" s="12">
        <v>19300</v>
      </c>
      <c r="V4694" s="12"/>
      <c r="W4694" s="12">
        <f t="shared" si="464"/>
        <v>11250</v>
      </c>
    </row>
    <row r="4695" spans="1:23" s="6" customFormat="1" ht="21.95" customHeight="1" x14ac:dyDescent="0.2">
      <c r="A4695" s="6" t="s">
        <v>943</v>
      </c>
      <c r="B4695" s="6" t="s">
        <v>1597</v>
      </c>
      <c r="C4695" s="6" t="s">
        <v>1421</v>
      </c>
      <c r="D4695" s="6" t="s">
        <v>943</v>
      </c>
      <c r="G4695" s="6">
        <v>100</v>
      </c>
      <c r="H4695" s="6">
        <v>200</v>
      </c>
      <c r="I4695" s="9"/>
      <c r="J4695" s="9"/>
      <c r="K4695" s="9">
        <v>44009472</v>
      </c>
      <c r="L4695" s="6" t="str">
        <f t="shared" si="463"/>
        <v>1D  JOYBED YATAK  100x200</v>
      </c>
      <c r="M4695" s="12">
        <v>0.5</v>
      </c>
      <c r="N4695" s="12">
        <v>0.5</v>
      </c>
      <c r="O4695" s="12">
        <v>10000</v>
      </c>
      <c r="P4695" s="12">
        <f t="shared" si="461"/>
        <v>5000</v>
      </c>
      <c r="Q4695" s="12">
        <f t="shared" si="465"/>
        <v>10500</v>
      </c>
      <c r="R4695" s="33">
        <f t="shared" si="462"/>
        <v>10500</v>
      </c>
      <c r="T4695" s="12"/>
      <c r="U4695" s="12">
        <v>18000</v>
      </c>
      <c r="V4695" s="12"/>
      <c r="W4695" s="12">
        <f t="shared" si="464"/>
        <v>12500</v>
      </c>
    </row>
    <row r="4696" spans="1:23" s="6" customFormat="1" ht="21.95" customHeight="1" x14ac:dyDescent="0.2">
      <c r="A4696" s="6" t="s">
        <v>943</v>
      </c>
      <c r="B4696" s="6" t="s">
        <v>1597</v>
      </c>
      <c r="C4696" s="6" t="s">
        <v>1421</v>
      </c>
      <c r="D4696" s="6" t="s">
        <v>943</v>
      </c>
      <c r="G4696" s="6">
        <v>120</v>
      </c>
      <c r="H4696" s="6">
        <v>200</v>
      </c>
      <c r="I4696" s="9"/>
      <c r="J4696" s="9"/>
      <c r="K4696" s="9">
        <v>44009473</v>
      </c>
      <c r="L4696" s="6" t="str">
        <f t="shared" si="463"/>
        <v>1D  JOYBED YATAK  120x200</v>
      </c>
      <c r="M4696" s="12">
        <v>0.5</v>
      </c>
      <c r="N4696" s="12">
        <v>0.5</v>
      </c>
      <c r="O4696" s="12">
        <v>12000</v>
      </c>
      <c r="P4696" s="12">
        <f t="shared" si="461"/>
        <v>6000</v>
      </c>
      <c r="Q4696" s="12">
        <f t="shared" si="465"/>
        <v>12600</v>
      </c>
      <c r="R4696" s="33">
        <f t="shared" si="462"/>
        <v>12600</v>
      </c>
      <c r="T4696" s="12"/>
      <c r="U4696" s="12">
        <v>19300</v>
      </c>
      <c r="V4696" s="12"/>
      <c r="W4696" s="12">
        <f t="shared" si="464"/>
        <v>15000</v>
      </c>
    </row>
    <row r="4697" spans="1:23" s="6" customFormat="1" ht="21.95" customHeight="1" x14ac:dyDescent="0.2">
      <c r="A4697" s="6" t="s">
        <v>943</v>
      </c>
      <c r="B4697" s="6" t="s">
        <v>1597</v>
      </c>
      <c r="C4697" s="6" t="s">
        <v>1421</v>
      </c>
      <c r="D4697" s="6" t="s">
        <v>943</v>
      </c>
      <c r="G4697" s="6">
        <v>140</v>
      </c>
      <c r="H4697" s="6">
        <v>200</v>
      </c>
      <c r="I4697" s="9"/>
      <c r="J4697" s="9"/>
      <c r="K4697" s="9">
        <v>44009474</v>
      </c>
      <c r="L4697" s="6" t="str">
        <f t="shared" si="463"/>
        <v>1D  JOYBED YATAK  140x200</v>
      </c>
      <c r="M4697" s="12">
        <v>0.5</v>
      </c>
      <c r="N4697" s="12">
        <v>0.5</v>
      </c>
      <c r="O4697" s="12">
        <v>14000</v>
      </c>
      <c r="P4697" s="12">
        <f t="shared" si="461"/>
        <v>7000</v>
      </c>
      <c r="Q4697" s="12">
        <f t="shared" si="465"/>
        <v>14700</v>
      </c>
      <c r="R4697" s="33">
        <f t="shared" si="462"/>
        <v>14700</v>
      </c>
      <c r="T4697" s="12"/>
      <c r="U4697" s="12">
        <v>20600</v>
      </c>
      <c r="V4697" s="12"/>
      <c r="W4697" s="12">
        <f t="shared" si="464"/>
        <v>17500</v>
      </c>
    </row>
    <row r="4698" spans="1:23" s="6" customFormat="1" ht="21.95" customHeight="1" x14ac:dyDescent="0.2">
      <c r="A4698" s="6" t="s">
        <v>943</v>
      </c>
      <c r="B4698" s="6" t="s">
        <v>1597</v>
      </c>
      <c r="C4698" s="6" t="s">
        <v>1421</v>
      </c>
      <c r="D4698" s="6" t="s">
        <v>943</v>
      </c>
      <c r="G4698" s="6">
        <v>150</v>
      </c>
      <c r="H4698" s="6">
        <v>200</v>
      </c>
      <c r="I4698" s="9"/>
      <c r="J4698" s="9"/>
      <c r="K4698" s="9">
        <v>44009475</v>
      </c>
      <c r="L4698" s="6" t="str">
        <f t="shared" si="463"/>
        <v>1D  JOYBED YATAK  150x200</v>
      </c>
      <c r="M4698" s="12">
        <v>0.5</v>
      </c>
      <c r="N4698" s="12">
        <v>0.5</v>
      </c>
      <c r="O4698" s="12">
        <v>15000</v>
      </c>
      <c r="P4698" s="12">
        <f t="shared" si="461"/>
        <v>7500</v>
      </c>
      <c r="Q4698" s="12">
        <f t="shared" si="465"/>
        <v>15750</v>
      </c>
      <c r="R4698" s="33">
        <f t="shared" si="462"/>
        <v>15700</v>
      </c>
      <c r="T4698" s="12"/>
      <c r="U4698" s="12">
        <v>23200</v>
      </c>
      <c r="V4698" s="12"/>
      <c r="W4698" s="12">
        <f t="shared" si="464"/>
        <v>18750</v>
      </c>
    </row>
    <row r="4699" spans="1:23" s="6" customFormat="1" ht="21.95" customHeight="1" x14ac:dyDescent="0.2">
      <c r="A4699" s="6" t="s">
        <v>943</v>
      </c>
      <c r="B4699" s="6" t="s">
        <v>1597</v>
      </c>
      <c r="C4699" s="6" t="s">
        <v>1421</v>
      </c>
      <c r="D4699" s="6" t="s">
        <v>943</v>
      </c>
      <c r="G4699" s="6">
        <v>160</v>
      </c>
      <c r="H4699" s="6">
        <v>200</v>
      </c>
      <c r="I4699" s="9"/>
      <c r="J4699" s="9"/>
      <c r="K4699" s="9">
        <v>44009476</v>
      </c>
      <c r="L4699" s="6" t="str">
        <f t="shared" si="463"/>
        <v>1D  JOYBED YATAK  160x200</v>
      </c>
      <c r="M4699" s="12">
        <v>0.5</v>
      </c>
      <c r="N4699" s="12">
        <v>0.5</v>
      </c>
      <c r="O4699" s="12">
        <v>16000</v>
      </c>
      <c r="P4699" s="12">
        <f t="shared" si="461"/>
        <v>8000</v>
      </c>
      <c r="Q4699" s="12">
        <f t="shared" si="465"/>
        <v>16800</v>
      </c>
      <c r="R4699" s="33">
        <f t="shared" si="462"/>
        <v>16800</v>
      </c>
      <c r="T4699" s="12"/>
      <c r="U4699" s="12">
        <v>30400</v>
      </c>
      <c r="V4699" s="12"/>
      <c r="W4699" s="12">
        <f t="shared" si="464"/>
        <v>20000</v>
      </c>
    </row>
    <row r="4700" spans="1:23" s="6" customFormat="1" ht="21.95" customHeight="1" x14ac:dyDescent="0.2">
      <c r="A4700" s="6" t="s">
        <v>943</v>
      </c>
      <c r="B4700" s="6" t="s">
        <v>1597</v>
      </c>
      <c r="C4700" s="6" t="s">
        <v>1421</v>
      </c>
      <c r="D4700" s="6" t="s">
        <v>943</v>
      </c>
      <c r="G4700" s="6">
        <v>180</v>
      </c>
      <c r="H4700" s="6">
        <v>200</v>
      </c>
      <c r="I4700" s="9"/>
      <c r="J4700" s="9"/>
      <c r="K4700" s="9">
        <v>44009477</v>
      </c>
      <c r="L4700" s="6" t="str">
        <f t="shared" si="463"/>
        <v>1D  JOYBED YATAK  180x200</v>
      </c>
      <c r="M4700" s="12">
        <v>0.5</v>
      </c>
      <c r="N4700" s="12">
        <v>0.5</v>
      </c>
      <c r="O4700" s="12">
        <v>18000</v>
      </c>
      <c r="P4700" s="12">
        <f t="shared" si="461"/>
        <v>9000</v>
      </c>
      <c r="Q4700" s="12">
        <f t="shared" si="465"/>
        <v>18900</v>
      </c>
      <c r="R4700" s="33">
        <f t="shared" si="462"/>
        <v>18900</v>
      </c>
      <c r="T4700" s="12"/>
      <c r="U4700" s="12">
        <v>32500</v>
      </c>
      <c r="V4700" s="12"/>
      <c r="W4700" s="12">
        <f t="shared" si="464"/>
        <v>22500</v>
      </c>
    </row>
    <row r="4701" spans="1:23" s="6" customFormat="1" ht="21.95" customHeight="1" x14ac:dyDescent="0.2">
      <c r="A4701" s="6" t="s">
        <v>943</v>
      </c>
      <c r="B4701" s="6" t="s">
        <v>1597</v>
      </c>
      <c r="C4701" s="6" t="s">
        <v>1422</v>
      </c>
      <c r="D4701" s="6" t="s">
        <v>943</v>
      </c>
      <c r="G4701" s="6">
        <v>90</v>
      </c>
      <c r="H4701" s="6">
        <v>190</v>
      </c>
      <c r="I4701" s="9"/>
      <c r="J4701" s="9"/>
      <c r="K4701" s="9">
        <v>44009486</v>
      </c>
      <c r="L4701" s="6" t="str">
        <f t="shared" si="463"/>
        <v>1D  OPUS  YATAK  90x190</v>
      </c>
      <c r="M4701" s="12">
        <v>0.5</v>
      </c>
      <c r="N4701" s="12">
        <v>0.5</v>
      </c>
      <c r="O4701" s="12">
        <v>6400</v>
      </c>
      <c r="P4701" s="12">
        <f t="shared" si="461"/>
        <v>3200</v>
      </c>
      <c r="Q4701" s="12">
        <f t="shared" si="465"/>
        <v>6720</v>
      </c>
      <c r="R4701" s="33">
        <f t="shared" si="462"/>
        <v>6700</v>
      </c>
      <c r="T4701" s="12"/>
      <c r="U4701" s="12">
        <v>34700</v>
      </c>
      <c r="V4701" s="12"/>
      <c r="W4701" s="12">
        <f t="shared" si="464"/>
        <v>8000</v>
      </c>
    </row>
    <row r="4702" spans="1:23" s="6" customFormat="1" ht="21.95" customHeight="1" x14ac:dyDescent="0.2">
      <c r="A4702" s="6" t="s">
        <v>943</v>
      </c>
      <c r="B4702" s="6" t="s">
        <v>1597</v>
      </c>
      <c r="C4702" s="6" t="s">
        <v>1422</v>
      </c>
      <c r="D4702" s="6" t="s">
        <v>943</v>
      </c>
      <c r="G4702" s="6">
        <v>90</v>
      </c>
      <c r="H4702" s="6">
        <v>200</v>
      </c>
      <c r="I4702" s="9"/>
      <c r="J4702" s="9"/>
      <c r="K4702" s="9">
        <v>44009487</v>
      </c>
      <c r="L4702" s="6" t="str">
        <f t="shared" si="463"/>
        <v>1D  OPUS  YATAK  90x200</v>
      </c>
      <c r="M4702" s="12">
        <v>0.5</v>
      </c>
      <c r="N4702" s="12">
        <v>0.5</v>
      </c>
      <c r="O4702" s="12">
        <v>6700</v>
      </c>
      <c r="P4702" s="12">
        <f t="shared" si="461"/>
        <v>3350</v>
      </c>
      <c r="Q4702" s="12">
        <f t="shared" si="465"/>
        <v>7035</v>
      </c>
      <c r="R4702" s="33">
        <f t="shared" si="462"/>
        <v>7000</v>
      </c>
      <c r="T4702" s="12"/>
      <c r="U4702" s="12">
        <v>39000</v>
      </c>
      <c r="V4702" s="12"/>
      <c r="W4702" s="12">
        <f t="shared" si="464"/>
        <v>8375</v>
      </c>
    </row>
    <row r="4703" spans="1:23" s="6" customFormat="1" ht="21.95" customHeight="1" x14ac:dyDescent="0.2">
      <c r="A4703" s="6" t="s">
        <v>943</v>
      </c>
      <c r="B4703" s="6" t="s">
        <v>1597</v>
      </c>
      <c r="C4703" s="6" t="s">
        <v>1422</v>
      </c>
      <c r="D4703" s="6" t="s">
        <v>943</v>
      </c>
      <c r="G4703" s="6">
        <v>100</v>
      </c>
      <c r="H4703" s="6">
        <v>200</v>
      </c>
      <c r="I4703" s="9"/>
      <c r="J4703" s="9"/>
      <c r="K4703" s="9">
        <v>44009488</v>
      </c>
      <c r="L4703" s="6" t="str">
        <f t="shared" si="463"/>
        <v>1D  OPUS  YATAK  100x200</v>
      </c>
      <c r="M4703" s="12">
        <v>0.5</v>
      </c>
      <c r="N4703" s="12">
        <v>0.5</v>
      </c>
      <c r="O4703" s="12">
        <v>7400</v>
      </c>
      <c r="P4703" s="12">
        <f t="shared" si="461"/>
        <v>3700</v>
      </c>
      <c r="Q4703" s="12">
        <f t="shared" si="465"/>
        <v>7770</v>
      </c>
      <c r="R4703" s="33">
        <f t="shared" si="462"/>
        <v>7700</v>
      </c>
      <c r="T4703" s="12"/>
      <c r="U4703" s="12">
        <v>21600</v>
      </c>
      <c r="V4703" s="12"/>
      <c r="W4703" s="12">
        <f t="shared" si="464"/>
        <v>9250</v>
      </c>
    </row>
    <row r="4704" spans="1:23" s="6" customFormat="1" ht="21.95" customHeight="1" x14ac:dyDescent="0.2">
      <c r="A4704" s="6" t="s">
        <v>943</v>
      </c>
      <c r="B4704" s="6" t="s">
        <v>1597</v>
      </c>
      <c r="C4704" s="6" t="s">
        <v>1422</v>
      </c>
      <c r="D4704" s="6" t="s">
        <v>943</v>
      </c>
      <c r="G4704" s="6">
        <v>120</v>
      </c>
      <c r="H4704" s="6">
        <v>200</v>
      </c>
      <c r="I4704" s="9"/>
      <c r="J4704" s="9"/>
      <c r="K4704" s="9">
        <v>44009489</v>
      </c>
      <c r="L4704" s="6" t="str">
        <f t="shared" si="463"/>
        <v>1D  OPUS  YATAK  120x200</v>
      </c>
      <c r="M4704" s="12">
        <v>0.5</v>
      </c>
      <c r="N4704" s="12">
        <v>0.5</v>
      </c>
      <c r="O4704" s="12">
        <v>8900</v>
      </c>
      <c r="P4704" s="12">
        <f t="shared" si="461"/>
        <v>4450</v>
      </c>
      <c r="Q4704" s="12">
        <f t="shared" si="465"/>
        <v>9345</v>
      </c>
      <c r="R4704" s="33">
        <f t="shared" si="462"/>
        <v>9300</v>
      </c>
      <c r="T4704" s="12"/>
      <c r="U4704" s="12">
        <v>23200</v>
      </c>
      <c r="V4704" s="12"/>
      <c r="W4704" s="12">
        <f t="shared" si="464"/>
        <v>11125</v>
      </c>
    </row>
    <row r="4705" spans="1:23" s="6" customFormat="1" ht="21.95" customHeight="1" x14ac:dyDescent="0.2">
      <c r="A4705" s="6" t="s">
        <v>943</v>
      </c>
      <c r="B4705" s="6" t="s">
        <v>1597</v>
      </c>
      <c r="C4705" s="6" t="s">
        <v>1422</v>
      </c>
      <c r="D4705" s="6" t="s">
        <v>943</v>
      </c>
      <c r="G4705" s="6">
        <v>140</v>
      </c>
      <c r="H4705" s="6">
        <v>200</v>
      </c>
      <c r="I4705" s="9"/>
      <c r="J4705" s="9"/>
      <c r="K4705" s="9">
        <v>44009490</v>
      </c>
      <c r="L4705" s="6" t="str">
        <f t="shared" si="463"/>
        <v>1D  OPUS  YATAK  140x200</v>
      </c>
      <c r="M4705" s="12">
        <v>0.5</v>
      </c>
      <c r="N4705" s="12">
        <v>0.5</v>
      </c>
      <c r="O4705" s="12">
        <v>10400</v>
      </c>
      <c r="P4705" s="12">
        <f t="shared" si="461"/>
        <v>5200</v>
      </c>
      <c r="Q4705" s="12">
        <f t="shared" si="465"/>
        <v>10920</v>
      </c>
      <c r="R4705" s="33">
        <f t="shared" si="462"/>
        <v>10900</v>
      </c>
      <c r="T4705" s="12"/>
      <c r="U4705" s="12">
        <v>24700</v>
      </c>
      <c r="V4705" s="12"/>
      <c r="W4705" s="12">
        <f t="shared" si="464"/>
        <v>13000</v>
      </c>
    </row>
    <row r="4706" spans="1:23" s="6" customFormat="1" ht="21.95" customHeight="1" x14ac:dyDescent="0.2">
      <c r="A4706" s="6" t="s">
        <v>943</v>
      </c>
      <c r="B4706" s="6" t="s">
        <v>1597</v>
      </c>
      <c r="C4706" s="6" t="s">
        <v>1422</v>
      </c>
      <c r="D4706" s="6" t="s">
        <v>943</v>
      </c>
      <c r="G4706" s="6">
        <v>150</v>
      </c>
      <c r="H4706" s="6">
        <v>200</v>
      </c>
      <c r="I4706" s="9"/>
      <c r="J4706" s="9"/>
      <c r="K4706" s="9">
        <v>44009491</v>
      </c>
      <c r="L4706" s="6" t="str">
        <f t="shared" si="463"/>
        <v>1D  OPUS  YATAK  150x200</v>
      </c>
      <c r="M4706" s="12">
        <v>0.5</v>
      </c>
      <c r="N4706" s="12">
        <v>0.5</v>
      </c>
      <c r="O4706" s="12">
        <v>11200</v>
      </c>
      <c r="P4706" s="12">
        <f t="shared" si="461"/>
        <v>5600</v>
      </c>
      <c r="Q4706" s="12">
        <f t="shared" si="465"/>
        <v>11760</v>
      </c>
      <c r="R4706" s="33">
        <f t="shared" si="462"/>
        <v>11700</v>
      </c>
      <c r="T4706" s="12"/>
      <c r="U4706" s="12">
        <v>27800</v>
      </c>
      <c r="V4706" s="12"/>
      <c r="W4706" s="12">
        <f t="shared" si="464"/>
        <v>14000</v>
      </c>
    </row>
    <row r="4707" spans="1:23" s="6" customFormat="1" ht="21.95" customHeight="1" x14ac:dyDescent="0.2">
      <c r="A4707" s="6" t="s">
        <v>943</v>
      </c>
      <c r="B4707" s="6" t="s">
        <v>1597</v>
      </c>
      <c r="C4707" s="6" t="s">
        <v>1422</v>
      </c>
      <c r="D4707" s="6" t="s">
        <v>943</v>
      </c>
      <c r="G4707" s="6">
        <v>160</v>
      </c>
      <c r="H4707" s="6">
        <v>200</v>
      </c>
      <c r="I4707" s="9"/>
      <c r="J4707" s="9"/>
      <c r="K4707" s="9">
        <v>44009492</v>
      </c>
      <c r="L4707" s="6" t="str">
        <f t="shared" si="463"/>
        <v>1D  OPUS  YATAK  160x200</v>
      </c>
      <c r="M4707" s="12">
        <v>0.5</v>
      </c>
      <c r="N4707" s="12">
        <v>0.5</v>
      </c>
      <c r="O4707" s="12">
        <v>11900</v>
      </c>
      <c r="P4707" s="12">
        <f t="shared" si="461"/>
        <v>5950</v>
      </c>
      <c r="Q4707" s="12">
        <f t="shared" si="465"/>
        <v>12495</v>
      </c>
      <c r="R4707" s="33">
        <f t="shared" si="462"/>
        <v>12400</v>
      </c>
      <c r="T4707" s="12"/>
      <c r="U4707" s="12">
        <v>15800</v>
      </c>
      <c r="V4707" s="12"/>
      <c r="W4707" s="12">
        <f t="shared" si="464"/>
        <v>14875</v>
      </c>
    </row>
    <row r="4708" spans="1:23" s="6" customFormat="1" ht="21.95" customHeight="1" x14ac:dyDescent="0.2">
      <c r="A4708" s="6" t="s">
        <v>943</v>
      </c>
      <c r="B4708" s="6" t="s">
        <v>1597</v>
      </c>
      <c r="C4708" s="6" t="s">
        <v>1422</v>
      </c>
      <c r="D4708" s="6" t="s">
        <v>943</v>
      </c>
      <c r="G4708" s="6">
        <v>180</v>
      </c>
      <c r="H4708" s="6">
        <v>200</v>
      </c>
      <c r="I4708" s="9"/>
      <c r="J4708" s="9"/>
      <c r="K4708" s="9">
        <v>44009493</v>
      </c>
      <c r="L4708" s="6" t="str">
        <f t="shared" si="463"/>
        <v>1D  OPUS  YATAK  180x200</v>
      </c>
      <c r="M4708" s="12">
        <v>0.5</v>
      </c>
      <c r="N4708" s="12">
        <v>0.5</v>
      </c>
      <c r="O4708" s="12">
        <v>13400</v>
      </c>
      <c r="P4708" s="12">
        <f t="shared" si="461"/>
        <v>6700</v>
      </c>
      <c r="Q4708" s="12">
        <f t="shared" si="465"/>
        <v>14070</v>
      </c>
      <c r="R4708" s="33">
        <f t="shared" si="462"/>
        <v>14000</v>
      </c>
      <c r="T4708" s="12"/>
      <c r="U4708" s="12">
        <v>11800</v>
      </c>
      <c r="V4708" s="12"/>
      <c r="W4708" s="12">
        <f t="shared" si="464"/>
        <v>16750</v>
      </c>
    </row>
    <row r="4709" spans="1:23" s="6" customFormat="1" ht="21.95" customHeight="1" x14ac:dyDescent="0.2">
      <c r="A4709" s="6" t="s">
        <v>943</v>
      </c>
      <c r="B4709" s="6" t="s">
        <v>1597</v>
      </c>
      <c r="C4709" s="6" t="s">
        <v>1423</v>
      </c>
      <c r="D4709" s="6" t="s">
        <v>943</v>
      </c>
      <c r="G4709" s="6">
        <v>90</v>
      </c>
      <c r="H4709" s="6">
        <v>190</v>
      </c>
      <c r="I4709" s="9"/>
      <c r="J4709" s="9"/>
      <c r="K4709" s="9">
        <v>44009494</v>
      </c>
      <c r="L4709" s="6" t="str">
        <f t="shared" ref="L4709:L4740" si="466">B4709&amp;" "&amp;C4709&amp;" "&amp;D4709&amp;" "&amp;G4709&amp;"x"&amp;H4709</f>
        <v>1D  PEGASUS  YATAK  90x190</v>
      </c>
      <c r="M4709" s="12">
        <v>0.5</v>
      </c>
      <c r="N4709" s="12">
        <v>0.5</v>
      </c>
      <c r="O4709" s="12">
        <v>22200</v>
      </c>
      <c r="P4709" s="12">
        <f t="shared" si="461"/>
        <v>11100</v>
      </c>
      <c r="Q4709" s="12">
        <f t="shared" si="465"/>
        <v>23310</v>
      </c>
      <c r="R4709" s="33">
        <f t="shared" si="462"/>
        <v>23300</v>
      </c>
      <c r="T4709" s="12"/>
      <c r="U4709" s="12">
        <v>12400</v>
      </c>
      <c r="V4709" s="12"/>
      <c r="W4709" s="12">
        <f t="shared" si="464"/>
        <v>27750</v>
      </c>
    </row>
    <row r="4710" spans="1:23" s="6" customFormat="1" ht="21.95" customHeight="1" x14ac:dyDescent="0.2">
      <c r="A4710" s="6" t="s">
        <v>943</v>
      </c>
      <c r="B4710" s="6" t="s">
        <v>1597</v>
      </c>
      <c r="C4710" s="6" t="s">
        <v>1423</v>
      </c>
      <c r="D4710" s="6" t="s">
        <v>943</v>
      </c>
      <c r="G4710" s="6">
        <v>90</v>
      </c>
      <c r="H4710" s="6">
        <v>200</v>
      </c>
      <c r="I4710" s="9"/>
      <c r="J4710" s="9"/>
      <c r="K4710" s="9">
        <v>44009495</v>
      </c>
      <c r="L4710" s="6" t="str">
        <f t="shared" si="466"/>
        <v>1D  PEGASUS  YATAK  90x200</v>
      </c>
      <c r="M4710" s="12">
        <v>0.5</v>
      </c>
      <c r="N4710" s="12">
        <v>0.5</v>
      </c>
      <c r="O4710" s="12">
        <v>23400</v>
      </c>
      <c r="P4710" s="12">
        <f t="shared" si="461"/>
        <v>11700</v>
      </c>
      <c r="Q4710" s="12">
        <f t="shared" si="465"/>
        <v>24570</v>
      </c>
      <c r="R4710" s="33">
        <f t="shared" si="462"/>
        <v>24500</v>
      </c>
      <c r="T4710" s="12"/>
      <c r="U4710" s="12">
        <v>12500</v>
      </c>
      <c r="V4710" s="12"/>
      <c r="W4710" s="12">
        <f t="shared" si="464"/>
        <v>29250</v>
      </c>
    </row>
    <row r="4711" spans="1:23" s="6" customFormat="1" ht="21.95" customHeight="1" x14ac:dyDescent="0.2">
      <c r="A4711" s="6" t="s">
        <v>943</v>
      </c>
      <c r="B4711" s="6" t="s">
        <v>1597</v>
      </c>
      <c r="C4711" s="6" t="s">
        <v>1423</v>
      </c>
      <c r="D4711" s="6" t="s">
        <v>943</v>
      </c>
      <c r="G4711" s="6">
        <v>100</v>
      </c>
      <c r="H4711" s="6">
        <v>200</v>
      </c>
      <c r="I4711" s="9"/>
      <c r="J4711" s="9"/>
      <c r="K4711" s="9">
        <v>44009496</v>
      </c>
      <c r="L4711" s="6" t="str">
        <f t="shared" si="466"/>
        <v>1D  PEGASUS  YATAK  100x200</v>
      </c>
      <c r="M4711" s="12">
        <v>0.5</v>
      </c>
      <c r="N4711" s="12">
        <v>0.5</v>
      </c>
      <c r="O4711" s="12">
        <v>26000</v>
      </c>
      <c r="P4711" s="12">
        <f t="shared" si="461"/>
        <v>13000</v>
      </c>
      <c r="Q4711" s="12">
        <f t="shared" si="465"/>
        <v>27300</v>
      </c>
      <c r="R4711" s="33">
        <f t="shared" si="462"/>
        <v>27300</v>
      </c>
      <c r="T4711" s="12"/>
      <c r="U4711" s="12">
        <v>15000</v>
      </c>
      <c r="V4711" s="12"/>
      <c r="W4711" s="12">
        <f t="shared" si="464"/>
        <v>32500</v>
      </c>
    </row>
    <row r="4712" spans="1:23" s="6" customFormat="1" ht="21.95" customHeight="1" x14ac:dyDescent="0.2">
      <c r="A4712" s="6" t="s">
        <v>943</v>
      </c>
      <c r="B4712" s="6" t="s">
        <v>1597</v>
      </c>
      <c r="C4712" s="6" t="s">
        <v>1423</v>
      </c>
      <c r="D4712" s="6" t="s">
        <v>943</v>
      </c>
      <c r="G4712" s="6">
        <v>120</v>
      </c>
      <c r="H4712" s="6">
        <v>200</v>
      </c>
      <c r="I4712" s="9"/>
      <c r="J4712" s="9"/>
      <c r="K4712" s="9">
        <v>44009497</v>
      </c>
      <c r="L4712" s="6" t="str">
        <f t="shared" si="466"/>
        <v>1D  PEGASUS  YATAK  120x200</v>
      </c>
      <c r="M4712" s="12">
        <v>0.5</v>
      </c>
      <c r="N4712" s="12">
        <v>0.5</v>
      </c>
      <c r="O4712" s="12">
        <v>31200</v>
      </c>
      <c r="P4712" s="12">
        <f t="shared" si="461"/>
        <v>15600</v>
      </c>
      <c r="Q4712" s="12">
        <f t="shared" si="465"/>
        <v>32760</v>
      </c>
      <c r="R4712" s="33">
        <f t="shared" si="462"/>
        <v>32700</v>
      </c>
      <c r="T4712" s="12"/>
      <c r="U4712" s="12">
        <v>17500</v>
      </c>
      <c r="V4712" s="12"/>
      <c r="W4712" s="12">
        <f t="shared" si="464"/>
        <v>39000</v>
      </c>
    </row>
    <row r="4713" spans="1:23" s="6" customFormat="1" ht="21.95" customHeight="1" x14ac:dyDescent="0.2">
      <c r="A4713" s="6" t="s">
        <v>943</v>
      </c>
      <c r="B4713" s="6" t="s">
        <v>1597</v>
      </c>
      <c r="C4713" s="6" t="s">
        <v>1423</v>
      </c>
      <c r="D4713" s="6" t="s">
        <v>943</v>
      </c>
      <c r="G4713" s="6">
        <v>140</v>
      </c>
      <c r="H4713" s="6">
        <v>200</v>
      </c>
      <c r="I4713" s="9"/>
      <c r="J4713" s="9"/>
      <c r="K4713" s="9">
        <v>44009498</v>
      </c>
      <c r="L4713" s="6" t="str">
        <f t="shared" si="466"/>
        <v>1D  PEGASUS  YATAK  140x200</v>
      </c>
      <c r="M4713" s="12">
        <v>0.5</v>
      </c>
      <c r="N4713" s="12">
        <v>0.5</v>
      </c>
      <c r="O4713" s="12">
        <v>36400</v>
      </c>
      <c r="P4713" s="12">
        <f t="shared" si="461"/>
        <v>18200</v>
      </c>
      <c r="Q4713" s="12">
        <f t="shared" si="465"/>
        <v>38220</v>
      </c>
      <c r="R4713" s="33">
        <f t="shared" si="462"/>
        <v>38200</v>
      </c>
      <c r="T4713" s="12"/>
      <c r="U4713" s="12">
        <v>18800</v>
      </c>
      <c r="V4713" s="12"/>
      <c r="W4713" s="12">
        <f t="shared" si="464"/>
        <v>45500</v>
      </c>
    </row>
    <row r="4714" spans="1:23" s="6" customFormat="1" ht="21.95" customHeight="1" x14ac:dyDescent="0.2">
      <c r="A4714" s="6" t="s">
        <v>943</v>
      </c>
      <c r="B4714" s="6" t="s">
        <v>1597</v>
      </c>
      <c r="C4714" s="6" t="s">
        <v>1423</v>
      </c>
      <c r="D4714" s="6" t="s">
        <v>943</v>
      </c>
      <c r="G4714" s="6">
        <v>150</v>
      </c>
      <c r="H4714" s="6">
        <v>200</v>
      </c>
      <c r="I4714" s="9"/>
      <c r="J4714" s="9"/>
      <c r="K4714" s="9">
        <v>44009499</v>
      </c>
      <c r="L4714" s="6" t="str">
        <f t="shared" si="466"/>
        <v>1D  PEGASUS  YATAK  150x200</v>
      </c>
      <c r="M4714" s="12">
        <v>0.5</v>
      </c>
      <c r="N4714" s="12">
        <v>0.5</v>
      </c>
      <c r="O4714" s="12">
        <v>39000</v>
      </c>
      <c r="P4714" s="12">
        <f t="shared" si="461"/>
        <v>19500</v>
      </c>
      <c r="Q4714" s="12">
        <f t="shared" si="465"/>
        <v>40950</v>
      </c>
      <c r="R4714" s="33">
        <f t="shared" si="462"/>
        <v>40900</v>
      </c>
      <c r="T4714" s="12"/>
      <c r="U4714" s="12">
        <v>20000</v>
      </c>
      <c r="V4714" s="12"/>
      <c r="W4714" s="12">
        <f t="shared" si="464"/>
        <v>48750</v>
      </c>
    </row>
    <row r="4715" spans="1:23" s="6" customFormat="1" ht="21.95" customHeight="1" x14ac:dyDescent="0.2">
      <c r="A4715" s="6" t="s">
        <v>943</v>
      </c>
      <c r="B4715" s="6" t="s">
        <v>1597</v>
      </c>
      <c r="C4715" s="6" t="s">
        <v>1423</v>
      </c>
      <c r="D4715" s="6" t="s">
        <v>943</v>
      </c>
      <c r="G4715" s="6">
        <v>160</v>
      </c>
      <c r="H4715" s="6">
        <v>200</v>
      </c>
      <c r="I4715" s="9"/>
      <c r="J4715" s="9"/>
      <c r="K4715" s="9">
        <v>44009500</v>
      </c>
      <c r="L4715" s="6" t="str">
        <f t="shared" si="466"/>
        <v>1D  PEGASUS  YATAK  160x200</v>
      </c>
      <c r="M4715" s="12">
        <v>0.5</v>
      </c>
      <c r="N4715" s="12">
        <v>0.5</v>
      </c>
      <c r="O4715" s="12">
        <v>41600</v>
      </c>
      <c r="P4715" s="12">
        <f t="shared" si="461"/>
        <v>20800</v>
      </c>
      <c r="Q4715" s="12">
        <f t="shared" si="465"/>
        <v>43680</v>
      </c>
      <c r="R4715" s="33">
        <f t="shared" si="462"/>
        <v>43600</v>
      </c>
      <c r="T4715" s="12"/>
      <c r="U4715" s="12">
        <v>22500</v>
      </c>
      <c r="V4715" s="12"/>
      <c r="W4715" s="12">
        <f t="shared" si="464"/>
        <v>52000</v>
      </c>
    </row>
    <row r="4716" spans="1:23" s="6" customFormat="1" ht="21.95" customHeight="1" x14ac:dyDescent="0.2">
      <c r="A4716" s="6" t="s">
        <v>943</v>
      </c>
      <c r="B4716" s="6" t="s">
        <v>1597</v>
      </c>
      <c r="C4716" s="6" t="s">
        <v>1423</v>
      </c>
      <c r="D4716" s="6" t="s">
        <v>943</v>
      </c>
      <c r="G4716" s="6">
        <v>180</v>
      </c>
      <c r="H4716" s="6">
        <v>200</v>
      </c>
      <c r="I4716" s="9"/>
      <c r="J4716" s="9"/>
      <c r="K4716" s="9">
        <v>44009501</v>
      </c>
      <c r="L4716" s="6" t="str">
        <f t="shared" si="466"/>
        <v>1D  PEGASUS  YATAK  180x200</v>
      </c>
      <c r="M4716" s="12">
        <v>0.5</v>
      </c>
      <c r="N4716" s="12">
        <v>0.5</v>
      </c>
      <c r="O4716" s="12">
        <v>46800</v>
      </c>
      <c r="P4716" s="12">
        <f t="shared" si="461"/>
        <v>23400</v>
      </c>
      <c r="Q4716" s="12">
        <f t="shared" si="465"/>
        <v>49140</v>
      </c>
      <c r="R4716" s="33">
        <f t="shared" si="462"/>
        <v>49100</v>
      </c>
      <c r="T4716" s="12"/>
      <c r="U4716" s="12">
        <v>4800</v>
      </c>
      <c r="V4716" s="12"/>
      <c r="W4716" s="12">
        <f t="shared" si="464"/>
        <v>58500</v>
      </c>
    </row>
    <row r="4717" spans="1:23" s="6" customFormat="1" ht="21.95" customHeight="1" x14ac:dyDescent="0.2">
      <c r="A4717" s="6" t="s">
        <v>943</v>
      </c>
      <c r="B4717" s="6" t="s">
        <v>1597</v>
      </c>
      <c r="C4717" s="6" t="s">
        <v>1424</v>
      </c>
      <c r="D4717" s="6" t="s">
        <v>943</v>
      </c>
      <c r="G4717" s="6">
        <v>90</v>
      </c>
      <c r="H4717" s="6">
        <v>190</v>
      </c>
      <c r="I4717" s="9"/>
      <c r="J4717" s="9"/>
      <c r="K4717" s="9">
        <v>44009502</v>
      </c>
      <c r="L4717" s="6" t="str">
        <f t="shared" si="466"/>
        <v>1D  RODI  YATAK  90x190</v>
      </c>
      <c r="M4717" s="12">
        <v>0.5</v>
      </c>
      <c r="N4717" s="12">
        <v>0.5</v>
      </c>
      <c r="O4717" s="12">
        <v>9000</v>
      </c>
      <c r="P4717" s="12">
        <f t="shared" ref="P4717:P4743" si="467">O4717*(1-N4717)</f>
        <v>4500</v>
      </c>
      <c r="Q4717" s="12">
        <f t="shared" si="465"/>
        <v>9450</v>
      </c>
      <c r="R4717" s="33">
        <f t="shared" ref="R4717:R4743" si="468">ROUNDDOWN(Q4717,-2)</f>
        <v>9400</v>
      </c>
      <c r="T4717" s="12"/>
      <c r="U4717" s="12">
        <v>4800</v>
      </c>
      <c r="V4717" s="12"/>
      <c r="W4717" s="12">
        <f t="shared" si="464"/>
        <v>11250</v>
      </c>
    </row>
    <row r="4718" spans="1:23" s="6" customFormat="1" ht="21.95" customHeight="1" x14ac:dyDescent="0.2">
      <c r="A4718" s="6" t="s">
        <v>943</v>
      </c>
      <c r="B4718" s="6" t="s">
        <v>1597</v>
      </c>
      <c r="C4718" s="6" t="s">
        <v>1424</v>
      </c>
      <c r="D4718" s="6" t="s">
        <v>943</v>
      </c>
      <c r="G4718" s="6">
        <v>90</v>
      </c>
      <c r="H4718" s="6">
        <v>200</v>
      </c>
      <c r="I4718" s="9"/>
      <c r="J4718" s="9"/>
      <c r="K4718" s="9">
        <v>44009503</v>
      </c>
      <c r="L4718" s="6" t="str">
        <f t="shared" si="466"/>
        <v>1D  RODI  YATAK  90x200</v>
      </c>
      <c r="M4718" s="12">
        <v>0.5</v>
      </c>
      <c r="N4718" s="12">
        <v>0.5</v>
      </c>
      <c r="O4718" s="12">
        <v>9500</v>
      </c>
      <c r="P4718" s="12">
        <f t="shared" si="467"/>
        <v>4750</v>
      </c>
      <c r="Q4718" s="12">
        <f t="shared" si="465"/>
        <v>9975</v>
      </c>
      <c r="R4718" s="33">
        <f t="shared" si="468"/>
        <v>9900</v>
      </c>
      <c r="T4718" s="12"/>
      <c r="U4718" s="12">
        <v>4900</v>
      </c>
      <c r="V4718" s="12"/>
      <c r="W4718" s="12">
        <f t="shared" si="464"/>
        <v>11875</v>
      </c>
    </row>
    <row r="4719" spans="1:23" s="6" customFormat="1" ht="21.95" customHeight="1" x14ac:dyDescent="0.2">
      <c r="A4719" s="6" t="s">
        <v>943</v>
      </c>
      <c r="B4719" s="6" t="s">
        <v>1597</v>
      </c>
      <c r="C4719" s="6" t="s">
        <v>1424</v>
      </c>
      <c r="D4719" s="6" t="s">
        <v>943</v>
      </c>
      <c r="G4719" s="6">
        <v>100</v>
      </c>
      <c r="H4719" s="6">
        <v>200</v>
      </c>
      <c r="I4719" s="9"/>
      <c r="J4719" s="9"/>
      <c r="K4719" s="9">
        <v>44009504</v>
      </c>
      <c r="L4719" s="6" t="str">
        <f t="shared" si="466"/>
        <v>1D  RODI  YATAK  100x200</v>
      </c>
      <c r="M4719" s="12">
        <v>0.5</v>
      </c>
      <c r="N4719" s="12">
        <v>0.5</v>
      </c>
      <c r="O4719" s="12">
        <v>10600</v>
      </c>
      <c r="P4719" s="12">
        <f t="shared" si="467"/>
        <v>5300</v>
      </c>
      <c r="Q4719" s="12">
        <f t="shared" si="465"/>
        <v>11130</v>
      </c>
      <c r="R4719" s="33">
        <f t="shared" si="468"/>
        <v>11100</v>
      </c>
      <c r="T4719" s="12"/>
      <c r="U4719" s="12">
        <v>5900</v>
      </c>
      <c r="V4719" s="12"/>
      <c r="W4719" s="12">
        <f t="shared" si="464"/>
        <v>13250</v>
      </c>
    </row>
    <row r="4720" spans="1:23" s="6" customFormat="1" ht="21.95" customHeight="1" x14ac:dyDescent="0.2">
      <c r="A4720" s="6" t="s">
        <v>943</v>
      </c>
      <c r="B4720" s="6" t="s">
        <v>1597</v>
      </c>
      <c r="C4720" s="6" t="s">
        <v>1424</v>
      </c>
      <c r="D4720" s="6" t="s">
        <v>943</v>
      </c>
      <c r="G4720" s="6">
        <v>120</v>
      </c>
      <c r="H4720" s="6">
        <v>200</v>
      </c>
      <c r="I4720" s="9"/>
      <c r="J4720" s="9"/>
      <c r="K4720" s="9">
        <v>44009505</v>
      </c>
      <c r="L4720" s="6" t="str">
        <f t="shared" si="466"/>
        <v>1D  RODI  YATAK  120x200</v>
      </c>
      <c r="M4720" s="12">
        <v>0.5</v>
      </c>
      <c r="N4720" s="12">
        <v>0.5</v>
      </c>
      <c r="O4720" s="12">
        <v>12700</v>
      </c>
      <c r="P4720" s="12">
        <f t="shared" si="467"/>
        <v>6350</v>
      </c>
      <c r="Q4720" s="12">
        <f t="shared" si="465"/>
        <v>13335</v>
      </c>
      <c r="R4720" s="33">
        <f t="shared" si="468"/>
        <v>13300</v>
      </c>
      <c r="T4720" s="12"/>
      <c r="U4720" s="12">
        <v>6800</v>
      </c>
      <c r="V4720" s="12"/>
      <c r="W4720" s="12">
        <f t="shared" si="464"/>
        <v>15875</v>
      </c>
    </row>
    <row r="4721" spans="1:23" s="6" customFormat="1" ht="21.95" customHeight="1" x14ac:dyDescent="0.2">
      <c r="A4721" s="6" t="s">
        <v>943</v>
      </c>
      <c r="B4721" s="6" t="s">
        <v>1597</v>
      </c>
      <c r="C4721" s="6" t="s">
        <v>1424</v>
      </c>
      <c r="D4721" s="6" t="s">
        <v>943</v>
      </c>
      <c r="G4721" s="6">
        <v>140</v>
      </c>
      <c r="H4721" s="6">
        <v>200</v>
      </c>
      <c r="I4721" s="9"/>
      <c r="J4721" s="9"/>
      <c r="K4721" s="9">
        <v>44009506</v>
      </c>
      <c r="L4721" s="6" t="str">
        <f t="shared" si="466"/>
        <v>1D  RODI  YATAK  140x200</v>
      </c>
      <c r="M4721" s="12">
        <v>0.5</v>
      </c>
      <c r="N4721" s="12">
        <v>0.5</v>
      </c>
      <c r="O4721" s="12">
        <v>14800</v>
      </c>
      <c r="P4721" s="12">
        <f t="shared" si="467"/>
        <v>7400</v>
      </c>
      <c r="Q4721" s="12">
        <f t="shared" si="465"/>
        <v>15540</v>
      </c>
      <c r="R4721" s="33">
        <f t="shared" si="468"/>
        <v>15500</v>
      </c>
      <c r="T4721" s="12"/>
      <c r="U4721" s="12">
        <v>7300</v>
      </c>
      <c r="V4721" s="12"/>
      <c r="W4721" s="12">
        <f t="shared" si="464"/>
        <v>18500</v>
      </c>
    </row>
    <row r="4722" spans="1:23" s="6" customFormat="1" ht="21.95" customHeight="1" x14ac:dyDescent="0.2">
      <c r="A4722" s="6" t="s">
        <v>943</v>
      </c>
      <c r="B4722" s="6" t="s">
        <v>1597</v>
      </c>
      <c r="C4722" s="6" t="s">
        <v>1424</v>
      </c>
      <c r="D4722" s="6" t="s">
        <v>943</v>
      </c>
      <c r="G4722" s="6">
        <v>150</v>
      </c>
      <c r="H4722" s="6">
        <v>200</v>
      </c>
      <c r="I4722" s="9"/>
      <c r="J4722" s="9"/>
      <c r="K4722" s="9">
        <v>44009507</v>
      </c>
      <c r="L4722" s="6" t="str">
        <f t="shared" si="466"/>
        <v>1D  RODI  YATAK  150x200</v>
      </c>
      <c r="M4722" s="12">
        <v>0.5</v>
      </c>
      <c r="N4722" s="12">
        <v>0.5</v>
      </c>
      <c r="O4722" s="12">
        <v>15800</v>
      </c>
      <c r="P4722" s="12">
        <f t="shared" si="467"/>
        <v>7900</v>
      </c>
      <c r="Q4722" s="12">
        <f t="shared" si="465"/>
        <v>16590</v>
      </c>
      <c r="R4722" s="33">
        <f t="shared" si="468"/>
        <v>16500</v>
      </c>
      <c r="T4722" s="12"/>
      <c r="U4722" s="12">
        <v>7800</v>
      </c>
      <c r="V4722" s="12"/>
      <c r="W4722" s="12">
        <f t="shared" si="464"/>
        <v>19750</v>
      </c>
    </row>
    <row r="4723" spans="1:23" s="6" customFormat="1" ht="21.95" customHeight="1" x14ac:dyDescent="0.2">
      <c r="A4723" s="6" t="s">
        <v>943</v>
      </c>
      <c r="B4723" s="6" t="s">
        <v>1597</v>
      </c>
      <c r="C4723" s="6" t="s">
        <v>1424</v>
      </c>
      <c r="D4723" s="6" t="s">
        <v>943</v>
      </c>
      <c r="G4723" s="6">
        <v>160</v>
      </c>
      <c r="H4723" s="6">
        <v>200</v>
      </c>
      <c r="I4723" s="9"/>
      <c r="J4723" s="9"/>
      <c r="K4723" s="9">
        <v>44009508</v>
      </c>
      <c r="L4723" s="6" t="str">
        <f t="shared" si="466"/>
        <v>1D  RODI  YATAK  160x200</v>
      </c>
      <c r="M4723" s="12">
        <v>0.5</v>
      </c>
      <c r="N4723" s="12">
        <v>0.5</v>
      </c>
      <c r="O4723" s="12">
        <v>16900</v>
      </c>
      <c r="P4723" s="12">
        <f t="shared" si="467"/>
        <v>8450</v>
      </c>
      <c r="Q4723" s="12">
        <f t="shared" si="465"/>
        <v>17745</v>
      </c>
      <c r="R4723" s="33">
        <f t="shared" si="468"/>
        <v>17700</v>
      </c>
      <c r="T4723" s="12"/>
      <c r="U4723" s="12">
        <v>8800</v>
      </c>
      <c r="V4723" s="12"/>
      <c r="W4723" s="12">
        <f t="shared" si="464"/>
        <v>21125</v>
      </c>
    </row>
    <row r="4724" spans="1:23" s="6" customFormat="1" ht="21.95" customHeight="1" x14ac:dyDescent="0.2">
      <c r="A4724" s="6" t="s">
        <v>943</v>
      </c>
      <c r="B4724" s="6" t="s">
        <v>1597</v>
      </c>
      <c r="C4724" s="6" t="s">
        <v>1424</v>
      </c>
      <c r="D4724" s="6" t="s">
        <v>943</v>
      </c>
      <c r="G4724" s="6">
        <v>180</v>
      </c>
      <c r="H4724" s="6">
        <v>200</v>
      </c>
      <c r="I4724" s="9"/>
      <c r="J4724" s="9"/>
      <c r="K4724" s="9">
        <v>44009509</v>
      </c>
      <c r="L4724" s="6" t="str">
        <f t="shared" si="466"/>
        <v>1D  RODI  YATAK  180x200</v>
      </c>
      <c r="M4724" s="12">
        <v>0.5</v>
      </c>
      <c r="N4724" s="12">
        <v>0.5</v>
      </c>
      <c r="O4724" s="12">
        <v>19000</v>
      </c>
      <c r="P4724" s="12">
        <f t="shared" si="467"/>
        <v>9500</v>
      </c>
      <c r="Q4724" s="12">
        <f t="shared" si="465"/>
        <v>19950</v>
      </c>
      <c r="R4724" s="33">
        <f t="shared" si="468"/>
        <v>19900</v>
      </c>
      <c r="T4724" s="12"/>
      <c r="U4724" s="12">
        <v>9800</v>
      </c>
      <c r="V4724" s="12"/>
      <c r="W4724" s="12">
        <f t="shared" si="464"/>
        <v>23750</v>
      </c>
    </row>
    <row r="4725" spans="1:23" s="6" customFormat="1" ht="21.95" customHeight="1" x14ac:dyDescent="0.2">
      <c r="A4725" s="6" t="s">
        <v>943</v>
      </c>
      <c r="B4725" s="6" t="s">
        <v>1597</v>
      </c>
      <c r="C4725" s="6" t="s">
        <v>1425</v>
      </c>
      <c r="D4725" s="6" t="s">
        <v>943</v>
      </c>
      <c r="G4725" s="6">
        <v>90</v>
      </c>
      <c r="H4725" s="6">
        <v>190</v>
      </c>
      <c r="I4725" s="9"/>
      <c r="J4725" s="9"/>
      <c r="K4725" s="9">
        <v>44009510</v>
      </c>
      <c r="L4725" s="6" t="str">
        <f t="shared" si="466"/>
        <v>1D  SALT THERAPY  YATAK  90x190</v>
      </c>
      <c r="M4725" s="12">
        <v>0.5</v>
      </c>
      <c r="N4725" s="12">
        <v>0.5</v>
      </c>
      <c r="O4725" s="12">
        <v>10000</v>
      </c>
      <c r="P4725" s="12">
        <f t="shared" si="467"/>
        <v>5000</v>
      </c>
      <c r="Q4725" s="12">
        <f t="shared" si="465"/>
        <v>10500</v>
      </c>
      <c r="R4725" s="33">
        <f t="shared" si="468"/>
        <v>10500</v>
      </c>
      <c r="T4725" s="12"/>
      <c r="U4725" s="12">
        <v>10300</v>
      </c>
      <c r="V4725" s="12"/>
      <c r="W4725" s="12">
        <f t="shared" si="464"/>
        <v>12500</v>
      </c>
    </row>
    <row r="4726" spans="1:23" s="6" customFormat="1" ht="21.95" customHeight="1" x14ac:dyDescent="0.2">
      <c r="A4726" s="6" t="s">
        <v>943</v>
      </c>
      <c r="B4726" s="6" t="s">
        <v>1597</v>
      </c>
      <c r="C4726" s="6" t="s">
        <v>1425</v>
      </c>
      <c r="D4726" s="6" t="s">
        <v>943</v>
      </c>
      <c r="G4726" s="6">
        <v>90</v>
      </c>
      <c r="H4726" s="6">
        <v>200</v>
      </c>
      <c r="I4726" s="9"/>
      <c r="J4726" s="9"/>
      <c r="K4726" s="9">
        <v>44009511</v>
      </c>
      <c r="L4726" s="6" t="str">
        <f t="shared" si="466"/>
        <v>1D  SALT THERAPY  YATAK  90x200</v>
      </c>
      <c r="M4726" s="12">
        <v>0.5</v>
      </c>
      <c r="N4726" s="12">
        <v>0.5</v>
      </c>
      <c r="O4726" s="12">
        <v>10500</v>
      </c>
      <c r="P4726" s="12">
        <f t="shared" si="467"/>
        <v>5250</v>
      </c>
      <c r="Q4726" s="12">
        <f t="shared" si="465"/>
        <v>11025</v>
      </c>
      <c r="R4726" s="33">
        <f t="shared" si="468"/>
        <v>11000</v>
      </c>
      <c r="T4726" s="12"/>
      <c r="U4726" s="12">
        <v>10400</v>
      </c>
      <c r="V4726" s="12"/>
      <c r="W4726" s="12">
        <f t="shared" si="464"/>
        <v>13125</v>
      </c>
    </row>
    <row r="4727" spans="1:23" s="6" customFormat="1" ht="21.95" customHeight="1" x14ac:dyDescent="0.2">
      <c r="A4727" s="6" t="s">
        <v>943</v>
      </c>
      <c r="B4727" s="6" t="s">
        <v>1597</v>
      </c>
      <c r="C4727" s="6" t="s">
        <v>1425</v>
      </c>
      <c r="D4727" s="6" t="s">
        <v>943</v>
      </c>
      <c r="G4727" s="6">
        <v>100</v>
      </c>
      <c r="H4727" s="6">
        <v>200</v>
      </c>
      <c r="I4727" s="9"/>
      <c r="J4727" s="9"/>
      <c r="K4727" s="9">
        <v>44009512</v>
      </c>
      <c r="L4727" s="6" t="str">
        <f t="shared" si="466"/>
        <v>1D  SALT THERAPY  YATAK  100x200</v>
      </c>
      <c r="M4727" s="12">
        <v>0.5</v>
      </c>
      <c r="N4727" s="12">
        <v>0.5</v>
      </c>
      <c r="O4727" s="12">
        <v>11700</v>
      </c>
      <c r="P4727" s="12">
        <f t="shared" si="467"/>
        <v>5850</v>
      </c>
      <c r="Q4727" s="12">
        <f t="shared" si="465"/>
        <v>12285</v>
      </c>
      <c r="R4727" s="33">
        <f t="shared" si="468"/>
        <v>12200</v>
      </c>
      <c r="T4727" s="12"/>
      <c r="U4727" s="12">
        <v>12500</v>
      </c>
      <c r="V4727" s="12"/>
      <c r="W4727" s="12">
        <f t="shared" si="464"/>
        <v>14625</v>
      </c>
    </row>
    <row r="4728" spans="1:23" s="6" customFormat="1" ht="21.95" customHeight="1" x14ac:dyDescent="0.2">
      <c r="A4728" s="6" t="s">
        <v>943</v>
      </c>
      <c r="B4728" s="6" t="s">
        <v>1597</v>
      </c>
      <c r="C4728" s="6" t="s">
        <v>1425</v>
      </c>
      <c r="D4728" s="6" t="s">
        <v>943</v>
      </c>
      <c r="G4728" s="6">
        <v>120</v>
      </c>
      <c r="H4728" s="6">
        <v>200</v>
      </c>
      <c r="I4728" s="9"/>
      <c r="J4728" s="9"/>
      <c r="K4728" s="9">
        <v>44009513</v>
      </c>
      <c r="L4728" s="6" t="str">
        <f t="shared" si="466"/>
        <v>1D  SALT THERAPY  YATAK  120x200</v>
      </c>
      <c r="M4728" s="12">
        <v>0.5</v>
      </c>
      <c r="N4728" s="12">
        <v>0.5</v>
      </c>
      <c r="O4728" s="12">
        <v>14000</v>
      </c>
      <c r="P4728" s="12">
        <f t="shared" si="467"/>
        <v>7000</v>
      </c>
      <c r="Q4728" s="12">
        <f t="shared" si="465"/>
        <v>14700</v>
      </c>
      <c r="R4728" s="33">
        <f t="shared" si="468"/>
        <v>14700</v>
      </c>
      <c r="T4728" s="12"/>
      <c r="U4728" s="12">
        <v>14600</v>
      </c>
      <c r="V4728" s="12"/>
      <c r="W4728" s="12">
        <f t="shared" si="464"/>
        <v>17500</v>
      </c>
    </row>
    <row r="4729" spans="1:23" s="6" customFormat="1" ht="21.95" customHeight="1" x14ac:dyDescent="0.2">
      <c r="A4729" s="6" t="s">
        <v>943</v>
      </c>
      <c r="B4729" s="6" t="s">
        <v>1597</v>
      </c>
      <c r="C4729" s="6" t="s">
        <v>1425</v>
      </c>
      <c r="D4729" s="6" t="s">
        <v>943</v>
      </c>
      <c r="G4729" s="6">
        <v>140</v>
      </c>
      <c r="H4729" s="6">
        <v>200</v>
      </c>
      <c r="I4729" s="9"/>
      <c r="J4729" s="9"/>
      <c r="K4729" s="9">
        <v>44009514</v>
      </c>
      <c r="L4729" s="6" t="str">
        <f t="shared" si="466"/>
        <v>1D  SALT THERAPY  YATAK  140x200</v>
      </c>
      <c r="M4729" s="12">
        <v>0.5</v>
      </c>
      <c r="N4729" s="12">
        <v>0.5</v>
      </c>
      <c r="O4729" s="12">
        <v>16400</v>
      </c>
      <c r="P4729" s="12">
        <f t="shared" si="467"/>
        <v>8200</v>
      </c>
      <c r="Q4729" s="12">
        <f t="shared" si="465"/>
        <v>17220</v>
      </c>
      <c r="R4729" s="33">
        <f t="shared" si="468"/>
        <v>17200</v>
      </c>
      <c r="T4729" s="12"/>
      <c r="U4729" s="12">
        <v>15700</v>
      </c>
      <c r="V4729" s="12"/>
      <c r="W4729" s="12">
        <f t="shared" si="464"/>
        <v>20500</v>
      </c>
    </row>
    <row r="4730" spans="1:23" s="6" customFormat="1" ht="21.95" customHeight="1" x14ac:dyDescent="0.2">
      <c r="A4730" s="6" t="s">
        <v>943</v>
      </c>
      <c r="B4730" s="6" t="s">
        <v>1597</v>
      </c>
      <c r="C4730" s="6" t="s">
        <v>1425</v>
      </c>
      <c r="D4730" s="6" t="s">
        <v>943</v>
      </c>
      <c r="G4730" s="6">
        <v>150</v>
      </c>
      <c r="H4730" s="6">
        <v>200</v>
      </c>
      <c r="I4730" s="9"/>
      <c r="J4730" s="9"/>
      <c r="K4730" s="9">
        <v>44009515</v>
      </c>
      <c r="L4730" s="6" t="str">
        <f t="shared" si="466"/>
        <v>1D  SALT THERAPY  YATAK  150x200</v>
      </c>
      <c r="M4730" s="12">
        <v>0.5</v>
      </c>
      <c r="N4730" s="12">
        <v>0.5</v>
      </c>
      <c r="O4730" s="12">
        <v>17500</v>
      </c>
      <c r="P4730" s="12">
        <f t="shared" si="467"/>
        <v>8750</v>
      </c>
      <c r="Q4730" s="12">
        <f t="shared" si="465"/>
        <v>18375</v>
      </c>
      <c r="R4730" s="33">
        <f t="shared" si="468"/>
        <v>18300</v>
      </c>
      <c r="T4730" s="12"/>
      <c r="U4730" s="12">
        <v>16700</v>
      </c>
      <c r="V4730" s="12"/>
      <c r="W4730" s="12">
        <f t="shared" si="464"/>
        <v>21875</v>
      </c>
    </row>
    <row r="4731" spans="1:23" s="6" customFormat="1" ht="21.95" customHeight="1" x14ac:dyDescent="0.2">
      <c r="A4731" s="6" t="s">
        <v>943</v>
      </c>
      <c r="B4731" s="6" t="s">
        <v>1597</v>
      </c>
      <c r="C4731" s="6" t="s">
        <v>1425</v>
      </c>
      <c r="D4731" s="6" t="s">
        <v>943</v>
      </c>
      <c r="G4731" s="6">
        <v>160</v>
      </c>
      <c r="H4731" s="6">
        <v>200</v>
      </c>
      <c r="I4731" s="9"/>
      <c r="J4731" s="9"/>
      <c r="K4731" s="9">
        <v>44009516</v>
      </c>
      <c r="L4731" s="6" t="str">
        <f t="shared" si="466"/>
        <v>1D  SALT THERAPY  YATAK  160x200</v>
      </c>
      <c r="M4731" s="12">
        <v>0.5</v>
      </c>
      <c r="N4731" s="12">
        <v>0.5</v>
      </c>
      <c r="O4731" s="12">
        <v>18700</v>
      </c>
      <c r="P4731" s="12">
        <f t="shared" si="467"/>
        <v>9350</v>
      </c>
      <c r="Q4731" s="12">
        <f t="shared" si="465"/>
        <v>19635</v>
      </c>
      <c r="R4731" s="33">
        <f t="shared" si="468"/>
        <v>19600</v>
      </c>
      <c r="T4731" s="12"/>
      <c r="U4731" s="12">
        <v>18800</v>
      </c>
      <c r="V4731" s="12"/>
      <c r="W4731" s="12">
        <f t="shared" si="464"/>
        <v>23375</v>
      </c>
    </row>
    <row r="4732" spans="1:23" s="6" customFormat="1" ht="21.6" customHeight="1" x14ac:dyDescent="0.2">
      <c r="A4732" s="6" t="s">
        <v>943</v>
      </c>
      <c r="B4732" s="6" t="s">
        <v>1597</v>
      </c>
      <c r="C4732" s="6" t="s">
        <v>1425</v>
      </c>
      <c r="D4732" s="6" t="s">
        <v>943</v>
      </c>
      <c r="G4732" s="6">
        <v>180</v>
      </c>
      <c r="H4732" s="6">
        <v>200</v>
      </c>
      <c r="I4732" s="9"/>
      <c r="J4732" s="9"/>
      <c r="K4732" s="9">
        <v>44009517</v>
      </c>
      <c r="L4732" s="6" t="str">
        <f t="shared" si="466"/>
        <v>1D  SALT THERAPY  YATAK  180x200</v>
      </c>
      <c r="M4732" s="12">
        <v>0.5</v>
      </c>
      <c r="N4732" s="12">
        <v>0.5</v>
      </c>
      <c r="O4732" s="12">
        <v>21000</v>
      </c>
      <c r="P4732" s="12">
        <f t="shared" si="467"/>
        <v>10500</v>
      </c>
      <c r="Q4732" s="12">
        <f t="shared" si="465"/>
        <v>22050</v>
      </c>
      <c r="R4732" s="33">
        <f t="shared" si="468"/>
        <v>22000</v>
      </c>
      <c r="T4732" s="12"/>
      <c r="U4732" s="12">
        <v>15800</v>
      </c>
      <c r="V4732" s="12"/>
      <c r="W4732" s="12">
        <f t="shared" si="464"/>
        <v>26250</v>
      </c>
    </row>
    <row r="4733" spans="1:23" s="6" customFormat="1" ht="21.95" customHeight="1" x14ac:dyDescent="0.2">
      <c r="A4733" s="6" t="s">
        <v>943</v>
      </c>
      <c r="B4733" s="6" t="s">
        <v>1597</v>
      </c>
      <c r="C4733" s="6" t="s">
        <v>1426</v>
      </c>
      <c r="D4733" s="6" t="s">
        <v>943</v>
      </c>
      <c r="G4733" s="6">
        <v>90</v>
      </c>
      <c r="H4733" s="6">
        <v>190</v>
      </c>
      <c r="I4733" s="9"/>
      <c r="J4733" s="9"/>
      <c r="K4733" s="9">
        <v>44009526</v>
      </c>
      <c r="L4733" s="6" t="str">
        <f t="shared" si="466"/>
        <v>1D  THERAPY  YATAK  90x190</v>
      </c>
      <c r="M4733" s="12">
        <v>0.5</v>
      </c>
      <c r="N4733" s="12">
        <v>0.5</v>
      </c>
      <c r="O4733" s="12">
        <v>7700</v>
      </c>
      <c r="P4733" s="12">
        <f t="shared" si="467"/>
        <v>3850</v>
      </c>
      <c r="Q4733" s="12">
        <f t="shared" si="465"/>
        <v>8085</v>
      </c>
      <c r="R4733" s="33">
        <f t="shared" si="468"/>
        <v>8000</v>
      </c>
      <c r="T4733" s="12"/>
      <c r="U4733" s="12">
        <v>19200</v>
      </c>
      <c r="V4733" s="12"/>
      <c r="W4733" s="12">
        <f t="shared" si="464"/>
        <v>9625</v>
      </c>
    </row>
    <row r="4734" spans="1:23" s="6" customFormat="1" ht="21.95" customHeight="1" x14ac:dyDescent="0.2">
      <c r="A4734" s="6" t="s">
        <v>943</v>
      </c>
      <c r="B4734" s="6" t="s">
        <v>1597</v>
      </c>
      <c r="C4734" s="6" t="s">
        <v>1426</v>
      </c>
      <c r="D4734" s="6" t="s">
        <v>943</v>
      </c>
      <c r="G4734" s="6">
        <v>90</v>
      </c>
      <c r="H4734" s="6">
        <v>200</v>
      </c>
      <c r="I4734" s="9"/>
      <c r="J4734" s="9"/>
      <c r="K4734" s="9">
        <v>44009527</v>
      </c>
      <c r="L4734" s="6" t="str">
        <f t="shared" si="466"/>
        <v>1D  THERAPY  YATAK  90x200</v>
      </c>
      <c r="M4734" s="12">
        <v>0.5</v>
      </c>
      <c r="N4734" s="12">
        <v>0.5</v>
      </c>
      <c r="O4734" s="12">
        <v>8200</v>
      </c>
      <c r="P4734" s="12">
        <f t="shared" si="467"/>
        <v>4100</v>
      </c>
      <c r="Q4734" s="12">
        <f t="shared" si="465"/>
        <v>8610</v>
      </c>
      <c r="R4734" s="33">
        <f t="shared" si="468"/>
        <v>8600</v>
      </c>
      <c r="T4734" s="12"/>
      <c r="U4734" s="12">
        <v>20500</v>
      </c>
      <c r="V4734" s="12"/>
      <c r="W4734" s="12">
        <f t="shared" ref="W4734:W5262" si="469">P4734*2.5</f>
        <v>10250</v>
      </c>
    </row>
    <row r="4735" spans="1:23" s="6" customFormat="1" ht="21.95" customHeight="1" x14ac:dyDescent="0.2">
      <c r="A4735" s="6" t="s">
        <v>943</v>
      </c>
      <c r="B4735" s="6" t="s">
        <v>1597</v>
      </c>
      <c r="C4735" s="6" t="s">
        <v>1426</v>
      </c>
      <c r="D4735" s="6" t="s">
        <v>943</v>
      </c>
      <c r="G4735" s="6">
        <v>100</v>
      </c>
      <c r="H4735" s="6">
        <v>200</v>
      </c>
      <c r="I4735" s="9"/>
      <c r="J4735" s="9"/>
      <c r="K4735" s="9">
        <v>44009528</v>
      </c>
      <c r="L4735" s="6" t="str">
        <f t="shared" si="466"/>
        <v>1D  THERAPY  YATAK  100x200</v>
      </c>
      <c r="M4735" s="12">
        <v>0.5</v>
      </c>
      <c r="N4735" s="12">
        <v>0.5</v>
      </c>
      <c r="O4735" s="12">
        <v>9100</v>
      </c>
      <c r="P4735" s="12">
        <f t="shared" si="467"/>
        <v>4550</v>
      </c>
      <c r="Q4735" s="12">
        <f t="shared" si="465"/>
        <v>9555</v>
      </c>
      <c r="R4735" s="33">
        <f t="shared" si="468"/>
        <v>9500</v>
      </c>
      <c r="T4735" s="12"/>
      <c r="U4735" s="12">
        <v>21900</v>
      </c>
      <c r="V4735" s="12"/>
      <c r="W4735" s="12">
        <f t="shared" si="469"/>
        <v>11375</v>
      </c>
    </row>
    <row r="4736" spans="1:23" s="6" customFormat="1" ht="21.95" customHeight="1" x14ac:dyDescent="0.2">
      <c r="A4736" s="6" t="s">
        <v>943</v>
      </c>
      <c r="B4736" s="6" t="s">
        <v>1597</v>
      </c>
      <c r="C4736" s="6" t="s">
        <v>1426</v>
      </c>
      <c r="D4736" s="6" t="s">
        <v>943</v>
      </c>
      <c r="G4736" s="6">
        <v>120</v>
      </c>
      <c r="H4736" s="6">
        <v>200</v>
      </c>
      <c r="I4736" s="9"/>
      <c r="J4736" s="9"/>
      <c r="K4736" s="9">
        <v>44009529</v>
      </c>
      <c r="L4736" s="6" t="str">
        <f t="shared" si="466"/>
        <v>1D  THERAPY  YATAK  120x200</v>
      </c>
      <c r="M4736" s="12">
        <v>0.5</v>
      </c>
      <c r="N4736" s="12">
        <v>0.5</v>
      </c>
      <c r="O4736" s="12">
        <v>10900</v>
      </c>
      <c r="P4736" s="12">
        <f t="shared" si="467"/>
        <v>5450</v>
      </c>
      <c r="Q4736" s="12">
        <f t="shared" si="465"/>
        <v>11445</v>
      </c>
      <c r="R4736" s="33">
        <f t="shared" si="468"/>
        <v>11400</v>
      </c>
      <c r="T4736" s="12"/>
      <c r="U4736" s="12">
        <v>24600</v>
      </c>
      <c r="V4736" s="12"/>
      <c r="W4736" s="12">
        <f t="shared" si="469"/>
        <v>13625</v>
      </c>
    </row>
    <row r="4737" spans="1:23" s="6" customFormat="1" ht="21.95" customHeight="1" x14ac:dyDescent="0.2">
      <c r="A4737" s="6" t="s">
        <v>943</v>
      </c>
      <c r="B4737" s="6" t="s">
        <v>1597</v>
      </c>
      <c r="C4737" s="6" t="s">
        <v>1426</v>
      </c>
      <c r="D4737" s="6" t="s">
        <v>943</v>
      </c>
      <c r="G4737" s="6">
        <v>140</v>
      </c>
      <c r="H4737" s="6">
        <v>200</v>
      </c>
      <c r="I4737" s="9"/>
      <c r="J4737" s="9"/>
      <c r="K4737" s="9">
        <v>44009530</v>
      </c>
      <c r="L4737" s="6" t="str">
        <f t="shared" si="466"/>
        <v>1D  THERAPY  YATAK  140x200</v>
      </c>
      <c r="M4737" s="12">
        <v>0.5</v>
      </c>
      <c r="N4737" s="12">
        <v>0.5</v>
      </c>
      <c r="O4737" s="12">
        <v>12700</v>
      </c>
      <c r="P4737" s="12">
        <f t="shared" si="467"/>
        <v>6350</v>
      </c>
      <c r="Q4737" s="12">
        <f t="shared" si="465"/>
        <v>13335</v>
      </c>
      <c r="R4737" s="33">
        <f t="shared" si="468"/>
        <v>13300</v>
      </c>
      <c r="T4737" s="12"/>
      <c r="U4737" s="12">
        <v>31500</v>
      </c>
      <c r="V4737" s="12"/>
      <c r="W4737" s="12">
        <f t="shared" si="469"/>
        <v>15875</v>
      </c>
    </row>
    <row r="4738" spans="1:23" s="6" customFormat="1" ht="21.95" customHeight="1" x14ac:dyDescent="0.2">
      <c r="A4738" s="6" t="s">
        <v>943</v>
      </c>
      <c r="B4738" s="6" t="s">
        <v>1597</v>
      </c>
      <c r="C4738" s="6" t="s">
        <v>1426</v>
      </c>
      <c r="D4738" s="6" t="s">
        <v>943</v>
      </c>
      <c r="G4738" s="6">
        <v>150</v>
      </c>
      <c r="H4738" s="6">
        <v>200</v>
      </c>
      <c r="I4738" s="9"/>
      <c r="J4738" s="9"/>
      <c r="K4738" s="9">
        <v>44009531</v>
      </c>
      <c r="L4738" s="6" t="str">
        <f t="shared" si="466"/>
        <v>1D  THERAPY  YATAK  150x200</v>
      </c>
      <c r="M4738" s="12">
        <v>0.5</v>
      </c>
      <c r="N4738" s="12">
        <v>0.5</v>
      </c>
      <c r="O4738" s="12">
        <v>13600</v>
      </c>
      <c r="P4738" s="12">
        <f t="shared" si="467"/>
        <v>6800</v>
      </c>
      <c r="Q4738" s="12">
        <f t="shared" si="465"/>
        <v>14280</v>
      </c>
      <c r="R4738" s="33">
        <f t="shared" si="468"/>
        <v>14200</v>
      </c>
      <c r="T4738" s="12"/>
      <c r="U4738" s="12">
        <v>33800</v>
      </c>
      <c r="V4738" s="12"/>
      <c r="W4738" s="12">
        <f t="shared" si="469"/>
        <v>17000</v>
      </c>
    </row>
    <row r="4739" spans="1:23" s="6" customFormat="1" ht="21.95" customHeight="1" x14ac:dyDescent="0.2">
      <c r="A4739" s="6" t="s">
        <v>943</v>
      </c>
      <c r="B4739" s="6" t="s">
        <v>1597</v>
      </c>
      <c r="C4739" s="6" t="s">
        <v>1426</v>
      </c>
      <c r="D4739" s="6" t="s">
        <v>943</v>
      </c>
      <c r="G4739" s="6">
        <v>160</v>
      </c>
      <c r="H4739" s="6">
        <v>200</v>
      </c>
      <c r="I4739" s="9"/>
      <c r="J4739" s="9"/>
      <c r="K4739" s="9">
        <v>44009532</v>
      </c>
      <c r="L4739" s="6" t="str">
        <f t="shared" si="466"/>
        <v>1D  THERAPY  YATAK  160x200</v>
      </c>
      <c r="M4739" s="12">
        <v>0.5</v>
      </c>
      <c r="N4739" s="12">
        <v>0.5</v>
      </c>
      <c r="O4739" s="12">
        <v>14500</v>
      </c>
      <c r="P4739" s="12">
        <f t="shared" si="467"/>
        <v>7250</v>
      </c>
      <c r="Q4739" s="12">
        <f t="shared" si="465"/>
        <v>15225</v>
      </c>
      <c r="R4739" s="33">
        <f t="shared" si="468"/>
        <v>15200</v>
      </c>
      <c r="T4739" s="12"/>
      <c r="U4739" s="12">
        <v>36000</v>
      </c>
      <c r="V4739" s="12"/>
      <c r="W4739" s="12">
        <f t="shared" si="469"/>
        <v>18125</v>
      </c>
    </row>
    <row r="4740" spans="1:23" s="6" customFormat="1" ht="21.95" customHeight="1" x14ac:dyDescent="0.2">
      <c r="A4740" s="6" t="s">
        <v>943</v>
      </c>
      <c r="B4740" s="6" t="s">
        <v>1597</v>
      </c>
      <c r="C4740" s="6" t="s">
        <v>1426</v>
      </c>
      <c r="D4740" s="6" t="s">
        <v>943</v>
      </c>
      <c r="G4740" s="6">
        <v>180</v>
      </c>
      <c r="H4740" s="6">
        <v>200</v>
      </c>
      <c r="I4740" s="9"/>
      <c r="J4740" s="9"/>
      <c r="K4740" s="9">
        <v>44009533</v>
      </c>
      <c r="L4740" s="6" t="str">
        <f t="shared" si="466"/>
        <v>1D  THERAPY  YATAK  180x200</v>
      </c>
      <c r="M4740" s="12">
        <v>0.5</v>
      </c>
      <c r="N4740" s="12">
        <v>0.5</v>
      </c>
      <c r="O4740" s="12">
        <v>16300</v>
      </c>
      <c r="P4740" s="12">
        <f t="shared" si="467"/>
        <v>8150</v>
      </c>
      <c r="Q4740" s="12">
        <f t="shared" si="465"/>
        <v>17115</v>
      </c>
      <c r="R4740" s="33">
        <f t="shared" si="468"/>
        <v>17100</v>
      </c>
      <c r="T4740" s="12"/>
      <c r="U4740" s="12">
        <v>40500</v>
      </c>
      <c r="V4740" s="12"/>
      <c r="W4740" s="12">
        <f t="shared" si="469"/>
        <v>20375</v>
      </c>
    </row>
    <row r="4741" spans="1:23" s="6" customFormat="1" ht="21.95" customHeight="1" x14ac:dyDescent="0.2">
      <c r="A4741" s="6" t="s">
        <v>943</v>
      </c>
      <c r="B4741" s="6" t="s">
        <v>1597</v>
      </c>
      <c r="C4741" s="6" t="s">
        <v>1428</v>
      </c>
      <c r="D4741" s="6" t="s">
        <v>1429</v>
      </c>
      <c r="I4741" s="9"/>
      <c r="J4741" s="9"/>
      <c r="K4741" s="9">
        <v>44009551</v>
      </c>
      <c r="L4741" s="6" t="str">
        <f>B4741&amp;" "&amp;C4741&amp;" "&amp;D4741</f>
        <v>1D  KOMODİN  KOMODİN (1 ADET)</v>
      </c>
      <c r="M4741" s="12">
        <v>0.5</v>
      </c>
      <c r="N4741" s="12">
        <v>0.5</v>
      </c>
      <c r="O4741" s="12">
        <v>6600</v>
      </c>
      <c r="P4741" s="12">
        <f t="shared" si="467"/>
        <v>3300</v>
      </c>
      <c r="Q4741" s="12">
        <f t="shared" si="465"/>
        <v>6930</v>
      </c>
      <c r="R4741" s="33">
        <f t="shared" si="468"/>
        <v>6900</v>
      </c>
      <c r="T4741" s="12"/>
      <c r="U4741" s="12">
        <v>19800</v>
      </c>
      <c r="V4741" s="12"/>
      <c r="W4741" s="12">
        <f t="shared" si="469"/>
        <v>8250</v>
      </c>
    </row>
    <row r="4742" spans="1:23" s="6" customFormat="1" ht="21.95" customHeight="1" x14ac:dyDescent="0.2">
      <c r="A4742" s="6" t="s">
        <v>943</v>
      </c>
      <c r="B4742" s="6" t="s">
        <v>1597</v>
      </c>
      <c r="C4742" s="6" t="s">
        <v>1430</v>
      </c>
      <c r="D4742" s="6" t="s">
        <v>1429</v>
      </c>
      <c r="I4742" s="9"/>
      <c r="J4742" s="9"/>
      <c r="K4742" s="9">
        <v>44009552</v>
      </c>
      <c r="L4742" s="6" t="str">
        <f>B4742&amp;" "&amp;C4742&amp;" "&amp;D4742</f>
        <v>1D  YUVARLAK  KOMODİN (1 ADET)</v>
      </c>
      <c r="M4742" s="12">
        <v>0.5</v>
      </c>
      <c r="N4742" s="12">
        <v>0.5</v>
      </c>
      <c r="O4742" s="12">
        <v>7260</v>
      </c>
      <c r="P4742" s="12">
        <f t="shared" si="467"/>
        <v>3630</v>
      </c>
      <c r="Q4742" s="12">
        <f t="shared" si="465"/>
        <v>7623</v>
      </c>
      <c r="R4742" s="33">
        <f t="shared" si="468"/>
        <v>7600</v>
      </c>
      <c r="T4742" s="12"/>
      <c r="U4742" s="12">
        <v>21200</v>
      </c>
      <c r="V4742" s="12"/>
      <c r="W4742" s="12">
        <f t="shared" si="469"/>
        <v>9075</v>
      </c>
    </row>
    <row r="4743" spans="1:23" s="6" customFormat="1" ht="21.95" customHeight="1" x14ac:dyDescent="0.2">
      <c r="A4743" s="6" t="s">
        <v>943</v>
      </c>
      <c r="B4743" s="6" t="s">
        <v>1597</v>
      </c>
      <c r="C4743" s="6" t="s">
        <v>1430</v>
      </c>
      <c r="D4743" s="6" t="s">
        <v>1380</v>
      </c>
      <c r="I4743" s="9"/>
      <c r="J4743" s="9"/>
      <c r="K4743" s="9">
        <v>44009553</v>
      </c>
      <c r="L4743" s="6" t="str">
        <f>B4743&amp;" "&amp;C4743&amp;" "&amp;D4743</f>
        <v>1D  YUVARLAK  KOMODİN (2 ADET)</v>
      </c>
      <c r="M4743" s="12">
        <v>0.5</v>
      </c>
      <c r="N4743" s="12">
        <v>0.5</v>
      </c>
      <c r="O4743" s="12">
        <v>14520</v>
      </c>
      <c r="P4743" s="12">
        <f t="shared" si="467"/>
        <v>7260</v>
      </c>
      <c r="Q4743" s="12">
        <f t="shared" si="465"/>
        <v>15246</v>
      </c>
      <c r="R4743" s="33">
        <f t="shared" si="468"/>
        <v>15200</v>
      </c>
      <c r="T4743" s="12"/>
      <c r="U4743" s="12">
        <v>22600</v>
      </c>
      <c r="V4743" s="12"/>
      <c r="W4743" s="12">
        <f t="shared" si="469"/>
        <v>18150</v>
      </c>
    </row>
    <row r="4744" spans="1:23" s="6" customFormat="1" ht="21.95" customHeight="1" x14ac:dyDescent="0.2">
      <c r="B4744" s="6" t="s">
        <v>1597</v>
      </c>
      <c r="C4744" s="6" t="s">
        <v>1871</v>
      </c>
      <c r="D4744" s="6" t="s">
        <v>2305</v>
      </c>
      <c r="G4744" s="6">
        <v>140</v>
      </c>
      <c r="H4744" s="6">
        <v>200</v>
      </c>
      <c r="I4744" s="9"/>
      <c r="J4744" s="9"/>
      <c r="K4744" s="9"/>
      <c r="L4744" s="6" t="str">
        <f t="shared" ref="L4744:L4751" si="470">B4744&amp;" "&amp;C4744&amp;" "&amp;D4744&amp;" "&amp;G4744&amp;"x"&amp;H4744</f>
        <v>1D  MİLANO  BAZA + BAŞLIK + TRAVERS 140x200</v>
      </c>
      <c r="M4744" s="12"/>
      <c r="N4744" s="12"/>
      <c r="O4744" s="12"/>
      <c r="P4744" s="12"/>
      <c r="Q4744" s="12"/>
      <c r="R4744" s="33"/>
      <c r="T4744" s="12"/>
      <c r="U4744" s="12">
        <v>18100</v>
      </c>
      <c r="V4744" s="12"/>
      <c r="W4744" s="12"/>
    </row>
    <row r="4745" spans="1:23" s="6" customFormat="1" ht="21.95" customHeight="1" x14ac:dyDescent="0.2">
      <c r="B4745" s="6" t="s">
        <v>1597</v>
      </c>
      <c r="C4745" s="6" t="s">
        <v>1871</v>
      </c>
      <c r="D4745" s="6" t="s">
        <v>2305</v>
      </c>
      <c r="G4745" s="6">
        <v>150</v>
      </c>
      <c r="H4745" s="6">
        <v>200</v>
      </c>
      <c r="I4745" s="9"/>
      <c r="J4745" s="9"/>
      <c r="K4745" s="9"/>
      <c r="L4745" s="6" t="str">
        <f t="shared" si="470"/>
        <v>1D  MİLANO  BAZA + BAŞLIK + TRAVERS 150x200</v>
      </c>
      <c r="M4745" s="12"/>
      <c r="N4745" s="12"/>
      <c r="O4745" s="12"/>
      <c r="P4745" s="12"/>
      <c r="Q4745" s="12"/>
      <c r="R4745" s="33"/>
      <c r="T4745" s="12"/>
      <c r="U4745" s="12">
        <v>21300</v>
      </c>
      <c r="V4745" s="12"/>
      <c r="W4745" s="12"/>
    </row>
    <row r="4746" spans="1:23" s="6" customFormat="1" ht="21.95" customHeight="1" x14ac:dyDescent="0.2">
      <c r="B4746" s="6" t="s">
        <v>1597</v>
      </c>
      <c r="C4746" s="6" t="s">
        <v>1871</v>
      </c>
      <c r="D4746" s="6" t="s">
        <v>2305</v>
      </c>
      <c r="G4746" s="6">
        <v>160</v>
      </c>
      <c r="H4746" s="6">
        <v>200</v>
      </c>
      <c r="I4746" s="9"/>
      <c r="J4746" s="9"/>
      <c r="K4746" s="9"/>
      <c r="L4746" s="6" t="str">
        <f t="shared" si="470"/>
        <v>1D  MİLANO  BAZA + BAŞLIK + TRAVERS 160x200</v>
      </c>
      <c r="M4746" s="12"/>
      <c r="N4746" s="12"/>
      <c r="O4746" s="12"/>
      <c r="P4746" s="12"/>
      <c r="Q4746" s="12"/>
      <c r="R4746" s="33"/>
      <c r="T4746" s="12"/>
      <c r="U4746" s="12">
        <v>22800</v>
      </c>
      <c r="V4746" s="12"/>
      <c r="W4746" s="12"/>
    </row>
    <row r="4747" spans="1:23" s="6" customFormat="1" ht="21.95" customHeight="1" x14ac:dyDescent="0.2">
      <c r="B4747" s="6" t="s">
        <v>1597</v>
      </c>
      <c r="C4747" s="6" t="s">
        <v>1871</v>
      </c>
      <c r="D4747" s="6" t="s">
        <v>2305</v>
      </c>
      <c r="G4747" s="6">
        <v>180</v>
      </c>
      <c r="H4747" s="6">
        <v>200</v>
      </c>
      <c r="I4747" s="9"/>
      <c r="J4747" s="9"/>
      <c r="K4747" s="9"/>
      <c r="L4747" s="6" t="str">
        <f t="shared" si="470"/>
        <v>1D  MİLANO  BAZA + BAŞLIK + TRAVERS 180x200</v>
      </c>
      <c r="M4747" s="12"/>
      <c r="N4747" s="12"/>
      <c r="O4747" s="12"/>
      <c r="P4747" s="12"/>
      <c r="Q4747" s="12"/>
      <c r="R4747" s="33"/>
      <c r="T4747" s="12"/>
      <c r="U4747" s="12">
        <v>24300</v>
      </c>
      <c r="V4747" s="12"/>
      <c r="W4747" s="12"/>
    </row>
    <row r="4748" spans="1:23" s="6" customFormat="1" ht="21.95" customHeight="1" x14ac:dyDescent="0.2">
      <c r="B4748" s="6" t="s">
        <v>1597</v>
      </c>
      <c r="C4748" s="6" t="s">
        <v>1871</v>
      </c>
      <c r="D4748" s="6" t="s">
        <v>943</v>
      </c>
      <c r="G4748" s="6">
        <v>140</v>
      </c>
      <c r="H4748" s="6">
        <v>200</v>
      </c>
      <c r="I4748" s="9"/>
      <c r="J4748" s="9"/>
      <c r="K4748" s="9"/>
      <c r="L4748" s="6" t="str">
        <f t="shared" si="470"/>
        <v>1D  MİLANO  YATAK  140x200</v>
      </c>
      <c r="M4748" s="12"/>
      <c r="N4748" s="12"/>
      <c r="O4748" s="12"/>
      <c r="P4748" s="12"/>
      <c r="Q4748" s="12"/>
      <c r="R4748" s="33"/>
      <c r="T4748" s="12"/>
      <c r="U4748" s="12">
        <v>27300</v>
      </c>
      <c r="V4748" s="12"/>
      <c r="W4748" s="12"/>
    </row>
    <row r="4749" spans="1:23" s="6" customFormat="1" ht="21.95" customHeight="1" x14ac:dyDescent="0.2">
      <c r="B4749" s="6" t="s">
        <v>1597</v>
      </c>
      <c r="C4749" s="6" t="s">
        <v>1871</v>
      </c>
      <c r="D4749" s="6" t="s">
        <v>943</v>
      </c>
      <c r="G4749" s="6">
        <v>150</v>
      </c>
      <c r="H4749" s="6">
        <v>200</v>
      </c>
      <c r="I4749" s="9"/>
      <c r="J4749" s="9"/>
      <c r="K4749" s="9"/>
      <c r="L4749" s="6" t="str">
        <f t="shared" si="470"/>
        <v>1D  MİLANO  YATAK  150x200</v>
      </c>
      <c r="M4749" s="12"/>
      <c r="N4749" s="12"/>
      <c r="O4749" s="12"/>
      <c r="P4749" s="12"/>
      <c r="Q4749" s="12"/>
      <c r="R4749" s="33"/>
      <c r="T4749" s="12"/>
      <c r="U4749" s="12">
        <v>19300</v>
      </c>
      <c r="V4749" s="12"/>
      <c r="W4749" s="12"/>
    </row>
    <row r="4750" spans="1:23" s="6" customFormat="1" ht="21.95" customHeight="1" x14ac:dyDescent="0.2">
      <c r="B4750" s="6" t="s">
        <v>1597</v>
      </c>
      <c r="C4750" s="6" t="s">
        <v>1871</v>
      </c>
      <c r="D4750" s="6" t="s">
        <v>943</v>
      </c>
      <c r="G4750" s="6">
        <v>160</v>
      </c>
      <c r="H4750" s="6">
        <v>200</v>
      </c>
      <c r="I4750" s="9"/>
      <c r="J4750" s="9"/>
      <c r="K4750" s="9"/>
      <c r="L4750" s="6" t="str">
        <f t="shared" si="470"/>
        <v>1D  MİLANO  YATAK  160x200</v>
      </c>
      <c r="M4750" s="12"/>
      <c r="N4750" s="12"/>
      <c r="O4750" s="12"/>
      <c r="P4750" s="12"/>
      <c r="Q4750" s="12"/>
      <c r="R4750" s="33"/>
      <c r="T4750" s="12"/>
      <c r="U4750" s="12">
        <v>25500</v>
      </c>
      <c r="V4750" s="12"/>
      <c r="W4750" s="12"/>
    </row>
    <row r="4751" spans="1:23" s="6" customFormat="1" ht="21.95" customHeight="1" x14ac:dyDescent="0.2">
      <c r="B4751" s="6" t="s">
        <v>1597</v>
      </c>
      <c r="C4751" s="6" t="s">
        <v>1871</v>
      </c>
      <c r="D4751" s="6" t="s">
        <v>943</v>
      </c>
      <c r="G4751" s="6">
        <v>180</v>
      </c>
      <c r="H4751" s="6">
        <v>200</v>
      </c>
      <c r="I4751" s="9"/>
      <c r="J4751" s="9"/>
      <c r="K4751" s="9"/>
      <c r="L4751" s="6" t="str">
        <f t="shared" si="470"/>
        <v>1D  MİLANO  YATAK  180x200</v>
      </c>
      <c r="M4751" s="12"/>
      <c r="N4751" s="12"/>
      <c r="O4751" s="12"/>
      <c r="P4751" s="12"/>
      <c r="Q4751" s="12"/>
      <c r="R4751" s="33"/>
      <c r="T4751" s="12"/>
      <c r="U4751" s="12">
        <v>26000</v>
      </c>
      <c r="V4751" s="12"/>
      <c r="W4751" s="12"/>
    </row>
    <row r="4752" spans="1:23" s="6" customFormat="1" ht="21.95" customHeight="1" x14ac:dyDescent="0.2">
      <c r="B4752" s="6" t="s">
        <v>1597</v>
      </c>
      <c r="C4752" s="6" t="s">
        <v>1871</v>
      </c>
      <c r="D4752" s="6" t="s">
        <v>1380</v>
      </c>
      <c r="I4752" s="9"/>
      <c r="J4752" s="9"/>
      <c r="K4752" s="9"/>
      <c r="L4752" s="6" t="str">
        <f>B4752&amp;" "&amp;C4752&amp;" "&amp;D4752</f>
        <v>1D  MİLANO  KOMODİN (2 ADET)</v>
      </c>
      <c r="M4752" s="12"/>
      <c r="N4752" s="12"/>
      <c r="O4752" s="12"/>
      <c r="P4752" s="12"/>
      <c r="Q4752" s="12"/>
      <c r="R4752" s="33"/>
      <c r="T4752" s="12"/>
      <c r="U4752" s="12">
        <v>26200</v>
      </c>
      <c r="V4752" s="12"/>
      <c r="W4752" s="12"/>
    </row>
    <row r="4753" spans="2:23" s="6" customFormat="1" ht="21.95" customHeight="1" x14ac:dyDescent="0.2">
      <c r="B4753" s="6" t="s">
        <v>1597</v>
      </c>
      <c r="C4753" s="6" t="s">
        <v>2308</v>
      </c>
      <c r="D4753" s="6" t="s">
        <v>989</v>
      </c>
      <c r="G4753" s="6">
        <v>90</v>
      </c>
      <c r="H4753" s="6">
        <v>190</v>
      </c>
      <c r="I4753" s="9"/>
      <c r="J4753" s="9"/>
      <c r="K4753" s="9"/>
      <c r="L4753" s="6" t="str">
        <f t="shared" ref="L4753:L4776" si="471">B4753&amp;" "&amp;C4753&amp;" "&amp;D4753&amp;" "&amp;G4753&amp;"x"&amp;H4753</f>
        <v>1D  ROYAL BAZA  90x190</v>
      </c>
      <c r="M4753" s="12"/>
      <c r="N4753" s="12"/>
      <c r="O4753" s="12"/>
      <c r="P4753" s="12"/>
      <c r="Q4753" s="12"/>
      <c r="R4753" s="33"/>
      <c r="T4753" s="12"/>
      <c r="U4753" s="12">
        <v>31500</v>
      </c>
      <c r="V4753" s="12"/>
      <c r="W4753" s="12"/>
    </row>
    <row r="4754" spans="2:23" s="6" customFormat="1" ht="21.95" customHeight="1" x14ac:dyDescent="0.2">
      <c r="B4754" s="6" t="s">
        <v>1597</v>
      </c>
      <c r="C4754" s="6" t="s">
        <v>2308</v>
      </c>
      <c r="D4754" s="6" t="s">
        <v>945</v>
      </c>
      <c r="G4754" s="6">
        <v>90</v>
      </c>
      <c r="H4754" s="6">
        <v>200</v>
      </c>
      <c r="I4754" s="9"/>
      <c r="J4754" s="9"/>
      <c r="K4754" s="9"/>
      <c r="L4754" s="6" t="str">
        <f t="shared" si="471"/>
        <v>1D  ROYAL BAZA 90x200</v>
      </c>
      <c r="M4754" s="12"/>
      <c r="N4754" s="12"/>
      <c r="O4754" s="12"/>
      <c r="P4754" s="12"/>
      <c r="Q4754" s="12"/>
      <c r="R4754" s="33"/>
      <c r="T4754" s="12"/>
      <c r="U4754" s="12">
        <v>36700</v>
      </c>
      <c r="V4754" s="12"/>
      <c r="W4754" s="12"/>
    </row>
    <row r="4755" spans="2:23" s="6" customFormat="1" ht="21.95" customHeight="1" x14ac:dyDescent="0.2">
      <c r="B4755" s="6" t="s">
        <v>1597</v>
      </c>
      <c r="C4755" s="6" t="s">
        <v>2308</v>
      </c>
      <c r="D4755" s="6" t="s">
        <v>989</v>
      </c>
      <c r="G4755" s="6">
        <v>100</v>
      </c>
      <c r="H4755" s="6">
        <v>200</v>
      </c>
      <c r="I4755" s="9"/>
      <c r="J4755" s="9"/>
      <c r="K4755" s="9"/>
      <c r="L4755" s="6" t="str">
        <f t="shared" si="471"/>
        <v>1D  ROYAL BAZA  100x200</v>
      </c>
      <c r="M4755" s="12"/>
      <c r="N4755" s="12"/>
      <c r="O4755" s="12"/>
      <c r="P4755" s="12"/>
      <c r="Q4755" s="12"/>
      <c r="R4755" s="33"/>
      <c r="T4755" s="12"/>
      <c r="U4755" s="12">
        <v>39200</v>
      </c>
      <c r="V4755" s="12"/>
      <c r="W4755" s="12"/>
    </row>
    <row r="4756" spans="2:23" s="6" customFormat="1" ht="21.95" customHeight="1" x14ac:dyDescent="0.2">
      <c r="B4756" s="6" t="s">
        <v>1597</v>
      </c>
      <c r="C4756" s="6" t="s">
        <v>2308</v>
      </c>
      <c r="D4756" s="6" t="s">
        <v>989</v>
      </c>
      <c r="G4756" s="6">
        <v>120</v>
      </c>
      <c r="H4756" s="6">
        <v>200</v>
      </c>
      <c r="I4756" s="9"/>
      <c r="J4756" s="9"/>
      <c r="K4756" s="9"/>
      <c r="L4756" s="6" t="str">
        <f t="shared" si="471"/>
        <v>1D  ROYAL BAZA  120x200</v>
      </c>
      <c r="M4756" s="12"/>
      <c r="N4756" s="12"/>
      <c r="O4756" s="12"/>
      <c r="P4756" s="12"/>
      <c r="Q4756" s="12"/>
      <c r="R4756" s="33"/>
      <c r="T4756" s="12"/>
      <c r="U4756" s="12">
        <v>41900</v>
      </c>
      <c r="V4756" s="12"/>
      <c r="W4756" s="12"/>
    </row>
    <row r="4757" spans="2:23" s="6" customFormat="1" ht="21.95" customHeight="1" x14ac:dyDescent="0.2">
      <c r="B4757" s="6" t="s">
        <v>1597</v>
      </c>
      <c r="C4757" s="6" t="s">
        <v>2308</v>
      </c>
      <c r="D4757" s="6" t="s">
        <v>945</v>
      </c>
      <c r="G4757" s="6">
        <v>140</v>
      </c>
      <c r="H4757" s="6">
        <v>200</v>
      </c>
      <c r="I4757" s="9"/>
      <c r="J4757" s="9"/>
      <c r="K4757" s="9"/>
      <c r="L4757" s="6" t="str">
        <f t="shared" si="471"/>
        <v>1D  ROYAL BAZA 140x200</v>
      </c>
      <c r="M4757" s="12"/>
      <c r="N4757" s="12"/>
      <c r="O4757" s="12"/>
      <c r="P4757" s="12"/>
      <c r="Q4757" s="12"/>
      <c r="R4757" s="33"/>
      <c r="T4757" s="12"/>
      <c r="U4757" s="12">
        <v>47100</v>
      </c>
      <c r="V4757" s="12"/>
      <c r="W4757" s="12"/>
    </row>
    <row r="4758" spans="2:23" s="6" customFormat="1" ht="21.95" customHeight="1" x14ac:dyDescent="0.2">
      <c r="B4758" s="6" t="s">
        <v>1597</v>
      </c>
      <c r="C4758" s="6" t="s">
        <v>2308</v>
      </c>
      <c r="D4758" s="6" t="s">
        <v>989</v>
      </c>
      <c r="G4758" s="6">
        <v>150</v>
      </c>
      <c r="H4758" s="6">
        <v>200</v>
      </c>
      <c r="I4758" s="9"/>
      <c r="J4758" s="9"/>
      <c r="K4758" s="9"/>
      <c r="L4758" s="6" t="str">
        <f t="shared" si="471"/>
        <v>1D  ROYAL BAZA  150x200</v>
      </c>
      <c r="M4758" s="12"/>
      <c r="N4758" s="12"/>
      <c r="O4758" s="12"/>
      <c r="P4758" s="12"/>
      <c r="Q4758" s="12"/>
      <c r="R4758" s="33"/>
      <c r="T4758" s="12"/>
      <c r="U4758" s="12">
        <v>13300</v>
      </c>
      <c r="V4758" s="12"/>
      <c r="W4758" s="12"/>
    </row>
    <row r="4759" spans="2:23" s="6" customFormat="1" ht="21.95" customHeight="1" x14ac:dyDescent="0.2">
      <c r="B4759" s="6" t="s">
        <v>1597</v>
      </c>
      <c r="C4759" s="6" t="s">
        <v>2308</v>
      </c>
      <c r="D4759" s="6" t="s">
        <v>989</v>
      </c>
      <c r="G4759" s="6">
        <v>160</v>
      </c>
      <c r="H4759" s="6">
        <v>200</v>
      </c>
      <c r="I4759" s="9"/>
      <c r="J4759" s="9"/>
      <c r="K4759" s="9"/>
      <c r="L4759" s="6" t="str">
        <f t="shared" si="471"/>
        <v>1D  ROYAL BAZA  160x200</v>
      </c>
      <c r="M4759" s="12"/>
      <c r="N4759" s="12"/>
      <c r="O4759" s="12"/>
      <c r="P4759" s="12"/>
      <c r="Q4759" s="12"/>
      <c r="R4759" s="33"/>
      <c r="T4759" s="12"/>
      <c r="U4759" s="12">
        <v>14000</v>
      </c>
      <c r="V4759" s="12"/>
      <c r="W4759" s="12"/>
    </row>
    <row r="4760" spans="2:23" s="6" customFormat="1" ht="21.95" customHeight="1" x14ac:dyDescent="0.2">
      <c r="B4760" s="6" t="s">
        <v>1597</v>
      </c>
      <c r="C4760" s="6" t="s">
        <v>2308</v>
      </c>
      <c r="D4760" s="6" t="s">
        <v>989</v>
      </c>
      <c r="G4760" s="6">
        <v>180</v>
      </c>
      <c r="H4760" s="6">
        <v>200</v>
      </c>
      <c r="I4760" s="9"/>
      <c r="J4760" s="9"/>
      <c r="K4760" s="9"/>
      <c r="L4760" s="6" t="str">
        <f t="shared" si="471"/>
        <v>1D  ROYAL BAZA  180x200</v>
      </c>
      <c r="M4760" s="12"/>
      <c r="N4760" s="12"/>
      <c r="O4760" s="12"/>
      <c r="P4760" s="12"/>
      <c r="Q4760" s="12"/>
      <c r="R4760" s="33"/>
      <c r="T4760" s="12"/>
      <c r="U4760" s="12">
        <v>14200</v>
      </c>
      <c r="V4760" s="12"/>
      <c r="W4760" s="12"/>
    </row>
    <row r="4761" spans="2:23" s="6" customFormat="1" ht="21.95" customHeight="1" x14ac:dyDescent="0.2">
      <c r="B4761" s="6" t="s">
        <v>1597</v>
      </c>
      <c r="C4761" s="6" t="s">
        <v>2308</v>
      </c>
      <c r="D4761" s="6" t="s">
        <v>1003</v>
      </c>
      <c r="G4761" s="6">
        <v>90</v>
      </c>
      <c r="H4761" s="6">
        <v>190</v>
      </c>
      <c r="I4761" s="9"/>
      <c r="J4761" s="9"/>
      <c r="K4761" s="9"/>
      <c r="L4761" s="6" t="str">
        <f t="shared" si="471"/>
        <v>1D  ROYAL BAŞLIK  90x190</v>
      </c>
      <c r="M4761" s="12"/>
      <c r="N4761" s="12"/>
      <c r="O4761" s="12"/>
      <c r="P4761" s="12"/>
      <c r="Q4761" s="12"/>
      <c r="R4761" s="33"/>
      <c r="T4761" s="12"/>
      <c r="U4761" s="12">
        <v>17000</v>
      </c>
      <c r="V4761" s="12"/>
      <c r="W4761" s="12"/>
    </row>
    <row r="4762" spans="2:23" s="6" customFormat="1" ht="21.95" customHeight="1" x14ac:dyDescent="0.2">
      <c r="B4762" s="6" t="s">
        <v>1597</v>
      </c>
      <c r="C4762" s="6" t="s">
        <v>2308</v>
      </c>
      <c r="D4762" s="6" t="s">
        <v>1003</v>
      </c>
      <c r="G4762" s="6">
        <v>90</v>
      </c>
      <c r="H4762" s="6">
        <v>200</v>
      </c>
      <c r="I4762" s="9"/>
      <c r="J4762" s="9"/>
      <c r="K4762" s="9"/>
      <c r="L4762" s="6" t="str">
        <f t="shared" si="471"/>
        <v>1D  ROYAL BAŞLIK  90x200</v>
      </c>
      <c r="M4762" s="12"/>
      <c r="N4762" s="12"/>
      <c r="O4762" s="12"/>
      <c r="P4762" s="12"/>
      <c r="Q4762" s="12"/>
      <c r="R4762" s="33"/>
      <c r="T4762" s="12"/>
      <c r="U4762" s="12">
        <v>19900</v>
      </c>
      <c r="V4762" s="12"/>
      <c r="W4762" s="12"/>
    </row>
    <row r="4763" spans="2:23" s="6" customFormat="1" ht="21.95" customHeight="1" x14ac:dyDescent="0.2">
      <c r="B4763" s="6" t="s">
        <v>1597</v>
      </c>
      <c r="C4763" s="6" t="s">
        <v>2308</v>
      </c>
      <c r="D4763" s="6" t="s">
        <v>1003</v>
      </c>
      <c r="G4763" s="6">
        <v>100</v>
      </c>
      <c r="H4763" s="6">
        <v>200</v>
      </c>
      <c r="I4763" s="9"/>
      <c r="J4763" s="9"/>
      <c r="K4763" s="9"/>
      <c r="L4763" s="6" t="str">
        <f t="shared" si="471"/>
        <v>1D  ROYAL BAŞLIK  100x200</v>
      </c>
      <c r="M4763" s="12"/>
      <c r="N4763" s="12"/>
      <c r="O4763" s="12"/>
      <c r="P4763" s="12"/>
      <c r="Q4763" s="12"/>
      <c r="R4763" s="33"/>
      <c r="T4763" s="12"/>
      <c r="U4763" s="12">
        <v>21300</v>
      </c>
      <c r="V4763" s="12"/>
      <c r="W4763" s="12"/>
    </row>
    <row r="4764" spans="2:23" s="6" customFormat="1" ht="21.95" customHeight="1" x14ac:dyDescent="0.2">
      <c r="B4764" s="6" t="s">
        <v>1597</v>
      </c>
      <c r="C4764" s="6" t="s">
        <v>2308</v>
      </c>
      <c r="D4764" s="6" t="s">
        <v>1003</v>
      </c>
      <c r="G4764" s="6">
        <v>120</v>
      </c>
      <c r="H4764" s="6">
        <v>200</v>
      </c>
      <c r="I4764" s="9"/>
      <c r="J4764" s="9"/>
      <c r="K4764" s="9"/>
      <c r="L4764" s="6" t="str">
        <f t="shared" si="471"/>
        <v>1D  ROYAL BAŞLIK  120x200</v>
      </c>
      <c r="M4764" s="12"/>
      <c r="N4764" s="12"/>
      <c r="O4764" s="12"/>
      <c r="P4764" s="12"/>
      <c r="Q4764" s="12"/>
      <c r="R4764" s="33"/>
      <c r="T4764" s="12"/>
      <c r="U4764" s="12">
        <v>22700</v>
      </c>
      <c r="V4764" s="12"/>
      <c r="W4764" s="12"/>
    </row>
    <row r="4765" spans="2:23" s="6" customFormat="1" ht="21.95" customHeight="1" x14ac:dyDescent="0.2">
      <c r="B4765" s="6" t="s">
        <v>1597</v>
      </c>
      <c r="C4765" s="6" t="s">
        <v>2308</v>
      </c>
      <c r="D4765" s="6" t="s">
        <v>1003</v>
      </c>
      <c r="G4765" s="6">
        <v>140</v>
      </c>
      <c r="H4765" s="6">
        <v>200</v>
      </c>
      <c r="I4765" s="9"/>
      <c r="J4765" s="9"/>
      <c r="K4765" s="9"/>
      <c r="L4765" s="6" t="str">
        <f t="shared" si="471"/>
        <v>1D  ROYAL BAŞLIK  140x200</v>
      </c>
      <c r="M4765" s="12"/>
      <c r="N4765" s="12"/>
      <c r="O4765" s="12"/>
      <c r="P4765" s="12"/>
      <c r="Q4765" s="12"/>
      <c r="R4765" s="33"/>
      <c r="T4765" s="12"/>
      <c r="U4765" s="12">
        <v>25500</v>
      </c>
      <c r="V4765" s="12"/>
      <c r="W4765" s="12"/>
    </row>
    <row r="4766" spans="2:23" s="6" customFormat="1" ht="21.95" customHeight="1" x14ac:dyDescent="0.2">
      <c r="B4766" s="6" t="s">
        <v>1597</v>
      </c>
      <c r="C4766" s="6" t="s">
        <v>2308</v>
      </c>
      <c r="D4766" s="6" t="s">
        <v>1003</v>
      </c>
      <c r="G4766" s="6">
        <v>150</v>
      </c>
      <c r="H4766" s="6">
        <v>200</v>
      </c>
      <c r="I4766" s="9"/>
      <c r="J4766" s="9"/>
      <c r="K4766" s="9"/>
      <c r="L4766" s="6" t="str">
        <f t="shared" si="471"/>
        <v>1D  ROYAL BAŞLIK  150x200</v>
      </c>
      <c r="M4766" s="12"/>
      <c r="N4766" s="12"/>
      <c r="O4766" s="12"/>
      <c r="P4766" s="12"/>
      <c r="Q4766" s="12"/>
      <c r="R4766" s="33"/>
      <c r="T4766" s="12"/>
      <c r="U4766" s="12">
        <v>19300</v>
      </c>
      <c r="V4766" s="12"/>
      <c r="W4766" s="12"/>
    </row>
    <row r="4767" spans="2:23" s="6" customFormat="1" ht="21.95" customHeight="1" x14ac:dyDescent="0.2">
      <c r="B4767" s="6" t="s">
        <v>1597</v>
      </c>
      <c r="C4767" s="6" t="s">
        <v>2308</v>
      </c>
      <c r="D4767" s="6" t="s">
        <v>1003</v>
      </c>
      <c r="G4767" s="6">
        <v>160</v>
      </c>
      <c r="H4767" s="6">
        <v>200</v>
      </c>
      <c r="I4767" s="9"/>
      <c r="J4767" s="9"/>
      <c r="K4767" s="9"/>
      <c r="L4767" s="6" t="str">
        <f t="shared" si="471"/>
        <v>1D  ROYAL BAŞLIK  160x200</v>
      </c>
      <c r="M4767" s="12"/>
      <c r="N4767" s="12"/>
      <c r="O4767" s="12"/>
      <c r="P4767" s="12"/>
      <c r="Q4767" s="12"/>
      <c r="R4767" s="33"/>
      <c r="T4767" s="12"/>
      <c r="U4767" s="12">
        <v>34600</v>
      </c>
      <c r="V4767" s="12"/>
      <c r="W4767" s="12"/>
    </row>
    <row r="4768" spans="2:23" s="6" customFormat="1" ht="21.95" customHeight="1" x14ac:dyDescent="0.2">
      <c r="B4768" s="6" t="s">
        <v>1597</v>
      </c>
      <c r="C4768" s="6" t="s">
        <v>2308</v>
      </c>
      <c r="D4768" s="6" t="s">
        <v>1003</v>
      </c>
      <c r="G4768" s="6">
        <v>180</v>
      </c>
      <c r="H4768" s="6">
        <v>200</v>
      </c>
      <c r="I4768" s="9"/>
      <c r="J4768" s="9"/>
      <c r="K4768" s="9"/>
      <c r="L4768" s="6" t="str">
        <f t="shared" si="471"/>
        <v>1D  ROYAL BAŞLIK  180x200</v>
      </c>
      <c r="M4768" s="12"/>
      <c r="N4768" s="12"/>
      <c r="O4768" s="12"/>
      <c r="P4768" s="12"/>
      <c r="Q4768" s="12"/>
      <c r="R4768" s="33"/>
      <c r="T4768" s="12"/>
      <c r="U4768" s="12">
        <v>37100</v>
      </c>
      <c r="V4768" s="12"/>
      <c r="W4768" s="12"/>
    </row>
    <row r="4769" spans="2:23" s="6" customFormat="1" ht="21.95" customHeight="1" x14ac:dyDescent="0.2">
      <c r="B4769" s="6" t="s">
        <v>1597</v>
      </c>
      <c r="C4769" s="6" t="s">
        <v>2308</v>
      </c>
      <c r="D4769" s="6" t="s">
        <v>943</v>
      </c>
      <c r="G4769" s="6">
        <v>90</v>
      </c>
      <c r="H4769" s="6">
        <v>190</v>
      </c>
      <c r="I4769" s="9"/>
      <c r="J4769" s="9"/>
      <c r="K4769" s="9"/>
      <c r="L4769" s="6" t="str">
        <f t="shared" si="471"/>
        <v>1D  ROYAL YATAK  90x190</v>
      </c>
      <c r="M4769" s="12"/>
      <c r="N4769" s="12"/>
      <c r="O4769" s="12"/>
      <c r="P4769" s="12"/>
      <c r="Q4769" s="12"/>
      <c r="R4769" s="33"/>
      <c r="T4769" s="12"/>
      <c r="U4769" s="12">
        <v>39600</v>
      </c>
      <c r="V4769" s="12"/>
      <c r="W4769" s="12"/>
    </row>
    <row r="4770" spans="2:23" s="6" customFormat="1" ht="21.95" customHeight="1" x14ac:dyDescent="0.2">
      <c r="B4770" s="6" t="s">
        <v>1597</v>
      </c>
      <c r="C4770" s="6" t="s">
        <v>2308</v>
      </c>
      <c r="D4770" s="6" t="s">
        <v>943</v>
      </c>
      <c r="G4770" s="6">
        <v>90</v>
      </c>
      <c r="H4770" s="6">
        <v>200</v>
      </c>
      <c r="I4770" s="9"/>
      <c r="J4770" s="9"/>
      <c r="K4770" s="9"/>
      <c r="L4770" s="6" t="str">
        <f t="shared" si="471"/>
        <v>1D  ROYAL YATAK  90x200</v>
      </c>
      <c r="M4770" s="12"/>
      <c r="N4770" s="12"/>
      <c r="O4770" s="12"/>
      <c r="P4770" s="12"/>
      <c r="Q4770" s="12"/>
      <c r="R4770" s="33"/>
      <c r="T4770" s="12"/>
      <c r="U4770" s="12">
        <v>44600</v>
      </c>
      <c r="V4770" s="12"/>
      <c r="W4770" s="12"/>
    </row>
    <row r="4771" spans="2:23" s="6" customFormat="1" ht="21.95" customHeight="1" x14ac:dyDescent="0.2">
      <c r="B4771" s="6" t="s">
        <v>1597</v>
      </c>
      <c r="C4771" s="6" t="s">
        <v>2308</v>
      </c>
      <c r="D4771" s="6" t="s">
        <v>943</v>
      </c>
      <c r="G4771" s="6">
        <v>100</v>
      </c>
      <c r="H4771" s="6">
        <v>200</v>
      </c>
      <c r="I4771" s="9"/>
      <c r="J4771" s="9"/>
      <c r="K4771" s="9"/>
      <c r="L4771" s="6" t="str">
        <f t="shared" si="471"/>
        <v>1D  ROYAL YATAK  100x200</v>
      </c>
      <c r="M4771" s="12"/>
      <c r="N4771" s="12"/>
      <c r="O4771" s="12"/>
      <c r="P4771" s="12"/>
      <c r="Q4771" s="12"/>
      <c r="R4771" s="33"/>
      <c r="T4771" s="12"/>
      <c r="U4771" s="12">
        <v>21200</v>
      </c>
      <c r="V4771" s="12"/>
      <c r="W4771" s="12"/>
    </row>
    <row r="4772" spans="2:23" s="6" customFormat="1" ht="21.95" customHeight="1" x14ac:dyDescent="0.2">
      <c r="B4772" s="6" t="s">
        <v>1597</v>
      </c>
      <c r="C4772" s="6" t="s">
        <v>2308</v>
      </c>
      <c r="D4772" s="6" t="s">
        <v>943</v>
      </c>
      <c r="G4772" s="6">
        <v>120</v>
      </c>
      <c r="H4772" s="6">
        <v>200</v>
      </c>
      <c r="I4772" s="9"/>
      <c r="J4772" s="9"/>
      <c r="K4772" s="9"/>
      <c r="L4772" s="6" t="str">
        <f t="shared" si="471"/>
        <v>1D  ROYAL YATAK  120x200</v>
      </c>
      <c r="M4772" s="12"/>
      <c r="N4772" s="12"/>
      <c r="O4772" s="12"/>
      <c r="P4772" s="12"/>
      <c r="Q4772" s="12"/>
      <c r="R4772" s="33"/>
      <c r="T4772" s="12"/>
      <c r="U4772" s="12">
        <v>22700</v>
      </c>
      <c r="V4772" s="12"/>
      <c r="W4772" s="12"/>
    </row>
    <row r="4773" spans="2:23" s="6" customFormat="1" ht="21.95" customHeight="1" x14ac:dyDescent="0.2">
      <c r="B4773" s="6" t="s">
        <v>1597</v>
      </c>
      <c r="C4773" s="6" t="s">
        <v>2308</v>
      </c>
      <c r="D4773" s="6" t="s">
        <v>943</v>
      </c>
      <c r="G4773" s="6">
        <v>140</v>
      </c>
      <c r="H4773" s="6">
        <v>200</v>
      </c>
      <c r="I4773" s="9"/>
      <c r="J4773" s="9"/>
      <c r="K4773" s="9"/>
      <c r="L4773" s="6" t="str">
        <f t="shared" si="471"/>
        <v>1D  ROYAL YATAK  140x200</v>
      </c>
      <c r="M4773" s="12"/>
      <c r="N4773" s="12"/>
      <c r="O4773" s="12"/>
      <c r="P4773" s="12"/>
      <c r="Q4773" s="12"/>
      <c r="R4773" s="33"/>
      <c r="T4773" s="12"/>
      <c r="U4773" s="12">
        <v>24200</v>
      </c>
      <c r="V4773" s="12"/>
      <c r="W4773" s="12"/>
    </row>
    <row r="4774" spans="2:23" s="6" customFormat="1" ht="21.95" customHeight="1" x14ac:dyDescent="0.2">
      <c r="B4774" s="6" t="s">
        <v>1597</v>
      </c>
      <c r="C4774" s="6" t="s">
        <v>2308</v>
      </c>
      <c r="D4774" s="6" t="s">
        <v>943</v>
      </c>
      <c r="G4774" s="6">
        <v>150</v>
      </c>
      <c r="H4774" s="6">
        <v>200</v>
      </c>
      <c r="I4774" s="9"/>
      <c r="J4774" s="9"/>
      <c r="K4774" s="9"/>
      <c r="L4774" s="6" t="str">
        <f t="shared" si="471"/>
        <v>1D  ROYAL YATAK  150x200</v>
      </c>
      <c r="M4774" s="12"/>
      <c r="N4774" s="12"/>
      <c r="O4774" s="12"/>
      <c r="P4774" s="12"/>
      <c r="Q4774" s="12"/>
      <c r="R4774" s="33"/>
      <c r="T4774" s="12"/>
      <c r="U4774" s="12">
        <v>27200</v>
      </c>
      <c r="V4774" s="12"/>
      <c r="W4774" s="12"/>
    </row>
    <row r="4775" spans="2:23" s="6" customFormat="1" ht="21.95" customHeight="1" x14ac:dyDescent="0.2">
      <c r="B4775" s="6" t="s">
        <v>1597</v>
      </c>
      <c r="C4775" s="6" t="s">
        <v>2308</v>
      </c>
      <c r="D4775" s="6" t="s">
        <v>943</v>
      </c>
      <c r="G4775" s="6">
        <v>160</v>
      </c>
      <c r="H4775" s="6">
        <v>200</v>
      </c>
      <c r="I4775" s="9"/>
      <c r="J4775" s="9"/>
      <c r="K4775" s="9"/>
      <c r="L4775" s="6" t="str">
        <f t="shared" si="471"/>
        <v>1D  ROYAL YATAK  160x200</v>
      </c>
      <c r="M4775" s="12"/>
      <c r="N4775" s="12"/>
      <c r="O4775" s="12"/>
      <c r="P4775" s="12"/>
      <c r="Q4775" s="12"/>
      <c r="R4775" s="33"/>
      <c r="T4775" s="12"/>
      <c r="U4775" s="12">
        <v>19300</v>
      </c>
      <c r="V4775" s="12"/>
      <c r="W4775" s="12"/>
    </row>
    <row r="4776" spans="2:23" s="6" customFormat="1" ht="21.95" customHeight="1" x14ac:dyDescent="0.2">
      <c r="B4776" s="6" t="s">
        <v>1597</v>
      </c>
      <c r="C4776" s="6" t="s">
        <v>2308</v>
      </c>
      <c r="D4776" s="6" t="s">
        <v>943</v>
      </c>
      <c r="G4776" s="6">
        <v>180</v>
      </c>
      <c r="H4776" s="6">
        <v>200</v>
      </c>
      <c r="I4776" s="9"/>
      <c r="J4776" s="9"/>
      <c r="K4776" s="9"/>
      <c r="L4776" s="6" t="str">
        <f t="shared" si="471"/>
        <v>1D  ROYAL YATAK  180x200</v>
      </c>
      <c r="M4776" s="12"/>
      <c r="N4776" s="12"/>
      <c r="O4776" s="12"/>
      <c r="P4776" s="12"/>
      <c r="Q4776" s="12"/>
      <c r="R4776" s="33"/>
      <c r="T4776" s="12"/>
      <c r="U4776" s="12">
        <v>13200</v>
      </c>
      <c r="V4776" s="12"/>
      <c r="W4776" s="12"/>
    </row>
    <row r="4777" spans="2:23" s="6" customFormat="1" ht="21.95" customHeight="1" x14ac:dyDescent="0.2">
      <c r="B4777" s="6" t="s">
        <v>1597</v>
      </c>
      <c r="C4777" s="6" t="s">
        <v>2308</v>
      </c>
      <c r="D4777" s="6" t="s">
        <v>1428</v>
      </c>
      <c r="I4777" s="9"/>
      <c r="J4777" s="9"/>
      <c r="K4777" s="9"/>
      <c r="L4777" s="6" t="str">
        <f>B4777&amp;" "&amp;C4777&amp;" "&amp;D4777</f>
        <v xml:space="preserve">1D  ROYAL KOMODİN </v>
      </c>
      <c r="M4777" s="12"/>
      <c r="N4777" s="12"/>
      <c r="O4777" s="12"/>
      <c r="P4777" s="12"/>
      <c r="Q4777" s="12"/>
      <c r="R4777" s="33"/>
      <c r="T4777" s="12"/>
      <c r="U4777" s="12">
        <v>13900</v>
      </c>
      <c r="V4777" s="12"/>
      <c r="W4777" s="12"/>
    </row>
    <row r="4778" spans="2:23" s="6" customFormat="1" ht="21.95" customHeight="1" x14ac:dyDescent="0.2">
      <c r="B4778" s="6" t="s">
        <v>1597</v>
      </c>
      <c r="C4778" s="6" t="s">
        <v>2043</v>
      </c>
      <c r="D4778" s="6" t="s">
        <v>2304</v>
      </c>
      <c r="G4778" s="6">
        <v>140</v>
      </c>
      <c r="H4778" s="6">
        <v>200</v>
      </c>
      <c r="I4778" s="9"/>
      <c r="J4778" s="9"/>
      <c r="K4778" s="9"/>
      <c r="L4778" s="6" t="str">
        <f t="shared" ref="L4778:L4785" si="472">B4778&amp;" "&amp;C4778&amp;" "&amp;D4778&amp;" "&amp;G4778&amp;"x"&amp;H4778</f>
        <v>1D  ALLURE PRO  BAZA + BAŞLIK + TRAVERS  140x200</v>
      </c>
      <c r="M4778" s="12"/>
      <c r="N4778" s="12"/>
      <c r="O4778" s="12"/>
      <c r="R4778" s="33"/>
      <c r="T4778" s="12"/>
      <c r="U4778" s="12">
        <v>14000</v>
      </c>
      <c r="V4778" s="12"/>
      <c r="W4778" s="12"/>
    </row>
    <row r="4779" spans="2:23" s="6" customFormat="1" ht="21.95" customHeight="1" x14ac:dyDescent="0.2">
      <c r="B4779" s="6" t="s">
        <v>1597</v>
      </c>
      <c r="C4779" s="6" t="s">
        <v>2043</v>
      </c>
      <c r="D4779" s="6" t="s">
        <v>2304</v>
      </c>
      <c r="G4779" s="6">
        <v>150</v>
      </c>
      <c r="H4779" s="6">
        <v>200</v>
      </c>
      <c r="I4779" s="9"/>
      <c r="J4779" s="9"/>
      <c r="K4779" s="9"/>
      <c r="L4779" s="6" t="str">
        <f t="shared" si="472"/>
        <v>1D  ALLURE PRO  BAZA + BAŞLIK + TRAVERS  150x200</v>
      </c>
      <c r="M4779" s="12"/>
      <c r="N4779" s="12"/>
      <c r="O4779" s="12"/>
      <c r="R4779" s="33"/>
      <c r="T4779" s="12"/>
      <c r="U4779" s="12">
        <v>16800</v>
      </c>
      <c r="V4779" s="12"/>
      <c r="W4779" s="12"/>
    </row>
    <row r="4780" spans="2:23" s="6" customFormat="1" ht="21.95" customHeight="1" x14ac:dyDescent="0.2">
      <c r="B4780" s="6" t="s">
        <v>1597</v>
      </c>
      <c r="C4780" s="6" t="s">
        <v>2043</v>
      </c>
      <c r="D4780" s="6" t="s">
        <v>2304</v>
      </c>
      <c r="G4780" s="6">
        <v>160</v>
      </c>
      <c r="H4780" s="6">
        <v>200</v>
      </c>
      <c r="I4780" s="9"/>
      <c r="J4780" s="9"/>
      <c r="K4780" s="9"/>
      <c r="L4780" s="6" t="str">
        <f t="shared" si="472"/>
        <v>1D  ALLURE PRO  BAZA + BAŞLIK + TRAVERS  160x200</v>
      </c>
      <c r="M4780" s="12"/>
      <c r="N4780" s="12"/>
      <c r="O4780" s="12"/>
      <c r="R4780" s="33"/>
      <c r="T4780" s="12"/>
      <c r="U4780" s="12">
        <v>19600</v>
      </c>
      <c r="V4780" s="12"/>
      <c r="W4780" s="12"/>
    </row>
    <row r="4781" spans="2:23" s="6" customFormat="1" ht="21.95" customHeight="1" x14ac:dyDescent="0.2">
      <c r="B4781" s="6" t="s">
        <v>1597</v>
      </c>
      <c r="C4781" s="6" t="s">
        <v>2043</v>
      </c>
      <c r="D4781" s="6" t="s">
        <v>2304</v>
      </c>
      <c r="G4781" s="6">
        <v>180</v>
      </c>
      <c r="H4781" s="6">
        <v>200</v>
      </c>
      <c r="I4781" s="9"/>
      <c r="J4781" s="9"/>
      <c r="K4781" s="9"/>
      <c r="L4781" s="6" t="str">
        <f t="shared" si="472"/>
        <v>1D  ALLURE PRO  BAZA + BAŞLIK + TRAVERS  180x200</v>
      </c>
      <c r="M4781" s="12"/>
      <c r="N4781" s="12"/>
      <c r="O4781" s="12"/>
      <c r="R4781" s="33"/>
      <c r="T4781" s="12"/>
      <c r="U4781" s="12">
        <v>21000</v>
      </c>
      <c r="V4781" s="12"/>
      <c r="W4781" s="12"/>
    </row>
    <row r="4782" spans="2:23" s="6" customFormat="1" ht="21.95" customHeight="1" x14ac:dyDescent="0.2">
      <c r="B4782" s="6" t="s">
        <v>1597</v>
      </c>
      <c r="C4782" s="6" t="s">
        <v>2043</v>
      </c>
      <c r="D4782" s="6" t="s">
        <v>943</v>
      </c>
      <c r="G4782" s="6">
        <v>140</v>
      </c>
      <c r="H4782" s="6">
        <v>200</v>
      </c>
      <c r="I4782" s="9"/>
      <c r="J4782" s="9"/>
      <c r="K4782" s="9"/>
      <c r="L4782" s="6" t="str">
        <f t="shared" si="472"/>
        <v>1D  ALLURE PRO  YATAK  140x200</v>
      </c>
      <c r="M4782" s="12"/>
      <c r="N4782" s="12"/>
      <c r="O4782" s="12"/>
      <c r="R4782" s="33"/>
      <c r="T4782" s="12"/>
      <c r="U4782" s="12">
        <v>22400</v>
      </c>
      <c r="V4782" s="12"/>
      <c r="W4782" s="12"/>
    </row>
    <row r="4783" spans="2:23" s="6" customFormat="1" ht="21.95" customHeight="1" x14ac:dyDescent="0.2">
      <c r="B4783" s="6" t="s">
        <v>1597</v>
      </c>
      <c r="C4783" s="6" t="s">
        <v>2043</v>
      </c>
      <c r="D4783" s="6" t="s">
        <v>943</v>
      </c>
      <c r="G4783" s="6">
        <v>150</v>
      </c>
      <c r="H4783" s="6">
        <v>200</v>
      </c>
      <c r="I4783" s="9"/>
      <c r="J4783" s="9"/>
      <c r="K4783" s="9"/>
      <c r="L4783" s="6" t="str">
        <f t="shared" si="472"/>
        <v>1D  ALLURE PRO  YATAK  150x200</v>
      </c>
      <c r="M4783" s="12"/>
      <c r="N4783" s="12"/>
      <c r="O4783" s="12"/>
      <c r="R4783" s="33"/>
      <c r="T4783" s="12"/>
      <c r="U4783" s="12">
        <v>25200</v>
      </c>
      <c r="V4783" s="12"/>
      <c r="W4783" s="12"/>
    </row>
    <row r="4784" spans="2:23" s="6" customFormat="1" ht="21.95" customHeight="1" x14ac:dyDescent="0.2">
      <c r="B4784" s="6" t="s">
        <v>1597</v>
      </c>
      <c r="C4784" s="6" t="s">
        <v>2043</v>
      </c>
      <c r="D4784" s="6" t="s">
        <v>943</v>
      </c>
      <c r="G4784" s="6">
        <v>160</v>
      </c>
      <c r="H4784" s="6">
        <v>200</v>
      </c>
      <c r="I4784" s="9"/>
      <c r="J4784" s="9"/>
      <c r="K4784" s="9"/>
      <c r="L4784" s="6" t="str">
        <f t="shared" si="472"/>
        <v>1D  ALLURE PRO  YATAK  160x200</v>
      </c>
      <c r="M4784" s="12"/>
      <c r="N4784" s="12"/>
      <c r="O4784" s="12"/>
      <c r="R4784" s="33"/>
      <c r="T4784" s="12"/>
      <c r="U4784" s="12">
        <v>6900</v>
      </c>
      <c r="V4784" s="12"/>
      <c r="W4784" s="12"/>
    </row>
    <row r="4785" spans="2:23" s="6" customFormat="1" ht="21.95" customHeight="1" x14ac:dyDescent="0.2">
      <c r="B4785" s="6" t="s">
        <v>1597</v>
      </c>
      <c r="C4785" s="6" t="s">
        <v>2043</v>
      </c>
      <c r="D4785" s="6" t="s">
        <v>943</v>
      </c>
      <c r="G4785" s="6">
        <v>180</v>
      </c>
      <c r="H4785" s="6">
        <v>200</v>
      </c>
      <c r="I4785" s="9"/>
      <c r="J4785" s="9"/>
      <c r="K4785" s="9"/>
      <c r="L4785" s="6" t="str">
        <f t="shared" si="472"/>
        <v>1D  ALLURE PRO  YATAK  180x200</v>
      </c>
      <c r="M4785" s="12"/>
      <c r="N4785" s="12"/>
      <c r="O4785" s="12"/>
      <c r="R4785" s="33"/>
      <c r="T4785" s="12"/>
      <c r="U4785" s="12">
        <v>6900</v>
      </c>
      <c r="V4785" s="12"/>
      <c r="W4785" s="12"/>
    </row>
    <row r="4786" spans="2:23" s="6" customFormat="1" ht="21.95" customHeight="1" x14ac:dyDescent="0.2">
      <c r="B4786" s="6" t="s">
        <v>1597</v>
      </c>
      <c r="C4786" s="6" t="s">
        <v>2043</v>
      </c>
      <c r="D4786" s="6" t="s">
        <v>1380</v>
      </c>
      <c r="I4786" s="9"/>
      <c r="J4786" s="9"/>
      <c r="K4786" s="9"/>
      <c r="L4786" s="6" t="str">
        <f>B4786&amp;" "&amp;C4786&amp;" "&amp;D4786</f>
        <v>1D  ALLURE PRO  KOMODİN (2 ADET)</v>
      </c>
      <c r="M4786" s="12"/>
      <c r="N4786" s="12"/>
      <c r="O4786" s="12"/>
      <c r="R4786" s="33"/>
      <c r="T4786" s="12"/>
      <c r="U4786" s="12">
        <v>7000</v>
      </c>
      <c r="V4786" s="12"/>
      <c r="W4786" s="12"/>
    </row>
    <row r="4787" spans="2:23" s="6" customFormat="1" ht="21.95" customHeight="1" x14ac:dyDescent="0.2">
      <c r="B4787" s="6" t="s">
        <v>1597</v>
      </c>
      <c r="C4787" s="6" t="s">
        <v>2044</v>
      </c>
      <c r="D4787" s="6" t="s">
        <v>989</v>
      </c>
      <c r="G4787" s="6">
        <v>90</v>
      </c>
      <c r="H4787" s="6">
        <v>190</v>
      </c>
      <c r="I4787" s="9"/>
      <c r="J4787" s="9"/>
      <c r="K4787" s="9"/>
      <c r="L4787" s="6" t="str">
        <f t="shared" ref="L4787:L4810" si="473">B4787&amp;" "&amp;C4787&amp;" "&amp;D4787&amp;" "&amp;G4787&amp;"x"&amp;H4787</f>
        <v>1D  ASTORIA BAZA  90x190</v>
      </c>
      <c r="M4787" s="12"/>
      <c r="N4787" s="12"/>
      <c r="O4787" s="12"/>
      <c r="R4787" s="33"/>
      <c r="T4787" s="12"/>
      <c r="U4787" s="12">
        <v>8400</v>
      </c>
      <c r="V4787" s="12"/>
      <c r="W4787" s="12"/>
    </row>
    <row r="4788" spans="2:23" s="6" customFormat="1" ht="21.95" customHeight="1" x14ac:dyDescent="0.2">
      <c r="B4788" s="6" t="s">
        <v>1597</v>
      </c>
      <c r="C4788" s="6" t="s">
        <v>2044</v>
      </c>
      <c r="D4788" s="6" t="s">
        <v>989</v>
      </c>
      <c r="G4788" s="6">
        <v>90</v>
      </c>
      <c r="H4788" s="6">
        <v>200</v>
      </c>
      <c r="I4788" s="9"/>
      <c r="J4788" s="9"/>
      <c r="K4788" s="9"/>
      <c r="L4788" s="6" t="str">
        <f t="shared" si="473"/>
        <v>1D  ASTORIA BAZA  90x200</v>
      </c>
      <c r="M4788" s="12"/>
      <c r="N4788" s="12"/>
      <c r="O4788" s="12"/>
      <c r="R4788" s="33"/>
      <c r="T4788" s="12"/>
      <c r="U4788" s="12">
        <v>9800</v>
      </c>
      <c r="V4788" s="12"/>
      <c r="W4788" s="12"/>
    </row>
    <row r="4789" spans="2:23" s="6" customFormat="1" ht="21.95" customHeight="1" x14ac:dyDescent="0.2">
      <c r="B4789" s="6" t="s">
        <v>1597</v>
      </c>
      <c r="C4789" s="6" t="s">
        <v>2044</v>
      </c>
      <c r="D4789" s="6" t="s">
        <v>989</v>
      </c>
      <c r="G4789" s="6">
        <v>100</v>
      </c>
      <c r="H4789" s="6">
        <v>200</v>
      </c>
      <c r="I4789" s="9"/>
      <c r="J4789" s="9"/>
      <c r="K4789" s="9"/>
      <c r="L4789" s="6" t="str">
        <f t="shared" si="473"/>
        <v>1D  ASTORIA BAZA  100x200</v>
      </c>
      <c r="M4789" s="12"/>
      <c r="N4789" s="12"/>
      <c r="O4789" s="12"/>
      <c r="R4789" s="33"/>
      <c r="T4789" s="12"/>
      <c r="U4789" s="12">
        <v>10500</v>
      </c>
      <c r="V4789" s="12"/>
      <c r="W4789" s="12"/>
    </row>
    <row r="4790" spans="2:23" s="6" customFormat="1" ht="21.95" customHeight="1" x14ac:dyDescent="0.2">
      <c r="B4790" s="6" t="s">
        <v>1597</v>
      </c>
      <c r="C4790" s="6" t="s">
        <v>2044</v>
      </c>
      <c r="D4790" s="6" t="s">
        <v>989</v>
      </c>
      <c r="G4790" s="6">
        <v>120</v>
      </c>
      <c r="H4790" s="6">
        <v>200</v>
      </c>
      <c r="I4790" s="9"/>
      <c r="J4790" s="9"/>
      <c r="K4790" s="9"/>
      <c r="L4790" s="6" t="str">
        <f t="shared" si="473"/>
        <v>1D  ASTORIA BAZA  120x200</v>
      </c>
      <c r="M4790" s="12"/>
      <c r="N4790" s="12"/>
      <c r="O4790" s="12"/>
      <c r="R4790" s="33"/>
      <c r="T4790" s="12"/>
      <c r="U4790" s="12">
        <v>11200</v>
      </c>
      <c r="V4790" s="12"/>
      <c r="W4790" s="12"/>
    </row>
    <row r="4791" spans="2:23" s="6" customFormat="1" ht="21.95" customHeight="1" x14ac:dyDescent="0.2">
      <c r="B4791" s="6" t="s">
        <v>1597</v>
      </c>
      <c r="C4791" s="6" t="s">
        <v>2044</v>
      </c>
      <c r="D4791" s="6" t="s">
        <v>989</v>
      </c>
      <c r="G4791" s="6">
        <v>140</v>
      </c>
      <c r="H4791" s="6">
        <v>200</v>
      </c>
      <c r="I4791" s="9"/>
      <c r="J4791" s="9"/>
      <c r="K4791" s="9"/>
      <c r="L4791" s="6" t="str">
        <f t="shared" si="473"/>
        <v>1D  ASTORIA BAZA  140x200</v>
      </c>
      <c r="M4791" s="12"/>
      <c r="N4791" s="12"/>
      <c r="O4791" s="12"/>
      <c r="R4791" s="33"/>
      <c r="T4791" s="12"/>
      <c r="U4791" s="12">
        <v>12600</v>
      </c>
      <c r="V4791" s="12"/>
      <c r="W4791" s="12"/>
    </row>
    <row r="4792" spans="2:23" s="6" customFormat="1" ht="21.95" customHeight="1" x14ac:dyDescent="0.2">
      <c r="B4792" s="6" t="s">
        <v>1597</v>
      </c>
      <c r="C4792" s="6" t="s">
        <v>2044</v>
      </c>
      <c r="D4792" s="6" t="s">
        <v>989</v>
      </c>
      <c r="G4792" s="6">
        <v>150</v>
      </c>
      <c r="H4792" s="6">
        <v>200</v>
      </c>
      <c r="I4792" s="9"/>
      <c r="J4792" s="9"/>
      <c r="K4792" s="9"/>
      <c r="L4792" s="6" t="str">
        <f t="shared" si="473"/>
        <v>1D  ASTORIA BAZA  150x200</v>
      </c>
      <c r="M4792" s="12"/>
      <c r="N4792" s="12"/>
      <c r="O4792" s="12"/>
      <c r="R4792" s="33"/>
      <c r="T4792" s="12"/>
      <c r="U4792" s="12">
        <v>14300</v>
      </c>
      <c r="V4792" s="12"/>
      <c r="W4792" s="12"/>
    </row>
    <row r="4793" spans="2:23" s="6" customFormat="1" ht="21.95" customHeight="1" x14ac:dyDescent="0.2">
      <c r="B4793" s="6" t="s">
        <v>1597</v>
      </c>
      <c r="C4793" s="6" t="s">
        <v>2044</v>
      </c>
      <c r="D4793" s="6" t="s">
        <v>989</v>
      </c>
      <c r="G4793" s="6">
        <v>160</v>
      </c>
      <c r="H4793" s="6">
        <v>200</v>
      </c>
      <c r="I4793" s="9"/>
      <c r="J4793" s="9"/>
      <c r="K4793" s="9"/>
      <c r="L4793" s="6" t="str">
        <f t="shared" si="473"/>
        <v>1D  ASTORIA BAZA  160x200</v>
      </c>
      <c r="M4793" s="12"/>
      <c r="N4793" s="12"/>
      <c r="O4793" s="12"/>
      <c r="R4793" s="33"/>
      <c r="T4793" s="12"/>
      <c r="U4793" s="12">
        <v>15000</v>
      </c>
      <c r="V4793" s="12"/>
      <c r="W4793" s="12"/>
    </row>
    <row r="4794" spans="2:23" s="6" customFormat="1" ht="21.95" customHeight="1" x14ac:dyDescent="0.2">
      <c r="B4794" s="6" t="s">
        <v>1597</v>
      </c>
      <c r="C4794" s="6" t="s">
        <v>2044</v>
      </c>
      <c r="D4794" s="6" t="s">
        <v>989</v>
      </c>
      <c r="G4794" s="6">
        <v>180</v>
      </c>
      <c r="H4794" s="6">
        <v>200</v>
      </c>
      <c r="I4794" s="9"/>
      <c r="J4794" s="9"/>
      <c r="K4794" s="9"/>
      <c r="L4794" s="6" t="str">
        <f t="shared" si="473"/>
        <v>1D  ASTORIA BAZA  180x200</v>
      </c>
      <c r="M4794" s="12"/>
      <c r="N4794" s="12"/>
      <c r="O4794" s="12"/>
      <c r="R4794" s="33"/>
      <c r="T4794" s="12"/>
      <c r="U4794" s="12">
        <v>15200</v>
      </c>
      <c r="V4794" s="12"/>
      <c r="W4794" s="12"/>
    </row>
    <row r="4795" spans="2:23" s="6" customFormat="1" ht="21.95" customHeight="1" x14ac:dyDescent="0.2">
      <c r="B4795" s="6" t="s">
        <v>1597</v>
      </c>
      <c r="C4795" s="6" t="s">
        <v>2044</v>
      </c>
      <c r="D4795" s="6" t="s">
        <v>1003</v>
      </c>
      <c r="G4795" s="6">
        <v>90</v>
      </c>
      <c r="H4795" s="6">
        <v>190</v>
      </c>
      <c r="I4795" s="9"/>
      <c r="J4795" s="9"/>
      <c r="K4795" s="9"/>
      <c r="L4795" s="6" t="str">
        <f t="shared" si="473"/>
        <v>1D  ASTORIA BAŞLIK  90x190</v>
      </c>
      <c r="M4795" s="12"/>
      <c r="N4795" s="12"/>
      <c r="O4795" s="12"/>
      <c r="R4795" s="33"/>
      <c r="T4795" s="12"/>
      <c r="U4795" s="12">
        <v>18200</v>
      </c>
      <c r="V4795" s="12"/>
      <c r="W4795" s="12"/>
    </row>
    <row r="4796" spans="2:23" s="6" customFormat="1" ht="21.95" customHeight="1" x14ac:dyDescent="0.2">
      <c r="B4796" s="6" t="s">
        <v>1597</v>
      </c>
      <c r="C4796" s="6" t="s">
        <v>2044</v>
      </c>
      <c r="D4796" s="6" t="s">
        <v>1003</v>
      </c>
      <c r="G4796" s="6">
        <v>90</v>
      </c>
      <c r="H4796" s="6">
        <v>200</v>
      </c>
      <c r="I4796" s="9"/>
      <c r="J4796" s="9"/>
      <c r="K4796" s="9"/>
      <c r="L4796" s="6" t="str">
        <f t="shared" si="473"/>
        <v>1D  ASTORIA BAŞLIK  90x200</v>
      </c>
      <c r="M4796" s="12"/>
      <c r="N4796" s="12"/>
      <c r="O4796" s="12"/>
      <c r="R4796" s="33"/>
      <c r="T4796" s="12"/>
      <c r="U4796" s="12">
        <v>21300</v>
      </c>
      <c r="V4796" s="12"/>
      <c r="W4796" s="12"/>
    </row>
    <row r="4797" spans="2:23" s="6" customFormat="1" ht="21.95" customHeight="1" x14ac:dyDescent="0.2">
      <c r="B4797" s="6" t="s">
        <v>1597</v>
      </c>
      <c r="C4797" s="6" t="s">
        <v>2044</v>
      </c>
      <c r="D4797" s="6" t="s">
        <v>1003</v>
      </c>
      <c r="G4797" s="6">
        <v>100</v>
      </c>
      <c r="H4797" s="6">
        <v>200</v>
      </c>
      <c r="I4797" s="9"/>
      <c r="J4797" s="9"/>
      <c r="K4797" s="9"/>
      <c r="L4797" s="6" t="str">
        <f t="shared" si="473"/>
        <v>1D  ASTORIA BAŞLIK  100x200</v>
      </c>
      <c r="M4797" s="12"/>
      <c r="N4797" s="12"/>
      <c r="O4797" s="12"/>
      <c r="R4797" s="33"/>
      <c r="T4797" s="12"/>
      <c r="U4797" s="12">
        <v>22800</v>
      </c>
      <c r="V4797" s="12"/>
      <c r="W4797" s="12"/>
    </row>
    <row r="4798" spans="2:23" s="6" customFormat="1" ht="21.95" customHeight="1" x14ac:dyDescent="0.2">
      <c r="B4798" s="6" t="s">
        <v>1597</v>
      </c>
      <c r="C4798" s="6" t="s">
        <v>2044</v>
      </c>
      <c r="D4798" s="6" t="s">
        <v>1003</v>
      </c>
      <c r="G4798" s="6">
        <v>120</v>
      </c>
      <c r="H4798" s="6">
        <v>200</v>
      </c>
      <c r="I4798" s="9"/>
      <c r="J4798" s="9"/>
      <c r="K4798" s="9"/>
      <c r="L4798" s="6" t="str">
        <f t="shared" si="473"/>
        <v>1D  ASTORIA BAŞLIK  120x200</v>
      </c>
      <c r="M4798" s="12"/>
      <c r="N4798" s="12"/>
      <c r="O4798" s="12"/>
      <c r="R4798" s="33"/>
      <c r="T4798" s="12"/>
      <c r="U4798" s="12">
        <v>24300</v>
      </c>
      <c r="V4798" s="12"/>
      <c r="W4798" s="12"/>
    </row>
    <row r="4799" spans="2:23" s="6" customFormat="1" ht="21.95" customHeight="1" x14ac:dyDescent="0.2">
      <c r="B4799" s="6" t="s">
        <v>1597</v>
      </c>
      <c r="C4799" s="6" t="s">
        <v>2044</v>
      </c>
      <c r="D4799" s="6" t="s">
        <v>1003</v>
      </c>
      <c r="G4799" s="6">
        <v>140</v>
      </c>
      <c r="H4799" s="6">
        <v>200</v>
      </c>
      <c r="I4799" s="9"/>
      <c r="J4799" s="9"/>
      <c r="K4799" s="9"/>
      <c r="L4799" s="6" t="str">
        <f t="shared" si="473"/>
        <v>1D  ASTORIA BAŞLIK  140x200</v>
      </c>
      <c r="M4799" s="12"/>
      <c r="N4799" s="12"/>
      <c r="O4799" s="12"/>
      <c r="R4799" s="33"/>
      <c r="T4799" s="12"/>
      <c r="U4799" s="12">
        <v>27300</v>
      </c>
      <c r="V4799" s="12"/>
      <c r="W4799" s="12"/>
    </row>
    <row r="4800" spans="2:23" s="6" customFormat="1" ht="21.95" customHeight="1" x14ac:dyDescent="0.2">
      <c r="B4800" s="6" t="s">
        <v>1597</v>
      </c>
      <c r="C4800" s="6" t="s">
        <v>2044</v>
      </c>
      <c r="D4800" s="6" t="s">
        <v>1003</v>
      </c>
      <c r="G4800" s="6">
        <v>150</v>
      </c>
      <c r="H4800" s="6">
        <v>200</v>
      </c>
      <c r="I4800" s="9"/>
      <c r="J4800" s="9"/>
      <c r="K4800" s="9"/>
      <c r="L4800" s="6" t="str">
        <f t="shared" si="473"/>
        <v>1D  ASTORIA BAŞLIK  150x200</v>
      </c>
      <c r="M4800" s="12"/>
      <c r="N4800" s="12"/>
      <c r="O4800" s="12"/>
      <c r="R4800" s="33"/>
      <c r="T4800" s="12"/>
      <c r="U4800" s="12">
        <v>19300</v>
      </c>
      <c r="V4800" s="12"/>
      <c r="W4800" s="12"/>
    </row>
    <row r="4801" spans="2:23" s="6" customFormat="1" ht="21.95" customHeight="1" x14ac:dyDescent="0.2">
      <c r="B4801" s="6" t="s">
        <v>1597</v>
      </c>
      <c r="C4801" s="6" t="s">
        <v>2044</v>
      </c>
      <c r="D4801" s="6" t="s">
        <v>1003</v>
      </c>
      <c r="G4801" s="6">
        <v>160</v>
      </c>
      <c r="H4801" s="6">
        <v>200</v>
      </c>
      <c r="I4801" s="9"/>
      <c r="J4801" s="9"/>
      <c r="K4801" s="9"/>
      <c r="L4801" s="6" t="str">
        <f t="shared" si="473"/>
        <v>1D  ASTORIA BAŞLIK  160x200</v>
      </c>
      <c r="M4801" s="12"/>
      <c r="N4801" s="12"/>
      <c r="O4801" s="12"/>
      <c r="R4801" s="33"/>
      <c r="T4801" s="12"/>
      <c r="U4801" s="12">
        <v>12000</v>
      </c>
      <c r="V4801" s="12"/>
      <c r="W4801" s="12"/>
    </row>
    <row r="4802" spans="2:23" s="6" customFormat="1" ht="21.95" customHeight="1" x14ac:dyDescent="0.2">
      <c r="B4802" s="6" t="s">
        <v>1597</v>
      </c>
      <c r="C4802" s="6" t="s">
        <v>2044</v>
      </c>
      <c r="D4802" s="6" t="s">
        <v>1003</v>
      </c>
      <c r="G4802" s="6">
        <v>180</v>
      </c>
      <c r="H4802" s="6">
        <v>200</v>
      </c>
      <c r="I4802" s="9"/>
      <c r="J4802" s="9"/>
      <c r="K4802" s="9"/>
      <c r="L4802" s="6" t="str">
        <f t="shared" si="473"/>
        <v>1D  ASTORIA BAŞLIK  180x200</v>
      </c>
      <c r="M4802" s="12"/>
      <c r="N4802" s="12"/>
      <c r="O4802" s="12"/>
      <c r="R4802" s="33"/>
      <c r="T4802" s="12"/>
      <c r="U4802" s="12">
        <v>12600</v>
      </c>
      <c r="V4802" s="12"/>
      <c r="W4802" s="12"/>
    </row>
    <row r="4803" spans="2:23" s="6" customFormat="1" ht="21.95" customHeight="1" x14ac:dyDescent="0.2">
      <c r="B4803" s="6" t="s">
        <v>1597</v>
      </c>
      <c r="C4803" s="6" t="s">
        <v>2044</v>
      </c>
      <c r="D4803" s="6" t="s">
        <v>943</v>
      </c>
      <c r="G4803" s="6">
        <v>90</v>
      </c>
      <c r="H4803" s="6">
        <v>190</v>
      </c>
      <c r="I4803" s="9"/>
      <c r="J4803" s="9"/>
      <c r="K4803" s="9"/>
      <c r="L4803" s="6" t="str">
        <f t="shared" si="473"/>
        <v>1D  ASTORIA YATAK  90x190</v>
      </c>
      <c r="M4803" s="12"/>
      <c r="N4803" s="12"/>
      <c r="O4803" s="12"/>
      <c r="R4803" s="33"/>
      <c r="T4803" s="12"/>
      <c r="U4803" s="12">
        <v>12800</v>
      </c>
      <c r="V4803" s="12"/>
      <c r="W4803" s="12"/>
    </row>
    <row r="4804" spans="2:23" s="6" customFormat="1" ht="21.95" customHeight="1" x14ac:dyDescent="0.2">
      <c r="B4804" s="6" t="s">
        <v>1597</v>
      </c>
      <c r="C4804" s="6" t="s">
        <v>2044</v>
      </c>
      <c r="D4804" s="6" t="s">
        <v>943</v>
      </c>
      <c r="G4804" s="6">
        <v>90</v>
      </c>
      <c r="H4804" s="6">
        <v>200</v>
      </c>
      <c r="I4804" s="9"/>
      <c r="J4804" s="9"/>
      <c r="K4804" s="9"/>
      <c r="L4804" s="6" t="str">
        <f t="shared" si="473"/>
        <v>1D  ASTORIA YATAK  90x200</v>
      </c>
      <c r="M4804" s="12"/>
      <c r="N4804" s="12"/>
      <c r="O4804" s="12"/>
      <c r="R4804" s="33"/>
      <c r="T4804" s="12"/>
      <c r="U4804" s="12">
        <v>15300</v>
      </c>
      <c r="V4804" s="12"/>
      <c r="W4804" s="12"/>
    </row>
    <row r="4805" spans="2:23" s="6" customFormat="1" ht="21.95" customHeight="1" x14ac:dyDescent="0.2">
      <c r="B4805" s="6" t="s">
        <v>1597</v>
      </c>
      <c r="C4805" s="6" t="s">
        <v>2044</v>
      </c>
      <c r="D4805" s="6" t="s">
        <v>943</v>
      </c>
      <c r="G4805" s="6">
        <v>100</v>
      </c>
      <c r="H4805" s="6">
        <v>200</v>
      </c>
      <c r="I4805" s="9"/>
      <c r="J4805" s="9"/>
      <c r="K4805" s="9"/>
      <c r="L4805" s="6" t="str">
        <f t="shared" si="473"/>
        <v>1D  ASTORIA YATAK  100x200</v>
      </c>
      <c r="M4805" s="12"/>
      <c r="N4805" s="12"/>
      <c r="O4805" s="12"/>
      <c r="R4805" s="33"/>
      <c r="T4805" s="12"/>
      <c r="U4805" s="12">
        <v>17900</v>
      </c>
      <c r="V4805" s="12"/>
      <c r="W4805" s="12"/>
    </row>
    <row r="4806" spans="2:23" s="6" customFormat="1" ht="21.95" customHeight="1" x14ac:dyDescent="0.2">
      <c r="B4806" s="6" t="s">
        <v>1597</v>
      </c>
      <c r="C4806" s="6" t="s">
        <v>2044</v>
      </c>
      <c r="D4806" s="6" t="s">
        <v>943</v>
      </c>
      <c r="G4806" s="6">
        <v>120</v>
      </c>
      <c r="H4806" s="6">
        <v>200</v>
      </c>
      <c r="I4806" s="9"/>
      <c r="J4806" s="9"/>
      <c r="K4806" s="9"/>
      <c r="L4806" s="6" t="str">
        <f t="shared" si="473"/>
        <v>1D  ASTORIA YATAK  120x200</v>
      </c>
      <c r="M4806" s="12"/>
      <c r="N4806" s="12"/>
      <c r="O4806" s="12"/>
      <c r="R4806" s="33"/>
      <c r="T4806" s="12"/>
      <c r="U4806" s="12">
        <v>19100</v>
      </c>
      <c r="V4806" s="12"/>
      <c r="W4806" s="12"/>
    </row>
    <row r="4807" spans="2:23" s="6" customFormat="1" ht="21.95" customHeight="1" x14ac:dyDescent="0.2">
      <c r="B4807" s="6" t="s">
        <v>1597</v>
      </c>
      <c r="C4807" s="6" t="s">
        <v>2044</v>
      </c>
      <c r="D4807" s="6" t="s">
        <v>943</v>
      </c>
      <c r="G4807" s="6">
        <v>140</v>
      </c>
      <c r="H4807" s="6">
        <v>200</v>
      </c>
      <c r="I4807" s="9"/>
      <c r="J4807" s="9"/>
      <c r="K4807" s="9"/>
      <c r="L4807" s="6" t="str">
        <f t="shared" si="473"/>
        <v>1D  ASTORIA YATAK  140x200</v>
      </c>
      <c r="M4807" s="12"/>
      <c r="N4807" s="12"/>
      <c r="O4807" s="12"/>
      <c r="R4807" s="33"/>
      <c r="T4807" s="12"/>
      <c r="U4807" s="12">
        <v>20400</v>
      </c>
      <c r="V4807" s="12"/>
      <c r="W4807" s="12"/>
    </row>
    <row r="4808" spans="2:23" s="6" customFormat="1" ht="21.95" customHeight="1" x14ac:dyDescent="0.2">
      <c r="B4808" s="6" t="s">
        <v>1597</v>
      </c>
      <c r="C4808" s="6" t="s">
        <v>2044</v>
      </c>
      <c r="D4808" s="6" t="s">
        <v>943</v>
      </c>
      <c r="G4808" s="6">
        <v>150</v>
      </c>
      <c r="H4808" s="6">
        <v>200</v>
      </c>
      <c r="I4808" s="9"/>
      <c r="J4808" s="9"/>
      <c r="K4808" s="9"/>
      <c r="L4808" s="6" t="str">
        <f t="shared" si="473"/>
        <v>1D  ASTORIA YATAK  150x200</v>
      </c>
      <c r="M4808" s="12"/>
      <c r="N4808" s="12"/>
      <c r="O4808" s="12"/>
      <c r="R4808" s="33"/>
      <c r="T4808" s="12"/>
      <c r="U4808" s="12">
        <v>23000</v>
      </c>
      <c r="V4808" s="12"/>
      <c r="W4808" s="12"/>
    </row>
    <row r="4809" spans="2:23" s="6" customFormat="1" ht="21.95" customHeight="1" x14ac:dyDescent="0.2">
      <c r="B4809" s="6" t="s">
        <v>1597</v>
      </c>
      <c r="C4809" s="6" t="s">
        <v>2044</v>
      </c>
      <c r="D4809" s="6" t="s">
        <v>943</v>
      </c>
      <c r="G4809" s="6">
        <v>160</v>
      </c>
      <c r="H4809" s="6">
        <v>200</v>
      </c>
      <c r="I4809" s="9"/>
      <c r="J4809" s="9"/>
      <c r="K4809" s="9"/>
      <c r="L4809" s="6" t="str">
        <f t="shared" si="473"/>
        <v>1D  ASTORIA YATAK  160x200</v>
      </c>
      <c r="M4809" s="12"/>
      <c r="N4809" s="12"/>
      <c r="O4809" s="12"/>
      <c r="R4809" s="33"/>
      <c r="T4809" s="12"/>
      <c r="U4809" s="12">
        <v>6400</v>
      </c>
      <c r="V4809" s="12"/>
      <c r="W4809" s="12"/>
    </row>
    <row r="4810" spans="2:23" s="6" customFormat="1" ht="21.95" customHeight="1" x14ac:dyDescent="0.2">
      <c r="B4810" s="6" t="s">
        <v>1597</v>
      </c>
      <c r="C4810" s="6" t="s">
        <v>2044</v>
      </c>
      <c r="D4810" s="6" t="s">
        <v>943</v>
      </c>
      <c r="G4810" s="6">
        <v>180</v>
      </c>
      <c r="H4810" s="6">
        <v>200</v>
      </c>
      <c r="I4810" s="9"/>
      <c r="J4810" s="9"/>
      <c r="K4810" s="9"/>
      <c r="L4810" s="6" t="str">
        <f t="shared" si="473"/>
        <v>1D  ASTORIA YATAK  180x200</v>
      </c>
      <c r="M4810" s="12"/>
      <c r="N4810" s="12"/>
      <c r="O4810" s="12"/>
      <c r="R4810" s="33"/>
      <c r="T4810" s="12"/>
      <c r="U4810" s="12">
        <v>6400</v>
      </c>
      <c r="V4810" s="12"/>
      <c r="W4810" s="12"/>
    </row>
    <row r="4811" spans="2:23" s="6" customFormat="1" ht="21.95" customHeight="1" x14ac:dyDescent="0.2">
      <c r="B4811" s="6" t="s">
        <v>1597</v>
      </c>
      <c r="C4811" s="6" t="s">
        <v>2044</v>
      </c>
      <c r="D4811" s="6" t="s">
        <v>1380</v>
      </c>
      <c r="I4811" s="9"/>
      <c r="J4811" s="9"/>
      <c r="K4811" s="9"/>
      <c r="L4811" s="6" t="str">
        <f>B4811&amp;" "&amp;C4811&amp;" "&amp;D4811</f>
        <v>1D  ASTORIA KOMODİN (2 ADET)</v>
      </c>
      <c r="M4811" s="12"/>
      <c r="N4811" s="12"/>
      <c r="O4811" s="12"/>
      <c r="R4811" s="33"/>
      <c r="T4811" s="12"/>
      <c r="U4811" s="12">
        <v>6400</v>
      </c>
      <c r="V4811" s="12"/>
      <c r="W4811" s="12"/>
    </row>
    <row r="4812" spans="2:23" s="6" customFormat="1" ht="21.95" customHeight="1" x14ac:dyDescent="0.2">
      <c r="B4812" s="6" t="s">
        <v>1597</v>
      </c>
      <c r="C4812" s="6" t="s">
        <v>1612</v>
      </c>
      <c r="D4812" s="6" t="s">
        <v>2304</v>
      </c>
      <c r="G4812" s="6">
        <v>140</v>
      </c>
      <c r="H4812" s="6">
        <v>200</v>
      </c>
      <c r="I4812" s="9"/>
      <c r="J4812" s="9"/>
      <c r="K4812" s="9"/>
      <c r="L4812" s="6" t="str">
        <f t="shared" ref="L4812:L4819" si="474">B4812&amp;" "&amp;C4812&amp;" "&amp;D4812&amp;" "&amp;G4812&amp;"x"&amp;H4812</f>
        <v>1D  BOHEM  BAZA + BAŞLIK + TRAVERS  140x200</v>
      </c>
      <c r="M4812" s="12"/>
      <c r="N4812" s="12"/>
      <c r="O4812" s="12"/>
      <c r="R4812" s="33"/>
      <c r="T4812" s="12"/>
      <c r="U4812" s="12">
        <v>7700</v>
      </c>
      <c r="V4812" s="12"/>
      <c r="W4812" s="12"/>
    </row>
    <row r="4813" spans="2:23" s="6" customFormat="1" ht="21.95" customHeight="1" x14ac:dyDescent="0.2">
      <c r="B4813" s="6" t="s">
        <v>1597</v>
      </c>
      <c r="C4813" s="6" t="s">
        <v>1612</v>
      </c>
      <c r="D4813" s="6" t="s">
        <v>2304</v>
      </c>
      <c r="G4813" s="6">
        <v>150</v>
      </c>
      <c r="H4813" s="6">
        <v>200</v>
      </c>
      <c r="I4813" s="9"/>
      <c r="J4813" s="9"/>
      <c r="K4813" s="9"/>
      <c r="L4813" s="6" t="str">
        <f t="shared" si="474"/>
        <v>1D  BOHEM  BAZA + BAŞLIK + TRAVERS  150x200</v>
      </c>
      <c r="M4813" s="12"/>
      <c r="N4813" s="12"/>
      <c r="O4813" s="12"/>
      <c r="R4813" s="33"/>
      <c r="T4813" s="12"/>
      <c r="U4813" s="12">
        <v>9000</v>
      </c>
      <c r="V4813" s="12"/>
      <c r="W4813" s="12"/>
    </row>
    <row r="4814" spans="2:23" s="6" customFormat="1" ht="21.95" customHeight="1" x14ac:dyDescent="0.2">
      <c r="B4814" s="6" t="s">
        <v>1597</v>
      </c>
      <c r="C4814" s="6" t="s">
        <v>1612</v>
      </c>
      <c r="D4814" s="6" t="s">
        <v>2304</v>
      </c>
      <c r="G4814" s="6">
        <v>160</v>
      </c>
      <c r="H4814" s="6">
        <v>200</v>
      </c>
      <c r="I4814" s="9"/>
      <c r="J4814" s="9"/>
      <c r="K4814" s="9"/>
      <c r="L4814" s="6" t="str">
        <f t="shared" si="474"/>
        <v>1D  BOHEM  BAZA + BAŞLIK + TRAVERS  160x200</v>
      </c>
      <c r="M4814" s="12"/>
      <c r="N4814" s="12"/>
      <c r="O4814" s="12"/>
      <c r="R4814" s="33"/>
      <c r="T4814" s="12"/>
      <c r="U4814" s="12">
        <v>9700</v>
      </c>
      <c r="V4814" s="12"/>
      <c r="W4814" s="12"/>
    </row>
    <row r="4815" spans="2:23" s="6" customFormat="1" ht="21.95" customHeight="1" x14ac:dyDescent="0.2">
      <c r="B4815" s="6" t="s">
        <v>1597</v>
      </c>
      <c r="C4815" s="6" t="s">
        <v>1612</v>
      </c>
      <c r="D4815" s="6" t="s">
        <v>2304</v>
      </c>
      <c r="G4815" s="6">
        <v>180</v>
      </c>
      <c r="H4815" s="6">
        <v>200</v>
      </c>
      <c r="I4815" s="9"/>
      <c r="J4815" s="9"/>
      <c r="K4815" s="9"/>
      <c r="L4815" s="6" t="str">
        <f t="shared" si="474"/>
        <v>1D  BOHEM  BAZA + BAŞLIK + TRAVERS  180x200</v>
      </c>
      <c r="M4815" s="12"/>
      <c r="N4815" s="12"/>
      <c r="O4815" s="12"/>
      <c r="R4815" s="33"/>
      <c r="T4815" s="12"/>
      <c r="U4815" s="12">
        <v>10300</v>
      </c>
      <c r="V4815" s="12"/>
      <c r="W4815" s="12"/>
    </row>
    <row r="4816" spans="2:23" s="6" customFormat="1" ht="21.95" customHeight="1" x14ac:dyDescent="0.2">
      <c r="B4816" s="6" t="s">
        <v>1597</v>
      </c>
      <c r="C4816" s="6" t="s">
        <v>1612</v>
      </c>
      <c r="D4816" s="6" t="s">
        <v>943</v>
      </c>
      <c r="G4816" s="6">
        <v>140</v>
      </c>
      <c r="H4816" s="6">
        <v>200</v>
      </c>
      <c r="I4816" s="9"/>
      <c r="J4816" s="9"/>
      <c r="K4816" s="9"/>
      <c r="L4816" s="6" t="str">
        <f t="shared" si="474"/>
        <v>1D  BOHEM  YATAK  140x200</v>
      </c>
      <c r="M4816" s="12"/>
      <c r="N4816" s="12"/>
      <c r="O4816" s="12"/>
      <c r="R4816" s="33"/>
      <c r="T4816" s="12"/>
      <c r="U4816" s="12">
        <v>11600</v>
      </c>
      <c r="V4816" s="12"/>
      <c r="W4816" s="12"/>
    </row>
    <row r="4817" spans="2:23" s="6" customFormat="1" ht="21.95" customHeight="1" x14ac:dyDescent="0.2">
      <c r="B4817" s="6" t="s">
        <v>1597</v>
      </c>
      <c r="C4817" s="6" t="s">
        <v>1612</v>
      </c>
      <c r="D4817" s="6" t="s">
        <v>943</v>
      </c>
      <c r="G4817" s="6">
        <v>150</v>
      </c>
      <c r="H4817" s="6">
        <v>200</v>
      </c>
      <c r="I4817" s="9"/>
      <c r="J4817" s="9"/>
      <c r="K4817" s="9"/>
      <c r="L4817" s="6" t="str">
        <f t="shared" si="474"/>
        <v>1D  BOHEM  YATAK  150x200</v>
      </c>
      <c r="M4817" s="12"/>
      <c r="N4817" s="12"/>
      <c r="O4817" s="12"/>
      <c r="R4817" s="33"/>
      <c r="T4817" s="12"/>
      <c r="U4817" s="12">
        <v>12900</v>
      </c>
      <c r="V4817" s="12"/>
      <c r="W4817" s="12"/>
    </row>
    <row r="4818" spans="2:23" s="6" customFormat="1" ht="21.95" customHeight="1" x14ac:dyDescent="0.2">
      <c r="B4818" s="6" t="s">
        <v>1597</v>
      </c>
      <c r="C4818" s="6" t="s">
        <v>1612</v>
      </c>
      <c r="D4818" s="6" t="s">
        <v>943</v>
      </c>
      <c r="G4818" s="6">
        <v>160</v>
      </c>
      <c r="H4818" s="6">
        <v>200</v>
      </c>
      <c r="I4818" s="9"/>
      <c r="J4818" s="9"/>
      <c r="K4818" s="9"/>
      <c r="L4818" s="6" t="str">
        <f t="shared" si="474"/>
        <v>1D  BOHEM  YATAK  160x200</v>
      </c>
      <c r="M4818" s="12"/>
      <c r="N4818" s="12"/>
      <c r="O4818" s="12"/>
      <c r="R4818" s="33"/>
      <c r="T4818" s="12"/>
      <c r="U4818" s="12">
        <v>13600</v>
      </c>
      <c r="V4818" s="12"/>
      <c r="W4818" s="12"/>
    </row>
    <row r="4819" spans="2:23" s="6" customFormat="1" ht="21.95" customHeight="1" x14ac:dyDescent="0.2">
      <c r="B4819" s="6" t="s">
        <v>1597</v>
      </c>
      <c r="C4819" s="6" t="s">
        <v>1612</v>
      </c>
      <c r="D4819" s="6" t="s">
        <v>943</v>
      </c>
      <c r="G4819" s="6">
        <v>180</v>
      </c>
      <c r="H4819" s="6">
        <v>200</v>
      </c>
      <c r="I4819" s="9"/>
      <c r="J4819" s="9"/>
      <c r="K4819" s="9"/>
      <c r="L4819" s="6" t="str">
        <f t="shared" si="474"/>
        <v>1D  BOHEM  YATAK  180x200</v>
      </c>
      <c r="M4819" s="12"/>
      <c r="N4819" s="12"/>
      <c r="O4819" s="12"/>
      <c r="R4819" s="33"/>
      <c r="T4819" s="12"/>
      <c r="U4819" s="12">
        <v>13800</v>
      </c>
      <c r="V4819" s="12"/>
      <c r="W4819" s="12"/>
    </row>
    <row r="4820" spans="2:23" s="6" customFormat="1" ht="21.95" customHeight="1" x14ac:dyDescent="0.2">
      <c r="B4820" s="6" t="s">
        <v>1597</v>
      </c>
      <c r="C4820" s="6" t="s">
        <v>1612</v>
      </c>
      <c r="D4820" s="6" t="s">
        <v>1380</v>
      </c>
      <c r="I4820" s="9"/>
      <c r="J4820" s="9"/>
      <c r="K4820" s="9"/>
      <c r="L4820" s="6" t="str">
        <f>B4820&amp;" "&amp;C4820&amp;" "&amp;D4820</f>
        <v>1D  BOHEM  KOMODİN (2 ADET)</v>
      </c>
      <c r="M4820" s="12"/>
      <c r="N4820" s="12"/>
      <c r="O4820" s="12"/>
      <c r="R4820" s="33"/>
      <c r="T4820" s="12"/>
      <c r="U4820" s="12">
        <v>16500</v>
      </c>
      <c r="V4820" s="12"/>
      <c r="W4820" s="12"/>
    </row>
    <row r="4821" spans="2:23" s="6" customFormat="1" ht="21.95" customHeight="1" x14ac:dyDescent="0.2">
      <c r="B4821" s="6" t="s">
        <v>1597</v>
      </c>
      <c r="C4821" s="6" t="s">
        <v>2045</v>
      </c>
      <c r="D4821" s="6" t="s">
        <v>2304</v>
      </c>
      <c r="G4821" s="6">
        <v>140</v>
      </c>
      <c r="H4821" s="6">
        <v>200</v>
      </c>
      <c r="I4821" s="9"/>
      <c r="J4821" s="9"/>
      <c r="K4821" s="9"/>
      <c r="L4821" s="6" t="str">
        <f t="shared" ref="L4821:L4828" si="475">B4821&amp;" "&amp;C4821&amp;" "&amp;D4821&amp;" "&amp;G4821&amp;"x"&amp;H4821</f>
        <v>1D  CARISSIMA  BAZA + BAŞLIK + TRAVERS  140x200</v>
      </c>
      <c r="M4821" s="12"/>
      <c r="N4821" s="12"/>
      <c r="O4821" s="12"/>
      <c r="R4821" s="33"/>
      <c r="T4821" s="12"/>
      <c r="U4821" s="12">
        <v>19300</v>
      </c>
      <c r="V4821" s="12"/>
      <c r="W4821" s="12"/>
    </row>
    <row r="4822" spans="2:23" s="6" customFormat="1" ht="21.95" customHeight="1" x14ac:dyDescent="0.2">
      <c r="B4822" s="6" t="s">
        <v>1597</v>
      </c>
      <c r="C4822" s="6" t="s">
        <v>2045</v>
      </c>
      <c r="D4822" s="6" t="s">
        <v>2304</v>
      </c>
      <c r="G4822" s="6">
        <v>150</v>
      </c>
      <c r="H4822" s="6">
        <v>200</v>
      </c>
      <c r="I4822" s="9"/>
      <c r="J4822" s="9"/>
      <c r="K4822" s="9"/>
      <c r="L4822" s="6" t="str">
        <f t="shared" si="475"/>
        <v>1D  CARISSIMA  BAZA + BAŞLIK + TRAVERS  150x200</v>
      </c>
      <c r="M4822" s="12"/>
      <c r="N4822" s="12"/>
      <c r="O4822" s="12"/>
      <c r="R4822" s="33"/>
      <c r="T4822" s="12"/>
      <c r="U4822" s="12">
        <v>20600</v>
      </c>
      <c r="V4822" s="12"/>
      <c r="W4822" s="12"/>
    </row>
    <row r="4823" spans="2:23" s="6" customFormat="1" ht="21.95" customHeight="1" x14ac:dyDescent="0.2">
      <c r="B4823" s="6" t="s">
        <v>1597</v>
      </c>
      <c r="C4823" s="6" t="s">
        <v>2045</v>
      </c>
      <c r="D4823" s="6" t="s">
        <v>2304</v>
      </c>
      <c r="G4823" s="6">
        <v>160</v>
      </c>
      <c r="H4823" s="6">
        <v>200</v>
      </c>
      <c r="I4823" s="9"/>
      <c r="J4823" s="9"/>
      <c r="K4823" s="9"/>
      <c r="L4823" s="6" t="str">
        <f t="shared" si="475"/>
        <v>1D  CARISSIMA  BAZA + BAŞLIK + TRAVERS  160x200</v>
      </c>
      <c r="M4823" s="12"/>
      <c r="N4823" s="12"/>
      <c r="O4823" s="12"/>
      <c r="R4823" s="33"/>
      <c r="T4823" s="12"/>
      <c r="U4823" s="12">
        <v>22000</v>
      </c>
      <c r="V4823" s="12"/>
      <c r="W4823" s="12"/>
    </row>
    <row r="4824" spans="2:23" s="6" customFormat="1" ht="21.95" customHeight="1" x14ac:dyDescent="0.2">
      <c r="B4824" s="6" t="s">
        <v>1597</v>
      </c>
      <c r="C4824" s="6" t="s">
        <v>2045</v>
      </c>
      <c r="D4824" s="6" t="s">
        <v>2304</v>
      </c>
      <c r="G4824" s="6">
        <v>180</v>
      </c>
      <c r="H4824" s="6">
        <v>200</v>
      </c>
      <c r="I4824" s="9"/>
      <c r="J4824" s="9"/>
      <c r="K4824" s="9"/>
      <c r="L4824" s="6" t="str">
        <f t="shared" si="475"/>
        <v>1D  CARISSIMA  BAZA + BAŞLIK + TRAVERS  180x200</v>
      </c>
      <c r="M4824" s="12"/>
      <c r="N4824" s="12"/>
      <c r="O4824" s="12"/>
      <c r="R4824" s="33"/>
      <c r="T4824" s="12"/>
      <c r="U4824" s="12">
        <v>24800</v>
      </c>
      <c r="V4824" s="12"/>
      <c r="W4824" s="12"/>
    </row>
    <row r="4825" spans="2:23" s="6" customFormat="1" ht="21.95" customHeight="1" x14ac:dyDescent="0.2">
      <c r="B4825" s="6" t="s">
        <v>1597</v>
      </c>
      <c r="C4825" s="6" t="s">
        <v>2045</v>
      </c>
      <c r="D4825" s="6" t="s">
        <v>943</v>
      </c>
      <c r="G4825" s="6">
        <v>140</v>
      </c>
      <c r="H4825" s="6">
        <v>200</v>
      </c>
      <c r="I4825" s="9"/>
      <c r="J4825" s="9"/>
      <c r="K4825" s="9"/>
      <c r="L4825" s="6" t="str">
        <f t="shared" si="475"/>
        <v>1D  CARISSIMA  YATAK  140x200</v>
      </c>
      <c r="M4825" s="12"/>
      <c r="N4825" s="12"/>
      <c r="O4825" s="12"/>
      <c r="R4825" s="33"/>
      <c r="T4825" s="12"/>
      <c r="U4825" s="12">
        <v>15800</v>
      </c>
      <c r="V4825" s="12"/>
      <c r="W4825" s="12"/>
    </row>
    <row r="4826" spans="2:23" s="6" customFormat="1" ht="21.95" customHeight="1" x14ac:dyDescent="0.2">
      <c r="B4826" s="6" t="s">
        <v>1597</v>
      </c>
      <c r="C4826" s="6" t="s">
        <v>2045</v>
      </c>
      <c r="D4826" s="6" t="s">
        <v>943</v>
      </c>
      <c r="G4826" s="6">
        <v>150</v>
      </c>
      <c r="H4826" s="6">
        <v>200</v>
      </c>
      <c r="I4826" s="9"/>
      <c r="J4826" s="9"/>
      <c r="K4826" s="9"/>
      <c r="L4826" s="6" t="str">
        <f t="shared" si="475"/>
        <v>1D  CARISSIMA  YATAK  150x200</v>
      </c>
      <c r="M4826" s="12"/>
      <c r="N4826" s="12"/>
      <c r="O4826" s="12"/>
      <c r="R4826" s="33"/>
      <c r="T4826" s="12"/>
      <c r="U4826" s="12">
        <v>39600</v>
      </c>
      <c r="V4826" s="12"/>
      <c r="W4826" s="12"/>
    </row>
    <row r="4827" spans="2:23" s="6" customFormat="1" ht="21.95" customHeight="1" x14ac:dyDescent="0.2">
      <c r="B4827" s="6" t="s">
        <v>1597</v>
      </c>
      <c r="C4827" s="6" t="s">
        <v>2045</v>
      </c>
      <c r="D4827" s="6" t="s">
        <v>943</v>
      </c>
      <c r="G4827" s="6">
        <v>160</v>
      </c>
      <c r="H4827" s="6">
        <v>200</v>
      </c>
      <c r="I4827" s="9"/>
      <c r="J4827" s="9"/>
      <c r="K4827" s="9"/>
      <c r="L4827" s="6" t="str">
        <f t="shared" si="475"/>
        <v>1D  CARISSIMA  YATAK  160x200</v>
      </c>
      <c r="M4827" s="12"/>
      <c r="N4827" s="12"/>
      <c r="O4827" s="12"/>
      <c r="R4827" s="33"/>
      <c r="T4827" s="12"/>
      <c r="U4827" s="12">
        <v>42500</v>
      </c>
      <c r="V4827" s="12"/>
      <c r="W4827" s="12"/>
    </row>
    <row r="4828" spans="2:23" s="6" customFormat="1" ht="21.95" customHeight="1" x14ac:dyDescent="0.2">
      <c r="B4828" s="6" t="s">
        <v>1597</v>
      </c>
      <c r="C4828" s="6" t="s">
        <v>2045</v>
      </c>
      <c r="D4828" s="6" t="s">
        <v>943</v>
      </c>
      <c r="G4828" s="6">
        <v>180</v>
      </c>
      <c r="H4828" s="6">
        <v>200</v>
      </c>
      <c r="I4828" s="9"/>
      <c r="J4828" s="9"/>
      <c r="K4828" s="9"/>
      <c r="L4828" s="6" t="str">
        <f t="shared" si="475"/>
        <v>1D  CARISSIMA  YATAK  180x200</v>
      </c>
      <c r="M4828" s="12"/>
      <c r="N4828" s="12"/>
      <c r="O4828" s="12"/>
      <c r="R4828" s="33"/>
      <c r="T4828" s="12"/>
      <c r="U4828" s="12">
        <v>45300</v>
      </c>
      <c r="V4828" s="12"/>
      <c r="W4828" s="12"/>
    </row>
    <row r="4829" spans="2:23" s="6" customFormat="1" ht="21.95" customHeight="1" x14ac:dyDescent="0.2">
      <c r="B4829" s="6" t="s">
        <v>1597</v>
      </c>
      <c r="C4829" s="6" t="s">
        <v>2045</v>
      </c>
      <c r="D4829" s="6" t="s">
        <v>1380</v>
      </c>
      <c r="I4829" s="9"/>
      <c r="J4829" s="9"/>
      <c r="K4829" s="9"/>
      <c r="L4829" s="6" t="str">
        <f>B4829&amp;" "&amp;C4829&amp;" "&amp;D4829</f>
        <v>1D  CARISSIMA  KOMODİN (2 ADET)</v>
      </c>
      <c r="M4829" s="12"/>
      <c r="N4829" s="12"/>
      <c r="O4829" s="12"/>
      <c r="R4829" s="33"/>
      <c r="T4829" s="12"/>
      <c r="U4829" s="12">
        <v>51000</v>
      </c>
      <c r="V4829" s="12"/>
      <c r="W4829" s="12"/>
    </row>
    <row r="4830" spans="2:23" s="6" customFormat="1" ht="21.95" customHeight="1" x14ac:dyDescent="0.2">
      <c r="B4830" s="6" t="s">
        <v>1597</v>
      </c>
      <c r="C4830" s="6" t="s">
        <v>2046</v>
      </c>
      <c r="D4830" s="6" t="s">
        <v>2304</v>
      </c>
      <c r="G4830" s="6">
        <v>140</v>
      </c>
      <c r="H4830" s="6">
        <v>200</v>
      </c>
      <c r="I4830" s="9"/>
      <c r="J4830" s="9"/>
      <c r="K4830" s="9"/>
      <c r="L4830" s="6" t="str">
        <f t="shared" ref="L4830:L4837" si="476">B4830&amp;" "&amp;C4830&amp;" "&amp;D4830&amp;" "&amp;G4830&amp;"x"&amp;H4830</f>
        <v>1D  CARLA BAZA + BAŞLIK + TRAVERS  140x200</v>
      </c>
      <c r="M4830" s="12"/>
      <c r="N4830" s="12"/>
      <c r="O4830" s="12"/>
      <c r="R4830" s="33"/>
      <c r="T4830" s="12"/>
      <c r="U4830" s="12">
        <v>20600</v>
      </c>
      <c r="V4830" s="12"/>
      <c r="W4830" s="12"/>
    </row>
    <row r="4831" spans="2:23" s="6" customFormat="1" ht="21.95" customHeight="1" x14ac:dyDescent="0.2">
      <c r="B4831" s="6" t="s">
        <v>1597</v>
      </c>
      <c r="C4831" s="6" t="s">
        <v>2046</v>
      </c>
      <c r="D4831" s="6" t="s">
        <v>2304</v>
      </c>
      <c r="G4831" s="6">
        <v>150</v>
      </c>
      <c r="H4831" s="6">
        <v>200</v>
      </c>
      <c r="I4831" s="9"/>
      <c r="J4831" s="9"/>
      <c r="K4831" s="9"/>
      <c r="L4831" s="6" t="str">
        <f t="shared" si="476"/>
        <v>1D  CARLA BAZA + BAŞLIK + TRAVERS  150x200</v>
      </c>
      <c r="M4831" s="12"/>
      <c r="N4831" s="12"/>
      <c r="O4831" s="12"/>
      <c r="R4831" s="33"/>
      <c r="T4831" s="12"/>
      <c r="U4831" s="12">
        <v>22000</v>
      </c>
      <c r="V4831" s="12"/>
      <c r="W4831" s="12"/>
    </row>
    <row r="4832" spans="2:23" s="6" customFormat="1" ht="21.95" customHeight="1" x14ac:dyDescent="0.2">
      <c r="B4832" s="6" t="s">
        <v>1597</v>
      </c>
      <c r="C4832" s="6" t="s">
        <v>2046</v>
      </c>
      <c r="D4832" s="6" t="s">
        <v>2304</v>
      </c>
      <c r="G4832" s="6">
        <v>160</v>
      </c>
      <c r="H4832" s="6">
        <v>200</v>
      </c>
      <c r="I4832" s="9"/>
      <c r="J4832" s="9"/>
      <c r="K4832" s="9"/>
      <c r="L4832" s="6" t="str">
        <f t="shared" si="476"/>
        <v>1D  CARLA BAZA + BAŞLIK + TRAVERS  160x200</v>
      </c>
      <c r="M4832" s="12"/>
      <c r="N4832" s="12"/>
      <c r="O4832" s="12"/>
      <c r="R4832" s="33"/>
      <c r="T4832" s="12"/>
      <c r="U4832" s="12">
        <v>23500</v>
      </c>
      <c r="V4832" s="12"/>
      <c r="W4832" s="12"/>
    </row>
    <row r="4833" spans="2:23" s="6" customFormat="1" ht="21.95" customHeight="1" x14ac:dyDescent="0.2">
      <c r="B4833" s="6" t="s">
        <v>1597</v>
      </c>
      <c r="C4833" s="6" t="s">
        <v>2046</v>
      </c>
      <c r="D4833" s="6" t="s">
        <v>2304</v>
      </c>
      <c r="G4833" s="6">
        <v>180</v>
      </c>
      <c r="H4833" s="6">
        <v>200</v>
      </c>
      <c r="I4833" s="9"/>
      <c r="J4833" s="9"/>
      <c r="K4833" s="9"/>
      <c r="L4833" s="6" t="str">
        <f t="shared" si="476"/>
        <v>1D  CARLA BAZA + BAŞLIK + TRAVERS  180x200</v>
      </c>
      <c r="M4833" s="12"/>
      <c r="N4833" s="12"/>
      <c r="O4833" s="12"/>
      <c r="R4833" s="33"/>
      <c r="T4833" s="12"/>
      <c r="U4833" s="12">
        <v>26400</v>
      </c>
      <c r="V4833" s="12"/>
      <c r="W4833" s="12"/>
    </row>
    <row r="4834" spans="2:23" s="6" customFormat="1" ht="21.95" customHeight="1" x14ac:dyDescent="0.2">
      <c r="B4834" s="6" t="s">
        <v>1597</v>
      </c>
      <c r="C4834" s="6" t="s">
        <v>2046</v>
      </c>
      <c r="D4834" s="6" t="s">
        <v>943</v>
      </c>
      <c r="G4834" s="6">
        <v>140</v>
      </c>
      <c r="H4834" s="6">
        <v>200</v>
      </c>
      <c r="I4834" s="9"/>
      <c r="J4834" s="9"/>
      <c r="K4834" s="9"/>
      <c r="L4834" s="6" t="str">
        <f t="shared" si="476"/>
        <v>1D  CARLA YATAK  140x200</v>
      </c>
      <c r="M4834" s="12"/>
      <c r="N4834" s="12"/>
      <c r="O4834" s="12"/>
      <c r="R4834" s="33"/>
      <c r="T4834" s="12"/>
      <c r="U4834" s="12">
        <v>19300</v>
      </c>
      <c r="V4834" s="12"/>
      <c r="W4834" s="12"/>
    </row>
    <row r="4835" spans="2:23" s="6" customFormat="1" ht="21.95" customHeight="1" x14ac:dyDescent="0.2">
      <c r="B4835" s="6" t="s">
        <v>1597</v>
      </c>
      <c r="C4835" s="6" t="s">
        <v>2046</v>
      </c>
      <c r="D4835" s="6" t="s">
        <v>943</v>
      </c>
      <c r="G4835" s="6">
        <v>150</v>
      </c>
      <c r="H4835" s="6">
        <v>200</v>
      </c>
      <c r="I4835" s="9"/>
      <c r="J4835" s="9"/>
      <c r="K4835" s="9"/>
      <c r="L4835" s="6" t="str">
        <f t="shared" si="476"/>
        <v>1D  CARLA YATAK  150x200</v>
      </c>
      <c r="M4835" s="12"/>
      <c r="N4835" s="12"/>
      <c r="O4835" s="12"/>
      <c r="R4835" s="33"/>
      <c r="T4835" s="12"/>
      <c r="U4835" s="12">
        <v>12500</v>
      </c>
      <c r="V4835" s="12"/>
      <c r="W4835" s="12"/>
    </row>
    <row r="4836" spans="2:23" s="6" customFormat="1" ht="21.95" customHeight="1" x14ac:dyDescent="0.2">
      <c r="B4836" s="6" t="s">
        <v>1597</v>
      </c>
      <c r="C4836" s="6" t="s">
        <v>2046</v>
      </c>
      <c r="D4836" s="6" t="s">
        <v>943</v>
      </c>
      <c r="G4836" s="6">
        <v>160</v>
      </c>
      <c r="H4836" s="6">
        <v>200</v>
      </c>
      <c r="I4836" s="9"/>
      <c r="J4836" s="9"/>
      <c r="K4836" s="9"/>
      <c r="L4836" s="6" t="str">
        <f t="shared" si="476"/>
        <v>1D  CARLA YATAK  160x200</v>
      </c>
      <c r="M4836" s="12"/>
      <c r="N4836" s="12"/>
      <c r="O4836" s="12"/>
      <c r="R4836" s="33"/>
      <c r="T4836" s="12"/>
      <c r="U4836" s="12">
        <v>13200</v>
      </c>
      <c r="V4836" s="12"/>
      <c r="W4836" s="12"/>
    </row>
    <row r="4837" spans="2:23" s="6" customFormat="1" ht="21.95" customHeight="1" x14ac:dyDescent="0.2">
      <c r="B4837" s="6" t="s">
        <v>1597</v>
      </c>
      <c r="C4837" s="6" t="s">
        <v>2046</v>
      </c>
      <c r="D4837" s="6" t="s">
        <v>943</v>
      </c>
      <c r="G4837" s="6">
        <v>180</v>
      </c>
      <c r="H4837" s="6">
        <v>200</v>
      </c>
      <c r="I4837" s="9"/>
      <c r="J4837" s="9"/>
      <c r="K4837" s="9"/>
      <c r="L4837" s="6" t="str">
        <f t="shared" si="476"/>
        <v>1D  CARLA YATAK  180x200</v>
      </c>
      <c r="M4837" s="12"/>
      <c r="N4837" s="12"/>
      <c r="O4837" s="12"/>
      <c r="R4837" s="33"/>
      <c r="T4837" s="12"/>
      <c r="U4837" s="12">
        <v>13300</v>
      </c>
      <c r="V4837" s="12"/>
      <c r="W4837" s="12"/>
    </row>
    <row r="4838" spans="2:23" s="6" customFormat="1" ht="21.95" customHeight="1" x14ac:dyDescent="0.2">
      <c r="B4838" s="6" t="s">
        <v>1597</v>
      </c>
      <c r="C4838" s="6" t="s">
        <v>2046</v>
      </c>
      <c r="D4838" s="6" t="s">
        <v>1380</v>
      </c>
      <c r="I4838" s="9"/>
      <c r="J4838" s="9"/>
      <c r="K4838" s="9"/>
      <c r="L4838" s="6" t="str">
        <f>B4838&amp;" "&amp;C4838&amp;" "&amp;D4838</f>
        <v>1D  CARLA KOMODİN (2 ADET)</v>
      </c>
      <c r="M4838" s="12"/>
      <c r="N4838" s="12"/>
      <c r="O4838" s="12"/>
      <c r="R4838" s="33"/>
      <c r="T4838" s="12"/>
      <c r="U4838" s="12">
        <v>16000</v>
      </c>
      <c r="V4838" s="12"/>
      <c r="W4838" s="12"/>
    </row>
    <row r="4839" spans="2:23" s="6" customFormat="1" ht="21.95" customHeight="1" x14ac:dyDescent="0.2">
      <c r="B4839" s="6" t="s">
        <v>1597</v>
      </c>
      <c r="C4839" s="6" t="s">
        <v>1090</v>
      </c>
      <c r="D4839" s="6" t="s">
        <v>989</v>
      </c>
      <c r="G4839" s="6">
        <v>90</v>
      </c>
      <c r="H4839" s="6">
        <v>190</v>
      </c>
      <c r="I4839" s="9"/>
      <c r="J4839" s="9"/>
      <c r="K4839" s="9"/>
      <c r="L4839" s="6" t="str">
        <f t="shared" ref="L4839:L4862" si="477">B4839&amp;" "&amp;C4839&amp;" "&amp;D4839&amp;" "&amp;G4839&amp;"x"&amp;H4839</f>
        <v>1D  CROWN  BAZA  90x190</v>
      </c>
      <c r="M4839" s="12"/>
      <c r="N4839" s="12"/>
      <c r="O4839" s="12"/>
      <c r="R4839" s="33"/>
      <c r="T4839" s="12"/>
      <c r="U4839" s="12">
        <v>18600</v>
      </c>
      <c r="V4839" s="12"/>
      <c r="W4839" s="12"/>
    </row>
    <row r="4840" spans="2:23" s="6" customFormat="1" ht="21.95" customHeight="1" x14ac:dyDescent="0.2">
      <c r="B4840" s="6" t="s">
        <v>1597</v>
      </c>
      <c r="C4840" s="6" t="s">
        <v>1090</v>
      </c>
      <c r="D4840" s="6" t="s">
        <v>989</v>
      </c>
      <c r="G4840" s="6">
        <v>90</v>
      </c>
      <c r="H4840" s="6">
        <v>200</v>
      </c>
      <c r="I4840" s="9"/>
      <c r="J4840" s="9"/>
      <c r="K4840" s="9"/>
      <c r="L4840" s="6" t="str">
        <f t="shared" si="477"/>
        <v>1D  CROWN  BAZA  90x200</v>
      </c>
      <c r="M4840" s="12"/>
      <c r="N4840" s="12"/>
      <c r="O4840" s="12"/>
      <c r="R4840" s="33"/>
      <c r="T4840" s="12"/>
      <c r="U4840" s="12">
        <v>20000</v>
      </c>
      <c r="V4840" s="12"/>
      <c r="W4840" s="12"/>
    </row>
    <row r="4841" spans="2:23" s="6" customFormat="1" ht="21.95" customHeight="1" x14ac:dyDescent="0.2">
      <c r="B4841" s="6" t="s">
        <v>1597</v>
      </c>
      <c r="C4841" s="6" t="s">
        <v>1090</v>
      </c>
      <c r="D4841" s="6" t="s">
        <v>989</v>
      </c>
      <c r="G4841" s="6">
        <v>100</v>
      </c>
      <c r="H4841" s="6">
        <v>200</v>
      </c>
      <c r="I4841" s="9"/>
      <c r="J4841" s="9"/>
      <c r="K4841" s="9"/>
      <c r="L4841" s="6" t="str">
        <f t="shared" si="477"/>
        <v>1D  CROWN  BAZA  100x200</v>
      </c>
      <c r="M4841" s="12"/>
      <c r="N4841" s="12"/>
      <c r="O4841" s="12"/>
      <c r="R4841" s="33"/>
      <c r="T4841" s="12"/>
      <c r="U4841" s="12">
        <v>21300</v>
      </c>
      <c r="V4841" s="12"/>
      <c r="W4841" s="12"/>
    </row>
    <row r="4842" spans="2:23" s="6" customFormat="1" ht="21.95" customHeight="1" x14ac:dyDescent="0.2">
      <c r="B4842" s="6" t="s">
        <v>1597</v>
      </c>
      <c r="C4842" s="6" t="s">
        <v>1090</v>
      </c>
      <c r="D4842" s="6" t="s">
        <v>989</v>
      </c>
      <c r="G4842" s="6">
        <v>120</v>
      </c>
      <c r="H4842" s="6">
        <v>200</v>
      </c>
      <c r="I4842" s="9"/>
      <c r="J4842" s="9"/>
      <c r="K4842" s="9"/>
      <c r="L4842" s="6" t="str">
        <f t="shared" si="477"/>
        <v>1D  CROWN  BAZA  120x200</v>
      </c>
      <c r="M4842" s="12"/>
      <c r="N4842" s="12"/>
      <c r="O4842" s="12"/>
      <c r="R4842" s="33"/>
      <c r="T4842" s="12"/>
      <c r="U4842" s="12">
        <v>24000</v>
      </c>
      <c r="V4842" s="12"/>
      <c r="W4842" s="12"/>
    </row>
    <row r="4843" spans="2:23" s="6" customFormat="1" ht="21.95" customHeight="1" x14ac:dyDescent="0.2">
      <c r="B4843" s="6" t="s">
        <v>1597</v>
      </c>
      <c r="C4843" s="6" t="s">
        <v>1090</v>
      </c>
      <c r="D4843" s="6" t="s">
        <v>989</v>
      </c>
      <c r="G4843" s="6">
        <v>140</v>
      </c>
      <c r="H4843" s="6">
        <v>200</v>
      </c>
      <c r="I4843" s="9"/>
      <c r="J4843" s="9"/>
      <c r="K4843" s="9"/>
      <c r="L4843" s="6" t="str">
        <f t="shared" si="477"/>
        <v>1D  CROWN  BAZA  140x200</v>
      </c>
      <c r="M4843" s="12"/>
      <c r="N4843" s="12"/>
      <c r="O4843" s="12"/>
      <c r="R4843" s="33"/>
      <c r="T4843" s="12"/>
      <c r="U4843" s="12">
        <v>11300</v>
      </c>
      <c r="V4843" s="12"/>
      <c r="W4843" s="12"/>
    </row>
    <row r="4844" spans="2:23" s="6" customFormat="1" ht="21.95" customHeight="1" x14ac:dyDescent="0.2">
      <c r="B4844" s="6" t="s">
        <v>1597</v>
      </c>
      <c r="C4844" s="6" t="s">
        <v>1090</v>
      </c>
      <c r="D4844" s="6" t="s">
        <v>989</v>
      </c>
      <c r="G4844" s="6">
        <v>150</v>
      </c>
      <c r="H4844" s="6">
        <v>200</v>
      </c>
      <c r="I4844" s="9"/>
      <c r="J4844" s="9"/>
      <c r="K4844" s="9"/>
      <c r="L4844" s="6" t="str">
        <f t="shared" si="477"/>
        <v>1D  CROWN  BAZA  150x200</v>
      </c>
      <c r="M4844" s="12"/>
      <c r="N4844" s="12"/>
      <c r="O4844" s="12"/>
      <c r="R4844" s="33"/>
      <c r="T4844" s="12"/>
      <c r="U4844" s="12">
        <v>11300</v>
      </c>
      <c r="V4844" s="12"/>
      <c r="W4844" s="12"/>
    </row>
    <row r="4845" spans="2:23" s="6" customFormat="1" ht="21.95" customHeight="1" x14ac:dyDescent="0.2">
      <c r="B4845" s="6" t="s">
        <v>1597</v>
      </c>
      <c r="C4845" s="6" t="s">
        <v>1090</v>
      </c>
      <c r="D4845" s="6" t="s">
        <v>989</v>
      </c>
      <c r="G4845" s="6">
        <v>160</v>
      </c>
      <c r="H4845" s="6">
        <v>200</v>
      </c>
      <c r="I4845" s="9"/>
      <c r="J4845" s="9"/>
      <c r="K4845" s="9"/>
      <c r="L4845" s="6" t="str">
        <f t="shared" si="477"/>
        <v>1D  CROWN  BAZA  160x200</v>
      </c>
      <c r="M4845" s="12"/>
      <c r="N4845" s="12"/>
      <c r="O4845" s="12"/>
      <c r="R4845" s="33"/>
      <c r="T4845" s="12"/>
      <c r="U4845" s="12">
        <v>11400</v>
      </c>
      <c r="V4845" s="12"/>
      <c r="W4845" s="12"/>
    </row>
    <row r="4846" spans="2:23" s="6" customFormat="1" ht="21.95" customHeight="1" x14ac:dyDescent="0.2">
      <c r="B4846" s="6" t="s">
        <v>1597</v>
      </c>
      <c r="C4846" s="6" t="s">
        <v>1090</v>
      </c>
      <c r="D4846" s="6" t="s">
        <v>989</v>
      </c>
      <c r="G4846" s="6">
        <v>180</v>
      </c>
      <c r="H4846" s="6">
        <v>200</v>
      </c>
      <c r="I4846" s="9"/>
      <c r="J4846" s="9"/>
      <c r="K4846" s="9"/>
      <c r="L4846" s="6" t="str">
        <f t="shared" si="477"/>
        <v>1D  CROWN  BAZA  180x200</v>
      </c>
      <c r="M4846" s="12"/>
      <c r="N4846" s="12"/>
      <c r="O4846" s="12"/>
      <c r="R4846" s="33"/>
      <c r="T4846" s="12"/>
      <c r="U4846" s="12">
        <v>13700</v>
      </c>
      <c r="V4846" s="12"/>
      <c r="W4846" s="12"/>
    </row>
    <row r="4847" spans="2:23" s="6" customFormat="1" ht="21.95" customHeight="1" x14ac:dyDescent="0.2">
      <c r="B4847" s="6" t="s">
        <v>1597</v>
      </c>
      <c r="C4847" s="6" t="s">
        <v>1090</v>
      </c>
      <c r="D4847" s="6" t="s">
        <v>1003</v>
      </c>
      <c r="G4847" s="6">
        <v>90</v>
      </c>
      <c r="H4847" s="6">
        <v>190</v>
      </c>
      <c r="I4847" s="9"/>
      <c r="J4847" s="9"/>
      <c r="K4847" s="9"/>
      <c r="L4847" s="6" t="str">
        <f t="shared" si="477"/>
        <v>1D  CROWN  BAŞLIK  90x190</v>
      </c>
      <c r="M4847" s="12"/>
      <c r="N4847" s="12"/>
      <c r="O4847" s="12"/>
      <c r="R4847" s="33"/>
      <c r="T4847" s="12"/>
      <c r="U4847" s="12">
        <v>16000</v>
      </c>
      <c r="V4847" s="12"/>
      <c r="W4847" s="12"/>
    </row>
    <row r="4848" spans="2:23" s="6" customFormat="1" ht="21.95" customHeight="1" x14ac:dyDescent="0.2">
      <c r="B4848" s="6" t="s">
        <v>1597</v>
      </c>
      <c r="C4848" s="6" t="s">
        <v>1090</v>
      </c>
      <c r="D4848" s="6" t="s">
        <v>1003</v>
      </c>
      <c r="G4848" s="6">
        <v>90</v>
      </c>
      <c r="H4848" s="6">
        <v>200</v>
      </c>
      <c r="I4848" s="9"/>
      <c r="J4848" s="9"/>
      <c r="K4848" s="9"/>
      <c r="L4848" s="6" t="str">
        <f t="shared" si="477"/>
        <v>1D  CROWN  BAŞLIK  90x200</v>
      </c>
      <c r="M4848" s="12"/>
      <c r="N4848" s="12"/>
      <c r="O4848" s="12"/>
      <c r="R4848" s="33"/>
      <c r="T4848" s="12"/>
      <c r="U4848" s="12">
        <v>17200</v>
      </c>
      <c r="V4848" s="12"/>
      <c r="W4848" s="12"/>
    </row>
    <row r="4849" spans="2:23" s="6" customFormat="1" ht="21.95" customHeight="1" x14ac:dyDescent="0.2">
      <c r="B4849" s="6" t="s">
        <v>1597</v>
      </c>
      <c r="C4849" s="6" t="s">
        <v>1090</v>
      </c>
      <c r="D4849" s="6" t="s">
        <v>1003</v>
      </c>
      <c r="G4849" s="6">
        <v>100</v>
      </c>
      <c r="H4849" s="6">
        <v>200</v>
      </c>
      <c r="I4849" s="9"/>
      <c r="J4849" s="9"/>
      <c r="K4849" s="9"/>
      <c r="L4849" s="6" t="str">
        <f t="shared" si="477"/>
        <v>1D  CROWN  BAŞLIK  100x200</v>
      </c>
      <c r="M4849" s="12"/>
      <c r="N4849" s="12"/>
      <c r="O4849" s="12"/>
      <c r="R4849" s="33"/>
      <c r="T4849" s="12"/>
      <c r="U4849" s="12">
        <v>18300</v>
      </c>
      <c r="V4849" s="12"/>
      <c r="W4849" s="12"/>
    </row>
    <row r="4850" spans="2:23" s="6" customFormat="1" ht="21.95" customHeight="1" x14ac:dyDescent="0.2">
      <c r="B4850" s="6" t="s">
        <v>1597</v>
      </c>
      <c r="C4850" s="6" t="s">
        <v>1090</v>
      </c>
      <c r="D4850" s="6" t="s">
        <v>1003</v>
      </c>
      <c r="G4850" s="6">
        <v>120</v>
      </c>
      <c r="H4850" s="6">
        <v>200</v>
      </c>
      <c r="I4850" s="9"/>
      <c r="J4850" s="9"/>
      <c r="K4850" s="9"/>
      <c r="L4850" s="6" t="str">
        <f t="shared" si="477"/>
        <v>1D  CROWN  BAŞLIK  120x200</v>
      </c>
      <c r="M4850" s="12"/>
      <c r="N4850" s="12"/>
      <c r="O4850" s="12"/>
      <c r="R4850" s="33"/>
      <c r="T4850" s="12"/>
      <c r="U4850" s="12">
        <v>20600</v>
      </c>
      <c r="V4850" s="12"/>
      <c r="W4850" s="12"/>
    </row>
    <row r="4851" spans="2:23" s="6" customFormat="1" ht="21.95" customHeight="1" x14ac:dyDescent="0.2">
      <c r="B4851" s="6" t="s">
        <v>1597</v>
      </c>
      <c r="C4851" s="6" t="s">
        <v>1090</v>
      </c>
      <c r="D4851" s="6" t="s">
        <v>1003</v>
      </c>
      <c r="G4851" s="6">
        <v>140</v>
      </c>
      <c r="H4851" s="6">
        <v>200</v>
      </c>
      <c r="I4851" s="9"/>
      <c r="J4851" s="9"/>
      <c r="K4851" s="9"/>
      <c r="L4851" s="6" t="str">
        <f t="shared" si="477"/>
        <v>1D  CROWN  BAŞLIK  140x200</v>
      </c>
      <c r="M4851" s="12"/>
      <c r="N4851" s="12"/>
      <c r="O4851" s="12"/>
      <c r="R4851" s="33"/>
      <c r="T4851" s="12"/>
      <c r="U4851" s="12">
        <v>13800</v>
      </c>
      <c r="V4851" s="12"/>
      <c r="W4851" s="12"/>
    </row>
    <row r="4852" spans="2:23" s="6" customFormat="1" ht="21.95" customHeight="1" x14ac:dyDescent="0.2">
      <c r="B4852" s="6" t="s">
        <v>1597</v>
      </c>
      <c r="C4852" s="6" t="s">
        <v>1090</v>
      </c>
      <c r="D4852" s="6" t="s">
        <v>1003</v>
      </c>
      <c r="G4852" s="6">
        <v>150</v>
      </c>
      <c r="H4852" s="6">
        <v>200</v>
      </c>
      <c r="I4852" s="9"/>
      <c r="J4852" s="9"/>
      <c r="K4852" s="9"/>
      <c r="L4852" s="6" t="str">
        <f t="shared" si="477"/>
        <v>1D  CROWN  BAŞLIK  150x200</v>
      </c>
      <c r="M4852" s="12"/>
      <c r="N4852" s="12"/>
      <c r="O4852" s="12"/>
      <c r="R4852" s="33"/>
      <c r="T4852" s="12"/>
      <c r="U4852" s="12">
        <v>14500</v>
      </c>
      <c r="V4852" s="12"/>
      <c r="W4852" s="12"/>
    </row>
    <row r="4853" spans="2:23" s="6" customFormat="1" ht="21.95" customHeight="1" x14ac:dyDescent="0.2">
      <c r="B4853" s="6" t="s">
        <v>1597</v>
      </c>
      <c r="C4853" s="6" t="s">
        <v>1090</v>
      </c>
      <c r="D4853" s="6" t="s">
        <v>1003</v>
      </c>
      <c r="G4853" s="6">
        <v>160</v>
      </c>
      <c r="H4853" s="6">
        <v>200</v>
      </c>
      <c r="I4853" s="9"/>
      <c r="J4853" s="9"/>
      <c r="K4853" s="9"/>
      <c r="L4853" s="6" t="str">
        <f t="shared" si="477"/>
        <v>1D  CROWN  BAŞLIK  160x200</v>
      </c>
      <c r="M4853" s="12"/>
      <c r="N4853" s="12"/>
      <c r="O4853" s="12"/>
      <c r="R4853" s="33"/>
      <c r="T4853" s="12"/>
      <c r="U4853" s="12">
        <v>14700</v>
      </c>
      <c r="V4853" s="12"/>
      <c r="W4853" s="12"/>
    </row>
    <row r="4854" spans="2:23" s="6" customFormat="1" ht="21.95" customHeight="1" x14ac:dyDescent="0.2">
      <c r="B4854" s="6" t="s">
        <v>1597</v>
      </c>
      <c r="C4854" s="6" t="s">
        <v>1090</v>
      </c>
      <c r="D4854" s="6" t="s">
        <v>1003</v>
      </c>
      <c r="G4854" s="6">
        <v>180</v>
      </c>
      <c r="H4854" s="6">
        <v>200</v>
      </c>
      <c r="I4854" s="9"/>
      <c r="J4854" s="9"/>
      <c r="K4854" s="9"/>
      <c r="L4854" s="6" t="str">
        <f t="shared" si="477"/>
        <v>1D  CROWN  BAŞLIK  180x200</v>
      </c>
      <c r="M4854" s="12"/>
      <c r="N4854" s="12"/>
      <c r="O4854" s="12"/>
      <c r="R4854" s="33"/>
      <c r="T4854" s="12"/>
      <c r="U4854" s="12">
        <v>17600</v>
      </c>
      <c r="V4854" s="12"/>
      <c r="W4854" s="12"/>
    </row>
    <row r="4855" spans="2:23" s="6" customFormat="1" ht="21.95" customHeight="1" x14ac:dyDescent="0.2">
      <c r="B4855" s="6" t="s">
        <v>1597</v>
      </c>
      <c r="C4855" s="6" t="s">
        <v>1090</v>
      </c>
      <c r="D4855" s="6" t="s">
        <v>943</v>
      </c>
      <c r="G4855" s="6">
        <v>90</v>
      </c>
      <c r="H4855" s="6">
        <v>190</v>
      </c>
      <c r="I4855" s="9"/>
      <c r="J4855" s="9"/>
      <c r="K4855" s="9"/>
      <c r="L4855" s="6" t="str">
        <f t="shared" si="477"/>
        <v>1D  CROWN  YATAK  90x190</v>
      </c>
      <c r="M4855" s="12"/>
      <c r="N4855" s="12"/>
      <c r="O4855" s="12"/>
      <c r="R4855" s="33"/>
      <c r="T4855" s="12"/>
      <c r="U4855" s="12">
        <v>20600</v>
      </c>
      <c r="V4855" s="12"/>
      <c r="W4855" s="12"/>
    </row>
    <row r="4856" spans="2:23" s="6" customFormat="1" ht="21.95" customHeight="1" x14ac:dyDescent="0.2">
      <c r="B4856" s="6" t="s">
        <v>1597</v>
      </c>
      <c r="C4856" s="6" t="s">
        <v>1090</v>
      </c>
      <c r="D4856" s="6" t="s">
        <v>943</v>
      </c>
      <c r="G4856" s="6">
        <v>90</v>
      </c>
      <c r="H4856" s="6">
        <v>200</v>
      </c>
      <c r="I4856" s="9"/>
      <c r="J4856" s="9"/>
      <c r="K4856" s="9"/>
      <c r="L4856" s="6" t="str">
        <f t="shared" si="477"/>
        <v>1D  CROWN  YATAK  90x200</v>
      </c>
      <c r="M4856" s="12"/>
      <c r="N4856" s="12"/>
      <c r="O4856" s="12"/>
      <c r="R4856" s="33"/>
      <c r="T4856" s="12"/>
      <c r="U4856" s="12">
        <v>22000</v>
      </c>
      <c r="V4856" s="12"/>
      <c r="W4856" s="12"/>
    </row>
    <row r="4857" spans="2:23" s="6" customFormat="1" ht="21.95" customHeight="1" x14ac:dyDescent="0.2">
      <c r="B4857" s="6" t="s">
        <v>1597</v>
      </c>
      <c r="C4857" s="6" t="s">
        <v>1090</v>
      </c>
      <c r="D4857" s="6" t="s">
        <v>943</v>
      </c>
      <c r="G4857" s="6">
        <v>100</v>
      </c>
      <c r="H4857" s="6">
        <v>200</v>
      </c>
      <c r="I4857" s="9"/>
      <c r="J4857" s="9"/>
      <c r="K4857" s="9"/>
      <c r="L4857" s="6" t="str">
        <f t="shared" si="477"/>
        <v>1D  CROWN  YATAK  100x200</v>
      </c>
      <c r="M4857" s="12"/>
      <c r="N4857" s="12"/>
      <c r="O4857" s="12"/>
      <c r="R4857" s="33"/>
      <c r="T4857" s="12"/>
      <c r="U4857" s="12">
        <v>23500</v>
      </c>
      <c r="V4857" s="12"/>
      <c r="W4857" s="12"/>
    </row>
    <row r="4858" spans="2:23" s="6" customFormat="1" ht="21.95" customHeight="1" x14ac:dyDescent="0.2">
      <c r="B4858" s="6" t="s">
        <v>1597</v>
      </c>
      <c r="C4858" s="6" t="s">
        <v>1090</v>
      </c>
      <c r="D4858" s="6" t="s">
        <v>943</v>
      </c>
      <c r="G4858" s="6">
        <v>120</v>
      </c>
      <c r="H4858" s="6">
        <v>200</v>
      </c>
      <c r="I4858" s="9"/>
      <c r="J4858" s="9"/>
      <c r="K4858" s="9"/>
      <c r="L4858" s="6" t="str">
        <f t="shared" si="477"/>
        <v>1D  CROWN  YATAK  120x200</v>
      </c>
      <c r="M4858" s="12"/>
      <c r="N4858" s="12"/>
      <c r="O4858" s="12"/>
      <c r="R4858" s="33"/>
      <c r="T4858" s="12"/>
      <c r="U4858" s="12">
        <v>26400</v>
      </c>
      <c r="V4858" s="12"/>
      <c r="W4858" s="12"/>
    </row>
    <row r="4859" spans="2:23" s="6" customFormat="1" ht="21.95" customHeight="1" x14ac:dyDescent="0.2">
      <c r="B4859" s="6" t="s">
        <v>1597</v>
      </c>
      <c r="C4859" s="6" t="s">
        <v>1090</v>
      </c>
      <c r="D4859" s="6" t="s">
        <v>943</v>
      </c>
      <c r="G4859" s="6">
        <v>140</v>
      </c>
      <c r="H4859" s="6">
        <v>200</v>
      </c>
      <c r="I4859" s="9"/>
      <c r="J4859" s="9"/>
      <c r="K4859" s="9"/>
      <c r="L4859" s="6" t="str">
        <f t="shared" si="477"/>
        <v>1D  CROWN  YATAK  140x200</v>
      </c>
      <c r="M4859" s="12"/>
      <c r="N4859" s="12"/>
      <c r="O4859" s="12"/>
      <c r="R4859" s="33"/>
      <c r="T4859" s="12"/>
      <c r="U4859" s="12">
        <v>19300</v>
      </c>
      <c r="V4859" s="12"/>
      <c r="W4859" s="12"/>
    </row>
    <row r="4860" spans="2:23" s="6" customFormat="1" ht="21.95" customHeight="1" x14ac:dyDescent="0.2">
      <c r="B4860" s="6" t="s">
        <v>1597</v>
      </c>
      <c r="C4860" s="6" t="s">
        <v>1090</v>
      </c>
      <c r="D4860" s="6" t="s">
        <v>943</v>
      </c>
      <c r="G4860" s="6">
        <v>150</v>
      </c>
      <c r="H4860" s="6">
        <v>200</v>
      </c>
      <c r="I4860" s="9"/>
      <c r="J4860" s="9"/>
      <c r="K4860" s="9"/>
      <c r="L4860" s="6" t="str">
        <f t="shared" si="477"/>
        <v>1D  CROWN  YATAK  150x200</v>
      </c>
      <c r="M4860" s="12"/>
      <c r="N4860" s="12"/>
      <c r="O4860" s="12"/>
      <c r="R4860" s="33"/>
      <c r="T4860" s="12"/>
      <c r="U4860" s="12">
        <v>11500</v>
      </c>
      <c r="V4860" s="12"/>
      <c r="W4860" s="12"/>
    </row>
    <row r="4861" spans="2:23" s="6" customFormat="1" ht="21.95" customHeight="1" x14ac:dyDescent="0.2">
      <c r="B4861" s="6" t="s">
        <v>1597</v>
      </c>
      <c r="C4861" s="6" t="s">
        <v>1090</v>
      </c>
      <c r="D4861" s="6" t="s">
        <v>943</v>
      </c>
      <c r="G4861" s="6">
        <v>160</v>
      </c>
      <c r="H4861" s="6">
        <v>200</v>
      </c>
      <c r="I4861" s="9"/>
      <c r="J4861" s="9"/>
      <c r="K4861" s="9"/>
      <c r="L4861" s="6" t="str">
        <f t="shared" si="477"/>
        <v>1D  CROWN  YATAK  160x200</v>
      </c>
      <c r="M4861" s="12"/>
      <c r="N4861" s="12"/>
      <c r="O4861" s="12"/>
      <c r="R4861" s="33"/>
      <c r="T4861" s="12"/>
      <c r="U4861" s="12">
        <v>12100</v>
      </c>
      <c r="V4861" s="12"/>
      <c r="W4861" s="12"/>
    </row>
    <row r="4862" spans="2:23" s="6" customFormat="1" ht="21.95" customHeight="1" x14ac:dyDescent="0.2">
      <c r="B4862" s="6" t="s">
        <v>1597</v>
      </c>
      <c r="C4862" s="6" t="s">
        <v>1090</v>
      </c>
      <c r="D4862" s="6" t="s">
        <v>943</v>
      </c>
      <c r="G4862" s="6">
        <v>180</v>
      </c>
      <c r="H4862" s="6">
        <v>200</v>
      </c>
      <c r="I4862" s="9"/>
      <c r="J4862" s="9"/>
      <c r="K4862" s="9"/>
      <c r="L4862" s="6" t="str">
        <f t="shared" si="477"/>
        <v>1D  CROWN  YATAK  180x200</v>
      </c>
      <c r="M4862" s="12"/>
      <c r="N4862" s="12"/>
      <c r="O4862" s="12"/>
      <c r="R4862" s="33"/>
      <c r="T4862" s="12"/>
      <c r="U4862" s="12">
        <v>12300</v>
      </c>
      <c r="V4862" s="12"/>
      <c r="W4862" s="12"/>
    </row>
    <row r="4863" spans="2:23" s="6" customFormat="1" ht="21.95" customHeight="1" x14ac:dyDescent="0.2">
      <c r="B4863" s="6" t="s">
        <v>1597</v>
      </c>
      <c r="C4863" s="6" t="s">
        <v>1090</v>
      </c>
      <c r="D4863" s="6" t="s">
        <v>362</v>
      </c>
      <c r="I4863" s="9"/>
      <c r="J4863" s="9"/>
      <c r="K4863" s="9"/>
      <c r="L4863" s="6" t="str">
        <f>B4863&amp;" "&amp;C4863&amp;" "&amp;D4863</f>
        <v>1D  CROWN  KOMODİN</v>
      </c>
      <c r="M4863" s="12"/>
      <c r="N4863" s="12"/>
      <c r="O4863" s="12"/>
      <c r="R4863" s="33"/>
      <c r="T4863" s="12"/>
      <c r="U4863" s="12">
        <v>14700</v>
      </c>
      <c r="V4863" s="12"/>
      <c r="W4863" s="12"/>
    </row>
    <row r="4864" spans="2:23" s="6" customFormat="1" ht="21.95" customHeight="1" x14ac:dyDescent="0.2">
      <c r="B4864" s="6" t="s">
        <v>1597</v>
      </c>
      <c r="C4864" s="6" t="s">
        <v>2047</v>
      </c>
      <c r="D4864" s="6" t="s">
        <v>2304</v>
      </c>
      <c r="G4864" s="6">
        <v>140</v>
      </c>
      <c r="H4864" s="6">
        <v>200</v>
      </c>
      <c r="I4864" s="9"/>
      <c r="J4864" s="9"/>
      <c r="K4864" s="9"/>
      <c r="L4864" s="6" t="str">
        <f t="shared" ref="L4864:L4871" si="478">B4864&amp;" "&amp;C4864&amp;" "&amp;D4864&amp;" "&amp;G4864&amp;"x"&amp;H4864</f>
        <v>1D  ELYSIA BAZA + BAŞLIK + TRAVERS  140x200</v>
      </c>
      <c r="M4864" s="12"/>
      <c r="N4864" s="12"/>
      <c r="O4864" s="12"/>
      <c r="R4864" s="33"/>
      <c r="T4864" s="12"/>
      <c r="U4864" s="12">
        <v>17200</v>
      </c>
      <c r="V4864" s="12"/>
      <c r="W4864" s="12"/>
    </row>
    <row r="4865" spans="2:23" s="6" customFormat="1" ht="21.95" customHeight="1" x14ac:dyDescent="0.2">
      <c r="B4865" s="6" t="s">
        <v>1597</v>
      </c>
      <c r="C4865" s="6" t="s">
        <v>2047</v>
      </c>
      <c r="D4865" s="6" t="s">
        <v>2304</v>
      </c>
      <c r="G4865" s="6">
        <v>150</v>
      </c>
      <c r="H4865" s="6">
        <v>200</v>
      </c>
      <c r="I4865" s="9"/>
      <c r="J4865" s="9"/>
      <c r="K4865" s="9"/>
      <c r="L4865" s="6" t="str">
        <f t="shared" si="478"/>
        <v>1D  ELYSIA BAZA + BAŞLIK + TRAVERS  150x200</v>
      </c>
      <c r="M4865" s="12"/>
      <c r="N4865" s="12"/>
      <c r="O4865" s="12"/>
      <c r="R4865" s="33"/>
      <c r="T4865" s="12"/>
      <c r="U4865" s="12">
        <v>18400</v>
      </c>
      <c r="V4865" s="12"/>
      <c r="W4865" s="12"/>
    </row>
    <row r="4866" spans="2:23" s="6" customFormat="1" ht="21.95" customHeight="1" x14ac:dyDescent="0.2">
      <c r="B4866" s="6" t="s">
        <v>1597</v>
      </c>
      <c r="C4866" s="6" t="s">
        <v>2047</v>
      </c>
      <c r="D4866" s="6" t="s">
        <v>2304</v>
      </c>
      <c r="G4866" s="6">
        <v>160</v>
      </c>
      <c r="H4866" s="6">
        <v>200</v>
      </c>
      <c r="I4866" s="9"/>
      <c r="J4866" s="9"/>
      <c r="K4866" s="9"/>
      <c r="L4866" s="6" t="str">
        <f t="shared" si="478"/>
        <v>1D  ELYSIA BAZA + BAŞLIK + TRAVERS  160x200</v>
      </c>
      <c r="M4866" s="12"/>
      <c r="N4866" s="12"/>
      <c r="O4866" s="12"/>
      <c r="R4866" s="33"/>
      <c r="T4866" s="12"/>
      <c r="U4866" s="12">
        <v>19600</v>
      </c>
      <c r="V4866" s="12"/>
      <c r="W4866" s="12"/>
    </row>
    <row r="4867" spans="2:23" s="6" customFormat="1" ht="21.95" customHeight="1" x14ac:dyDescent="0.2">
      <c r="B4867" s="6" t="s">
        <v>1597</v>
      </c>
      <c r="C4867" s="6" t="s">
        <v>2047</v>
      </c>
      <c r="D4867" s="6" t="s">
        <v>2304</v>
      </c>
      <c r="G4867" s="6">
        <v>180</v>
      </c>
      <c r="H4867" s="6">
        <v>200</v>
      </c>
      <c r="I4867" s="9"/>
      <c r="J4867" s="9"/>
      <c r="K4867" s="9"/>
      <c r="L4867" s="6" t="str">
        <f t="shared" si="478"/>
        <v>1D  ELYSIA BAZA + BAŞLIK + TRAVERS  180x200</v>
      </c>
      <c r="M4867" s="12"/>
      <c r="N4867" s="12"/>
      <c r="O4867" s="12"/>
      <c r="R4867" s="33"/>
      <c r="T4867" s="12"/>
      <c r="U4867" s="12">
        <v>22100</v>
      </c>
      <c r="V4867" s="12"/>
      <c r="W4867" s="12"/>
    </row>
    <row r="4868" spans="2:23" s="6" customFormat="1" ht="21.95" customHeight="1" x14ac:dyDescent="0.2">
      <c r="B4868" s="6" t="s">
        <v>1597</v>
      </c>
      <c r="C4868" s="6" t="s">
        <v>2047</v>
      </c>
      <c r="D4868" s="6" t="s">
        <v>943</v>
      </c>
      <c r="G4868" s="6">
        <v>140</v>
      </c>
      <c r="H4868" s="6">
        <v>200</v>
      </c>
      <c r="I4868" s="9"/>
      <c r="J4868" s="9"/>
      <c r="K4868" s="9"/>
      <c r="L4868" s="6" t="str">
        <f t="shared" si="478"/>
        <v>1D  ELYSIA YATAK  140x200</v>
      </c>
      <c r="M4868" s="12"/>
      <c r="N4868" s="12"/>
      <c r="O4868" s="12"/>
      <c r="R4868" s="33"/>
      <c r="T4868" s="12"/>
      <c r="U4868" s="12">
        <v>6700</v>
      </c>
      <c r="V4868" s="12"/>
      <c r="W4868" s="12"/>
    </row>
    <row r="4869" spans="2:23" s="6" customFormat="1" ht="21.95" customHeight="1" x14ac:dyDescent="0.2">
      <c r="B4869" s="6" t="s">
        <v>1597</v>
      </c>
      <c r="C4869" s="6" t="s">
        <v>2047</v>
      </c>
      <c r="D4869" s="6" t="s">
        <v>943</v>
      </c>
      <c r="G4869" s="6">
        <v>150</v>
      </c>
      <c r="H4869" s="6">
        <v>200</v>
      </c>
      <c r="I4869" s="9"/>
      <c r="J4869" s="9"/>
      <c r="K4869" s="9"/>
      <c r="L4869" s="6" t="str">
        <f t="shared" si="478"/>
        <v>1D  ELYSIA YATAK  150x200</v>
      </c>
      <c r="M4869" s="12"/>
      <c r="N4869" s="12"/>
      <c r="O4869" s="12"/>
      <c r="R4869" s="33"/>
      <c r="T4869" s="12"/>
      <c r="U4869" s="12">
        <v>6700</v>
      </c>
      <c r="V4869" s="12"/>
      <c r="W4869" s="12"/>
    </row>
    <row r="4870" spans="2:23" s="6" customFormat="1" ht="21.95" customHeight="1" x14ac:dyDescent="0.2">
      <c r="B4870" s="6" t="s">
        <v>1597</v>
      </c>
      <c r="C4870" s="6" t="s">
        <v>2047</v>
      </c>
      <c r="D4870" s="6" t="s">
        <v>943</v>
      </c>
      <c r="G4870" s="6">
        <v>160</v>
      </c>
      <c r="H4870" s="6">
        <v>200</v>
      </c>
      <c r="I4870" s="9"/>
      <c r="J4870" s="9"/>
      <c r="K4870" s="9"/>
      <c r="L4870" s="6" t="str">
        <f t="shared" si="478"/>
        <v>1D  ELYSIA YATAK  160x200</v>
      </c>
      <c r="M4870" s="12"/>
      <c r="N4870" s="12"/>
      <c r="O4870" s="12"/>
      <c r="R4870" s="33"/>
      <c r="T4870" s="12"/>
      <c r="U4870" s="12">
        <v>6800</v>
      </c>
      <c r="V4870" s="12"/>
      <c r="W4870" s="12"/>
    </row>
    <row r="4871" spans="2:23" s="6" customFormat="1" ht="21.95" customHeight="1" x14ac:dyDescent="0.2">
      <c r="B4871" s="6" t="s">
        <v>1597</v>
      </c>
      <c r="C4871" s="6" t="s">
        <v>2047</v>
      </c>
      <c r="D4871" s="6" t="s">
        <v>943</v>
      </c>
      <c r="G4871" s="6">
        <v>180</v>
      </c>
      <c r="H4871" s="6">
        <v>200</v>
      </c>
      <c r="I4871" s="9"/>
      <c r="J4871" s="9"/>
      <c r="K4871" s="9"/>
      <c r="L4871" s="6" t="str">
        <f t="shared" si="478"/>
        <v>1D  ELYSIA YATAK  180x200</v>
      </c>
      <c r="M4871" s="12"/>
      <c r="N4871" s="12"/>
      <c r="O4871" s="12"/>
      <c r="R4871" s="33"/>
      <c r="T4871" s="12"/>
      <c r="U4871" s="12">
        <v>8200</v>
      </c>
      <c r="V4871" s="12"/>
      <c r="W4871" s="12"/>
    </row>
    <row r="4872" spans="2:23" s="6" customFormat="1" ht="21.95" customHeight="1" x14ac:dyDescent="0.2">
      <c r="B4872" s="6" t="s">
        <v>2306</v>
      </c>
      <c r="C4872" s="6" t="s">
        <v>2047</v>
      </c>
      <c r="D4872" s="6" t="s">
        <v>1380</v>
      </c>
      <c r="I4872" s="9"/>
      <c r="J4872" s="9"/>
      <c r="K4872" s="9"/>
      <c r="L4872" s="6" t="str">
        <f>B4872&amp;" "&amp;C4872&amp;" "&amp;D4872</f>
        <v>1D ELYSIA KOMODİN (2 ADET)</v>
      </c>
      <c r="M4872" s="12"/>
      <c r="N4872" s="12"/>
      <c r="O4872" s="12"/>
      <c r="R4872" s="33"/>
      <c r="T4872" s="12"/>
      <c r="U4872" s="12">
        <v>9500</v>
      </c>
      <c r="V4872" s="12"/>
      <c r="W4872" s="12"/>
    </row>
    <row r="4873" spans="2:23" s="6" customFormat="1" ht="21.95" customHeight="1" x14ac:dyDescent="0.2">
      <c r="B4873" s="6" t="s">
        <v>1597</v>
      </c>
      <c r="C4873" s="6" t="s">
        <v>2048</v>
      </c>
      <c r="D4873" s="6" t="s">
        <v>989</v>
      </c>
      <c r="G4873" s="6">
        <v>140</v>
      </c>
      <c r="H4873" s="6">
        <v>200</v>
      </c>
      <c r="I4873" s="9"/>
      <c r="J4873" s="9"/>
      <c r="K4873" s="9"/>
      <c r="L4873" s="6" t="str">
        <f t="shared" ref="L4873:L4884" si="479">B4873&amp;" "&amp;C4873&amp;" "&amp;D4873&amp;" "&amp;G4873&amp;"x"&amp;H4873</f>
        <v>1D  IBIZA BAZA  140x200</v>
      </c>
      <c r="M4873" s="12"/>
      <c r="N4873" s="12"/>
      <c r="O4873" s="12"/>
      <c r="R4873" s="33"/>
      <c r="T4873" s="12"/>
      <c r="U4873" s="12">
        <v>10200</v>
      </c>
      <c r="V4873" s="12"/>
      <c r="W4873" s="12"/>
    </row>
    <row r="4874" spans="2:23" s="6" customFormat="1" ht="21.95" customHeight="1" x14ac:dyDescent="0.2">
      <c r="B4874" s="6" t="s">
        <v>1597</v>
      </c>
      <c r="C4874" s="6" t="s">
        <v>2048</v>
      </c>
      <c r="D4874" s="6" t="s">
        <v>989</v>
      </c>
      <c r="G4874" s="6">
        <v>150</v>
      </c>
      <c r="H4874" s="6">
        <v>200</v>
      </c>
      <c r="I4874" s="9"/>
      <c r="J4874" s="9"/>
      <c r="K4874" s="9"/>
      <c r="L4874" s="6" t="str">
        <f t="shared" si="479"/>
        <v>1D  IBIZA BAZA  150x200</v>
      </c>
      <c r="M4874" s="12"/>
      <c r="N4874" s="12"/>
      <c r="O4874" s="12"/>
      <c r="R4874" s="33"/>
      <c r="T4874" s="12"/>
      <c r="U4874" s="12">
        <v>10900</v>
      </c>
      <c r="V4874" s="12"/>
      <c r="W4874" s="12"/>
    </row>
    <row r="4875" spans="2:23" s="6" customFormat="1" ht="21.95" customHeight="1" x14ac:dyDescent="0.2">
      <c r="B4875" s="6" t="s">
        <v>1597</v>
      </c>
      <c r="C4875" s="6" t="s">
        <v>2048</v>
      </c>
      <c r="D4875" s="6" t="s">
        <v>989</v>
      </c>
      <c r="G4875" s="6">
        <v>160</v>
      </c>
      <c r="H4875" s="6">
        <v>200</v>
      </c>
      <c r="I4875" s="9"/>
      <c r="J4875" s="9"/>
      <c r="K4875" s="9"/>
      <c r="L4875" s="6" t="str">
        <f t="shared" si="479"/>
        <v>1D  IBIZA BAZA  160x200</v>
      </c>
      <c r="M4875" s="12"/>
      <c r="N4875" s="12"/>
      <c r="O4875" s="12"/>
      <c r="R4875" s="33"/>
      <c r="T4875" s="12"/>
      <c r="U4875" s="12">
        <v>12300</v>
      </c>
      <c r="V4875" s="12"/>
      <c r="W4875" s="12"/>
    </row>
    <row r="4876" spans="2:23" s="6" customFormat="1" ht="21.95" customHeight="1" x14ac:dyDescent="0.2">
      <c r="B4876" s="6" t="s">
        <v>1597</v>
      </c>
      <c r="C4876" s="6" t="s">
        <v>2048</v>
      </c>
      <c r="D4876" s="6" t="s">
        <v>989</v>
      </c>
      <c r="G4876" s="6">
        <v>180</v>
      </c>
      <c r="H4876" s="6">
        <v>200</v>
      </c>
      <c r="I4876" s="9"/>
      <c r="J4876" s="9"/>
      <c r="K4876" s="9"/>
      <c r="L4876" s="6" t="str">
        <f t="shared" si="479"/>
        <v>1D  IBIZA BAZA  180x200</v>
      </c>
      <c r="M4876" s="12"/>
      <c r="N4876" s="12"/>
      <c r="O4876" s="12"/>
      <c r="R4876" s="33"/>
      <c r="T4876" s="12"/>
      <c r="U4876" s="12">
        <v>12200</v>
      </c>
      <c r="V4876" s="12"/>
      <c r="W4876" s="12"/>
    </row>
    <row r="4877" spans="2:23" s="6" customFormat="1" ht="21.95" customHeight="1" x14ac:dyDescent="0.2">
      <c r="B4877" s="6" t="s">
        <v>1597</v>
      </c>
      <c r="C4877" s="6" t="s">
        <v>2048</v>
      </c>
      <c r="D4877" s="6" t="s">
        <v>1003</v>
      </c>
      <c r="G4877" s="6">
        <v>140</v>
      </c>
      <c r="H4877" s="6">
        <v>200</v>
      </c>
      <c r="I4877" s="9"/>
      <c r="J4877" s="9"/>
      <c r="K4877" s="9"/>
      <c r="L4877" s="6" t="str">
        <f t="shared" si="479"/>
        <v>1D  IBIZA BAŞLIK  140x200</v>
      </c>
      <c r="M4877" s="12"/>
      <c r="N4877" s="12"/>
      <c r="O4877" s="12"/>
      <c r="R4877" s="33"/>
      <c r="T4877" s="12"/>
      <c r="U4877" s="12">
        <v>12800</v>
      </c>
      <c r="V4877" s="12"/>
      <c r="W4877" s="12"/>
    </row>
    <row r="4878" spans="2:23" s="6" customFormat="1" ht="21.95" customHeight="1" x14ac:dyDescent="0.2">
      <c r="B4878" s="6" t="s">
        <v>1597</v>
      </c>
      <c r="C4878" s="6" t="s">
        <v>2048</v>
      </c>
      <c r="D4878" s="6" t="s">
        <v>1003</v>
      </c>
      <c r="G4878" s="6">
        <v>150</v>
      </c>
      <c r="H4878" s="6">
        <v>200</v>
      </c>
      <c r="I4878" s="9"/>
      <c r="J4878" s="9"/>
      <c r="K4878" s="9"/>
      <c r="L4878" s="6" t="str">
        <f t="shared" si="479"/>
        <v>1D  IBIZA BAŞLIK  150x200</v>
      </c>
      <c r="M4878" s="12"/>
      <c r="N4878" s="12"/>
      <c r="O4878" s="12"/>
      <c r="R4878" s="33"/>
      <c r="T4878" s="12"/>
      <c r="U4878" s="12">
        <v>12900</v>
      </c>
      <c r="V4878" s="12"/>
      <c r="W4878" s="12"/>
    </row>
    <row r="4879" spans="2:23" s="6" customFormat="1" ht="21.95" customHeight="1" x14ac:dyDescent="0.2">
      <c r="B4879" s="6" t="s">
        <v>1597</v>
      </c>
      <c r="C4879" s="6" t="s">
        <v>2048</v>
      </c>
      <c r="D4879" s="6" t="s">
        <v>1003</v>
      </c>
      <c r="G4879" s="6">
        <v>160</v>
      </c>
      <c r="H4879" s="6">
        <v>200</v>
      </c>
      <c r="I4879" s="9"/>
      <c r="J4879" s="9"/>
      <c r="K4879" s="9"/>
      <c r="L4879" s="6" t="str">
        <f t="shared" si="479"/>
        <v>1D  IBIZA BAŞLIK  160x200</v>
      </c>
      <c r="M4879" s="12"/>
      <c r="N4879" s="12"/>
      <c r="O4879" s="12"/>
      <c r="R4879" s="33"/>
      <c r="T4879" s="12"/>
      <c r="U4879" s="12">
        <v>15500</v>
      </c>
      <c r="V4879" s="12"/>
      <c r="W4879" s="12"/>
    </row>
    <row r="4880" spans="2:23" s="6" customFormat="1" ht="21.95" customHeight="1" x14ac:dyDescent="0.2">
      <c r="B4880" s="6" t="s">
        <v>1597</v>
      </c>
      <c r="C4880" s="6" t="s">
        <v>2048</v>
      </c>
      <c r="D4880" s="6" t="s">
        <v>1003</v>
      </c>
      <c r="G4880" s="6">
        <v>180</v>
      </c>
      <c r="H4880" s="6">
        <v>200</v>
      </c>
      <c r="I4880" s="9"/>
      <c r="J4880" s="9"/>
      <c r="K4880" s="9"/>
      <c r="L4880" s="6" t="str">
        <f t="shared" si="479"/>
        <v>1D  IBIZA BAŞLIK  180x200</v>
      </c>
      <c r="M4880" s="12"/>
      <c r="N4880" s="12"/>
      <c r="O4880" s="12"/>
      <c r="R4880" s="33"/>
      <c r="T4880" s="12"/>
      <c r="U4880" s="12">
        <v>18100</v>
      </c>
      <c r="V4880" s="12"/>
      <c r="W4880" s="12"/>
    </row>
    <row r="4881" spans="2:23" s="6" customFormat="1" ht="21.95" customHeight="1" x14ac:dyDescent="0.2">
      <c r="B4881" s="6" t="s">
        <v>1597</v>
      </c>
      <c r="C4881" s="6" t="s">
        <v>2048</v>
      </c>
      <c r="D4881" s="6" t="s">
        <v>943</v>
      </c>
      <c r="G4881" s="6">
        <v>140</v>
      </c>
      <c r="H4881" s="6">
        <v>200</v>
      </c>
      <c r="I4881" s="9"/>
      <c r="J4881" s="9"/>
      <c r="K4881" s="9"/>
      <c r="L4881" s="6" t="str">
        <f t="shared" si="479"/>
        <v>1D  IBIZA YATAK  140x200</v>
      </c>
      <c r="M4881" s="12"/>
      <c r="N4881" s="12"/>
      <c r="O4881" s="12"/>
      <c r="R4881" s="33"/>
      <c r="T4881" s="12"/>
      <c r="U4881" s="12">
        <v>19400</v>
      </c>
      <c r="V4881" s="12"/>
      <c r="W4881" s="12"/>
    </row>
    <row r="4882" spans="2:23" s="6" customFormat="1" ht="21.95" customHeight="1" x14ac:dyDescent="0.2">
      <c r="B4882" s="6" t="s">
        <v>1597</v>
      </c>
      <c r="C4882" s="6" t="s">
        <v>2048</v>
      </c>
      <c r="D4882" s="6" t="s">
        <v>943</v>
      </c>
      <c r="G4882" s="6">
        <v>150</v>
      </c>
      <c r="H4882" s="6">
        <v>200</v>
      </c>
      <c r="I4882" s="9"/>
      <c r="J4882" s="9"/>
      <c r="K4882" s="9"/>
      <c r="L4882" s="6" t="str">
        <f t="shared" si="479"/>
        <v>1D  IBIZA YATAK  150x200</v>
      </c>
      <c r="M4882" s="12"/>
      <c r="N4882" s="12"/>
      <c r="O4882" s="12"/>
      <c r="R4882" s="33"/>
      <c r="T4882" s="12"/>
      <c r="U4882" s="12">
        <v>20700</v>
      </c>
      <c r="V4882" s="12"/>
      <c r="W4882" s="12"/>
    </row>
    <row r="4883" spans="2:23" s="6" customFormat="1" ht="21.95" customHeight="1" x14ac:dyDescent="0.2">
      <c r="B4883" s="6" t="s">
        <v>1597</v>
      </c>
      <c r="C4883" s="6" t="s">
        <v>2048</v>
      </c>
      <c r="D4883" s="6" t="s">
        <v>943</v>
      </c>
      <c r="G4883" s="6">
        <v>160</v>
      </c>
      <c r="H4883" s="6">
        <v>200</v>
      </c>
      <c r="I4883" s="9"/>
      <c r="J4883" s="9"/>
      <c r="K4883" s="9"/>
      <c r="L4883" s="6" t="str">
        <f t="shared" si="479"/>
        <v>1D  IBIZA YATAK  160x200</v>
      </c>
      <c r="M4883" s="12"/>
      <c r="N4883" s="12"/>
      <c r="O4883" s="12"/>
      <c r="R4883" s="33"/>
      <c r="T4883" s="12"/>
      <c r="U4883" s="12">
        <v>23300</v>
      </c>
      <c r="V4883" s="12"/>
      <c r="W4883" s="12"/>
    </row>
    <row r="4884" spans="2:23" s="6" customFormat="1" ht="21.95" customHeight="1" x14ac:dyDescent="0.2">
      <c r="B4884" s="6" t="s">
        <v>1597</v>
      </c>
      <c r="C4884" s="6" t="s">
        <v>2048</v>
      </c>
      <c r="D4884" s="6" t="s">
        <v>943</v>
      </c>
      <c r="G4884" s="6">
        <v>180</v>
      </c>
      <c r="H4884" s="6">
        <v>200</v>
      </c>
      <c r="I4884" s="9"/>
      <c r="J4884" s="9"/>
      <c r="K4884" s="9"/>
      <c r="L4884" s="6" t="str">
        <f t="shared" si="479"/>
        <v>1D  IBIZA YATAK  180x200</v>
      </c>
      <c r="M4884" s="12"/>
      <c r="N4884" s="12"/>
      <c r="O4884" s="12"/>
      <c r="R4884" s="33"/>
      <c r="T4884" s="12"/>
      <c r="U4884" s="12">
        <v>15800</v>
      </c>
      <c r="V4884" s="12"/>
      <c r="W4884" s="12"/>
    </row>
    <row r="4885" spans="2:23" s="6" customFormat="1" ht="21.95" customHeight="1" x14ac:dyDescent="0.2">
      <c r="B4885" s="6" t="s">
        <v>1597</v>
      </c>
      <c r="C4885" s="6" t="s">
        <v>2048</v>
      </c>
      <c r="D4885" s="6" t="s">
        <v>1380</v>
      </c>
      <c r="I4885" s="9"/>
      <c r="J4885" s="9"/>
      <c r="K4885" s="9"/>
      <c r="L4885" s="6" t="str">
        <f>B4885&amp;" "&amp;C4885&amp;" "&amp;D4885</f>
        <v>1D  IBIZA KOMODİN (2 ADET)</v>
      </c>
      <c r="M4885" s="12"/>
      <c r="N4885" s="12"/>
      <c r="O4885" s="12"/>
      <c r="R4885" s="33"/>
      <c r="T4885" s="12"/>
      <c r="U4885" s="12">
        <v>31600</v>
      </c>
      <c r="V4885" s="12"/>
      <c r="W4885" s="12"/>
    </row>
    <row r="4886" spans="2:23" s="6" customFormat="1" ht="21.95" customHeight="1" x14ac:dyDescent="0.2">
      <c r="B4886" s="6" t="s">
        <v>1597</v>
      </c>
      <c r="C4886" s="6" t="s">
        <v>2049</v>
      </c>
      <c r="D4886" s="6" t="s">
        <v>989</v>
      </c>
      <c r="G4886" s="6">
        <v>90</v>
      </c>
      <c r="H4886" s="6">
        <v>190</v>
      </c>
      <c r="I4886" s="9"/>
      <c r="J4886" s="9"/>
      <c r="K4886" s="9"/>
      <c r="L4886" s="6" t="str">
        <f t="shared" ref="L4886:L4909" si="480">B4886&amp;" "&amp;C4886&amp;" "&amp;D4886&amp;" "&amp;G4886&amp;"x"&amp;H4886</f>
        <v>1D  KARLSON BAZA  90x190</v>
      </c>
      <c r="M4886" s="12"/>
      <c r="N4886" s="12"/>
      <c r="O4886" s="12"/>
      <c r="R4886" s="33"/>
      <c r="T4886" s="12"/>
      <c r="U4886" s="12">
        <v>33200</v>
      </c>
      <c r="V4886" s="12"/>
      <c r="W4886" s="12"/>
    </row>
    <row r="4887" spans="2:23" s="6" customFormat="1" ht="21.95" customHeight="1" x14ac:dyDescent="0.2">
      <c r="B4887" s="6" t="s">
        <v>1597</v>
      </c>
      <c r="C4887" s="6" t="s">
        <v>2049</v>
      </c>
      <c r="D4887" s="6" t="s">
        <v>989</v>
      </c>
      <c r="G4887" s="6">
        <v>90</v>
      </c>
      <c r="H4887" s="6">
        <v>200</v>
      </c>
      <c r="I4887" s="9"/>
      <c r="J4887" s="9"/>
      <c r="K4887" s="9"/>
      <c r="L4887" s="6" t="str">
        <f t="shared" si="480"/>
        <v>1D  KARLSON BAZA  90x200</v>
      </c>
      <c r="M4887" s="12"/>
      <c r="N4887" s="12"/>
      <c r="O4887" s="12"/>
      <c r="R4887" s="33"/>
      <c r="T4887" s="12"/>
      <c r="U4887" s="12">
        <v>33600</v>
      </c>
      <c r="V4887" s="12"/>
      <c r="W4887" s="12"/>
    </row>
    <row r="4888" spans="2:23" s="6" customFormat="1" ht="21.95" customHeight="1" x14ac:dyDescent="0.2">
      <c r="B4888" s="6" t="s">
        <v>1597</v>
      </c>
      <c r="C4888" s="6" t="s">
        <v>2049</v>
      </c>
      <c r="D4888" s="6" t="s">
        <v>989</v>
      </c>
      <c r="G4888" s="6">
        <v>100</v>
      </c>
      <c r="H4888" s="6">
        <v>200</v>
      </c>
      <c r="I4888" s="9"/>
      <c r="J4888" s="9"/>
      <c r="K4888" s="9"/>
      <c r="L4888" s="6" t="str">
        <f t="shared" si="480"/>
        <v>1D  KARLSON BAZA  100x200</v>
      </c>
      <c r="M4888" s="12"/>
      <c r="N4888" s="12"/>
      <c r="O4888" s="12"/>
      <c r="R4888" s="33"/>
      <c r="T4888" s="12"/>
      <c r="U4888" s="12">
        <v>40300</v>
      </c>
      <c r="V4888" s="12"/>
      <c r="W4888" s="12"/>
    </row>
    <row r="4889" spans="2:23" s="6" customFormat="1" ht="21.95" customHeight="1" x14ac:dyDescent="0.2">
      <c r="B4889" s="6" t="s">
        <v>1597</v>
      </c>
      <c r="C4889" s="6" t="s">
        <v>2049</v>
      </c>
      <c r="D4889" s="6" t="s">
        <v>989</v>
      </c>
      <c r="G4889" s="6">
        <v>120</v>
      </c>
      <c r="H4889" s="6">
        <v>200</v>
      </c>
      <c r="I4889" s="9"/>
      <c r="J4889" s="9"/>
      <c r="K4889" s="9"/>
      <c r="L4889" s="6" t="str">
        <f t="shared" si="480"/>
        <v>1D  KARLSON BAZA  120x200</v>
      </c>
      <c r="M4889" s="12"/>
      <c r="N4889" s="12"/>
      <c r="O4889" s="12"/>
      <c r="R4889" s="33"/>
      <c r="T4889" s="12"/>
      <c r="U4889" s="12">
        <v>47000</v>
      </c>
      <c r="V4889" s="12"/>
      <c r="W4889" s="12"/>
    </row>
    <row r="4890" spans="2:23" s="6" customFormat="1" ht="21.95" customHeight="1" x14ac:dyDescent="0.2">
      <c r="B4890" s="6" t="s">
        <v>1597</v>
      </c>
      <c r="C4890" s="6" t="s">
        <v>2049</v>
      </c>
      <c r="D4890" s="6" t="s">
        <v>989</v>
      </c>
      <c r="G4890" s="6">
        <v>140</v>
      </c>
      <c r="H4890" s="6">
        <v>200</v>
      </c>
      <c r="I4890" s="9"/>
      <c r="J4890" s="9"/>
      <c r="K4890" s="9"/>
      <c r="L4890" s="6" t="str">
        <f t="shared" si="480"/>
        <v>1D  KARLSON BAZA  140x200</v>
      </c>
      <c r="M4890" s="12"/>
      <c r="N4890" s="12"/>
      <c r="O4890" s="12"/>
      <c r="R4890" s="33"/>
      <c r="T4890" s="12"/>
      <c r="U4890" s="12">
        <v>50300</v>
      </c>
      <c r="V4890" s="12"/>
      <c r="W4890" s="12"/>
    </row>
    <row r="4891" spans="2:23" s="6" customFormat="1" ht="21.95" customHeight="1" x14ac:dyDescent="0.2">
      <c r="B4891" s="6" t="s">
        <v>1597</v>
      </c>
      <c r="C4891" s="6" t="s">
        <v>2049</v>
      </c>
      <c r="D4891" s="6" t="s">
        <v>989</v>
      </c>
      <c r="G4891" s="6">
        <v>150</v>
      </c>
      <c r="H4891" s="6">
        <v>200</v>
      </c>
      <c r="I4891" s="9"/>
      <c r="J4891" s="9"/>
      <c r="K4891" s="9"/>
      <c r="L4891" s="6" t="str">
        <f t="shared" si="480"/>
        <v>1D  KARLSON BAZA  150x200</v>
      </c>
      <c r="M4891" s="12"/>
      <c r="N4891" s="12"/>
      <c r="O4891" s="12"/>
      <c r="R4891" s="33"/>
      <c r="T4891" s="12"/>
      <c r="U4891" s="12">
        <v>53700</v>
      </c>
      <c r="V4891" s="12"/>
      <c r="W4891" s="12"/>
    </row>
    <row r="4892" spans="2:23" s="6" customFormat="1" ht="21.95" customHeight="1" x14ac:dyDescent="0.2">
      <c r="B4892" s="6" t="s">
        <v>1597</v>
      </c>
      <c r="C4892" s="6" t="s">
        <v>2049</v>
      </c>
      <c r="D4892" s="6" t="s">
        <v>989</v>
      </c>
      <c r="G4892" s="6">
        <v>160</v>
      </c>
      <c r="H4892" s="6">
        <v>200</v>
      </c>
      <c r="I4892" s="9"/>
      <c r="J4892" s="9"/>
      <c r="K4892" s="9"/>
      <c r="L4892" s="6" t="str">
        <f t="shared" si="480"/>
        <v>1D  KARLSON BAZA  160x200</v>
      </c>
      <c r="M4892" s="12"/>
      <c r="N4892" s="12"/>
      <c r="O4892" s="12"/>
      <c r="R4892" s="33"/>
      <c r="T4892" s="12"/>
      <c r="U4892" s="12">
        <v>60400</v>
      </c>
      <c r="V4892" s="12"/>
      <c r="W4892" s="12"/>
    </row>
    <row r="4893" spans="2:23" s="6" customFormat="1" ht="21.95" customHeight="1" x14ac:dyDescent="0.2">
      <c r="B4893" s="6" t="s">
        <v>1597</v>
      </c>
      <c r="C4893" s="6" t="s">
        <v>2049</v>
      </c>
      <c r="D4893" s="6" t="s">
        <v>989</v>
      </c>
      <c r="G4893" s="6">
        <v>180</v>
      </c>
      <c r="H4893" s="6">
        <v>200</v>
      </c>
      <c r="I4893" s="9"/>
      <c r="J4893" s="9"/>
      <c r="K4893" s="9"/>
      <c r="L4893" s="6" t="str">
        <f t="shared" si="480"/>
        <v>1D  KARLSON BAZA  180x200</v>
      </c>
      <c r="M4893" s="12"/>
      <c r="N4893" s="12"/>
      <c r="O4893" s="12"/>
      <c r="R4893" s="33"/>
      <c r="T4893" s="12"/>
      <c r="U4893" s="12">
        <v>14300</v>
      </c>
      <c r="V4893" s="12"/>
      <c r="W4893" s="12"/>
    </row>
    <row r="4894" spans="2:23" s="6" customFormat="1" ht="21.95" customHeight="1" x14ac:dyDescent="0.2">
      <c r="B4894" s="6" t="s">
        <v>1597</v>
      </c>
      <c r="C4894" s="6" t="s">
        <v>2049</v>
      </c>
      <c r="D4894" s="6" t="s">
        <v>1003</v>
      </c>
      <c r="G4894" s="6">
        <v>90</v>
      </c>
      <c r="H4894" s="6">
        <v>190</v>
      </c>
      <c r="I4894" s="9"/>
      <c r="J4894" s="9"/>
      <c r="K4894" s="9"/>
      <c r="L4894" s="6" t="str">
        <f t="shared" si="480"/>
        <v>1D  KARLSON BAŞLIK  90x190</v>
      </c>
      <c r="M4894" s="12"/>
      <c r="N4894" s="12"/>
      <c r="O4894" s="12"/>
      <c r="R4894" s="33"/>
      <c r="T4894" s="12"/>
      <c r="U4894" s="12">
        <v>15000</v>
      </c>
      <c r="V4894" s="12"/>
      <c r="W4894" s="12"/>
    </row>
    <row r="4895" spans="2:23" s="6" customFormat="1" ht="21.95" customHeight="1" x14ac:dyDescent="0.2">
      <c r="B4895" s="6" t="s">
        <v>1597</v>
      </c>
      <c r="C4895" s="6" t="s">
        <v>2049</v>
      </c>
      <c r="D4895" s="6" t="s">
        <v>1003</v>
      </c>
      <c r="G4895" s="6">
        <v>90</v>
      </c>
      <c r="H4895" s="6">
        <v>200</v>
      </c>
      <c r="I4895" s="9"/>
      <c r="J4895" s="9"/>
      <c r="K4895" s="9"/>
      <c r="L4895" s="6" t="str">
        <f t="shared" si="480"/>
        <v>1D  KARLSON BAŞLIK  90x200</v>
      </c>
      <c r="M4895" s="12"/>
      <c r="N4895" s="12"/>
      <c r="O4895" s="12"/>
      <c r="R4895" s="33"/>
      <c r="T4895" s="12"/>
      <c r="U4895" s="12">
        <v>15200</v>
      </c>
      <c r="V4895" s="12"/>
      <c r="W4895" s="12"/>
    </row>
    <row r="4896" spans="2:23" s="6" customFormat="1" ht="21.95" customHeight="1" x14ac:dyDescent="0.2">
      <c r="B4896" s="6" t="s">
        <v>1597</v>
      </c>
      <c r="C4896" s="6" t="s">
        <v>2049</v>
      </c>
      <c r="D4896" s="6" t="s">
        <v>1003</v>
      </c>
      <c r="G4896" s="6">
        <v>100</v>
      </c>
      <c r="H4896" s="6">
        <v>200</v>
      </c>
      <c r="I4896" s="9"/>
      <c r="J4896" s="9"/>
      <c r="K4896" s="9"/>
      <c r="L4896" s="6" t="str">
        <f t="shared" si="480"/>
        <v>1D  KARLSON BAŞLIK  100x200</v>
      </c>
      <c r="M4896" s="12"/>
      <c r="N4896" s="12"/>
      <c r="O4896" s="12"/>
      <c r="R4896" s="33"/>
      <c r="T4896" s="12"/>
      <c r="U4896" s="12">
        <v>18200</v>
      </c>
      <c r="V4896" s="12"/>
      <c r="W4896" s="12"/>
    </row>
    <row r="4897" spans="2:23" s="6" customFormat="1" ht="21.95" customHeight="1" x14ac:dyDescent="0.2">
      <c r="B4897" s="6" t="s">
        <v>1597</v>
      </c>
      <c r="C4897" s="6" t="s">
        <v>2049</v>
      </c>
      <c r="D4897" s="6" t="s">
        <v>1003</v>
      </c>
      <c r="G4897" s="6">
        <v>120</v>
      </c>
      <c r="H4897" s="6">
        <v>200</v>
      </c>
      <c r="I4897" s="9"/>
      <c r="J4897" s="9"/>
      <c r="K4897" s="9"/>
      <c r="L4897" s="6" t="str">
        <f t="shared" si="480"/>
        <v>1D  KARLSON BAŞLIK  120x200</v>
      </c>
      <c r="M4897" s="12"/>
      <c r="N4897" s="12"/>
      <c r="O4897" s="12"/>
      <c r="R4897" s="33"/>
      <c r="T4897" s="12"/>
      <c r="U4897" s="12">
        <v>21300</v>
      </c>
      <c r="V4897" s="12"/>
      <c r="W4897" s="12"/>
    </row>
    <row r="4898" spans="2:23" s="6" customFormat="1" ht="21.95" customHeight="1" x14ac:dyDescent="0.2">
      <c r="B4898" s="6" t="s">
        <v>1597</v>
      </c>
      <c r="C4898" s="6" t="s">
        <v>2049</v>
      </c>
      <c r="D4898" s="6" t="s">
        <v>1003</v>
      </c>
      <c r="G4898" s="6">
        <v>140</v>
      </c>
      <c r="H4898" s="6">
        <v>200</v>
      </c>
      <c r="I4898" s="9"/>
      <c r="J4898" s="9"/>
      <c r="K4898" s="9"/>
      <c r="L4898" s="6" t="str">
        <f t="shared" si="480"/>
        <v>1D  KARLSON BAŞLIK  140x200</v>
      </c>
      <c r="M4898" s="12"/>
      <c r="N4898" s="12"/>
      <c r="O4898" s="12"/>
      <c r="R4898" s="33"/>
      <c r="T4898" s="12"/>
      <c r="U4898" s="12">
        <v>22800</v>
      </c>
      <c r="V4898" s="12"/>
      <c r="W4898" s="12"/>
    </row>
    <row r="4899" spans="2:23" s="6" customFormat="1" ht="21.95" customHeight="1" x14ac:dyDescent="0.2">
      <c r="B4899" s="6" t="s">
        <v>1597</v>
      </c>
      <c r="C4899" s="6" t="s">
        <v>2049</v>
      </c>
      <c r="D4899" s="6" t="s">
        <v>1003</v>
      </c>
      <c r="G4899" s="6">
        <v>150</v>
      </c>
      <c r="H4899" s="6">
        <v>200</v>
      </c>
      <c r="I4899" s="9"/>
      <c r="J4899" s="9"/>
      <c r="K4899" s="9"/>
      <c r="L4899" s="6" t="str">
        <f t="shared" si="480"/>
        <v>1D  KARLSON BAŞLIK  150x200</v>
      </c>
      <c r="M4899" s="12"/>
      <c r="N4899" s="12"/>
      <c r="O4899" s="12"/>
      <c r="R4899" s="33"/>
      <c r="T4899" s="12"/>
      <c r="U4899" s="12">
        <v>24300</v>
      </c>
      <c r="V4899" s="12"/>
      <c r="W4899" s="12"/>
    </row>
    <row r="4900" spans="2:23" s="6" customFormat="1" ht="21.95" customHeight="1" x14ac:dyDescent="0.2">
      <c r="B4900" s="6" t="s">
        <v>1597</v>
      </c>
      <c r="C4900" s="6" t="s">
        <v>2049</v>
      </c>
      <c r="D4900" s="6" t="s">
        <v>1003</v>
      </c>
      <c r="G4900" s="6">
        <v>160</v>
      </c>
      <c r="H4900" s="6">
        <v>200</v>
      </c>
      <c r="I4900" s="9"/>
      <c r="J4900" s="9"/>
      <c r="K4900" s="9"/>
      <c r="L4900" s="6" t="str">
        <f t="shared" si="480"/>
        <v>1D  KARLSON BAŞLIK  160x200</v>
      </c>
      <c r="M4900" s="12"/>
      <c r="N4900" s="12"/>
      <c r="O4900" s="12"/>
      <c r="R4900" s="33"/>
      <c r="T4900" s="12"/>
      <c r="U4900" s="12">
        <v>27300</v>
      </c>
      <c r="V4900" s="12"/>
      <c r="W4900" s="12"/>
    </row>
    <row r="4901" spans="2:23" s="6" customFormat="1" ht="21.95" customHeight="1" x14ac:dyDescent="0.2">
      <c r="B4901" s="6" t="s">
        <v>1597</v>
      </c>
      <c r="C4901" s="6" t="s">
        <v>2049</v>
      </c>
      <c r="D4901" s="6" t="s">
        <v>1003</v>
      </c>
      <c r="G4901" s="6">
        <v>180</v>
      </c>
      <c r="H4901" s="6">
        <v>200</v>
      </c>
      <c r="I4901" s="9"/>
      <c r="J4901" s="9"/>
      <c r="K4901" s="9"/>
      <c r="L4901" s="6" t="str">
        <f t="shared" si="480"/>
        <v>1D  KARLSON BAŞLIK  180x200</v>
      </c>
      <c r="M4901" s="12"/>
      <c r="N4901" s="12"/>
      <c r="O4901" s="12"/>
      <c r="R4901" s="33"/>
      <c r="T4901" s="12"/>
      <c r="U4901" s="12">
        <v>14600</v>
      </c>
      <c r="V4901" s="12"/>
      <c r="W4901" s="12"/>
    </row>
    <row r="4902" spans="2:23" s="6" customFormat="1" ht="21.95" customHeight="1" x14ac:dyDescent="0.2">
      <c r="B4902" s="6" t="s">
        <v>1597</v>
      </c>
      <c r="C4902" s="6" t="s">
        <v>2049</v>
      </c>
      <c r="D4902" s="6" t="s">
        <v>943</v>
      </c>
      <c r="G4902" s="6">
        <v>90</v>
      </c>
      <c r="H4902" s="6">
        <v>190</v>
      </c>
      <c r="I4902" s="9"/>
      <c r="J4902" s="9"/>
      <c r="K4902" s="9"/>
      <c r="L4902" s="6" t="str">
        <f t="shared" si="480"/>
        <v>1D  KARLSON YATAK  90x190</v>
      </c>
      <c r="M4902" s="12"/>
      <c r="N4902" s="12"/>
      <c r="O4902" s="12"/>
      <c r="R4902" s="33"/>
      <c r="T4902" s="12"/>
      <c r="U4902" s="12">
        <v>15400</v>
      </c>
      <c r="V4902" s="12"/>
      <c r="W4902" s="12"/>
    </row>
    <row r="4903" spans="2:23" s="6" customFormat="1" ht="21.95" customHeight="1" x14ac:dyDescent="0.2">
      <c r="B4903" s="6" t="s">
        <v>1597</v>
      </c>
      <c r="C4903" s="6" t="s">
        <v>2049</v>
      </c>
      <c r="D4903" s="6" t="s">
        <v>943</v>
      </c>
      <c r="G4903" s="6">
        <v>90</v>
      </c>
      <c r="H4903" s="6">
        <v>200</v>
      </c>
      <c r="I4903" s="9"/>
      <c r="J4903" s="9"/>
      <c r="K4903" s="9"/>
      <c r="L4903" s="6" t="str">
        <f t="shared" si="480"/>
        <v>1D  KARLSON YATAK  90x200</v>
      </c>
      <c r="M4903" s="12"/>
      <c r="N4903" s="12"/>
      <c r="O4903" s="12"/>
      <c r="R4903" s="33"/>
      <c r="T4903" s="12"/>
      <c r="U4903" s="12">
        <v>15600</v>
      </c>
      <c r="V4903" s="12"/>
      <c r="W4903" s="12"/>
    </row>
    <row r="4904" spans="2:23" s="6" customFormat="1" ht="21.95" customHeight="1" x14ac:dyDescent="0.2">
      <c r="B4904" s="6" t="s">
        <v>1597</v>
      </c>
      <c r="C4904" s="6" t="s">
        <v>2049</v>
      </c>
      <c r="D4904" s="6" t="s">
        <v>943</v>
      </c>
      <c r="G4904" s="6">
        <v>100</v>
      </c>
      <c r="H4904" s="6">
        <v>200</v>
      </c>
      <c r="I4904" s="9"/>
      <c r="J4904" s="9"/>
      <c r="K4904" s="9"/>
      <c r="L4904" s="6" t="str">
        <f t="shared" si="480"/>
        <v>1D  KARLSON YATAK  100x200</v>
      </c>
      <c r="M4904" s="12"/>
      <c r="N4904" s="12"/>
      <c r="O4904" s="12"/>
      <c r="R4904" s="33"/>
      <c r="T4904" s="12"/>
      <c r="U4904" s="12">
        <v>18700</v>
      </c>
      <c r="V4904" s="12"/>
      <c r="W4904" s="12"/>
    </row>
    <row r="4905" spans="2:23" s="6" customFormat="1" ht="21.95" customHeight="1" x14ac:dyDescent="0.2">
      <c r="B4905" s="6" t="s">
        <v>1597</v>
      </c>
      <c r="C4905" s="6" t="s">
        <v>2049</v>
      </c>
      <c r="D4905" s="6" t="s">
        <v>943</v>
      </c>
      <c r="G4905" s="6">
        <v>120</v>
      </c>
      <c r="H4905" s="6">
        <v>200</v>
      </c>
      <c r="I4905" s="9"/>
      <c r="J4905" s="9"/>
      <c r="K4905" s="9"/>
      <c r="L4905" s="6" t="str">
        <f t="shared" si="480"/>
        <v>1D  KARLSON YATAK  120x200</v>
      </c>
      <c r="M4905" s="12"/>
      <c r="N4905" s="12"/>
      <c r="O4905" s="12"/>
      <c r="R4905" s="33"/>
      <c r="T4905" s="12"/>
      <c r="U4905" s="12">
        <v>21800</v>
      </c>
      <c r="V4905" s="12"/>
      <c r="W4905" s="12"/>
    </row>
    <row r="4906" spans="2:23" s="6" customFormat="1" ht="21.95" customHeight="1" x14ac:dyDescent="0.2">
      <c r="B4906" s="6" t="s">
        <v>1597</v>
      </c>
      <c r="C4906" s="6" t="s">
        <v>2049</v>
      </c>
      <c r="D4906" s="6" t="s">
        <v>943</v>
      </c>
      <c r="G4906" s="6">
        <v>140</v>
      </c>
      <c r="H4906" s="6">
        <v>200</v>
      </c>
      <c r="I4906" s="9"/>
      <c r="J4906" s="9"/>
      <c r="K4906" s="9"/>
      <c r="L4906" s="6" t="str">
        <f t="shared" si="480"/>
        <v>1D  KARLSON YATAK  140x200</v>
      </c>
      <c r="M4906" s="12"/>
      <c r="N4906" s="12"/>
      <c r="O4906" s="12"/>
      <c r="R4906" s="33"/>
      <c r="T4906" s="12"/>
      <c r="U4906" s="12">
        <v>23300</v>
      </c>
      <c r="V4906" s="12"/>
      <c r="W4906" s="12"/>
    </row>
    <row r="4907" spans="2:23" s="6" customFormat="1" ht="21.95" customHeight="1" x14ac:dyDescent="0.2">
      <c r="B4907" s="6" t="s">
        <v>1597</v>
      </c>
      <c r="C4907" s="6" t="s">
        <v>2049</v>
      </c>
      <c r="D4907" s="6" t="s">
        <v>943</v>
      </c>
      <c r="G4907" s="6">
        <v>150</v>
      </c>
      <c r="H4907" s="6">
        <v>200</v>
      </c>
      <c r="I4907" s="9"/>
      <c r="J4907" s="9"/>
      <c r="K4907" s="9"/>
      <c r="L4907" s="6" t="str">
        <f t="shared" si="480"/>
        <v>1D  KARLSON YATAK  150x200</v>
      </c>
      <c r="M4907" s="12"/>
      <c r="N4907" s="12"/>
      <c r="O4907" s="12"/>
      <c r="R4907" s="33"/>
      <c r="T4907" s="12"/>
      <c r="U4907" s="12">
        <v>24900</v>
      </c>
      <c r="V4907" s="12"/>
      <c r="W4907" s="12"/>
    </row>
    <row r="4908" spans="2:23" s="6" customFormat="1" ht="21.95" customHeight="1" x14ac:dyDescent="0.2">
      <c r="B4908" s="6" t="s">
        <v>1597</v>
      </c>
      <c r="C4908" s="6" t="s">
        <v>2049</v>
      </c>
      <c r="D4908" s="6" t="s">
        <v>943</v>
      </c>
      <c r="G4908" s="6">
        <v>160</v>
      </c>
      <c r="H4908" s="6">
        <v>200</v>
      </c>
      <c r="I4908" s="9"/>
      <c r="J4908" s="9"/>
      <c r="K4908" s="9"/>
      <c r="L4908" s="6" t="str">
        <f t="shared" si="480"/>
        <v>1D  KARLSON YATAK  160x200</v>
      </c>
      <c r="M4908" s="12"/>
      <c r="N4908" s="12"/>
      <c r="O4908" s="12"/>
      <c r="R4908" s="33"/>
      <c r="T4908" s="12"/>
      <c r="U4908" s="12">
        <v>28000</v>
      </c>
      <c r="V4908" s="12"/>
      <c r="W4908" s="12"/>
    </row>
    <row r="4909" spans="2:23" s="6" customFormat="1" ht="21.95" customHeight="1" x14ac:dyDescent="0.2">
      <c r="B4909" s="6" t="s">
        <v>1597</v>
      </c>
      <c r="C4909" s="6" t="s">
        <v>2049</v>
      </c>
      <c r="D4909" s="6" t="s">
        <v>943</v>
      </c>
      <c r="G4909" s="6">
        <v>180</v>
      </c>
      <c r="H4909" s="6">
        <v>200</v>
      </c>
      <c r="I4909" s="9"/>
      <c r="J4909" s="9"/>
      <c r="K4909" s="9"/>
      <c r="L4909" s="6" t="str">
        <f t="shared" si="480"/>
        <v>1D  KARLSON YATAK  180x200</v>
      </c>
      <c r="M4909" s="12"/>
      <c r="N4909" s="12"/>
      <c r="O4909" s="12"/>
      <c r="R4909" s="33"/>
      <c r="T4909" s="12"/>
      <c r="U4909" s="12">
        <v>43900</v>
      </c>
      <c r="V4909" s="12"/>
      <c r="W4909" s="12"/>
    </row>
    <row r="4910" spans="2:23" s="6" customFormat="1" ht="21.95" customHeight="1" x14ac:dyDescent="0.2">
      <c r="B4910" s="6" t="s">
        <v>1597</v>
      </c>
      <c r="C4910" s="6" t="s">
        <v>2049</v>
      </c>
      <c r="D4910" s="6" t="s">
        <v>1380</v>
      </c>
      <c r="I4910" s="9"/>
      <c r="J4910" s="9"/>
      <c r="K4910" s="9"/>
      <c r="L4910" s="6" t="str">
        <f>B4910&amp;" "&amp;C4910&amp;" "&amp;D4910</f>
        <v>1D  KARLSON KOMODİN (2 ADET)</v>
      </c>
      <c r="M4910" s="12"/>
      <c r="N4910" s="12"/>
      <c r="O4910" s="12"/>
      <c r="R4910" s="33"/>
      <c r="T4910" s="12"/>
      <c r="U4910" s="12">
        <v>46200</v>
      </c>
      <c r="V4910" s="12"/>
      <c r="W4910" s="12"/>
    </row>
    <row r="4911" spans="2:23" s="6" customFormat="1" ht="21.95" customHeight="1" x14ac:dyDescent="0.2">
      <c r="B4911" s="6" t="s">
        <v>1597</v>
      </c>
      <c r="C4911" s="6" t="s">
        <v>1442</v>
      </c>
      <c r="D4911" s="6" t="s">
        <v>989</v>
      </c>
      <c r="G4911" s="6">
        <v>90</v>
      </c>
      <c r="H4911" s="6">
        <v>190</v>
      </c>
      <c r="I4911" s="9"/>
      <c r="J4911" s="9"/>
      <c r="K4911" s="9"/>
      <c r="L4911" s="6" t="str">
        <f t="shared" ref="L4911:L4934" si="481">B4911&amp;" "&amp;C4911&amp;" "&amp;D4911&amp;" "&amp;G4911&amp;"x"&amp;H4911</f>
        <v>1D  LONDON  BAZA  90x190</v>
      </c>
      <c r="M4911" s="12"/>
      <c r="N4911" s="12"/>
      <c r="O4911" s="12"/>
      <c r="R4911" s="33"/>
      <c r="T4911" s="12"/>
      <c r="U4911" s="12">
        <v>46600</v>
      </c>
      <c r="V4911" s="12"/>
      <c r="W4911" s="12"/>
    </row>
    <row r="4912" spans="2:23" s="6" customFormat="1" ht="21.95" customHeight="1" x14ac:dyDescent="0.2">
      <c r="B4912" s="6" t="s">
        <v>1597</v>
      </c>
      <c r="C4912" s="6" t="s">
        <v>1442</v>
      </c>
      <c r="D4912" s="6" t="s">
        <v>989</v>
      </c>
      <c r="G4912" s="6">
        <v>90</v>
      </c>
      <c r="H4912" s="6">
        <v>200</v>
      </c>
      <c r="I4912" s="9"/>
      <c r="J4912" s="9"/>
      <c r="K4912" s="9"/>
      <c r="L4912" s="6" t="str">
        <f t="shared" si="481"/>
        <v>1D  LONDON  BAZA  90x200</v>
      </c>
      <c r="M4912" s="12"/>
      <c r="N4912" s="12"/>
      <c r="O4912" s="12"/>
      <c r="R4912" s="33"/>
      <c r="T4912" s="12"/>
      <c r="U4912" s="12">
        <v>56000</v>
      </c>
      <c r="V4912" s="12"/>
      <c r="W4912" s="12"/>
    </row>
    <row r="4913" spans="2:23" s="6" customFormat="1" ht="21.95" customHeight="1" x14ac:dyDescent="0.2">
      <c r="B4913" s="6" t="s">
        <v>1597</v>
      </c>
      <c r="C4913" s="6" t="s">
        <v>1442</v>
      </c>
      <c r="D4913" s="6" t="s">
        <v>989</v>
      </c>
      <c r="G4913" s="6">
        <v>100</v>
      </c>
      <c r="H4913" s="6">
        <v>200</v>
      </c>
      <c r="I4913" s="9"/>
      <c r="J4913" s="9"/>
      <c r="K4913" s="9"/>
      <c r="L4913" s="6" t="str">
        <f t="shared" si="481"/>
        <v>1D  LONDON  BAZA  100x200</v>
      </c>
      <c r="M4913" s="12"/>
      <c r="N4913" s="12"/>
      <c r="O4913" s="12"/>
      <c r="R4913" s="33"/>
      <c r="T4913" s="12"/>
      <c r="U4913" s="12">
        <v>65300</v>
      </c>
      <c r="V4913" s="12"/>
      <c r="W4913" s="12"/>
    </row>
    <row r="4914" spans="2:23" s="6" customFormat="1" ht="21.95" customHeight="1" x14ac:dyDescent="0.2">
      <c r="B4914" s="6" t="s">
        <v>1597</v>
      </c>
      <c r="C4914" s="6" t="s">
        <v>1442</v>
      </c>
      <c r="D4914" s="6" t="s">
        <v>989</v>
      </c>
      <c r="G4914" s="6">
        <v>120</v>
      </c>
      <c r="H4914" s="6">
        <v>200</v>
      </c>
      <c r="I4914" s="9"/>
      <c r="J4914" s="9"/>
      <c r="K4914" s="9"/>
      <c r="L4914" s="6" t="str">
        <f t="shared" si="481"/>
        <v>1D  LONDON  BAZA  120x200</v>
      </c>
      <c r="M4914" s="12"/>
      <c r="N4914" s="12"/>
      <c r="O4914" s="12"/>
      <c r="R4914" s="33"/>
      <c r="T4914" s="12"/>
      <c r="U4914" s="12">
        <v>69900</v>
      </c>
      <c r="V4914" s="12"/>
      <c r="W4914" s="12"/>
    </row>
    <row r="4915" spans="2:23" s="6" customFormat="1" ht="21.95" customHeight="1" x14ac:dyDescent="0.2">
      <c r="B4915" s="6" t="s">
        <v>1597</v>
      </c>
      <c r="C4915" s="6" t="s">
        <v>1442</v>
      </c>
      <c r="D4915" s="6" t="s">
        <v>989</v>
      </c>
      <c r="G4915" s="6">
        <v>140</v>
      </c>
      <c r="H4915" s="6">
        <v>200</v>
      </c>
      <c r="I4915" s="9"/>
      <c r="J4915" s="9"/>
      <c r="K4915" s="9"/>
      <c r="L4915" s="6" t="str">
        <f t="shared" si="481"/>
        <v>1D  LONDON  BAZA  140x200</v>
      </c>
      <c r="M4915" s="12"/>
      <c r="N4915" s="12"/>
      <c r="O4915" s="12"/>
      <c r="R4915" s="33"/>
      <c r="T4915" s="12"/>
      <c r="U4915" s="12">
        <v>74600</v>
      </c>
      <c r="V4915" s="12"/>
      <c r="W4915" s="12"/>
    </row>
    <row r="4916" spans="2:23" s="6" customFormat="1" ht="21.95" customHeight="1" x14ac:dyDescent="0.2">
      <c r="B4916" s="6" t="s">
        <v>1597</v>
      </c>
      <c r="C4916" s="6" t="s">
        <v>1442</v>
      </c>
      <c r="D4916" s="6" t="s">
        <v>989</v>
      </c>
      <c r="G4916" s="6">
        <v>150</v>
      </c>
      <c r="H4916" s="6">
        <v>200</v>
      </c>
      <c r="I4916" s="9"/>
      <c r="J4916" s="9"/>
      <c r="K4916" s="9"/>
      <c r="L4916" s="6" t="str">
        <f t="shared" si="481"/>
        <v>1D  LONDON  BAZA  150x200</v>
      </c>
      <c r="M4916" s="12"/>
      <c r="N4916" s="12"/>
      <c r="O4916" s="12"/>
      <c r="R4916" s="33"/>
      <c r="T4916" s="12"/>
      <c r="U4916" s="12">
        <v>83900</v>
      </c>
      <c r="V4916" s="12"/>
      <c r="W4916" s="12"/>
    </row>
    <row r="4917" spans="2:23" s="6" customFormat="1" ht="21.95" customHeight="1" x14ac:dyDescent="0.2">
      <c r="B4917" s="6" t="s">
        <v>1597</v>
      </c>
      <c r="C4917" s="6" t="s">
        <v>1442</v>
      </c>
      <c r="D4917" s="6" t="s">
        <v>989</v>
      </c>
      <c r="G4917" s="6">
        <v>160</v>
      </c>
      <c r="H4917" s="6">
        <v>200</v>
      </c>
      <c r="I4917" s="9"/>
      <c r="J4917" s="9"/>
      <c r="K4917" s="9"/>
      <c r="L4917" s="6" t="str">
        <f t="shared" si="481"/>
        <v>1D  LONDON  BAZA  160x200</v>
      </c>
      <c r="M4917" s="12"/>
      <c r="N4917" s="12"/>
      <c r="O4917" s="12"/>
      <c r="R4917" s="33"/>
      <c r="T4917" s="12"/>
      <c r="U4917" s="12">
        <v>14500</v>
      </c>
      <c r="V4917" s="12"/>
      <c r="W4917" s="12"/>
    </row>
    <row r="4918" spans="2:23" s="6" customFormat="1" ht="21.95" customHeight="1" x14ac:dyDescent="0.2">
      <c r="B4918" s="6" t="s">
        <v>1597</v>
      </c>
      <c r="C4918" s="6" t="s">
        <v>1442</v>
      </c>
      <c r="D4918" s="6" t="s">
        <v>989</v>
      </c>
      <c r="G4918" s="6">
        <v>180</v>
      </c>
      <c r="H4918" s="6">
        <v>200</v>
      </c>
      <c r="I4918" s="9"/>
      <c r="J4918" s="9"/>
      <c r="K4918" s="9"/>
      <c r="L4918" s="6" t="str">
        <f t="shared" si="481"/>
        <v>1D  LONDON  BAZA  180x200</v>
      </c>
      <c r="M4918" s="12"/>
      <c r="N4918" s="12"/>
      <c r="O4918" s="12"/>
      <c r="R4918" s="33"/>
      <c r="T4918" s="12"/>
      <c r="U4918" s="12">
        <v>4500</v>
      </c>
      <c r="V4918" s="12"/>
      <c r="W4918" s="12"/>
    </row>
    <row r="4919" spans="2:23" s="6" customFormat="1" ht="21.95" customHeight="1" x14ac:dyDescent="0.2">
      <c r="B4919" s="6" t="s">
        <v>1597</v>
      </c>
      <c r="C4919" s="6" t="s">
        <v>1442</v>
      </c>
      <c r="D4919" s="6" t="s">
        <v>1003</v>
      </c>
      <c r="G4919" s="6">
        <v>90</v>
      </c>
      <c r="H4919" s="6">
        <v>190</v>
      </c>
      <c r="I4919" s="9"/>
      <c r="J4919" s="9"/>
      <c r="K4919" s="9"/>
      <c r="L4919" s="6" t="str">
        <f t="shared" si="481"/>
        <v>1D  LONDON  BAŞLIK  90x190</v>
      </c>
      <c r="M4919" s="12"/>
      <c r="N4919" s="12"/>
      <c r="O4919" s="12"/>
      <c r="R4919" s="33"/>
      <c r="T4919" s="12"/>
      <c r="U4919" s="12">
        <v>4500</v>
      </c>
      <c r="V4919" s="12"/>
      <c r="W4919" s="12"/>
    </row>
    <row r="4920" spans="2:23" s="6" customFormat="1" ht="21.95" customHeight="1" x14ac:dyDescent="0.2">
      <c r="B4920" s="6" t="s">
        <v>1597</v>
      </c>
      <c r="C4920" s="6" t="s">
        <v>1442</v>
      </c>
      <c r="D4920" s="6" t="s">
        <v>1003</v>
      </c>
      <c r="G4920" s="6">
        <v>90</v>
      </c>
      <c r="H4920" s="6">
        <v>200</v>
      </c>
      <c r="I4920" s="9"/>
      <c r="J4920" s="9"/>
      <c r="K4920" s="9"/>
      <c r="L4920" s="6" t="str">
        <f t="shared" si="481"/>
        <v>1D  LONDON  BAŞLIK  90x200</v>
      </c>
      <c r="M4920" s="12"/>
      <c r="N4920" s="12"/>
      <c r="O4920" s="12"/>
      <c r="R4920" s="33"/>
      <c r="T4920" s="12"/>
      <c r="U4920" s="12">
        <v>4500</v>
      </c>
      <c r="V4920" s="12"/>
      <c r="W4920" s="12"/>
    </row>
    <row r="4921" spans="2:23" s="6" customFormat="1" ht="21.95" customHeight="1" x14ac:dyDescent="0.2">
      <c r="B4921" s="6" t="s">
        <v>1597</v>
      </c>
      <c r="C4921" s="6" t="s">
        <v>1442</v>
      </c>
      <c r="D4921" s="6" t="s">
        <v>1003</v>
      </c>
      <c r="G4921" s="6">
        <v>100</v>
      </c>
      <c r="H4921" s="6">
        <v>200</v>
      </c>
      <c r="I4921" s="9"/>
      <c r="J4921" s="9"/>
      <c r="K4921" s="9"/>
      <c r="L4921" s="6" t="str">
        <f t="shared" si="481"/>
        <v>1D  LONDON  BAŞLIK  100x200</v>
      </c>
      <c r="M4921" s="12"/>
      <c r="N4921" s="12"/>
      <c r="O4921" s="12"/>
      <c r="R4921" s="33"/>
      <c r="T4921" s="12"/>
      <c r="U4921" s="12">
        <v>16100</v>
      </c>
      <c r="V4921" s="12"/>
      <c r="W4921" s="12"/>
    </row>
    <row r="4922" spans="2:23" s="6" customFormat="1" ht="21.95" customHeight="1" x14ac:dyDescent="0.2">
      <c r="B4922" s="6" t="s">
        <v>1597</v>
      </c>
      <c r="C4922" s="6" t="s">
        <v>1442</v>
      </c>
      <c r="D4922" s="6" t="s">
        <v>1003</v>
      </c>
      <c r="G4922" s="6">
        <v>120</v>
      </c>
      <c r="H4922" s="6">
        <v>200</v>
      </c>
      <c r="I4922" s="9"/>
      <c r="J4922" s="9"/>
      <c r="K4922" s="9"/>
      <c r="L4922" s="6" t="str">
        <f t="shared" si="481"/>
        <v>1D  LONDON  BAŞLIK  120x200</v>
      </c>
      <c r="M4922" s="12"/>
      <c r="N4922" s="12"/>
      <c r="O4922" s="12"/>
      <c r="R4922" s="33"/>
      <c r="T4922" s="12"/>
      <c r="U4922" s="12">
        <v>18100</v>
      </c>
      <c r="V4922" s="12"/>
      <c r="W4922" s="12"/>
    </row>
    <row r="4923" spans="2:23" s="6" customFormat="1" ht="21.95" customHeight="1" x14ac:dyDescent="0.2">
      <c r="B4923" s="6" t="s">
        <v>1597</v>
      </c>
      <c r="C4923" s="6" t="s">
        <v>1442</v>
      </c>
      <c r="D4923" s="6" t="s">
        <v>1003</v>
      </c>
      <c r="G4923" s="6">
        <v>140</v>
      </c>
      <c r="H4923" s="6">
        <v>200</v>
      </c>
      <c r="I4923" s="9"/>
      <c r="J4923" s="9"/>
      <c r="K4923" s="9"/>
      <c r="L4923" s="6" t="str">
        <f t="shared" si="481"/>
        <v>1D  LONDON  BAŞLIK  140x200</v>
      </c>
      <c r="M4923" s="12"/>
      <c r="N4923" s="12"/>
      <c r="O4923" s="12"/>
      <c r="R4923" s="33"/>
      <c r="T4923" s="12"/>
      <c r="U4923" s="12">
        <v>19400</v>
      </c>
      <c r="V4923" s="12"/>
      <c r="W4923" s="12"/>
    </row>
    <row r="4924" spans="2:23" s="6" customFormat="1" ht="21.95" customHeight="1" x14ac:dyDescent="0.2">
      <c r="B4924" s="6" t="s">
        <v>1597</v>
      </c>
      <c r="C4924" s="6" t="s">
        <v>1442</v>
      </c>
      <c r="D4924" s="6" t="s">
        <v>1003</v>
      </c>
      <c r="G4924" s="6">
        <v>150</v>
      </c>
      <c r="H4924" s="6">
        <v>200</v>
      </c>
      <c r="I4924" s="9"/>
      <c r="J4924" s="9"/>
      <c r="K4924" s="9"/>
      <c r="L4924" s="6" t="str">
        <f t="shared" si="481"/>
        <v>1D  LONDON  BAŞLIK  150x200</v>
      </c>
      <c r="M4924" s="12"/>
      <c r="N4924" s="12"/>
      <c r="O4924" s="12"/>
      <c r="R4924" s="33"/>
      <c r="T4924" s="12"/>
      <c r="U4924" s="12">
        <v>20400</v>
      </c>
      <c r="V4924" s="12"/>
      <c r="W4924" s="12"/>
    </row>
    <row r="4925" spans="2:23" s="6" customFormat="1" ht="21.95" customHeight="1" x14ac:dyDescent="0.2">
      <c r="B4925" s="6" t="s">
        <v>1597</v>
      </c>
      <c r="C4925" s="6" t="s">
        <v>1442</v>
      </c>
      <c r="D4925" s="6" t="s">
        <v>1003</v>
      </c>
      <c r="G4925" s="6">
        <v>160</v>
      </c>
      <c r="H4925" s="6">
        <v>200</v>
      </c>
      <c r="I4925" s="9"/>
      <c r="J4925" s="9"/>
      <c r="K4925" s="9"/>
      <c r="L4925" s="6" t="str">
        <f t="shared" si="481"/>
        <v>1D  LONDON  BAŞLIK  160x200</v>
      </c>
      <c r="M4925" s="12"/>
      <c r="N4925" s="12"/>
      <c r="O4925" s="12"/>
      <c r="R4925" s="33"/>
      <c r="T4925" s="12"/>
      <c r="U4925" s="12">
        <v>20600</v>
      </c>
      <c r="V4925" s="12"/>
      <c r="W4925" s="12"/>
    </row>
    <row r="4926" spans="2:23" s="6" customFormat="1" ht="21.95" customHeight="1" x14ac:dyDescent="0.2">
      <c r="B4926" s="6" t="s">
        <v>1597</v>
      </c>
      <c r="C4926" s="6" t="s">
        <v>1442</v>
      </c>
      <c r="D4926" s="6" t="s">
        <v>1003</v>
      </c>
      <c r="G4926" s="6">
        <v>180</v>
      </c>
      <c r="H4926" s="6">
        <v>200</v>
      </c>
      <c r="I4926" s="9"/>
      <c r="J4926" s="9"/>
      <c r="K4926" s="9"/>
      <c r="L4926" s="6" t="str">
        <f t="shared" si="481"/>
        <v>1D  LONDON  BAŞLIK  180x200</v>
      </c>
      <c r="M4926" s="12"/>
      <c r="N4926" s="12"/>
      <c r="O4926" s="12"/>
      <c r="R4926" s="33"/>
      <c r="T4926" s="12"/>
      <c r="U4926" s="12">
        <v>24800</v>
      </c>
      <c r="V4926" s="12"/>
      <c r="W4926" s="12"/>
    </row>
    <row r="4927" spans="2:23" s="6" customFormat="1" ht="21.95" customHeight="1" x14ac:dyDescent="0.2">
      <c r="B4927" s="6" t="s">
        <v>1597</v>
      </c>
      <c r="C4927" s="6" t="s">
        <v>1442</v>
      </c>
      <c r="D4927" s="6" t="s">
        <v>943</v>
      </c>
      <c r="G4927" s="6">
        <v>90</v>
      </c>
      <c r="H4927" s="6">
        <v>190</v>
      </c>
      <c r="I4927" s="9"/>
      <c r="J4927" s="9"/>
      <c r="K4927" s="9"/>
      <c r="L4927" s="6" t="str">
        <f t="shared" si="481"/>
        <v>1D  LONDON  YATAK  90x190</v>
      </c>
      <c r="M4927" s="12"/>
      <c r="N4927" s="12"/>
      <c r="O4927" s="12"/>
      <c r="R4927" s="33"/>
      <c r="T4927" s="12"/>
      <c r="U4927" s="12">
        <v>28900</v>
      </c>
      <c r="V4927" s="12"/>
      <c r="W4927" s="12"/>
    </row>
    <row r="4928" spans="2:23" s="6" customFormat="1" ht="21.95" customHeight="1" x14ac:dyDescent="0.2">
      <c r="B4928" s="6" t="s">
        <v>1597</v>
      </c>
      <c r="C4928" s="6" t="s">
        <v>1442</v>
      </c>
      <c r="D4928" s="6" t="s">
        <v>943</v>
      </c>
      <c r="G4928" s="6">
        <v>90</v>
      </c>
      <c r="H4928" s="6">
        <v>200</v>
      </c>
      <c r="I4928" s="9"/>
      <c r="J4928" s="9"/>
      <c r="K4928" s="9"/>
      <c r="L4928" s="6" t="str">
        <f t="shared" si="481"/>
        <v>1D  LONDON  YATAK  90x200</v>
      </c>
      <c r="M4928" s="12"/>
      <c r="N4928" s="12"/>
      <c r="O4928" s="12"/>
      <c r="R4928" s="33"/>
      <c r="T4928" s="12"/>
      <c r="U4928" s="12">
        <v>30900</v>
      </c>
      <c r="V4928" s="12"/>
      <c r="W4928" s="12"/>
    </row>
    <row r="4929" spans="2:23" s="6" customFormat="1" ht="21.95" customHeight="1" x14ac:dyDescent="0.2">
      <c r="B4929" s="6" t="s">
        <v>1597</v>
      </c>
      <c r="C4929" s="6" t="s">
        <v>1442</v>
      </c>
      <c r="D4929" s="6" t="s">
        <v>943</v>
      </c>
      <c r="G4929" s="6">
        <v>100</v>
      </c>
      <c r="H4929" s="6">
        <v>200</v>
      </c>
      <c r="I4929" s="9"/>
      <c r="J4929" s="9"/>
      <c r="K4929" s="9"/>
      <c r="L4929" s="6" t="str">
        <f t="shared" si="481"/>
        <v>1D  LONDON  YATAK  100x200</v>
      </c>
      <c r="M4929" s="12"/>
      <c r="N4929" s="12"/>
      <c r="O4929" s="12"/>
      <c r="R4929" s="33"/>
      <c r="T4929" s="12"/>
      <c r="U4929" s="12">
        <v>33000</v>
      </c>
      <c r="V4929" s="12"/>
      <c r="W4929" s="12"/>
    </row>
    <row r="4930" spans="2:23" s="6" customFormat="1" ht="21.95" customHeight="1" x14ac:dyDescent="0.2">
      <c r="B4930" s="6" t="s">
        <v>1597</v>
      </c>
      <c r="C4930" s="6" t="s">
        <v>1442</v>
      </c>
      <c r="D4930" s="6" t="s">
        <v>943</v>
      </c>
      <c r="G4930" s="6">
        <v>120</v>
      </c>
      <c r="H4930" s="6">
        <v>200</v>
      </c>
      <c r="I4930" s="9"/>
      <c r="J4930" s="9"/>
      <c r="K4930" s="9"/>
      <c r="L4930" s="6" t="str">
        <f t="shared" si="481"/>
        <v>1D  LONDON  YATAK  120x200</v>
      </c>
      <c r="M4930" s="12"/>
      <c r="N4930" s="12"/>
      <c r="O4930" s="12"/>
      <c r="R4930" s="33"/>
      <c r="T4930" s="12"/>
      <c r="U4930" s="12">
        <v>37100</v>
      </c>
      <c r="V4930" s="12"/>
      <c r="W4930" s="12"/>
    </row>
    <row r="4931" spans="2:23" s="6" customFormat="1" ht="21.95" customHeight="1" x14ac:dyDescent="0.2">
      <c r="B4931" s="6" t="s">
        <v>1597</v>
      </c>
      <c r="C4931" s="6" t="s">
        <v>1442</v>
      </c>
      <c r="D4931" s="6" t="s">
        <v>943</v>
      </c>
      <c r="G4931" s="6">
        <v>140</v>
      </c>
      <c r="H4931" s="6">
        <v>200</v>
      </c>
      <c r="I4931" s="9"/>
      <c r="J4931" s="9"/>
      <c r="K4931" s="9"/>
      <c r="L4931" s="6" t="str">
        <f t="shared" si="481"/>
        <v>1D  LONDON  YATAK  140x200</v>
      </c>
      <c r="M4931" s="12"/>
      <c r="N4931" s="12"/>
      <c r="O4931" s="12"/>
      <c r="R4931" s="33"/>
      <c r="T4931" s="12"/>
      <c r="U4931" s="12"/>
      <c r="V4931" s="12"/>
      <c r="W4931" s="12">
        <f t="shared" ref="W4931:W4962" si="482">P4931*2.5</f>
        <v>0</v>
      </c>
    </row>
    <row r="4932" spans="2:23" s="6" customFormat="1" ht="21.95" customHeight="1" x14ac:dyDescent="0.2">
      <c r="B4932" s="6" t="s">
        <v>1597</v>
      </c>
      <c r="C4932" s="6" t="s">
        <v>1442</v>
      </c>
      <c r="D4932" s="6" t="s">
        <v>943</v>
      </c>
      <c r="G4932" s="6">
        <v>150</v>
      </c>
      <c r="H4932" s="6">
        <v>200</v>
      </c>
      <c r="I4932" s="9"/>
      <c r="J4932" s="9"/>
      <c r="K4932" s="9"/>
      <c r="L4932" s="6" t="str">
        <f t="shared" si="481"/>
        <v>1D  LONDON  YATAK  150x200</v>
      </c>
      <c r="M4932" s="12"/>
      <c r="N4932" s="12"/>
      <c r="O4932" s="12"/>
      <c r="R4932" s="33"/>
      <c r="T4932" s="12"/>
      <c r="U4932" s="12"/>
      <c r="V4932" s="12"/>
      <c r="W4932" s="12">
        <f t="shared" si="482"/>
        <v>0</v>
      </c>
    </row>
    <row r="4933" spans="2:23" s="6" customFormat="1" ht="21.95" customHeight="1" x14ac:dyDescent="0.2">
      <c r="B4933" s="6" t="s">
        <v>1597</v>
      </c>
      <c r="C4933" s="6" t="s">
        <v>1442</v>
      </c>
      <c r="D4933" s="6" t="s">
        <v>943</v>
      </c>
      <c r="G4933" s="6">
        <v>160</v>
      </c>
      <c r="H4933" s="6">
        <v>200</v>
      </c>
      <c r="I4933" s="9"/>
      <c r="J4933" s="9"/>
      <c r="K4933" s="9"/>
      <c r="L4933" s="6" t="str">
        <f t="shared" si="481"/>
        <v>1D  LONDON  YATAK  160x200</v>
      </c>
      <c r="M4933" s="12"/>
      <c r="N4933" s="12"/>
      <c r="O4933" s="12"/>
      <c r="R4933" s="33"/>
      <c r="T4933" s="12"/>
      <c r="U4933" s="12"/>
      <c r="V4933" s="12"/>
      <c r="W4933" s="12">
        <f t="shared" si="482"/>
        <v>0</v>
      </c>
    </row>
    <row r="4934" spans="2:23" s="6" customFormat="1" ht="21.95" customHeight="1" x14ac:dyDescent="0.2">
      <c r="B4934" s="6" t="s">
        <v>1597</v>
      </c>
      <c r="C4934" s="6" t="s">
        <v>1442</v>
      </c>
      <c r="D4934" s="6" t="s">
        <v>943</v>
      </c>
      <c r="G4934" s="6">
        <v>180</v>
      </c>
      <c r="H4934" s="6">
        <v>200</v>
      </c>
      <c r="I4934" s="9"/>
      <c r="J4934" s="9"/>
      <c r="K4934" s="9"/>
      <c r="L4934" s="6" t="str">
        <f t="shared" si="481"/>
        <v>1D  LONDON  YATAK  180x200</v>
      </c>
      <c r="M4934" s="12"/>
      <c r="N4934" s="12"/>
      <c r="O4934" s="12"/>
      <c r="R4934" s="33"/>
      <c r="T4934" s="12"/>
      <c r="U4934" s="12"/>
      <c r="V4934" s="12"/>
      <c r="W4934" s="12">
        <f t="shared" si="482"/>
        <v>0</v>
      </c>
    </row>
    <row r="4935" spans="2:23" s="6" customFormat="1" ht="21.95" customHeight="1" x14ac:dyDescent="0.2">
      <c r="B4935" s="6" t="s">
        <v>1597</v>
      </c>
      <c r="C4935" s="6" t="s">
        <v>1442</v>
      </c>
      <c r="D4935" s="6" t="s">
        <v>1380</v>
      </c>
      <c r="I4935" s="9"/>
      <c r="J4935" s="9"/>
      <c r="K4935" s="9"/>
      <c r="L4935" s="6" t="str">
        <f>B4935&amp;" "&amp;C4935&amp;" "&amp;D4935&amp;" "&amp;G4935</f>
        <v xml:space="preserve">1D  LONDON  KOMODİN (2 ADET) </v>
      </c>
      <c r="M4935" s="12"/>
      <c r="N4935" s="12"/>
      <c r="O4935" s="12"/>
      <c r="R4935" s="33"/>
      <c r="T4935" s="12"/>
      <c r="U4935" s="12"/>
      <c r="V4935" s="12"/>
      <c r="W4935" s="12">
        <f t="shared" si="482"/>
        <v>0</v>
      </c>
    </row>
    <row r="4936" spans="2:23" s="6" customFormat="1" ht="21.95" customHeight="1" x14ac:dyDescent="0.2">
      <c r="B4936" s="6" t="s">
        <v>1597</v>
      </c>
      <c r="C4936" s="6" t="s">
        <v>2050</v>
      </c>
      <c r="D4936" s="6" t="s">
        <v>989</v>
      </c>
      <c r="G4936" s="6">
        <v>90</v>
      </c>
      <c r="H4936" s="6">
        <v>190</v>
      </c>
      <c r="I4936" s="9"/>
      <c r="J4936" s="9"/>
      <c r="K4936" s="9"/>
      <c r="L4936" s="6" t="str">
        <f t="shared" ref="L4936:L4983" si="483">B4936&amp;" "&amp;C4936&amp;" "&amp;D4936&amp;" "&amp;G4936&amp;"x"&amp;H4936</f>
        <v>1D  LOUVRE BAZA  90x190</v>
      </c>
      <c r="M4936" s="12"/>
      <c r="N4936" s="12"/>
      <c r="O4936" s="12"/>
      <c r="R4936" s="33"/>
      <c r="T4936" s="12"/>
      <c r="U4936" s="12"/>
      <c r="V4936" s="12"/>
      <c r="W4936" s="12">
        <f t="shared" si="482"/>
        <v>0</v>
      </c>
    </row>
    <row r="4937" spans="2:23" s="6" customFormat="1" ht="21.95" customHeight="1" x14ac:dyDescent="0.2">
      <c r="B4937" s="6" t="s">
        <v>1597</v>
      </c>
      <c r="C4937" s="6" t="s">
        <v>2050</v>
      </c>
      <c r="D4937" s="6" t="s">
        <v>989</v>
      </c>
      <c r="G4937" s="6">
        <v>90</v>
      </c>
      <c r="H4937" s="6">
        <v>200</v>
      </c>
      <c r="I4937" s="9"/>
      <c r="J4937" s="9"/>
      <c r="K4937" s="9"/>
      <c r="L4937" s="6" t="str">
        <f t="shared" si="483"/>
        <v>1D  LOUVRE BAZA  90x200</v>
      </c>
      <c r="M4937" s="12"/>
      <c r="N4937" s="12"/>
      <c r="O4937" s="12"/>
      <c r="R4937" s="33"/>
      <c r="T4937" s="12"/>
      <c r="U4937" s="12"/>
      <c r="V4937" s="12"/>
      <c r="W4937" s="12">
        <f t="shared" si="482"/>
        <v>0</v>
      </c>
    </row>
    <row r="4938" spans="2:23" s="6" customFormat="1" ht="21.95" customHeight="1" x14ac:dyDescent="0.2">
      <c r="B4938" s="6" t="s">
        <v>1597</v>
      </c>
      <c r="C4938" s="6" t="s">
        <v>2050</v>
      </c>
      <c r="D4938" s="6" t="s">
        <v>989</v>
      </c>
      <c r="G4938" s="6">
        <v>100</v>
      </c>
      <c r="H4938" s="6">
        <v>200</v>
      </c>
      <c r="I4938" s="9"/>
      <c r="J4938" s="9"/>
      <c r="K4938" s="9"/>
      <c r="L4938" s="6" t="str">
        <f t="shared" si="483"/>
        <v>1D  LOUVRE BAZA  100x200</v>
      </c>
      <c r="M4938" s="12"/>
      <c r="N4938" s="12"/>
      <c r="O4938" s="12"/>
      <c r="R4938" s="33"/>
      <c r="T4938" s="12"/>
      <c r="U4938" s="12"/>
      <c r="V4938" s="12"/>
      <c r="W4938" s="12">
        <f t="shared" si="482"/>
        <v>0</v>
      </c>
    </row>
    <row r="4939" spans="2:23" s="6" customFormat="1" ht="21.95" customHeight="1" x14ac:dyDescent="0.2">
      <c r="B4939" s="6" t="s">
        <v>1597</v>
      </c>
      <c r="C4939" s="6" t="s">
        <v>2050</v>
      </c>
      <c r="D4939" s="6" t="s">
        <v>989</v>
      </c>
      <c r="G4939" s="6">
        <v>120</v>
      </c>
      <c r="H4939" s="6">
        <v>200</v>
      </c>
      <c r="I4939" s="9"/>
      <c r="J4939" s="9"/>
      <c r="K4939" s="9"/>
      <c r="L4939" s="6" t="str">
        <f t="shared" si="483"/>
        <v>1D  LOUVRE BAZA  120x200</v>
      </c>
      <c r="M4939" s="12"/>
      <c r="N4939" s="12"/>
      <c r="O4939" s="12"/>
      <c r="R4939" s="33"/>
      <c r="T4939" s="12"/>
      <c r="U4939" s="12"/>
      <c r="V4939" s="12"/>
      <c r="W4939" s="12">
        <f t="shared" si="482"/>
        <v>0</v>
      </c>
    </row>
    <row r="4940" spans="2:23" s="6" customFormat="1" ht="21.95" customHeight="1" x14ac:dyDescent="0.2">
      <c r="B4940" s="6" t="s">
        <v>1597</v>
      </c>
      <c r="C4940" s="6" t="s">
        <v>2050</v>
      </c>
      <c r="D4940" s="6" t="s">
        <v>989</v>
      </c>
      <c r="G4940" s="6">
        <v>140</v>
      </c>
      <c r="H4940" s="6">
        <v>200</v>
      </c>
      <c r="I4940" s="9"/>
      <c r="J4940" s="9"/>
      <c r="K4940" s="9"/>
      <c r="L4940" s="6" t="str">
        <f t="shared" si="483"/>
        <v>1D  LOUVRE BAZA  140x200</v>
      </c>
      <c r="M4940" s="12"/>
      <c r="N4940" s="12"/>
      <c r="O4940" s="12"/>
      <c r="R4940" s="33"/>
      <c r="T4940" s="12"/>
      <c r="U4940" s="12"/>
      <c r="V4940" s="12"/>
      <c r="W4940" s="12">
        <f t="shared" si="482"/>
        <v>0</v>
      </c>
    </row>
    <row r="4941" spans="2:23" s="6" customFormat="1" ht="21.95" customHeight="1" x14ac:dyDescent="0.2">
      <c r="B4941" s="6" t="s">
        <v>1597</v>
      </c>
      <c r="C4941" s="6" t="s">
        <v>2050</v>
      </c>
      <c r="D4941" s="6" t="s">
        <v>989</v>
      </c>
      <c r="G4941" s="6">
        <v>150</v>
      </c>
      <c r="H4941" s="6">
        <v>200</v>
      </c>
      <c r="I4941" s="9"/>
      <c r="J4941" s="9"/>
      <c r="K4941" s="9"/>
      <c r="L4941" s="6" t="str">
        <f t="shared" si="483"/>
        <v>1D  LOUVRE BAZA  150x200</v>
      </c>
      <c r="M4941" s="12"/>
      <c r="N4941" s="12"/>
      <c r="O4941" s="12"/>
      <c r="R4941" s="33"/>
      <c r="T4941" s="12"/>
      <c r="U4941" s="12"/>
      <c r="V4941" s="12"/>
      <c r="W4941" s="12">
        <f t="shared" si="482"/>
        <v>0</v>
      </c>
    </row>
    <row r="4942" spans="2:23" s="6" customFormat="1" ht="21.95" customHeight="1" x14ac:dyDescent="0.2">
      <c r="B4942" s="6" t="s">
        <v>1597</v>
      </c>
      <c r="C4942" s="6" t="s">
        <v>2050</v>
      </c>
      <c r="D4942" s="6" t="s">
        <v>989</v>
      </c>
      <c r="G4942" s="6">
        <v>160</v>
      </c>
      <c r="H4942" s="6">
        <v>200</v>
      </c>
      <c r="I4942" s="9"/>
      <c r="J4942" s="9"/>
      <c r="K4942" s="9"/>
      <c r="L4942" s="6" t="str">
        <f t="shared" si="483"/>
        <v>1D  LOUVRE BAZA  160x200</v>
      </c>
      <c r="M4942" s="12"/>
      <c r="N4942" s="12"/>
      <c r="O4942" s="12"/>
      <c r="R4942" s="33"/>
      <c r="T4942" s="12"/>
      <c r="U4942" s="12"/>
      <c r="V4942" s="12"/>
      <c r="W4942" s="12">
        <f t="shared" si="482"/>
        <v>0</v>
      </c>
    </row>
    <row r="4943" spans="2:23" s="6" customFormat="1" ht="21.95" customHeight="1" x14ac:dyDescent="0.2">
      <c r="B4943" s="6" t="s">
        <v>1597</v>
      </c>
      <c r="C4943" s="6" t="s">
        <v>2050</v>
      </c>
      <c r="D4943" s="6" t="s">
        <v>989</v>
      </c>
      <c r="G4943" s="6">
        <v>180</v>
      </c>
      <c r="H4943" s="6">
        <v>200</v>
      </c>
      <c r="I4943" s="9"/>
      <c r="J4943" s="9"/>
      <c r="K4943" s="9"/>
      <c r="L4943" s="6" t="str">
        <f t="shared" si="483"/>
        <v>1D  LOUVRE BAZA  180x200</v>
      </c>
      <c r="M4943" s="12"/>
      <c r="N4943" s="12"/>
      <c r="O4943" s="12"/>
      <c r="R4943" s="33"/>
      <c r="T4943" s="12"/>
      <c r="U4943" s="12"/>
      <c r="V4943" s="12"/>
      <c r="W4943" s="12">
        <f t="shared" si="482"/>
        <v>0</v>
      </c>
    </row>
    <row r="4944" spans="2:23" s="6" customFormat="1" ht="21.95" customHeight="1" x14ac:dyDescent="0.2">
      <c r="B4944" s="6" t="s">
        <v>1597</v>
      </c>
      <c r="C4944" s="6" t="s">
        <v>2050</v>
      </c>
      <c r="D4944" s="6" t="s">
        <v>1003</v>
      </c>
      <c r="G4944" s="6">
        <v>90</v>
      </c>
      <c r="H4944" s="6">
        <v>190</v>
      </c>
      <c r="I4944" s="9"/>
      <c r="J4944" s="9"/>
      <c r="K4944" s="9"/>
      <c r="L4944" s="6" t="str">
        <f t="shared" si="483"/>
        <v>1D  LOUVRE BAŞLIK  90x190</v>
      </c>
      <c r="M4944" s="12"/>
      <c r="N4944" s="12"/>
      <c r="O4944" s="12"/>
      <c r="R4944" s="33"/>
      <c r="T4944" s="12"/>
      <c r="U4944" s="12"/>
      <c r="V4944" s="12"/>
      <c r="W4944" s="12">
        <f t="shared" si="482"/>
        <v>0</v>
      </c>
    </row>
    <row r="4945" spans="2:23" s="6" customFormat="1" ht="21.95" customHeight="1" x14ac:dyDescent="0.2">
      <c r="B4945" s="6" t="s">
        <v>1597</v>
      </c>
      <c r="C4945" s="6" t="s">
        <v>2050</v>
      </c>
      <c r="D4945" s="6" t="s">
        <v>1003</v>
      </c>
      <c r="G4945" s="6">
        <v>90</v>
      </c>
      <c r="H4945" s="6">
        <v>200</v>
      </c>
      <c r="I4945" s="9"/>
      <c r="J4945" s="9"/>
      <c r="K4945" s="9"/>
      <c r="L4945" s="6" t="str">
        <f t="shared" si="483"/>
        <v>1D  LOUVRE BAŞLIK  90x200</v>
      </c>
      <c r="M4945" s="12"/>
      <c r="N4945" s="12"/>
      <c r="O4945" s="12"/>
      <c r="R4945" s="33"/>
      <c r="T4945" s="12"/>
      <c r="U4945" s="12"/>
      <c r="V4945" s="12"/>
      <c r="W4945" s="12">
        <f t="shared" si="482"/>
        <v>0</v>
      </c>
    </row>
    <row r="4946" spans="2:23" s="6" customFormat="1" ht="21.95" customHeight="1" x14ac:dyDescent="0.2">
      <c r="B4946" s="6" t="s">
        <v>1597</v>
      </c>
      <c r="C4946" s="6" t="s">
        <v>2050</v>
      </c>
      <c r="D4946" s="6" t="s">
        <v>1003</v>
      </c>
      <c r="G4946" s="6">
        <v>100</v>
      </c>
      <c r="H4946" s="6">
        <v>200</v>
      </c>
      <c r="I4946" s="9"/>
      <c r="J4946" s="9"/>
      <c r="K4946" s="9"/>
      <c r="L4946" s="6" t="str">
        <f t="shared" si="483"/>
        <v>1D  LOUVRE BAŞLIK  100x200</v>
      </c>
      <c r="M4946" s="12"/>
      <c r="N4946" s="12"/>
      <c r="O4946" s="12"/>
      <c r="R4946" s="33"/>
      <c r="T4946" s="12"/>
      <c r="U4946" s="12"/>
      <c r="V4946" s="12"/>
      <c r="W4946" s="12">
        <f t="shared" si="482"/>
        <v>0</v>
      </c>
    </row>
    <row r="4947" spans="2:23" s="6" customFormat="1" ht="21.95" customHeight="1" x14ac:dyDescent="0.2">
      <c r="B4947" s="6" t="s">
        <v>1597</v>
      </c>
      <c r="C4947" s="6" t="s">
        <v>2050</v>
      </c>
      <c r="D4947" s="6" t="s">
        <v>1003</v>
      </c>
      <c r="G4947" s="6">
        <v>120</v>
      </c>
      <c r="H4947" s="6">
        <v>200</v>
      </c>
      <c r="I4947" s="9"/>
      <c r="J4947" s="9"/>
      <c r="K4947" s="9"/>
      <c r="L4947" s="6" t="str">
        <f t="shared" si="483"/>
        <v>1D  LOUVRE BAŞLIK  120x200</v>
      </c>
      <c r="M4947" s="12"/>
      <c r="N4947" s="12"/>
      <c r="O4947" s="12"/>
      <c r="R4947" s="33"/>
      <c r="T4947" s="12"/>
      <c r="U4947" s="12"/>
      <c r="V4947" s="12"/>
      <c r="W4947" s="12">
        <f t="shared" si="482"/>
        <v>0</v>
      </c>
    </row>
    <row r="4948" spans="2:23" s="6" customFormat="1" ht="21.95" customHeight="1" x14ac:dyDescent="0.2">
      <c r="B4948" s="6" t="s">
        <v>1597</v>
      </c>
      <c r="C4948" s="6" t="s">
        <v>2050</v>
      </c>
      <c r="D4948" s="6" t="s">
        <v>1003</v>
      </c>
      <c r="G4948" s="6">
        <v>140</v>
      </c>
      <c r="H4948" s="6">
        <v>200</v>
      </c>
      <c r="I4948" s="9"/>
      <c r="J4948" s="9"/>
      <c r="K4948" s="9"/>
      <c r="L4948" s="6" t="str">
        <f t="shared" si="483"/>
        <v>1D  LOUVRE BAŞLIK  140x200</v>
      </c>
      <c r="M4948" s="12"/>
      <c r="N4948" s="12"/>
      <c r="O4948" s="12"/>
      <c r="R4948" s="33"/>
      <c r="T4948" s="12"/>
      <c r="U4948" s="12"/>
      <c r="V4948" s="12"/>
      <c r="W4948" s="12">
        <f t="shared" si="482"/>
        <v>0</v>
      </c>
    </row>
    <row r="4949" spans="2:23" s="6" customFormat="1" ht="21.95" customHeight="1" x14ac:dyDescent="0.2">
      <c r="B4949" s="6" t="s">
        <v>1597</v>
      </c>
      <c r="C4949" s="6" t="s">
        <v>2050</v>
      </c>
      <c r="D4949" s="6" t="s">
        <v>1003</v>
      </c>
      <c r="G4949" s="6">
        <v>150</v>
      </c>
      <c r="H4949" s="6">
        <v>200</v>
      </c>
      <c r="I4949" s="9"/>
      <c r="J4949" s="9"/>
      <c r="K4949" s="9"/>
      <c r="L4949" s="6" t="str">
        <f t="shared" si="483"/>
        <v>1D  LOUVRE BAŞLIK  150x200</v>
      </c>
      <c r="M4949" s="12"/>
      <c r="N4949" s="12"/>
      <c r="O4949" s="12"/>
      <c r="R4949" s="33"/>
      <c r="T4949" s="12"/>
      <c r="U4949" s="12"/>
      <c r="V4949" s="12"/>
      <c r="W4949" s="12">
        <f t="shared" si="482"/>
        <v>0</v>
      </c>
    </row>
    <row r="4950" spans="2:23" s="6" customFormat="1" ht="21.95" customHeight="1" x14ac:dyDescent="0.2">
      <c r="B4950" s="6" t="s">
        <v>1597</v>
      </c>
      <c r="C4950" s="6" t="s">
        <v>2050</v>
      </c>
      <c r="D4950" s="6" t="s">
        <v>1003</v>
      </c>
      <c r="G4950" s="6">
        <v>160</v>
      </c>
      <c r="H4950" s="6">
        <v>200</v>
      </c>
      <c r="I4950" s="9"/>
      <c r="J4950" s="9"/>
      <c r="K4950" s="9"/>
      <c r="L4950" s="6" t="str">
        <f t="shared" si="483"/>
        <v>1D  LOUVRE BAŞLIK  160x200</v>
      </c>
      <c r="M4950" s="12"/>
      <c r="N4950" s="12"/>
      <c r="O4950" s="12"/>
      <c r="R4950" s="33"/>
      <c r="T4950" s="12"/>
      <c r="U4950" s="12"/>
      <c r="V4950" s="12"/>
      <c r="W4950" s="12">
        <f t="shared" si="482"/>
        <v>0</v>
      </c>
    </row>
    <row r="4951" spans="2:23" s="6" customFormat="1" ht="21.95" customHeight="1" x14ac:dyDescent="0.2">
      <c r="B4951" s="6" t="s">
        <v>1597</v>
      </c>
      <c r="C4951" s="6" t="s">
        <v>2050</v>
      </c>
      <c r="D4951" s="6" t="s">
        <v>1003</v>
      </c>
      <c r="G4951" s="6">
        <v>180</v>
      </c>
      <c r="H4951" s="6">
        <v>200</v>
      </c>
      <c r="I4951" s="9"/>
      <c r="J4951" s="9"/>
      <c r="K4951" s="9"/>
      <c r="L4951" s="6" t="str">
        <f t="shared" si="483"/>
        <v>1D  LOUVRE BAŞLIK  180x200</v>
      </c>
      <c r="M4951" s="12"/>
      <c r="N4951" s="12"/>
      <c r="O4951" s="12"/>
      <c r="R4951" s="33"/>
      <c r="T4951" s="12"/>
      <c r="U4951" s="12"/>
      <c r="V4951" s="12"/>
      <c r="W4951" s="12">
        <f t="shared" si="482"/>
        <v>0</v>
      </c>
    </row>
    <row r="4952" spans="2:23" s="6" customFormat="1" ht="21.95" customHeight="1" x14ac:dyDescent="0.2">
      <c r="B4952" s="6" t="s">
        <v>1597</v>
      </c>
      <c r="C4952" s="6" t="s">
        <v>2050</v>
      </c>
      <c r="D4952" s="6" t="s">
        <v>943</v>
      </c>
      <c r="G4952" s="6">
        <v>90</v>
      </c>
      <c r="H4952" s="6">
        <v>190</v>
      </c>
      <c r="I4952" s="9"/>
      <c r="J4952" s="9"/>
      <c r="K4952" s="9"/>
      <c r="L4952" s="6" t="str">
        <f t="shared" si="483"/>
        <v>1D  LOUVRE YATAK  90x190</v>
      </c>
      <c r="M4952" s="12"/>
      <c r="N4952" s="12"/>
      <c r="O4952" s="12"/>
      <c r="R4952" s="33"/>
      <c r="T4952" s="12"/>
      <c r="U4952" s="12"/>
      <c r="V4952" s="12"/>
      <c r="W4952" s="12">
        <f t="shared" si="482"/>
        <v>0</v>
      </c>
    </row>
    <row r="4953" spans="2:23" s="6" customFormat="1" ht="21.95" customHeight="1" x14ac:dyDescent="0.2">
      <c r="B4953" s="6" t="s">
        <v>1597</v>
      </c>
      <c r="C4953" s="6" t="s">
        <v>2050</v>
      </c>
      <c r="D4953" s="6" t="s">
        <v>943</v>
      </c>
      <c r="G4953" s="6">
        <v>90</v>
      </c>
      <c r="H4953" s="6">
        <v>200</v>
      </c>
      <c r="I4953" s="9"/>
      <c r="J4953" s="9"/>
      <c r="K4953" s="9"/>
      <c r="L4953" s="6" t="str">
        <f t="shared" si="483"/>
        <v>1D  LOUVRE YATAK  90x200</v>
      </c>
      <c r="M4953" s="12"/>
      <c r="N4953" s="12"/>
      <c r="O4953" s="12"/>
      <c r="R4953" s="33"/>
      <c r="T4953" s="12"/>
      <c r="U4953" s="12"/>
      <c r="V4953" s="12"/>
      <c r="W4953" s="12">
        <f t="shared" si="482"/>
        <v>0</v>
      </c>
    </row>
    <row r="4954" spans="2:23" s="6" customFormat="1" ht="21.95" customHeight="1" x14ac:dyDescent="0.2">
      <c r="B4954" s="6" t="s">
        <v>1597</v>
      </c>
      <c r="C4954" s="6" t="s">
        <v>2050</v>
      </c>
      <c r="D4954" s="6" t="s">
        <v>943</v>
      </c>
      <c r="G4954" s="6">
        <v>100</v>
      </c>
      <c r="H4954" s="6">
        <v>200</v>
      </c>
      <c r="I4954" s="9"/>
      <c r="J4954" s="9"/>
      <c r="K4954" s="9"/>
      <c r="L4954" s="6" t="str">
        <f t="shared" si="483"/>
        <v>1D  LOUVRE YATAK  100x200</v>
      </c>
      <c r="M4954" s="12"/>
      <c r="N4954" s="12"/>
      <c r="O4954" s="12"/>
      <c r="R4954" s="33"/>
      <c r="T4954" s="12"/>
      <c r="U4954" s="12"/>
      <c r="V4954" s="12"/>
      <c r="W4954" s="12">
        <f t="shared" si="482"/>
        <v>0</v>
      </c>
    </row>
    <row r="4955" spans="2:23" s="6" customFormat="1" ht="21.95" customHeight="1" x14ac:dyDescent="0.2">
      <c r="B4955" s="6" t="s">
        <v>1597</v>
      </c>
      <c r="C4955" s="6" t="s">
        <v>2050</v>
      </c>
      <c r="D4955" s="6" t="s">
        <v>943</v>
      </c>
      <c r="G4955" s="6">
        <v>120</v>
      </c>
      <c r="H4955" s="6">
        <v>200</v>
      </c>
      <c r="I4955" s="9"/>
      <c r="J4955" s="9"/>
      <c r="K4955" s="9"/>
      <c r="L4955" s="6" t="str">
        <f t="shared" si="483"/>
        <v>1D  LOUVRE YATAK  120x200</v>
      </c>
      <c r="M4955" s="12"/>
      <c r="N4955" s="12"/>
      <c r="O4955" s="12"/>
      <c r="R4955" s="33"/>
      <c r="T4955" s="12"/>
      <c r="U4955" s="12"/>
      <c r="V4955" s="12"/>
      <c r="W4955" s="12">
        <f t="shared" si="482"/>
        <v>0</v>
      </c>
    </row>
    <row r="4956" spans="2:23" s="6" customFormat="1" ht="21.95" customHeight="1" x14ac:dyDescent="0.2">
      <c r="B4956" s="6" t="s">
        <v>1597</v>
      </c>
      <c r="C4956" s="6" t="s">
        <v>2050</v>
      </c>
      <c r="D4956" s="6" t="s">
        <v>943</v>
      </c>
      <c r="G4956" s="6">
        <v>140</v>
      </c>
      <c r="H4956" s="6">
        <v>200</v>
      </c>
      <c r="I4956" s="9"/>
      <c r="J4956" s="9"/>
      <c r="K4956" s="9"/>
      <c r="L4956" s="6" t="str">
        <f t="shared" si="483"/>
        <v>1D  LOUVRE YATAK  140x200</v>
      </c>
      <c r="M4956" s="12"/>
      <c r="N4956" s="12"/>
      <c r="O4956" s="12"/>
      <c r="R4956" s="33"/>
      <c r="T4956" s="12"/>
      <c r="U4956" s="12"/>
      <c r="V4956" s="12"/>
      <c r="W4956" s="12">
        <f t="shared" si="482"/>
        <v>0</v>
      </c>
    </row>
    <row r="4957" spans="2:23" s="6" customFormat="1" ht="21.95" customHeight="1" x14ac:dyDescent="0.2">
      <c r="B4957" s="6" t="s">
        <v>1597</v>
      </c>
      <c r="C4957" s="6" t="s">
        <v>2050</v>
      </c>
      <c r="D4957" s="6" t="s">
        <v>943</v>
      </c>
      <c r="G4957" s="6">
        <v>150</v>
      </c>
      <c r="H4957" s="6">
        <v>200</v>
      </c>
      <c r="I4957" s="9"/>
      <c r="J4957" s="9"/>
      <c r="K4957" s="9"/>
      <c r="L4957" s="6" t="str">
        <f t="shared" si="483"/>
        <v>1D  LOUVRE YATAK  150x200</v>
      </c>
      <c r="M4957" s="12"/>
      <c r="N4957" s="12"/>
      <c r="O4957" s="12"/>
      <c r="R4957" s="33"/>
      <c r="T4957" s="12"/>
      <c r="U4957" s="12"/>
      <c r="V4957" s="12"/>
      <c r="W4957" s="12">
        <f t="shared" si="482"/>
        <v>0</v>
      </c>
    </row>
    <row r="4958" spans="2:23" s="6" customFormat="1" ht="21.95" customHeight="1" x14ac:dyDescent="0.2">
      <c r="B4958" s="6" t="s">
        <v>1597</v>
      </c>
      <c r="C4958" s="6" t="s">
        <v>2050</v>
      </c>
      <c r="D4958" s="6" t="s">
        <v>943</v>
      </c>
      <c r="G4958" s="6">
        <v>160</v>
      </c>
      <c r="H4958" s="6">
        <v>200</v>
      </c>
      <c r="I4958" s="9"/>
      <c r="J4958" s="9"/>
      <c r="K4958" s="9"/>
      <c r="L4958" s="6" t="str">
        <f t="shared" si="483"/>
        <v>1D  LOUVRE YATAK  160x200</v>
      </c>
      <c r="M4958" s="12"/>
      <c r="N4958" s="12"/>
      <c r="O4958" s="12"/>
      <c r="R4958" s="33"/>
      <c r="T4958" s="12"/>
      <c r="U4958" s="12"/>
      <c r="V4958" s="12"/>
      <c r="W4958" s="12">
        <f t="shared" si="482"/>
        <v>0</v>
      </c>
    </row>
    <row r="4959" spans="2:23" s="6" customFormat="1" ht="21.95" customHeight="1" x14ac:dyDescent="0.2">
      <c r="B4959" s="6" t="s">
        <v>1597</v>
      </c>
      <c r="C4959" s="6" t="s">
        <v>2050</v>
      </c>
      <c r="D4959" s="6" t="s">
        <v>943</v>
      </c>
      <c r="G4959" s="6">
        <v>180</v>
      </c>
      <c r="H4959" s="6">
        <v>200</v>
      </c>
      <c r="I4959" s="9"/>
      <c r="J4959" s="9"/>
      <c r="K4959" s="9"/>
      <c r="L4959" s="6" t="str">
        <f t="shared" si="483"/>
        <v>1D  LOUVRE YATAK  180x200</v>
      </c>
      <c r="M4959" s="12"/>
      <c r="N4959" s="12"/>
      <c r="O4959" s="12"/>
      <c r="R4959" s="33"/>
      <c r="T4959" s="12"/>
      <c r="U4959" s="12"/>
      <c r="V4959" s="12"/>
      <c r="W4959" s="12">
        <f t="shared" si="482"/>
        <v>0</v>
      </c>
    </row>
    <row r="4960" spans="2:23" s="6" customFormat="1" ht="21.95" customHeight="1" x14ac:dyDescent="0.2">
      <c r="B4960" s="6" t="s">
        <v>1597</v>
      </c>
      <c r="C4960" s="6" t="s">
        <v>2051</v>
      </c>
      <c r="D4960" s="6" t="s">
        <v>989</v>
      </c>
      <c r="G4960" s="6">
        <v>90</v>
      </c>
      <c r="H4960" s="6">
        <v>190</v>
      </c>
      <c r="I4960" s="9"/>
      <c r="J4960" s="9"/>
      <c r="K4960" s="9"/>
      <c r="L4960" s="6" t="str">
        <f t="shared" si="483"/>
        <v>1D  MAGNUM  BAZA  90x190</v>
      </c>
      <c r="M4960" s="12"/>
      <c r="N4960" s="12"/>
      <c r="O4960" s="12"/>
      <c r="R4960" s="33"/>
      <c r="T4960" s="12"/>
      <c r="U4960" s="12"/>
      <c r="V4960" s="12"/>
      <c r="W4960" s="12">
        <f t="shared" si="482"/>
        <v>0</v>
      </c>
    </row>
    <row r="4961" spans="2:23" s="6" customFormat="1" ht="21.95" customHeight="1" x14ac:dyDescent="0.2">
      <c r="B4961" s="6" t="s">
        <v>1597</v>
      </c>
      <c r="C4961" s="6" t="s">
        <v>2051</v>
      </c>
      <c r="D4961" s="6" t="s">
        <v>989</v>
      </c>
      <c r="G4961" s="6">
        <v>90</v>
      </c>
      <c r="H4961" s="6">
        <v>200</v>
      </c>
      <c r="I4961" s="9"/>
      <c r="J4961" s="9"/>
      <c r="K4961" s="9"/>
      <c r="L4961" s="6" t="str">
        <f t="shared" si="483"/>
        <v>1D  MAGNUM  BAZA  90x200</v>
      </c>
      <c r="M4961" s="12"/>
      <c r="N4961" s="12"/>
      <c r="O4961" s="12"/>
      <c r="R4961" s="33"/>
      <c r="T4961" s="12"/>
      <c r="U4961" s="12"/>
      <c r="V4961" s="12"/>
      <c r="W4961" s="12">
        <f t="shared" si="482"/>
        <v>0</v>
      </c>
    </row>
    <row r="4962" spans="2:23" s="6" customFormat="1" ht="21.95" customHeight="1" x14ac:dyDescent="0.2">
      <c r="B4962" s="6" t="s">
        <v>1597</v>
      </c>
      <c r="C4962" s="6" t="s">
        <v>2051</v>
      </c>
      <c r="D4962" s="6" t="s">
        <v>989</v>
      </c>
      <c r="G4962" s="6">
        <v>100</v>
      </c>
      <c r="H4962" s="6">
        <v>200</v>
      </c>
      <c r="I4962" s="9"/>
      <c r="J4962" s="9"/>
      <c r="K4962" s="9"/>
      <c r="L4962" s="6" t="str">
        <f t="shared" si="483"/>
        <v>1D  MAGNUM  BAZA  100x200</v>
      </c>
      <c r="M4962" s="12"/>
      <c r="N4962" s="12"/>
      <c r="O4962" s="12"/>
      <c r="R4962" s="33"/>
      <c r="T4962" s="12"/>
      <c r="U4962" s="12"/>
      <c r="V4962" s="12"/>
      <c r="W4962" s="12">
        <f t="shared" si="482"/>
        <v>0</v>
      </c>
    </row>
    <row r="4963" spans="2:23" s="6" customFormat="1" ht="21.95" customHeight="1" x14ac:dyDescent="0.2">
      <c r="B4963" s="6" t="s">
        <v>1597</v>
      </c>
      <c r="C4963" s="6" t="s">
        <v>2051</v>
      </c>
      <c r="D4963" s="6" t="s">
        <v>989</v>
      </c>
      <c r="G4963" s="6">
        <v>120</v>
      </c>
      <c r="H4963" s="6">
        <v>200</v>
      </c>
      <c r="I4963" s="9"/>
      <c r="J4963" s="9"/>
      <c r="K4963" s="9"/>
      <c r="L4963" s="6" t="str">
        <f t="shared" si="483"/>
        <v>1D  MAGNUM  BAZA  120x200</v>
      </c>
      <c r="M4963" s="12"/>
      <c r="N4963" s="12"/>
      <c r="O4963" s="12"/>
      <c r="R4963" s="33"/>
      <c r="T4963" s="12"/>
      <c r="U4963" s="12"/>
      <c r="V4963" s="12"/>
      <c r="W4963" s="12">
        <f t="shared" ref="W4963:W4994" si="484">P4963*2.5</f>
        <v>0</v>
      </c>
    </row>
    <row r="4964" spans="2:23" s="6" customFormat="1" ht="21.95" customHeight="1" x14ac:dyDescent="0.2">
      <c r="B4964" s="6" t="s">
        <v>1597</v>
      </c>
      <c r="C4964" s="6" t="s">
        <v>2051</v>
      </c>
      <c r="D4964" s="6" t="s">
        <v>989</v>
      </c>
      <c r="G4964" s="6">
        <v>140</v>
      </c>
      <c r="H4964" s="6">
        <v>200</v>
      </c>
      <c r="I4964" s="9"/>
      <c r="J4964" s="9"/>
      <c r="K4964" s="9"/>
      <c r="L4964" s="6" t="str">
        <f t="shared" si="483"/>
        <v>1D  MAGNUM  BAZA  140x200</v>
      </c>
      <c r="M4964" s="12"/>
      <c r="N4964" s="12"/>
      <c r="O4964" s="12"/>
      <c r="R4964" s="33"/>
      <c r="T4964" s="12"/>
      <c r="U4964" s="12"/>
      <c r="V4964" s="12"/>
      <c r="W4964" s="12">
        <f t="shared" si="484"/>
        <v>0</v>
      </c>
    </row>
    <row r="4965" spans="2:23" s="6" customFormat="1" ht="21.95" customHeight="1" x14ac:dyDescent="0.2">
      <c r="B4965" s="6" t="s">
        <v>1597</v>
      </c>
      <c r="C4965" s="6" t="s">
        <v>2051</v>
      </c>
      <c r="D4965" s="6" t="s">
        <v>989</v>
      </c>
      <c r="G4965" s="6">
        <v>150</v>
      </c>
      <c r="H4965" s="6">
        <v>200</v>
      </c>
      <c r="I4965" s="9"/>
      <c r="J4965" s="9"/>
      <c r="K4965" s="9"/>
      <c r="L4965" s="6" t="str">
        <f t="shared" si="483"/>
        <v>1D  MAGNUM  BAZA  150x200</v>
      </c>
      <c r="M4965" s="12"/>
      <c r="N4965" s="12"/>
      <c r="O4965" s="12"/>
      <c r="R4965" s="33"/>
      <c r="T4965" s="12"/>
      <c r="U4965" s="12"/>
      <c r="V4965" s="12"/>
      <c r="W4965" s="12">
        <f t="shared" si="484"/>
        <v>0</v>
      </c>
    </row>
    <row r="4966" spans="2:23" s="6" customFormat="1" ht="21.95" customHeight="1" x14ac:dyDescent="0.2">
      <c r="B4966" s="6" t="s">
        <v>1597</v>
      </c>
      <c r="C4966" s="6" t="s">
        <v>2051</v>
      </c>
      <c r="D4966" s="6" t="s">
        <v>989</v>
      </c>
      <c r="G4966" s="6">
        <v>160</v>
      </c>
      <c r="H4966" s="6">
        <v>200</v>
      </c>
      <c r="I4966" s="9"/>
      <c r="J4966" s="9"/>
      <c r="K4966" s="9"/>
      <c r="L4966" s="6" t="str">
        <f t="shared" si="483"/>
        <v>1D  MAGNUM  BAZA  160x200</v>
      </c>
      <c r="M4966" s="12"/>
      <c r="N4966" s="12"/>
      <c r="O4966" s="12"/>
      <c r="R4966" s="33"/>
      <c r="T4966" s="12"/>
      <c r="U4966" s="12"/>
      <c r="V4966" s="12"/>
      <c r="W4966" s="12">
        <f t="shared" si="484"/>
        <v>0</v>
      </c>
    </row>
    <row r="4967" spans="2:23" s="6" customFormat="1" ht="21.95" customHeight="1" x14ac:dyDescent="0.2">
      <c r="B4967" s="6" t="s">
        <v>1597</v>
      </c>
      <c r="C4967" s="6" t="s">
        <v>2051</v>
      </c>
      <c r="D4967" s="6" t="s">
        <v>989</v>
      </c>
      <c r="G4967" s="6">
        <v>180</v>
      </c>
      <c r="H4967" s="6">
        <v>200</v>
      </c>
      <c r="I4967" s="9"/>
      <c r="J4967" s="9"/>
      <c r="K4967" s="9"/>
      <c r="L4967" s="6" t="str">
        <f t="shared" si="483"/>
        <v>1D  MAGNUM  BAZA  180x200</v>
      </c>
      <c r="M4967" s="12"/>
      <c r="N4967" s="12"/>
      <c r="O4967" s="12"/>
      <c r="R4967" s="33"/>
      <c r="T4967" s="12"/>
      <c r="U4967" s="12"/>
      <c r="V4967" s="12"/>
      <c r="W4967" s="12">
        <f t="shared" si="484"/>
        <v>0</v>
      </c>
    </row>
    <row r="4968" spans="2:23" s="6" customFormat="1" ht="21.95" customHeight="1" x14ac:dyDescent="0.2">
      <c r="B4968" s="6" t="s">
        <v>1597</v>
      </c>
      <c r="C4968" s="6" t="s">
        <v>2051</v>
      </c>
      <c r="D4968" s="6" t="s">
        <v>1003</v>
      </c>
      <c r="G4968" s="6">
        <v>90</v>
      </c>
      <c r="H4968" s="6">
        <v>190</v>
      </c>
      <c r="I4968" s="9"/>
      <c r="J4968" s="9"/>
      <c r="K4968" s="9"/>
      <c r="L4968" s="6" t="str">
        <f t="shared" si="483"/>
        <v>1D  MAGNUM  BAŞLIK  90x190</v>
      </c>
      <c r="M4968" s="12"/>
      <c r="N4968" s="12"/>
      <c r="O4968" s="12"/>
      <c r="R4968" s="33"/>
      <c r="T4968" s="12"/>
      <c r="U4968" s="12"/>
      <c r="V4968" s="12"/>
      <c r="W4968" s="12">
        <f t="shared" si="484"/>
        <v>0</v>
      </c>
    </row>
    <row r="4969" spans="2:23" s="6" customFormat="1" ht="21.95" customHeight="1" x14ac:dyDescent="0.2">
      <c r="B4969" s="6" t="s">
        <v>1597</v>
      </c>
      <c r="C4969" s="6" t="s">
        <v>2051</v>
      </c>
      <c r="D4969" s="6" t="s">
        <v>1003</v>
      </c>
      <c r="G4969" s="6">
        <v>90</v>
      </c>
      <c r="H4969" s="6">
        <v>200</v>
      </c>
      <c r="I4969" s="9"/>
      <c r="J4969" s="9"/>
      <c r="K4969" s="9"/>
      <c r="L4969" s="6" t="str">
        <f t="shared" si="483"/>
        <v>1D  MAGNUM  BAŞLIK  90x200</v>
      </c>
      <c r="M4969" s="12"/>
      <c r="N4969" s="12"/>
      <c r="O4969" s="12"/>
      <c r="R4969" s="33"/>
      <c r="T4969" s="12"/>
      <c r="U4969" s="12"/>
      <c r="V4969" s="12"/>
      <c r="W4969" s="12">
        <f t="shared" si="484"/>
        <v>0</v>
      </c>
    </row>
    <row r="4970" spans="2:23" s="6" customFormat="1" ht="21.95" customHeight="1" x14ac:dyDescent="0.2">
      <c r="B4970" s="6" t="s">
        <v>1597</v>
      </c>
      <c r="C4970" s="6" t="s">
        <v>2051</v>
      </c>
      <c r="D4970" s="6" t="s">
        <v>1003</v>
      </c>
      <c r="G4970" s="6">
        <v>100</v>
      </c>
      <c r="H4970" s="6">
        <v>200</v>
      </c>
      <c r="I4970" s="9"/>
      <c r="J4970" s="9"/>
      <c r="K4970" s="9"/>
      <c r="L4970" s="6" t="str">
        <f t="shared" si="483"/>
        <v>1D  MAGNUM  BAŞLIK  100x200</v>
      </c>
      <c r="M4970" s="12"/>
      <c r="N4970" s="12"/>
      <c r="O4970" s="12"/>
      <c r="R4970" s="33"/>
      <c r="T4970" s="12"/>
      <c r="U4970" s="12"/>
      <c r="V4970" s="12"/>
      <c r="W4970" s="12">
        <f t="shared" si="484"/>
        <v>0</v>
      </c>
    </row>
    <row r="4971" spans="2:23" s="6" customFormat="1" ht="21.95" customHeight="1" x14ac:dyDescent="0.2">
      <c r="B4971" s="6" t="s">
        <v>1597</v>
      </c>
      <c r="C4971" s="6" t="s">
        <v>2051</v>
      </c>
      <c r="D4971" s="6" t="s">
        <v>1003</v>
      </c>
      <c r="G4971" s="6">
        <v>120</v>
      </c>
      <c r="H4971" s="6">
        <v>200</v>
      </c>
      <c r="I4971" s="9"/>
      <c r="J4971" s="9"/>
      <c r="K4971" s="9"/>
      <c r="L4971" s="6" t="str">
        <f t="shared" si="483"/>
        <v>1D  MAGNUM  BAŞLIK  120x200</v>
      </c>
      <c r="M4971" s="12"/>
      <c r="N4971" s="12"/>
      <c r="O4971" s="12"/>
      <c r="R4971" s="33"/>
      <c r="T4971" s="12"/>
      <c r="U4971" s="12"/>
      <c r="V4971" s="12"/>
      <c r="W4971" s="12">
        <f t="shared" si="484"/>
        <v>0</v>
      </c>
    </row>
    <row r="4972" spans="2:23" s="6" customFormat="1" ht="21.95" customHeight="1" x14ac:dyDescent="0.2">
      <c r="B4972" s="6" t="s">
        <v>1597</v>
      </c>
      <c r="C4972" s="6" t="s">
        <v>2051</v>
      </c>
      <c r="D4972" s="6" t="s">
        <v>1003</v>
      </c>
      <c r="G4972" s="6">
        <v>140</v>
      </c>
      <c r="H4972" s="6">
        <v>200</v>
      </c>
      <c r="I4972" s="9"/>
      <c r="J4972" s="9"/>
      <c r="K4972" s="9"/>
      <c r="L4972" s="6" t="str">
        <f t="shared" si="483"/>
        <v>1D  MAGNUM  BAŞLIK  140x200</v>
      </c>
      <c r="M4972" s="12"/>
      <c r="N4972" s="12"/>
      <c r="O4972" s="12"/>
      <c r="R4972" s="33"/>
      <c r="T4972" s="12"/>
      <c r="U4972" s="12"/>
      <c r="V4972" s="12"/>
      <c r="W4972" s="12">
        <f t="shared" si="484"/>
        <v>0</v>
      </c>
    </row>
    <row r="4973" spans="2:23" s="6" customFormat="1" ht="21.95" customHeight="1" x14ac:dyDescent="0.2">
      <c r="B4973" s="6" t="s">
        <v>1597</v>
      </c>
      <c r="C4973" s="6" t="s">
        <v>2051</v>
      </c>
      <c r="D4973" s="6" t="s">
        <v>1003</v>
      </c>
      <c r="G4973" s="6">
        <v>150</v>
      </c>
      <c r="H4973" s="6">
        <v>200</v>
      </c>
      <c r="I4973" s="9"/>
      <c r="J4973" s="9"/>
      <c r="K4973" s="9"/>
      <c r="L4973" s="6" t="str">
        <f t="shared" si="483"/>
        <v>1D  MAGNUM  BAŞLIK  150x200</v>
      </c>
      <c r="M4973" s="12"/>
      <c r="N4973" s="12"/>
      <c r="O4973" s="12"/>
      <c r="R4973" s="33"/>
      <c r="T4973" s="12"/>
      <c r="U4973" s="12"/>
      <c r="V4973" s="12"/>
      <c r="W4973" s="12">
        <f t="shared" si="484"/>
        <v>0</v>
      </c>
    </row>
    <row r="4974" spans="2:23" s="6" customFormat="1" ht="21.95" customHeight="1" x14ac:dyDescent="0.2">
      <c r="B4974" s="6" t="s">
        <v>1597</v>
      </c>
      <c r="C4974" s="6" t="s">
        <v>2051</v>
      </c>
      <c r="D4974" s="6" t="s">
        <v>1003</v>
      </c>
      <c r="G4974" s="6">
        <v>160</v>
      </c>
      <c r="H4974" s="6">
        <v>200</v>
      </c>
      <c r="I4974" s="9"/>
      <c r="J4974" s="9"/>
      <c r="K4974" s="9"/>
      <c r="L4974" s="6" t="str">
        <f t="shared" si="483"/>
        <v>1D  MAGNUM  BAŞLIK  160x200</v>
      </c>
      <c r="M4974" s="12"/>
      <c r="N4974" s="12"/>
      <c r="O4974" s="12"/>
      <c r="R4974" s="33"/>
      <c r="T4974" s="12"/>
      <c r="U4974" s="12"/>
      <c r="V4974" s="12"/>
      <c r="W4974" s="12">
        <f t="shared" si="484"/>
        <v>0</v>
      </c>
    </row>
    <row r="4975" spans="2:23" s="6" customFormat="1" ht="21.95" customHeight="1" x14ac:dyDescent="0.2">
      <c r="B4975" s="6" t="s">
        <v>1597</v>
      </c>
      <c r="C4975" s="6" t="s">
        <v>2051</v>
      </c>
      <c r="D4975" s="6" t="s">
        <v>1003</v>
      </c>
      <c r="G4975" s="6">
        <v>180</v>
      </c>
      <c r="H4975" s="6">
        <v>200</v>
      </c>
      <c r="I4975" s="9"/>
      <c r="J4975" s="9"/>
      <c r="K4975" s="9"/>
      <c r="L4975" s="6" t="str">
        <f t="shared" si="483"/>
        <v>1D  MAGNUM  BAŞLIK  180x200</v>
      </c>
      <c r="M4975" s="12"/>
      <c r="N4975" s="12"/>
      <c r="O4975" s="12"/>
      <c r="R4975" s="33"/>
      <c r="T4975" s="12"/>
      <c r="U4975" s="12"/>
      <c r="V4975" s="12"/>
      <c r="W4975" s="12">
        <f t="shared" si="484"/>
        <v>0</v>
      </c>
    </row>
    <row r="4976" spans="2:23" s="6" customFormat="1" ht="21.95" customHeight="1" x14ac:dyDescent="0.2">
      <c r="B4976" s="6" t="s">
        <v>1597</v>
      </c>
      <c r="C4976" s="6" t="s">
        <v>2051</v>
      </c>
      <c r="D4976" s="6" t="s">
        <v>943</v>
      </c>
      <c r="G4976" s="6">
        <v>90</v>
      </c>
      <c r="H4976" s="6">
        <v>190</v>
      </c>
      <c r="I4976" s="9"/>
      <c r="J4976" s="9"/>
      <c r="K4976" s="9"/>
      <c r="L4976" s="6" t="str">
        <f t="shared" si="483"/>
        <v>1D  MAGNUM  YATAK  90x190</v>
      </c>
      <c r="M4976" s="12"/>
      <c r="N4976" s="12"/>
      <c r="O4976" s="12"/>
      <c r="R4976" s="33"/>
      <c r="T4976" s="12"/>
      <c r="U4976" s="12"/>
      <c r="V4976" s="12"/>
      <c r="W4976" s="12">
        <f t="shared" si="484"/>
        <v>0</v>
      </c>
    </row>
    <row r="4977" spans="2:23" s="6" customFormat="1" ht="21.95" customHeight="1" x14ac:dyDescent="0.2">
      <c r="B4977" s="6" t="s">
        <v>1597</v>
      </c>
      <c r="C4977" s="6" t="s">
        <v>2051</v>
      </c>
      <c r="D4977" s="6" t="s">
        <v>943</v>
      </c>
      <c r="G4977" s="6">
        <v>90</v>
      </c>
      <c r="H4977" s="6">
        <v>200</v>
      </c>
      <c r="I4977" s="9"/>
      <c r="J4977" s="9"/>
      <c r="K4977" s="9"/>
      <c r="L4977" s="6" t="str">
        <f t="shared" si="483"/>
        <v>1D  MAGNUM  YATAK  90x200</v>
      </c>
      <c r="M4977" s="12"/>
      <c r="N4977" s="12"/>
      <c r="O4977" s="12"/>
      <c r="R4977" s="33"/>
      <c r="T4977" s="12"/>
      <c r="U4977" s="12"/>
      <c r="V4977" s="12"/>
      <c r="W4977" s="12">
        <f t="shared" si="484"/>
        <v>0</v>
      </c>
    </row>
    <row r="4978" spans="2:23" s="6" customFormat="1" ht="21.95" customHeight="1" x14ac:dyDescent="0.2">
      <c r="B4978" s="6" t="s">
        <v>1597</v>
      </c>
      <c r="C4978" s="6" t="s">
        <v>2051</v>
      </c>
      <c r="D4978" s="6" t="s">
        <v>943</v>
      </c>
      <c r="G4978" s="6">
        <v>100</v>
      </c>
      <c r="H4978" s="6">
        <v>200</v>
      </c>
      <c r="I4978" s="9"/>
      <c r="J4978" s="9"/>
      <c r="K4978" s="9"/>
      <c r="L4978" s="6" t="str">
        <f t="shared" si="483"/>
        <v>1D  MAGNUM  YATAK  100x200</v>
      </c>
      <c r="M4978" s="12"/>
      <c r="N4978" s="12"/>
      <c r="O4978" s="12"/>
      <c r="R4978" s="33"/>
      <c r="T4978" s="12"/>
      <c r="U4978" s="12"/>
      <c r="V4978" s="12"/>
      <c r="W4978" s="12">
        <f t="shared" si="484"/>
        <v>0</v>
      </c>
    </row>
    <row r="4979" spans="2:23" s="6" customFormat="1" ht="21.95" customHeight="1" x14ac:dyDescent="0.2">
      <c r="B4979" s="6" t="s">
        <v>1597</v>
      </c>
      <c r="C4979" s="6" t="s">
        <v>2051</v>
      </c>
      <c r="D4979" s="6" t="s">
        <v>943</v>
      </c>
      <c r="G4979" s="6">
        <v>120</v>
      </c>
      <c r="H4979" s="6">
        <v>200</v>
      </c>
      <c r="I4979" s="9"/>
      <c r="J4979" s="9"/>
      <c r="K4979" s="9"/>
      <c r="L4979" s="6" t="str">
        <f t="shared" si="483"/>
        <v>1D  MAGNUM  YATAK  120x200</v>
      </c>
      <c r="M4979" s="12"/>
      <c r="N4979" s="12"/>
      <c r="O4979" s="12"/>
      <c r="R4979" s="33"/>
      <c r="T4979" s="12"/>
      <c r="U4979" s="12"/>
      <c r="V4979" s="12"/>
      <c r="W4979" s="12">
        <f t="shared" si="484"/>
        <v>0</v>
      </c>
    </row>
    <row r="4980" spans="2:23" s="6" customFormat="1" ht="21.95" customHeight="1" x14ac:dyDescent="0.2">
      <c r="B4980" s="6" t="s">
        <v>1597</v>
      </c>
      <c r="C4980" s="6" t="s">
        <v>2051</v>
      </c>
      <c r="D4980" s="6" t="s">
        <v>943</v>
      </c>
      <c r="G4980" s="6">
        <v>140</v>
      </c>
      <c r="H4980" s="6">
        <v>200</v>
      </c>
      <c r="I4980" s="9"/>
      <c r="J4980" s="9"/>
      <c r="K4980" s="9"/>
      <c r="L4980" s="6" t="str">
        <f t="shared" si="483"/>
        <v>1D  MAGNUM  YATAK  140x200</v>
      </c>
      <c r="M4980" s="12"/>
      <c r="N4980" s="12"/>
      <c r="O4980" s="12"/>
      <c r="R4980" s="33"/>
      <c r="T4980" s="12"/>
      <c r="U4980" s="12"/>
      <c r="V4980" s="12"/>
      <c r="W4980" s="12">
        <f t="shared" si="484"/>
        <v>0</v>
      </c>
    </row>
    <row r="4981" spans="2:23" s="6" customFormat="1" ht="21.95" customHeight="1" x14ac:dyDescent="0.2">
      <c r="B4981" s="6" t="s">
        <v>1597</v>
      </c>
      <c r="C4981" s="6" t="s">
        <v>2051</v>
      </c>
      <c r="D4981" s="6" t="s">
        <v>943</v>
      </c>
      <c r="G4981" s="6">
        <v>150</v>
      </c>
      <c r="H4981" s="6">
        <v>200</v>
      </c>
      <c r="I4981" s="9"/>
      <c r="J4981" s="9"/>
      <c r="K4981" s="9"/>
      <c r="L4981" s="6" t="str">
        <f t="shared" si="483"/>
        <v>1D  MAGNUM  YATAK  150x200</v>
      </c>
      <c r="M4981" s="12"/>
      <c r="N4981" s="12"/>
      <c r="O4981" s="12"/>
      <c r="R4981" s="33"/>
      <c r="T4981" s="12"/>
      <c r="U4981" s="12"/>
      <c r="V4981" s="12"/>
      <c r="W4981" s="12">
        <f t="shared" si="484"/>
        <v>0</v>
      </c>
    </row>
    <row r="4982" spans="2:23" s="6" customFormat="1" ht="21.95" customHeight="1" x14ac:dyDescent="0.2">
      <c r="B4982" s="6" t="s">
        <v>1597</v>
      </c>
      <c r="C4982" s="6" t="s">
        <v>2051</v>
      </c>
      <c r="D4982" s="6" t="s">
        <v>943</v>
      </c>
      <c r="G4982" s="6">
        <v>160</v>
      </c>
      <c r="H4982" s="6">
        <v>200</v>
      </c>
      <c r="I4982" s="9"/>
      <c r="J4982" s="9"/>
      <c r="K4982" s="9"/>
      <c r="L4982" s="6" t="str">
        <f t="shared" si="483"/>
        <v>1D  MAGNUM  YATAK  160x200</v>
      </c>
      <c r="M4982" s="12"/>
      <c r="N4982" s="12"/>
      <c r="O4982" s="12"/>
      <c r="R4982" s="33"/>
      <c r="T4982" s="12"/>
      <c r="U4982" s="12"/>
      <c r="V4982" s="12"/>
      <c r="W4982" s="12">
        <f t="shared" si="484"/>
        <v>0</v>
      </c>
    </row>
    <row r="4983" spans="2:23" s="6" customFormat="1" ht="21.95" customHeight="1" x14ac:dyDescent="0.2">
      <c r="B4983" s="6" t="s">
        <v>1597</v>
      </c>
      <c r="C4983" s="6" t="s">
        <v>2051</v>
      </c>
      <c r="D4983" s="6" t="s">
        <v>943</v>
      </c>
      <c r="G4983" s="6">
        <v>180</v>
      </c>
      <c r="H4983" s="6">
        <v>200</v>
      </c>
      <c r="I4983" s="9"/>
      <c r="J4983" s="9"/>
      <c r="K4983" s="9"/>
      <c r="L4983" s="6" t="str">
        <f t="shared" si="483"/>
        <v>1D  MAGNUM  YATAK  180x200</v>
      </c>
      <c r="M4983" s="12"/>
      <c r="N4983" s="12"/>
      <c r="O4983" s="12"/>
      <c r="R4983" s="33"/>
      <c r="T4983" s="12"/>
      <c r="U4983" s="12"/>
      <c r="V4983" s="12"/>
      <c r="W4983" s="12">
        <f t="shared" si="484"/>
        <v>0</v>
      </c>
    </row>
    <row r="4984" spans="2:23" s="6" customFormat="1" ht="21.95" customHeight="1" x14ac:dyDescent="0.2">
      <c r="B4984" s="6" t="s">
        <v>1597</v>
      </c>
      <c r="C4984" s="6" t="s">
        <v>2051</v>
      </c>
      <c r="D4984" s="6" t="s">
        <v>1380</v>
      </c>
      <c r="I4984" s="9"/>
      <c r="J4984" s="9"/>
      <c r="K4984" s="9"/>
      <c r="L4984" s="6" t="str">
        <f>B4984&amp;" "&amp;C4984&amp;" "&amp;D4984</f>
        <v>1D  MAGNUM  KOMODİN (2 ADET)</v>
      </c>
      <c r="M4984" s="12"/>
      <c r="N4984" s="12"/>
      <c r="O4984" s="12"/>
      <c r="R4984" s="33"/>
      <c r="T4984" s="12"/>
      <c r="U4984" s="12"/>
      <c r="V4984" s="12"/>
      <c r="W4984" s="12">
        <f t="shared" si="484"/>
        <v>0</v>
      </c>
    </row>
    <row r="4985" spans="2:23" s="6" customFormat="1" ht="21.95" customHeight="1" x14ac:dyDescent="0.2">
      <c r="B4985" s="6" t="s">
        <v>1597</v>
      </c>
      <c r="C4985" s="6" t="s">
        <v>2052</v>
      </c>
      <c r="D4985" s="6" t="s">
        <v>989</v>
      </c>
      <c r="G4985" s="6">
        <v>90</v>
      </c>
      <c r="H4985" s="6">
        <v>190</v>
      </c>
      <c r="I4985" s="9"/>
      <c r="J4985" s="9"/>
      <c r="K4985" s="9"/>
      <c r="L4985" s="6" t="str">
        <f t="shared" ref="L4985:L5008" si="485">B4985&amp;" "&amp;C4985&amp;" "&amp;D4985&amp;" "&amp;G4985&amp;"x"&amp;H4985</f>
        <v>1D  MARSILYA BAZA  90x190</v>
      </c>
      <c r="M4985" s="12"/>
      <c r="N4985" s="12"/>
      <c r="O4985" s="12"/>
      <c r="R4985" s="33"/>
      <c r="T4985" s="12"/>
      <c r="U4985" s="12"/>
      <c r="V4985" s="12"/>
      <c r="W4985" s="12">
        <f t="shared" si="484"/>
        <v>0</v>
      </c>
    </row>
    <row r="4986" spans="2:23" s="6" customFormat="1" ht="21.95" customHeight="1" x14ac:dyDescent="0.2">
      <c r="B4986" s="6" t="s">
        <v>1597</v>
      </c>
      <c r="C4986" s="6" t="s">
        <v>2052</v>
      </c>
      <c r="D4986" s="6" t="s">
        <v>989</v>
      </c>
      <c r="G4986" s="6">
        <v>90</v>
      </c>
      <c r="H4986" s="6">
        <v>200</v>
      </c>
      <c r="I4986" s="9"/>
      <c r="J4986" s="9"/>
      <c r="K4986" s="9"/>
      <c r="L4986" s="6" t="str">
        <f t="shared" si="485"/>
        <v>1D  MARSILYA BAZA  90x200</v>
      </c>
      <c r="M4986" s="12"/>
      <c r="N4986" s="12"/>
      <c r="O4986" s="12"/>
      <c r="R4986" s="33"/>
      <c r="T4986" s="12"/>
      <c r="U4986" s="12"/>
      <c r="V4986" s="12"/>
      <c r="W4986" s="12">
        <f t="shared" si="484"/>
        <v>0</v>
      </c>
    </row>
    <row r="4987" spans="2:23" s="6" customFormat="1" ht="21.95" customHeight="1" x14ac:dyDescent="0.2">
      <c r="B4987" s="6" t="s">
        <v>1597</v>
      </c>
      <c r="C4987" s="6" t="s">
        <v>2052</v>
      </c>
      <c r="D4987" s="6" t="s">
        <v>989</v>
      </c>
      <c r="G4987" s="6">
        <v>100</v>
      </c>
      <c r="H4987" s="6">
        <v>200</v>
      </c>
      <c r="I4987" s="9"/>
      <c r="J4987" s="9"/>
      <c r="K4987" s="9"/>
      <c r="L4987" s="6" t="str">
        <f t="shared" si="485"/>
        <v>1D  MARSILYA BAZA  100x200</v>
      </c>
      <c r="M4987" s="12"/>
      <c r="N4987" s="12"/>
      <c r="O4987" s="12"/>
      <c r="R4987" s="33"/>
      <c r="T4987" s="12"/>
      <c r="U4987" s="12"/>
      <c r="V4987" s="12"/>
      <c r="W4987" s="12">
        <f t="shared" si="484"/>
        <v>0</v>
      </c>
    </row>
    <row r="4988" spans="2:23" s="6" customFormat="1" ht="21.95" customHeight="1" x14ac:dyDescent="0.2">
      <c r="B4988" s="6" t="s">
        <v>1597</v>
      </c>
      <c r="C4988" s="6" t="s">
        <v>2052</v>
      </c>
      <c r="D4988" s="6" t="s">
        <v>989</v>
      </c>
      <c r="G4988" s="6">
        <v>120</v>
      </c>
      <c r="H4988" s="6">
        <v>200</v>
      </c>
      <c r="I4988" s="9"/>
      <c r="J4988" s="9"/>
      <c r="K4988" s="9"/>
      <c r="L4988" s="6" t="str">
        <f t="shared" si="485"/>
        <v>1D  MARSILYA BAZA  120x200</v>
      </c>
      <c r="M4988" s="12"/>
      <c r="N4988" s="12"/>
      <c r="O4988" s="12"/>
      <c r="R4988" s="33"/>
      <c r="T4988" s="12"/>
      <c r="U4988" s="12"/>
      <c r="V4988" s="12"/>
      <c r="W4988" s="12">
        <f t="shared" si="484"/>
        <v>0</v>
      </c>
    </row>
    <row r="4989" spans="2:23" s="6" customFormat="1" ht="21.95" customHeight="1" x14ac:dyDescent="0.2">
      <c r="B4989" s="6" t="s">
        <v>1597</v>
      </c>
      <c r="C4989" s="6" t="s">
        <v>2052</v>
      </c>
      <c r="D4989" s="6" t="s">
        <v>989</v>
      </c>
      <c r="G4989" s="6">
        <v>140</v>
      </c>
      <c r="H4989" s="6">
        <v>200</v>
      </c>
      <c r="I4989" s="9"/>
      <c r="J4989" s="9"/>
      <c r="K4989" s="9"/>
      <c r="L4989" s="6" t="str">
        <f t="shared" si="485"/>
        <v>1D  MARSILYA BAZA  140x200</v>
      </c>
      <c r="M4989" s="12"/>
      <c r="N4989" s="12"/>
      <c r="O4989" s="12"/>
      <c r="R4989" s="33"/>
      <c r="T4989" s="12"/>
      <c r="U4989" s="12"/>
      <c r="V4989" s="12"/>
      <c r="W4989" s="12">
        <f t="shared" si="484"/>
        <v>0</v>
      </c>
    </row>
    <row r="4990" spans="2:23" s="6" customFormat="1" ht="21.95" customHeight="1" x14ac:dyDescent="0.2">
      <c r="B4990" s="6" t="s">
        <v>1597</v>
      </c>
      <c r="C4990" s="6" t="s">
        <v>2052</v>
      </c>
      <c r="D4990" s="6" t="s">
        <v>989</v>
      </c>
      <c r="G4990" s="6">
        <v>150</v>
      </c>
      <c r="H4990" s="6">
        <v>200</v>
      </c>
      <c r="I4990" s="9"/>
      <c r="J4990" s="9"/>
      <c r="K4990" s="9"/>
      <c r="L4990" s="6" t="str">
        <f t="shared" si="485"/>
        <v>1D  MARSILYA BAZA  150x200</v>
      </c>
      <c r="M4990" s="12"/>
      <c r="N4990" s="12"/>
      <c r="O4990" s="12"/>
      <c r="R4990" s="33"/>
      <c r="T4990" s="12"/>
      <c r="U4990" s="12"/>
      <c r="V4990" s="12"/>
      <c r="W4990" s="12">
        <f t="shared" si="484"/>
        <v>0</v>
      </c>
    </row>
    <row r="4991" spans="2:23" s="6" customFormat="1" ht="21.95" customHeight="1" x14ac:dyDescent="0.2">
      <c r="B4991" s="6" t="s">
        <v>1597</v>
      </c>
      <c r="C4991" s="6" t="s">
        <v>2052</v>
      </c>
      <c r="D4991" s="6" t="s">
        <v>989</v>
      </c>
      <c r="G4991" s="6">
        <v>160</v>
      </c>
      <c r="H4991" s="6">
        <v>200</v>
      </c>
      <c r="I4991" s="9"/>
      <c r="J4991" s="9"/>
      <c r="K4991" s="9"/>
      <c r="L4991" s="6" t="str">
        <f t="shared" si="485"/>
        <v>1D  MARSILYA BAZA  160x200</v>
      </c>
      <c r="M4991" s="12"/>
      <c r="N4991" s="12"/>
      <c r="O4991" s="12"/>
      <c r="R4991" s="33"/>
      <c r="T4991" s="12"/>
      <c r="U4991" s="12"/>
      <c r="V4991" s="12"/>
      <c r="W4991" s="12">
        <f t="shared" si="484"/>
        <v>0</v>
      </c>
    </row>
    <row r="4992" spans="2:23" s="6" customFormat="1" ht="21.95" customHeight="1" x14ac:dyDescent="0.2">
      <c r="B4992" s="6" t="s">
        <v>1597</v>
      </c>
      <c r="C4992" s="6" t="s">
        <v>2052</v>
      </c>
      <c r="D4992" s="6" t="s">
        <v>989</v>
      </c>
      <c r="G4992" s="6">
        <v>180</v>
      </c>
      <c r="H4992" s="6">
        <v>200</v>
      </c>
      <c r="I4992" s="9"/>
      <c r="J4992" s="9"/>
      <c r="K4992" s="9"/>
      <c r="L4992" s="6" t="str">
        <f t="shared" si="485"/>
        <v>1D  MARSILYA BAZA  180x200</v>
      </c>
      <c r="M4992" s="12"/>
      <c r="N4992" s="12"/>
      <c r="O4992" s="12"/>
      <c r="R4992" s="33"/>
      <c r="T4992" s="12"/>
      <c r="U4992" s="12"/>
      <c r="V4992" s="12"/>
      <c r="W4992" s="12">
        <f t="shared" si="484"/>
        <v>0</v>
      </c>
    </row>
    <row r="4993" spans="2:23" s="6" customFormat="1" ht="21.95" customHeight="1" x14ac:dyDescent="0.2">
      <c r="B4993" s="6" t="s">
        <v>1597</v>
      </c>
      <c r="C4993" s="6" t="s">
        <v>2052</v>
      </c>
      <c r="D4993" s="6" t="s">
        <v>1003</v>
      </c>
      <c r="G4993" s="6">
        <v>90</v>
      </c>
      <c r="H4993" s="6">
        <v>190</v>
      </c>
      <c r="I4993" s="9"/>
      <c r="J4993" s="9"/>
      <c r="K4993" s="9"/>
      <c r="L4993" s="6" t="str">
        <f t="shared" si="485"/>
        <v>1D  MARSILYA BAŞLIK  90x190</v>
      </c>
      <c r="M4993" s="12"/>
      <c r="N4993" s="12"/>
      <c r="O4993" s="12"/>
      <c r="R4993" s="33"/>
      <c r="T4993" s="12"/>
      <c r="U4993" s="12"/>
      <c r="V4993" s="12"/>
      <c r="W4993" s="12">
        <f t="shared" si="484"/>
        <v>0</v>
      </c>
    </row>
    <row r="4994" spans="2:23" s="6" customFormat="1" ht="21.95" customHeight="1" x14ac:dyDescent="0.2">
      <c r="B4994" s="6" t="s">
        <v>1597</v>
      </c>
      <c r="C4994" s="6" t="s">
        <v>2052</v>
      </c>
      <c r="D4994" s="6" t="s">
        <v>1003</v>
      </c>
      <c r="G4994" s="6">
        <v>90</v>
      </c>
      <c r="H4994" s="6">
        <v>200</v>
      </c>
      <c r="I4994" s="9"/>
      <c r="J4994" s="9"/>
      <c r="K4994" s="9"/>
      <c r="L4994" s="6" t="str">
        <f t="shared" si="485"/>
        <v>1D  MARSILYA BAŞLIK  90x200</v>
      </c>
      <c r="M4994" s="12"/>
      <c r="N4994" s="12"/>
      <c r="O4994" s="12"/>
      <c r="R4994" s="33"/>
      <c r="T4994" s="12"/>
      <c r="U4994" s="12"/>
      <c r="V4994" s="12"/>
      <c r="W4994" s="12">
        <f t="shared" si="484"/>
        <v>0</v>
      </c>
    </row>
    <row r="4995" spans="2:23" s="6" customFormat="1" ht="21.95" customHeight="1" x14ac:dyDescent="0.2">
      <c r="B4995" s="6" t="s">
        <v>1597</v>
      </c>
      <c r="C4995" s="6" t="s">
        <v>2052</v>
      </c>
      <c r="D4995" s="6" t="s">
        <v>1003</v>
      </c>
      <c r="G4995" s="6">
        <v>100</v>
      </c>
      <c r="H4995" s="6">
        <v>200</v>
      </c>
      <c r="I4995" s="9"/>
      <c r="J4995" s="9"/>
      <c r="K4995" s="9"/>
      <c r="L4995" s="6" t="str">
        <f t="shared" si="485"/>
        <v>1D  MARSILYA BAŞLIK  100x200</v>
      </c>
      <c r="M4995" s="12"/>
      <c r="N4995" s="12"/>
      <c r="O4995" s="12"/>
      <c r="R4995" s="33"/>
      <c r="T4995" s="12"/>
      <c r="U4995" s="12"/>
      <c r="V4995" s="12"/>
      <c r="W4995" s="12">
        <f t="shared" ref="W4995:W5026" si="486">P4995*2.5</f>
        <v>0</v>
      </c>
    </row>
    <row r="4996" spans="2:23" s="6" customFormat="1" ht="21.95" customHeight="1" x14ac:dyDescent="0.2">
      <c r="B4996" s="6" t="s">
        <v>1597</v>
      </c>
      <c r="C4996" s="6" t="s">
        <v>2052</v>
      </c>
      <c r="D4996" s="6" t="s">
        <v>1003</v>
      </c>
      <c r="G4996" s="6">
        <v>120</v>
      </c>
      <c r="H4996" s="6">
        <v>200</v>
      </c>
      <c r="I4996" s="9"/>
      <c r="J4996" s="9"/>
      <c r="K4996" s="9"/>
      <c r="L4996" s="6" t="str">
        <f t="shared" si="485"/>
        <v>1D  MARSILYA BAŞLIK  120x200</v>
      </c>
      <c r="M4996" s="12"/>
      <c r="N4996" s="12"/>
      <c r="O4996" s="12"/>
      <c r="R4996" s="33"/>
      <c r="T4996" s="12"/>
      <c r="U4996" s="12"/>
      <c r="V4996" s="12"/>
      <c r="W4996" s="12">
        <f t="shared" si="486"/>
        <v>0</v>
      </c>
    </row>
    <row r="4997" spans="2:23" s="6" customFormat="1" ht="21.95" customHeight="1" x14ac:dyDescent="0.2">
      <c r="B4997" s="6" t="s">
        <v>1597</v>
      </c>
      <c r="C4997" s="6" t="s">
        <v>2052</v>
      </c>
      <c r="D4997" s="6" t="s">
        <v>1003</v>
      </c>
      <c r="G4997" s="6">
        <v>140</v>
      </c>
      <c r="H4997" s="6">
        <v>200</v>
      </c>
      <c r="I4997" s="9"/>
      <c r="J4997" s="9"/>
      <c r="K4997" s="9"/>
      <c r="L4997" s="6" t="str">
        <f t="shared" si="485"/>
        <v>1D  MARSILYA BAŞLIK  140x200</v>
      </c>
      <c r="M4997" s="12"/>
      <c r="N4997" s="12"/>
      <c r="O4997" s="12"/>
      <c r="R4997" s="33"/>
      <c r="T4997" s="12"/>
      <c r="U4997" s="12"/>
      <c r="V4997" s="12"/>
      <c r="W4997" s="12">
        <f t="shared" si="486"/>
        <v>0</v>
      </c>
    </row>
    <row r="4998" spans="2:23" s="6" customFormat="1" ht="21.95" customHeight="1" x14ac:dyDescent="0.2">
      <c r="B4998" s="6" t="s">
        <v>1597</v>
      </c>
      <c r="C4998" s="6" t="s">
        <v>2052</v>
      </c>
      <c r="D4998" s="6" t="s">
        <v>1003</v>
      </c>
      <c r="G4998" s="6">
        <v>150</v>
      </c>
      <c r="H4998" s="6">
        <v>200</v>
      </c>
      <c r="I4998" s="9"/>
      <c r="J4998" s="9"/>
      <c r="K4998" s="9"/>
      <c r="L4998" s="6" t="str">
        <f t="shared" si="485"/>
        <v>1D  MARSILYA BAŞLIK  150x200</v>
      </c>
      <c r="M4998" s="12"/>
      <c r="N4998" s="12"/>
      <c r="O4998" s="12"/>
      <c r="R4998" s="33"/>
      <c r="T4998" s="12"/>
      <c r="U4998" s="12"/>
      <c r="V4998" s="12"/>
      <c r="W4998" s="12">
        <f t="shared" si="486"/>
        <v>0</v>
      </c>
    </row>
    <row r="4999" spans="2:23" s="6" customFormat="1" ht="21.95" customHeight="1" x14ac:dyDescent="0.2">
      <c r="B4999" s="6" t="s">
        <v>1597</v>
      </c>
      <c r="C4999" s="6" t="s">
        <v>2052</v>
      </c>
      <c r="D4999" s="6" t="s">
        <v>1003</v>
      </c>
      <c r="G4999" s="6">
        <v>160</v>
      </c>
      <c r="H4999" s="6">
        <v>200</v>
      </c>
      <c r="I4999" s="9"/>
      <c r="J4999" s="9"/>
      <c r="K4999" s="9"/>
      <c r="L4999" s="6" t="str">
        <f t="shared" si="485"/>
        <v>1D  MARSILYA BAŞLIK  160x200</v>
      </c>
      <c r="M4999" s="12"/>
      <c r="N4999" s="12"/>
      <c r="O4999" s="12"/>
      <c r="R4999" s="33"/>
      <c r="T4999" s="12"/>
      <c r="U4999" s="12"/>
      <c r="V4999" s="12"/>
      <c r="W4999" s="12">
        <f t="shared" si="486"/>
        <v>0</v>
      </c>
    </row>
    <row r="5000" spans="2:23" s="6" customFormat="1" ht="21.95" customHeight="1" x14ac:dyDescent="0.2">
      <c r="B5000" s="6" t="s">
        <v>1597</v>
      </c>
      <c r="C5000" s="6" t="s">
        <v>2052</v>
      </c>
      <c r="D5000" s="6" t="s">
        <v>1003</v>
      </c>
      <c r="G5000" s="6">
        <v>180</v>
      </c>
      <c r="H5000" s="6">
        <v>200</v>
      </c>
      <c r="I5000" s="9"/>
      <c r="J5000" s="9"/>
      <c r="K5000" s="9"/>
      <c r="L5000" s="6" t="str">
        <f t="shared" si="485"/>
        <v>1D  MARSILYA BAŞLIK  180x200</v>
      </c>
      <c r="M5000" s="12"/>
      <c r="N5000" s="12"/>
      <c r="O5000" s="12"/>
      <c r="R5000" s="33"/>
      <c r="T5000" s="12"/>
      <c r="U5000" s="12"/>
      <c r="V5000" s="12"/>
      <c r="W5000" s="12">
        <f t="shared" si="486"/>
        <v>0</v>
      </c>
    </row>
    <row r="5001" spans="2:23" s="6" customFormat="1" ht="21.95" customHeight="1" x14ac:dyDescent="0.2">
      <c r="B5001" s="6" t="s">
        <v>1597</v>
      </c>
      <c r="C5001" s="6" t="s">
        <v>2052</v>
      </c>
      <c r="D5001" s="6" t="s">
        <v>943</v>
      </c>
      <c r="G5001" s="6">
        <v>90</v>
      </c>
      <c r="H5001" s="6">
        <v>190</v>
      </c>
      <c r="I5001" s="9"/>
      <c r="J5001" s="9"/>
      <c r="K5001" s="9"/>
      <c r="L5001" s="6" t="str">
        <f t="shared" si="485"/>
        <v>1D  MARSILYA YATAK  90x190</v>
      </c>
      <c r="M5001" s="12"/>
      <c r="N5001" s="12"/>
      <c r="O5001" s="12"/>
      <c r="R5001" s="33"/>
      <c r="T5001" s="12"/>
      <c r="U5001" s="12"/>
      <c r="V5001" s="12"/>
      <c r="W5001" s="12">
        <f t="shared" si="486"/>
        <v>0</v>
      </c>
    </row>
    <row r="5002" spans="2:23" s="6" customFormat="1" ht="21.95" customHeight="1" x14ac:dyDescent="0.2">
      <c r="B5002" s="6" t="s">
        <v>1597</v>
      </c>
      <c r="C5002" s="6" t="s">
        <v>2052</v>
      </c>
      <c r="D5002" s="6" t="s">
        <v>943</v>
      </c>
      <c r="G5002" s="6">
        <v>90</v>
      </c>
      <c r="H5002" s="6">
        <v>200</v>
      </c>
      <c r="I5002" s="9"/>
      <c r="J5002" s="9"/>
      <c r="K5002" s="9"/>
      <c r="L5002" s="6" t="str">
        <f t="shared" si="485"/>
        <v>1D  MARSILYA YATAK  90x200</v>
      </c>
      <c r="M5002" s="12"/>
      <c r="N5002" s="12"/>
      <c r="O5002" s="12"/>
      <c r="R5002" s="33"/>
      <c r="T5002" s="12"/>
      <c r="U5002" s="12"/>
      <c r="V5002" s="12"/>
      <c r="W5002" s="12">
        <f t="shared" si="486"/>
        <v>0</v>
      </c>
    </row>
    <row r="5003" spans="2:23" s="6" customFormat="1" ht="21.95" customHeight="1" x14ac:dyDescent="0.2">
      <c r="B5003" s="6" t="s">
        <v>1597</v>
      </c>
      <c r="C5003" s="6" t="s">
        <v>2052</v>
      </c>
      <c r="D5003" s="6" t="s">
        <v>943</v>
      </c>
      <c r="G5003" s="6">
        <v>100</v>
      </c>
      <c r="H5003" s="6">
        <v>200</v>
      </c>
      <c r="I5003" s="9"/>
      <c r="J5003" s="9"/>
      <c r="K5003" s="9"/>
      <c r="L5003" s="6" t="str">
        <f t="shared" si="485"/>
        <v>1D  MARSILYA YATAK  100x200</v>
      </c>
      <c r="M5003" s="12"/>
      <c r="N5003" s="12"/>
      <c r="O5003" s="12"/>
      <c r="R5003" s="33"/>
      <c r="T5003" s="12"/>
      <c r="U5003" s="12"/>
      <c r="V5003" s="12"/>
      <c r="W5003" s="12">
        <f t="shared" si="486"/>
        <v>0</v>
      </c>
    </row>
    <row r="5004" spans="2:23" s="6" customFormat="1" ht="21.95" customHeight="1" x14ac:dyDescent="0.2">
      <c r="B5004" s="6" t="s">
        <v>1597</v>
      </c>
      <c r="C5004" s="6" t="s">
        <v>2052</v>
      </c>
      <c r="D5004" s="6" t="s">
        <v>943</v>
      </c>
      <c r="G5004" s="6">
        <v>120</v>
      </c>
      <c r="H5004" s="6">
        <v>200</v>
      </c>
      <c r="I5004" s="9"/>
      <c r="J5004" s="9"/>
      <c r="K5004" s="9"/>
      <c r="L5004" s="6" t="str">
        <f t="shared" si="485"/>
        <v>1D  MARSILYA YATAK  120x200</v>
      </c>
      <c r="M5004" s="12"/>
      <c r="N5004" s="12"/>
      <c r="O5004" s="12"/>
      <c r="R5004" s="33"/>
      <c r="T5004" s="12"/>
      <c r="U5004" s="12"/>
      <c r="V5004" s="12"/>
      <c r="W5004" s="12">
        <f t="shared" si="486"/>
        <v>0</v>
      </c>
    </row>
    <row r="5005" spans="2:23" s="6" customFormat="1" ht="21.95" customHeight="1" x14ac:dyDescent="0.2">
      <c r="B5005" s="6" t="s">
        <v>1597</v>
      </c>
      <c r="C5005" s="6" t="s">
        <v>2052</v>
      </c>
      <c r="D5005" s="6" t="s">
        <v>943</v>
      </c>
      <c r="G5005" s="6">
        <v>140</v>
      </c>
      <c r="H5005" s="6">
        <v>200</v>
      </c>
      <c r="I5005" s="9"/>
      <c r="J5005" s="9"/>
      <c r="K5005" s="9"/>
      <c r="L5005" s="6" t="str">
        <f t="shared" si="485"/>
        <v>1D  MARSILYA YATAK  140x200</v>
      </c>
      <c r="M5005" s="12"/>
      <c r="N5005" s="12"/>
      <c r="O5005" s="12"/>
      <c r="R5005" s="33"/>
      <c r="T5005" s="12"/>
      <c r="U5005" s="12"/>
      <c r="V5005" s="12"/>
      <c r="W5005" s="12">
        <f t="shared" si="486"/>
        <v>0</v>
      </c>
    </row>
    <row r="5006" spans="2:23" s="6" customFormat="1" ht="21.95" customHeight="1" x14ac:dyDescent="0.2">
      <c r="B5006" s="6" t="s">
        <v>1597</v>
      </c>
      <c r="C5006" s="6" t="s">
        <v>2052</v>
      </c>
      <c r="D5006" s="6" t="s">
        <v>943</v>
      </c>
      <c r="G5006" s="6">
        <v>150</v>
      </c>
      <c r="H5006" s="6">
        <v>200</v>
      </c>
      <c r="I5006" s="9"/>
      <c r="J5006" s="9"/>
      <c r="K5006" s="9"/>
      <c r="L5006" s="6" t="str">
        <f t="shared" si="485"/>
        <v>1D  MARSILYA YATAK  150x200</v>
      </c>
      <c r="M5006" s="12"/>
      <c r="N5006" s="12"/>
      <c r="O5006" s="12"/>
      <c r="R5006" s="33"/>
      <c r="T5006" s="12"/>
      <c r="U5006" s="12"/>
      <c r="V5006" s="12"/>
      <c r="W5006" s="12">
        <f t="shared" si="486"/>
        <v>0</v>
      </c>
    </row>
    <row r="5007" spans="2:23" s="6" customFormat="1" ht="21.95" customHeight="1" x14ac:dyDescent="0.2">
      <c r="B5007" s="6" t="s">
        <v>1597</v>
      </c>
      <c r="C5007" s="6" t="s">
        <v>2052</v>
      </c>
      <c r="D5007" s="6" t="s">
        <v>943</v>
      </c>
      <c r="G5007" s="6">
        <v>160</v>
      </c>
      <c r="H5007" s="6">
        <v>200</v>
      </c>
      <c r="I5007" s="9"/>
      <c r="J5007" s="9"/>
      <c r="K5007" s="9"/>
      <c r="L5007" s="6" t="str">
        <f t="shared" si="485"/>
        <v>1D  MARSILYA YATAK  160x200</v>
      </c>
      <c r="M5007" s="12"/>
      <c r="N5007" s="12"/>
      <c r="O5007" s="12"/>
      <c r="R5007" s="33"/>
      <c r="T5007" s="12"/>
      <c r="U5007" s="12"/>
      <c r="V5007" s="12"/>
      <c r="W5007" s="12">
        <f t="shared" si="486"/>
        <v>0</v>
      </c>
    </row>
    <row r="5008" spans="2:23" s="6" customFormat="1" ht="21.95" customHeight="1" x14ac:dyDescent="0.2">
      <c r="B5008" s="6" t="s">
        <v>1597</v>
      </c>
      <c r="C5008" s="6" t="s">
        <v>2052</v>
      </c>
      <c r="D5008" s="6" t="s">
        <v>943</v>
      </c>
      <c r="G5008" s="6">
        <v>180</v>
      </c>
      <c r="H5008" s="6">
        <v>200</v>
      </c>
      <c r="I5008" s="9"/>
      <c r="J5008" s="9"/>
      <c r="K5008" s="9"/>
      <c r="L5008" s="6" t="str">
        <f t="shared" si="485"/>
        <v>1D  MARSILYA YATAK  180x200</v>
      </c>
      <c r="M5008" s="12"/>
      <c r="N5008" s="12"/>
      <c r="O5008" s="12"/>
      <c r="R5008" s="33"/>
      <c r="T5008" s="12"/>
      <c r="U5008" s="12"/>
      <c r="V5008" s="12"/>
      <c r="W5008" s="12">
        <f t="shared" si="486"/>
        <v>0</v>
      </c>
    </row>
    <row r="5009" spans="2:23" s="6" customFormat="1" ht="21.95" customHeight="1" x14ac:dyDescent="0.2">
      <c r="B5009" s="6" t="s">
        <v>1597</v>
      </c>
      <c r="C5009" s="6" t="s">
        <v>2052</v>
      </c>
      <c r="D5009" s="6" t="s">
        <v>1380</v>
      </c>
      <c r="I5009" s="9"/>
      <c r="J5009" s="9"/>
      <c r="K5009" s="9"/>
      <c r="L5009" s="6" t="str">
        <f>B5009&amp;" "&amp;C5009&amp;" "&amp;D5009</f>
        <v>1D  MARSILYA KOMODİN (2 ADET)</v>
      </c>
      <c r="M5009" s="12"/>
      <c r="N5009" s="12"/>
      <c r="O5009" s="12"/>
      <c r="R5009" s="33"/>
      <c r="T5009" s="12"/>
      <c r="U5009" s="12"/>
      <c r="V5009" s="12"/>
      <c r="W5009" s="12">
        <f t="shared" si="486"/>
        <v>0</v>
      </c>
    </row>
    <row r="5010" spans="2:23" s="6" customFormat="1" ht="21.95" customHeight="1" x14ac:dyDescent="0.2">
      <c r="B5010" s="6" t="s">
        <v>1597</v>
      </c>
      <c r="C5010" s="6" t="s">
        <v>2053</v>
      </c>
      <c r="D5010" s="6" t="s">
        <v>989</v>
      </c>
      <c r="G5010" s="6">
        <v>140</v>
      </c>
      <c r="H5010" s="6">
        <v>200</v>
      </c>
      <c r="I5010" s="9"/>
      <c r="J5010" s="9"/>
      <c r="K5010" s="9"/>
      <c r="L5010" s="6" t="str">
        <f t="shared" ref="L5010:L5021" si="487">B5010&amp;" "&amp;C5010&amp;" "&amp;D5010&amp;" "&amp;G5010&amp;"x"&amp;H5010</f>
        <v>1D  MILANO  BAZA  140x200</v>
      </c>
      <c r="M5010" s="12"/>
      <c r="N5010" s="12"/>
      <c r="O5010" s="12"/>
      <c r="R5010" s="33"/>
      <c r="T5010" s="12"/>
      <c r="U5010" s="12"/>
      <c r="V5010" s="12"/>
      <c r="W5010" s="12">
        <f t="shared" si="486"/>
        <v>0</v>
      </c>
    </row>
    <row r="5011" spans="2:23" s="6" customFormat="1" ht="21.95" customHeight="1" x14ac:dyDescent="0.2">
      <c r="B5011" s="6" t="s">
        <v>1597</v>
      </c>
      <c r="C5011" s="6" t="s">
        <v>2053</v>
      </c>
      <c r="D5011" s="6" t="s">
        <v>989</v>
      </c>
      <c r="G5011" s="6">
        <v>150</v>
      </c>
      <c r="H5011" s="6">
        <v>200</v>
      </c>
      <c r="I5011" s="9"/>
      <c r="J5011" s="9"/>
      <c r="K5011" s="9"/>
      <c r="L5011" s="6" t="str">
        <f t="shared" si="487"/>
        <v>1D  MILANO  BAZA  150x200</v>
      </c>
      <c r="M5011" s="12"/>
      <c r="N5011" s="12"/>
      <c r="O5011" s="12"/>
      <c r="R5011" s="33"/>
      <c r="T5011" s="12"/>
      <c r="U5011" s="12"/>
      <c r="V5011" s="12"/>
      <c r="W5011" s="12">
        <f t="shared" si="486"/>
        <v>0</v>
      </c>
    </row>
    <row r="5012" spans="2:23" s="6" customFormat="1" ht="21.95" customHeight="1" x14ac:dyDescent="0.2">
      <c r="B5012" s="6" t="s">
        <v>1597</v>
      </c>
      <c r="C5012" s="6" t="s">
        <v>2053</v>
      </c>
      <c r="D5012" s="6" t="s">
        <v>989</v>
      </c>
      <c r="G5012" s="6">
        <v>160</v>
      </c>
      <c r="H5012" s="6">
        <v>200</v>
      </c>
      <c r="I5012" s="9"/>
      <c r="J5012" s="9"/>
      <c r="K5012" s="9"/>
      <c r="L5012" s="6" t="str">
        <f t="shared" si="487"/>
        <v>1D  MILANO  BAZA  160x200</v>
      </c>
      <c r="M5012" s="12"/>
      <c r="N5012" s="12"/>
      <c r="O5012" s="12"/>
      <c r="R5012" s="33"/>
      <c r="T5012" s="12"/>
      <c r="U5012" s="12"/>
      <c r="V5012" s="12"/>
      <c r="W5012" s="12">
        <f t="shared" si="486"/>
        <v>0</v>
      </c>
    </row>
    <row r="5013" spans="2:23" s="6" customFormat="1" ht="21.95" customHeight="1" x14ac:dyDescent="0.2">
      <c r="B5013" s="6" t="s">
        <v>1597</v>
      </c>
      <c r="C5013" s="6" t="s">
        <v>2053</v>
      </c>
      <c r="D5013" s="6" t="s">
        <v>989</v>
      </c>
      <c r="G5013" s="6">
        <v>180</v>
      </c>
      <c r="H5013" s="6">
        <v>200</v>
      </c>
      <c r="I5013" s="9"/>
      <c r="J5013" s="9"/>
      <c r="K5013" s="9"/>
      <c r="L5013" s="6" t="str">
        <f t="shared" si="487"/>
        <v>1D  MILANO  BAZA  180x200</v>
      </c>
      <c r="M5013" s="12"/>
      <c r="N5013" s="12"/>
      <c r="O5013" s="12"/>
      <c r="R5013" s="33"/>
      <c r="T5013" s="12"/>
      <c r="U5013" s="12"/>
      <c r="V5013" s="12"/>
      <c r="W5013" s="12">
        <f t="shared" si="486"/>
        <v>0</v>
      </c>
    </row>
    <row r="5014" spans="2:23" s="6" customFormat="1" ht="21.95" customHeight="1" x14ac:dyDescent="0.2">
      <c r="B5014" s="6" t="s">
        <v>1597</v>
      </c>
      <c r="C5014" s="6" t="s">
        <v>2053</v>
      </c>
      <c r="D5014" s="6" t="s">
        <v>1003</v>
      </c>
      <c r="G5014" s="6">
        <v>140</v>
      </c>
      <c r="H5014" s="6">
        <v>200</v>
      </c>
      <c r="I5014" s="9"/>
      <c r="J5014" s="9"/>
      <c r="K5014" s="9"/>
      <c r="L5014" s="6" t="str">
        <f t="shared" si="487"/>
        <v>1D  MILANO  BAŞLIK  140x200</v>
      </c>
      <c r="M5014" s="12"/>
      <c r="N5014" s="12"/>
      <c r="O5014" s="12"/>
      <c r="R5014" s="33"/>
      <c r="T5014" s="12"/>
      <c r="U5014" s="12"/>
      <c r="V5014" s="12"/>
      <c r="W5014" s="12">
        <f t="shared" si="486"/>
        <v>0</v>
      </c>
    </row>
    <row r="5015" spans="2:23" s="6" customFormat="1" ht="21.95" customHeight="1" x14ac:dyDescent="0.2">
      <c r="B5015" s="6" t="s">
        <v>1597</v>
      </c>
      <c r="C5015" s="6" t="s">
        <v>2053</v>
      </c>
      <c r="D5015" s="6" t="s">
        <v>1003</v>
      </c>
      <c r="G5015" s="6">
        <v>150</v>
      </c>
      <c r="H5015" s="6">
        <v>200</v>
      </c>
      <c r="I5015" s="9"/>
      <c r="J5015" s="9"/>
      <c r="K5015" s="9"/>
      <c r="L5015" s="6" t="str">
        <f t="shared" si="487"/>
        <v>1D  MILANO  BAŞLIK  150x200</v>
      </c>
      <c r="M5015" s="12"/>
      <c r="N5015" s="12"/>
      <c r="O5015" s="12"/>
      <c r="R5015" s="33"/>
      <c r="T5015" s="12"/>
      <c r="U5015" s="12"/>
      <c r="V5015" s="12"/>
      <c r="W5015" s="12">
        <f t="shared" si="486"/>
        <v>0</v>
      </c>
    </row>
    <row r="5016" spans="2:23" s="6" customFormat="1" ht="21.95" customHeight="1" x14ac:dyDescent="0.2">
      <c r="B5016" s="6" t="s">
        <v>1597</v>
      </c>
      <c r="C5016" s="6" t="s">
        <v>2053</v>
      </c>
      <c r="D5016" s="6" t="s">
        <v>1003</v>
      </c>
      <c r="G5016" s="6">
        <v>160</v>
      </c>
      <c r="H5016" s="6">
        <v>200</v>
      </c>
      <c r="I5016" s="9"/>
      <c r="J5016" s="9"/>
      <c r="K5016" s="9"/>
      <c r="L5016" s="6" t="str">
        <f t="shared" si="487"/>
        <v>1D  MILANO  BAŞLIK  160x200</v>
      </c>
      <c r="M5016" s="12"/>
      <c r="N5016" s="12"/>
      <c r="O5016" s="12"/>
      <c r="R5016" s="33"/>
      <c r="T5016" s="12"/>
      <c r="U5016" s="12"/>
      <c r="V5016" s="12"/>
      <c r="W5016" s="12">
        <f t="shared" si="486"/>
        <v>0</v>
      </c>
    </row>
    <row r="5017" spans="2:23" s="6" customFormat="1" ht="21.95" customHeight="1" x14ac:dyDescent="0.2">
      <c r="B5017" s="6" t="s">
        <v>1597</v>
      </c>
      <c r="C5017" s="6" t="s">
        <v>2053</v>
      </c>
      <c r="D5017" s="6" t="s">
        <v>1003</v>
      </c>
      <c r="G5017" s="6">
        <v>180</v>
      </c>
      <c r="H5017" s="6">
        <v>200</v>
      </c>
      <c r="I5017" s="9"/>
      <c r="J5017" s="9"/>
      <c r="K5017" s="9"/>
      <c r="L5017" s="6" t="str">
        <f t="shared" si="487"/>
        <v>1D  MILANO  BAŞLIK  180x200</v>
      </c>
      <c r="M5017" s="12"/>
      <c r="N5017" s="12"/>
      <c r="O5017" s="12"/>
      <c r="R5017" s="33"/>
      <c r="T5017" s="12"/>
      <c r="U5017" s="12"/>
      <c r="V5017" s="12"/>
      <c r="W5017" s="12">
        <f t="shared" si="486"/>
        <v>0</v>
      </c>
    </row>
    <row r="5018" spans="2:23" s="6" customFormat="1" ht="21.95" customHeight="1" x14ac:dyDescent="0.2">
      <c r="B5018" s="6" t="s">
        <v>1597</v>
      </c>
      <c r="C5018" s="6" t="s">
        <v>2053</v>
      </c>
      <c r="D5018" s="6" t="s">
        <v>943</v>
      </c>
      <c r="G5018" s="6">
        <v>140</v>
      </c>
      <c r="H5018" s="6">
        <v>200</v>
      </c>
      <c r="I5018" s="9"/>
      <c r="J5018" s="9"/>
      <c r="K5018" s="9"/>
      <c r="L5018" s="6" t="str">
        <f t="shared" si="487"/>
        <v>1D  MILANO  YATAK  140x200</v>
      </c>
      <c r="M5018" s="12"/>
      <c r="N5018" s="12"/>
      <c r="O5018" s="12"/>
      <c r="R5018" s="33"/>
      <c r="T5018" s="12"/>
      <c r="U5018" s="12"/>
      <c r="V5018" s="12"/>
      <c r="W5018" s="12">
        <f t="shared" si="486"/>
        <v>0</v>
      </c>
    </row>
    <row r="5019" spans="2:23" s="6" customFormat="1" ht="21.95" customHeight="1" x14ac:dyDescent="0.2">
      <c r="B5019" s="6" t="s">
        <v>1597</v>
      </c>
      <c r="C5019" s="6" t="s">
        <v>2053</v>
      </c>
      <c r="D5019" s="6" t="s">
        <v>943</v>
      </c>
      <c r="G5019" s="6">
        <v>150</v>
      </c>
      <c r="H5019" s="6">
        <v>200</v>
      </c>
      <c r="I5019" s="9"/>
      <c r="J5019" s="9"/>
      <c r="K5019" s="9"/>
      <c r="L5019" s="6" t="str">
        <f t="shared" si="487"/>
        <v>1D  MILANO  YATAK  150x200</v>
      </c>
      <c r="M5019" s="12"/>
      <c r="N5019" s="12"/>
      <c r="O5019" s="12"/>
      <c r="R5019" s="33"/>
      <c r="T5019" s="12"/>
      <c r="U5019" s="12"/>
      <c r="V5019" s="12"/>
      <c r="W5019" s="12">
        <f t="shared" si="486"/>
        <v>0</v>
      </c>
    </row>
    <row r="5020" spans="2:23" s="6" customFormat="1" ht="21.95" customHeight="1" x14ac:dyDescent="0.2">
      <c r="B5020" s="6" t="s">
        <v>1597</v>
      </c>
      <c r="C5020" s="6" t="s">
        <v>2053</v>
      </c>
      <c r="D5020" s="6" t="s">
        <v>943</v>
      </c>
      <c r="G5020" s="6">
        <v>160</v>
      </c>
      <c r="H5020" s="6">
        <v>200</v>
      </c>
      <c r="I5020" s="9"/>
      <c r="J5020" s="9"/>
      <c r="K5020" s="9"/>
      <c r="L5020" s="6" t="str">
        <f t="shared" si="487"/>
        <v>1D  MILANO  YATAK  160x200</v>
      </c>
      <c r="M5020" s="12"/>
      <c r="N5020" s="12"/>
      <c r="O5020" s="12"/>
      <c r="R5020" s="33"/>
      <c r="T5020" s="12"/>
      <c r="U5020" s="12"/>
      <c r="V5020" s="12"/>
      <c r="W5020" s="12">
        <f t="shared" si="486"/>
        <v>0</v>
      </c>
    </row>
    <row r="5021" spans="2:23" s="6" customFormat="1" ht="21.95" customHeight="1" x14ac:dyDescent="0.2">
      <c r="B5021" s="6" t="s">
        <v>1597</v>
      </c>
      <c r="C5021" s="6" t="s">
        <v>2053</v>
      </c>
      <c r="D5021" s="6" t="s">
        <v>943</v>
      </c>
      <c r="G5021" s="6">
        <v>180</v>
      </c>
      <c r="H5021" s="6">
        <v>200</v>
      </c>
      <c r="I5021" s="9"/>
      <c r="J5021" s="9"/>
      <c r="K5021" s="9"/>
      <c r="L5021" s="6" t="str">
        <f t="shared" si="487"/>
        <v>1D  MILANO  YATAK  180x200</v>
      </c>
      <c r="M5021" s="12"/>
      <c r="N5021" s="12"/>
      <c r="O5021" s="12"/>
      <c r="R5021" s="33"/>
      <c r="T5021" s="12"/>
      <c r="U5021" s="12"/>
      <c r="V5021" s="12"/>
      <c r="W5021" s="12">
        <f t="shared" si="486"/>
        <v>0</v>
      </c>
    </row>
    <row r="5022" spans="2:23" s="6" customFormat="1" ht="21.95" customHeight="1" x14ac:dyDescent="0.2">
      <c r="B5022" s="6" t="s">
        <v>1597</v>
      </c>
      <c r="C5022" s="6" t="s">
        <v>2053</v>
      </c>
      <c r="D5022" s="6" t="s">
        <v>1380</v>
      </c>
      <c r="I5022" s="9"/>
      <c r="J5022" s="9"/>
      <c r="K5022" s="9"/>
      <c r="L5022" s="6" t="str">
        <f>B5022&amp;" "&amp;C5022&amp;" "&amp;D5022</f>
        <v>1D  MILANO  KOMODİN (2 ADET)</v>
      </c>
      <c r="M5022" s="12"/>
      <c r="N5022" s="12"/>
      <c r="O5022" s="12"/>
      <c r="R5022" s="33"/>
      <c r="T5022" s="12"/>
      <c r="U5022" s="12"/>
      <c r="V5022" s="12"/>
      <c r="W5022" s="12">
        <f t="shared" si="486"/>
        <v>0</v>
      </c>
    </row>
    <row r="5023" spans="2:23" s="6" customFormat="1" ht="21.95" customHeight="1" x14ac:dyDescent="0.2">
      <c r="B5023" s="6" t="s">
        <v>1597</v>
      </c>
      <c r="C5023" s="6" t="s">
        <v>2054</v>
      </c>
      <c r="D5023" s="6" t="s">
        <v>989</v>
      </c>
      <c r="G5023" s="6">
        <v>140</v>
      </c>
      <c r="H5023" s="6">
        <v>200</v>
      </c>
      <c r="I5023" s="9"/>
      <c r="J5023" s="9"/>
      <c r="K5023" s="9"/>
      <c r="L5023" s="6" t="str">
        <f t="shared" ref="L5023:L5034" si="488">B5023&amp;" "&amp;C5023&amp;" "&amp;D5023&amp;" "&amp;G5023&amp;"x"&amp;H5023</f>
        <v>1D  MONACO  BAZA  140x200</v>
      </c>
      <c r="M5023" s="12"/>
      <c r="N5023" s="12"/>
      <c r="O5023" s="12"/>
      <c r="R5023" s="33"/>
      <c r="T5023" s="12"/>
      <c r="U5023" s="12"/>
      <c r="V5023" s="12"/>
      <c r="W5023" s="12">
        <f t="shared" si="486"/>
        <v>0</v>
      </c>
    </row>
    <row r="5024" spans="2:23" s="6" customFormat="1" ht="21.95" customHeight="1" x14ac:dyDescent="0.2">
      <c r="B5024" s="6" t="s">
        <v>1597</v>
      </c>
      <c r="C5024" s="6" t="s">
        <v>2054</v>
      </c>
      <c r="D5024" s="6" t="s">
        <v>989</v>
      </c>
      <c r="G5024" s="6">
        <v>150</v>
      </c>
      <c r="H5024" s="6">
        <v>200</v>
      </c>
      <c r="I5024" s="9"/>
      <c r="J5024" s="9"/>
      <c r="K5024" s="9"/>
      <c r="L5024" s="6" t="str">
        <f t="shared" si="488"/>
        <v>1D  MONACO  BAZA  150x200</v>
      </c>
      <c r="M5024" s="12"/>
      <c r="N5024" s="12"/>
      <c r="O5024" s="12"/>
      <c r="R5024" s="33"/>
      <c r="T5024" s="12"/>
      <c r="U5024" s="12"/>
      <c r="V5024" s="12"/>
      <c r="W5024" s="12">
        <f t="shared" si="486"/>
        <v>0</v>
      </c>
    </row>
    <row r="5025" spans="2:23" s="6" customFormat="1" ht="21.95" customHeight="1" x14ac:dyDescent="0.2">
      <c r="B5025" s="6" t="s">
        <v>1597</v>
      </c>
      <c r="C5025" s="6" t="s">
        <v>2054</v>
      </c>
      <c r="D5025" s="6" t="s">
        <v>989</v>
      </c>
      <c r="G5025" s="6">
        <v>160</v>
      </c>
      <c r="H5025" s="6">
        <v>200</v>
      </c>
      <c r="I5025" s="9"/>
      <c r="J5025" s="9"/>
      <c r="K5025" s="9"/>
      <c r="L5025" s="6" t="str">
        <f t="shared" si="488"/>
        <v>1D  MONACO  BAZA  160x200</v>
      </c>
      <c r="M5025" s="12"/>
      <c r="N5025" s="12"/>
      <c r="O5025" s="12"/>
      <c r="R5025" s="33"/>
      <c r="T5025" s="12"/>
      <c r="U5025" s="12"/>
      <c r="V5025" s="12"/>
      <c r="W5025" s="12">
        <f t="shared" si="486"/>
        <v>0</v>
      </c>
    </row>
    <row r="5026" spans="2:23" s="6" customFormat="1" ht="21.95" customHeight="1" x14ac:dyDescent="0.2">
      <c r="B5026" s="6" t="s">
        <v>1597</v>
      </c>
      <c r="C5026" s="6" t="s">
        <v>2054</v>
      </c>
      <c r="D5026" s="6" t="s">
        <v>989</v>
      </c>
      <c r="G5026" s="6">
        <v>180</v>
      </c>
      <c r="H5026" s="6">
        <v>200</v>
      </c>
      <c r="I5026" s="9"/>
      <c r="J5026" s="9"/>
      <c r="K5026" s="9"/>
      <c r="L5026" s="6" t="str">
        <f t="shared" si="488"/>
        <v>1D  MONACO  BAZA  180x200</v>
      </c>
      <c r="M5026" s="12"/>
      <c r="N5026" s="12"/>
      <c r="O5026" s="12"/>
      <c r="R5026" s="33"/>
      <c r="T5026" s="12"/>
      <c r="U5026" s="12"/>
      <c r="V5026" s="12"/>
      <c r="W5026" s="12">
        <f t="shared" si="486"/>
        <v>0</v>
      </c>
    </row>
    <row r="5027" spans="2:23" s="6" customFormat="1" ht="21.95" customHeight="1" x14ac:dyDescent="0.2">
      <c r="B5027" s="6" t="s">
        <v>1597</v>
      </c>
      <c r="C5027" s="6" t="s">
        <v>2054</v>
      </c>
      <c r="D5027" s="6" t="s">
        <v>1003</v>
      </c>
      <c r="G5027" s="6">
        <v>140</v>
      </c>
      <c r="H5027" s="6">
        <v>200</v>
      </c>
      <c r="I5027" s="9"/>
      <c r="J5027" s="9"/>
      <c r="K5027" s="9"/>
      <c r="L5027" s="6" t="str">
        <f t="shared" si="488"/>
        <v>1D  MONACO  BAŞLIK  140x200</v>
      </c>
      <c r="M5027" s="12"/>
      <c r="N5027" s="12"/>
      <c r="O5027" s="12"/>
      <c r="R5027" s="33"/>
      <c r="T5027" s="12"/>
      <c r="U5027" s="12"/>
      <c r="V5027" s="12"/>
      <c r="W5027" s="12">
        <f t="shared" ref="W5027:W5058" si="489">P5027*2.5</f>
        <v>0</v>
      </c>
    </row>
    <row r="5028" spans="2:23" s="6" customFormat="1" ht="21.95" customHeight="1" x14ac:dyDescent="0.2">
      <c r="B5028" s="6" t="s">
        <v>1597</v>
      </c>
      <c r="C5028" s="6" t="s">
        <v>2054</v>
      </c>
      <c r="D5028" s="6" t="s">
        <v>1003</v>
      </c>
      <c r="G5028" s="6">
        <v>150</v>
      </c>
      <c r="H5028" s="6">
        <v>200</v>
      </c>
      <c r="I5028" s="9"/>
      <c r="J5028" s="9"/>
      <c r="K5028" s="9"/>
      <c r="L5028" s="6" t="str">
        <f t="shared" si="488"/>
        <v>1D  MONACO  BAŞLIK  150x200</v>
      </c>
      <c r="M5028" s="12"/>
      <c r="N5028" s="12"/>
      <c r="O5028" s="12"/>
      <c r="R5028" s="33"/>
      <c r="T5028" s="12"/>
      <c r="U5028" s="12"/>
      <c r="V5028" s="12"/>
      <c r="W5028" s="12">
        <f t="shared" si="489"/>
        <v>0</v>
      </c>
    </row>
    <row r="5029" spans="2:23" s="6" customFormat="1" ht="21.95" customHeight="1" x14ac:dyDescent="0.2">
      <c r="B5029" s="6" t="s">
        <v>1597</v>
      </c>
      <c r="C5029" s="6" t="s">
        <v>2054</v>
      </c>
      <c r="D5029" s="6" t="s">
        <v>1003</v>
      </c>
      <c r="G5029" s="6">
        <v>160</v>
      </c>
      <c r="H5029" s="6">
        <v>200</v>
      </c>
      <c r="I5029" s="9"/>
      <c r="J5029" s="9"/>
      <c r="K5029" s="9"/>
      <c r="L5029" s="6" t="str">
        <f t="shared" si="488"/>
        <v>1D  MONACO  BAŞLIK  160x200</v>
      </c>
      <c r="M5029" s="12"/>
      <c r="N5029" s="12"/>
      <c r="O5029" s="12"/>
      <c r="R5029" s="33"/>
      <c r="T5029" s="12"/>
      <c r="U5029" s="12"/>
      <c r="V5029" s="12"/>
      <c r="W5029" s="12">
        <f t="shared" si="489"/>
        <v>0</v>
      </c>
    </row>
    <row r="5030" spans="2:23" s="6" customFormat="1" ht="21.95" customHeight="1" x14ac:dyDescent="0.2">
      <c r="B5030" s="6" t="s">
        <v>1597</v>
      </c>
      <c r="C5030" s="6" t="s">
        <v>2054</v>
      </c>
      <c r="D5030" s="6" t="s">
        <v>1003</v>
      </c>
      <c r="G5030" s="6">
        <v>180</v>
      </c>
      <c r="H5030" s="6">
        <v>200</v>
      </c>
      <c r="I5030" s="9"/>
      <c r="J5030" s="9"/>
      <c r="K5030" s="9"/>
      <c r="L5030" s="6" t="str">
        <f t="shared" si="488"/>
        <v>1D  MONACO  BAŞLIK  180x200</v>
      </c>
      <c r="M5030" s="12"/>
      <c r="N5030" s="12"/>
      <c r="O5030" s="12"/>
      <c r="R5030" s="33"/>
      <c r="T5030" s="12"/>
      <c r="U5030" s="12"/>
      <c r="V5030" s="12"/>
      <c r="W5030" s="12">
        <f t="shared" si="489"/>
        <v>0</v>
      </c>
    </row>
    <row r="5031" spans="2:23" s="6" customFormat="1" ht="21.95" customHeight="1" x14ac:dyDescent="0.2">
      <c r="B5031" s="6" t="s">
        <v>1597</v>
      </c>
      <c r="C5031" s="6" t="s">
        <v>2054</v>
      </c>
      <c r="D5031" s="6" t="s">
        <v>943</v>
      </c>
      <c r="G5031" s="6">
        <v>140</v>
      </c>
      <c r="H5031" s="6">
        <v>200</v>
      </c>
      <c r="I5031" s="9"/>
      <c r="J5031" s="9"/>
      <c r="K5031" s="9"/>
      <c r="L5031" s="6" t="str">
        <f t="shared" si="488"/>
        <v>1D  MONACO  YATAK  140x200</v>
      </c>
      <c r="M5031" s="12"/>
      <c r="N5031" s="12"/>
      <c r="O5031" s="12"/>
      <c r="R5031" s="33"/>
      <c r="T5031" s="12"/>
      <c r="U5031" s="12"/>
      <c r="V5031" s="12"/>
      <c r="W5031" s="12">
        <f t="shared" si="489"/>
        <v>0</v>
      </c>
    </row>
    <row r="5032" spans="2:23" s="6" customFormat="1" ht="21.95" customHeight="1" x14ac:dyDescent="0.2">
      <c r="B5032" s="6" t="s">
        <v>1597</v>
      </c>
      <c r="C5032" s="6" t="s">
        <v>2054</v>
      </c>
      <c r="D5032" s="6" t="s">
        <v>943</v>
      </c>
      <c r="G5032" s="6">
        <v>150</v>
      </c>
      <c r="H5032" s="6">
        <v>200</v>
      </c>
      <c r="I5032" s="9"/>
      <c r="J5032" s="9"/>
      <c r="K5032" s="9"/>
      <c r="L5032" s="6" t="str">
        <f t="shared" si="488"/>
        <v>1D  MONACO  YATAK  150x200</v>
      </c>
      <c r="M5032" s="12"/>
      <c r="N5032" s="12"/>
      <c r="O5032" s="12"/>
      <c r="R5032" s="33"/>
      <c r="T5032" s="12"/>
      <c r="U5032" s="12"/>
      <c r="V5032" s="12"/>
      <c r="W5032" s="12">
        <f t="shared" si="489"/>
        <v>0</v>
      </c>
    </row>
    <row r="5033" spans="2:23" s="6" customFormat="1" ht="21.95" customHeight="1" x14ac:dyDescent="0.2">
      <c r="B5033" s="6" t="s">
        <v>1597</v>
      </c>
      <c r="C5033" s="6" t="s">
        <v>2054</v>
      </c>
      <c r="D5033" s="6" t="s">
        <v>943</v>
      </c>
      <c r="G5033" s="6">
        <v>160</v>
      </c>
      <c r="H5033" s="6">
        <v>200</v>
      </c>
      <c r="I5033" s="9"/>
      <c r="J5033" s="9"/>
      <c r="K5033" s="9"/>
      <c r="L5033" s="6" t="str">
        <f t="shared" si="488"/>
        <v>1D  MONACO  YATAK  160x200</v>
      </c>
      <c r="M5033" s="12"/>
      <c r="N5033" s="12"/>
      <c r="O5033" s="12"/>
      <c r="R5033" s="33"/>
      <c r="T5033" s="12"/>
      <c r="U5033" s="12"/>
      <c r="V5033" s="12"/>
      <c r="W5033" s="12">
        <f t="shared" si="489"/>
        <v>0</v>
      </c>
    </row>
    <row r="5034" spans="2:23" s="6" customFormat="1" ht="21.95" customHeight="1" x14ac:dyDescent="0.2">
      <c r="B5034" s="6" t="s">
        <v>1597</v>
      </c>
      <c r="C5034" s="6" t="s">
        <v>2054</v>
      </c>
      <c r="D5034" s="6" t="s">
        <v>943</v>
      </c>
      <c r="G5034" s="6">
        <v>180</v>
      </c>
      <c r="H5034" s="6">
        <v>200</v>
      </c>
      <c r="I5034" s="9"/>
      <c r="J5034" s="9"/>
      <c r="K5034" s="9"/>
      <c r="L5034" s="6" t="str">
        <f t="shared" si="488"/>
        <v>1D  MONACO  YATAK  180x200</v>
      </c>
      <c r="M5034" s="12"/>
      <c r="N5034" s="12"/>
      <c r="O5034" s="12"/>
      <c r="R5034" s="33"/>
      <c r="T5034" s="12"/>
      <c r="U5034" s="12"/>
      <c r="V5034" s="12"/>
      <c r="W5034" s="12">
        <f t="shared" si="489"/>
        <v>0</v>
      </c>
    </row>
    <row r="5035" spans="2:23" s="6" customFormat="1" ht="21.95" customHeight="1" x14ac:dyDescent="0.2">
      <c r="B5035" s="6" t="s">
        <v>1597</v>
      </c>
      <c r="C5035" s="6" t="s">
        <v>2054</v>
      </c>
      <c r="D5035" s="6" t="s">
        <v>1380</v>
      </c>
      <c r="I5035" s="9"/>
      <c r="J5035" s="9"/>
      <c r="K5035" s="9"/>
      <c r="L5035" s="6" t="str">
        <f>B5035&amp;" "&amp;C5035&amp;" "&amp;D5035&amp;" "&amp;G5035</f>
        <v xml:space="preserve">1D  MONACO  KOMODİN (2 ADET) </v>
      </c>
      <c r="M5035" s="12"/>
      <c r="N5035" s="12"/>
      <c r="O5035" s="12"/>
      <c r="R5035" s="33"/>
      <c r="T5035" s="12"/>
      <c r="U5035" s="12"/>
      <c r="V5035" s="12"/>
      <c r="W5035" s="12">
        <f t="shared" si="489"/>
        <v>0</v>
      </c>
    </row>
    <row r="5036" spans="2:23" s="6" customFormat="1" ht="21.95" customHeight="1" x14ac:dyDescent="0.2">
      <c r="B5036" s="6" t="s">
        <v>1597</v>
      </c>
      <c r="C5036" s="6" t="s">
        <v>1065</v>
      </c>
      <c r="D5036" s="6" t="s">
        <v>2305</v>
      </c>
      <c r="G5036" s="6">
        <v>90</v>
      </c>
      <c r="H5036" s="6">
        <v>190</v>
      </c>
      <c r="I5036" s="9"/>
      <c r="J5036" s="9"/>
      <c r="K5036" s="9"/>
      <c r="L5036" s="6" t="str">
        <f t="shared" ref="L5036:L5051" si="490">B5036&amp;" "&amp;C5036&amp;" "&amp;D5036&amp;" "&amp;G5036&amp;"x"&amp;H5036</f>
        <v>1D  NOVA  BAZA + BAŞLIK + TRAVERS 90x190</v>
      </c>
      <c r="M5036" s="12"/>
      <c r="N5036" s="12"/>
      <c r="O5036" s="12"/>
      <c r="R5036" s="33"/>
      <c r="T5036" s="12"/>
      <c r="U5036" s="12"/>
      <c r="V5036" s="12"/>
      <c r="W5036" s="12">
        <f t="shared" si="489"/>
        <v>0</v>
      </c>
    </row>
    <row r="5037" spans="2:23" s="6" customFormat="1" ht="21.95" customHeight="1" x14ac:dyDescent="0.2">
      <c r="B5037" s="6" t="s">
        <v>1597</v>
      </c>
      <c r="C5037" s="6" t="s">
        <v>1065</v>
      </c>
      <c r="D5037" s="6" t="s">
        <v>2305</v>
      </c>
      <c r="G5037" s="6">
        <v>90</v>
      </c>
      <c r="H5037" s="6">
        <v>200</v>
      </c>
      <c r="I5037" s="9"/>
      <c r="J5037" s="9"/>
      <c r="K5037" s="9"/>
      <c r="L5037" s="6" t="str">
        <f t="shared" si="490"/>
        <v>1D  NOVA  BAZA + BAŞLIK + TRAVERS 90x200</v>
      </c>
      <c r="M5037" s="12"/>
      <c r="N5037" s="12"/>
      <c r="O5037" s="12"/>
      <c r="R5037" s="33"/>
      <c r="T5037" s="12"/>
      <c r="U5037" s="12"/>
      <c r="V5037" s="12"/>
      <c r="W5037" s="12">
        <f t="shared" si="489"/>
        <v>0</v>
      </c>
    </row>
    <row r="5038" spans="2:23" s="6" customFormat="1" ht="21.95" customHeight="1" x14ac:dyDescent="0.2">
      <c r="B5038" s="6" t="s">
        <v>1597</v>
      </c>
      <c r="C5038" s="6" t="s">
        <v>1065</v>
      </c>
      <c r="D5038" s="6" t="s">
        <v>2305</v>
      </c>
      <c r="G5038" s="6">
        <v>100</v>
      </c>
      <c r="H5038" s="6">
        <v>200</v>
      </c>
      <c r="I5038" s="9"/>
      <c r="J5038" s="9"/>
      <c r="K5038" s="9"/>
      <c r="L5038" s="6" t="str">
        <f t="shared" si="490"/>
        <v>1D  NOVA  BAZA + BAŞLIK + TRAVERS 100x200</v>
      </c>
      <c r="M5038" s="12"/>
      <c r="N5038" s="12"/>
      <c r="O5038" s="12"/>
      <c r="R5038" s="33"/>
      <c r="T5038" s="12"/>
      <c r="U5038" s="12"/>
      <c r="V5038" s="12"/>
      <c r="W5038" s="12">
        <f t="shared" si="489"/>
        <v>0</v>
      </c>
    </row>
    <row r="5039" spans="2:23" s="6" customFormat="1" ht="21.95" customHeight="1" x14ac:dyDescent="0.2">
      <c r="B5039" s="6" t="s">
        <v>1597</v>
      </c>
      <c r="C5039" s="6" t="s">
        <v>1065</v>
      </c>
      <c r="D5039" s="6" t="s">
        <v>2305</v>
      </c>
      <c r="G5039" s="6">
        <v>120</v>
      </c>
      <c r="H5039" s="6">
        <v>200</v>
      </c>
      <c r="I5039" s="9"/>
      <c r="J5039" s="9"/>
      <c r="K5039" s="9"/>
      <c r="L5039" s="6" t="str">
        <f t="shared" si="490"/>
        <v>1D  NOVA  BAZA + BAŞLIK + TRAVERS 120x200</v>
      </c>
      <c r="M5039" s="12"/>
      <c r="N5039" s="12"/>
      <c r="O5039" s="12"/>
      <c r="R5039" s="33"/>
      <c r="T5039" s="12"/>
      <c r="U5039" s="12"/>
      <c r="V5039" s="12"/>
      <c r="W5039" s="12">
        <f t="shared" si="489"/>
        <v>0</v>
      </c>
    </row>
    <row r="5040" spans="2:23" s="6" customFormat="1" ht="21.95" customHeight="1" x14ac:dyDescent="0.2">
      <c r="B5040" s="6" t="s">
        <v>1597</v>
      </c>
      <c r="C5040" s="6" t="s">
        <v>1065</v>
      </c>
      <c r="D5040" s="6" t="s">
        <v>2305</v>
      </c>
      <c r="G5040" s="6">
        <v>140</v>
      </c>
      <c r="H5040" s="6">
        <v>200</v>
      </c>
      <c r="I5040" s="9"/>
      <c r="J5040" s="9"/>
      <c r="K5040" s="9"/>
      <c r="L5040" s="6" t="str">
        <f t="shared" si="490"/>
        <v>1D  NOVA  BAZA + BAŞLIK + TRAVERS 140x200</v>
      </c>
      <c r="M5040" s="12"/>
      <c r="N5040" s="12"/>
      <c r="O5040" s="12"/>
      <c r="R5040" s="33"/>
      <c r="T5040" s="12"/>
      <c r="U5040" s="12"/>
      <c r="V5040" s="12"/>
      <c r="W5040" s="12">
        <f t="shared" si="489"/>
        <v>0</v>
      </c>
    </row>
    <row r="5041" spans="2:23" s="6" customFormat="1" ht="21.95" customHeight="1" x14ac:dyDescent="0.2">
      <c r="B5041" s="6" t="s">
        <v>1597</v>
      </c>
      <c r="C5041" s="6" t="s">
        <v>1065</v>
      </c>
      <c r="D5041" s="6" t="s">
        <v>2305</v>
      </c>
      <c r="G5041" s="6">
        <v>150</v>
      </c>
      <c r="H5041" s="6">
        <v>200</v>
      </c>
      <c r="I5041" s="9"/>
      <c r="J5041" s="9"/>
      <c r="K5041" s="9"/>
      <c r="L5041" s="6" t="str">
        <f t="shared" si="490"/>
        <v>1D  NOVA  BAZA + BAŞLIK + TRAVERS 150x200</v>
      </c>
      <c r="M5041" s="12"/>
      <c r="N5041" s="12"/>
      <c r="O5041" s="12"/>
      <c r="R5041" s="33"/>
      <c r="T5041" s="12"/>
      <c r="U5041" s="12"/>
      <c r="V5041" s="12"/>
      <c r="W5041" s="12">
        <f t="shared" si="489"/>
        <v>0</v>
      </c>
    </row>
    <row r="5042" spans="2:23" s="6" customFormat="1" ht="21.95" customHeight="1" x14ac:dyDescent="0.2">
      <c r="B5042" s="6" t="s">
        <v>1597</v>
      </c>
      <c r="C5042" s="6" t="s">
        <v>1065</v>
      </c>
      <c r="D5042" s="6" t="s">
        <v>2305</v>
      </c>
      <c r="G5042" s="6">
        <v>160</v>
      </c>
      <c r="H5042" s="6">
        <v>200</v>
      </c>
      <c r="I5042" s="9"/>
      <c r="J5042" s="9"/>
      <c r="K5042" s="9"/>
      <c r="L5042" s="6" t="str">
        <f t="shared" si="490"/>
        <v>1D  NOVA  BAZA + BAŞLIK + TRAVERS 160x200</v>
      </c>
      <c r="M5042" s="12"/>
      <c r="N5042" s="12"/>
      <c r="O5042" s="12"/>
      <c r="R5042" s="33"/>
      <c r="T5042" s="12"/>
      <c r="U5042" s="12"/>
      <c r="V5042" s="12"/>
      <c r="W5042" s="12">
        <f t="shared" si="489"/>
        <v>0</v>
      </c>
    </row>
    <row r="5043" spans="2:23" s="6" customFormat="1" ht="21.95" customHeight="1" x14ac:dyDescent="0.2">
      <c r="B5043" s="6" t="s">
        <v>1597</v>
      </c>
      <c r="C5043" s="6" t="s">
        <v>1065</v>
      </c>
      <c r="D5043" s="6" t="s">
        <v>2305</v>
      </c>
      <c r="G5043" s="6">
        <v>180</v>
      </c>
      <c r="H5043" s="6">
        <v>200</v>
      </c>
      <c r="I5043" s="9"/>
      <c r="J5043" s="9"/>
      <c r="K5043" s="9"/>
      <c r="L5043" s="6" t="str">
        <f t="shared" si="490"/>
        <v>1D  NOVA  BAZA + BAŞLIK + TRAVERS 180x200</v>
      </c>
      <c r="M5043" s="12"/>
      <c r="N5043" s="12"/>
      <c r="O5043" s="12"/>
      <c r="R5043" s="33"/>
      <c r="T5043" s="12"/>
      <c r="U5043" s="12"/>
      <c r="V5043" s="12"/>
      <c r="W5043" s="12">
        <f t="shared" si="489"/>
        <v>0</v>
      </c>
    </row>
    <row r="5044" spans="2:23" s="6" customFormat="1" ht="21.95" customHeight="1" x14ac:dyDescent="0.2">
      <c r="B5044" s="6" t="s">
        <v>1597</v>
      </c>
      <c r="C5044" s="6" t="s">
        <v>1065</v>
      </c>
      <c r="D5044" s="6" t="s">
        <v>943</v>
      </c>
      <c r="G5044" s="6">
        <v>90</v>
      </c>
      <c r="H5044" s="6">
        <v>190</v>
      </c>
      <c r="I5044" s="9"/>
      <c r="J5044" s="9"/>
      <c r="K5044" s="9"/>
      <c r="L5044" s="6" t="str">
        <f t="shared" si="490"/>
        <v>1D  NOVA  YATAK  90x190</v>
      </c>
      <c r="M5044" s="12"/>
      <c r="N5044" s="12"/>
      <c r="O5044" s="12"/>
      <c r="R5044" s="33"/>
      <c r="T5044" s="12"/>
      <c r="U5044" s="12"/>
      <c r="V5044" s="12"/>
      <c r="W5044" s="12">
        <f t="shared" si="489"/>
        <v>0</v>
      </c>
    </row>
    <row r="5045" spans="2:23" s="6" customFormat="1" ht="21.95" customHeight="1" x14ac:dyDescent="0.2">
      <c r="B5045" s="6" t="s">
        <v>1597</v>
      </c>
      <c r="C5045" s="6" t="s">
        <v>1065</v>
      </c>
      <c r="D5045" s="6" t="s">
        <v>943</v>
      </c>
      <c r="G5045" s="6">
        <v>90</v>
      </c>
      <c r="H5045" s="6">
        <v>200</v>
      </c>
      <c r="I5045" s="9"/>
      <c r="J5045" s="9"/>
      <c r="K5045" s="9"/>
      <c r="L5045" s="6" t="str">
        <f t="shared" si="490"/>
        <v>1D  NOVA  YATAK  90x200</v>
      </c>
      <c r="M5045" s="12"/>
      <c r="N5045" s="12"/>
      <c r="O5045" s="12"/>
      <c r="R5045" s="33"/>
      <c r="T5045" s="12"/>
      <c r="U5045" s="12"/>
      <c r="V5045" s="12"/>
      <c r="W5045" s="12">
        <f t="shared" si="489"/>
        <v>0</v>
      </c>
    </row>
    <row r="5046" spans="2:23" s="6" customFormat="1" ht="21.95" customHeight="1" x14ac:dyDescent="0.2">
      <c r="B5046" s="6" t="s">
        <v>1597</v>
      </c>
      <c r="C5046" s="6" t="s">
        <v>1065</v>
      </c>
      <c r="D5046" s="6" t="s">
        <v>943</v>
      </c>
      <c r="G5046" s="6">
        <v>100</v>
      </c>
      <c r="H5046" s="6">
        <v>200</v>
      </c>
      <c r="I5046" s="9"/>
      <c r="J5046" s="9"/>
      <c r="K5046" s="9"/>
      <c r="L5046" s="6" t="str">
        <f t="shared" si="490"/>
        <v>1D  NOVA  YATAK  100x200</v>
      </c>
      <c r="M5046" s="12"/>
      <c r="N5046" s="12"/>
      <c r="O5046" s="12"/>
      <c r="R5046" s="33"/>
      <c r="T5046" s="12"/>
      <c r="U5046" s="12"/>
      <c r="V5046" s="12"/>
      <c r="W5046" s="12">
        <f t="shared" si="489"/>
        <v>0</v>
      </c>
    </row>
    <row r="5047" spans="2:23" s="6" customFormat="1" ht="21.95" customHeight="1" x14ac:dyDescent="0.2">
      <c r="B5047" s="6" t="s">
        <v>1597</v>
      </c>
      <c r="C5047" s="6" t="s">
        <v>1065</v>
      </c>
      <c r="D5047" s="6" t="s">
        <v>943</v>
      </c>
      <c r="G5047" s="6">
        <v>120</v>
      </c>
      <c r="H5047" s="6">
        <v>200</v>
      </c>
      <c r="I5047" s="9"/>
      <c r="J5047" s="9"/>
      <c r="K5047" s="9"/>
      <c r="L5047" s="6" t="str">
        <f t="shared" si="490"/>
        <v>1D  NOVA  YATAK  120x200</v>
      </c>
      <c r="M5047" s="12"/>
      <c r="N5047" s="12"/>
      <c r="O5047" s="12"/>
      <c r="R5047" s="33"/>
      <c r="T5047" s="12"/>
      <c r="U5047" s="12"/>
      <c r="V5047" s="12"/>
      <c r="W5047" s="12">
        <f t="shared" si="489"/>
        <v>0</v>
      </c>
    </row>
    <row r="5048" spans="2:23" s="6" customFormat="1" ht="21.95" customHeight="1" x14ac:dyDescent="0.2">
      <c r="B5048" s="6" t="s">
        <v>1597</v>
      </c>
      <c r="C5048" s="6" t="s">
        <v>1065</v>
      </c>
      <c r="D5048" s="6" t="s">
        <v>943</v>
      </c>
      <c r="G5048" s="6">
        <v>140</v>
      </c>
      <c r="H5048" s="6">
        <v>200</v>
      </c>
      <c r="I5048" s="9"/>
      <c r="J5048" s="9"/>
      <c r="K5048" s="9"/>
      <c r="L5048" s="6" t="str">
        <f t="shared" si="490"/>
        <v>1D  NOVA  YATAK  140x200</v>
      </c>
      <c r="M5048" s="12"/>
      <c r="N5048" s="12"/>
      <c r="O5048" s="12"/>
      <c r="R5048" s="33"/>
      <c r="T5048" s="12"/>
      <c r="U5048" s="12"/>
      <c r="V5048" s="12"/>
      <c r="W5048" s="12">
        <f t="shared" si="489"/>
        <v>0</v>
      </c>
    </row>
    <row r="5049" spans="2:23" s="6" customFormat="1" ht="21.95" customHeight="1" x14ac:dyDescent="0.2">
      <c r="B5049" s="6" t="s">
        <v>1597</v>
      </c>
      <c r="C5049" s="6" t="s">
        <v>1065</v>
      </c>
      <c r="D5049" s="6" t="s">
        <v>943</v>
      </c>
      <c r="G5049" s="6">
        <v>150</v>
      </c>
      <c r="H5049" s="6">
        <v>200</v>
      </c>
      <c r="I5049" s="9"/>
      <c r="J5049" s="9"/>
      <c r="K5049" s="9"/>
      <c r="L5049" s="6" t="str">
        <f t="shared" si="490"/>
        <v>1D  NOVA  YATAK  150x200</v>
      </c>
      <c r="M5049" s="12"/>
      <c r="N5049" s="12"/>
      <c r="O5049" s="12"/>
      <c r="R5049" s="33"/>
      <c r="T5049" s="12"/>
      <c r="U5049" s="12"/>
      <c r="V5049" s="12"/>
      <c r="W5049" s="12">
        <f t="shared" si="489"/>
        <v>0</v>
      </c>
    </row>
    <row r="5050" spans="2:23" s="6" customFormat="1" ht="21.95" customHeight="1" x14ac:dyDescent="0.2">
      <c r="B5050" s="6" t="s">
        <v>1597</v>
      </c>
      <c r="C5050" s="6" t="s">
        <v>1065</v>
      </c>
      <c r="D5050" s="6" t="s">
        <v>943</v>
      </c>
      <c r="G5050" s="6">
        <v>160</v>
      </c>
      <c r="H5050" s="6">
        <v>200</v>
      </c>
      <c r="I5050" s="9"/>
      <c r="J5050" s="9"/>
      <c r="K5050" s="9"/>
      <c r="L5050" s="6" t="str">
        <f t="shared" si="490"/>
        <v>1D  NOVA  YATAK  160x200</v>
      </c>
      <c r="M5050" s="12"/>
      <c r="N5050" s="12"/>
      <c r="O5050" s="12"/>
      <c r="R5050" s="33"/>
      <c r="T5050" s="12"/>
      <c r="U5050" s="12"/>
      <c r="V5050" s="12"/>
      <c r="W5050" s="12">
        <f t="shared" si="489"/>
        <v>0</v>
      </c>
    </row>
    <row r="5051" spans="2:23" s="6" customFormat="1" ht="21.95" customHeight="1" x14ac:dyDescent="0.2">
      <c r="B5051" s="6" t="s">
        <v>1597</v>
      </c>
      <c r="C5051" s="6" t="s">
        <v>1065</v>
      </c>
      <c r="D5051" s="6" t="s">
        <v>943</v>
      </c>
      <c r="G5051" s="6">
        <v>180</v>
      </c>
      <c r="H5051" s="6">
        <v>200</v>
      </c>
      <c r="I5051" s="9"/>
      <c r="J5051" s="9"/>
      <c r="K5051" s="9"/>
      <c r="L5051" s="6" t="str">
        <f t="shared" si="490"/>
        <v>1D  NOVA  YATAK  180x200</v>
      </c>
      <c r="M5051" s="12"/>
      <c r="N5051" s="12"/>
      <c r="O5051" s="12"/>
      <c r="R5051" s="33"/>
      <c r="T5051" s="12"/>
      <c r="U5051" s="12"/>
      <c r="V5051" s="12"/>
      <c r="W5051" s="12">
        <f t="shared" si="489"/>
        <v>0</v>
      </c>
    </row>
    <row r="5052" spans="2:23" s="6" customFormat="1" ht="21.95" customHeight="1" x14ac:dyDescent="0.2">
      <c r="B5052" s="6" t="s">
        <v>1597</v>
      </c>
      <c r="C5052" s="6" t="s">
        <v>1065</v>
      </c>
      <c r="D5052" s="6" t="s">
        <v>1380</v>
      </c>
      <c r="I5052" s="9"/>
      <c r="J5052" s="9"/>
      <c r="K5052" s="9"/>
      <c r="L5052" s="6" t="str">
        <f>B5052&amp;" "&amp;C5052&amp;" "&amp;D5052</f>
        <v>1D  NOVA  KOMODİN (2 ADET)</v>
      </c>
      <c r="M5052" s="12"/>
      <c r="N5052" s="12"/>
      <c r="O5052" s="12"/>
      <c r="R5052" s="33"/>
      <c r="T5052" s="12"/>
      <c r="U5052" s="12"/>
      <c r="V5052" s="12"/>
      <c r="W5052" s="12">
        <f t="shared" si="489"/>
        <v>0</v>
      </c>
    </row>
    <row r="5053" spans="2:23" s="6" customFormat="1" ht="21.95" customHeight="1" x14ac:dyDescent="0.2">
      <c r="B5053" s="6" t="s">
        <v>1597</v>
      </c>
      <c r="C5053" s="6" t="s">
        <v>447</v>
      </c>
      <c r="D5053" s="6" t="s">
        <v>2305</v>
      </c>
      <c r="G5053" s="6">
        <v>140</v>
      </c>
      <c r="H5053" s="6">
        <v>200</v>
      </c>
      <c r="I5053" s="9"/>
      <c r="J5053" s="9"/>
      <c r="K5053" s="9"/>
      <c r="L5053" s="6" t="str">
        <f t="shared" ref="L5053:L5060" si="491">B5053&amp;" "&amp;C5053&amp;" "&amp;D5053&amp;" "&amp;G5053&amp;"x"&amp;H5053</f>
        <v>1D  PARİS BAZA + BAŞLIK + TRAVERS 140x200</v>
      </c>
      <c r="M5053" s="12"/>
      <c r="N5053" s="12"/>
      <c r="O5053" s="12"/>
      <c r="R5053" s="33"/>
      <c r="T5053" s="12"/>
      <c r="U5053" s="12"/>
      <c r="V5053" s="12"/>
      <c r="W5053" s="12">
        <f t="shared" si="489"/>
        <v>0</v>
      </c>
    </row>
    <row r="5054" spans="2:23" s="6" customFormat="1" ht="21.95" customHeight="1" x14ac:dyDescent="0.2">
      <c r="B5054" s="6" t="s">
        <v>1597</v>
      </c>
      <c r="C5054" s="6" t="s">
        <v>447</v>
      </c>
      <c r="D5054" s="6" t="s">
        <v>2305</v>
      </c>
      <c r="G5054" s="6">
        <v>150</v>
      </c>
      <c r="H5054" s="6">
        <v>200</v>
      </c>
      <c r="I5054" s="9"/>
      <c r="J5054" s="9"/>
      <c r="K5054" s="9"/>
      <c r="L5054" s="6" t="str">
        <f t="shared" si="491"/>
        <v>1D  PARİS BAZA + BAŞLIK + TRAVERS 150x200</v>
      </c>
      <c r="M5054" s="12"/>
      <c r="N5054" s="12"/>
      <c r="O5054" s="12"/>
      <c r="R5054" s="33"/>
      <c r="T5054" s="12"/>
      <c r="U5054" s="12"/>
      <c r="V5054" s="12"/>
      <c r="W5054" s="12">
        <f t="shared" si="489"/>
        <v>0</v>
      </c>
    </row>
    <row r="5055" spans="2:23" s="6" customFormat="1" ht="21.95" customHeight="1" x14ac:dyDescent="0.2">
      <c r="B5055" s="6" t="s">
        <v>1597</v>
      </c>
      <c r="C5055" s="6" t="s">
        <v>447</v>
      </c>
      <c r="D5055" s="6" t="s">
        <v>2305</v>
      </c>
      <c r="G5055" s="6">
        <v>160</v>
      </c>
      <c r="H5055" s="6">
        <v>200</v>
      </c>
      <c r="I5055" s="9"/>
      <c r="J5055" s="9"/>
      <c r="K5055" s="9"/>
      <c r="L5055" s="6" t="str">
        <f t="shared" si="491"/>
        <v>1D  PARİS BAZA + BAŞLIK + TRAVERS 160x200</v>
      </c>
      <c r="M5055" s="12"/>
      <c r="N5055" s="12"/>
      <c r="O5055" s="12"/>
      <c r="R5055" s="33"/>
      <c r="T5055" s="12"/>
      <c r="U5055" s="12"/>
      <c r="V5055" s="12"/>
      <c r="W5055" s="12">
        <f t="shared" si="489"/>
        <v>0</v>
      </c>
    </row>
    <row r="5056" spans="2:23" s="6" customFormat="1" ht="21.95" customHeight="1" x14ac:dyDescent="0.2">
      <c r="B5056" s="6" t="s">
        <v>1597</v>
      </c>
      <c r="C5056" s="6" t="s">
        <v>447</v>
      </c>
      <c r="D5056" s="6" t="s">
        <v>2305</v>
      </c>
      <c r="G5056" s="6">
        <v>180</v>
      </c>
      <c r="H5056" s="6">
        <v>200</v>
      </c>
      <c r="I5056" s="9"/>
      <c r="J5056" s="9"/>
      <c r="K5056" s="9"/>
      <c r="L5056" s="6" t="str">
        <f t="shared" si="491"/>
        <v>1D  PARİS BAZA + BAŞLIK + TRAVERS 180x200</v>
      </c>
      <c r="M5056" s="12"/>
      <c r="N5056" s="12"/>
      <c r="O5056" s="12"/>
      <c r="R5056" s="33"/>
      <c r="T5056" s="12"/>
      <c r="U5056" s="12"/>
      <c r="V5056" s="12"/>
      <c r="W5056" s="12">
        <f t="shared" si="489"/>
        <v>0</v>
      </c>
    </row>
    <row r="5057" spans="2:23" s="6" customFormat="1" ht="21.95" customHeight="1" x14ac:dyDescent="0.2">
      <c r="B5057" s="6" t="s">
        <v>1597</v>
      </c>
      <c r="C5057" s="6" t="s">
        <v>447</v>
      </c>
      <c r="D5057" s="6" t="s">
        <v>943</v>
      </c>
      <c r="G5057" s="6">
        <v>140</v>
      </c>
      <c r="H5057" s="6">
        <v>200</v>
      </c>
      <c r="I5057" s="9"/>
      <c r="J5057" s="9"/>
      <c r="K5057" s="9"/>
      <c r="L5057" s="6" t="str">
        <f t="shared" si="491"/>
        <v>1D  PARİS YATAK  140x200</v>
      </c>
      <c r="M5057" s="12"/>
      <c r="N5057" s="12"/>
      <c r="O5057" s="12"/>
      <c r="R5057" s="33"/>
      <c r="T5057" s="12"/>
      <c r="U5057" s="12"/>
      <c r="V5057" s="12"/>
      <c r="W5057" s="12">
        <f t="shared" si="489"/>
        <v>0</v>
      </c>
    </row>
    <row r="5058" spans="2:23" s="6" customFormat="1" ht="21.95" customHeight="1" x14ac:dyDescent="0.2">
      <c r="B5058" s="6" t="s">
        <v>1597</v>
      </c>
      <c r="C5058" s="6" t="s">
        <v>447</v>
      </c>
      <c r="D5058" s="6" t="s">
        <v>943</v>
      </c>
      <c r="G5058" s="6">
        <v>150</v>
      </c>
      <c r="H5058" s="6">
        <v>200</v>
      </c>
      <c r="I5058" s="9"/>
      <c r="J5058" s="9"/>
      <c r="K5058" s="9"/>
      <c r="L5058" s="6" t="str">
        <f t="shared" si="491"/>
        <v>1D  PARİS YATAK  150x200</v>
      </c>
      <c r="M5058" s="12"/>
      <c r="N5058" s="12"/>
      <c r="O5058" s="12"/>
      <c r="R5058" s="33"/>
      <c r="T5058" s="12"/>
      <c r="U5058" s="12"/>
      <c r="V5058" s="12"/>
      <c r="W5058" s="12">
        <f t="shared" si="489"/>
        <v>0</v>
      </c>
    </row>
    <row r="5059" spans="2:23" s="6" customFormat="1" ht="21.95" customHeight="1" x14ac:dyDescent="0.2">
      <c r="B5059" s="6" t="s">
        <v>1597</v>
      </c>
      <c r="C5059" s="6" t="s">
        <v>447</v>
      </c>
      <c r="D5059" s="6" t="s">
        <v>943</v>
      </c>
      <c r="G5059" s="6">
        <v>160</v>
      </c>
      <c r="H5059" s="6">
        <v>200</v>
      </c>
      <c r="I5059" s="9"/>
      <c r="J5059" s="9"/>
      <c r="K5059" s="9"/>
      <c r="L5059" s="6" t="str">
        <f t="shared" si="491"/>
        <v>1D  PARİS YATAK  160x200</v>
      </c>
      <c r="M5059" s="12"/>
      <c r="N5059" s="12"/>
      <c r="O5059" s="12"/>
      <c r="R5059" s="33"/>
      <c r="T5059" s="12"/>
      <c r="U5059" s="12"/>
      <c r="V5059" s="12"/>
      <c r="W5059" s="12">
        <f t="shared" ref="W5059:W5090" si="492">P5059*2.5</f>
        <v>0</v>
      </c>
    </row>
    <row r="5060" spans="2:23" s="6" customFormat="1" ht="21.95" customHeight="1" x14ac:dyDescent="0.2">
      <c r="B5060" s="6" t="s">
        <v>1597</v>
      </c>
      <c r="C5060" s="6" t="s">
        <v>447</v>
      </c>
      <c r="D5060" s="6" t="s">
        <v>943</v>
      </c>
      <c r="G5060" s="6">
        <v>180</v>
      </c>
      <c r="H5060" s="6">
        <v>200</v>
      </c>
      <c r="I5060" s="9"/>
      <c r="J5060" s="9"/>
      <c r="K5060" s="9"/>
      <c r="L5060" s="6" t="str">
        <f t="shared" si="491"/>
        <v>1D  PARİS YATAK  180x200</v>
      </c>
      <c r="M5060" s="12"/>
      <c r="N5060" s="12"/>
      <c r="O5060" s="12"/>
      <c r="R5060" s="33"/>
      <c r="T5060" s="12"/>
      <c r="U5060" s="12"/>
      <c r="V5060" s="12"/>
      <c r="W5060" s="12">
        <f t="shared" si="492"/>
        <v>0</v>
      </c>
    </row>
    <row r="5061" spans="2:23" s="6" customFormat="1" ht="21.95" customHeight="1" x14ac:dyDescent="0.2">
      <c r="B5061" s="6" t="s">
        <v>1597</v>
      </c>
      <c r="C5061" s="6" t="s">
        <v>447</v>
      </c>
      <c r="D5061" s="6" t="s">
        <v>1380</v>
      </c>
      <c r="I5061" s="9"/>
      <c r="J5061" s="9"/>
      <c r="K5061" s="9"/>
      <c r="L5061" s="6" t="str">
        <f>B5061&amp;" "&amp;C5061&amp;" "&amp;D5061</f>
        <v>1D  PARİS KOMODİN (2 ADET)</v>
      </c>
      <c r="M5061" s="12"/>
      <c r="N5061" s="12"/>
      <c r="O5061" s="12"/>
      <c r="R5061" s="33"/>
      <c r="T5061" s="12"/>
      <c r="U5061" s="12"/>
      <c r="V5061" s="12"/>
      <c r="W5061" s="12">
        <f t="shared" si="492"/>
        <v>0</v>
      </c>
    </row>
    <row r="5062" spans="2:23" s="6" customFormat="1" ht="21.95" customHeight="1" x14ac:dyDescent="0.2">
      <c r="B5062" s="6" t="s">
        <v>1597</v>
      </c>
      <c r="C5062" s="6" t="s">
        <v>673</v>
      </c>
      <c r="D5062" s="6" t="s">
        <v>989</v>
      </c>
      <c r="G5062" s="6">
        <v>90</v>
      </c>
      <c r="H5062" s="6">
        <v>190</v>
      </c>
      <c r="I5062" s="9"/>
      <c r="J5062" s="9"/>
      <c r="K5062" s="9"/>
      <c r="L5062" s="6" t="str">
        <f t="shared" ref="L5062:L5085" si="493">B5062&amp;" "&amp;C5062&amp;" "&amp;D5062&amp;" "&amp;G5062&amp;"x"&amp;H5062</f>
        <v>1D  PORTO BAZA  90x190</v>
      </c>
      <c r="M5062" s="12"/>
      <c r="N5062" s="12"/>
      <c r="O5062" s="12"/>
      <c r="R5062" s="33"/>
      <c r="T5062" s="12"/>
      <c r="U5062" s="12"/>
      <c r="V5062" s="12"/>
      <c r="W5062" s="12">
        <f t="shared" si="492"/>
        <v>0</v>
      </c>
    </row>
    <row r="5063" spans="2:23" s="6" customFormat="1" ht="21.95" customHeight="1" x14ac:dyDescent="0.2">
      <c r="B5063" s="6" t="s">
        <v>1597</v>
      </c>
      <c r="C5063" s="6" t="s">
        <v>673</v>
      </c>
      <c r="D5063" s="6" t="s">
        <v>989</v>
      </c>
      <c r="G5063" s="6">
        <v>90</v>
      </c>
      <c r="H5063" s="6">
        <v>200</v>
      </c>
      <c r="I5063" s="9"/>
      <c r="J5063" s="9"/>
      <c r="K5063" s="9"/>
      <c r="L5063" s="6" t="str">
        <f t="shared" si="493"/>
        <v>1D  PORTO BAZA  90x200</v>
      </c>
      <c r="M5063" s="12"/>
      <c r="N5063" s="12"/>
      <c r="O5063" s="12"/>
      <c r="R5063" s="33"/>
      <c r="T5063" s="12"/>
      <c r="U5063" s="12"/>
      <c r="V5063" s="12"/>
      <c r="W5063" s="12">
        <f t="shared" si="492"/>
        <v>0</v>
      </c>
    </row>
    <row r="5064" spans="2:23" s="6" customFormat="1" ht="21.95" customHeight="1" x14ac:dyDescent="0.2">
      <c r="B5064" s="6" t="s">
        <v>1597</v>
      </c>
      <c r="C5064" s="6" t="s">
        <v>673</v>
      </c>
      <c r="D5064" s="6" t="s">
        <v>989</v>
      </c>
      <c r="G5064" s="6">
        <v>100</v>
      </c>
      <c r="H5064" s="6">
        <v>200</v>
      </c>
      <c r="I5064" s="9"/>
      <c r="J5064" s="9"/>
      <c r="K5064" s="9"/>
      <c r="L5064" s="6" t="str">
        <f t="shared" si="493"/>
        <v>1D  PORTO BAZA  100x200</v>
      </c>
      <c r="M5064" s="12"/>
      <c r="N5064" s="12"/>
      <c r="O5064" s="12"/>
      <c r="R5064" s="33"/>
      <c r="T5064" s="12"/>
      <c r="U5064" s="12"/>
      <c r="V5064" s="12"/>
      <c r="W5064" s="12">
        <f t="shared" si="492"/>
        <v>0</v>
      </c>
    </row>
    <row r="5065" spans="2:23" s="6" customFormat="1" ht="21.95" customHeight="1" x14ac:dyDescent="0.2">
      <c r="B5065" s="6" t="s">
        <v>1597</v>
      </c>
      <c r="C5065" s="6" t="s">
        <v>673</v>
      </c>
      <c r="D5065" s="6" t="s">
        <v>989</v>
      </c>
      <c r="G5065" s="6">
        <v>120</v>
      </c>
      <c r="H5065" s="6">
        <v>200</v>
      </c>
      <c r="I5065" s="9"/>
      <c r="J5065" s="9"/>
      <c r="K5065" s="9"/>
      <c r="L5065" s="6" t="str">
        <f t="shared" si="493"/>
        <v>1D  PORTO BAZA  120x200</v>
      </c>
      <c r="M5065" s="12"/>
      <c r="N5065" s="12"/>
      <c r="O5065" s="12"/>
      <c r="R5065" s="33"/>
      <c r="T5065" s="12"/>
      <c r="U5065" s="12"/>
      <c r="V5065" s="12"/>
      <c r="W5065" s="12">
        <f t="shared" si="492"/>
        <v>0</v>
      </c>
    </row>
    <row r="5066" spans="2:23" s="6" customFormat="1" ht="21.95" customHeight="1" x14ac:dyDescent="0.2">
      <c r="B5066" s="6" t="s">
        <v>1597</v>
      </c>
      <c r="C5066" s="6" t="s">
        <v>673</v>
      </c>
      <c r="D5066" s="6" t="s">
        <v>989</v>
      </c>
      <c r="G5066" s="6">
        <v>140</v>
      </c>
      <c r="H5066" s="6">
        <v>200</v>
      </c>
      <c r="I5066" s="9"/>
      <c r="J5066" s="9"/>
      <c r="K5066" s="9"/>
      <c r="L5066" s="6" t="str">
        <f t="shared" si="493"/>
        <v>1D  PORTO BAZA  140x200</v>
      </c>
      <c r="M5066" s="12"/>
      <c r="N5066" s="12"/>
      <c r="O5066" s="12"/>
      <c r="R5066" s="33"/>
      <c r="T5066" s="12"/>
      <c r="U5066" s="12"/>
      <c r="V5066" s="12"/>
      <c r="W5066" s="12">
        <f t="shared" si="492"/>
        <v>0</v>
      </c>
    </row>
    <row r="5067" spans="2:23" s="6" customFormat="1" ht="21.95" customHeight="1" x14ac:dyDescent="0.2">
      <c r="B5067" s="6" t="s">
        <v>1597</v>
      </c>
      <c r="C5067" s="6" t="s">
        <v>673</v>
      </c>
      <c r="D5067" s="6" t="s">
        <v>989</v>
      </c>
      <c r="G5067" s="6">
        <v>150</v>
      </c>
      <c r="H5067" s="6">
        <v>200</v>
      </c>
      <c r="I5067" s="9"/>
      <c r="J5067" s="9"/>
      <c r="K5067" s="9"/>
      <c r="L5067" s="6" t="str">
        <f t="shared" si="493"/>
        <v>1D  PORTO BAZA  150x200</v>
      </c>
      <c r="M5067" s="12"/>
      <c r="N5067" s="12"/>
      <c r="O5067" s="12"/>
      <c r="R5067" s="33"/>
      <c r="T5067" s="12"/>
      <c r="U5067" s="12"/>
      <c r="V5067" s="12"/>
      <c r="W5067" s="12">
        <f t="shared" si="492"/>
        <v>0</v>
      </c>
    </row>
    <row r="5068" spans="2:23" s="6" customFormat="1" ht="21.95" customHeight="1" x14ac:dyDescent="0.2">
      <c r="B5068" s="6" t="s">
        <v>1597</v>
      </c>
      <c r="C5068" s="6" t="s">
        <v>673</v>
      </c>
      <c r="D5068" s="6" t="s">
        <v>989</v>
      </c>
      <c r="G5068" s="6">
        <v>160</v>
      </c>
      <c r="H5068" s="6">
        <v>200</v>
      </c>
      <c r="I5068" s="9"/>
      <c r="J5068" s="9"/>
      <c r="K5068" s="9"/>
      <c r="L5068" s="6" t="str">
        <f t="shared" si="493"/>
        <v>1D  PORTO BAZA  160x200</v>
      </c>
      <c r="M5068" s="12"/>
      <c r="N5068" s="12"/>
      <c r="O5068" s="12"/>
      <c r="R5068" s="33"/>
      <c r="T5068" s="12"/>
      <c r="U5068" s="12"/>
      <c r="V5068" s="12"/>
      <c r="W5068" s="12">
        <f t="shared" si="492"/>
        <v>0</v>
      </c>
    </row>
    <row r="5069" spans="2:23" s="6" customFormat="1" ht="21.95" customHeight="1" x14ac:dyDescent="0.2">
      <c r="B5069" s="6" t="s">
        <v>1597</v>
      </c>
      <c r="C5069" s="6" t="s">
        <v>673</v>
      </c>
      <c r="D5069" s="6" t="s">
        <v>989</v>
      </c>
      <c r="G5069" s="6">
        <v>180</v>
      </c>
      <c r="H5069" s="6">
        <v>200</v>
      </c>
      <c r="I5069" s="9"/>
      <c r="J5069" s="9"/>
      <c r="K5069" s="9"/>
      <c r="L5069" s="6" t="str">
        <f t="shared" si="493"/>
        <v>1D  PORTO BAZA  180x200</v>
      </c>
      <c r="M5069" s="12"/>
      <c r="N5069" s="12"/>
      <c r="O5069" s="12"/>
      <c r="R5069" s="33"/>
      <c r="T5069" s="12"/>
      <c r="U5069" s="12"/>
      <c r="V5069" s="12"/>
      <c r="W5069" s="12">
        <f t="shared" si="492"/>
        <v>0</v>
      </c>
    </row>
    <row r="5070" spans="2:23" s="6" customFormat="1" ht="21.95" customHeight="1" x14ac:dyDescent="0.2">
      <c r="B5070" s="6" t="s">
        <v>1597</v>
      </c>
      <c r="C5070" s="6" t="s">
        <v>673</v>
      </c>
      <c r="D5070" s="6" t="s">
        <v>1003</v>
      </c>
      <c r="G5070" s="6">
        <v>90</v>
      </c>
      <c r="H5070" s="6">
        <v>190</v>
      </c>
      <c r="I5070" s="9"/>
      <c r="J5070" s="9"/>
      <c r="K5070" s="9"/>
      <c r="L5070" s="6" t="str">
        <f t="shared" si="493"/>
        <v>1D  PORTO BAŞLIK  90x190</v>
      </c>
      <c r="M5070" s="12"/>
      <c r="N5070" s="12"/>
      <c r="O5070" s="12"/>
      <c r="R5070" s="33"/>
      <c r="T5070" s="12"/>
      <c r="U5070" s="12"/>
      <c r="V5070" s="12"/>
      <c r="W5070" s="12">
        <f t="shared" si="492"/>
        <v>0</v>
      </c>
    </row>
    <row r="5071" spans="2:23" s="6" customFormat="1" ht="21.95" customHeight="1" x14ac:dyDescent="0.2">
      <c r="B5071" s="6" t="s">
        <v>1597</v>
      </c>
      <c r="C5071" s="6" t="s">
        <v>673</v>
      </c>
      <c r="D5071" s="6" t="s">
        <v>1003</v>
      </c>
      <c r="G5071" s="6">
        <v>90</v>
      </c>
      <c r="H5071" s="6">
        <v>200</v>
      </c>
      <c r="I5071" s="9"/>
      <c r="J5071" s="9"/>
      <c r="K5071" s="9"/>
      <c r="L5071" s="6" t="str">
        <f t="shared" si="493"/>
        <v>1D  PORTO BAŞLIK  90x200</v>
      </c>
      <c r="M5071" s="12"/>
      <c r="N5071" s="12"/>
      <c r="O5071" s="12"/>
      <c r="R5071" s="33"/>
      <c r="T5071" s="12"/>
      <c r="U5071" s="12"/>
      <c r="V5071" s="12"/>
      <c r="W5071" s="12">
        <f t="shared" si="492"/>
        <v>0</v>
      </c>
    </row>
    <row r="5072" spans="2:23" s="6" customFormat="1" ht="21.95" customHeight="1" x14ac:dyDescent="0.2">
      <c r="B5072" s="6" t="s">
        <v>1597</v>
      </c>
      <c r="C5072" s="6" t="s">
        <v>673</v>
      </c>
      <c r="D5072" s="6" t="s">
        <v>1003</v>
      </c>
      <c r="G5072" s="6">
        <v>100</v>
      </c>
      <c r="H5072" s="6">
        <v>200</v>
      </c>
      <c r="I5072" s="9"/>
      <c r="J5072" s="9"/>
      <c r="K5072" s="9"/>
      <c r="L5072" s="6" t="str">
        <f t="shared" si="493"/>
        <v>1D  PORTO BAŞLIK  100x200</v>
      </c>
      <c r="M5072" s="12"/>
      <c r="N5072" s="12"/>
      <c r="O5072" s="12"/>
      <c r="R5072" s="33"/>
      <c r="T5072" s="12"/>
      <c r="U5072" s="12"/>
      <c r="V5072" s="12"/>
      <c r="W5072" s="12">
        <f t="shared" si="492"/>
        <v>0</v>
      </c>
    </row>
    <row r="5073" spans="2:23" s="6" customFormat="1" ht="21.95" customHeight="1" x14ac:dyDescent="0.2">
      <c r="B5073" s="6" t="s">
        <v>1597</v>
      </c>
      <c r="C5073" s="6" t="s">
        <v>673</v>
      </c>
      <c r="D5073" s="6" t="s">
        <v>1003</v>
      </c>
      <c r="G5073" s="6">
        <v>120</v>
      </c>
      <c r="H5073" s="6">
        <v>200</v>
      </c>
      <c r="I5073" s="9"/>
      <c r="J5073" s="9"/>
      <c r="K5073" s="9"/>
      <c r="L5073" s="6" t="str">
        <f t="shared" si="493"/>
        <v>1D  PORTO BAŞLIK  120x200</v>
      </c>
      <c r="M5073" s="12"/>
      <c r="N5073" s="12"/>
      <c r="O5073" s="12"/>
      <c r="R5073" s="33"/>
      <c r="T5073" s="12"/>
      <c r="U5073" s="12"/>
      <c r="V5073" s="12"/>
      <c r="W5073" s="12">
        <f t="shared" si="492"/>
        <v>0</v>
      </c>
    </row>
    <row r="5074" spans="2:23" s="6" customFormat="1" ht="21.95" customHeight="1" x14ac:dyDescent="0.2">
      <c r="B5074" s="6" t="s">
        <v>1597</v>
      </c>
      <c r="C5074" s="6" t="s">
        <v>673</v>
      </c>
      <c r="D5074" s="6" t="s">
        <v>1003</v>
      </c>
      <c r="G5074" s="6">
        <v>140</v>
      </c>
      <c r="H5074" s="6">
        <v>200</v>
      </c>
      <c r="I5074" s="9"/>
      <c r="J5074" s="9"/>
      <c r="K5074" s="9"/>
      <c r="L5074" s="6" t="str">
        <f t="shared" si="493"/>
        <v>1D  PORTO BAŞLIK  140x200</v>
      </c>
      <c r="M5074" s="12"/>
      <c r="N5074" s="12"/>
      <c r="O5074" s="12"/>
      <c r="R5074" s="33"/>
      <c r="T5074" s="12"/>
      <c r="U5074" s="12"/>
      <c r="V5074" s="12"/>
      <c r="W5074" s="12">
        <f t="shared" si="492"/>
        <v>0</v>
      </c>
    </row>
    <row r="5075" spans="2:23" s="6" customFormat="1" ht="21.95" customHeight="1" x14ac:dyDescent="0.2">
      <c r="B5075" s="6" t="s">
        <v>1597</v>
      </c>
      <c r="C5075" s="6" t="s">
        <v>673</v>
      </c>
      <c r="D5075" s="6" t="s">
        <v>1003</v>
      </c>
      <c r="G5075" s="6">
        <v>150</v>
      </c>
      <c r="H5075" s="6">
        <v>200</v>
      </c>
      <c r="I5075" s="9"/>
      <c r="J5075" s="9"/>
      <c r="K5075" s="9"/>
      <c r="L5075" s="6" t="str">
        <f t="shared" si="493"/>
        <v>1D  PORTO BAŞLIK  150x200</v>
      </c>
      <c r="M5075" s="12"/>
      <c r="N5075" s="12"/>
      <c r="O5075" s="12"/>
      <c r="R5075" s="33"/>
      <c r="T5075" s="12"/>
      <c r="U5075" s="12"/>
      <c r="V5075" s="12"/>
      <c r="W5075" s="12">
        <f t="shared" si="492"/>
        <v>0</v>
      </c>
    </row>
    <row r="5076" spans="2:23" s="6" customFormat="1" ht="21.95" customHeight="1" x14ac:dyDescent="0.2">
      <c r="B5076" s="6" t="s">
        <v>1597</v>
      </c>
      <c r="C5076" s="6" t="s">
        <v>673</v>
      </c>
      <c r="D5076" s="6" t="s">
        <v>1003</v>
      </c>
      <c r="G5076" s="6">
        <v>160</v>
      </c>
      <c r="H5076" s="6">
        <v>200</v>
      </c>
      <c r="I5076" s="9"/>
      <c r="J5076" s="9"/>
      <c r="K5076" s="9"/>
      <c r="L5076" s="6" t="str">
        <f t="shared" si="493"/>
        <v>1D  PORTO BAŞLIK  160x200</v>
      </c>
      <c r="M5076" s="12"/>
      <c r="N5076" s="12"/>
      <c r="O5076" s="12"/>
      <c r="R5076" s="33"/>
      <c r="T5076" s="12"/>
      <c r="U5076" s="12"/>
      <c r="V5076" s="12"/>
      <c r="W5076" s="12">
        <f t="shared" si="492"/>
        <v>0</v>
      </c>
    </row>
    <row r="5077" spans="2:23" s="6" customFormat="1" ht="21.95" customHeight="1" x14ac:dyDescent="0.2">
      <c r="B5077" s="6" t="s">
        <v>1597</v>
      </c>
      <c r="C5077" s="6" t="s">
        <v>673</v>
      </c>
      <c r="D5077" s="6" t="s">
        <v>1003</v>
      </c>
      <c r="G5077" s="6">
        <v>180</v>
      </c>
      <c r="H5077" s="6">
        <v>200</v>
      </c>
      <c r="I5077" s="9"/>
      <c r="J5077" s="9"/>
      <c r="K5077" s="9"/>
      <c r="L5077" s="6" t="str">
        <f t="shared" si="493"/>
        <v>1D  PORTO BAŞLIK  180x200</v>
      </c>
      <c r="M5077" s="12"/>
      <c r="N5077" s="12"/>
      <c r="O5077" s="12"/>
      <c r="R5077" s="33"/>
      <c r="T5077" s="12"/>
      <c r="U5077" s="12"/>
      <c r="V5077" s="12"/>
      <c r="W5077" s="12">
        <f t="shared" si="492"/>
        <v>0</v>
      </c>
    </row>
    <row r="5078" spans="2:23" s="6" customFormat="1" ht="21.95" customHeight="1" x14ac:dyDescent="0.2">
      <c r="B5078" s="6" t="s">
        <v>1597</v>
      </c>
      <c r="C5078" s="6" t="s">
        <v>673</v>
      </c>
      <c r="D5078" s="6" t="s">
        <v>943</v>
      </c>
      <c r="G5078" s="6">
        <v>90</v>
      </c>
      <c r="H5078" s="6">
        <v>190</v>
      </c>
      <c r="I5078" s="9"/>
      <c r="J5078" s="9"/>
      <c r="K5078" s="9"/>
      <c r="L5078" s="6" t="str">
        <f t="shared" si="493"/>
        <v>1D  PORTO YATAK  90x190</v>
      </c>
      <c r="M5078" s="12"/>
      <c r="N5078" s="12"/>
      <c r="O5078" s="12"/>
      <c r="R5078" s="33"/>
      <c r="T5078" s="12"/>
      <c r="U5078" s="12"/>
      <c r="V5078" s="12"/>
      <c r="W5078" s="12">
        <f t="shared" si="492"/>
        <v>0</v>
      </c>
    </row>
    <row r="5079" spans="2:23" s="6" customFormat="1" ht="21.95" customHeight="1" x14ac:dyDescent="0.2">
      <c r="B5079" s="6" t="s">
        <v>1597</v>
      </c>
      <c r="C5079" s="6" t="s">
        <v>673</v>
      </c>
      <c r="D5079" s="6" t="s">
        <v>943</v>
      </c>
      <c r="G5079" s="6">
        <v>90</v>
      </c>
      <c r="H5079" s="6">
        <v>200</v>
      </c>
      <c r="I5079" s="9"/>
      <c r="J5079" s="9"/>
      <c r="K5079" s="9"/>
      <c r="L5079" s="6" t="str">
        <f t="shared" si="493"/>
        <v>1D  PORTO YATAK  90x200</v>
      </c>
      <c r="M5079" s="12"/>
      <c r="N5079" s="12"/>
      <c r="O5079" s="12"/>
      <c r="R5079" s="33"/>
      <c r="T5079" s="12"/>
      <c r="U5079" s="12"/>
      <c r="V5079" s="12"/>
      <c r="W5079" s="12">
        <f t="shared" si="492"/>
        <v>0</v>
      </c>
    </row>
    <row r="5080" spans="2:23" s="6" customFormat="1" ht="21.95" customHeight="1" x14ac:dyDescent="0.2">
      <c r="B5080" s="6" t="s">
        <v>1597</v>
      </c>
      <c r="C5080" s="6" t="s">
        <v>673</v>
      </c>
      <c r="D5080" s="6" t="s">
        <v>943</v>
      </c>
      <c r="G5080" s="6">
        <v>100</v>
      </c>
      <c r="H5080" s="6">
        <v>200</v>
      </c>
      <c r="I5080" s="9"/>
      <c r="J5080" s="9"/>
      <c r="K5080" s="9"/>
      <c r="L5080" s="6" t="str">
        <f t="shared" si="493"/>
        <v>1D  PORTO YATAK  100x200</v>
      </c>
      <c r="M5080" s="12"/>
      <c r="N5080" s="12"/>
      <c r="O5080" s="12"/>
      <c r="R5080" s="33"/>
      <c r="T5080" s="12"/>
      <c r="U5080" s="12"/>
      <c r="V5080" s="12"/>
      <c r="W5080" s="12">
        <f t="shared" si="492"/>
        <v>0</v>
      </c>
    </row>
    <row r="5081" spans="2:23" s="6" customFormat="1" ht="21.95" customHeight="1" x14ac:dyDescent="0.2">
      <c r="B5081" s="6" t="s">
        <v>1597</v>
      </c>
      <c r="C5081" s="6" t="s">
        <v>673</v>
      </c>
      <c r="D5081" s="6" t="s">
        <v>943</v>
      </c>
      <c r="G5081" s="6">
        <v>120</v>
      </c>
      <c r="H5081" s="6">
        <v>200</v>
      </c>
      <c r="I5081" s="9"/>
      <c r="J5081" s="9"/>
      <c r="K5081" s="9"/>
      <c r="L5081" s="6" t="str">
        <f t="shared" si="493"/>
        <v>1D  PORTO YATAK  120x200</v>
      </c>
      <c r="M5081" s="12"/>
      <c r="N5081" s="12"/>
      <c r="O5081" s="12"/>
      <c r="R5081" s="33"/>
      <c r="T5081" s="12"/>
      <c r="U5081" s="12"/>
      <c r="V5081" s="12"/>
      <c r="W5081" s="12">
        <f t="shared" si="492"/>
        <v>0</v>
      </c>
    </row>
    <row r="5082" spans="2:23" s="6" customFormat="1" ht="21.95" customHeight="1" x14ac:dyDescent="0.2">
      <c r="B5082" s="6" t="s">
        <v>1597</v>
      </c>
      <c r="C5082" s="6" t="s">
        <v>673</v>
      </c>
      <c r="D5082" s="6" t="s">
        <v>943</v>
      </c>
      <c r="G5082" s="6">
        <v>140</v>
      </c>
      <c r="H5082" s="6">
        <v>200</v>
      </c>
      <c r="I5082" s="9"/>
      <c r="J5082" s="9"/>
      <c r="K5082" s="9"/>
      <c r="L5082" s="6" t="str">
        <f t="shared" si="493"/>
        <v>1D  PORTO YATAK  140x200</v>
      </c>
      <c r="M5082" s="12"/>
      <c r="N5082" s="12"/>
      <c r="O5082" s="12"/>
      <c r="R5082" s="33"/>
      <c r="T5082" s="12"/>
      <c r="U5082" s="12"/>
      <c r="V5082" s="12"/>
      <c r="W5082" s="12">
        <f t="shared" si="492"/>
        <v>0</v>
      </c>
    </row>
    <row r="5083" spans="2:23" s="6" customFormat="1" ht="21.95" customHeight="1" x14ac:dyDescent="0.2">
      <c r="B5083" s="6" t="s">
        <v>1597</v>
      </c>
      <c r="C5083" s="6" t="s">
        <v>673</v>
      </c>
      <c r="D5083" s="6" t="s">
        <v>943</v>
      </c>
      <c r="G5083" s="6">
        <v>150</v>
      </c>
      <c r="H5083" s="6">
        <v>200</v>
      </c>
      <c r="I5083" s="9"/>
      <c r="J5083" s="9"/>
      <c r="K5083" s="9"/>
      <c r="L5083" s="6" t="str">
        <f t="shared" si="493"/>
        <v>1D  PORTO YATAK  150x200</v>
      </c>
      <c r="M5083" s="12"/>
      <c r="N5083" s="12"/>
      <c r="O5083" s="12"/>
      <c r="R5083" s="33"/>
      <c r="T5083" s="12"/>
      <c r="U5083" s="12"/>
      <c r="V5083" s="12"/>
      <c r="W5083" s="12">
        <f t="shared" si="492"/>
        <v>0</v>
      </c>
    </row>
    <row r="5084" spans="2:23" s="6" customFormat="1" ht="21.95" customHeight="1" x14ac:dyDescent="0.2">
      <c r="B5084" s="6" t="s">
        <v>1597</v>
      </c>
      <c r="C5084" s="6" t="s">
        <v>673</v>
      </c>
      <c r="D5084" s="6" t="s">
        <v>943</v>
      </c>
      <c r="G5084" s="6">
        <v>160</v>
      </c>
      <c r="H5084" s="6">
        <v>200</v>
      </c>
      <c r="I5084" s="9"/>
      <c r="J5084" s="9"/>
      <c r="K5084" s="9"/>
      <c r="L5084" s="6" t="str">
        <f t="shared" si="493"/>
        <v>1D  PORTO YATAK  160x200</v>
      </c>
      <c r="M5084" s="12"/>
      <c r="N5084" s="12"/>
      <c r="O5084" s="12"/>
      <c r="R5084" s="33"/>
      <c r="T5084" s="12"/>
      <c r="U5084" s="12"/>
      <c r="V5084" s="12"/>
      <c r="W5084" s="12">
        <f t="shared" si="492"/>
        <v>0</v>
      </c>
    </row>
    <row r="5085" spans="2:23" s="6" customFormat="1" ht="21.95" customHeight="1" x14ac:dyDescent="0.2">
      <c r="B5085" s="6" t="s">
        <v>1597</v>
      </c>
      <c r="C5085" s="6" t="s">
        <v>673</v>
      </c>
      <c r="D5085" s="6" t="s">
        <v>943</v>
      </c>
      <c r="G5085" s="6">
        <v>180</v>
      </c>
      <c r="H5085" s="6">
        <v>200</v>
      </c>
      <c r="I5085" s="9"/>
      <c r="J5085" s="9"/>
      <c r="K5085" s="9"/>
      <c r="L5085" s="6" t="str">
        <f t="shared" si="493"/>
        <v>1D  PORTO YATAK  180x200</v>
      </c>
      <c r="M5085" s="12"/>
      <c r="N5085" s="12"/>
      <c r="O5085" s="12"/>
      <c r="R5085" s="33"/>
      <c r="T5085" s="12"/>
      <c r="U5085" s="12"/>
      <c r="V5085" s="12"/>
      <c r="W5085" s="12">
        <f t="shared" si="492"/>
        <v>0</v>
      </c>
    </row>
    <row r="5086" spans="2:23" s="6" customFormat="1" ht="21.95" customHeight="1" x14ac:dyDescent="0.2">
      <c r="B5086" s="6" t="s">
        <v>1597</v>
      </c>
      <c r="C5086" s="6" t="s">
        <v>673</v>
      </c>
      <c r="D5086" s="6" t="s">
        <v>1380</v>
      </c>
      <c r="I5086" s="9"/>
      <c r="J5086" s="9"/>
      <c r="K5086" s="9"/>
      <c r="L5086" s="6" t="str">
        <f>B5086&amp;" "&amp;C5086&amp;" "&amp;D5086</f>
        <v>1D  PORTO KOMODİN (2 ADET)</v>
      </c>
      <c r="M5086" s="12"/>
      <c r="N5086" s="12"/>
      <c r="O5086" s="12"/>
      <c r="R5086" s="33"/>
      <c r="T5086" s="12"/>
      <c r="U5086" s="12"/>
      <c r="V5086" s="12"/>
      <c r="W5086" s="12">
        <f t="shared" si="492"/>
        <v>0</v>
      </c>
    </row>
    <row r="5087" spans="2:23" s="6" customFormat="1" ht="21.95" customHeight="1" x14ac:dyDescent="0.2">
      <c r="B5087" s="6" t="s">
        <v>1597</v>
      </c>
      <c r="C5087" s="6" t="s">
        <v>2055</v>
      </c>
      <c r="D5087" s="6" t="s">
        <v>989</v>
      </c>
      <c r="G5087" s="6">
        <v>90</v>
      </c>
      <c r="H5087" s="6">
        <v>190</v>
      </c>
      <c r="I5087" s="9"/>
      <c r="J5087" s="9"/>
      <c r="K5087" s="9"/>
      <c r="L5087" s="6" t="str">
        <f t="shared" ref="L5087:L5110" si="494">B5087&amp;" "&amp;C5087&amp;" "&amp;D5087&amp;" "&amp;G5087&amp;"x"&amp;H5087</f>
        <v>1D  ROYCE  BAZA  90x190</v>
      </c>
      <c r="M5087" s="12"/>
      <c r="N5087" s="12"/>
      <c r="O5087" s="12"/>
      <c r="R5087" s="33"/>
      <c r="T5087" s="12"/>
      <c r="U5087" s="12"/>
      <c r="V5087" s="12"/>
      <c r="W5087" s="12">
        <f t="shared" si="492"/>
        <v>0</v>
      </c>
    </row>
    <row r="5088" spans="2:23" s="6" customFormat="1" ht="21.95" customHeight="1" x14ac:dyDescent="0.2">
      <c r="B5088" s="6" t="s">
        <v>1597</v>
      </c>
      <c r="C5088" s="6" t="s">
        <v>2055</v>
      </c>
      <c r="D5088" s="6" t="s">
        <v>989</v>
      </c>
      <c r="G5088" s="6">
        <v>90</v>
      </c>
      <c r="H5088" s="6">
        <v>200</v>
      </c>
      <c r="I5088" s="9"/>
      <c r="J5088" s="9"/>
      <c r="K5088" s="9"/>
      <c r="L5088" s="6" t="str">
        <f t="shared" si="494"/>
        <v>1D  ROYCE  BAZA  90x200</v>
      </c>
      <c r="M5088" s="12"/>
      <c r="N5088" s="12"/>
      <c r="O5088" s="12"/>
      <c r="R5088" s="33"/>
      <c r="T5088" s="12"/>
      <c r="U5088" s="12"/>
      <c r="V5088" s="12"/>
      <c r="W5088" s="12">
        <f t="shared" si="492"/>
        <v>0</v>
      </c>
    </row>
    <row r="5089" spans="2:23" s="6" customFormat="1" ht="21.95" customHeight="1" x14ac:dyDescent="0.2">
      <c r="B5089" s="6" t="s">
        <v>1597</v>
      </c>
      <c r="C5089" s="6" t="s">
        <v>2055</v>
      </c>
      <c r="D5089" s="6" t="s">
        <v>989</v>
      </c>
      <c r="G5089" s="6">
        <v>100</v>
      </c>
      <c r="H5089" s="6">
        <v>200</v>
      </c>
      <c r="I5089" s="9"/>
      <c r="J5089" s="9"/>
      <c r="K5089" s="9"/>
      <c r="L5089" s="6" t="str">
        <f t="shared" si="494"/>
        <v>1D  ROYCE  BAZA  100x200</v>
      </c>
      <c r="M5089" s="12"/>
      <c r="N5089" s="12"/>
      <c r="O5089" s="12"/>
      <c r="R5089" s="33"/>
      <c r="T5089" s="12"/>
      <c r="U5089" s="12"/>
      <c r="V5089" s="12"/>
      <c r="W5089" s="12">
        <f t="shared" si="492"/>
        <v>0</v>
      </c>
    </row>
    <row r="5090" spans="2:23" s="6" customFormat="1" ht="21.95" customHeight="1" x14ac:dyDescent="0.2">
      <c r="B5090" s="6" t="s">
        <v>1597</v>
      </c>
      <c r="C5090" s="6" t="s">
        <v>2055</v>
      </c>
      <c r="D5090" s="6" t="s">
        <v>989</v>
      </c>
      <c r="G5090" s="6">
        <v>120</v>
      </c>
      <c r="H5090" s="6">
        <v>200</v>
      </c>
      <c r="I5090" s="9"/>
      <c r="J5090" s="9"/>
      <c r="K5090" s="9"/>
      <c r="L5090" s="6" t="str">
        <f t="shared" si="494"/>
        <v>1D  ROYCE  BAZA  120x200</v>
      </c>
      <c r="M5090" s="12"/>
      <c r="N5090" s="12"/>
      <c r="O5090" s="12"/>
      <c r="R5090" s="33"/>
      <c r="T5090" s="12"/>
      <c r="U5090" s="12"/>
      <c r="V5090" s="12"/>
      <c r="W5090" s="12">
        <f t="shared" si="492"/>
        <v>0</v>
      </c>
    </row>
    <row r="5091" spans="2:23" s="6" customFormat="1" ht="21.95" customHeight="1" x14ac:dyDescent="0.2">
      <c r="B5091" s="6" t="s">
        <v>1597</v>
      </c>
      <c r="C5091" s="6" t="s">
        <v>2055</v>
      </c>
      <c r="D5091" s="6" t="s">
        <v>989</v>
      </c>
      <c r="G5091" s="6">
        <v>140</v>
      </c>
      <c r="H5091" s="6">
        <v>200</v>
      </c>
      <c r="I5091" s="9"/>
      <c r="J5091" s="9"/>
      <c r="K5091" s="9"/>
      <c r="L5091" s="6" t="str">
        <f t="shared" si="494"/>
        <v>1D  ROYCE  BAZA  140x200</v>
      </c>
      <c r="M5091" s="12"/>
      <c r="N5091" s="12"/>
      <c r="O5091" s="12"/>
      <c r="R5091" s="33"/>
      <c r="T5091" s="12">
        <v>24079</v>
      </c>
      <c r="U5091" s="12"/>
      <c r="V5091" s="12">
        <f t="shared" ref="V5091:V5154" si="495">T5091*(1-N5091)</f>
        <v>24079</v>
      </c>
      <c r="W5091" s="12">
        <f>V5091*2.5</f>
        <v>60197.5</v>
      </c>
    </row>
    <row r="5092" spans="2:23" s="6" customFormat="1" ht="21.95" customHeight="1" x14ac:dyDescent="0.2">
      <c r="B5092" s="6" t="s">
        <v>1597</v>
      </c>
      <c r="C5092" s="6" t="s">
        <v>2055</v>
      </c>
      <c r="D5092" s="6" t="s">
        <v>989</v>
      </c>
      <c r="G5092" s="6">
        <v>150</v>
      </c>
      <c r="H5092" s="6">
        <v>200</v>
      </c>
      <c r="I5092" s="9"/>
      <c r="J5092" s="9"/>
      <c r="K5092" s="9"/>
      <c r="L5092" s="6" t="str">
        <f t="shared" si="494"/>
        <v>1D  ROYCE  BAZA  150x200</v>
      </c>
      <c r="M5092" s="12"/>
      <c r="N5092" s="12"/>
      <c r="O5092" s="12"/>
      <c r="R5092" s="33"/>
      <c r="T5092" s="12">
        <v>18150</v>
      </c>
      <c r="U5092" s="12"/>
      <c r="V5092" s="12">
        <f t="shared" si="495"/>
        <v>18150</v>
      </c>
      <c r="W5092" s="12">
        <f t="shared" ref="W5092:W5155" si="496">V5092*2.5</f>
        <v>45375</v>
      </c>
    </row>
    <row r="5093" spans="2:23" s="6" customFormat="1" ht="21.95" customHeight="1" x14ac:dyDescent="0.2">
      <c r="B5093" s="6" t="s">
        <v>1597</v>
      </c>
      <c r="C5093" s="6" t="s">
        <v>2055</v>
      </c>
      <c r="D5093" s="6" t="s">
        <v>989</v>
      </c>
      <c r="G5093" s="6">
        <v>160</v>
      </c>
      <c r="H5093" s="6">
        <v>200</v>
      </c>
      <c r="I5093" s="9"/>
      <c r="J5093" s="9"/>
      <c r="K5093" s="9"/>
      <c r="L5093" s="6" t="str">
        <f t="shared" si="494"/>
        <v>1D  ROYCE  BAZA  160x200</v>
      </c>
      <c r="M5093" s="12"/>
      <c r="N5093" s="12"/>
      <c r="O5093" s="12"/>
      <c r="R5093" s="33"/>
      <c r="T5093" s="12">
        <v>4562</v>
      </c>
      <c r="U5093" s="12"/>
      <c r="V5093" s="12">
        <f t="shared" si="495"/>
        <v>4562</v>
      </c>
      <c r="W5093" s="12">
        <f t="shared" si="496"/>
        <v>11405</v>
      </c>
    </row>
    <row r="5094" spans="2:23" s="6" customFormat="1" ht="21.95" customHeight="1" x14ac:dyDescent="0.2">
      <c r="B5094" s="6" t="s">
        <v>1597</v>
      </c>
      <c r="C5094" s="6" t="s">
        <v>2055</v>
      </c>
      <c r="D5094" s="6" t="s">
        <v>989</v>
      </c>
      <c r="G5094" s="6">
        <v>180</v>
      </c>
      <c r="H5094" s="6">
        <v>200</v>
      </c>
      <c r="I5094" s="9"/>
      <c r="J5094" s="9"/>
      <c r="K5094" s="9"/>
      <c r="L5094" s="6" t="str">
        <f t="shared" si="494"/>
        <v>1D  ROYCE  BAZA  180x200</v>
      </c>
      <c r="M5094" s="12"/>
      <c r="N5094" s="12"/>
      <c r="O5094" s="12"/>
      <c r="R5094" s="33"/>
      <c r="T5094" s="12">
        <v>7744</v>
      </c>
      <c r="U5094" s="12"/>
      <c r="V5094" s="12">
        <f t="shared" si="495"/>
        <v>7744</v>
      </c>
      <c r="W5094" s="12">
        <f t="shared" si="496"/>
        <v>19360</v>
      </c>
    </row>
    <row r="5095" spans="2:23" s="6" customFormat="1" ht="21.95" customHeight="1" x14ac:dyDescent="0.2">
      <c r="B5095" s="6" t="s">
        <v>1597</v>
      </c>
      <c r="C5095" s="6" t="s">
        <v>2055</v>
      </c>
      <c r="D5095" s="6" t="s">
        <v>1003</v>
      </c>
      <c r="G5095" s="6">
        <v>90</v>
      </c>
      <c r="H5095" s="6">
        <v>190</v>
      </c>
      <c r="I5095" s="9"/>
      <c r="J5095" s="9"/>
      <c r="K5095" s="9"/>
      <c r="L5095" s="6" t="str">
        <f t="shared" si="494"/>
        <v>1D  ROYCE  BAŞLIK  90x190</v>
      </c>
      <c r="M5095" s="12"/>
      <c r="N5095" s="12"/>
      <c r="O5095" s="12"/>
      <c r="R5095" s="33"/>
      <c r="T5095" s="12">
        <v>4749</v>
      </c>
      <c r="U5095" s="12"/>
      <c r="V5095" s="12">
        <f t="shared" si="495"/>
        <v>4749</v>
      </c>
      <c r="W5095" s="12">
        <f t="shared" si="496"/>
        <v>11872.5</v>
      </c>
    </row>
    <row r="5096" spans="2:23" s="6" customFormat="1" ht="21.95" customHeight="1" x14ac:dyDescent="0.2">
      <c r="B5096" s="6" t="s">
        <v>1597</v>
      </c>
      <c r="C5096" s="6" t="s">
        <v>2055</v>
      </c>
      <c r="D5096" s="6" t="s">
        <v>1003</v>
      </c>
      <c r="G5096" s="6">
        <v>90</v>
      </c>
      <c r="H5096" s="6">
        <v>200</v>
      </c>
      <c r="I5096" s="9"/>
      <c r="J5096" s="9"/>
      <c r="K5096" s="9"/>
      <c r="L5096" s="6" t="str">
        <f t="shared" si="494"/>
        <v>1D  ROYCE  BAŞLIK  90x200</v>
      </c>
      <c r="M5096" s="12"/>
      <c r="N5096" s="12"/>
      <c r="O5096" s="12"/>
      <c r="R5096" s="33"/>
      <c r="T5096" s="12">
        <v>7865</v>
      </c>
      <c r="U5096" s="12"/>
      <c r="V5096" s="12">
        <f t="shared" si="495"/>
        <v>7865</v>
      </c>
      <c r="W5096" s="12">
        <f t="shared" si="496"/>
        <v>19662.5</v>
      </c>
    </row>
    <row r="5097" spans="2:23" s="6" customFormat="1" ht="21.95" customHeight="1" x14ac:dyDescent="0.2">
      <c r="B5097" s="6" t="s">
        <v>1597</v>
      </c>
      <c r="C5097" s="6" t="s">
        <v>2055</v>
      </c>
      <c r="D5097" s="6" t="s">
        <v>1003</v>
      </c>
      <c r="G5097" s="6">
        <v>100</v>
      </c>
      <c r="H5097" s="6">
        <v>200</v>
      </c>
      <c r="I5097" s="9"/>
      <c r="J5097" s="9"/>
      <c r="K5097" s="9"/>
      <c r="L5097" s="6" t="str">
        <f t="shared" si="494"/>
        <v>1D  ROYCE  BAŞLIK  100x200</v>
      </c>
      <c r="M5097" s="12"/>
      <c r="N5097" s="12"/>
      <c r="O5097" s="12"/>
      <c r="R5097" s="33"/>
      <c r="T5097" s="12">
        <v>2299</v>
      </c>
      <c r="U5097" s="12"/>
      <c r="V5097" s="12">
        <f t="shared" si="495"/>
        <v>2299</v>
      </c>
      <c r="W5097" s="12">
        <f t="shared" si="496"/>
        <v>5747.5</v>
      </c>
    </row>
    <row r="5098" spans="2:23" s="6" customFormat="1" ht="21.95" customHeight="1" x14ac:dyDescent="0.2">
      <c r="B5098" s="6" t="s">
        <v>1597</v>
      </c>
      <c r="C5098" s="6" t="s">
        <v>2055</v>
      </c>
      <c r="D5098" s="6" t="s">
        <v>1003</v>
      </c>
      <c r="G5098" s="6">
        <v>120</v>
      </c>
      <c r="H5098" s="6">
        <v>200</v>
      </c>
      <c r="I5098" s="9"/>
      <c r="J5098" s="9"/>
      <c r="K5098" s="9"/>
      <c r="L5098" s="6" t="str">
        <f t="shared" si="494"/>
        <v>1D  ROYCE  BAŞLIK  120x200</v>
      </c>
      <c r="M5098" s="12"/>
      <c r="N5098" s="12"/>
      <c r="O5098" s="12"/>
      <c r="R5098" s="33"/>
      <c r="T5098" s="12">
        <v>13310</v>
      </c>
      <c r="U5098" s="12"/>
      <c r="V5098" s="12">
        <f t="shared" si="495"/>
        <v>13310</v>
      </c>
      <c r="W5098" s="12">
        <f t="shared" si="496"/>
        <v>33275</v>
      </c>
    </row>
    <row r="5099" spans="2:23" s="6" customFormat="1" ht="21.95" customHeight="1" x14ac:dyDescent="0.2">
      <c r="B5099" s="6" t="s">
        <v>1597</v>
      </c>
      <c r="C5099" s="6" t="s">
        <v>2055</v>
      </c>
      <c r="D5099" s="6" t="s">
        <v>1003</v>
      </c>
      <c r="G5099" s="6">
        <v>140</v>
      </c>
      <c r="H5099" s="6">
        <v>200</v>
      </c>
      <c r="I5099" s="9"/>
      <c r="J5099" s="9"/>
      <c r="K5099" s="9"/>
      <c r="L5099" s="6" t="str">
        <f t="shared" si="494"/>
        <v>1D  ROYCE  BAŞLIK  140x200</v>
      </c>
      <c r="M5099" s="12"/>
      <c r="N5099" s="12"/>
      <c r="O5099" s="12"/>
      <c r="R5099" s="33"/>
      <c r="T5099" s="12">
        <v>21780</v>
      </c>
      <c r="U5099" s="12"/>
      <c r="V5099" s="12">
        <f t="shared" si="495"/>
        <v>21780</v>
      </c>
      <c r="W5099" s="12">
        <f t="shared" si="496"/>
        <v>54450</v>
      </c>
    </row>
    <row r="5100" spans="2:23" s="6" customFormat="1" ht="21.95" customHeight="1" x14ac:dyDescent="0.2">
      <c r="B5100" s="6" t="s">
        <v>1597</v>
      </c>
      <c r="C5100" s="6" t="s">
        <v>2055</v>
      </c>
      <c r="D5100" s="6" t="s">
        <v>1003</v>
      </c>
      <c r="G5100" s="6">
        <v>150</v>
      </c>
      <c r="H5100" s="6">
        <v>200</v>
      </c>
      <c r="I5100" s="9"/>
      <c r="J5100" s="9"/>
      <c r="K5100" s="9"/>
      <c r="L5100" s="6" t="str">
        <f t="shared" si="494"/>
        <v>1D  ROYCE  BAŞLIK  150x200</v>
      </c>
      <c r="M5100" s="12"/>
      <c r="N5100" s="12"/>
      <c r="O5100" s="12"/>
      <c r="R5100" s="33"/>
      <c r="T5100" s="12">
        <v>4873</v>
      </c>
      <c r="U5100" s="12"/>
      <c r="V5100" s="12">
        <f t="shared" si="495"/>
        <v>4873</v>
      </c>
      <c r="W5100" s="12">
        <f t="shared" si="496"/>
        <v>12182.5</v>
      </c>
    </row>
    <row r="5101" spans="2:23" s="6" customFormat="1" ht="21.95" customHeight="1" x14ac:dyDescent="0.2">
      <c r="B5101" s="6" t="s">
        <v>1597</v>
      </c>
      <c r="C5101" s="6" t="s">
        <v>2055</v>
      </c>
      <c r="D5101" s="6" t="s">
        <v>1003</v>
      </c>
      <c r="G5101" s="6">
        <v>160</v>
      </c>
      <c r="H5101" s="6">
        <v>200</v>
      </c>
      <c r="I5101" s="9"/>
      <c r="J5101" s="9"/>
      <c r="K5101" s="9"/>
      <c r="L5101" s="6" t="str">
        <f t="shared" si="494"/>
        <v>1D  ROYCE  BAŞLIK  160x200</v>
      </c>
      <c r="M5101" s="12"/>
      <c r="N5101" s="12"/>
      <c r="O5101" s="12"/>
      <c r="R5101" s="33"/>
      <c r="T5101" s="12">
        <v>11654</v>
      </c>
      <c r="U5101" s="12"/>
      <c r="V5101" s="12">
        <f t="shared" si="495"/>
        <v>11654</v>
      </c>
      <c r="W5101" s="12">
        <f t="shared" si="496"/>
        <v>29135</v>
      </c>
    </row>
    <row r="5102" spans="2:23" s="6" customFormat="1" ht="21.95" customHeight="1" x14ac:dyDescent="0.2">
      <c r="B5102" s="6" t="s">
        <v>1597</v>
      </c>
      <c r="C5102" s="6" t="s">
        <v>2055</v>
      </c>
      <c r="D5102" s="6" t="s">
        <v>1003</v>
      </c>
      <c r="G5102" s="6">
        <v>180</v>
      </c>
      <c r="H5102" s="6">
        <v>200</v>
      </c>
      <c r="I5102" s="9"/>
      <c r="J5102" s="9"/>
      <c r="K5102" s="9"/>
      <c r="L5102" s="6" t="str">
        <f t="shared" si="494"/>
        <v>1D  ROYCE  BAŞLIK  180x200</v>
      </c>
      <c r="M5102" s="12"/>
      <c r="N5102" s="12"/>
      <c r="O5102" s="12"/>
      <c r="R5102" s="33"/>
      <c r="T5102" s="12">
        <v>5990</v>
      </c>
      <c r="U5102" s="12"/>
      <c r="V5102" s="12">
        <f t="shared" si="495"/>
        <v>5990</v>
      </c>
      <c r="W5102" s="12">
        <f t="shared" si="496"/>
        <v>14975</v>
      </c>
    </row>
    <row r="5103" spans="2:23" s="6" customFormat="1" ht="21.95" customHeight="1" x14ac:dyDescent="0.2">
      <c r="B5103" s="6" t="s">
        <v>1597</v>
      </c>
      <c r="C5103" s="6" t="s">
        <v>2055</v>
      </c>
      <c r="D5103" s="6" t="s">
        <v>943</v>
      </c>
      <c r="G5103" s="6">
        <v>90</v>
      </c>
      <c r="H5103" s="6">
        <v>190</v>
      </c>
      <c r="I5103" s="9"/>
      <c r="J5103" s="9"/>
      <c r="K5103" s="9"/>
      <c r="L5103" s="6" t="str">
        <f t="shared" si="494"/>
        <v>1D  ROYCE  YATAK  90x190</v>
      </c>
      <c r="M5103" s="12"/>
      <c r="N5103" s="12"/>
      <c r="O5103" s="12"/>
      <c r="R5103" s="33"/>
      <c r="T5103" s="12">
        <v>13106</v>
      </c>
      <c r="U5103" s="12"/>
      <c r="V5103" s="12">
        <f t="shared" si="495"/>
        <v>13106</v>
      </c>
      <c r="W5103" s="12">
        <f t="shared" si="496"/>
        <v>32765</v>
      </c>
    </row>
    <row r="5104" spans="2:23" s="6" customFormat="1" ht="21.95" customHeight="1" x14ac:dyDescent="0.2">
      <c r="B5104" s="6" t="s">
        <v>1597</v>
      </c>
      <c r="C5104" s="6" t="s">
        <v>2055</v>
      </c>
      <c r="D5104" s="6" t="s">
        <v>943</v>
      </c>
      <c r="G5104" s="6">
        <v>90</v>
      </c>
      <c r="H5104" s="6">
        <v>200</v>
      </c>
      <c r="I5104" s="9"/>
      <c r="J5104" s="9"/>
      <c r="K5104" s="9"/>
      <c r="L5104" s="6" t="str">
        <f t="shared" si="494"/>
        <v>1D  ROYCE  YATAK  90x200</v>
      </c>
      <c r="M5104" s="12"/>
      <c r="N5104" s="12"/>
      <c r="O5104" s="12"/>
      <c r="R5104" s="33"/>
      <c r="T5104" s="12">
        <v>7200</v>
      </c>
      <c r="U5104" s="12"/>
      <c r="V5104" s="12">
        <f t="shared" si="495"/>
        <v>7200</v>
      </c>
      <c r="W5104" s="12">
        <f t="shared" si="496"/>
        <v>18000</v>
      </c>
    </row>
    <row r="5105" spans="2:23" s="6" customFormat="1" ht="21.95" customHeight="1" x14ac:dyDescent="0.2">
      <c r="B5105" s="6" t="s">
        <v>1597</v>
      </c>
      <c r="C5105" s="6" t="s">
        <v>2055</v>
      </c>
      <c r="D5105" s="6" t="s">
        <v>943</v>
      </c>
      <c r="G5105" s="6">
        <v>100</v>
      </c>
      <c r="H5105" s="6">
        <v>200</v>
      </c>
      <c r="I5105" s="9"/>
      <c r="J5105" s="9"/>
      <c r="K5105" s="9"/>
      <c r="L5105" s="6" t="str">
        <f t="shared" si="494"/>
        <v>1D  ROYCE  YATAK  100x200</v>
      </c>
      <c r="M5105" s="12"/>
      <c r="N5105" s="12"/>
      <c r="O5105" s="12"/>
      <c r="R5105" s="33"/>
      <c r="T5105" s="12">
        <v>15730</v>
      </c>
      <c r="U5105" s="12"/>
      <c r="V5105" s="12">
        <f t="shared" si="495"/>
        <v>15730</v>
      </c>
      <c r="W5105" s="12">
        <f t="shared" si="496"/>
        <v>39325</v>
      </c>
    </row>
    <row r="5106" spans="2:23" s="6" customFormat="1" ht="21.95" customHeight="1" x14ac:dyDescent="0.2">
      <c r="B5106" s="6" t="s">
        <v>1597</v>
      </c>
      <c r="C5106" s="6" t="s">
        <v>2055</v>
      </c>
      <c r="D5106" s="6" t="s">
        <v>943</v>
      </c>
      <c r="G5106" s="6">
        <v>120</v>
      </c>
      <c r="H5106" s="6">
        <v>200</v>
      </c>
      <c r="I5106" s="9"/>
      <c r="J5106" s="9"/>
      <c r="K5106" s="9"/>
      <c r="L5106" s="6" t="str">
        <f t="shared" si="494"/>
        <v>1D  ROYCE  YATAK  120x200</v>
      </c>
      <c r="M5106" s="12"/>
      <c r="N5106" s="12"/>
      <c r="O5106" s="12"/>
      <c r="R5106" s="33"/>
      <c r="T5106" s="12">
        <v>4175</v>
      </c>
      <c r="U5106" s="12"/>
      <c r="V5106" s="12">
        <f t="shared" si="495"/>
        <v>4175</v>
      </c>
      <c r="W5106" s="12">
        <f t="shared" si="496"/>
        <v>10437.5</v>
      </c>
    </row>
    <row r="5107" spans="2:23" s="6" customFormat="1" ht="21.95" customHeight="1" x14ac:dyDescent="0.2">
      <c r="B5107" s="6" t="s">
        <v>1597</v>
      </c>
      <c r="C5107" s="6" t="s">
        <v>2055</v>
      </c>
      <c r="D5107" s="6" t="s">
        <v>943</v>
      </c>
      <c r="G5107" s="6">
        <v>140</v>
      </c>
      <c r="H5107" s="6">
        <v>200</v>
      </c>
      <c r="I5107" s="9"/>
      <c r="J5107" s="9"/>
      <c r="K5107" s="9"/>
      <c r="L5107" s="6" t="str">
        <f t="shared" si="494"/>
        <v>1D  ROYCE  YATAK  140x200</v>
      </c>
      <c r="M5107" s="12"/>
      <c r="N5107" s="12"/>
      <c r="O5107" s="12"/>
      <c r="R5107" s="33"/>
      <c r="T5107" s="12">
        <v>6353</v>
      </c>
      <c r="U5107" s="12"/>
      <c r="V5107" s="12">
        <f t="shared" si="495"/>
        <v>6353</v>
      </c>
      <c r="W5107" s="12">
        <f t="shared" si="496"/>
        <v>15882.5</v>
      </c>
    </row>
    <row r="5108" spans="2:23" s="6" customFormat="1" ht="21.95" customHeight="1" x14ac:dyDescent="0.2">
      <c r="B5108" s="6" t="s">
        <v>1597</v>
      </c>
      <c r="C5108" s="6" t="s">
        <v>2055</v>
      </c>
      <c r="D5108" s="6" t="s">
        <v>943</v>
      </c>
      <c r="G5108" s="6">
        <v>150</v>
      </c>
      <c r="H5108" s="6">
        <v>200</v>
      </c>
      <c r="I5108" s="9"/>
      <c r="J5108" s="9"/>
      <c r="K5108" s="9"/>
      <c r="L5108" s="6" t="str">
        <f t="shared" si="494"/>
        <v>1D  ROYCE  YATAK  150x200</v>
      </c>
      <c r="M5108" s="12"/>
      <c r="N5108" s="12"/>
      <c r="O5108" s="12"/>
      <c r="R5108" s="33"/>
      <c r="T5108" s="12">
        <v>29863</v>
      </c>
      <c r="U5108" s="12"/>
      <c r="V5108" s="12">
        <f t="shared" si="495"/>
        <v>29863</v>
      </c>
      <c r="W5108" s="12">
        <f t="shared" si="496"/>
        <v>74657.5</v>
      </c>
    </row>
    <row r="5109" spans="2:23" s="6" customFormat="1" ht="21.95" customHeight="1" x14ac:dyDescent="0.2">
      <c r="B5109" s="6" t="s">
        <v>1597</v>
      </c>
      <c r="C5109" s="6" t="s">
        <v>2055</v>
      </c>
      <c r="D5109" s="6" t="s">
        <v>943</v>
      </c>
      <c r="G5109" s="6">
        <v>160</v>
      </c>
      <c r="H5109" s="6">
        <v>200</v>
      </c>
      <c r="I5109" s="9"/>
      <c r="J5109" s="9"/>
      <c r="K5109" s="9"/>
      <c r="L5109" s="6" t="str">
        <f t="shared" si="494"/>
        <v>1D  ROYCE  YATAK  160x200</v>
      </c>
      <c r="M5109" s="12"/>
      <c r="N5109" s="12"/>
      <c r="O5109" s="12"/>
      <c r="R5109" s="33"/>
      <c r="T5109" s="12">
        <v>22809</v>
      </c>
      <c r="U5109" s="12"/>
      <c r="V5109" s="12">
        <f t="shared" si="495"/>
        <v>22809</v>
      </c>
      <c r="W5109" s="12">
        <f t="shared" si="496"/>
        <v>57022.5</v>
      </c>
    </row>
    <row r="5110" spans="2:23" s="6" customFormat="1" ht="21.95" customHeight="1" x14ac:dyDescent="0.2">
      <c r="B5110" s="6" t="s">
        <v>1597</v>
      </c>
      <c r="C5110" s="6" t="s">
        <v>2055</v>
      </c>
      <c r="D5110" s="6" t="s">
        <v>943</v>
      </c>
      <c r="G5110" s="6">
        <v>180</v>
      </c>
      <c r="H5110" s="6">
        <v>200</v>
      </c>
      <c r="I5110" s="9"/>
      <c r="J5110" s="9"/>
      <c r="K5110" s="9"/>
      <c r="L5110" s="6" t="str">
        <f t="shared" si="494"/>
        <v>1D  ROYCE  YATAK  180x200</v>
      </c>
      <c r="M5110" s="12"/>
      <c r="N5110" s="12"/>
      <c r="O5110" s="12"/>
      <c r="R5110" s="33"/>
      <c r="T5110" s="12">
        <v>9075</v>
      </c>
      <c r="U5110" s="12"/>
      <c r="V5110" s="12">
        <f t="shared" si="495"/>
        <v>9075</v>
      </c>
      <c r="W5110" s="12">
        <f t="shared" si="496"/>
        <v>22687.5</v>
      </c>
    </row>
    <row r="5111" spans="2:23" s="6" customFormat="1" ht="21.95" customHeight="1" x14ac:dyDescent="0.2">
      <c r="B5111" s="6" t="s">
        <v>1597</v>
      </c>
      <c r="C5111" s="6" t="s">
        <v>2055</v>
      </c>
      <c r="D5111" s="6" t="s">
        <v>1380</v>
      </c>
      <c r="I5111" s="9"/>
      <c r="J5111" s="9"/>
      <c r="K5111" s="9"/>
      <c r="L5111" s="6" t="str">
        <f>B5111&amp;" "&amp;C5111&amp;" "&amp;D5111</f>
        <v>1D  ROYCE  KOMODİN (2 ADET)</v>
      </c>
      <c r="M5111" s="12"/>
      <c r="N5111" s="12"/>
      <c r="O5111" s="12"/>
      <c r="R5111" s="33"/>
      <c r="T5111" s="12">
        <v>6050</v>
      </c>
      <c r="U5111" s="12"/>
      <c r="V5111" s="12">
        <f t="shared" si="495"/>
        <v>6050</v>
      </c>
      <c r="W5111" s="12">
        <f t="shared" si="496"/>
        <v>15125</v>
      </c>
    </row>
    <row r="5112" spans="2:23" s="6" customFormat="1" ht="21.95" customHeight="1" x14ac:dyDescent="0.2">
      <c r="B5112" s="6" t="s">
        <v>1597</v>
      </c>
      <c r="C5112" s="6" t="s">
        <v>827</v>
      </c>
      <c r="D5112" s="6" t="s">
        <v>2305</v>
      </c>
      <c r="G5112" s="6">
        <v>140</v>
      </c>
      <c r="H5112" s="6">
        <v>200</v>
      </c>
      <c r="I5112" s="9"/>
      <c r="J5112" s="9"/>
      <c r="K5112" s="9"/>
      <c r="L5112" s="6" t="str">
        <f t="shared" ref="L5112:L5119" si="497">B5112&amp;" "&amp;C5112&amp;" "&amp;D5112&amp;" "&amp;G5112&amp;"x"&amp;H5112</f>
        <v>1D  SALVADOR BAZA + BAŞLIK + TRAVERS 140x200</v>
      </c>
      <c r="M5112" s="12"/>
      <c r="N5112" s="12"/>
      <c r="O5112" s="12"/>
      <c r="R5112" s="33"/>
      <c r="T5112" s="12">
        <v>10285</v>
      </c>
      <c r="U5112" s="12"/>
      <c r="V5112" s="12">
        <f t="shared" si="495"/>
        <v>10285</v>
      </c>
      <c r="W5112" s="12">
        <f t="shared" si="496"/>
        <v>25712.5</v>
      </c>
    </row>
    <row r="5113" spans="2:23" s="6" customFormat="1" ht="21.95" customHeight="1" x14ac:dyDescent="0.2">
      <c r="B5113" s="6" t="s">
        <v>1597</v>
      </c>
      <c r="C5113" s="6" t="s">
        <v>827</v>
      </c>
      <c r="D5113" s="6" t="s">
        <v>2305</v>
      </c>
      <c r="G5113" s="6">
        <v>150</v>
      </c>
      <c r="H5113" s="6">
        <v>200</v>
      </c>
      <c r="I5113" s="9"/>
      <c r="J5113" s="9"/>
      <c r="K5113" s="9"/>
      <c r="L5113" s="6" t="str">
        <f t="shared" si="497"/>
        <v>1D  SALVADOR BAZA + BAŞLIK + TRAVERS 150x200</v>
      </c>
      <c r="M5113" s="12"/>
      <c r="N5113" s="12"/>
      <c r="O5113" s="12"/>
      <c r="R5113" s="33"/>
      <c r="T5113" s="12">
        <v>2178</v>
      </c>
      <c r="U5113" s="12"/>
      <c r="V5113" s="12">
        <f t="shared" si="495"/>
        <v>2178</v>
      </c>
      <c r="W5113" s="12">
        <f t="shared" si="496"/>
        <v>5445</v>
      </c>
    </row>
    <row r="5114" spans="2:23" s="6" customFormat="1" ht="21.95" customHeight="1" x14ac:dyDescent="0.2">
      <c r="B5114" s="6" t="s">
        <v>1597</v>
      </c>
      <c r="C5114" s="6" t="s">
        <v>827</v>
      </c>
      <c r="D5114" s="6" t="s">
        <v>2305</v>
      </c>
      <c r="G5114" s="6">
        <v>160</v>
      </c>
      <c r="H5114" s="6">
        <v>200</v>
      </c>
      <c r="I5114" s="9"/>
      <c r="J5114" s="9"/>
      <c r="K5114" s="9"/>
      <c r="L5114" s="6" t="str">
        <f t="shared" si="497"/>
        <v>1D  SALVADOR BAZA + BAŞLIK + TRAVERS 160x200</v>
      </c>
      <c r="M5114" s="12"/>
      <c r="N5114" s="12"/>
      <c r="O5114" s="12"/>
      <c r="R5114" s="33"/>
      <c r="T5114" s="12">
        <v>10890</v>
      </c>
      <c r="U5114" s="12"/>
      <c r="V5114" s="12">
        <f t="shared" si="495"/>
        <v>10890</v>
      </c>
      <c r="W5114" s="12">
        <f t="shared" si="496"/>
        <v>27225</v>
      </c>
    </row>
    <row r="5115" spans="2:23" s="6" customFormat="1" ht="21.95" customHeight="1" x14ac:dyDescent="0.2">
      <c r="B5115" s="6" t="s">
        <v>1597</v>
      </c>
      <c r="C5115" s="6" t="s">
        <v>827</v>
      </c>
      <c r="D5115" s="6" t="s">
        <v>2305</v>
      </c>
      <c r="G5115" s="6">
        <v>180</v>
      </c>
      <c r="H5115" s="6">
        <v>200</v>
      </c>
      <c r="I5115" s="9"/>
      <c r="J5115" s="9"/>
      <c r="K5115" s="9"/>
      <c r="L5115" s="6" t="str">
        <f t="shared" si="497"/>
        <v>1D  SALVADOR BAZA + BAŞLIK + TRAVERS 180x200</v>
      </c>
      <c r="M5115" s="12"/>
      <c r="N5115" s="12"/>
      <c r="O5115" s="12"/>
      <c r="R5115" s="33"/>
      <c r="T5115" s="12">
        <v>20570</v>
      </c>
      <c r="U5115" s="12"/>
      <c r="V5115" s="12">
        <f t="shared" si="495"/>
        <v>20570</v>
      </c>
      <c r="W5115" s="12">
        <f t="shared" si="496"/>
        <v>51425</v>
      </c>
    </row>
    <row r="5116" spans="2:23" s="6" customFormat="1" ht="21.95" customHeight="1" x14ac:dyDescent="0.2">
      <c r="B5116" s="6" t="s">
        <v>1597</v>
      </c>
      <c r="C5116" s="6" t="s">
        <v>827</v>
      </c>
      <c r="D5116" s="6" t="s">
        <v>943</v>
      </c>
      <c r="G5116" s="6">
        <v>140</v>
      </c>
      <c r="H5116" s="6">
        <v>200</v>
      </c>
      <c r="I5116" s="9"/>
      <c r="J5116" s="9"/>
      <c r="K5116" s="9"/>
      <c r="L5116" s="6" t="str">
        <f t="shared" si="497"/>
        <v>1D  SALVADOR YATAK  140x200</v>
      </c>
      <c r="M5116" s="12"/>
      <c r="N5116" s="12"/>
      <c r="O5116" s="12"/>
      <c r="R5116" s="33"/>
      <c r="T5116" s="12">
        <v>5288</v>
      </c>
      <c r="U5116" s="12"/>
      <c r="V5116" s="12">
        <f t="shared" si="495"/>
        <v>5288</v>
      </c>
      <c r="W5116" s="12">
        <f t="shared" si="496"/>
        <v>13220</v>
      </c>
    </row>
    <row r="5117" spans="2:23" s="6" customFormat="1" ht="21.95" customHeight="1" x14ac:dyDescent="0.2">
      <c r="B5117" s="6" t="s">
        <v>1597</v>
      </c>
      <c r="C5117" s="6" t="s">
        <v>827</v>
      </c>
      <c r="D5117" s="6" t="s">
        <v>943</v>
      </c>
      <c r="G5117" s="6">
        <v>150</v>
      </c>
      <c r="H5117" s="6">
        <v>200</v>
      </c>
      <c r="I5117" s="9"/>
      <c r="J5117" s="9"/>
      <c r="K5117" s="9"/>
      <c r="L5117" s="6" t="str">
        <f t="shared" si="497"/>
        <v>1D  SALVADOR YATAK  150x200</v>
      </c>
      <c r="M5117" s="12"/>
      <c r="N5117" s="12"/>
      <c r="O5117" s="12"/>
      <c r="R5117" s="33"/>
      <c r="T5117" s="12">
        <v>12292</v>
      </c>
      <c r="U5117" s="12"/>
      <c r="V5117" s="12">
        <f t="shared" si="495"/>
        <v>12292</v>
      </c>
      <c r="W5117" s="12">
        <f t="shared" si="496"/>
        <v>30730</v>
      </c>
    </row>
    <row r="5118" spans="2:23" s="6" customFormat="1" ht="21.95" customHeight="1" x14ac:dyDescent="0.2">
      <c r="B5118" s="6" t="s">
        <v>1597</v>
      </c>
      <c r="C5118" s="6" t="s">
        <v>827</v>
      </c>
      <c r="D5118" s="6" t="s">
        <v>943</v>
      </c>
      <c r="G5118" s="6">
        <v>160</v>
      </c>
      <c r="H5118" s="6">
        <v>200</v>
      </c>
      <c r="I5118" s="9"/>
      <c r="J5118" s="9"/>
      <c r="K5118" s="9"/>
      <c r="L5118" s="6" t="str">
        <f t="shared" si="497"/>
        <v>1D  SALVADOR YATAK  160x200</v>
      </c>
      <c r="M5118" s="12"/>
      <c r="N5118" s="12"/>
      <c r="O5118" s="12"/>
      <c r="R5118" s="33"/>
      <c r="T5118" s="12">
        <v>4477</v>
      </c>
      <c r="U5118" s="12"/>
      <c r="V5118" s="12">
        <f t="shared" si="495"/>
        <v>4477</v>
      </c>
      <c r="W5118" s="12">
        <f t="shared" si="496"/>
        <v>11192.5</v>
      </c>
    </row>
    <row r="5119" spans="2:23" s="6" customFormat="1" ht="21.95" customHeight="1" x14ac:dyDescent="0.2">
      <c r="B5119" s="6" t="s">
        <v>1597</v>
      </c>
      <c r="C5119" s="6" t="s">
        <v>827</v>
      </c>
      <c r="D5119" s="6" t="s">
        <v>943</v>
      </c>
      <c r="G5119" s="6">
        <v>180</v>
      </c>
      <c r="H5119" s="6">
        <v>200</v>
      </c>
      <c r="I5119" s="9"/>
      <c r="J5119" s="9"/>
      <c r="K5119" s="9"/>
      <c r="L5119" s="6" t="str">
        <f t="shared" si="497"/>
        <v>1D  SALVADOR YATAK  180x200</v>
      </c>
      <c r="M5119" s="12"/>
      <c r="N5119" s="12"/>
      <c r="O5119" s="12"/>
      <c r="R5119" s="33"/>
      <c r="T5119" s="12">
        <v>13951</v>
      </c>
      <c r="U5119" s="12"/>
      <c r="V5119" s="12">
        <f t="shared" si="495"/>
        <v>13951</v>
      </c>
      <c r="W5119" s="12">
        <f t="shared" si="496"/>
        <v>34877.5</v>
      </c>
    </row>
    <row r="5120" spans="2:23" s="6" customFormat="1" ht="21.95" customHeight="1" x14ac:dyDescent="0.2">
      <c r="B5120" s="6" t="s">
        <v>1597</v>
      </c>
      <c r="C5120" s="6" t="s">
        <v>827</v>
      </c>
      <c r="D5120" s="6" t="s">
        <v>1380</v>
      </c>
      <c r="I5120" s="9"/>
      <c r="J5120" s="9"/>
      <c r="K5120" s="9"/>
      <c r="L5120" s="6" t="str">
        <f>B5120&amp;" "&amp;C5120&amp;" "&amp;D5120</f>
        <v>1D  SALVADOR KOMODİN (2 ADET)</v>
      </c>
      <c r="M5120" s="12"/>
      <c r="N5120" s="12"/>
      <c r="O5120" s="12"/>
      <c r="R5120" s="33"/>
      <c r="T5120" s="12">
        <v>5445</v>
      </c>
      <c r="U5120" s="12"/>
      <c r="V5120" s="12">
        <f t="shared" si="495"/>
        <v>5445</v>
      </c>
      <c r="W5120" s="12">
        <f t="shared" si="496"/>
        <v>13612.5</v>
      </c>
    </row>
    <row r="5121" spans="2:23" s="6" customFormat="1" ht="21.95" customHeight="1" x14ac:dyDescent="0.2">
      <c r="B5121" s="6" t="s">
        <v>1597</v>
      </c>
      <c r="C5121" s="6" t="s">
        <v>2056</v>
      </c>
      <c r="D5121" s="6" t="s">
        <v>989</v>
      </c>
      <c r="G5121" s="6">
        <v>90</v>
      </c>
      <c r="H5121" s="6">
        <v>190</v>
      </c>
      <c r="I5121" s="9"/>
      <c r="J5121" s="9"/>
      <c r="K5121" s="9"/>
      <c r="L5121" s="6" t="str">
        <f t="shared" ref="L5121:L5144" si="498">B5121&amp;" "&amp;C5121&amp;" "&amp;D5121&amp;" "&amp;G5121&amp;"x"&amp;H5121</f>
        <v>1D  VALENCİA BAZA  90x190</v>
      </c>
      <c r="M5121" s="12"/>
      <c r="N5121" s="12"/>
      <c r="O5121" s="12"/>
      <c r="R5121" s="33"/>
      <c r="T5121" s="12">
        <v>13310</v>
      </c>
      <c r="U5121" s="12"/>
      <c r="V5121" s="12">
        <f t="shared" si="495"/>
        <v>13310</v>
      </c>
      <c r="W5121" s="12">
        <f t="shared" si="496"/>
        <v>33275</v>
      </c>
    </row>
    <row r="5122" spans="2:23" s="6" customFormat="1" ht="21.95" customHeight="1" x14ac:dyDescent="0.2">
      <c r="B5122" s="6" t="s">
        <v>1597</v>
      </c>
      <c r="C5122" s="6" t="s">
        <v>2056</v>
      </c>
      <c r="D5122" s="6" t="s">
        <v>989</v>
      </c>
      <c r="G5122" s="6">
        <v>90</v>
      </c>
      <c r="H5122" s="6">
        <v>200</v>
      </c>
      <c r="I5122" s="9"/>
      <c r="J5122" s="9"/>
      <c r="K5122" s="9"/>
      <c r="L5122" s="6" t="str">
        <f t="shared" si="498"/>
        <v>1D  VALENCİA BAZA  90x200</v>
      </c>
      <c r="M5122" s="12"/>
      <c r="N5122" s="12"/>
      <c r="O5122" s="12"/>
      <c r="R5122" s="33"/>
      <c r="T5122" s="12">
        <v>5143</v>
      </c>
      <c r="U5122" s="12"/>
      <c r="V5122" s="12">
        <f t="shared" si="495"/>
        <v>5143</v>
      </c>
      <c r="W5122" s="12">
        <f t="shared" si="496"/>
        <v>12857.5</v>
      </c>
    </row>
    <row r="5123" spans="2:23" s="6" customFormat="1" ht="21.95" customHeight="1" x14ac:dyDescent="0.2">
      <c r="B5123" s="6" t="s">
        <v>1597</v>
      </c>
      <c r="C5123" s="6" t="s">
        <v>2056</v>
      </c>
      <c r="D5123" s="6" t="s">
        <v>989</v>
      </c>
      <c r="G5123" s="6">
        <v>100</v>
      </c>
      <c r="H5123" s="6">
        <v>200</v>
      </c>
      <c r="I5123" s="9"/>
      <c r="J5123" s="9"/>
      <c r="K5123" s="9"/>
      <c r="L5123" s="6" t="str">
        <f t="shared" si="498"/>
        <v>1D  VALENCİA BAZA  100x200</v>
      </c>
      <c r="M5123" s="12"/>
      <c r="N5123" s="12"/>
      <c r="O5123" s="12"/>
      <c r="R5123" s="33"/>
      <c r="T5123" s="12">
        <v>9922</v>
      </c>
      <c r="U5123" s="12"/>
      <c r="V5123" s="12">
        <f t="shared" si="495"/>
        <v>9922</v>
      </c>
      <c r="W5123" s="12">
        <f t="shared" si="496"/>
        <v>24805</v>
      </c>
    </row>
    <row r="5124" spans="2:23" s="6" customFormat="1" ht="21.95" customHeight="1" x14ac:dyDescent="0.2">
      <c r="B5124" s="6" t="s">
        <v>1597</v>
      </c>
      <c r="C5124" s="6" t="s">
        <v>2056</v>
      </c>
      <c r="D5124" s="6" t="s">
        <v>989</v>
      </c>
      <c r="G5124" s="6">
        <v>120</v>
      </c>
      <c r="H5124" s="6">
        <v>200</v>
      </c>
      <c r="I5124" s="9"/>
      <c r="J5124" s="9"/>
      <c r="K5124" s="9"/>
      <c r="L5124" s="6" t="str">
        <f t="shared" si="498"/>
        <v>1D  VALENCİA BAZA  120x200</v>
      </c>
      <c r="M5124" s="12"/>
      <c r="N5124" s="12"/>
      <c r="O5124" s="12"/>
      <c r="R5124" s="33"/>
      <c r="T5124" s="12">
        <v>26960</v>
      </c>
      <c r="U5124" s="12"/>
      <c r="V5124" s="12">
        <f t="shared" si="495"/>
        <v>26960</v>
      </c>
      <c r="W5124" s="12">
        <f t="shared" si="496"/>
        <v>67400</v>
      </c>
    </row>
    <row r="5125" spans="2:23" s="6" customFormat="1" ht="21.95" customHeight="1" x14ac:dyDescent="0.2">
      <c r="B5125" s="6" t="s">
        <v>1597</v>
      </c>
      <c r="C5125" s="6" t="s">
        <v>2056</v>
      </c>
      <c r="D5125" s="6" t="s">
        <v>989</v>
      </c>
      <c r="G5125" s="6">
        <v>140</v>
      </c>
      <c r="H5125" s="6">
        <v>200</v>
      </c>
      <c r="I5125" s="9"/>
      <c r="J5125" s="9"/>
      <c r="K5125" s="9"/>
      <c r="L5125" s="6" t="str">
        <f t="shared" si="498"/>
        <v>1D  VALENCİA BAZA  140x200</v>
      </c>
      <c r="M5125" s="12"/>
      <c r="N5125" s="12"/>
      <c r="O5125" s="12"/>
      <c r="R5125" s="33"/>
      <c r="T5125" s="12">
        <v>20765</v>
      </c>
      <c r="U5125" s="12"/>
      <c r="V5125" s="12">
        <f t="shared" si="495"/>
        <v>20765</v>
      </c>
      <c r="W5125" s="12">
        <f t="shared" si="496"/>
        <v>51912.5</v>
      </c>
    </row>
    <row r="5126" spans="2:23" s="6" customFormat="1" ht="21.95" customHeight="1" x14ac:dyDescent="0.2">
      <c r="B5126" s="6" t="s">
        <v>1597</v>
      </c>
      <c r="C5126" s="6" t="s">
        <v>2056</v>
      </c>
      <c r="D5126" s="6" t="s">
        <v>989</v>
      </c>
      <c r="G5126" s="6">
        <v>150</v>
      </c>
      <c r="H5126" s="6">
        <v>200</v>
      </c>
      <c r="I5126" s="9"/>
      <c r="J5126" s="9"/>
      <c r="K5126" s="9"/>
      <c r="L5126" s="6" t="str">
        <f t="shared" si="498"/>
        <v>1D  VALENCİA BAZA  150x200</v>
      </c>
      <c r="M5126" s="12"/>
      <c r="N5126" s="12"/>
      <c r="O5126" s="12"/>
      <c r="R5126" s="33"/>
      <c r="T5126" s="12">
        <v>4561</v>
      </c>
      <c r="U5126" s="12"/>
      <c r="V5126" s="12">
        <f t="shared" si="495"/>
        <v>4561</v>
      </c>
      <c r="W5126" s="12">
        <f t="shared" si="496"/>
        <v>11402.5</v>
      </c>
    </row>
    <row r="5127" spans="2:23" s="6" customFormat="1" ht="21.95" customHeight="1" x14ac:dyDescent="0.2">
      <c r="B5127" s="6" t="s">
        <v>1597</v>
      </c>
      <c r="C5127" s="6" t="s">
        <v>2056</v>
      </c>
      <c r="D5127" s="6" t="s">
        <v>989</v>
      </c>
      <c r="G5127" s="6">
        <v>160</v>
      </c>
      <c r="H5127" s="6">
        <v>200</v>
      </c>
      <c r="I5127" s="9"/>
      <c r="J5127" s="9"/>
      <c r="K5127" s="9"/>
      <c r="L5127" s="6" t="str">
        <f t="shared" si="498"/>
        <v>1D  VALENCİA BAZA  160x200</v>
      </c>
      <c r="M5127" s="12"/>
      <c r="N5127" s="12"/>
      <c r="O5127" s="12"/>
      <c r="R5127" s="33"/>
      <c r="T5127" s="12">
        <v>6336</v>
      </c>
      <c r="U5127" s="12"/>
      <c r="V5127" s="12">
        <f t="shared" si="495"/>
        <v>6336</v>
      </c>
      <c r="W5127" s="12">
        <f t="shared" si="496"/>
        <v>15840</v>
      </c>
    </row>
    <row r="5128" spans="2:23" s="6" customFormat="1" ht="21.95" customHeight="1" x14ac:dyDescent="0.2">
      <c r="B5128" s="6" t="s">
        <v>1597</v>
      </c>
      <c r="C5128" s="6" t="s">
        <v>2056</v>
      </c>
      <c r="D5128" s="6" t="s">
        <v>989</v>
      </c>
      <c r="G5128" s="6">
        <v>180</v>
      </c>
      <c r="H5128" s="6">
        <v>200</v>
      </c>
      <c r="I5128" s="9"/>
      <c r="J5128" s="9"/>
      <c r="K5128" s="9"/>
      <c r="L5128" s="6" t="str">
        <f t="shared" si="498"/>
        <v>1D  VALENCİA BAZA  180x200</v>
      </c>
      <c r="M5128" s="12"/>
      <c r="N5128" s="12"/>
      <c r="O5128" s="12"/>
      <c r="R5128" s="33"/>
      <c r="T5128" s="12">
        <v>3158</v>
      </c>
      <c r="U5128" s="12"/>
      <c r="V5128" s="12">
        <f t="shared" si="495"/>
        <v>3158</v>
      </c>
      <c r="W5128" s="12">
        <f t="shared" si="496"/>
        <v>7895</v>
      </c>
    </row>
    <row r="5129" spans="2:23" s="6" customFormat="1" ht="21.95" customHeight="1" x14ac:dyDescent="0.2">
      <c r="B5129" s="6" t="s">
        <v>1597</v>
      </c>
      <c r="C5129" s="6" t="s">
        <v>2056</v>
      </c>
      <c r="D5129" s="6" t="s">
        <v>1003</v>
      </c>
      <c r="G5129" s="6">
        <v>90</v>
      </c>
      <c r="H5129" s="6">
        <v>190</v>
      </c>
      <c r="I5129" s="9"/>
      <c r="J5129" s="9"/>
      <c r="K5129" s="9"/>
      <c r="L5129" s="6" t="str">
        <f t="shared" si="498"/>
        <v>1D  VALENCİA BAŞLIK  90x190</v>
      </c>
      <c r="M5129" s="12"/>
      <c r="N5129" s="12"/>
      <c r="O5129" s="12"/>
      <c r="R5129" s="33"/>
      <c r="T5129" s="12">
        <v>10657</v>
      </c>
      <c r="U5129" s="12"/>
      <c r="V5129" s="12">
        <f t="shared" si="495"/>
        <v>10657</v>
      </c>
      <c r="W5129" s="12">
        <f t="shared" si="496"/>
        <v>26642.5</v>
      </c>
    </row>
    <row r="5130" spans="2:23" s="6" customFormat="1" ht="21.95" customHeight="1" x14ac:dyDescent="0.2">
      <c r="B5130" s="6" t="s">
        <v>1597</v>
      </c>
      <c r="C5130" s="6" t="s">
        <v>2056</v>
      </c>
      <c r="D5130" s="6" t="s">
        <v>1003</v>
      </c>
      <c r="G5130" s="6">
        <v>90</v>
      </c>
      <c r="H5130" s="6">
        <v>200</v>
      </c>
      <c r="I5130" s="9"/>
      <c r="J5130" s="9"/>
      <c r="K5130" s="9"/>
      <c r="L5130" s="6" t="str">
        <f t="shared" si="498"/>
        <v>1D  VALENCİA BAŞLIK  90x200</v>
      </c>
      <c r="M5130" s="12"/>
      <c r="N5130" s="12"/>
      <c r="O5130" s="12"/>
      <c r="R5130" s="33"/>
      <c r="T5130" s="12">
        <v>2499</v>
      </c>
      <c r="U5130" s="12"/>
      <c r="V5130" s="12">
        <f t="shared" si="495"/>
        <v>2499</v>
      </c>
      <c r="W5130" s="12">
        <f t="shared" si="496"/>
        <v>6247.5</v>
      </c>
    </row>
    <row r="5131" spans="2:23" s="6" customFormat="1" ht="21.95" customHeight="1" x14ac:dyDescent="0.2">
      <c r="B5131" s="6" t="s">
        <v>1597</v>
      </c>
      <c r="C5131" s="6" t="s">
        <v>2056</v>
      </c>
      <c r="D5131" s="6" t="s">
        <v>1003</v>
      </c>
      <c r="G5131" s="6">
        <v>100</v>
      </c>
      <c r="H5131" s="6">
        <v>200</v>
      </c>
      <c r="I5131" s="9"/>
      <c r="J5131" s="9"/>
      <c r="K5131" s="9"/>
      <c r="L5131" s="6" t="str">
        <f t="shared" si="498"/>
        <v>1D  VALENCİA BAŞLIK  100x200</v>
      </c>
      <c r="M5131" s="12"/>
      <c r="N5131" s="12"/>
      <c r="O5131" s="12"/>
      <c r="R5131" s="33"/>
      <c r="T5131" s="12">
        <v>12522</v>
      </c>
      <c r="U5131" s="12"/>
      <c r="V5131" s="12">
        <f t="shared" si="495"/>
        <v>12522</v>
      </c>
      <c r="W5131" s="12">
        <f t="shared" si="496"/>
        <v>31305</v>
      </c>
    </row>
    <row r="5132" spans="2:23" s="6" customFormat="1" ht="21.95" customHeight="1" x14ac:dyDescent="0.2">
      <c r="B5132" s="6" t="s">
        <v>1597</v>
      </c>
      <c r="C5132" s="6" t="s">
        <v>2056</v>
      </c>
      <c r="D5132" s="6" t="s">
        <v>1003</v>
      </c>
      <c r="G5132" s="6">
        <v>120</v>
      </c>
      <c r="H5132" s="6">
        <v>200</v>
      </c>
      <c r="I5132" s="9"/>
      <c r="J5132" s="9"/>
      <c r="K5132" s="9"/>
      <c r="L5132" s="6" t="str">
        <f t="shared" si="498"/>
        <v>1D  VALENCİA BAŞLIK  120x200</v>
      </c>
      <c r="M5132" s="12"/>
      <c r="N5132" s="12"/>
      <c r="O5132" s="12"/>
      <c r="R5132" s="33"/>
      <c r="T5132" s="12">
        <v>4873</v>
      </c>
      <c r="U5132" s="12"/>
      <c r="V5132" s="12">
        <f t="shared" si="495"/>
        <v>4873</v>
      </c>
      <c r="W5132" s="12">
        <f t="shared" si="496"/>
        <v>12182.5</v>
      </c>
    </row>
    <row r="5133" spans="2:23" s="6" customFormat="1" ht="21.95" customHeight="1" x14ac:dyDescent="0.2">
      <c r="B5133" s="6" t="s">
        <v>1597</v>
      </c>
      <c r="C5133" s="6" t="s">
        <v>2056</v>
      </c>
      <c r="D5133" s="6" t="s">
        <v>1003</v>
      </c>
      <c r="G5133" s="6">
        <v>140</v>
      </c>
      <c r="H5133" s="6">
        <v>200</v>
      </c>
      <c r="I5133" s="9"/>
      <c r="J5133" s="9"/>
      <c r="K5133" s="9"/>
      <c r="L5133" s="6" t="str">
        <f t="shared" si="498"/>
        <v>1D  VALENCİA BAŞLIK  140x200</v>
      </c>
      <c r="M5133" s="12"/>
      <c r="N5133" s="12"/>
      <c r="O5133" s="12"/>
      <c r="R5133" s="33"/>
      <c r="T5133" s="12">
        <v>11653</v>
      </c>
      <c r="U5133" s="12"/>
      <c r="V5133" s="12">
        <f t="shared" si="495"/>
        <v>11653</v>
      </c>
      <c r="W5133" s="12">
        <f t="shared" si="496"/>
        <v>29132.5</v>
      </c>
    </row>
    <row r="5134" spans="2:23" s="6" customFormat="1" ht="21.95" customHeight="1" x14ac:dyDescent="0.2">
      <c r="B5134" s="6" t="s">
        <v>1597</v>
      </c>
      <c r="C5134" s="6" t="s">
        <v>2056</v>
      </c>
      <c r="D5134" s="6" t="s">
        <v>1003</v>
      </c>
      <c r="G5134" s="6">
        <v>150</v>
      </c>
      <c r="H5134" s="6">
        <v>200</v>
      </c>
      <c r="I5134" s="9"/>
      <c r="J5134" s="9"/>
      <c r="K5134" s="9"/>
      <c r="L5134" s="6" t="str">
        <f t="shared" si="498"/>
        <v>1D  VALENCİA BAŞLIK  150x200</v>
      </c>
      <c r="M5134" s="12"/>
      <c r="N5134" s="12"/>
      <c r="O5134" s="12"/>
      <c r="R5134" s="33"/>
      <c r="T5134" s="12">
        <v>4872</v>
      </c>
      <c r="U5134" s="12"/>
      <c r="V5134" s="12">
        <f t="shared" si="495"/>
        <v>4872</v>
      </c>
      <c r="W5134" s="12">
        <f t="shared" si="496"/>
        <v>12180</v>
      </c>
    </row>
    <row r="5135" spans="2:23" s="6" customFormat="1" ht="21.95" customHeight="1" x14ac:dyDescent="0.2">
      <c r="B5135" s="6" t="s">
        <v>1597</v>
      </c>
      <c r="C5135" s="6" t="s">
        <v>2056</v>
      </c>
      <c r="D5135" s="6" t="s">
        <v>1003</v>
      </c>
      <c r="G5135" s="6">
        <v>160</v>
      </c>
      <c r="H5135" s="6">
        <v>200</v>
      </c>
      <c r="I5135" s="9"/>
      <c r="J5135" s="9"/>
      <c r="K5135" s="9"/>
      <c r="L5135" s="6" t="str">
        <f t="shared" si="498"/>
        <v>1D  VALENCİA BAŞLIK  160x200</v>
      </c>
      <c r="M5135" s="12"/>
      <c r="N5135" s="12"/>
      <c r="O5135" s="12"/>
      <c r="R5135" s="33"/>
      <c r="T5135" s="12">
        <v>18855</v>
      </c>
      <c r="U5135" s="12"/>
      <c r="V5135" s="12">
        <f t="shared" si="495"/>
        <v>18855</v>
      </c>
      <c r="W5135" s="12">
        <f t="shared" si="496"/>
        <v>47137.5</v>
      </c>
    </row>
    <row r="5136" spans="2:23" s="6" customFormat="1" ht="21.95" customHeight="1" x14ac:dyDescent="0.2">
      <c r="B5136" s="6" t="s">
        <v>1597</v>
      </c>
      <c r="C5136" s="6" t="s">
        <v>2056</v>
      </c>
      <c r="D5136" s="6" t="s">
        <v>1003</v>
      </c>
      <c r="G5136" s="6">
        <v>180</v>
      </c>
      <c r="H5136" s="6">
        <v>200</v>
      </c>
      <c r="I5136" s="9"/>
      <c r="J5136" s="9"/>
      <c r="K5136" s="9"/>
      <c r="L5136" s="6" t="str">
        <f t="shared" si="498"/>
        <v>1D  VALENCİA BAŞLIK  180x200</v>
      </c>
      <c r="M5136" s="12"/>
      <c r="N5136" s="12"/>
      <c r="O5136" s="12"/>
      <c r="R5136" s="33"/>
      <c r="T5136" s="12">
        <v>13106</v>
      </c>
      <c r="U5136" s="12"/>
      <c r="V5136" s="12">
        <f t="shared" si="495"/>
        <v>13106</v>
      </c>
      <c r="W5136" s="12">
        <f t="shared" si="496"/>
        <v>32765</v>
      </c>
    </row>
    <row r="5137" spans="2:23" s="6" customFormat="1" ht="21.95" customHeight="1" x14ac:dyDescent="0.2">
      <c r="B5137" s="6" t="s">
        <v>1597</v>
      </c>
      <c r="C5137" s="6" t="s">
        <v>2056</v>
      </c>
      <c r="D5137" s="6" t="s">
        <v>943</v>
      </c>
      <c r="G5137" s="6">
        <v>90</v>
      </c>
      <c r="H5137" s="6">
        <v>190</v>
      </c>
      <c r="I5137" s="9"/>
      <c r="J5137" s="9"/>
      <c r="K5137" s="9"/>
      <c r="L5137" s="6" t="str">
        <f t="shared" si="498"/>
        <v>1D  VALENCİA YATAK  90x190</v>
      </c>
      <c r="M5137" s="12"/>
      <c r="N5137" s="12"/>
      <c r="O5137" s="12"/>
      <c r="R5137" s="33"/>
      <c r="T5137" s="12">
        <v>6122</v>
      </c>
      <c r="U5137" s="12"/>
      <c r="V5137" s="12">
        <f t="shared" si="495"/>
        <v>6122</v>
      </c>
      <c r="W5137" s="12">
        <f t="shared" si="496"/>
        <v>15305</v>
      </c>
    </row>
    <row r="5138" spans="2:23" s="6" customFormat="1" ht="21.95" customHeight="1" x14ac:dyDescent="0.2">
      <c r="B5138" s="6" t="s">
        <v>1597</v>
      </c>
      <c r="C5138" s="6" t="s">
        <v>2056</v>
      </c>
      <c r="D5138" s="6" t="s">
        <v>943</v>
      </c>
      <c r="G5138" s="6">
        <v>90</v>
      </c>
      <c r="H5138" s="6">
        <v>200</v>
      </c>
      <c r="I5138" s="9"/>
      <c r="J5138" s="9"/>
      <c r="K5138" s="9"/>
      <c r="L5138" s="6" t="str">
        <f t="shared" si="498"/>
        <v>1D  VALENCİA YATAK  90x200</v>
      </c>
      <c r="M5138" s="12"/>
      <c r="N5138" s="12"/>
      <c r="O5138" s="12"/>
      <c r="R5138" s="33"/>
      <c r="T5138" s="12">
        <v>14398</v>
      </c>
      <c r="U5138" s="12"/>
      <c r="V5138" s="12">
        <f t="shared" si="495"/>
        <v>14398</v>
      </c>
      <c r="W5138" s="12">
        <f t="shared" si="496"/>
        <v>35995</v>
      </c>
    </row>
    <row r="5139" spans="2:23" s="6" customFormat="1" ht="21.95" customHeight="1" x14ac:dyDescent="0.2">
      <c r="B5139" s="6" t="s">
        <v>1597</v>
      </c>
      <c r="C5139" s="6" t="s">
        <v>2056</v>
      </c>
      <c r="D5139" s="6" t="s">
        <v>943</v>
      </c>
      <c r="G5139" s="6">
        <v>100</v>
      </c>
      <c r="H5139" s="6">
        <v>200</v>
      </c>
      <c r="I5139" s="9"/>
      <c r="J5139" s="9"/>
      <c r="K5139" s="9"/>
      <c r="L5139" s="6" t="str">
        <f t="shared" si="498"/>
        <v>1D  VALENCİA YATAK  100x200</v>
      </c>
      <c r="M5139" s="12"/>
      <c r="N5139" s="12"/>
      <c r="O5139" s="12"/>
      <c r="R5139" s="33"/>
      <c r="T5139" s="12">
        <v>4157</v>
      </c>
      <c r="U5139" s="12"/>
      <c r="V5139" s="12">
        <f t="shared" si="495"/>
        <v>4157</v>
      </c>
      <c r="W5139" s="12">
        <f t="shared" si="496"/>
        <v>10392.5</v>
      </c>
    </row>
    <row r="5140" spans="2:23" s="6" customFormat="1" ht="21.95" customHeight="1" x14ac:dyDescent="0.2">
      <c r="B5140" s="6" t="s">
        <v>1597</v>
      </c>
      <c r="C5140" s="6" t="s">
        <v>2056</v>
      </c>
      <c r="D5140" s="6" t="s">
        <v>943</v>
      </c>
      <c r="G5140" s="6">
        <v>120</v>
      </c>
      <c r="H5140" s="6">
        <v>200</v>
      </c>
      <c r="I5140" s="9"/>
      <c r="J5140" s="9"/>
      <c r="K5140" s="9"/>
      <c r="L5140" s="6" t="str">
        <f t="shared" si="498"/>
        <v>1D  VALENCİA YATAK  120x200</v>
      </c>
      <c r="M5140" s="12"/>
      <c r="N5140" s="12"/>
      <c r="O5140" s="12"/>
      <c r="R5140" s="33"/>
      <c r="T5140" s="12">
        <v>7762</v>
      </c>
      <c r="U5140" s="12"/>
      <c r="V5140" s="12">
        <f t="shared" si="495"/>
        <v>7762</v>
      </c>
      <c r="W5140" s="12">
        <f t="shared" si="496"/>
        <v>19405</v>
      </c>
    </row>
    <row r="5141" spans="2:23" s="6" customFormat="1" ht="21.95" customHeight="1" x14ac:dyDescent="0.2">
      <c r="B5141" s="6" t="s">
        <v>1597</v>
      </c>
      <c r="C5141" s="6" t="s">
        <v>2056</v>
      </c>
      <c r="D5141" s="6" t="s">
        <v>943</v>
      </c>
      <c r="G5141" s="6">
        <v>140</v>
      </c>
      <c r="H5141" s="6">
        <v>200</v>
      </c>
      <c r="I5141" s="9"/>
      <c r="J5141" s="9"/>
      <c r="K5141" s="9"/>
      <c r="L5141" s="6" t="str">
        <f t="shared" si="498"/>
        <v>1D  VALENCİA YATAK  140x200</v>
      </c>
      <c r="M5141" s="12"/>
      <c r="N5141" s="12"/>
      <c r="O5141" s="12"/>
      <c r="R5141" s="33"/>
      <c r="T5141" s="12">
        <v>25739</v>
      </c>
      <c r="U5141" s="12"/>
      <c r="V5141" s="12">
        <f t="shared" si="495"/>
        <v>25739</v>
      </c>
      <c r="W5141" s="12">
        <f t="shared" si="496"/>
        <v>64347.5</v>
      </c>
    </row>
    <row r="5142" spans="2:23" s="6" customFormat="1" ht="21.95" customHeight="1" x14ac:dyDescent="0.2">
      <c r="B5142" s="6" t="s">
        <v>1597</v>
      </c>
      <c r="C5142" s="6" t="s">
        <v>2056</v>
      </c>
      <c r="D5142" s="6" t="s">
        <v>943</v>
      </c>
      <c r="G5142" s="6">
        <v>150</v>
      </c>
      <c r="H5142" s="6">
        <v>200</v>
      </c>
      <c r="I5142" s="9"/>
      <c r="J5142" s="9"/>
      <c r="K5142" s="9"/>
      <c r="L5142" s="6" t="str">
        <f t="shared" si="498"/>
        <v>1D  VALENCİA YATAK  150x200</v>
      </c>
      <c r="M5142" s="12"/>
      <c r="N5142" s="12"/>
      <c r="O5142" s="12"/>
      <c r="R5142" s="33"/>
      <c r="T5142" s="12">
        <v>19200</v>
      </c>
      <c r="U5142" s="12"/>
      <c r="V5142" s="12">
        <f t="shared" si="495"/>
        <v>19200</v>
      </c>
      <c r="W5142" s="12">
        <f t="shared" si="496"/>
        <v>48000</v>
      </c>
    </row>
    <row r="5143" spans="2:23" s="6" customFormat="1" ht="21.95" customHeight="1" x14ac:dyDescent="0.2">
      <c r="B5143" s="6" t="s">
        <v>1597</v>
      </c>
      <c r="C5143" s="6" t="s">
        <v>2056</v>
      </c>
      <c r="D5143" s="6" t="s">
        <v>943</v>
      </c>
      <c r="G5143" s="6">
        <v>160</v>
      </c>
      <c r="H5143" s="6">
        <v>200</v>
      </c>
      <c r="I5143" s="9"/>
      <c r="J5143" s="9"/>
      <c r="K5143" s="9"/>
      <c r="L5143" s="6" t="str">
        <f t="shared" si="498"/>
        <v>1D  VALENCİA YATAK  160x200</v>
      </c>
      <c r="M5143" s="12"/>
      <c r="N5143" s="12"/>
      <c r="O5143" s="12"/>
      <c r="R5143" s="33"/>
      <c r="T5143" s="12">
        <v>4561</v>
      </c>
      <c r="U5143" s="12"/>
      <c r="V5143" s="12">
        <f t="shared" si="495"/>
        <v>4561</v>
      </c>
      <c r="W5143" s="12">
        <f t="shared" si="496"/>
        <v>11402.5</v>
      </c>
    </row>
    <row r="5144" spans="2:23" s="6" customFormat="1" ht="21.95" customHeight="1" x14ac:dyDescent="0.2">
      <c r="B5144" s="6" t="s">
        <v>1597</v>
      </c>
      <c r="C5144" s="6" t="s">
        <v>2056</v>
      </c>
      <c r="D5144" s="6" t="s">
        <v>943</v>
      </c>
      <c r="G5144" s="6">
        <v>180</v>
      </c>
      <c r="H5144" s="6">
        <v>200</v>
      </c>
      <c r="I5144" s="9"/>
      <c r="J5144" s="9"/>
      <c r="K5144" s="9"/>
      <c r="L5144" s="6" t="str">
        <f t="shared" si="498"/>
        <v>1D  VALENCİA YATAK  180x200</v>
      </c>
      <c r="M5144" s="12"/>
      <c r="N5144" s="12"/>
      <c r="O5144" s="12"/>
      <c r="R5144" s="33"/>
      <c r="T5144" s="12">
        <v>8042</v>
      </c>
      <c r="U5144" s="12"/>
      <c r="V5144" s="12">
        <f t="shared" si="495"/>
        <v>8042</v>
      </c>
      <c r="W5144" s="12">
        <f t="shared" si="496"/>
        <v>20105</v>
      </c>
    </row>
    <row r="5145" spans="2:23" s="6" customFormat="1" ht="21.95" customHeight="1" x14ac:dyDescent="0.2">
      <c r="B5145" s="6" t="s">
        <v>1597</v>
      </c>
      <c r="C5145" s="6" t="s">
        <v>2056</v>
      </c>
      <c r="D5145" s="6" t="s">
        <v>1380</v>
      </c>
      <c r="I5145" s="9"/>
      <c r="J5145" s="9"/>
      <c r="K5145" s="9"/>
      <c r="L5145" s="6" t="str">
        <f>B5145&amp;" "&amp;C5145&amp;" "&amp;D5145</f>
        <v>1D  VALENCİA KOMODİN (2 ADET)</v>
      </c>
      <c r="M5145" s="12"/>
      <c r="N5145" s="12"/>
      <c r="O5145" s="12"/>
      <c r="R5145" s="33"/>
      <c r="T5145" s="12">
        <v>1489</v>
      </c>
      <c r="U5145" s="12"/>
      <c r="V5145" s="12">
        <f t="shared" si="495"/>
        <v>1489</v>
      </c>
      <c r="W5145" s="12">
        <f t="shared" si="496"/>
        <v>3722.5</v>
      </c>
    </row>
    <row r="5146" spans="2:23" s="6" customFormat="1" ht="21.95" customHeight="1" x14ac:dyDescent="0.2">
      <c r="B5146" s="6" t="s">
        <v>1597</v>
      </c>
      <c r="C5146" s="6" t="s">
        <v>2057</v>
      </c>
      <c r="D5146" s="6" t="s">
        <v>989</v>
      </c>
      <c r="G5146" s="6">
        <v>90</v>
      </c>
      <c r="H5146" s="6">
        <v>190</v>
      </c>
      <c r="I5146" s="9"/>
      <c r="J5146" s="9"/>
      <c r="K5146" s="9"/>
      <c r="L5146" s="6" t="str">
        <f t="shared" ref="L5146:L5169" si="499">B5146&amp;" "&amp;C5146&amp;" "&amp;D5146&amp;" "&amp;G5146&amp;"x"&amp;H5146</f>
        <v>1D  VOGUE BAZA  90x190</v>
      </c>
      <c r="M5146" s="12"/>
      <c r="N5146" s="12"/>
      <c r="O5146" s="12"/>
      <c r="R5146" s="33"/>
      <c r="T5146" s="12">
        <v>10156</v>
      </c>
      <c r="U5146" s="12"/>
      <c r="V5146" s="12">
        <f t="shared" si="495"/>
        <v>10156</v>
      </c>
      <c r="W5146" s="12">
        <f t="shared" si="496"/>
        <v>25390</v>
      </c>
    </row>
    <row r="5147" spans="2:23" s="6" customFormat="1" ht="21.95" customHeight="1" x14ac:dyDescent="0.2">
      <c r="B5147" s="6" t="s">
        <v>1597</v>
      </c>
      <c r="C5147" s="6" t="s">
        <v>2057</v>
      </c>
      <c r="D5147" s="6" t="s">
        <v>989</v>
      </c>
      <c r="G5147" s="6">
        <v>90</v>
      </c>
      <c r="H5147" s="6">
        <v>200</v>
      </c>
      <c r="I5147" s="9"/>
      <c r="J5147" s="9"/>
      <c r="K5147" s="9"/>
      <c r="L5147" s="6" t="str">
        <f t="shared" si="499"/>
        <v>1D  VOGUE BAZA  90x200</v>
      </c>
      <c r="M5147" s="12"/>
      <c r="N5147" s="12"/>
      <c r="O5147" s="12"/>
      <c r="R5147" s="33"/>
      <c r="T5147" s="12">
        <v>2365</v>
      </c>
      <c r="U5147" s="12"/>
      <c r="V5147" s="12">
        <f t="shared" si="495"/>
        <v>2365</v>
      </c>
      <c r="W5147" s="12">
        <f t="shared" si="496"/>
        <v>5912.5</v>
      </c>
    </row>
    <row r="5148" spans="2:23" s="6" customFormat="1" ht="21.95" customHeight="1" x14ac:dyDescent="0.2">
      <c r="B5148" s="6" t="s">
        <v>1597</v>
      </c>
      <c r="C5148" s="6" t="s">
        <v>2057</v>
      </c>
      <c r="D5148" s="6" t="s">
        <v>989</v>
      </c>
      <c r="G5148" s="6">
        <v>100</v>
      </c>
      <c r="H5148" s="6">
        <v>200</v>
      </c>
      <c r="I5148" s="9"/>
      <c r="J5148" s="9"/>
      <c r="K5148" s="9"/>
      <c r="L5148" s="6" t="str">
        <f t="shared" si="499"/>
        <v>1D  VOGUE BAZA  100x200</v>
      </c>
      <c r="M5148" s="12"/>
      <c r="N5148" s="12"/>
      <c r="O5148" s="12"/>
      <c r="R5148" s="33"/>
      <c r="T5148" s="12">
        <v>10087</v>
      </c>
      <c r="U5148" s="12"/>
      <c r="V5148" s="12">
        <f t="shared" si="495"/>
        <v>10087</v>
      </c>
      <c r="W5148" s="12">
        <f t="shared" si="496"/>
        <v>25217.5</v>
      </c>
    </row>
    <row r="5149" spans="2:23" s="6" customFormat="1" ht="21.95" customHeight="1" x14ac:dyDescent="0.2">
      <c r="B5149" s="6" t="s">
        <v>1597</v>
      </c>
      <c r="C5149" s="6" t="s">
        <v>2057</v>
      </c>
      <c r="D5149" s="6" t="s">
        <v>989</v>
      </c>
      <c r="G5149" s="6">
        <v>120</v>
      </c>
      <c r="H5149" s="6">
        <v>200</v>
      </c>
      <c r="I5149" s="9"/>
      <c r="J5149" s="9"/>
      <c r="K5149" s="9"/>
      <c r="L5149" s="6" t="str">
        <f t="shared" si="499"/>
        <v>1D  VOGUE BAZA  120x200</v>
      </c>
      <c r="M5149" s="12"/>
      <c r="N5149" s="12"/>
      <c r="O5149" s="12"/>
      <c r="R5149" s="33"/>
      <c r="T5149" s="12">
        <v>11653</v>
      </c>
      <c r="U5149" s="12"/>
      <c r="V5149" s="12">
        <f t="shared" si="495"/>
        <v>11653</v>
      </c>
      <c r="W5149" s="12">
        <f t="shared" si="496"/>
        <v>29132.5</v>
      </c>
    </row>
    <row r="5150" spans="2:23" s="6" customFormat="1" ht="21.95" customHeight="1" x14ac:dyDescent="0.2">
      <c r="B5150" s="6" t="s">
        <v>1597</v>
      </c>
      <c r="C5150" s="6" t="s">
        <v>2057</v>
      </c>
      <c r="D5150" s="6" t="s">
        <v>989</v>
      </c>
      <c r="G5150" s="6">
        <v>140</v>
      </c>
      <c r="H5150" s="6">
        <v>200</v>
      </c>
      <c r="I5150" s="9"/>
      <c r="J5150" s="9"/>
      <c r="K5150" s="9"/>
      <c r="L5150" s="6" t="str">
        <f t="shared" si="499"/>
        <v>1D  VOGUE BAZA  140x200</v>
      </c>
      <c r="M5150" s="12"/>
      <c r="N5150" s="12"/>
      <c r="O5150" s="12"/>
      <c r="R5150" s="33"/>
      <c r="T5150" s="12">
        <v>3478</v>
      </c>
      <c r="U5150" s="12"/>
      <c r="V5150" s="12">
        <f t="shared" si="495"/>
        <v>3478</v>
      </c>
      <c r="W5150" s="12">
        <f t="shared" si="496"/>
        <v>8695</v>
      </c>
    </row>
    <row r="5151" spans="2:23" s="6" customFormat="1" ht="21.95" customHeight="1" x14ac:dyDescent="0.2">
      <c r="B5151" s="6" t="s">
        <v>1597</v>
      </c>
      <c r="C5151" s="6" t="s">
        <v>2057</v>
      </c>
      <c r="D5151" s="6" t="s">
        <v>989</v>
      </c>
      <c r="G5151" s="6">
        <v>150</v>
      </c>
      <c r="H5151" s="6">
        <v>200</v>
      </c>
      <c r="I5151" s="9"/>
      <c r="J5151" s="9"/>
      <c r="K5151" s="9"/>
      <c r="L5151" s="6" t="str">
        <f t="shared" si="499"/>
        <v>1D  VOGUE BAZA  150x200</v>
      </c>
      <c r="M5151" s="12"/>
      <c r="N5151" s="12"/>
      <c r="O5151" s="12"/>
      <c r="R5151" s="33"/>
      <c r="T5151" s="12">
        <v>13106</v>
      </c>
      <c r="U5151" s="12"/>
      <c r="V5151" s="12">
        <f t="shared" si="495"/>
        <v>13106</v>
      </c>
      <c r="W5151" s="12">
        <f t="shared" si="496"/>
        <v>32765</v>
      </c>
    </row>
    <row r="5152" spans="2:23" s="6" customFormat="1" ht="21.95" customHeight="1" x14ac:dyDescent="0.2">
      <c r="B5152" s="6" t="s">
        <v>1597</v>
      </c>
      <c r="C5152" s="6" t="s">
        <v>2057</v>
      </c>
      <c r="D5152" s="6" t="s">
        <v>989</v>
      </c>
      <c r="G5152" s="6">
        <v>160</v>
      </c>
      <c r="H5152" s="6">
        <v>200</v>
      </c>
      <c r="I5152" s="9"/>
      <c r="J5152" s="9"/>
      <c r="K5152" s="9"/>
      <c r="L5152" s="6" t="str">
        <f t="shared" si="499"/>
        <v>1D  VOGUE BAZA  160x200</v>
      </c>
      <c r="M5152" s="12"/>
      <c r="N5152" s="12"/>
      <c r="O5152" s="12"/>
      <c r="R5152" s="33"/>
      <c r="T5152" s="12">
        <v>4146</v>
      </c>
      <c r="U5152" s="12"/>
      <c r="V5152" s="12">
        <f t="shared" si="495"/>
        <v>4146</v>
      </c>
      <c r="W5152" s="12">
        <f t="shared" si="496"/>
        <v>10365</v>
      </c>
    </row>
    <row r="5153" spans="2:23" s="6" customFormat="1" ht="21.95" customHeight="1" x14ac:dyDescent="0.2">
      <c r="B5153" s="6" t="s">
        <v>1597</v>
      </c>
      <c r="C5153" s="6" t="s">
        <v>2057</v>
      </c>
      <c r="D5153" s="6" t="s">
        <v>989</v>
      </c>
      <c r="G5153" s="6">
        <v>180</v>
      </c>
      <c r="H5153" s="6">
        <v>200</v>
      </c>
      <c r="I5153" s="9"/>
      <c r="J5153" s="9"/>
      <c r="K5153" s="9"/>
      <c r="L5153" s="6" t="str">
        <f t="shared" si="499"/>
        <v>1D  VOGUE BAZA  180x200</v>
      </c>
      <c r="M5153" s="12"/>
      <c r="N5153" s="12"/>
      <c r="O5153" s="12"/>
      <c r="R5153" s="33"/>
      <c r="T5153" s="12">
        <v>17586</v>
      </c>
      <c r="U5153" s="12"/>
      <c r="V5153" s="12">
        <f t="shared" si="495"/>
        <v>17586</v>
      </c>
      <c r="W5153" s="12">
        <f t="shared" si="496"/>
        <v>43965</v>
      </c>
    </row>
    <row r="5154" spans="2:23" s="6" customFormat="1" ht="21.95" customHeight="1" x14ac:dyDescent="0.2">
      <c r="B5154" s="6" t="s">
        <v>1597</v>
      </c>
      <c r="C5154" s="6" t="s">
        <v>2057</v>
      </c>
      <c r="D5154" s="6" t="s">
        <v>1003</v>
      </c>
      <c r="G5154" s="6">
        <v>90</v>
      </c>
      <c r="H5154" s="6">
        <v>190</v>
      </c>
      <c r="I5154" s="9"/>
      <c r="J5154" s="9"/>
      <c r="K5154" s="9"/>
      <c r="L5154" s="6" t="str">
        <f t="shared" si="499"/>
        <v>1D  VOGUE BAŞLIK  90x190</v>
      </c>
      <c r="M5154" s="12"/>
      <c r="N5154" s="12"/>
      <c r="O5154" s="12"/>
      <c r="R5154" s="33"/>
      <c r="T5154" s="12">
        <v>4872</v>
      </c>
      <c r="U5154" s="12"/>
      <c r="V5154" s="12">
        <f t="shared" si="495"/>
        <v>4872</v>
      </c>
      <c r="W5154" s="12">
        <f t="shared" si="496"/>
        <v>12180</v>
      </c>
    </row>
    <row r="5155" spans="2:23" s="6" customFormat="1" ht="21.95" customHeight="1" x14ac:dyDescent="0.2">
      <c r="B5155" s="6" t="s">
        <v>1597</v>
      </c>
      <c r="C5155" s="6" t="s">
        <v>2057</v>
      </c>
      <c r="D5155" s="6" t="s">
        <v>1003</v>
      </c>
      <c r="G5155" s="6">
        <v>90</v>
      </c>
      <c r="H5155" s="6">
        <v>200</v>
      </c>
      <c r="I5155" s="9"/>
      <c r="J5155" s="9"/>
      <c r="K5155" s="9"/>
      <c r="L5155" s="6" t="str">
        <f t="shared" si="499"/>
        <v>1D  VOGUE BAŞLIK  90x200</v>
      </c>
      <c r="M5155" s="12"/>
      <c r="N5155" s="12"/>
      <c r="O5155" s="12"/>
      <c r="R5155" s="33"/>
      <c r="T5155" s="12">
        <v>13977</v>
      </c>
      <c r="U5155" s="12"/>
      <c r="V5155" s="12">
        <f t="shared" ref="V5155:V5216" si="500">T5155*(1-N5155)</f>
        <v>13977</v>
      </c>
      <c r="W5155" s="12">
        <f t="shared" si="496"/>
        <v>34942.5</v>
      </c>
    </row>
    <row r="5156" spans="2:23" s="6" customFormat="1" ht="21.95" customHeight="1" x14ac:dyDescent="0.2">
      <c r="B5156" s="6" t="s">
        <v>1597</v>
      </c>
      <c r="C5156" s="6" t="s">
        <v>2057</v>
      </c>
      <c r="D5156" s="6" t="s">
        <v>1003</v>
      </c>
      <c r="G5156" s="6">
        <v>100</v>
      </c>
      <c r="H5156" s="6">
        <v>200</v>
      </c>
      <c r="I5156" s="9"/>
      <c r="J5156" s="9"/>
      <c r="K5156" s="9"/>
      <c r="L5156" s="6" t="str">
        <f t="shared" si="499"/>
        <v>1D  VOGUE BAŞLIK  100x200</v>
      </c>
      <c r="M5156" s="12"/>
      <c r="N5156" s="12"/>
      <c r="O5156" s="12"/>
      <c r="R5156" s="33"/>
      <c r="T5156" s="12">
        <v>11492</v>
      </c>
      <c r="U5156" s="12"/>
      <c r="V5156" s="12">
        <f t="shared" si="500"/>
        <v>11492</v>
      </c>
      <c r="W5156" s="12">
        <f t="shared" ref="W5156:W5216" si="501">V5156*2.5</f>
        <v>28730</v>
      </c>
    </row>
    <row r="5157" spans="2:23" s="6" customFormat="1" ht="21.95" customHeight="1" x14ac:dyDescent="0.2">
      <c r="B5157" s="6" t="s">
        <v>1597</v>
      </c>
      <c r="C5157" s="6" t="s">
        <v>2057</v>
      </c>
      <c r="D5157" s="6" t="s">
        <v>1003</v>
      </c>
      <c r="G5157" s="6">
        <v>120</v>
      </c>
      <c r="H5157" s="6">
        <v>200</v>
      </c>
      <c r="I5157" s="9"/>
      <c r="J5157" s="9"/>
      <c r="K5157" s="9"/>
      <c r="L5157" s="6" t="str">
        <f t="shared" si="499"/>
        <v>1D  VOGUE BAŞLIK  120x200</v>
      </c>
      <c r="M5157" s="12"/>
      <c r="N5157" s="12"/>
      <c r="O5157" s="12"/>
      <c r="R5157" s="33"/>
      <c r="T5157" s="12">
        <v>4243</v>
      </c>
      <c r="U5157" s="12"/>
      <c r="V5157" s="12">
        <f t="shared" si="500"/>
        <v>4243</v>
      </c>
      <c r="W5157" s="12">
        <f t="shared" si="501"/>
        <v>10607.5</v>
      </c>
    </row>
    <row r="5158" spans="2:23" s="6" customFormat="1" ht="21.95" customHeight="1" x14ac:dyDescent="0.2">
      <c r="B5158" s="6" t="s">
        <v>1597</v>
      </c>
      <c r="C5158" s="6" t="s">
        <v>2057</v>
      </c>
      <c r="D5158" s="6" t="s">
        <v>1003</v>
      </c>
      <c r="G5158" s="6">
        <v>140</v>
      </c>
      <c r="H5158" s="6">
        <v>200</v>
      </c>
      <c r="I5158" s="9"/>
      <c r="J5158" s="9"/>
      <c r="K5158" s="9"/>
      <c r="L5158" s="6" t="str">
        <f t="shared" si="499"/>
        <v>1D  VOGUE BAŞLIK  140x200</v>
      </c>
      <c r="M5158" s="12"/>
      <c r="N5158" s="12"/>
      <c r="O5158" s="12"/>
      <c r="R5158" s="33"/>
      <c r="T5158" s="12">
        <v>7026</v>
      </c>
      <c r="U5158" s="12"/>
      <c r="V5158" s="12">
        <f t="shared" si="500"/>
        <v>7026</v>
      </c>
      <c r="W5158" s="12">
        <f t="shared" si="501"/>
        <v>17565</v>
      </c>
    </row>
    <row r="5159" spans="2:23" s="6" customFormat="1" ht="21.95" customHeight="1" x14ac:dyDescent="0.2">
      <c r="B5159" s="6" t="s">
        <v>1597</v>
      </c>
      <c r="C5159" s="6" t="s">
        <v>2057</v>
      </c>
      <c r="D5159" s="6" t="s">
        <v>1003</v>
      </c>
      <c r="G5159" s="6">
        <v>150</v>
      </c>
      <c r="H5159" s="6">
        <v>200</v>
      </c>
      <c r="I5159" s="9"/>
      <c r="J5159" s="9"/>
      <c r="K5159" s="9"/>
      <c r="L5159" s="6" t="str">
        <f t="shared" si="499"/>
        <v>1D  VOGUE BAŞLIK  150x200</v>
      </c>
      <c r="M5159" s="12"/>
      <c r="N5159" s="12"/>
      <c r="O5159" s="12"/>
      <c r="R5159" s="33"/>
      <c r="T5159" s="12">
        <v>26464</v>
      </c>
      <c r="U5159" s="12"/>
      <c r="V5159" s="12">
        <f t="shared" si="500"/>
        <v>26464</v>
      </c>
      <c r="W5159" s="12">
        <f t="shared" si="501"/>
        <v>66160</v>
      </c>
    </row>
    <row r="5160" spans="2:23" s="6" customFormat="1" ht="21.95" customHeight="1" x14ac:dyDescent="0.2">
      <c r="B5160" s="6" t="s">
        <v>1597</v>
      </c>
      <c r="C5160" s="6" t="s">
        <v>2057</v>
      </c>
      <c r="D5160" s="6" t="s">
        <v>1003</v>
      </c>
      <c r="G5160" s="6">
        <v>160</v>
      </c>
      <c r="H5160" s="6">
        <v>200</v>
      </c>
      <c r="I5160" s="9"/>
      <c r="J5160" s="9"/>
      <c r="K5160" s="9"/>
      <c r="L5160" s="6" t="str">
        <f t="shared" si="499"/>
        <v>1D  VOGUE BAŞLIK  160x200</v>
      </c>
      <c r="M5160" s="12"/>
      <c r="N5160" s="12"/>
      <c r="O5160" s="12"/>
      <c r="R5160" s="33"/>
      <c r="T5160" s="12">
        <v>19758</v>
      </c>
      <c r="U5160" s="12"/>
      <c r="V5160" s="12">
        <f t="shared" si="500"/>
        <v>19758</v>
      </c>
      <c r="W5160" s="12">
        <f t="shared" si="501"/>
        <v>49395</v>
      </c>
    </row>
    <row r="5161" spans="2:23" s="6" customFormat="1" ht="21.95" customHeight="1" x14ac:dyDescent="0.2">
      <c r="B5161" s="6" t="s">
        <v>1597</v>
      </c>
      <c r="C5161" s="6" t="s">
        <v>2057</v>
      </c>
      <c r="D5161" s="6" t="s">
        <v>1003</v>
      </c>
      <c r="G5161" s="6">
        <v>180</v>
      </c>
      <c r="H5161" s="6">
        <v>200</v>
      </c>
      <c r="I5161" s="9"/>
      <c r="J5161" s="9"/>
      <c r="K5161" s="9"/>
      <c r="L5161" s="6" t="str">
        <f t="shared" si="499"/>
        <v>1D  VOGUE BAŞLIK  180x200</v>
      </c>
      <c r="M5161" s="12"/>
      <c r="N5161" s="12"/>
      <c r="O5161" s="12"/>
      <c r="R5161" s="33"/>
      <c r="T5161" s="12">
        <v>4561</v>
      </c>
      <c r="U5161" s="12"/>
      <c r="V5161" s="12">
        <f t="shared" si="500"/>
        <v>4561</v>
      </c>
      <c r="W5161" s="12">
        <f t="shared" si="501"/>
        <v>11402.5</v>
      </c>
    </row>
    <row r="5162" spans="2:23" s="6" customFormat="1" ht="21.95" customHeight="1" x14ac:dyDescent="0.2">
      <c r="B5162" s="6" t="s">
        <v>1597</v>
      </c>
      <c r="C5162" s="6" t="s">
        <v>2057</v>
      </c>
      <c r="D5162" s="6" t="s">
        <v>943</v>
      </c>
      <c r="G5162" s="6">
        <v>90</v>
      </c>
      <c r="H5162" s="6">
        <v>190</v>
      </c>
      <c r="I5162" s="9"/>
      <c r="J5162" s="9"/>
      <c r="K5162" s="9"/>
      <c r="L5162" s="6" t="str">
        <f t="shared" si="499"/>
        <v>1D  VOGUE YATAK  90x190</v>
      </c>
      <c r="M5162" s="12"/>
      <c r="N5162" s="12"/>
      <c r="O5162" s="12"/>
      <c r="R5162" s="33"/>
      <c r="T5162" s="12">
        <v>8545</v>
      </c>
      <c r="U5162" s="12"/>
      <c r="V5162" s="12">
        <f t="shared" si="500"/>
        <v>8545</v>
      </c>
      <c r="W5162" s="12">
        <f t="shared" si="501"/>
        <v>21362.5</v>
      </c>
    </row>
    <row r="5163" spans="2:23" s="6" customFormat="1" ht="21.95" customHeight="1" x14ac:dyDescent="0.2">
      <c r="B5163" s="6" t="s">
        <v>1597</v>
      </c>
      <c r="C5163" s="6" t="s">
        <v>2057</v>
      </c>
      <c r="D5163" s="6" t="s">
        <v>943</v>
      </c>
      <c r="G5163" s="6">
        <v>90</v>
      </c>
      <c r="H5163" s="6">
        <v>200</v>
      </c>
      <c r="I5163" s="9"/>
      <c r="J5163" s="9"/>
      <c r="K5163" s="9"/>
      <c r="L5163" s="6" t="str">
        <f t="shared" si="499"/>
        <v>1D  VOGUE YATAK  90x200</v>
      </c>
      <c r="M5163" s="12"/>
      <c r="N5163" s="12"/>
      <c r="O5163" s="12"/>
      <c r="R5163" s="33"/>
      <c r="T5163" s="12">
        <v>5184</v>
      </c>
      <c r="U5163" s="12"/>
      <c r="V5163" s="12">
        <f t="shared" si="500"/>
        <v>5184</v>
      </c>
      <c r="W5163" s="12">
        <f t="shared" si="501"/>
        <v>12960</v>
      </c>
    </row>
    <row r="5164" spans="2:23" s="6" customFormat="1" ht="21.95" customHeight="1" x14ac:dyDescent="0.2">
      <c r="B5164" s="6" t="s">
        <v>1597</v>
      </c>
      <c r="C5164" s="6" t="s">
        <v>2057</v>
      </c>
      <c r="D5164" s="6" t="s">
        <v>943</v>
      </c>
      <c r="G5164" s="6">
        <v>100</v>
      </c>
      <c r="H5164" s="6">
        <v>200</v>
      </c>
      <c r="I5164" s="9"/>
      <c r="J5164" s="9"/>
      <c r="K5164" s="9"/>
      <c r="L5164" s="6" t="str">
        <f t="shared" si="499"/>
        <v>1D  VOGUE YATAK  100x200</v>
      </c>
      <c r="M5164" s="12"/>
      <c r="N5164" s="12"/>
      <c r="O5164" s="12"/>
      <c r="R5164" s="33"/>
      <c r="T5164" s="12">
        <v>7800</v>
      </c>
      <c r="U5164" s="12"/>
      <c r="V5164" s="12">
        <f t="shared" si="500"/>
        <v>7800</v>
      </c>
      <c r="W5164" s="12">
        <f t="shared" si="501"/>
        <v>19500</v>
      </c>
    </row>
    <row r="5165" spans="2:23" s="6" customFormat="1" ht="21.95" customHeight="1" x14ac:dyDescent="0.2">
      <c r="B5165" s="6" t="s">
        <v>1597</v>
      </c>
      <c r="C5165" s="6" t="s">
        <v>2057</v>
      </c>
      <c r="D5165" s="6" t="s">
        <v>943</v>
      </c>
      <c r="G5165" s="6">
        <v>120</v>
      </c>
      <c r="H5165" s="6">
        <v>200</v>
      </c>
      <c r="I5165" s="9"/>
      <c r="J5165" s="9"/>
      <c r="K5165" s="9"/>
      <c r="L5165" s="6" t="str">
        <f t="shared" si="499"/>
        <v>1D  VOGUE YATAK  120x200</v>
      </c>
      <c r="M5165" s="12"/>
      <c r="N5165" s="12"/>
      <c r="O5165" s="12"/>
      <c r="R5165" s="33"/>
      <c r="T5165" s="12">
        <v>3965</v>
      </c>
      <c r="U5165" s="12"/>
      <c r="V5165" s="12">
        <f t="shared" si="500"/>
        <v>3965</v>
      </c>
      <c r="W5165" s="12">
        <f t="shared" si="501"/>
        <v>9912.5</v>
      </c>
    </row>
    <row r="5166" spans="2:23" s="6" customFormat="1" ht="21.95" customHeight="1" x14ac:dyDescent="0.2">
      <c r="B5166" s="6" t="s">
        <v>1597</v>
      </c>
      <c r="C5166" s="6" t="s">
        <v>2057</v>
      </c>
      <c r="D5166" s="6" t="s">
        <v>943</v>
      </c>
      <c r="G5166" s="6">
        <v>140</v>
      </c>
      <c r="H5166" s="6">
        <v>200</v>
      </c>
      <c r="I5166" s="9"/>
      <c r="J5166" s="9"/>
      <c r="K5166" s="9"/>
      <c r="L5166" s="6" t="str">
        <f t="shared" si="499"/>
        <v>1D  VOGUE YATAK  140x200</v>
      </c>
      <c r="M5166" s="12"/>
      <c r="N5166" s="12"/>
      <c r="O5166" s="12"/>
      <c r="R5166" s="33"/>
      <c r="T5166" s="12">
        <v>10774</v>
      </c>
      <c r="U5166" s="12"/>
      <c r="V5166" s="12">
        <f t="shared" si="500"/>
        <v>10774</v>
      </c>
      <c r="W5166" s="12">
        <f t="shared" si="501"/>
        <v>26935</v>
      </c>
    </row>
    <row r="5167" spans="2:23" s="6" customFormat="1" ht="21.95" customHeight="1" x14ac:dyDescent="0.2">
      <c r="B5167" s="6" t="s">
        <v>1597</v>
      </c>
      <c r="C5167" s="6" t="s">
        <v>2057</v>
      </c>
      <c r="D5167" s="6" t="s">
        <v>943</v>
      </c>
      <c r="G5167" s="6">
        <v>150</v>
      </c>
      <c r="H5167" s="6">
        <v>200</v>
      </c>
      <c r="I5167" s="9"/>
      <c r="J5167" s="9"/>
      <c r="K5167" s="9"/>
      <c r="L5167" s="6" t="str">
        <f t="shared" si="499"/>
        <v>1D  VOGUE YATAK  150x200</v>
      </c>
      <c r="M5167" s="12"/>
      <c r="N5167" s="12"/>
      <c r="O5167" s="12"/>
      <c r="R5167" s="33"/>
      <c r="T5167" s="12">
        <v>11653</v>
      </c>
      <c r="U5167" s="12"/>
      <c r="V5167" s="12">
        <f t="shared" si="500"/>
        <v>11653</v>
      </c>
      <c r="W5167" s="12">
        <f t="shared" si="501"/>
        <v>29132.5</v>
      </c>
    </row>
    <row r="5168" spans="2:23" s="6" customFormat="1" ht="21.95" customHeight="1" x14ac:dyDescent="0.2">
      <c r="B5168" s="6" t="s">
        <v>1597</v>
      </c>
      <c r="C5168" s="6" t="s">
        <v>2057</v>
      </c>
      <c r="D5168" s="6" t="s">
        <v>943</v>
      </c>
      <c r="G5168" s="6">
        <v>160</v>
      </c>
      <c r="H5168" s="6">
        <v>200</v>
      </c>
      <c r="I5168" s="9"/>
      <c r="J5168" s="9"/>
      <c r="K5168" s="9"/>
      <c r="L5168" s="6" t="str">
        <f t="shared" si="499"/>
        <v>1D  VOGUE YATAK  160x200</v>
      </c>
      <c r="M5168" s="12"/>
      <c r="N5168" s="12"/>
      <c r="O5168" s="12"/>
      <c r="R5168" s="33"/>
      <c r="T5168" s="12">
        <v>4447</v>
      </c>
      <c r="U5168" s="12"/>
      <c r="V5168" s="12">
        <f t="shared" si="500"/>
        <v>4447</v>
      </c>
      <c r="W5168" s="12">
        <f t="shared" si="501"/>
        <v>11117.5</v>
      </c>
    </row>
    <row r="5169" spans="2:23" s="6" customFormat="1" ht="21.95" customHeight="1" x14ac:dyDescent="0.2">
      <c r="B5169" s="6" t="s">
        <v>1597</v>
      </c>
      <c r="C5169" s="6" t="s">
        <v>2057</v>
      </c>
      <c r="D5169" s="6" t="s">
        <v>943</v>
      </c>
      <c r="G5169" s="6">
        <v>180</v>
      </c>
      <c r="H5169" s="6">
        <v>200</v>
      </c>
      <c r="I5169" s="9"/>
      <c r="J5169" s="9"/>
      <c r="K5169" s="9"/>
      <c r="L5169" s="6" t="str">
        <f t="shared" si="499"/>
        <v>1D  VOGUE YATAK  180x200</v>
      </c>
      <c r="M5169" s="12"/>
      <c r="N5169" s="12"/>
      <c r="O5169" s="12"/>
      <c r="R5169" s="33"/>
      <c r="T5169" s="12">
        <v>13106</v>
      </c>
      <c r="U5169" s="12"/>
      <c r="V5169" s="12">
        <f t="shared" si="500"/>
        <v>13106</v>
      </c>
      <c r="W5169" s="12">
        <f t="shared" si="501"/>
        <v>32765</v>
      </c>
    </row>
    <row r="5170" spans="2:23" s="6" customFormat="1" ht="21.95" customHeight="1" x14ac:dyDescent="0.2">
      <c r="B5170" s="6" t="s">
        <v>1597</v>
      </c>
      <c r="C5170" s="6" t="s">
        <v>2057</v>
      </c>
      <c r="D5170" s="6" t="s">
        <v>1380</v>
      </c>
      <c r="I5170" s="9"/>
      <c r="J5170" s="9"/>
      <c r="K5170" s="9"/>
      <c r="L5170" s="6" t="str">
        <f>B5170&amp;" "&amp;C5170&amp;" "&amp;D5170</f>
        <v>1D  VOGUE KOMODİN (2 ADET)</v>
      </c>
      <c r="M5170" s="12"/>
      <c r="N5170" s="12"/>
      <c r="O5170" s="12"/>
      <c r="R5170" s="33"/>
      <c r="T5170" s="12">
        <v>5537</v>
      </c>
      <c r="U5170" s="12"/>
      <c r="V5170" s="12">
        <f t="shared" si="500"/>
        <v>5537</v>
      </c>
      <c r="W5170" s="12">
        <f t="shared" si="501"/>
        <v>13842.5</v>
      </c>
    </row>
    <row r="5171" spans="2:23" s="6" customFormat="1" ht="21.95" customHeight="1" x14ac:dyDescent="0.2">
      <c r="B5171" s="6" t="s">
        <v>1597</v>
      </c>
      <c r="C5171" s="6" t="s">
        <v>2058</v>
      </c>
      <c r="D5171" s="6" t="s">
        <v>943</v>
      </c>
      <c r="G5171" s="6">
        <v>90</v>
      </c>
      <c r="H5171" s="6">
        <v>190</v>
      </c>
      <c r="I5171" s="9"/>
      <c r="J5171" s="9"/>
      <c r="K5171" s="9"/>
      <c r="L5171" s="6" t="str">
        <f t="shared" ref="L5171:L5202" si="502">B5171&amp;" "&amp;C5171&amp;" "&amp;D5171&amp;" "&amp;G5171&amp;"x"&amp;H5171</f>
        <v>1D  CLOUD  YATAK  90x190</v>
      </c>
      <c r="M5171" s="12"/>
      <c r="N5171" s="12"/>
      <c r="O5171" s="12"/>
      <c r="R5171" s="33"/>
      <c r="T5171" s="12">
        <v>19063</v>
      </c>
      <c r="U5171" s="12"/>
      <c r="V5171" s="12">
        <f t="shared" si="500"/>
        <v>19063</v>
      </c>
      <c r="W5171" s="12">
        <f t="shared" si="501"/>
        <v>47657.5</v>
      </c>
    </row>
    <row r="5172" spans="2:23" s="6" customFormat="1" ht="21.95" customHeight="1" x14ac:dyDescent="0.2">
      <c r="B5172" s="6" t="s">
        <v>1597</v>
      </c>
      <c r="C5172" s="6" t="s">
        <v>2058</v>
      </c>
      <c r="D5172" s="6" t="s">
        <v>943</v>
      </c>
      <c r="G5172" s="6">
        <v>90</v>
      </c>
      <c r="H5172" s="6">
        <v>200</v>
      </c>
      <c r="I5172" s="9"/>
      <c r="J5172" s="9"/>
      <c r="K5172" s="9"/>
      <c r="L5172" s="6" t="str">
        <f t="shared" si="502"/>
        <v>1D  CLOUD  YATAK  90x200</v>
      </c>
      <c r="M5172" s="12"/>
      <c r="N5172" s="12"/>
      <c r="O5172" s="12"/>
      <c r="R5172" s="33"/>
      <c r="T5172" s="12">
        <v>4873</v>
      </c>
      <c r="U5172" s="12"/>
      <c r="V5172" s="12">
        <f t="shared" si="500"/>
        <v>4873</v>
      </c>
      <c r="W5172" s="12">
        <f t="shared" si="501"/>
        <v>12182.5</v>
      </c>
    </row>
    <row r="5173" spans="2:23" s="6" customFormat="1" ht="21.95" customHeight="1" x14ac:dyDescent="0.2">
      <c r="B5173" s="6" t="s">
        <v>1597</v>
      </c>
      <c r="C5173" s="6" t="s">
        <v>2058</v>
      </c>
      <c r="D5173" s="6" t="s">
        <v>943</v>
      </c>
      <c r="G5173" s="6">
        <v>100</v>
      </c>
      <c r="H5173" s="6">
        <v>200</v>
      </c>
      <c r="I5173" s="9"/>
      <c r="J5173" s="9"/>
      <c r="K5173" s="9"/>
      <c r="L5173" s="6" t="str">
        <f t="shared" si="502"/>
        <v>1D  CLOUD  YATAK  100x200</v>
      </c>
      <c r="M5173" s="12"/>
      <c r="N5173" s="12"/>
      <c r="O5173" s="12"/>
      <c r="R5173" s="33"/>
      <c r="T5173" s="12">
        <v>12549</v>
      </c>
      <c r="U5173" s="12"/>
      <c r="V5173" s="12">
        <f t="shared" si="500"/>
        <v>12549</v>
      </c>
      <c r="W5173" s="12">
        <f t="shared" si="501"/>
        <v>31372.5</v>
      </c>
    </row>
    <row r="5174" spans="2:23" s="6" customFormat="1" ht="21.95" customHeight="1" x14ac:dyDescent="0.2">
      <c r="B5174" s="6" t="s">
        <v>1597</v>
      </c>
      <c r="C5174" s="6" t="s">
        <v>2058</v>
      </c>
      <c r="D5174" s="6" t="s">
        <v>943</v>
      </c>
      <c r="G5174" s="6">
        <v>120</v>
      </c>
      <c r="H5174" s="6">
        <v>200</v>
      </c>
      <c r="I5174" s="9"/>
      <c r="J5174" s="9"/>
      <c r="K5174" s="9"/>
      <c r="L5174" s="6" t="str">
        <f t="shared" si="502"/>
        <v>1D  CLOUD  YATAK  120x200</v>
      </c>
      <c r="M5174" s="12"/>
      <c r="N5174" s="12"/>
      <c r="O5174" s="12"/>
      <c r="R5174" s="33"/>
      <c r="T5174" s="12">
        <v>5170</v>
      </c>
      <c r="U5174" s="12"/>
      <c r="V5174" s="12">
        <f t="shared" si="500"/>
        <v>5170</v>
      </c>
      <c r="W5174" s="12">
        <f t="shared" si="501"/>
        <v>12925</v>
      </c>
    </row>
    <row r="5175" spans="2:23" s="6" customFormat="1" ht="21.95" customHeight="1" x14ac:dyDescent="0.2">
      <c r="B5175" s="6" t="s">
        <v>1597</v>
      </c>
      <c r="C5175" s="6" t="s">
        <v>2058</v>
      </c>
      <c r="D5175" s="6" t="s">
        <v>943</v>
      </c>
      <c r="G5175" s="6">
        <v>140</v>
      </c>
      <c r="H5175" s="6">
        <v>200</v>
      </c>
      <c r="I5175" s="9"/>
      <c r="J5175" s="9"/>
      <c r="K5175" s="9"/>
      <c r="L5175" s="6" t="str">
        <f t="shared" si="502"/>
        <v>1D  CLOUD  YATAK  140x200</v>
      </c>
      <c r="M5175" s="12"/>
      <c r="N5175" s="12"/>
      <c r="O5175" s="12"/>
      <c r="R5175" s="33"/>
      <c r="T5175" s="12">
        <v>13179</v>
      </c>
      <c r="U5175" s="12"/>
      <c r="V5175" s="12">
        <f t="shared" si="500"/>
        <v>13179</v>
      </c>
      <c r="W5175" s="12">
        <f t="shared" si="501"/>
        <v>32947.5</v>
      </c>
    </row>
    <row r="5176" spans="2:23" s="6" customFormat="1" ht="21.95" customHeight="1" x14ac:dyDescent="0.2">
      <c r="B5176" s="6" t="s">
        <v>1597</v>
      </c>
      <c r="C5176" s="6" t="s">
        <v>2058</v>
      </c>
      <c r="D5176" s="6" t="s">
        <v>943</v>
      </c>
      <c r="G5176" s="6">
        <v>150</v>
      </c>
      <c r="H5176" s="6">
        <v>200</v>
      </c>
      <c r="I5176" s="9"/>
      <c r="J5176" s="9"/>
      <c r="K5176" s="9"/>
      <c r="L5176" s="6" t="str">
        <f t="shared" si="502"/>
        <v>1D  CLOUD  YATAK  150x200</v>
      </c>
      <c r="M5176" s="12"/>
      <c r="N5176" s="12"/>
      <c r="O5176" s="12"/>
      <c r="R5176" s="33"/>
      <c r="T5176" s="12">
        <v>10119</v>
      </c>
      <c r="U5176" s="12"/>
      <c r="V5176" s="12">
        <f t="shared" si="500"/>
        <v>10119</v>
      </c>
      <c r="W5176" s="12">
        <f t="shared" si="501"/>
        <v>25297.5</v>
      </c>
    </row>
    <row r="5177" spans="2:23" s="6" customFormat="1" ht="21.95" customHeight="1" x14ac:dyDescent="0.2">
      <c r="B5177" s="6" t="s">
        <v>1597</v>
      </c>
      <c r="C5177" s="6" t="s">
        <v>2058</v>
      </c>
      <c r="D5177" s="6" t="s">
        <v>943</v>
      </c>
      <c r="G5177" s="6">
        <v>160</v>
      </c>
      <c r="H5177" s="6">
        <v>200</v>
      </c>
      <c r="I5177" s="9"/>
      <c r="J5177" s="9"/>
      <c r="K5177" s="9"/>
      <c r="L5177" s="6" t="str">
        <f t="shared" si="502"/>
        <v>1D  CLOUD  YATAK  160x200</v>
      </c>
      <c r="M5177" s="12"/>
      <c r="N5177" s="12"/>
      <c r="O5177" s="12"/>
      <c r="R5177" s="33"/>
      <c r="T5177" s="12">
        <v>26128</v>
      </c>
      <c r="U5177" s="12"/>
      <c r="V5177" s="12">
        <f t="shared" si="500"/>
        <v>26128</v>
      </c>
      <c r="W5177" s="12">
        <f t="shared" si="501"/>
        <v>65320</v>
      </c>
    </row>
    <row r="5178" spans="2:23" s="6" customFormat="1" ht="21.95" customHeight="1" x14ac:dyDescent="0.2">
      <c r="B5178" s="6" t="s">
        <v>1597</v>
      </c>
      <c r="C5178" s="6" t="s">
        <v>2058</v>
      </c>
      <c r="D5178" s="6" t="s">
        <v>943</v>
      </c>
      <c r="G5178" s="6">
        <v>180</v>
      </c>
      <c r="H5178" s="6">
        <v>200</v>
      </c>
      <c r="I5178" s="9"/>
      <c r="J5178" s="9"/>
      <c r="K5178" s="9"/>
      <c r="L5178" s="6" t="str">
        <f t="shared" si="502"/>
        <v>1D  CLOUD  YATAK  180x200</v>
      </c>
      <c r="M5178" s="12"/>
      <c r="N5178" s="12"/>
      <c r="O5178" s="12"/>
      <c r="R5178" s="33"/>
      <c r="T5178" s="12">
        <v>20257</v>
      </c>
      <c r="U5178" s="12"/>
      <c r="V5178" s="12">
        <f t="shared" si="500"/>
        <v>20257</v>
      </c>
      <c r="W5178" s="12">
        <f t="shared" si="501"/>
        <v>50642.5</v>
      </c>
    </row>
    <row r="5179" spans="2:23" s="6" customFormat="1" ht="21.95" customHeight="1" x14ac:dyDescent="0.2">
      <c r="B5179" s="6" t="s">
        <v>1597</v>
      </c>
      <c r="C5179" s="6" t="s">
        <v>2059</v>
      </c>
      <c r="D5179" s="6" t="s">
        <v>943</v>
      </c>
      <c r="G5179" s="6">
        <v>90</v>
      </c>
      <c r="H5179" s="6">
        <v>190</v>
      </c>
      <c r="I5179" s="9"/>
      <c r="J5179" s="9"/>
      <c r="K5179" s="9"/>
      <c r="L5179" s="6" t="str">
        <f t="shared" si="502"/>
        <v>1D  HIBRIT  YATAK  90x190</v>
      </c>
      <c r="M5179" s="12"/>
      <c r="N5179" s="12"/>
      <c r="O5179" s="12"/>
      <c r="R5179" s="33"/>
      <c r="T5179" s="12">
        <v>4561</v>
      </c>
      <c r="U5179" s="12"/>
      <c r="V5179" s="12">
        <f t="shared" si="500"/>
        <v>4561</v>
      </c>
      <c r="W5179" s="12">
        <f t="shared" si="501"/>
        <v>11402.5</v>
      </c>
    </row>
    <row r="5180" spans="2:23" s="6" customFormat="1" ht="21.95" customHeight="1" x14ac:dyDescent="0.2">
      <c r="B5180" s="6" t="s">
        <v>1597</v>
      </c>
      <c r="C5180" s="6" t="s">
        <v>2059</v>
      </c>
      <c r="D5180" s="6" t="s">
        <v>943</v>
      </c>
      <c r="G5180" s="6">
        <v>90</v>
      </c>
      <c r="H5180" s="6">
        <v>200</v>
      </c>
      <c r="I5180" s="9"/>
      <c r="J5180" s="9"/>
      <c r="K5180" s="9"/>
      <c r="L5180" s="6" t="str">
        <f t="shared" si="502"/>
        <v>1D  HIBRIT  YATAK  90x200</v>
      </c>
      <c r="M5180" s="12"/>
      <c r="N5180" s="12"/>
      <c r="O5180" s="12"/>
      <c r="R5180" s="33"/>
      <c r="T5180" s="12">
        <v>10713</v>
      </c>
      <c r="U5180" s="12"/>
      <c r="V5180" s="12">
        <f t="shared" si="500"/>
        <v>10713</v>
      </c>
      <c r="W5180" s="12">
        <f t="shared" si="501"/>
        <v>26782.5</v>
      </c>
    </row>
    <row r="5181" spans="2:23" s="6" customFormat="1" ht="21.95" customHeight="1" x14ac:dyDescent="0.2">
      <c r="B5181" s="6" t="s">
        <v>1597</v>
      </c>
      <c r="C5181" s="6" t="s">
        <v>2059</v>
      </c>
      <c r="D5181" s="6" t="s">
        <v>943</v>
      </c>
      <c r="G5181" s="6">
        <v>100</v>
      </c>
      <c r="H5181" s="6">
        <v>200</v>
      </c>
      <c r="I5181" s="9"/>
      <c r="J5181" s="9"/>
      <c r="K5181" s="9"/>
      <c r="L5181" s="6" t="str">
        <f t="shared" si="502"/>
        <v>1D  HIBRIT  YATAK  100x200</v>
      </c>
      <c r="M5181" s="12"/>
      <c r="N5181" s="12"/>
      <c r="O5181" s="12"/>
      <c r="R5181" s="33"/>
      <c r="T5181" s="12">
        <v>11481</v>
      </c>
      <c r="U5181" s="12"/>
      <c r="V5181" s="12">
        <f t="shared" si="500"/>
        <v>11481</v>
      </c>
      <c r="W5181" s="12">
        <f t="shared" si="501"/>
        <v>28702.5</v>
      </c>
    </row>
    <row r="5182" spans="2:23" s="6" customFormat="1" ht="21.95" customHeight="1" x14ac:dyDescent="0.2">
      <c r="B5182" s="6" t="s">
        <v>1597</v>
      </c>
      <c r="C5182" s="6" t="s">
        <v>2059</v>
      </c>
      <c r="D5182" s="6" t="s">
        <v>943</v>
      </c>
      <c r="G5182" s="6">
        <v>120</v>
      </c>
      <c r="H5182" s="6">
        <v>200</v>
      </c>
      <c r="I5182" s="9"/>
      <c r="J5182" s="9"/>
      <c r="K5182" s="9"/>
      <c r="L5182" s="6" t="str">
        <f t="shared" si="502"/>
        <v>1D  HIBRIT  YATAK  120x200</v>
      </c>
      <c r="M5182" s="12"/>
      <c r="N5182" s="12"/>
      <c r="O5182" s="12"/>
      <c r="R5182" s="33"/>
      <c r="T5182" s="12">
        <v>1892</v>
      </c>
      <c r="U5182" s="12"/>
      <c r="V5182" s="12">
        <f t="shared" si="500"/>
        <v>1892</v>
      </c>
      <c r="W5182" s="12">
        <f t="shared" si="501"/>
        <v>4730</v>
      </c>
    </row>
    <row r="5183" spans="2:23" s="6" customFormat="1" ht="21.95" customHeight="1" x14ac:dyDescent="0.2">
      <c r="B5183" s="6" t="s">
        <v>1597</v>
      </c>
      <c r="C5183" s="6" t="s">
        <v>2059</v>
      </c>
      <c r="D5183" s="6" t="s">
        <v>943</v>
      </c>
      <c r="G5183" s="6">
        <v>140</v>
      </c>
      <c r="H5183" s="6">
        <v>200</v>
      </c>
      <c r="I5183" s="9"/>
      <c r="J5183" s="9"/>
      <c r="K5183" s="9"/>
      <c r="L5183" s="6" t="str">
        <f t="shared" si="502"/>
        <v>1D  HIBRIT  YATAK  140x200</v>
      </c>
      <c r="M5183" s="12"/>
      <c r="N5183" s="12"/>
      <c r="O5183" s="12"/>
      <c r="R5183" s="33"/>
      <c r="T5183" s="12">
        <v>10106</v>
      </c>
      <c r="U5183" s="12"/>
      <c r="V5183" s="12">
        <f t="shared" si="500"/>
        <v>10106</v>
      </c>
      <c r="W5183" s="12">
        <f t="shared" si="501"/>
        <v>25265</v>
      </c>
    </row>
    <row r="5184" spans="2:23" s="6" customFormat="1" ht="21.95" customHeight="1" x14ac:dyDescent="0.2">
      <c r="B5184" s="6" t="s">
        <v>1597</v>
      </c>
      <c r="C5184" s="6" t="s">
        <v>2059</v>
      </c>
      <c r="D5184" s="6" t="s">
        <v>943</v>
      </c>
      <c r="G5184" s="6">
        <v>150</v>
      </c>
      <c r="H5184" s="6">
        <v>200</v>
      </c>
      <c r="I5184" s="9"/>
      <c r="J5184" s="9"/>
      <c r="K5184" s="9"/>
      <c r="L5184" s="6" t="str">
        <f t="shared" si="502"/>
        <v>1D  HIBRIT  YATAK  150x200</v>
      </c>
      <c r="M5184" s="12"/>
      <c r="N5184" s="12"/>
      <c r="O5184" s="12"/>
      <c r="R5184" s="33"/>
      <c r="T5184" s="12">
        <v>11651</v>
      </c>
      <c r="U5184" s="12"/>
      <c r="V5184" s="12">
        <f t="shared" si="500"/>
        <v>11651</v>
      </c>
      <c r="W5184" s="12">
        <f t="shared" si="501"/>
        <v>29127.5</v>
      </c>
    </row>
    <row r="5185" spans="2:23" s="6" customFormat="1" ht="21.95" customHeight="1" x14ac:dyDescent="0.2">
      <c r="B5185" s="6" t="s">
        <v>1597</v>
      </c>
      <c r="C5185" s="6" t="s">
        <v>2059</v>
      </c>
      <c r="D5185" s="6" t="s">
        <v>943</v>
      </c>
      <c r="G5185" s="6">
        <v>160</v>
      </c>
      <c r="H5185" s="6">
        <v>200</v>
      </c>
      <c r="I5185" s="9"/>
      <c r="J5185" s="9"/>
      <c r="K5185" s="9"/>
      <c r="L5185" s="6" t="str">
        <f t="shared" si="502"/>
        <v>1D  HIBRIT  YATAK  160x200</v>
      </c>
      <c r="M5185" s="12"/>
      <c r="N5185" s="12"/>
      <c r="O5185" s="12"/>
      <c r="R5185" s="33"/>
      <c r="T5185" s="12">
        <v>2922</v>
      </c>
      <c r="U5185" s="12"/>
      <c r="V5185" s="12">
        <f t="shared" si="500"/>
        <v>2922</v>
      </c>
      <c r="W5185" s="12">
        <f t="shared" si="501"/>
        <v>7305</v>
      </c>
    </row>
    <row r="5186" spans="2:23" s="6" customFormat="1" ht="21.95" customHeight="1" x14ac:dyDescent="0.2">
      <c r="B5186" s="6" t="s">
        <v>1597</v>
      </c>
      <c r="C5186" s="6" t="s">
        <v>2059</v>
      </c>
      <c r="D5186" s="6" t="s">
        <v>943</v>
      </c>
      <c r="G5186" s="6">
        <v>180</v>
      </c>
      <c r="H5186" s="6">
        <v>200</v>
      </c>
      <c r="I5186" s="9"/>
      <c r="J5186" s="9"/>
      <c r="K5186" s="9"/>
      <c r="L5186" s="6" t="str">
        <f t="shared" si="502"/>
        <v>1D  HIBRIT  YATAK  180x200</v>
      </c>
      <c r="M5186" s="12"/>
      <c r="N5186" s="12"/>
      <c r="O5186" s="12"/>
      <c r="R5186" s="33"/>
      <c r="T5186" s="12">
        <v>13106</v>
      </c>
      <c r="U5186" s="12"/>
      <c r="V5186" s="12">
        <f t="shared" si="500"/>
        <v>13106</v>
      </c>
      <c r="W5186" s="12">
        <f t="shared" si="501"/>
        <v>32765</v>
      </c>
    </row>
    <row r="5187" spans="2:23" s="6" customFormat="1" ht="21.95" customHeight="1" x14ac:dyDescent="0.2">
      <c r="B5187" s="6" t="s">
        <v>1597</v>
      </c>
      <c r="C5187" s="6" t="s">
        <v>107</v>
      </c>
      <c r="D5187" s="6" t="s">
        <v>943</v>
      </c>
      <c r="G5187" s="6">
        <v>90</v>
      </c>
      <c r="H5187" s="6">
        <v>190</v>
      </c>
      <c r="I5187" s="9"/>
      <c r="J5187" s="9"/>
      <c r="K5187" s="9"/>
      <c r="L5187" s="6" t="str">
        <f t="shared" si="502"/>
        <v>1D  LOTUS YATAK  90x190</v>
      </c>
      <c r="M5187" s="12"/>
      <c r="N5187" s="12"/>
      <c r="O5187" s="12"/>
      <c r="R5187" s="33"/>
      <c r="T5187" s="12">
        <v>3406</v>
      </c>
      <c r="U5187" s="12"/>
      <c r="V5187" s="12">
        <f t="shared" si="500"/>
        <v>3406</v>
      </c>
      <c r="W5187" s="12">
        <f t="shared" si="501"/>
        <v>8515</v>
      </c>
    </row>
    <row r="5188" spans="2:23" s="6" customFormat="1" ht="21.95" customHeight="1" x14ac:dyDescent="0.2">
      <c r="B5188" s="6" t="s">
        <v>1597</v>
      </c>
      <c r="C5188" s="6" t="s">
        <v>107</v>
      </c>
      <c r="D5188" s="6" t="s">
        <v>943</v>
      </c>
      <c r="G5188" s="6">
        <v>90</v>
      </c>
      <c r="H5188" s="6">
        <v>200</v>
      </c>
      <c r="I5188" s="9"/>
      <c r="J5188" s="9"/>
      <c r="K5188" s="9"/>
      <c r="L5188" s="6" t="str">
        <f t="shared" si="502"/>
        <v>1D  LOTUS YATAK  90x200</v>
      </c>
      <c r="M5188" s="12"/>
      <c r="N5188" s="12"/>
      <c r="O5188" s="12"/>
      <c r="R5188" s="33"/>
      <c r="T5188" s="12">
        <v>19227</v>
      </c>
      <c r="U5188" s="12"/>
      <c r="V5188" s="12">
        <f t="shared" si="500"/>
        <v>19227</v>
      </c>
      <c r="W5188" s="12">
        <f t="shared" si="501"/>
        <v>48067.5</v>
      </c>
    </row>
    <row r="5189" spans="2:23" s="6" customFormat="1" ht="21.95" customHeight="1" x14ac:dyDescent="0.2">
      <c r="B5189" s="6" t="s">
        <v>1597</v>
      </c>
      <c r="C5189" s="6" t="s">
        <v>107</v>
      </c>
      <c r="D5189" s="6" t="s">
        <v>943</v>
      </c>
      <c r="G5189" s="6">
        <v>100</v>
      </c>
      <c r="H5189" s="6">
        <v>200</v>
      </c>
      <c r="I5189" s="9"/>
      <c r="J5189" s="9"/>
      <c r="K5189" s="9"/>
      <c r="L5189" s="6" t="str">
        <f t="shared" si="502"/>
        <v>1D  LOTUS YATAK  100x200</v>
      </c>
      <c r="M5189" s="12"/>
      <c r="N5189" s="12"/>
      <c r="O5189" s="12"/>
      <c r="R5189" s="33"/>
      <c r="T5189" s="12">
        <v>4872</v>
      </c>
      <c r="U5189" s="12"/>
      <c r="V5189" s="12">
        <f t="shared" si="500"/>
        <v>4872</v>
      </c>
      <c r="W5189" s="12">
        <f t="shared" si="501"/>
        <v>12180</v>
      </c>
    </row>
    <row r="5190" spans="2:23" s="6" customFormat="1" ht="21.95" customHeight="1" x14ac:dyDescent="0.2">
      <c r="B5190" s="6" t="s">
        <v>1597</v>
      </c>
      <c r="C5190" s="6" t="s">
        <v>107</v>
      </c>
      <c r="D5190" s="6" t="s">
        <v>943</v>
      </c>
      <c r="G5190" s="6">
        <v>120</v>
      </c>
      <c r="H5190" s="6">
        <v>200</v>
      </c>
      <c r="I5190" s="9"/>
      <c r="J5190" s="9"/>
      <c r="K5190" s="9"/>
      <c r="L5190" s="6" t="str">
        <f t="shared" si="502"/>
        <v>1D  LOTUS YATAK  120x200</v>
      </c>
      <c r="M5190" s="12"/>
      <c r="N5190" s="12"/>
      <c r="O5190" s="12"/>
      <c r="R5190" s="33"/>
      <c r="T5190" s="12">
        <v>11459</v>
      </c>
      <c r="U5190" s="12"/>
      <c r="V5190" s="12">
        <f t="shared" si="500"/>
        <v>11459</v>
      </c>
      <c r="W5190" s="12">
        <f t="shared" si="501"/>
        <v>28647.5</v>
      </c>
    </row>
    <row r="5191" spans="2:23" s="6" customFormat="1" ht="21.95" customHeight="1" x14ac:dyDescent="0.2">
      <c r="B5191" s="6" t="s">
        <v>1597</v>
      </c>
      <c r="C5191" s="6" t="s">
        <v>107</v>
      </c>
      <c r="D5191" s="6" t="s">
        <v>943</v>
      </c>
      <c r="G5191" s="6">
        <v>140</v>
      </c>
      <c r="H5191" s="6">
        <v>200</v>
      </c>
      <c r="I5191" s="9"/>
      <c r="J5191" s="9"/>
      <c r="K5191" s="9"/>
      <c r="L5191" s="6" t="str">
        <f t="shared" si="502"/>
        <v>1D  LOTUS YATAK  140x200</v>
      </c>
      <c r="M5191" s="12"/>
      <c r="N5191" s="12"/>
      <c r="O5191" s="12"/>
      <c r="R5191" s="33"/>
      <c r="T5191" s="12">
        <v>6834</v>
      </c>
      <c r="U5191" s="12"/>
      <c r="V5191" s="12">
        <f t="shared" si="500"/>
        <v>6834</v>
      </c>
      <c r="W5191" s="12">
        <f t="shared" si="501"/>
        <v>17085</v>
      </c>
    </row>
    <row r="5192" spans="2:23" s="6" customFormat="1" ht="21.95" customHeight="1" x14ac:dyDescent="0.2">
      <c r="B5192" s="6" t="s">
        <v>1597</v>
      </c>
      <c r="C5192" s="6" t="s">
        <v>107</v>
      </c>
      <c r="D5192" s="6" t="s">
        <v>943</v>
      </c>
      <c r="G5192" s="6">
        <v>150</v>
      </c>
      <c r="H5192" s="6">
        <v>200</v>
      </c>
      <c r="I5192" s="9"/>
      <c r="J5192" s="9"/>
      <c r="K5192" s="9"/>
      <c r="L5192" s="6" t="str">
        <f t="shared" si="502"/>
        <v>1D  LOTUS YATAK  150x200</v>
      </c>
      <c r="M5192" s="12"/>
      <c r="N5192" s="12"/>
      <c r="O5192" s="12"/>
      <c r="R5192" s="33"/>
      <c r="T5192" s="12">
        <v>9628</v>
      </c>
      <c r="U5192" s="12"/>
      <c r="V5192" s="12">
        <f t="shared" si="500"/>
        <v>9628</v>
      </c>
      <c r="W5192" s="12">
        <f t="shared" si="501"/>
        <v>24070</v>
      </c>
    </row>
    <row r="5193" spans="2:23" s="6" customFormat="1" ht="21.95" customHeight="1" x14ac:dyDescent="0.2">
      <c r="B5193" s="6" t="s">
        <v>1597</v>
      </c>
      <c r="C5193" s="6" t="s">
        <v>107</v>
      </c>
      <c r="D5193" s="6" t="s">
        <v>943</v>
      </c>
      <c r="G5193" s="6">
        <v>160</v>
      </c>
      <c r="H5193" s="6">
        <v>200</v>
      </c>
      <c r="I5193" s="9"/>
      <c r="J5193" s="9"/>
      <c r="K5193" s="9"/>
      <c r="L5193" s="6" t="str">
        <f t="shared" si="502"/>
        <v>1D  LOTUS YATAK  160x200</v>
      </c>
      <c r="M5193" s="12"/>
      <c r="N5193" s="12"/>
      <c r="O5193" s="12"/>
      <c r="R5193" s="33"/>
      <c r="T5193" s="12">
        <v>30008</v>
      </c>
      <c r="U5193" s="12"/>
      <c r="V5193" s="12">
        <f t="shared" si="500"/>
        <v>30008</v>
      </c>
      <c r="W5193" s="12">
        <f t="shared" si="501"/>
        <v>75020</v>
      </c>
    </row>
    <row r="5194" spans="2:23" s="6" customFormat="1" ht="21.95" customHeight="1" x14ac:dyDescent="0.2">
      <c r="B5194" s="6" t="s">
        <v>1597</v>
      </c>
      <c r="C5194" s="6" t="s">
        <v>107</v>
      </c>
      <c r="D5194" s="6" t="s">
        <v>943</v>
      </c>
      <c r="G5194" s="6">
        <v>180</v>
      </c>
      <c r="H5194" s="6">
        <v>200</v>
      </c>
      <c r="I5194" s="9"/>
      <c r="J5194" s="9"/>
      <c r="K5194" s="9"/>
      <c r="L5194" s="6" t="str">
        <f t="shared" si="502"/>
        <v>1D  LOTUS YATAK  180x200</v>
      </c>
      <c r="M5194" s="12"/>
      <c r="N5194" s="12"/>
      <c r="O5194" s="12"/>
      <c r="R5194" s="33"/>
      <c r="T5194" s="12">
        <v>23353</v>
      </c>
      <c r="U5194" s="12"/>
      <c r="V5194" s="12">
        <f t="shared" si="500"/>
        <v>23353</v>
      </c>
      <c r="W5194" s="12">
        <f t="shared" si="501"/>
        <v>58382.5</v>
      </c>
    </row>
    <row r="5195" spans="2:23" s="6" customFormat="1" ht="21.95" customHeight="1" x14ac:dyDescent="0.2">
      <c r="B5195" s="6" t="s">
        <v>1597</v>
      </c>
      <c r="C5195" s="6" t="s">
        <v>2060</v>
      </c>
      <c r="D5195" s="6" t="s">
        <v>943</v>
      </c>
      <c r="G5195" s="6">
        <v>90</v>
      </c>
      <c r="H5195" s="6">
        <v>190</v>
      </c>
      <c r="I5195" s="9"/>
      <c r="J5195" s="9"/>
      <c r="K5195" s="9"/>
      <c r="L5195" s="6" t="str">
        <f t="shared" si="502"/>
        <v>1D  PURE  YATAK  90x190</v>
      </c>
      <c r="M5195" s="12"/>
      <c r="N5195" s="12"/>
      <c r="O5195" s="12"/>
      <c r="R5195" s="33"/>
      <c r="T5195" s="12">
        <v>7684</v>
      </c>
      <c r="U5195" s="12"/>
      <c r="V5195" s="12">
        <f t="shared" si="500"/>
        <v>7684</v>
      </c>
      <c r="W5195" s="12">
        <f t="shared" si="501"/>
        <v>19210</v>
      </c>
    </row>
    <row r="5196" spans="2:23" s="6" customFormat="1" ht="21.95" customHeight="1" x14ac:dyDescent="0.2">
      <c r="B5196" s="6" t="s">
        <v>1597</v>
      </c>
      <c r="C5196" s="6" t="s">
        <v>2060</v>
      </c>
      <c r="D5196" s="6" t="s">
        <v>943</v>
      </c>
      <c r="G5196" s="6">
        <v>90</v>
      </c>
      <c r="H5196" s="6">
        <v>200</v>
      </c>
      <c r="I5196" s="9"/>
      <c r="J5196" s="9"/>
      <c r="K5196" s="9"/>
      <c r="L5196" s="6" t="str">
        <f t="shared" si="502"/>
        <v>1D  PURE  YATAK  90x200</v>
      </c>
      <c r="M5196" s="12"/>
      <c r="N5196" s="12"/>
      <c r="O5196" s="12"/>
      <c r="R5196" s="33"/>
      <c r="T5196" s="12">
        <v>5566</v>
      </c>
      <c r="U5196" s="12"/>
      <c r="V5196" s="12">
        <f t="shared" si="500"/>
        <v>5566</v>
      </c>
      <c r="W5196" s="12">
        <f t="shared" si="501"/>
        <v>13915</v>
      </c>
    </row>
    <row r="5197" spans="2:23" s="6" customFormat="1" ht="21.95" customHeight="1" x14ac:dyDescent="0.2">
      <c r="B5197" s="6" t="s">
        <v>1597</v>
      </c>
      <c r="C5197" s="6" t="s">
        <v>2060</v>
      </c>
      <c r="D5197" s="6" t="s">
        <v>943</v>
      </c>
      <c r="G5197" s="6">
        <v>100</v>
      </c>
      <c r="H5197" s="6">
        <v>200</v>
      </c>
      <c r="I5197" s="9"/>
      <c r="J5197" s="9"/>
      <c r="K5197" s="9"/>
      <c r="L5197" s="6" t="str">
        <f t="shared" si="502"/>
        <v>1D  PURE  YATAK  100x200</v>
      </c>
      <c r="M5197" s="12"/>
      <c r="N5197" s="12"/>
      <c r="O5197" s="12"/>
      <c r="R5197" s="33"/>
      <c r="T5197" s="12">
        <v>10467</v>
      </c>
      <c r="U5197" s="12"/>
      <c r="V5197" s="12">
        <f t="shared" si="500"/>
        <v>10467</v>
      </c>
      <c r="W5197" s="12">
        <f t="shared" si="501"/>
        <v>26167.5</v>
      </c>
    </row>
    <row r="5198" spans="2:23" s="6" customFormat="1" ht="21.95" customHeight="1" x14ac:dyDescent="0.2">
      <c r="B5198" s="6" t="s">
        <v>1597</v>
      </c>
      <c r="C5198" s="6" t="s">
        <v>2060</v>
      </c>
      <c r="D5198" s="6" t="s">
        <v>943</v>
      </c>
      <c r="G5198" s="6">
        <v>120</v>
      </c>
      <c r="H5198" s="6">
        <v>200</v>
      </c>
      <c r="I5198" s="9"/>
      <c r="J5198" s="9"/>
      <c r="K5198" s="9"/>
      <c r="L5198" s="6" t="str">
        <f t="shared" si="502"/>
        <v>1D  PURE  YATAK  120x200</v>
      </c>
      <c r="M5198" s="12"/>
      <c r="N5198" s="12"/>
      <c r="O5198" s="12"/>
      <c r="R5198" s="33"/>
      <c r="T5198" s="12">
        <v>1997</v>
      </c>
      <c r="U5198" s="12"/>
      <c r="V5198" s="12">
        <f t="shared" si="500"/>
        <v>1997</v>
      </c>
      <c r="W5198" s="12">
        <f t="shared" si="501"/>
        <v>4992.5</v>
      </c>
    </row>
    <row r="5199" spans="2:23" s="6" customFormat="1" ht="21.95" customHeight="1" x14ac:dyDescent="0.2">
      <c r="B5199" s="6" t="s">
        <v>1597</v>
      </c>
      <c r="C5199" s="6" t="s">
        <v>2060</v>
      </c>
      <c r="D5199" s="6" t="s">
        <v>943</v>
      </c>
      <c r="G5199" s="6">
        <v>140</v>
      </c>
      <c r="H5199" s="6">
        <v>200</v>
      </c>
      <c r="I5199" s="9"/>
      <c r="J5199" s="9"/>
      <c r="K5199" s="9"/>
      <c r="L5199" s="6" t="str">
        <f t="shared" si="502"/>
        <v>1D  PURE  YATAK  140x200</v>
      </c>
      <c r="M5199" s="12"/>
      <c r="N5199" s="12"/>
      <c r="O5199" s="12"/>
      <c r="R5199" s="33"/>
      <c r="T5199" s="12">
        <v>13915</v>
      </c>
      <c r="U5199" s="12"/>
      <c r="V5199" s="12">
        <f t="shared" si="500"/>
        <v>13915</v>
      </c>
      <c r="W5199" s="12">
        <f t="shared" si="501"/>
        <v>34787.5</v>
      </c>
    </row>
    <row r="5200" spans="2:23" s="6" customFormat="1" ht="21.95" customHeight="1" x14ac:dyDescent="0.2">
      <c r="B5200" s="6" t="s">
        <v>1597</v>
      </c>
      <c r="C5200" s="6" t="s">
        <v>2060</v>
      </c>
      <c r="D5200" s="6" t="s">
        <v>943</v>
      </c>
      <c r="G5200" s="6">
        <v>150</v>
      </c>
      <c r="H5200" s="6">
        <v>200</v>
      </c>
      <c r="I5200" s="9"/>
      <c r="J5200" s="9"/>
      <c r="K5200" s="9"/>
      <c r="L5200" s="6" t="str">
        <f t="shared" si="502"/>
        <v>1D  PURE  YATAK  150x200</v>
      </c>
      <c r="M5200" s="12"/>
      <c r="N5200" s="12"/>
      <c r="O5200" s="12"/>
      <c r="R5200" s="33"/>
      <c r="T5200" s="12">
        <v>11652</v>
      </c>
      <c r="U5200" s="12"/>
      <c r="V5200" s="12">
        <f t="shared" si="500"/>
        <v>11652</v>
      </c>
      <c r="W5200" s="12">
        <f t="shared" si="501"/>
        <v>29130</v>
      </c>
    </row>
    <row r="5201" spans="2:23" s="6" customFormat="1" ht="21.95" customHeight="1" x14ac:dyDescent="0.2">
      <c r="B5201" s="6" t="s">
        <v>1597</v>
      </c>
      <c r="C5201" s="6" t="s">
        <v>2060</v>
      </c>
      <c r="D5201" s="6" t="s">
        <v>943</v>
      </c>
      <c r="G5201" s="6">
        <v>160</v>
      </c>
      <c r="H5201" s="6">
        <v>200</v>
      </c>
      <c r="I5201" s="9"/>
      <c r="J5201" s="9"/>
      <c r="K5201" s="9"/>
      <c r="L5201" s="6" t="str">
        <f t="shared" si="502"/>
        <v>1D  PURE  YATAK  160x200</v>
      </c>
      <c r="M5201" s="12"/>
      <c r="N5201" s="12"/>
      <c r="O5201" s="12"/>
      <c r="R5201" s="33"/>
      <c r="T5201" s="12">
        <v>5445</v>
      </c>
      <c r="U5201" s="12"/>
      <c r="V5201" s="12">
        <f t="shared" si="500"/>
        <v>5445</v>
      </c>
      <c r="W5201" s="12">
        <f t="shared" si="501"/>
        <v>13612.5</v>
      </c>
    </row>
    <row r="5202" spans="2:23" s="6" customFormat="1" ht="21.95" customHeight="1" x14ac:dyDescent="0.2">
      <c r="B5202" s="6" t="s">
        <v>1597</v>
      </c>
      <c r="C5202" s="6" t="s">
        <v>2060</v>
      </c>
      <c r="D5202" s="6" t="s">
        <v>943</v>
      </c>
      <c r="G5202" s="6">
        <v>180</v>
      </c>
      <c r="H5202" s="6">
        <v>200</v>
      </c>
      <c r="I5202" s="9"/>
      <c r="J5202" s="9"/>
      <c r="K5202" s="9"/>
      <c r="L5202" s="6" t="str">
        <f t="shared" si="502"/>
        <v>1D  PURE  YATAK  180x200</v>
      </c>
      <c r="M5202" s="12"/>
      <c r="N5202" s="12"/>
      <c r="O5202" s="12"/>
      <c r="R5202" s="33"/>
      <c r="T5202" s="12">
        <v>11871</v>
      </c>
      <c r="U5202" s="12"/>
      <c r="V5202" s="12">
        <f t="shared" si="500"/>
        <v>11871</v>
      </c>
      <c r="W5202" s="12">
        <f t="shared" si="501"/>
        <v>29677.5</v>
      </c>
    </row>
    <row r="5203" spans="2:23" s="6" customFormat="1" ht="21.95" customHeight="1" x14ac:dyDescent="0.2">
      <c r="B5203" s="6" t="s">
        <v>1597</v>
      </c>
      <c r="C5203" s="6" t="s">
        <v>1427</v>
      </c>
      <c r="D5203" s="6" t="s">
        <v>943</v>
      </c>
      <c r="G5203" s="6">
        <v>80</v>
      </c>
      <c r="H5203" s="6">
        <v>190</v>
      </c>
      <c r="I5203" s="9">
        <v>14</v>
      </c>
      <c r="J5203" s="9"/>
      <c r="K5203" s="9"/>
      <c r="L5203" s="6" t="str">
        <f>B5203&amp;" "&amp;C5203&amp;" "&amp;D5203&amp;" "&amp;G5203&amp;"x"&amp;H5203&amp;"x"&amp;I5203</f>
        <v>1D  KATLANIR YATAK  YATAK  80x190x14</v>
      </c>
      <c r="O5203" s="12"/>
      <c r="R5203" s="33"/>
      <c r="T5203" s="12">
        <v>6897</v>
      </c>
      <c r="U5203" s="12"/>
      <c r="V5203" s="12">
        <f t="shared" si="500"/>
        <v>6897</v>
      </c>
      <c r="W5203" s="12">
        <f t="shared" si="501"/>
        <v>17242.5</v>
      </c>
    </row>
    <row r="5204" spans="2:23" s="6" customFormat="1" ht="21.95" customHeight="1" x14ac:dyDescent="0.2">
      <c r="B5204" s="6" t="s">
        <v>1597</v>
      </c>
      <c r="C5204" s="6" t="s">
        <v>2061</v>
      </c>
      <c r="D5204" s="6" t="s">
        <v>1755</v>
      </c>
      <c r="G5204" s="6">
        <v>60</v>
      </c>
      <c r="H5204" s="6">
        <v>40</v>
      </c>
      <c r="I5204" s="9"/>
      <c r="J5204" s="9"/>
      <c r="K5204" s="9"/>
      <c r="L5204" s="6" t="str">
        <f>B5204&amp;" "&amp;C5204&amp;" "&amp;D5204&amp;" "&amp;G5204&amp;"x"&amp;H5204</f>
        <v>1D  LAVENDER  YASTIK  60x40</v>
      </c>
      <c r="M5204" s="12"/>
      <c r="N5204" s="12"/>
      <c r="O5204" s="12"/>
      <c r="R5204" s="33"/>
      <c r="T5204" s="12">
        <v>4873</v>
      </c>
      <c r="U5204" s="12"/>
      <c r="V5204" s="12">
        <f t="shared" si="500"/>
        <v>4873</v>
      </c>
      <c r="W5204" s="12">
        <f t="shared" si="501"/>
        <v>12182.5</v>
      </c>
    </row>
    <row r="5205" spans="2:23" s="6" customFormat="1" ht="21.95" customHeight="1" x14ac:dyDescent="0.2">
      <c r="B5205" s="6" t="s">
        <v>1597</v>
      </c>
      <c r="C5205" s="6" t="s">
        <v>1420</v>
      </c>
      <c r="D5205" s="6" t="s">
        <v>1755</v>
      </c>
      <c r="G5205" s="6">
        <v>60</v>
      </c>
      <c r="H5205" s="6">
        <v>40</v>
      </c>
      <c r="I5205" s="9"/>
      <c r="J5205" s="9"/>
      <c r="K5205" s="9"/>
      <c r="L5205" s="6" t="str">
        <f>B5205&amp;" "&amp;C5205&amp;" "&amp;D5205&amp;" "&amp;G5205&amp;"x"&amp;H5205</f>
        <v>1D  GINSENG  YASTIK  60x40</v>
      </c>
      <c r="M5205" s="12"/>
      <c r="N5205" s="12"/>
      <c r="O5205" s="12"/>
      <c r="R5205" s="33"/>
      <c r="T5205" s="12">
        <v>14339</v>
      </c>
      <c r="U5205" s="12"/>
      <c r="V5205" s="12">
        <f t="shared" si="500"/>
        <v>14339</v>
      </c>
      <c r="W5205" s="12">
        <f t="shared" si="501"/>
        <v>35847.5</v>
      </c>
    </row>
    <row r="5206" spans="2:23" s="6" customFormat="1" ht="21.95" customHeight="1" x14ac:dyDescent="0.2">
      <c r="B5206" s="6" t="s">
        <v>1597</v>
      </c>
      <c r="C5206" s="6" t="s">
        <v>2062</v>
      </c>
      <c r="D5206" s="6" t="s">
        <v>1755</v>
      </c>
      <c r="G5206" s="6">
        <v>60</v>
      </c>
      <c r="H5206" s="6">
        <v>40</v>
      </c>
      <c r="I5206" s="9"/>
      <c r="J5206" s="9"/>
      <c r="K5206" s="9"/>
      <c r="L5206" s="6" t="str">
        <f>B5206&amp;" "&amp;C5206&amp;" "&amp;D5206&amp;" "&amp;G5206&amp;"x"&amp;H5206</f>
        <v>1D  COOL  YASTIK  60x40</v>
      </c>
      <c r="M5206" s="12"/>
      <c r="N5206" s="12"/>
      <c r="O5206" s="12"/>
      <c r="R5206" s="33"/>
      <c r="T5206" s="12">
        <v>4417</v>
      </c>
      <c r="U5206" s="12"/>
      <c r="V5206" s="12">
        <f t="shared" si="500"/>
        <v>4417</v>
      </c>
      <c r="W5206" s="12">
        <f t="shared" si="501"/>
        <v>11042.5</v>
      </c>
    </row>
    <row r="5207" spans="2:23" s="6" customFormat="1" ht="21.95" customHeight="1" x14ac:dyDescent="0.2">
      <c r="B5207" s="6" t="s">
        <v>1597</v>
      </c>
      <c r="C5207" s="6" t="s">
        <v>2063</v>
      </c>
      <c r="D5207" s="6" t="s">
        <v>2065</v>
      </c>
      <c r="I5207" s="9"/>
      <c r="J5207" s="9"/>
      <c r="K5207" s="9"/>
      <c r="L5207" s="6" t="str">
        <f>B5207&amp;" "&amp;C5207&amp;" "&amp;D5207</f>
        <v xml:space="preserve">1D  SANDIKLI  BENCH 160 CM </v>
      </c>
      <c r="M5207" s="12"/>
      <c r="N5207" s="12"/>
      <c r="O5207" s="12"/>
      <c r="R5207" s="33"/>
      <c r="T5207" s="12">
        <v>6353</v>
      </c>
      <c r="U5207" s="12"/>
      <c r="V5207" s="12">
        <f t="shared" si="500"/>
        <v>6353</v>
      </c>
      <c r="W5207" s="12">
        <f t="shared" si="501"/>
        <v>15882.5</v>
      </c>
    </row>
    <row r="5208" spans="2:23" s="6" customFormat="1" ht="21.95" customHeight="1" x14ac:dyDescent="0.2">
      <c r="B5208" s="6" t="s">
        <v>1597</v>
      </c>
      <c r="C5208" s="6" t="s">
        <v>2063</v>
      </c>
      <c r="D5208" s="6" t="s">
        <v>2064</v>
      </c>
      <c r="I5208" s="9"/>
      <c r="J5208" s="9"/>
      <c r="K5208" s="9"/>
      <c r="L5208" s="6" t="str">
        <f>B5208&amp;" "&amp;C5208&amp;" "&amp;D5208</f>
        <v xml:space="preserve">1D  SANDIKLI  BENCH 180 CM </v>
      </c>
      <c r="M5208" s="12"/>
      <c r="N5208" s="12"/>
      <c r="O5208" s="12"/>
      <c r="R5208" s="33"/>
      <c r="T5208" s="12">
        <v>30129</v>
      </c>
      <c r="U5208" s="12"/>
      <c r="V5208" s="12">
        <f t="shared" si="500"/>
        <v>30129</v>
      </c>
      <c r="W5208" s="12">
        <f t="shared" si="501"/>
        <v>75322.5</v>
      </c>
    </row>
    <row r="5209" spans="2:23" s="6" customFormat="1" ht="21.95" customHeight="1" x14ac:dyDescent="0.2">
      <c r="B5209" s="6" t="s">
        <v>1597</v>
      </c>
      <c r="C5209" s="6" t="s">
        <v>2140</v>
      </c>
      <c r="D5209" s="6" t="s">
        <v>943</v>
      </c>
      <c r="G5209" s="6">
        <v>90</v>
      </c>
      <c r="H5209" s="6">
        <v>190</v>
      </c>
      <c r="I5209" s="9"/>
      <c r="J5209" s="9"/>
      <c r="K5209" s="9"/>
      <c r="L5209" s="6" t="str">
        <f t="shared" ref="L5209:L5240" si="503">B5209&amp;" "&amp;C5209&amp;" "&amp;D5209&amp;" "&amp;G5209&amp;"x"&amp;H5209</f>
        <v>1D  COOLGEN YATAK  90x190</v>
      </c>
      <c r="M5209" s="12"/>
      <c r="N5209" s="12"/>
      <c r="O5209" s="12"/>
      <c r="R5209" s="33"/>
      <c r="T5209" s="12">
        <v>23293</v>
      </c>
      <c r="U5209" s="12"/>
      <c r="V5209" s="12">
        <f t="shared" si="500"/>
        <v>23293</v>
      </c>
      <c r="W5209" s="12">
        <f t="shared" si="501"/>
        <v>58232.5</v>
      </c>
    </row>
    <row r="5210" spans="2:23" s="6" customFormat="1" ht="21.95" customHeight="1" x14ac:dyDescent="0.2">
      <c r="B5210" s="6" t="s">
        <v>1597</v>
      </c>
      <c r="C5210" s="6" t="s">
        <v>2140</v>
      </c>
      <c r="D5210" s="6" t="s">
        <v>943</v>
      </c>
      <c r="G5210" s="6">
        <v>90</v>
      </c>
      <c r="H5210" s="6">
        <v>200</v>
      </c>
      <c r="I5210" s="9"/>
      <c r="J5210" s="9"/>
      <c r="K5210" s="9"/>
      <c r="L5210" s="6" t="str">
        <f t="shared" si="503"/>
        <v>1D  COOLGEN YATAK  90x200</v>
      </c>
      <c r="M5210" s="12"/>
      <c r="N5210" s="12"/>
      <c r="O5210" s="12"/>
      <c r="R5210" s="33"/>
      <c r="T5210" s="12">
        <v>7986</v>
      </c>
      <c r="U5210" s="12"/>
      <c r="V5210" s="12">
        <f t="shared" si="500"/>
        <v>7986</v>
      </c>
      <c r="W5210" s="12">
        <f t="shared" si="501"/>
        <v>19965</v>
      </c>
    </row>
    <row r="5211" spans="2:23" s="6" customFormat="1" ht="21.95" customHeight="1" x14ac:dyDescent="0.2">
      <c r="B5211" s="6" t="s">
        <v>1597</v>
      </c>
      <c r="C5211" s="6" t="s">
        <v>2140</v>
      </c>
      <c r="D5211" s="6" t="s">
        <v>943</v>
      </c>
      <c r="G5211" s="6">
        <v>100</v>
      </c>
      <c r="H5211" s="6">
        <v>200</v>
      </c>
      <c r="I5211" s="9"/>
      <c r="J5211" s="9"/>
      <c r="K5211" s="9"/>
      <c r="L5211" s="6" t="str">
        <f t="shared" si="503"/>
        <v>1D  COOLGEN YATAK  100x200</v>
      </c>
      <c r="M5211" s="12"/>
      <c r="N5211" s="12"/>
      <c r="O5211" s="12"/>
      <c r="R5211" s="33"/>
      <c r="T5211" s="12">
        <v>4961</v>
      </c>
      <c r="U5211" s="12"/>
      <c r="V5211" s="12">
        <f t="shared" si="500"/>
        <v>4961</v>
      </c>
      <c r="W5211" s="12">
        <f t="shared" si="501"/>
        <v>12402.5</v>
      </c>
    </row>
    <row r="5212" spans="2:23" s="6" customFormat="1" ht="21.95" customHeight="1" x14ac:dyDescent="0.2">
      <c r="B5212" s="6" t="s">
        <v>1597</v>
      </c>
      <c r="C5212" s="6" t="s">
        <v>2140</v>
      </c>
      <c r="D5212" s="6" t="s">
        <v>943</v>
      </c>
      <c r="G5212" s="6">
        <v>120</v>
      </c>
      <c r="H5212" s="6">
        <v>200</v>
      </c>
      <c r="I5212" s="9"/>
      <c r="J5212" s="9"/>
      <c r="K5212" s="9"/>
      <c r="L5212" s="6" t="str">
        <f t="shared" si="503"/>
        <v>1D  COOLGEN YATAK  120x200</v>
      </c>
      <c r="M5212" s="12"/>
      <c r="N5212" s="12"/>
      <c r="O5212" s="12"/>
      <c r="R5212" s="33"/>
      <c r="T5212" s="12">
        <v>10842</v>
      </c>
      <c r="U5212" s="12"/>
      <c r="V5212" s="12">
        <f t="shared" si="500"/>
        <v>10842</v>
      </c>
      <c r="W5212" s="12">
        <f t="shared" si="501"/>
        <v>27105</v>
      </c>
    </row>
    <row r="5213" spans="2:23" s="6" customFormat="1" ht="21.95" customHeight="1" x14ac:dyDescent="0.2">
      <c r="B5213" s="6" t="s">
        <v>1597</v>
      </c>
      <c r="C5213" s="6" t="s">
        <v>2140</v>
      </c>
      <c r="D5213" s="6" t="s">
        <v>943</v>
      </c>
      <c r="G5213" s="6">
        <v>140</v>
      </c>
      <c r="H5213" s="6">
        <v>200</v>
      </c>
      <c r="I5213" s="9"/>
      <c r="J5213" s="9"/>
      <c r="K5213" s="9"/>
      <c r="L5213" s="6" t="str">
        <f t="shared" si="503"/>
        <v>1D  COOLGEN YATAK  140x200</v>
      </c>
      <c r="M5213" s="12"/>
      <c r="N5213" s="12"/>
      <c r="O5213" s="12"/>
      <c r="R5213" s="33"/>
      <c r="T5213" s="12">
        <v>2057</v>
      </c>
      <c r="U5213" s="12"/>
      <c r="V5213" s="12">
        <f t="shared" si="500"/>
        <v>2057</v>
      </c>
      <c r="W5213" s="12">
        <f t="shared" si="501"/>
        <v>5142.5</v>
      </c>
    </row>
    <row r="5214" spans="2:23" s="6" customFormat="1" ht="21.95" customHeight="1" x14ac:dyDescent="0.2">
      <c r="B5214" s="6" t="s">
        <v>1597</v>
      </c>
      <c r="C5214" s="6" t="s">
        <v>2140</v>
      </c>
      <c r="D5214" s="6" t="s">
        <v>943</v>
      </c>
      <c r="G5214" s="6">
        <v>150</v>
      </c>
      <c r="H5214" s="6">
        <v>200</v>
      </c>
      <c r="I5214" s="9"/>
      <c r="J5214" s="9"/>
      <c r="K5214" s="9"/>
      <c r="L5214" s="6" t="str">
        <f t="shared" si="503"/>
        <v>1D  COOLGEN YATAK  150x200</v>
      </c>
      <c r="M5214" s="12"/>
      <c r="N5214" s="12"/>
      <c r="O5214" s="12"/>
      <c r="R5214" s="33"/>
      <c r="T5214" s="12">
        <v>12705</v>
      </c>
      <c r="U5214" s="12"/>
      <c r="V5214" s="12">
        <f t="shared" si="500"/>
        <v>12705</v>
      </c>
      <c r="W5214" s="12">
        <f t="shared" si="501"/>
        <v>31762.5</v>
      </c>
    </row>
    <row r="5215" spans="2:23" s="6" customFormat="1" ht="21.95" customHeight="1" x14ac:dyDescent="0.2">
      <c r="B5215" s="6" t="s">
        <v>1597</v>
      </c>
      <c r="C5215" s="6" t="s">
        <v>2140</v>
      </c>
      <c r="D5215" s="6" t="s">
        <v>943</v>
      </c>
      <c r="G5215" s="6">
        <v>160</v>
      </c>
      <c r="H5215" s="6">
        <v>200</v>
      </c>
      <c r="I5215" s="9"/>
      <c r="J5215" s="9"/>
      <c r="K5215" s="9"/>
      <c r="L5215" s="6" t="str">
        <f t="shared" si="503"/>
        <v>1D  COOLGEN YATAK  160x200</v>
      </c>
      <c r="M5215" s="12"/>
      <c r="N5215" s="12"/>
      <c r="O5215" s="12"/>
      <c r="R5215" s="33"/>
      <c r="T5215" s="12">
        <v>11652</v>
      </c>
      <c r="U5215" s="12"/>
      <c r="V5215" s="12">
        <f t="shared" si="500"/>
        <v>11652</v>
      </c>
      <c r="W5215" s="12">
        <f t="shared" si="501"/>
        <v>29130</v>
      </c>
    </row>
    <row r="5216" spans="2:23" s="6" customFormat="1" ht="21.95" customHeight="1" x14ac:dyDescent="0.2">
      <c r="B5216" s="6" t="s">
        <v>1597</v>
      </c>
      <c r="C5216" s="6" t="s">
        <v>2140</v>
      </c>
      <c r="D5216" s="6" t="s">
        <v>943</v>
      </c>
      <c r="G5216" s="6">
        <v>180</v>
      </c>
      <c r="H5216" s="6">
        <v>200</v>
      </c>
      <c r="I5216" s="9"/>
      <c r="J5216" s="9"/>
      <c r="K5216" s="9"/>
      <c r="L5216" s="6" t="str">
        <f t="shared" si="503"/>
        <v>1D  COOLGEN YATAK  180x200</v>
      </c>
      <c r="M5216" s="12"/>
      <c r="N5216" s="12"/>
      <c r="O5216" s="12"/>
      <c r="R5216" s="33"/>
      <c r="T5216" s="12">
        <v>5082</v>
      </c>
      <c r="U5216" s="12"/>
      <c r="V5216" s="12">
        <f t="shared" si="500"/>
        <v>5082</v>
      </c>
      <c r="W5216" s="12">
        <f t="shared" si="501"/>
        <v>12705</v>
      </c>
    </row>
    <row r="5217" spans="1:23" ht="21.95" customHeight="1" x14ac:dyDescent="0.2">
      <c r="A5217" s="6" t="s">
        <v>1431</v>
      </c>
      <c r="B5217" s="6" t="s">
        <v>1584</v>
      </c>
      <c r="C5217" s="6" t="s">
        <v>1432</v>
      </c>
      <c r="D5217" s="6" t="s">
        <v>1433</v>
      </c>
      <c r="G5217" s="5">
        <v>90</v>
      </c>
      <c r="H5217" s="5">
        <v>150</v>
      </c>
      <c r="J5217" s="16">
        <f t="shared" ref="J5217:J5248" si="504">G5217*H5217/10000</f>
        <v>1.35</v>
      </c>
      <c r="K5217" s="7">
        <v>44009554</v>
      </c>
      <c r="L5217" s="6" t="str">
        <f t="shared" si="503"/>
        <v>DR  KUMKAPI  YOLLUK 90x150</v>
      </c>
      <c r="M5217" s="12">
        <v>0</v>
      </c>
      <c r="N5217" s="12">
        <v>0</v>
      </c>
      <c r="O5217" s="8">
        <v>6343.6500000000005</v>
      </c>
      <c r="P5217" s="8">
        <f t="shared" ref="P5217:P5280" si="505">O5217*(1-N5217)</f>
        <v>6343.6500000000005</v>
      </c>
      <c r="Q5217" s="12">
        <f t="shared" ref="Q5217:Q5248" si="506">O5217*2.1</f>
        <v>13321.665000000001</v>
      </c>
      <c r="R5217" s="31">
        <f t="shared" ref="R5217:R5280" si="507">ROUNDDOWN(Q5217,-2)</f>
        <v>13300</v>
      </c>
      <c r="T5217" s="12"/>
      <c r="U5217" s="8">
        <v>25400</v>
      </c>
      <c r="W5217" s="8">
        <f t="shared" si="469"/>
        <v>15859.125000000002</v>
      </c>
    </row>
    <row r="5218" spans="1:23" ht="21.95" customHeight="1" x14ac:dyDescent="0.2">
      <c r="A5218" s="6" t="s">
        <v>1431</v>
      </c>
      <c r="B5218" s="6" t="s">
        <v>1584</v>
      </c>
      <c r="C5218" s="6" t="s">
        <v>1432</v>
      </c>
      <c r="D5218" s="6" t="s">
        <v>1433</v>
      </c>
      <c r="G5218" s="5">
        <v>90</v>
      </c>
      <c r="H5218" s="5">
        <v>300</v>
      </c>
      <c r="J5218" s="16">
        <f t="shared" si="504"/>
        <v>2.7</v>
      </c>
      <c r="K5218" s="7">
        <v>44009555</v>
      </c>
      <c r="L5218" s="6" t="str">
        <f t="shared" si="503"/>
        <v>DR  KUMKAPI  YOLLUK 90x300</v>
      </c>
      <c r="M5218" s="12">
        <v>0</v>
      </c>
      <c r="N5218" s="12">
        <v>0</v>
      </c>
      <c r="O5218" s="8">
        <v>12687.300000000001</v>
      </c>
      <c r="P5218" s="8">
        <f t="shared" si="505"/>
        <v>12687.300000000001</v>
      </c>
      <c r="Q5218" s="12">
        <f t="shared" si="506"/>
        <v>26643.33</v>
      </c>
      <c r="R5218" s="31">
        <f t="shared" si="507"/>
        <v>26600</v>
      </c>
      <c r="T5218" s="12"/>
      <c r="U5218" s="8">
        <v>15800</v>
      </c>
      <c r="W5218" s="8">
        <f t="shared" si="469"/>
        <v>31718.250000000004</v>
      </c>
    </row>
    <row r="5219" spans="1:23" ht="21.95" customHeight="1" x14ac:dyDescent="0.2">
      <c r="A5219" s="6" t="s">
        <v>1431</v>
      </c>
      <c r="B5219" s="6" t="s">
        <v>1584</v>
      </c>
      <c r="C5219" s="6" t="s">
        <v>1432</v>
      </c>
      <c r="D5219" s="6" t="s">
        <v>1431</v>
      </c>
      <c r="G5219" s="5">
        <v>120</v>
      </c>
      <c r="H5219" s="5">
        <v>180</v>
      </c>
      <c r="J5219" s="16">
        <f t="shared" si="504"/>
        <v>2.16</v>
      </c>
      <c r="K5219" s="7">
        <v>44009556</v>
      </c>
      <c r="L5219" s="6" t="str">
        <f t="shared" si="503"/>
        <v>DR  KUMKAPI  HALI  120x180</v>
      </c>
      <c r="M5219" s="12">
        <v>0</v>
      </c>
      <c r="N5219" s="12">
        <v>0</v>
      </c>
      <c r="O5219" s="8">
        <v>10149.84</v>
      </c>
      <c r="P5219" s="8">
        <f t="shared" si="505"/>
        <v>10149.84</v>
      </c>
      <c r="Q5219" s="12">
        <f t="shared" si="506"/>
        <v>21314.664000000001</v>
      </c>
      <c r="R5219" s="31">
        <f t="shared" si="507"/>
        <v>21300</v>
      </c>
      <c r="T5219" s="12"/>
      <c r="W5219" s="8">
        <f t="shared" si="469"/>
        <v>25374.6</v>
      </c>
    </row>
    <row r="5220" spans="1:23" ht="21.95" customHeight="1" x14ac:dyDescent="0.2">
      <c r="A5220" s="6" t="s">
        <v>1431</v>
      </c>
      <c r="B5220" s="6" t="s">
        <v>1584</v>
      </c>
      <c r="C5220" s="6" t="s">
        <v>1432</v>
      </c>
      <c r="D5220" s="6" t="s">
        <v>1431</v>
      </c>
      <c r="G5220" s="6">
        <v>160</v>
      </c>
      <c r="H5220" s="6">
        <v>230</v>
      </c>
      <c r="J5220" s="16">
        <f t="shared" si="504"/>
        <v>3.68</v>
      </c>
      <c r="K5220" s="7">
        <v>44009557</v>
      </c>
      <c r="L5220" s="6" t="str">
        <f t="shared" si="503"/>
        <v>DR  KUMKAPI  HALI  160x230</v>
      </c>
      <c r="M5220" s="12">
        <v>0</v>
      </c>
      <c r="N5220" s="12">
        <v>0</v>
      </c>
      <c r="O5220" s="8">
        <v>17292.32</v>
      </c>
      <c r="P5220" s="8">
        <f t="shared" si="505"/>
        <v>17292.32</v>
      </c>
      <c r="Q5220" s="12">
        <f t="shared" si="506"/>
        <v>36313.872000000003</v>
      </c>
      <c r="R5220" s="31">
        <f t="shared" si="507"/>
        <v>36300</v>
      </c>
      <c r="T5220" s="12"/>
      <c r="W5220" s="8">
        <f t="shared" si="469"/>
        <v>43230.8</v>
      </c>
    </row>
    <row r="5221" spans="1:23" ht="21.95" customHeight="1" x14ac:dyDescent="0.2">
      <c r="A5221" s="6" t="s">
        <v>1431</v>
      </c>
      <c r="B5221" s="6" t="s">
        <v>1584</v>
      </c>
      <c r="C5221" s="6" t="s">
        <v>1432</v>
      </c>
      <c r="D5221" s="6" t="s">
        <v>1431</v>
      </c>
      <c r="G5221" s="6">
        <v>200</v>
      </c>
      <c r="H5221" s="6">
        <v>300</v>
      </c>
      <c r="J5221" s="16">
        <f t="shared" si="504"/>
        <v>6</v>
      </c>
      <c r="K5221" s="7">
        <v>44009558</v>
      </c>
      <c r="L5221" s="6" t="str">
        <f t="shared" si="503"/>
        <v>DR  KUMKAPI  HALI  200x300</v>
      </c>
      <c r="M5221" s="12">
        <v>0</v>
      </c>
      <c r="N5221" s="12">
        <v>0</v>
      </c>
      <c r="O5221" s="8">
        <v>28194</v>
      </c>
      <c r="P5221" s="8">
        <f t="shared" si="505"/>
        <v>28194</v>
      </c>
      <c r="Q5221" s="12">
        <f t="shared" si="506"/>
        <v>59207.4</v>
      </c>
      <c r="R5221" s="31">
        <f t="shared" si="507"/>
        <v>59200</v>
      </c>
      <c r="T5221" s="12"/>
      <c r="W5221" s="8">
        <f t="shared" si="469"/>
        <v>70485</v>
      </c>
    </row>
    <row r="5222" spans="1:23" ht="21.95" customHeight="1" x14ac:dyDescent="0.2">
      <c r="A5222" s="6" t="s">
        <v>1431</v>
      </c>
      <c r="B5222" s="6" t="s">
        <v>1584</v>
      </c>
      <c r="C5222" s="6" t="s">
        <v>1432</v>
      </c>
      <c r="D5222" s="6" t="s">
        <v>1431</v>
      </c>
      <c r="G5222" s="6">
        <v>240</v>
      </c>
      <c r="H5222" s="6">
        <v>340</v>
      </c>
      <c r="J5222" s="16">
        <f t="shared" si="504"/>
        <v>8.16</v>
      </c>
      <c r="K5222" s="7">
        <v>44009559</v>
      </c>
      <c r="L5222" s="6" t="str">
        <f t="shared" si="503"/>
        <v>DR  KUMKAPI  HALI  240x340</v>
      </c>
      <c r="M5222" s="12">
        <v>0</v>
      </c>
      <c r="N5222" s="12">
        <v>0</v>
      </c>
      <c r="O5222" s="8">
        <v>38343.840000000004</v>
      </c>
      <c r="P5222" s="8">
        <f t="shared" si="505"/>
        <v>38343.840000000004</v>
      </c>
      <c r="Q5222" s="12">
        <f t="shared" si="506"/>
        <v>80522.064000000013</v>
      </c>
      <c r="R5222" s="31">
        <f t="shared" si="507"/>
        <v>80500</v>
      </c>
      <c r="T5222" s="12"/>
      <c r="U5222" s="8">
        <v>12200</v>
      </c>
      <c r="W5222" s="8">
        <f t="shared" si="469"/>
        <v>95859.6</v>
      </c>
    </row>
    <row r="5223" spans="1:23" ht="21.95" customHeight="1" x14ac:dyDescent="0.2">
      <c r="A5223" s="6" t="s">
        <v>1431</v>
      </c>
      <c r="B5223" s="6" t="s">
        <v>1584</v>
      </c>
      <c r="C5223" s="6" t="s">
        <v>1432</v>
      </c>
      <c r="D5223" s="6" t="s">
        <v>1431</v>
      </c>
      <c r="G5223" s="6">
        <v>300</v>
      </c>
      <c r="H5223" s="6">
        <v>400</v>
      </c>
      <c r="J5223" s="16">
        <f t="shared" si="504"/>
        <v>12</v>
      </c>
      <c r="K5223" s="7">
        <v>44009560</v>
      </c>
      <c r="L5223" s="6" t="str">
        <f t="shared" si="503"/>
        <v>DR  KUMKAPI  HALI  300x400</v>
      </c>
      <c r="M5223" s="12">
        <v>0</v>
      </c>
      <c r="N5223" s="12">
        <v>0</v>
      </c>
      <c r="O5223" s="8">
        <v>56388</v>
      </c>
      <c r="P5223" s="8">
        <f t="shared" si="505"/>
        <v>56388</v>
      </c>
      <c r="Q5223" s="12">
        <f t="shared" si="506"/>
        <v>118414.8</v>
      </c>
      <c r="R5223" s="31">
        <f t="shared" si="507"/>
        <v>118400</v>
      </c>
      <c r="T5223" s="12"/>
      <c r="U5223" s="8">
        <v>12900</v>
      </c>
      <c r="W5223" s="8">
        <f t="shared" si="469"/>
        <v>140970</v>
      </c>
    </row>
    <row r="5224" spans="1:23" ht="21.95" customHeight="1" x14ac:dyDescent="0.2">
      <c r="A5224" s="6" t="s">
        <v>1431</v>
      </c>
      <c r="B5224" s="6" t="s">
        <v>1584</v>
      </c>
      <c r="C5224" s="6" t="s">
        <v>1434</v>
      </c>
      <c r="D5224" s="6" t="s">
        <v>1433</v>
      </c>
      <c r="G5224" s="5">
        <v>90</v>
      </c>
      <c r="H5224" s="5">
        <v>150</v>
      </c>
      <c r="J5224" s="16">
        <f t="shared" si="504"/>
        <v>1.35</v>
      </c>
      <c r="K5224" s="7">
        <v>44009561</v>
      </c>
      <c r="L5224" s="6" t="str">
        <f t="shared" si="503"/>
        <v>DR  MIA  YOLLUK 90x150</v>
      </c>
      <c r="M5224" s="12">
        <v>0</v>
      </c>
      <c r="N5224" s="12">
        <v>0</v>
      </c>
      <c r="O5224" s="8">
        <v>5197.5</v>
      </c>
      <c r="P5224" s="8">
        <f t="shared" si="505"/>
        <v>5197.5</v>
      </c>
      <c r="Q5224" s="12">
        <f t="shared" si="506"/>
        <v>10914.75</v>
      </c>
      <c r="R5224" s="31">
        <f t="shared" si="507"/>
        <v>10900</v>
      </c>
      <c r="T5224" s="12"/>
      <c r="U5224" s="8">
        <v>13000</v>
      </c>
      <c r="W5224" s="8">
        <f t="shared" si="469"/>
        <v>12993.75</v>
      </c>
    </row>
    <row r="5225" spans="1:23" ht="21.95" customHeight="1" x14ac:dyDescent="0.2">
      <c r="A5225" s="6" t="s">
        <v>1431</v>
      </c>
      <c r="B5225" s="6" t="s">
        <v>1584</v>
      </c>
      <c r="C5225" s="6" t="s">
        <v>1434</v>
      </c>
      <c r="D5225" s="6" t="s">
        <v>1433</v>
      </c>
      <c r="G5225" s="5">
        <v>90</v>
      </c>
      <c r="H5225" s="5">
        <v>300</v>
      </c>
      <c r="J5225" s="16">
        <f t="shared" si="504"/>
        <v>2.7</v>
      </c>
      <c r="K5225" s="7">
        <v>44009562</v>
      </c>
      <c r="L5225" s="6" t="str">
        <f t="shared" si="503"/>
        <v>DR  MIA  YOLLUK 90x300</v>
      </c>
      <c r="M5225" s="12">
        <v>0</v>
      </c>
      <c r="N5225" s="12">
        <v>0</v>
      </c>
      <c r="O5225" s="8">
        <v>10395</v>
      </c>
      <c r="P5225" s="8">
        <f t="shared" si="505"/>
        <v>10395</v>
      </c>
      <c r="Q5225" s="12">
        <f t="shared" si="506"/>
        <v>21829.5</v>
      </c>
      <c r="R5225" s="31">
        <f t="shared" si="507"/>
        <v>21800</v>
      </c>
      <c r="T5225" s="12"/>
      <c r="U5225" s="8">
        <v>15600</v>
      </c>
      <c r="W5225" s="8">
        <f t="shared" si="469"/>
        <v>25987.5</v>
      </c>
    </row>
    <row r="5226" spans="1:23" ht="21.95" customHeight="1" x14ac:dyDescent="0.2">
      <c r="A5226" s="6" t="s">
        <v>1431</v>
      </c>
      <c r="B5226" s="6" t="s">
        <v>1584</v>
      </c>
      <c r="C5226" s="6" t="s">
        <v>1434</v>
      </c>
      <c r="D5226" s="6" t="s">
        <v>1431</v>
      </c>
      <c r="G5226" s="5">
        <v>120</v>
      </c>
      <c r="H5226" s="5">
        <v>180</v>
      </c>
      <c r="J5226" s="16">
        <f t="shared" si="504"/>
        <v>2.16</v>
      </c>
      <c r="K5226" s="7">
        <v>44009563</v>
      </c>
      <c r="L5226" s="6" t="str">
        <f t="shared" si="503"/>
        <v>DR  MIA  HALI  120x180</v>
      </c>
      <c r="M5226" s="12">
        <v>0</v>
      </c>
      <c r="N5226" s="12">
        <v>0</v>
      </c>
      <c r="O5226" s="8">
        <v>8316</v>
      </c>
      <c r="P5226" s="8">
        <f t="shared" si="505"/>
        <v>8316</v>
      </c>
      <c r="Q5226" s="12">
        <f t="shared" si="506"/>
        <v>17463.600000000002</v>
      </c>
      <c r="R5226" s="31">
        <f t="shared" si="507"/>
        <v>17400</v>
      </c>
      <c r="T5226" s="12"/>
      <c r="U5226" s="8">
        <v>18200</v>
      </c>
      <c r="W5226" s="8">
        <f t="shared" si="469"/>
        <v>20790</v>
      </c>
    </row>
    <row r="5227" spans="1:23" ht="21.95" customHeight="1" x14ac:dyDescent="0.2">
      <c r="A5227" s="6" t="s">
        <v>1431</v>
      </c>
      <c r="B5227" s="6" t="s">
        <v>1584</v>
      </c>
      <c r="C5227" s="6" t="s">
        <v>1434</v>
      </c>
      <c r="D5227" s="6" t="s">
        <v>1431</v>
      </c>
      <c r="G5227" s="6">
        <v>160</v>
      </c>
      <c r="H5227" s="6">
        <v>230</v>
      </c>
      <c r="J5227" s="16">
        <f t="shared" si="504"/>
        <v>3.68</v>
      </c>
      <c r="K5227" s="7">
        <v>44009564</v>
      </c>
      <c r="L5227" s="6" t="str">
        <f t="shared" si="503"/>
        <v>DR  MIA  HALI  160x230</v>
      </c>
      <c r="M5227" s="12">
        <v>0</v>
      </c>
      <c r="N5227" s="12">
        <v>0</v>
      </c>
      <c r="O5227" s="8">
        <v>14168</v>
      </c>
      <c r="P5227" s="8">
        <f t="shared" si="505"/>
        <v>14168</v>
      </c>
      <c r="Q5227" s="12">
        <f t="shared" si="506"/>
        <v>29752.800000000003</v>
      </c>
      <c r="R5227" s="31">
        <f t="shared" si="507"/>
        <v>29700</v>
      </c>
      <c r="T5227" s="12"/>
      <c r="U5227" s="8">
        <v>19500</v>
      </c>
      <c r="W5227" s="8">
        <f t="shared" si="469"/>
        <v>35420</v>
      </c>
    </row>
    <row r="5228" spans="1:23" ht="21.95" customHeight="1" x14ac:dyDescent="0.2">
      <c r="A5228" s="6" t="s">
        <v>1431</v>
      </c>
      <c r="B5228" s="6" t="s">
        <v>1584</v>
      </c>
      <c r="C5228" s="6" t="s">
        <v>1434</v>
      </c>
      <c r="D5228" s="6" t="s">
        <v>1431</v>
      </c>
      <c r="G5228" s="6">
        <v>200</v>
      </c>
      <c r="H5228" s="6">
        <v>300</v>
      </c>
      <c r="J5228" s="16">
        <f t="shared" si="504"/>
        <v>6</v>
      </c>
      <c r="K5228" s="7">
        <v>44009565</v>
      </c>
      <c r="L5228" s="6" t="str">
        <f t="shared" si="503"/>
        <v>DR  MIA  HALI  200x300</v>
      </c>
      <c r="M5228" s="12">
        <v>0</v>
      </c>
      <c r="N5228" s="12">
        <v>0</v>
      </c>
      <c r="O5228" s="8">
        <v>23100</v>
      </c>
      <c r="P5228" s="8">
        <f t="shared" si="505"/>
        <v>23100</v>
      </c>
      <c r="Q5228" s="12">
        <f t="shared" si="506"/>
        <v>48510</v>
      </c>
      <c r="R5228" s="31">
        <f t="shared" si="507"/>
        <v>48500</v>
      </c>
      <c r="T5228" s="12"/>
      <c r="U5228" s="8">
        <v>20800</v>
      </c>
      <c r="W5228" s="8">
        <f t="shared" si="469"/>
        <v>57750</v>
      </c>
    </row>
    <row r="5229" spans="1:23" ht="21.95" customHeight="1" x14ac:dyDescent="0.2">
      <c r="A5229" s="6" t="s">
        <v>1431</v>
      </c>
      <c r="B5229" s="6" t="s">
        <v>1584</v>
      </c>
      <c r="C5229" s="6" t="s">
        <v>1434</v>
      </c>
      <c r="D5229" s="6" t="s">
        <v>1431</v>
      </c>
      <c r="G5229" s="6">
        <v>240</v>
      </c>
      <c r="H5229" s="6">
        <v>340</v>
      </c>
      <c r="J5229" s="16">
        <f t="shared" si="504"/>
        <v>8.16</v>
      </c>
      <c r="K5229" s="7">
        <v>44009566</v>
      </c>
      <c r="L5229" s="6" t="str">
        <f t="shared" si="503"/>
        <v>DR  MIA  HALI  240x340</v>
      </c>
      <c r="M5229" s="12">
        <v>0</v>
      </c>
      <c r="N5229" s="12">
        <v>0</v>
      </c>
      <c r="O5229" s="8">
        <v>31416</v>
      </c>
      <c r="P5229" s="8">
        <f t="shared" si="505"/>
        <v>31416</v>
      </c>
      <c r="Q5229" s="12">
        <f t="shared" si="506"/>
        <v>65973.600000000006</v>
      </c>
      <c r="R5229" s="31">
        <f t="shared" si="507"/>
        <v>65900</v>
      </c>
      <c r="T5229" s="12"/>
      <c r="U5229" s="8">
        <v>23400</v>
      </c>
      <c r="W5229" s="8">
        <f t="shared" si="469"/>
        <v>78540</v>
      </c>
    </row>
    <row r="5230" spans="1:23" ht="21.95" customHeight="1" x14ac:dyDescent="0.2">
      <c r="A5230" s="6" t="s">
        <v>1431</v>
      </c>
      <c r="B5230" s="6" t="s">
        <v>1584</v>
      </c>
      <c r="C5230" s="6" t="s">
        <v>1434</v>
      </c>
      <c r="D5230" s="6" t="s">
        <v>1431</v>
      </c>
      <c r="G5230" s="6">
        <v>300</v>
      </c>
      <c r="H5230" s="6">
        <v>400</v>
      </c>
      <c r="J5230" s="16">
        <f t="shared" si="504"/>
        <v>12</v>
      </c>
      <c r="K5230" s="7">
        <v>44009567</v>
      </c>
      <c r="L5230" s="6" t="str">
        <f t="shared" si="503"/>
        <v>DR  MIA  HALI  300x400</v>
      </c>
      <c r="M5230" s="12">
        <v>0</v>
      </c>
      <c r="N5230" s="12">
        <v>0</v>
      </c>
      <c r="O5230" s="8">
        <v>46200</v>
      </c>
      <c r="P5230" s="8">
        <f t="shared" si="505"/>
        <v>46200</v>
      </c>
      <c r="Q5230" s="12">
        <f t="shared" si="506"/>
        <v>97020</v>
      </c>
      <c r="R5230" s="31">
        <f t="shared" si="507"/>
        <v>97000</v>
      </c>
      <c r="T5230" s="12"/>
      <c r="U5230" s="8">
        <v>9700</v>
      </c>
      <c r="W5230" s="8">
        <f t="shared" si="469"/>
        <v>115500</v>
      </c>
    </row>
    <row r="5231" spans="1:23" ht="21.95" customHeight="1" x14ac:dyDescent="0.2">
      <c r="A5231" s="6" t="s">
        <v>1431</v>
      </c>
      <c r="B5231" s="6" t="s">
        <v>1584</v>
      </c>
      <c r="C5231" s="6" t="s">
        <v>1435</v>
      </c>
      <c r="D5231" s="6" t="s">
        <v>1433</v>
      </c>
      <c r="G5231" s="6">
        <v>80</v>
      </c>
      <c r="H5231" s="6">
        <v>150</v>
      </c>
      <c r="J5231" s="16">
        <f t="shared" si="504"/>
        <v>1.2</v>
      </c>
      <c r="K5231" s="7">
        <v>44009568</v>
      </c>
      <c r="L5231" s="6" t="str">
        <f t="shared" si="503"/>
        <v>DR  ETHNO CALIENTE  YOLLUK 80x150</v>
      </c>
      <c r="M5231" s="12">
        <v>0</v>
      </c>
      <c r="N5231" s="12">
        <v>0</v>
      </c>
      <c r="O5231" s="8">
        <v>4438.8</v>
      </c>
      <c r="P5231" s="8">
        <f t="shared" si="505"/>
        <v>4438.8</v>
      </c>
      <c r="Q5231" s="12">
        <f t="shared" si="506"/>
        <v>9321.4800000000014</v>
      </c>
      <c r="R5231" s="31">
        <f t="shared" si="507"/>
        <v>9300</v>
      </c>
      <c r="T5231" s="12"/>
      <c r="U5231" s="8">
        <v>9700</v>
      </c>
      <c r="W5231" s="8">
        <f t="shared" si="469"/>
        <v>11097</v>
      </c>
    </row>
    <row r="5232" spans="1:23" ht="21.95" customHeight="1" x14ac:dyDescent="0.2">
      <c r="A5232" s="6" t="s">
        <v>1431</v>
      </c>
      <c r="B5232" s="6" t="s">
        <v>1584</v>
      </c>
      <c r="C5232" s="6" t="s">
        <v>1435</v>
      </c>
      <c r="D5232" s="6" t="s">
        <v>1433</v>
      </c>
      <c r="G5232" s="6">
        <v>80</v>
      </c>
      <c r="H5232" s="6">
        <v>300</v>
      </c>
      <c r="J5232" s="16">
        <f t="shared" si="504"/>
        <v>2.4</v>
      </c>
      <c r="K5232" s="7">
        <v>44009569</v>
      </c>
      <c r="L5232" s="6" t="str">
        <f t="shared" si="503"/>
        <v>DR  ETHNO CALIENTE  YOLLUK 80x300</v>
      </c>
      <c r="M5232" s="12">
        <v>0</v>
      </c>
      <c r="N5232" s="12">
        <v>0</v>
      </c>
      <c r="O5232" s="8">
        <v>8877.6</v>
      </c>
      <c r="P5232" s="8">
        <f t="shared" si="505"/>
        <v>8877.6</v>
      </c>
      <c r="Q5232" s="12">
        <f t="shared" si="506"/>
        <v>18642.960000000003</v>
      </c>
      <c r="R5232" s="31">
        <f t="shared" si="507"/>
        <v>18600</v>
      </c>
      <c r="T5232" s="12"/>
      <c r="U5232" s="8">
        <v>9800</v>
      </c>
      <c r="W5232" s="8">
        <f t="shared" si="469"/>
        <v>22194</v>
      </c>
    </row>
    <row r="5233" spans="1:23" ht="21.95" customHeight="1" x14ac:dyDescent="0.2">
      <c r="A5233" s="6" t="s">
        <v>1431</v>
      </c>
      <c r="B5233" s="6" t="s">
        <v>1584</v>
      </c>
      <c r="C5233" s="6" t="s">
        <v>1435</v>
      </c>
      <c r="D5233" s="6" t="s">
        <v>1433</v>
      </c>
      <c r="G5233" s="6">
        <v>100</v>
      </c>
      <c r="H5233" s="6">
        <v>200</v>
      </c>
      <c r="J5233" s="16">
        <f t="shared" si="504"/>
        <v>2</v>
      </c>
      <c r="K5233" s="7">
        <v>44009570</v>
      </c>
      <c r="L5233" s="6" t="str">
        <f t="shared" si="503"/>
        <v>DR  ETHNO CALIENTE  YOLLUK 100x200</v>
      </c>
      <c r="M5233" s="12">
        <v>0</v>
      </c>
      <c r="N5233" s="12">
        <v>0</v>
      </c>
      <c r="O5233" s="8">
        <v>7398</v>
      </c>
      <c r="P5233" s="8">
        <f t="shared" si="505"/>
        <v>7398</v>
      </c>
      <c r="Q5233" s="12">
        <f t="shared" si="506"/>
        <v>15535.800000000001</v>
      </c>
      <c r="R5233" s="31">
        <f t="shared" si="507"/>
        <v>15500</v>
      </c>
      <c r="T5233" s="12"/>
      <c r="U5233" s="8">
        <v>11700</v>
      </c>
      <c r="W5233" s="8">
        <f t="shared" si="469"/>
        <v>18495</v>
      </c>
    </row>
    <row r="5234" spans="1:23" ht="21.95" customHeight="1" x14ac:dyDescent="0.2">
      <c r="A5234" s="6" t="s">
        <v>1431</v>
      </c>
      <c r="B5234" s="6" t="s">
        <v>1584</v>
      </c>
      <c r="C5234" s="6" t="s">
        <v>1435</v>
      </c>
      <c r="D5234" s="6" t="s">
        <v>1433</v>
      </c>
      <c r="G5234" s="6">
        <v>100</v>
      </c>
      <c r="H5234" s="6">
        <v>300</v>
      </c>
      <c r="J5234" s="16">
        <f t="shared" si="504"/>
        <v>3</v>
      </c>
      <c r="K5234" s="7">
        <v>44009571</v>
      </c>
      <c r="L5234" s="6" t="str">
        <f t="shared" si="503"/>
        <v>DR  ETHNO CALIENTE  YOLLUK 100x300</v>
      </c>
      <c r="M5234" s="12">
        <v>0</v>
      </c>
      <c r="N5234" s="12">
        <v>0</v>
      </c>
      <c r="O5234" s="8">
        <v>11097</v>
      </c>
      <c r="P5234" s="8">
        <f t="shared" si="505"/>
        <v>11097</v>
      </c>
      <c r="Q5234" s="12">
        <f t="shared" si="506"/>
        <v>23303.7</v>
      </c>
      <c r="R5234" s="31">
        <f t="shared" si="507"/>
        <v>23300</v>
      </c>
      <c r="T5234" s="12"/>
      <c r="U5234" s="8">
        <v>13700</v>
      </c>
      <c r="W5234" s="8">
        <f t="shared" si="469"/>
        <v>27742.5</v>
      </c>
    </row>
    <row r="5235" spans="1:23" ht="21.95" customHeight="1" x14ac:dyDescent="0.2">
      <c r="A5235" s="6" t="s">
        <v>1431</v>
      </c>
      <c r="B5235" s="6" t="s">
        <v>1584</v>
      </c>
      <c r="C5235" s="6" t="s">
        <v>1435</v>
      </c>
      <c r="D5235" s="6" t="s">
        <v>1431</v>
      </c>
      <c r="G5235" s="6">
        <v>130</v>
      </c>
      <c r="H5235" s="6">
        <v>190</v>
      </c>
      <c r="J5235" s="16">
        <f t="shared" si="504"/>
        <v>2.4700000000000002</v>
      </c>
      <c r="K5235" s="7">
        <v>44009572</v>
      </c>
      <c r="L5235" s="6" t="str">
        <f t="shared" si="503"/>
        <v>DR  ETHNO CALIENTE  HALI  130x190</v>
      </c>
      <c r="M5235" s="12">
        <v>0</v>
      </c>
      <c r="N5235" s="12">
        <v>0</v>
      </c>
      <c r="O5235" s="8">
        <v>9136.5300000000007</v>
      </c>
      <c r="P5235" s="8">
        <f t="shared" si="505"/>
        <v>9136.5300000000007</v>
      </c>
      <c r="Q5235" s="12">
        <f t="shared" si="506"/>
        <v>19186.713000000003</v>
      </c>
      <c r="R5235" s="31">
        <f t="shared" si="507"/>
        <v>19100</v>
      </c>
      <c r="T5235" s="12"/>
      <c r="U5235" s="8">
        <v>14600</v>
      </c>
      <c r="W5235" s="8">
        <f t="shared" si="469"/>
        <v>22841.325000000001</v>
      </c>
    </row>
    <row r="5236" spans="1:23" ht="21.95" customHeight="1" x14ac:dyDescent="0.2">
      <c r="A5236" s="6" t="s">
        <v>1431</v>
      </c>
      <c r="B5236" s="6" t="s">
        <v>1584</v>
      </c>
      <c r="C5236" s="6" t="s">
        <v>1435</v>
      </c>
      <c r="D5236" s="6" t="s">
        <v>1431</v>
      </c>
      <c r="G5236" s="6">
        <v>160</v>
      </c>
      <c r="H5236" s="6">
        <v>240</v>
      </c>
      <c r="J5236" s="16">
        <f t="shared" si="504"/>
        <v>3.84</v>
      </c>
      <c r="K5236" s="7">
        <v>44009573</v>
      </c>
      <c r="L5236" s="6" t="str">
        <f t="shared" si="503"/>
        <v>DR  ETHNO CALIENTE  HALI  160x240</v>
      </c>
      <c r="M5236" s="12">
        <v>0</v>
      </c>
      <c r="N5236" s="12">
        <v>0</v>
      </c>
      <c r="O5236" s="8">
        <v>14204.160000000002</v>
      </c>
      <c r="P5236" s="8">
        <f t="shared" si="505"/>
        <v>14204.160000000002</v>
      </c>
      <c r="Q5236" s="12">
        <f t="shared" si="506"/>
        <v>29828.736000000004</v>
      </c>
      <c r="R5236" s="31">
        <f t="shared" si="507"/>
        <v>29800</v>
      </c>
      <c r="T5236" s="12"/>
      <c r="U5236" s="8">
        <v>15600</v>
      </c>
      <c r="W5236" s="8">
        <f t="shared" si="469"/>
        <v>35510.400000000001</v>
      </c>
    </row>
    <row r="5237" spans="1:23" ht="21.95" customHeight="1" x14ac:dyDescent="0.2">
      <c r="A5237" s="6" t="s">
        <v>1431</v>
      </c>
      <c r="B5237" s="6" t="s">
        <v>1584</v>
      </c>
      <c r="C5237" s="6" t="s">
        <v>1435</v>
      </c>
      <c r="D5237" s="6" t="s">
        <v>1431</v>
      </c>
      <c r="G5237" s="6">
        <v>200</v>
      </c>
      <c r="H5237" s="6">
        <v>300</v>
      </c>
      <c r="J5237" s="16">
        <f t="shared" si="504"/>
        <v>6</v>
      </c>
      <c r="K5237" s="7">
        <v>44009574</v>
      </c>
      <c r="L5237" s="6" t="str">
        <f t="shared" si="503"/>
        <v>DR  ETHNO CALIENTE  HALI  200x300</v>
      </c>
      <c r="M5237" s="12">
        <v>0</v>
      </c>
      <c r="N5237" s="12">
        <v>0</v>
      </c>
      <c r="O5237" s="8">
        <v>22194</v>
      </c>
      <c r="P5237" s="8">
        <f t="shared" si="505"/>
        <v>22194</v>
      </c>
      <c r="Q5237" s="12">
        <f t="shared" si="506"/>
        <v>46607.4</v>
      </c>
      <c r="R5237" s="31">
        <f t="shared" si="507"/>
        <v>46600</v>
      </c>
      <c r="T5237" s="12"/>
      <c r="U5237" s="8">
        <v>17600</v>
      </c>
      <c r="W5237" s="8">
        <f t="shared" si="469"/>
        <v>55485</v>
      </c>
    </row>
    <row r="5238" spans="1:23" ht="21.95" customHeight="1" x14ac:dyDescent="0.2">
      <c r="A5238" s="6" t="s">
        <v>1431</v>
      </c>
      <c r="B5238" s="6" t="s">
        <v>1584</v>
      </c>
      <c r="C5238" s="6" t="s">
        <v>1435</v>
      </c>
      <c r="D5238" s="6" t="s">
        <v>1431</v>
      </c>
      <c r="G5238" s="6">
        <v>240</v>
      </c>
      <c r="H5238" s="6">
        <v>340</v>
      </c>
      <c r="J5238" s="16">
        <f t="shared" si="504"/>
        <v>8.16</v>
      </c>
      <c r="K5238" s="7">
        <v>44009575</v>
      </c>
      <c r="L5238" s="6" t="str">
        <f t="shared" si="503"/>
        <v>DR  ETHNO CALIENTE  HALI  240x340</v>
      </c>
      <c r="M5238" s="12">
        <v>0</v>
      </c>
      <c r="N5238" s="12">
        <v>0</v>
      </c>
      <c r="O5238" s="8">
        <v>30183.84</v>
      </c>
      <c r="P5238" s="8">
        <f t="shared" si="505"/>
        <v>30183.84</v>
      </c>
      <c r="Q5238" s="12">
        <f t="shared" si="506"/>
        <v>63386.064000000006</v>
      </c>
      <c r="R5238" s="31">
        <f t="shared" si="507"/>
        <v>63300</v>
      </c>
      <c r="T5238" s="12"/>
      <c r="U5238" s="8">
        <v>13800</v>
      </c>
      <c r="W5238" s="8">
        <f t="shared" si="469"/>
        <v>75459.600000000006</v>
      </c>
    </row>
    <row r="5239" spans="1:23" ht="21.95" customHeight="1" x14ac:dyDescent="0.2">
      <c r="A5239" s="6" t="s">
        <v>1431</v>
      </c>
      <c r="B5239" s="6" t="s">
        <v>1584</v>
      </c>
      <c r="C5239" s="6" t="s">
        <v>1435</v>
      </c>
      <c r="D5239" s="6" t="s">
        <v>1431</v>
      </c>
      <c r="G5239" s="6">
        <v>300</v>
      </c>
      <c r="H5239" s="6">
        <v>400</v>
      </c>
      <c r="J5239" s="16">
        <f t="shared" si="504"/>
        <v>12</v>
      </c>
      <c r="K5239" s="7">
        <v>44009576</v>
      </c>
      <c r="L5239" s="6" t="str">
        <f t="shared" si="503"/>
        <v>DR  ETHNO CALIENTE  HALI  300x400</v>
      </c>
      <c r="M5239" s="12">
        <v>0</v>
      </c>
      <c r="N5239" s="12">
        <v>0</v>
      </c>
      <c r="O5239" s="8">
        <v>44388</v>
      </c>
      <c r="P5239" s="8">
        <f t="shared" si="505"/>
        <v>44388</v>
      </c>
      <c r="Q5239" s="12">
        <f t="shared" si="506"/>
        <v>93214.8</v>
      </c>
      <c r="R5239" s="31">
        <f t="shared" si="507"/>
        <v>93200</v>
      </c>
      <c r="T5239" s="12"/>
      <c r="U5239" s="8">
        <v>14500</v>
      </c>
      <c r="W5239" s="8">
        <f t="shared" si="469"/>
        <v>110970</v>
      </c>
    </row>
    <row r="5240" spans="1:23" ht="21.95" customHeight="1" x14ac:dyDescent="0.2">
      <c r="A5240" s="6" t="s">
        <v>1431</v>
      </c>
      <c r="B5240" s="6" t="s">
        <v>1584</v>
      </c>
      <c r="C5240" s="6" t="s">
        <v>1436</v>
      </c>
      <c r="D5240" s="6" t="s">
        <v>1433</v>
      </c>
      <c r="G5240" s="6">
        <v>80</v>
      </c>
      <c r="H5240" s="6">
        <v>150</v>
      </c>
      <c r="J5240" s="16">
        <f t="shared" si="504"/>
        <v>1.2</v>
      </c>
      <c r="K5240" s="7">
        <v>44009577</v>
      </c>
      <c r="L5240" s="6" t="str">
        <f t="shared" si="503"/>
        <v>DR  ETHNO ZEN  YOLLUK 80x150</v>
      </c>
      <c r="M5240" s="12">
        <v>0</v>
      </c>
      <c r="N5240" s="12">
        <v>0</v>
      </c>
      <c r="O5240" s="8">
        <v>4438.8</v>
      </c>
      <c r="P5240" s="8">
        <f t="shared" si="505"/>
        <v>4438.8</v>
      </c>
      <c r="Q5240" s="12">
        <f t="shared" si="506"/>
        <v>9321.4800000000014</v>
      </c>
      <c r="R5240" s="31">
        <f t="shared" si="507"/>
        <v>9300</v>
      </c>
      <c r="T5240" s="12"/>
      <c r="U5240" s="8">
        <v>14600</v>
      </c>
      <c r="W5240" s="8">
        <f t="shared" si="469"/>
        <v>11097</v>
      </c>
    </row>
    <row r="5241" spans="1:23" ht="21.95" customHeight="1" x14ac:dyDescent="0.2">
      <c r="A5241" s="6" t="s">
        <v>1431</v>
      </c>
      <c r="B5241" s="6" t="s">
        <v>1584</v>
      </c>
      <c r="C5241" s="6" t="s">
        <v>1436</v>
      </c>
      <c r="D5241" s="6" t="s">
        <v>1433</v>
      </c>
      <c r="G5241" s="6">
        <v>80</v>
      </c>
      <c r="H5241" s="6">
        <v>300</v>
      </c>
      <c r="J5241" s="16">
        <f t="shared" si="504"/>
        <v>2.4</v>
      </c>
      <c r="K5241" s="7">
        <v>44009578</v>
      </c>
      <c r="L5241" s="6" t="str">
        <f t="shared" ref="L5241:L5272" si="508">B5241&amp;" "&amp;C5241&amp;" "&amp;D5241&amp;" "&amp;G5241&amp;"x"&amp;H5241</f>
        <v>DR  ETHNO ZEN  YOLLUK 80x300</v>
      </c>
      <c r="M5241" s="12">
        <v>0</v>
      </c>
      <c r="N5241" s="12">
        <v>0</v>
      </c>
      <c r="O5241" s="8">
        <v>8877.6</v>
      </c>
      <c r="P5241" s="8">
        <f t="shared" si="505"/>
        <v>8877.6</v>
      </c>
      <c r="Q5241" s="12">
        <f t="shared" si="506"/>
        <v>18642.960000000003</v>
      </c>
      <c r="R5241" s="31">
        <f t="shared" si="507"/>
        <v>18600</v>
      </c>
      <c r="T5241" s="12"/>
      <c r="U5241" s="8">
        <v>17600</v>
      </c>
      <c r="W5241" s="8">
        <f t="shared" si="469"/>
        <v>22194</v>
      </c>
    </row>
    <row r="5242" spans="1:23" ht="21.95" customHeight="1" x14ac:dyDescent="0.2">
      <c r="A5242" s="6" t="s">
        <v>1431</v>
      </c>
      <c r="B5242" s="6" t="s">
        <v>1584</v>
      </c>
      <c r="C5242" s="6" t="s">
        <v>1436</v>
      </c>
      <c r="D5242" s="6" t="s">
        <v>1433</v>
      </c>
      <c r="G5242" s="6">
        <v>100</v>
      </c>
      <c r="H5242" s="6">
        <v>200</v>
      </c>
      <c r="J5242" s="16">
        <f t="shared" si="504"/>
        <v>2</v>
      </c>
      <c r="K5242" s="7">
        <v>44009579</v>
      </c>
      <c r="L5242" s="6" t="str">
        <f t="shared" si="508"/>
        <v>DR  ETHNO ZEN  YOLLUK 100x200</v>
      </c>
      <c r="M5242" s="12">
        <v>0</v>
      </c>
      <c r="N5242" s="12">
        <v>0</v>
      </c>
      <c r="O5242" s="8">
        <v>7398</v>
      </c>
      <c r="P5242" s="8">
        <f t="shared" si="505"/>
        <v>7398</v>
      </c>
      <c r="Q5242" s="12">
        <f t="shared" si="506"/>
        <v>15535.800000000001</v>
      </c>
      <c r="R5242" s="31">
        <f t="shared" si="507"/>
        <v>15500</v>
      </c>
      <c r="T5242" s="12"/>
      <c r="U5242" s="8">
        <v>20500</v>
      </c>
      <c r="W5242" s="8">
        <f t="shared" si="469"/>
        <v>18495</v>
      </c>
    </row>
    <row r="5243" spans="1:23" ht="21.95" customHeight="1" x14ac:dyDescent="0.2">
      <c r="A5243" s="6" t="s">
        <v>1431</v>
      </c>
      <c r="B5243" s="6" t="s">
        <v>1584</v>
      </c>
      <c r="C5243" s="6" t="s">
        <v>1436</v>
      </c>
      <c r="D5243" s="6" t="s">
        <v>1433</v>
      </c>
      <c r="G5243" s="6">
        <v>100</v>
      </c>
      <c r="H5243" s="6">
        <v>300</v>
      </c>
      <c r="J5243" s="16">
        <f t="shared" si="504"/>
        <v>3</v>
      </c>
      <c r="K5243" s="7">
        <v>44009580</v>
      </c>
      <c r="L5243" s="6" t="str">
        <f t="shared" si="508"/>
        <v>DR  ETHNO ZEN  YOLLUK 100x300</v>
      </c>
      <c r="M5243" s="12">
        <v>0</v>
      </c>
      <c r="N5243" s="12">
        <v>0</v>
      </c>
      <c r="O5243" s="8">
        <v>11097</v>
      </c>
      <c r="P5243" s="8">
        <f t="shared" si="505"/>
        <v>11097</v>
      </c>
      <c r="Q5243" s="12">
        <f t="shared" si="506"/>
        <v>23303.7</v>
      </c>
      <c r="R5243" s="31">
        <f t="shared" si="507"/>
        <v>23300</v>
      </c>
      <c r="T5243" s="12"/>
      <c r="U5243" s="8">
        <v>21900</v>
      </c>
      <c r="W5243" s="8">
        <f t="shared" si="469"/>
        <v>27742.5</v>
      </c>
    </row>
    <row r="5244" spans="1:23" ht="21.95" customHeight="1" x14ac:dyDescent="0.2">
      <c r="A5244" s="6" t="s">
        <v>1431</v>
      </c>
      <c r="B5244" s="6" t="s">
        <v>1584</v>
      </c>
      <c r="C5244" s="6" t="s">
        <v>1436</v>
      </c>
      <c r="D5244" s="5" t="s">
        <v>1431</v>
      </c>
      <c r="G5244" s="6">
        <v>130</v>
      </c>
      <c r="H5244" s="6">
        <v>190</v>
      </c>
      <c r="J5244" s="16">
        <f t="shared" si="504"/>
        <v>2.4700000000000002</v>
      </c>
      <c r="K5244" s="7">
        <v>44009581</v>
      </c>
      <c r="L5244" s="6" t="str">
        <f t="shared" si="508"/>
        <v>DR  ETHNO ZEN  HALI  130x190</v>
      </c>
      <c r="M5244" s="12">
        <v>0</v>
      </c>
      <c r="N5244" s="12">
        <v>0</v>
      </c>
      <c r="O5244" s="8">
        <v>9136.5300000000007</v>
      </c>
      <c r="P5244" s="8">
        <f t="shared" si="505"/>
        <v>9136.5300000000007</v>
      </c>
      <c r="Q5244" s="12">
        <f t="shared" si="506"/>
        <v>19186.713000000003</v>
      </c>
      <c r="R5244" s="31">
        <f t="shared" si="507"/>
        <v>19100</v>
      </c>
      <c r="T5244" s="12"/>
      <c r="U5244" s="8">
        <v>23400</v>
      </c>
      <c r="W5244" s="8">
        <f t="shared" si="469"/>
        <v>22841.325000000001</v>
      </c>
    </row>
    <row r="5245" spans="1:23" ht="21.95" customHeight="1" x14ac:dyDescent="0.2">
      <c r="A5245" s="6" t="s">
        <v>1431</v>
      </c>
      <c r="B5245" s="6" t="s">
        <v>1584</v>
      </c>
      <c r="C5245" s="6" t="s">
        <v>1436</v>
      </c>
      <c r="D5245" s="5" t="s">
        <v>1431</v>
      </c>
      <c r="G5245" s="6">
        <v>160</v>
      </c>
      <c r="H5245" s="6">
        <v>240</v>
      </c>
      <c r="J5245" s="16">
        <f t="shared" si="504"/>
        <v>3.84</v>
      </c>
      <c r="K5245" s="7">
        <v>44009582</v>
      </c>
      <c r="L5245" s="6" t="str">
        <f t="shared" si="508"/>
        <v>DR  ETHNO ZEN  HALI  160x240</v>
      </c>
      <c r="M5245" s="12">
        <v>0</v>
      </c>
      <c r="N5245" s="12">
        <v>0</v>
      </c>
      <c r="O5245" s="8">
        <v>14204.160000000002</v>
      </c>
      <c r="P5245" s="8">
        <f t="shared" si="505"/>
        <v>14204.160000000002</v>
      </c>
      <c r="Q5245" s="12">
        <f t="shared" si="506"/>
        <v>29828.736000000004</v>
      </c>
      <c r="R5245" s="31">
        <f t="shared" si="507"/>
        <v>29800</v>
      </c>
      <c r="T5245" s="12"/>
      <c r="U5245" s="8">
        <v>26300</v>
      </c>
      <c r="W5245" s="8">
        <f t="shared" si="469"/>
        <v>35510.400000000001</v>
      </c>
    </row>
    <row r="5246" spans="1:23" ht="21.95" customHeight="1" x14ac:dyDescent="0.2">
      <c r="A5246" s="6" t="s">
        <v>1431</v>
      </c>
      <c r="B5246" s="6" t="s">
        <v>1584</v>
      </c>
      <c r="C5246" s="6" t="s">
        <v>1436</v>
      </c>
      <c r="D5246" s="5" t="s">
        <v>1431</v>
      </c>
      <c r="G5246" s="6">
        <v>200</v>
      </c>
      <c r="H5246" s="6">
        <v>300</v>
      </c>
      <c r="J5246" s="16">
        <f t="shared" si="504"/>
        <v>6</v>
      </c>
      <c r="K5246" s="7">
        <v>44009583</v>
      </c>
      <c r="L5246" s="6" t="str">
        <f t="shared" si="508"/>
        <v>DR  ETHNO ZEN  HALI  200x300</v>
      </c>
      <c r="M5246" s="12">
        <v>0</v>
      </c>
      <c r="N5246" s="12">
        <v>0</v>
      </c>
      <c r="O5246" s="8">
        <v>22194</v>
      </c>
      <c r="P5246" s="8">
        <f t="shared" si="505"/>
        <v>22194</v>
      </c>
      <c r="Q5246" s="12">
        <f t="shared" si="506"/>
        <v>46607.4</v>
      </c>
      <c r="R5246" s="31">
        <f t="shared" si="507"/>
        <v>46600</v>
      </c>
      <c r="T5246" s="12"/>
      <c r="U5246" s="8">
        <v>15800</v>
      </c>
      <c r="W5246" s="8">
        <f t="shared" si="469"/>
        <v>55485</v>
      </c>
    </row>
    <row r="5247" spans="1:23" ht="21.95" customHeight="1" x14ac:dyDescent="0.2">
      <c r="A5247" s="6" t="s">
        <v>1431</v>
      </c>
      <c r="B5247" s="6" t="s">
        <v>1584</v>
      </c>
      <c r="C5247" s="6" t="s">
        <v>1436</v>
      </c>
      <c r="D5247" s="5" t="s">
        <v>1431</v>
      </c>
      <c r="G5247" s="6">
        <v>240</v>
      </c>
      <c r="H5247" s="6">
        <v>340</v>
      </c>
      <c r="J5247" s="16">
        <f t="shared" si="504"/>
        <v>8.16</v>
      </c>
      <c r="K5247" s="7">
        <v>44009584</v>
      </c>
      <c r="L5247" s="6" t="str">
        <f t="shared" si="508"/>
        <v>DR  ETHNO ZEN  HALI  240x340</v>
      </c>
      <c r="M5247" s="12">
        <v>0</v>
      </c>
      <c r="N5247" s="12">
        <v>0</v>
      </c>
      <c r="O5247" s="8">
        <v>30183.84</v>
      </c>
      <c r="P5247" s="8">
        <f t="shared" si="505"/>
        <v>30183.84</v>
      </c>
      <c r="Q5247" s="12">
        <f t="shared" si="506"/>
        <v>63386.064000000006</v>
      </c>
      <c r="R5247" s="31">
        <f t="shared" si="507"/>
        <v>63300</v>
      </c>
      <c r="T5247" s="12"/>
      <c r="U5247" s="8">
        <v>12200</v>
      </c>
      <c r="W5247" s="8">
        <f t="shared" si="469"/>
        <v>75459.600000000006</v>
      </c>
    </row>
    <row r="5248" spans="1:23" ht="21.95" customHeight="1" x14ac:dyDescent="0.2">
      <c r="A5248" s="6" t="s">
        <v>1431</v>
      </c>
      <c r="B5248" s="6" t="s">
        <v>1584</v>
      </c>
      <c r="C5248" s="6" t="s">
        <v>1436</v>
      </c>
      <c r="D5248" s="5" t="s">
        <v>1431</v>
      </c>
      <c r="G5248" s="6">
        <v>300</v>
      </c>
      <c r="H5248" s="6">
        <v>400</v>
      </c>
      <c r="J5248" s="16">
        <f t="shared" si="504"/>
        <v>12</v>
      </c>
      <c r="K5248" s="7">
        <v>44009585</v>
      </c>
      <c r="L5248" s="6" t="str">
        <f t="shared" si="508"/>
        <v>DR  ETHNO ZEN  HALI  300x400</v>
      </c>
      <c r="M5248" s="12">
        <v>0</v>
      </c>
      <c r="N5248" s="12">
        <v>0</v>
      </c>
      <c r="O5248" s="8">
        <v>44388</v>
      </c>
      <c r="P5248" s="8">
        <f t="shared" si="505"/>
        <v>44388</v>
      </c>
      <c r="Q5248" s="12">
        <f t="shared" si="506"/>
        <v>93214.8</v>
      </c>
      <c r="R5248" s="31">
        <f t="shared" si="507"/>
        <v>93200</v>
      </c>
      <c r="T5248" s="12"/>
      <c r="U5248" s="8">
        <v>12800</v>
      </c>
      <c r="W5248" s="8">
        <f t="shared" si="469"/>
        <v>110970</v>
      </c>
    </row>
    <row r="5249" spans="1:23" ht="21.95" customHeight="1" x14ac:dyDescent="0.2">
      <c r="A5249" s="6" t="s">
        <v>1431</v>
      </c>
      <c r="B5249" s="6" t="s">
        <v>1584</v>
      </c>
      <c r="C5249" s="6" t="s">
        <v>1437</v>
      </c>
      <c r="D5249" s="6" t="s">
        <v>1438</v>
      </c>
      <c r="G5249" s="6">
        <v>90</v>
      </c>
      <c r="H5249" s="6">
        <v>150</v>
      </c>
      <c r="J5249" s="16">
        <f t="shared" ref="J5249:J5280" si="509">G5249*H5249/10000</f>
        <v>1.35</v>
      </c>
      <c r="K5249" s="7">
        <v>44009586</v>
      </c>
      <c r="L5249" s="6" t="str">
        <f t="shared" si="508"/>
        <v>DR  OTANTİK  YOLLUK  90x150</v>
      </c>
      <c r="M5249" s="12">
        <v>0</v>
      </c>
      <c r="N5249" s="12">
        <v>0</v>
      </c>
      <c r="O5249" s="8">
        <v>4183.6500000000005</v>
      </c>
      <c r="P5249" s="8">
        <f t="shared" si="505"/>
        <v>4183.6500000000005</v>
      </c>
      <c r="Q5249" s="12">
        <f t="shared" ref="Q5249:Q5280" si="510">O5249*2.1</f>
        <v>8785.6650000000009</v>
      </c>
      <c r="R5249" s="31">
        <f t="shared" si="507"/>
        <v>8700</v>
      </c>
      <c r="T5249" s="12"/>
      <c r="U5249" s="8">
        <v>12900</v>
      </c>
      <c r="W5249" s="8">
        <f t="shared" si="469"/>
        <v>10459.125000000002</v>
      </c>
    </row>
    <row r="5250" spans="1:23" ht="21.95" customHeight="1" x14ac:dyDescent="0.2">
      <c r="A5250" s="6" t="s">
        <v>1431</v>
      </c>
      <c r="B5250" s="6" t="s">
        <v>1584</v>
      </c>
      <c r="C5250" s="6" t="s">
        <v>1437</v>
      </c>
      <c r="D5250" s="6" t="s">
        <v>1438</v>
      </c>
      <c r="G5250" s="6">
        <v>90</v>
      </c>
      <c r="H5250" s="6">
        <v>300</v>
      </c>
      <c r="J5250" s="16">
        <f t="shared" si="509"/>
        <v>2.7</v>
      </c>
      <c r="K5250" s="7">
        <v>44009587</v>
      </c>
      <c r="L5250" s="6" t="str">
        <f t="shared" si="508"/>
        <v>DR  OTANTİK  YOLLUK  90x300</v>
      </c>
      <c r="M5250" s="12">
        <v>0</v>
      </c>
      <c r="N5250" s="12">
        <v>0</v>
      </c>
      <c r="O5250" s="8">
        <v>8367.3000000000011</v>
      </c>
      <c r="P5250" s="8">
        <f t="shared" si="505"/>
        <v>8367.3000000000011</v>
      </c>
      <c r="Q5250" s="12">
        <f t="shared" si="510"/>
        <v>17571.330000000002</v>
      </c>
      <c r="R5250" s="31">
        <f t="shared" si="507"/>
        <v>17500</v>
      </c>
      <c r="T5250" s="12"/>
      <c r="U5250" s="8">
        <v>15500</v>
      </c>
      <c r="W5250" s="8">
        <f t="shared" si="469"/>
        <v>20918.250000000004</v>
      </c>
    </row>
    <row r="5251" spans="1:23" ht="21.95" customHeight="1" x14ac:dyDescent="0.2">
      <c r="A5251" s="6" t="s">
        <v>1431</v>
      </c>
      <c r="B5251" s="6" t="s">
        <v>1584</v>
      </c>
      <c r="C5251" s="6" t="s">
        <v>1437</v>
      </c>
      <c r="D5251" s="6" t="s">
        <v>1431</v>
      </c>
      <c r="G5251" s="6">
        <v>120</v>
      </c>
      <c r="H5251" s="6">
        <v>180</v>
      </c>
      <c r="J5251" s="16">
        <f t="shared" si="509"/>
        <v>2.16</v>
      </c>
      <c r="K5251" s="7">
        <v>44009588</v>
      </c>
      <c r="L5251" s="6" t="str">
        <f t="shared" si="508"/>
        <v>DR  OTANTİK  HALI  120x180</v>
      </c>
      <c r="M5251" s="12">
        <v>0</v>
      </c>
      <c r="N5251" s="12">
        <v>0</v>
      </c>
      <c r="O5251" s="8">
        <v>6693.84</v>
      </c>
      <c r="P5251" s="8">
        <f t="shared" si="505"/>
        <v>6693.84</v>
      </c>
      <c r="Q5251" s="12">
        <f t="shared" si="510"/>
        <v>14057.064</v>
      </c>
      <c r="R5251" s="31">
        <f t="shared" si="507"/>
        <v>14000</v>
      </c>
      <c r="T5251" s="12"/>
      <c r="U5251" s="8">
        <v>18100</v>
      </c>
      <c r="W5251" s="8">
        <f t="shared" si="469"/>
        <v>16734.599999999999</v>
      </c>
    </row>
    <row r="5252" spans="1:23" ht="21.95" customHeight="1" x14ac:dyDescent="0.2">
      <c r="A5252" s="6" t="s">
        <v>1431</v>
      </c>
      <c r="B5252" s="6" t="s">
        <v>1584</v>
      </c>
      <c r="C5252" s="6" t="s">
        <v>1437</v>
      </c>
      <c r="D5252" s="6" t="s">
        <v>1431</v>
      </c>
      <c r="G5252" s="6">
        <v>160</v>
      </c>
      <c r="H5252" s="6">
        <v>230</v>
      </c>
      <c r="J5252" s="16">
        <f t="shared" si="509"/>
        <v>3.68</v>
      </c>
      <c r="K5252" s="7">
        <v>44009589</v>
      </c>
      <c r="L5252" s="6" t="str">
        <f t="shared" si="508"/>
        <v>DR  OTANTİK  HALI  160x230</v>
      </c>
      <c r="M5252" s="12">
        <v>0</v>
      </c>
      <c r="N5252" s="12">
        <v>0</v>
      </c>
      <c r="O5252" s="8">
        <v>11404.32</v>
      </c>
      <c r="P5252" s="8">
        <f t="shared" si="505"/>
        <v>11404.32</v>
      </c>
      <c r="Q5252" s="12">
        <f t="shared" si="510"/>
        <v>23949.072</v>
      </c>
      <c r="R5252" s="31">
        <f t="shared" si="507"/>
        <v>23900</v>
      </c>
      <c r="T5252" s="12"/>
      <c r="U5252" s="8">
        <v>19400</v>
      </c>
      <c r="W5252" s="8">
        <f t="shared" si="469"/>
        <v>28510.799999999999</v>
      </c>
    </row>
    <row r="5253" spans="1:23" ht="21.95" customHeight="1" x14ac:dyDescent="0.2">
      <c r="A5253" s="6" t="s">
        <v>1431</v>
      </c>
      <c r="B5253" s="6" t="s">
        <v>1584</v>
      </c>
      <c r="C5253" s="6" t="s">
        <v>1437</v>
      </c>
      <c r="D5253" s="6" t="s">
        <v>1431</v>
      </c>
      <c r="G5253" s="6">
        <v>200</v>
      </c>
      <c r="H5253" s="6">
        <v>300</v>
      </c>
      <c r="J5253" s="16">
        <f t="shared" si="509"/>
        <v>6</v>
      </c>
      <c r="K5253" s="7">
        <v>44009590</v>
      </c>
      <c r="L5253" s="6" t="str">
        <f t="shared" si="508"/>
        <v>DR  OTANTİK  HALI  200x300</v>
      </c>
      <c r="M5253" s="12">
        <v>0</v>
      </c>
      <c r="N5253" s="12">
        <v>0</v>
      </c>
      <c r="O5253" s="8">
        <v>18594</v>
      </c>
      <c r="P5253" s="8">
        <f t="shared" si="505"/>
        <v>18594</v>
      </c>
      <c r="Q5253" s="12">
        <f t="shared" si="510"/>
        <v>39047.4</v>
      </c>
      <c r="R5253" s="31">
        <f t="shared" si="507"/>
        <v>39000</v>
      </c>
      <c r="T5253" s="12"/>
      <c r="U5253" s="8">
        <v>20700</v>
      </c>
      <c r="W5253" s="8">
        <f t="shared" si="469"/>
        <v>46485</v>
      </c>
    </row>
    <row r="5254" spans="1:23" ht="21.95" customHeight="1" x14ac:dyDescent="0.2">
      <c r="A5254" s="6" t="s">
        <v>1431</v>
      </c>
      <c r="B5254" s="6" t="s">
        <v>1584</v>
      </c>
      <c r="C5254" s="6" t="s">
        <v>1437</v>
      </c>
      <c r="D5254" s="6" t="s">
        <v>1431</v>
      </c>
      <c r="G5254" s="6">
        <v>240</v>
      </c>
      <c r="H5254" s="6">
        <v>340</v>
      </c>
      <c r="J5254" s="16">
        <f t="shared" si="509"/>
        <v>8.16</v>
      </c>
      <c r="K5254" s="7">
        <v>44009591</v>
      </c>
      <c r="L5254" s="6" t="str">
        <f t="shared" si="508"/>
        <v>DR  OTANTİK  HALI  240x340</v>
      </c>
      <c r="M5254" s="12">
        <v>0</v>
      </c>
      <c r="N5254" s="12">
        <v>0</v>
      </c>
      <c r="O5254" s="8">
        <v>25287.84</v>
      </c>
      <c r="P5254" s="8">
        <f t="shared" si="505"/>
        <v>25287.84</v>
      </c>
      <c r="Q5254" s="12">
        <f t="shared" si="510"/>
        <v>53104.464</v>
      </c>
      <c r="R5254" s="31">
        <f t="shared" si="507"/>
        <v>53100</v>
      </c>
      <c r="T5254" s="12"/>
      <c r="U5254" s="8">
        <v>23300</v>
      </c>
      <c r="W5254" s="8">
        <f t="shared" si="469"/>
        <v>63219.6</v>
      </c>
    </row>
    <row r="5255" spans="1:23" ht="21.95" customHeight="1" x14ac:dyDescent="0.2">
      <c r="A5255" s="6" t="s">
        <v>1431</v>
      </c>
      <c r="B5255" s="6" t="s">
        <v>1584</v>
      </c>
      <c r="C5255" s="6" t="s">
        <v>1437</v>
      </c>
      <c r="D5255" s="6" t="s">
        <v>1431</v>
      </c>
      <c r="G5255" s="6">
        <v>300</v>
      </c>
      <c r="H5255" s="6">
        <v>400</v>
      </c>
      <c r="J5255" s="16">
        <f t="shared" si="509"/>
        <v>12</v>
      </c>
      <c r="K5255" s="7">
        <v>44009592</v>
      </c>
      <c r="L5255" s="6" t="str">
        <f t="shared" si="508"/>
        <v>DR  OTANTİK  HALI  300x400</v>
      </c>
      <c r="M5255" s="12">
        <v>0</v>
      </c>
      <c r="N5255" s="12">
        <v>0</v>
      </c>
      <c r="O5255" s="8">
        <v>37188</v>
      </c>
      <c r="P5255" s="8">
        <f t="shared" si="505"/>
        <v>37188</v>
      </c>
      <c r="Q5255" s="12">
        <f t="shared" si="510"/>
        <v>78094.8</v>
      </c>
      <c r="R5255" s="31">
        <f t="shared" si="507"/>
        <v>78000</v>
      </c>
      <c r="T5255" s="12"/>
      <c r="U5255" s="8">
        <v>6800</v>
      </c>
      <c r="W5255" s="8">
        <f t="shared" si="469"/>
        <v>92970</v>
      </c>
    </row>
    <row r="5256" spans="1:23" ht="21.95" customHeight="1" x14ac:dyDescent="0.2">
      <c r="A5256" s="6" t="s">
        <v>1431</v>
      </c>
      <c r="B5256" s="6" t="s">
        <v>1584</v>
      </c>
      <c r="C5256" s="6" t="s">
        <v>1439</v>
      </c>
      <c r="D5256" s="6" t="s">
        <v>1438</v>
      </c>
      <c r="G5256" s="6">
        <v>80</v>
      </c>
      <c r="H5256" s="6">
        <v>150</v>
      </c>
      <c r="J5256" s="16">
        <f t="shared" si="509"/>
        <v>1.2</v>
      </c>
      <c r="K5256" s="7">
        <v>44009593</v>
      </c>
      <c r="L5256" s="6" t="str">
        <f t="shared" si="508"/>
        <v>DR  ESTELLA  YOLLUK  80x150</v>
      </c>
      <c r="M5256" s="12">
        <v>0</v>
      </c>
      <c r="N5256" s="12">
        <v>0</v>
      </c>
      <c r="O5256" s="8">
        <v>2938.7999999999997</v>
      </c>
      <c r="P5256" s="8">
        <f t="shared" si="505"/>
        <v>2938.7999999999997</v>
      </c>
      <c r="Q5256" s="12">
        <f t="shared" si="510"/>
        <v>6171.48</v>
      </c>
      <c r="R5256" s="31">
        <f t="shared" si="507"/>
        <v>6100</v>
      </c>
      <c r="T5256" s="12"/>
      <c r="U5256" s="8">
        <v>6800</v>
      </c>
      <c r="W5256" s="8">
        <f t="shared" si="469"/>
        <v>7346.9999999999991</v>
      </c>
    </row>
    <row r="5257" spans="1:23" ht="21.95" customHeight="1" x14ac:dyDescent="0.2">
      <c r="A5257" s="6" t="s">
        <v>1431</v>
      </c>
      <c r="B5257" s="6" t="s">
        <v>1584</v>
      </c>
      <c r="C5257" s="6" t="s">
        <v>1439</v>
      </c>
      <c r="D5257" s="6" t="s">
        <v>1438</v>
      </c>
      <c r="G5257" s="6">
        <v>80</v>
      </c>
      <c r="H5257" s="6">
        <v>300</v>
      </c>
      <c r="J5257" s="16">
        <f t="shared" si="509"/>
        <v>2.4</v>
      </c>
      <c r="K5257" s="7">
        <v>44009594</v>
      </c>
      <c r="L5257" s="6" t="str">
        <f t="shared" si="508"/>
        <v>DR  ESTELLA  YOLLUK  80x300</v>
      </c>
      <c r="M5257" s="12">
        <v>0</v>
      </c>
      <c r="N5257" s="12">
        <v>0</v>
      </c>
      <c r="O5257" s="8">
        <v>5877.5999999999995</v>
      </c>
      <c r="P5257" s="8">
        <f t="shared" si="505"/>
        <v>5877.5999999999995</v>
      </c>
      <c r="Q5257" s="12">
        <f t="shared" si="510"/>
        <v>12342.96</v>
      </c>
      <c r="R5257" s="31">
        <f t="shared" si="507"/>
        <v>12300</v>
      </c>
      <c r="T5257" s="12"/>
      <c r="U5257" s="8">
        <v>6900</v>
      </c>
      <c r="W5257" s="8">
        <f t="shared" si="469"/>
        <v>14693.999999999998</v>
      </c>
    </row>
    <row r="5258" spans="1:23" ht="21.95" customHeight="1" x14ac:dyDescent="0.2">
      <c r="A5258" s="6" t="s">
        <v>1431</v>
      </c>
      <c r="B5258" s="6" t="s">
        <v>1584</v>
      </c>
      <c r="C5258" s="6" t="s">
        <v>1439</v>
      </c>
      <c r="D5258" s="6" t="s">
        <v>1431</v>
      </c>
      <c r="G5258" s="6">
        <v>120</v>
      </c>
      <c r="H5258" s="6">
        <v>180</v>
      </c>
      <c r="J5258" s="16">
        <f t="shared" si="509"/>
        <v>2.16</v>
      </c>
      <c r="K5258" s="7">
        <v>44009595</v>
      </c>
      <c r="L5258" s="6" t="str">
        <f t="shared" si="508"/>
        <v>DR  ESTELLA  HALI  120x180</v>
      </c>
      <c r="M5258" s="12">
        <v>0</v>
      </c>
      <c r="N5258" s="12">
        <v>0</v>
      </c>
      <c r="O5258" s="8">
        <v>5289.84</v>
      </c>
      <c r="P5258" s="8">
        <f t="shared" si="505"/>
        <v>5289.84</v>
      </c>
      <c r="Q5258" s="12">
        <f t="shared" si="510"/>
        <v>11108.664000000001</v>
      </c>
      <c r="R5258" s="31">
        <f t="shared" si="507"/>
        <v>11100</v>
      </c>
      <c r="T5258" s="12"/>
      <c r="U5258" s="8">
        <v>8300</v>
      </c>
      <c r="W5258" s="8">
        <f t="shared" si="469"/>
        <v>13224.6</v>
      </c>
    </row>
    <row r="5259" spans="1:23" ht="21.95" customHeight="1" x14ac:dyDescent="0.2">
      <c r="A5259" s="6" t="s">
        <v>1431</v>
      </c>
      <c r="B5259" s="6" t="s">
        <v>1584</v>
      </c>
      <c r="C5259" s="6" t="s">
        <v>1439</v>
      </c>
      <c r="D5259" s="6" t="s">
        <v>1431</v>
      </c>
      <c r="G5259" s="6">
        <v>160</v>
      </c>
      <c r="H5259" s="6">
        <v>230</v>
      </c>
      <c r="J5259" s="16">
        <f t="shared" si="509"/>
        <v>3.68</v>
      </c>
      <c r="K5259" s="7">
        <v>44009596</v>
      </c>
      <c r="L5259" s="6" t="str">
        <f t="shared" si="508"/>
        <v>DR  ESTELLA  HALI  160x230</v>
      </c>
      <c r="M5259" s="12">
        <v>0</v>
      </c>
      <c r="N5259" s="12">
        <v>0</v>
      </c>
      <c r="O5259" s="8">
        <v>9012.32</v>
      </c>
      <c r="P5259" s="8">
        <f t="shared" si="505"/>
        <v>9012.32</v>
      </c>
      <c r="Q5259" s="12">
        <f t="shared" si="510"/>
        <v>18925.871999999999</v>
      </c>
      <c r="R5259" s="31">
        <f t="shared" si="507"/>
        <v>18900</v>
      </c>
      <c r="T5259" s="12"/>
      <c r="U5259" s="8">
        <v>9600</v>
      </c>
      <c r="W5259" s="8">
        <f t="shared" si="469"/>
        <v>22530.799999999999</v>
      </c>
    </row>
    <row r="5260" spans="1:23" ht="21.95" customHeight="1" x14ac:dyDescent="0.2">
      <c r="A5260" s="6" t="s">
        <v>1431</v>
      </c>
      <c r="B5260" s="6" t="s">
        <v>1584</v>
      </c>
      <c r="C5260" s="6" t="s">
        <v>1439</v>
      </c>
      <c r="D5260" s="6" t="s">
        <v>1431</v>
      </c>
      <c r="G5260" s="6">
        <v>200</v>
      </c>
      <c r="H5260" s="6">
        <v>300</v>
      </c>
      <c r="J5260" s="16">
        <f t="shared" si="509"/>
        <v>6</v>
      </c>
      <c r="K5260" s="7">
        <v>44009597</v>
      </c>
      <c r="L5260" s="6" t="str">
        <f t="shared" si="508"/>
        <v>DR  ESTELLA  HALI  200x300</v>
      </c>
      <c r="M5260" s="12">
        <v>0</v>
      </c>
      <c r="N5260" s="12">
        <v>0</v>
      </c>
      <c r="O5260" s="8">
        <v>14694</v>
      </c>
      <c r="P5260" s="8">
        <f t="shared" si="505"/>
        <v>14694</v>
      </c>
      <c r="Q5260" s="12">
        <f t="shared" si="510"/>
        <v>30857.4</v>
      </c>
      <c r="R5260" s="31">
        <f t="shared" si="507"/>
        <v>30800</v>
      </c>
      <c r="T5260" s="12"/>
      <c r="U5260" s="8">
        <v>10300</v>
      </c>
      <c r="W5260" s="8">
        <f t="shared" si="469"/>
        <v>36735</v>
      </c>
    </row>
    <row r="5261" spans="1:23" ht="21.95" customHeight="1" x14ac:dyDescent="0.2">
      <c r="A5261" s="6" t="s">
        <v>1431</v>
      </c>
      <c r="B5261" s="6" t="s">
        <v>1584</v>
      </c>
      <c r="C5261" s="6" t="s">
        <v>1439</v>
      </c>
      <c r="D5261" s="6" t="s">
        <v>1431</v>
      </c>
      <c r="G5261" s="6">
        <v>240</v>
      </c>
      <c r="H5261" s="6">
        <v>340</v>
      </c>
      <c r="J5261" s="16">
        <f t="shared" si="509"/>
        <v>8.16</v>
      </c>
      <c r="K5261" s="7">
        <v>44009598</v>
      </c>
      <c r="L5261" s="6" t="str">
        <f t="shared" si="508"/>
        <v>DR  ESTELLA  HALI  240x340</v>
      </c>
      <c r="M5261" s="12">
        <v>0</v>
      </c>
      <c r="N5261" s="12">
        <v>0</v>
      </c>
      <c r="O5261" s="8">
        <v>19983.84</v>
      </c>
      <c r="P5261" s="8">
        <f t="shared" si="505"/>
        <v>19983.84</v>
      </c>
      <c r="Q5261" s="12">
        <f t="shared" si="510"/>
        <v>41966.063999999998</v>
      </c>
      <c r="R5261" s="31">
        <f t="shared" si="507"/>
        <v>41900</v>
      </c>
      <c r="T5261" s="12"/>
      <c r="U5261" s="8">
        <v>11000</v>
      </c>
      <c r="W5261" s="8">
        <f t="shared" si="469"/>
        <v>49959.6</v>
      </c>
    </row>
    <row r="5262" spans="1:23" ht="21.95" customHeight="1" x14ac:dyDescent="0.2">
      <c r="A5262" s="6" t="s">
        <v>1431</v>
      </c>
      <c r="B5262" s="6" t="s">
        <v>1584</v>
      </c>
      <c r="C5262" s="6" t="s">
        <v>1439</v>
      </c>
      <c r="D5262" s="6" t="s">
        <v>1431</v>
      </c>
      <c r="G5262" s="6">
        <v>300</v>
      </c>
      <c r="H5262" s="6">
        <v>400</v>
      </c>
      <c r="J5262" s="16">
        <f t="shared" si="509"/>
        <v>12</v>
      </c>
      <c r="K5262" s="7">
        <v>44009599</v>
      </c>
      <c r="L5262" s="6" t="str">
        <f t="shared" si="508"/>
        <v>DR  ESTELLA  HALI  300x400</v>
      </c>
      <c r="M5262" s="12">
        <v>0</v>
      </c>
      <c r="N5262" s="12">
        <v>0</v>
      </c>
      <c r="O5262" s="8">
        <v>29388</v>
      </c>
      <c r="P5262" s="8">
        <f t="shared" si="505"/>
        <v>29388</v>
      </c>
      <c r="Q5262" s="12">
        <f t="shared" si="510"/>
        <v>61714.8</v>
      </c>
      <c r="R5262" s="31">
        <f t="shared" si="507"/>
        <v>61700</v>
      </c>
      <c r="T5262" s="12"/>
      <c r="U5262" s="8">
        <v>12400</v>
      </c>
      <c r="W5262" s="8">
        <f t="shared" si="469"/>
        <v>73470</v>
      </c>
    </row>
    <row r="5263" spans="1:23" ht="21.95" customHeight="1" x14ac:dyDescent="0.2">
      <c r="A5263" s="6" t="s">
        <v>1431</v>
      </c>
      <c r="B5263" s="6" t="s">
        <v>1584</v>
      </c>
      <c r="C5263" s="6" t="s">
        <v>1440</v>
      </c>
      <c r="D5263" s="6" t="s">
        <v>1438</v>
      </c>
      <c r="G5263" s="6">
        <v>90</v>
      </c>
      <c r="H5263" s="6">
        <v>150</v>
      </c>
      <c r="J5263" s="16">
        <f t="shared" si="509"/>
        <v>1.35</v>
      </c>
      <c r="K5263" s="7">
        <v>44009600</v>
      </c>
      <c r="L5263" s="6" t="str">
        <f t="shared" si="508"/>
        <v>DR  BABIL  YOLLUK  90x150</v>
      </c>
      <c r="M5263" s="12">
        <v>0</v>
      </c>
      <c r="N5263" s="12">
        <v>0</v>
      </c>
      <c r="O5263" s="8">
        <v>3611.2500000000005</v>
      </c>
      <c r="P5263" s="8">
        <f t="shared" si="505"/>
        <v>3611.2500000000005</v>
      </c>
      <c r="Q5263" s="12">
        <f t="shared" si="510"/>
        <v>7583.6250000000009</v>
      </c>
      <c r="R5263" s="31">
        <f t="shared" si="507"/>
        <v>7500</v>
      </c>
      <c r="T5263" s="12"/>
      <c r="U5263" s="8">
        <v>13800</v>
      </c>
      <c r="W5263" s="8">
        <f t="shared" ref="W5263:W5298" si="511">P5263*2.5</f>
        <v>9028.1250000000018</v>
      </c>
    </row>
    <row r="5264" spans="1:23" ht="21.95" customHeight="1" x14ac:dyDescent="0.2">
      <c r="A5264" s="6" t="s">
        <v>1431</v>
      </c>
      <c r="B5264" s="6" t="s">
        <v>1584</v>
      </c>
      <c r="C5264" s="6" t="s">
        <v>1440</v>
      </c>
      <c r="D5264" s="6" t="s">
        <v>1438</v>
      </c>
      <c r="G5264" s="6">
        <v>90</v>
      </c>
      <c r="H5264" s="6">
        <v>300</v>
      </c>
      <c r="J5264" s="16">
        <f t="shared" si="509"/>
        <v>2.7</v>
      </c>
      <c r="K5264" s="7">
        <v>44009601</v>
      </c>
      <c r="L5264" s="6" t="str">
        <f t="shared" si="508"/>
        <v>DR  BABIL  YOLLUK  90x300</v>
      </c>
      <c r="M5264" s="12">
        <v>0</v>
      </c>
      <c r="N5264" s="12">
        <v>0</v>
      </c>
      <c r="O5264" s="8">
        <v>7222.5000000000009</v>
      </c>
      <c r="P5264" s="8">
        <f t="shared" si="505"/>
        <v>7222.5000000000009</v>
      </c>
      <c r="Q5264" s="12">
        <f t="shared" si="510"/>
        <v>15167.250000000002</v>
      </c>
      <c r="R5264" s="31">
        <f t="shared" si="507"/>
        <v>15100</v>
      </c>
      <c r="T5264" s="12"/>
      <c r="U5264" s="8">
        <v>14500</v>
      </c>
      <c r="W5264" s="8">
        <f t="shared" si="511"/>
        <v>18056.250000000004</v>
      </c>
    </row>
    <row r="5265" spans="1:23" ht="21.95" customHeight="1" x14ac:dyDescent="0.2">
      <c r="A5265" s="6" t="s">
        <v>1431</v>
      </c>
      <c r="B5265" s="6" t="s">
        <v>1584</v>
      </c>
      <c r="C5265" s="6" t="s">
        <v>1440</v>
      </c>
      <c r="D5265" s="6" t="s">
        <v>1431</v>
      </c>
      <c r="G5265" s="6">
        <v>120</v>
      </c>
      <c r="H5265" s="6">
        <v>180</v>
      </c>
      <c r="J5265" s="16">
        <f t="shared" si="509"/>
        <v>2.16</v>
      </c>
      <c r="K5265" s="7">
        <v>44009602</v>
      </c>
      <c r="L5265" s="6" t="str">
        <f t="shared" si="508"/>
        <v>DR  BABIL  HALI  120x180</v>
      </c>
      <c r="M5265" s="12">
        <v>0</v>
      </c>
      <c r="N5265" s="12">
        <v>0</v>
      </c>
      <c r="O5265" s="8">
        <v>5778</v>
      </c>
      <c r="P5265" s="8">
        <f t="shared" si="505"/>
        <v>5778</v>
      </c>
      <c r="Q5265" s="12">
        <f t="shared" si="510"/>
        <v>12133.800000000001</v>
      </c>
      <c r="R5265" s="31">
        <f t="shared" si="507"/>
        <v>12100</v>
      </c>
      <c r="T5265" s="12"/>
      <c r="U5265" s="8">
        <v>14600</v>
      </c>
      <c r="W5265" s="8">
        <f t="shared" si="511"/>
        <v>14445</v>
      </c>
    </row>
    <row r="5266" spans="1:23" ht="21.95" customHeight="1" x14ac:dyDescent="0.2">
      <c r="A5266" s="6" t="s">
        <v>1431</v>
      </c>
      <c r="B5266" s="6" t="s">
        <v>1584</v>
      </c>
      <c r="C5266" s="6" t="s">
        <v>1440</v>
      </c>
      <c r="D5266" s="6" t="s">
        <v>1431</v>
      </c>
      <c r="G5266" s="6">
        <v>160</v>
      </c>
      <c r="H5266" s="6">
        <v>230</v>
      </c>
      <c r="J5266" s="16">
        <f t="shared" si="509"/>
        <v>3.68</v>
      </c>
      <c r="K5266" s="7">
        <v>44009603</v>
      </c>
      <c r="L5266" s="6" t="str">
        <f t="shared" si="508"/>
        <v>DR  BABIL  HALI  160x230</v>
      </c>
      <c r="M5266" s="12">
        <v>0</v>
      </c>
      <c r="N5266" s="12">
        <v>0</v>
      </c>
      <c r="O5266" s="8">
        <v>9844</v>
      </c>
      <c r="P5266" s="8">
        <f t="shared" si="505"/>
        <v>9844</v>
      </c>
      <c r="Q5266" s="12">
        <f t="shared" si="510"/>
        <v>20672.400000000001</v>
      </c>
      <c r="R5266" s="31">
        <f t="shared" si="507"/>
        <v>20600</v>
      </c>
      <c r="T5266" s="12"/>
      <c r="U5266" s="8">
        <v>17600</v>
      </c>
      <c r="W5266" s="8">
        <f t="shared" si="511"/>
        <v>24610</v>
      </c>
    </row>
    <row r="5267" spans="1:23" ht="21.95" customHeight="1" x14ac:dyDescent="0.2">
      <c r="A5267" s="6" t="s">
        <v>1431</v>
      </c>
      <c r="B5267" s="6" t="s">
        <v>1584</v>
      </c>
      <c r="C5267" s="6" t="s">
        <v>1440</v>
      </c>
      <c r="D5267" s="6" t="s">
        <v>1431</v>
      </c>
      <c r="G5267" s="6">
        <v>200</v>
      </c>
      <c r="H5267" s="6">
        <v>300</v>
      </c>
      <c r="J5267" s="16">
        <f t="shared" si="509"/>
        <v>6</v>
      </c>
      <c r="K5267" s="7">
        <v>44009604</v>
      </c>
      <c r="L5267" s="6" t="str">
        <f t="shared" si="508"/>
        <v>DR  BABIL  HALI  200x300</v>
      </c>
      <c r="M5267" s="12">
        <v>0</v>
      </c>
      <c r="N5267" s="12">
        <v>0</v>
      </c>
      <c r="O5267" s="8">
        <v>16050</v>
      </c>
      <c r="P5267" s="8">
        <f t="shared" si="505"/>
        <v>16050</v>
      </c>
      <c r="Q5267" s="12">
        <f t="shared" si="510"/>
        <v>33705</v>
      </c>
      <c r="R5267" s="31">
        <f t="shared" si="507"/>
        <v>33700</v>
      </c>
      <c r="T5267" s="12"/>
      <c r="U5267" s="8">
        <v>20500</v>
      </c>
      <c r="W5267" s="8">
        <f t="shared" si="511"/>
        <v>40125</v>
      </c>
    </row>
    <row r="5268" spans="1:23" ht="21.95" customHeight="1" x14ac:dyDescent="0.2">
      <c r="A5268" s="6" t="s">
        <v>1431</v>
      </c>
      <c r="B5268" s="6" t="s">
        <v>1584</v>
      </c>
      <c r="C5268" s="6" t="s">
        <v>1440</v>
      </c>
      <c r="D5268" s="6" t="s">
        <v>1431</v>
      </c>
      <c r="G5268" s="6">
        <v>240</v>
      </c>
      <c r="H5268" s="6">
        <v>340</v>
      </c>
      <c r="J5268" s="16">
        <f t="shared" si="509"/>
        <v>8.16</v>
      </c>
      <c r="K5268" s="7">
        <v>44009605</v>
      </c>
      <c r="L5268" s="6" t="str">
        <f t="shared" si="508"/>
        <v>DR  BABIL  HALI  240x340</v>
      </c>
      <c r="M5268" s="12">
        <v>0</v>
      </c>
      <c r="N5268" s="12">
        <v>0</v>
      </c>
      <c r="O5268" s="8">
        <v>21828</v>
      </c>
      <c r="P5268" s="8">
        <f t="shared" si="505"/>
        <v>21828</v>
      </c>
      <c r="Q5268" s="12">
        <f t="shared" si="510"/>
        <v>45838.8</v>
      </c>
      <c r="R5268" s="31">
        <f t="shared" si="507"/>
        <v>45800</v>
      </c>
      <c r="T5268" s="12"/>
      <c r="U5268" s="8">
        <v>21900</v>
      </c>
      <c r="W5268" s="8">
        <f t="shared" si="511"/>
        <v>54570</v>
      </c>
    </row>
    <row r="5269" spans="1:23" ht="21.95" customHeight="1" x14ac:dyDescent="0.2">
      <c r="A5269" s="6" t="s">
        <v>1431</v>
      </c>
      <c r="B5269" s="6" t="s">
        <v>1584</v>
      </c>
      <c r="C5269" s="6" t="s">
        <v>1440</v>
      </c>
      <c r="D5269" s="6" t="s">
        <v>1431</v>
      </c>
      <c r="G5269" s="6">
        <v>300</v>
      </c>
      <c r="H5269" s="6">
        <v>400</v>
      </c>
      <c r="J5269" s="16">
        <f t="shared" si="509"/>
        <v>12</v>
      </c>
      <c r="K5269" s="7">
        <v>44009606</v>
      </c>
      <c r="L5269" s="6" t="str">
        <f t="shared" si="508"/>
        <v>DR  BABIL  HALI  300x400</v>
      </c>
      <c r="M5269" s="12">
        <v>0</v>
      </c>
      <c r="N5269" s="12">
        <v>0</v>
      </c>
      <c r="O5269" s="8">
        <v>32100</v>
      </c>
      <c r="P5269" s="8">
        <f t="shared" si="505"/>
        <v>32100</v>
      </c>
      <c r="Q5269" s="12">
        <f t="shared" si="510"/>
        <v>67410</v>
      </c>
      <c r="R5269" s="31">
        <f t="shared" si="507"/>
        <v>67400</v>
      </c>
      <c r="T5269" s="12"/>
      <c r="U5269" s="8">
        <v>23400</v>
      </c>
      <c r="W5269" s="8">
        <f t="shared" si="511"/>
        <v>80250</v>
      </c>
    </row>
    <row r="5270" spans="1:23" ht="21.95" customHeight="1" x14ac:dyDescent="0.2">
      <c r="A5270" s="6" t="s">
        <v>1431</v>
      </c>
      <c r="B5270" s="6" t="s">
        <v>1584</v>
      </c>
      <c r="C5270" s="6" t="s">
        <v>1441</v>
      </c>
      <c r="D5270" s="5" t="s">
        <v>1438</v>
      </c>
      <c r="G5270" s="6">
        <v>90</v>
      </c>
      <c r="H5270" s="6">
        <v>150</v>
      </c>
      <c r="J5270" s="16">
        <f t="shared" si="509"/>
        <v>1.35</v>
      </c>
      <c r="K5270" s="7">
        <v>44009607</v>
      </c>
      <c r="L5270" s="6" t="str">
        <f t="shared" si="508"/>
        <v>DR  VALERIAN  YOLLUK  90x150</v>
      </c>
      <c r="M5270" s="12">
        <v>0</v>
      </c>
      <c r="N5270" s="12">
        <v>0</v>
      </c>
      <c r="O5270" s="8">
        <v>3442.5</v>
      </c>
      <c r="P5270" s="8">
        <f t="shared" si="505"/>
        <v>3442.5</v>
      </c>
      <c r="Q5270" s="12">
        <f t="shared" si="510"/>
        <v>7229.25</v>
      </c>
      <c r="R5270" s="31">
        <f t="shared" si="507"/>
        <v>7200</v>
      </c>
      <c r="T5270" s="12"/>
      <c r="U5270" s="8">
        <v>26300</v>
      </c>
      <c r="W5270" s="8">
        <f t="shared" si="511"/>
        <v>8606.25</v>
      </c>
    </row>
    <row r="5271" spans="1:23" ht="21.95" customHeight="1" x14ac:dyDescent="0.2">
      <c r="A5271" s="6" t="s">
        <v>1431</v>
      </c>
      <c r="B5271" s="6" t="s">
        <v>1584</v>
      </c>
      <c r="C5271" s="6" t="s">
        <v>1441</v>
      </c>
      <c r="D5271" s="6" t="s">
        <v>1438</v>
      </c>
      <c r="G5271" s="6">
        <v>90</v>
      </c>
      <c r="H5271" s="6">
        <v>300</v>
      </c>
      <c r="J5271" s="16">
        <f t="shared" si="509"/>
        <v>2.7</v>
      </c>
      <c r="K5271" s="7">
        <v>44009608</v>
      </c>
      <c r="L5271" s="6" t="str">
        <f t="shared" si="508"/>
        <v>DR  VALERIAN  YOLLUK  90x300</v>
      </c>
      <c r="M5271" s="12">
        <v>0</v>
      </c>
      <c r="N5271" s="12">
        <v>0</v>
      </c>
      <c r="O5271" s="8">
        <v>6885</v>
      </c>
      <c r="P5271" s="8">
        <f t="shared" si="505"/>
        <v>6885</v>
      </c>
      <c r="Q5271" s="12">
        <f t="shared" si="510"/>
        <v>14458.5</v>
      </c>
      <c r="R5271" s="31">
        <f t="shared" si="507"/>
        <v>14400</v>
      </c>
      <c r="T5271" s="12"/>
      <c r="U5271" s="8">
        <v>19300</v>
      </c>
      <c r="W5271" s="8">
        <f t="shared" si="511"/>
        <v>17212.5</v>
      </c>
    </row>
    <row r="5272" spans="1:23" ht="21.95" customHeight="1" x14ac:dyDescent="0.2">
      <c r="A5272" s="6" t="s">
        <v>1431</v>
      </c>
      <c r="B5272" s="6" t="s">
        <v>1584</v>
      </c>
      <c r="C5272" s="6" t="s">
        <v>1441</v>
      </c>
      <c r="D5272" s="6" t="s">
        <v>1431</v>
      </c>
      <c r="G5272" s="6">
        <v>130</v>
      </c>
      <c r="H5272" s="6">
        <v>190</v>
      </c>
      <c r="J5272" s="16">
        <f t="shared" si="509"/>
        <v>2.4700000000000002</v>
      </c>
      <c r="K5272" s="7">
        <v>44009609</v>
      </c>
      <c r="L5272" s="6" t="str">
        <f t="shared" si="508"/>
        <v>DR  VALERIAN  HALI  130x190</v>
      </c>
      <c r="M5272" s="12">
        <v>0</v>
      </c>
      <c r="N5272" s="12">
        <v>0</v>
      </c>
      <c r="O5272" s="8">
        <v>6298.5000000000009</v>
      </c>
      <c r="P5272" s="8">
        <f t="shared" si="505"/>
        <v>6298.5000000000009</v>
      </c>
      <c r="Q5272" s="12">
        <f t="shared" si="510"/>
        <v>13226.850000000002</v>
      </c>
      <c r="R5272" s="31">
        <f t="shared" si="507"/>
        <v>13200</v>
      </c>
      <c r="T5272" s="12"/>
      <c r="U5272" s="8">
        <v>13800</v>
      </c>
      <c r="W5272" s="8">
        <f t="shared" si="511"/>
        <v>15746.250000000002</v>
      </c>
    </row>
    <row r="5273" spans="1:23" ht="21.95" customHeight="1" x14ac:dyDescent="0.2">
      <c r="A5273" s="6" t="s">
        <v>1431</v>
      </c>
      <c r="B5273" s="6" t="s">
        <v>1584</v>
      </c>
      <c r="C5273" s="6" t="s">
        <v>1441</v>
      </c>
      <c r="D5273" s="6" t="s">
        <v>1431</v>
      </c>
      <c r="G5273" s="6">
        <v>170</v>
      </c>
      <c r="H5273" s="6">
        <v>240</v>
      </c>
      <c r="J5273" s="16">
        <f t="shared" si="509"/>
        <v>4.08</v>
      </c>
      <c r="K5273" s="7">
        <v>44009610</v>
      </c>
      <c r="L5273" s="6" t="str">
        <f t="shared" ref="L5273:L5304" si="512">B5273&amp;" "&amp;C5273&amp;" "&amp;D5273&amp;" "&amp;G5273&amp;"x"&amp;H5273</f>
        <v>DR  VALERIAN  HALI  170x240</v>
      </c>
      <c r="M5273" s="12">
        <v>0</v>
      </c>
      <c r="N5273" s="12">
        <v>0</v>
      </c>
      <c r="O5273" s="8">
        <v>10404</v>
      </c>
      <c r="P5273" s="8">
        <f t="shared" si="505"/>
        <v>10404</v>
      </c>
      <c r="Q5273" s="12">
        <f t="shared" si="510"/>
        <v>21848.400000000001</v>
      </c>
      <c r="R5273" s="31">
        <f t="shared" si="507"/>
        <v>21800</v>
      </c>
      <c r="T5273" s="12"/>
      <c r="U5273" s="8">
        <v>14800</v>
      </c>
      <c r="W5273" s="8">
        <f t="shared" si="511"/>
        <v>26010</v>
      </c>
    </row>
    <row r="5274" spans="1:23" ht="21.95" customHeight="1" x14ac:dyDescent="0.2">
      <c r="A5274" s="6" t="s">
        <v>1431</v>
      </c>
      <c r="B5274" s="6" t="s">
        <v>1584</v>
      </c>
      <c r="C5274" s="6" t="s">
        <v>1441</v>
      </c>
      <c r="D5274" s="6" t="s">
        <v>1431</v>
      </c>
      <c r="G5274" s="6">
        <v>200</v>
      </c>
      <c r="H5274" s="6">
        <v>300</v>
      </c>
      <c r="J5274" s="16">
        <f t="shared" si="509"/>
        <v>6</v>
      </c>
      <c r="K5274" s="7">
        <v>44009611</v>
      </c>
      <c r="L5274" s="6" t="str">
        <f t="shared" si="512"/>
        <v>DR  VALERIAN  HALI  200x300</v>
      </c>
      <c r="M5274" s="12">
        <v>0</v>
      </c>
      <c r="N5274" s="12">
        <v>0</v>
      </c>
      <c r="O5274" s="8">
        <v>15300</v>
      </c>
      <c r="P5274" s="8">
        <f t="shared" si="505"/>
        <v>15300</v>
      </c>
      <c r="Q5274" s="12">
        <f t="shared" si="510"/>
        <v>32130</v>
      </c>
      <c r="R5274" s="31">
        <f t="shared" si="507"/>
        <v>32100</v>
      </c>
      <c r="T5274" s="12"/>
      <c r="U5274" s="8">
        <v>15800</v>
      </c>
      <c r="W5274" s="8">
        <f t="shared" si="511"/>
        <v>38250</v>
      </c>
    </row>
    <row r="5275" spans="1:23" ht="21.95" customHeight="1" x14ac:dyDescent="0.2">
      <c r="A5275" s="6" t="s">
        <v>1431</v>
      </c>
      <c r="B5275" s="6" t="s">
        <v>1584</v>
      </c>
      <c r="C5275" s="6" t="s">
        <v>1441</v>
      </c>
      <c r="D5275" s="6" t="s">
        <v>1431</v>
      </c>
      <c r="G5275" s="6">
        <v>240</v>
      </c>
      <c r="H5275" s="6">
        <v>340</v>
      </c>
      <c r="J5275" s="16">
        <f t="shared" si="509"/>
        <v>8.16</v>
      </c>
      <c r="K5275" s="7">
        <v>44009612</v>
      </c>
      <c r="L5275" s="6" t="str">
        <f t="shared" si="512"/>
        <v>DR  VALERIAN  HALI  240x340</v>
      </c>
      <c r="M5275" s="12">
        <v>0</v>
      </c>
      <c r="N5275" s="12">
        <v>0</v>
      </c>
      <c r="O5275" s="8">
        <v>20808</v>
      </c>
      <c r="P5275" s="8">
        <f t="shared" si="505"/>
        <v>20808</v>
      </c>
      <c r="Q5275" s="12">
        <f t="shared" si="510"/>
        <v>43696.800000000003</v>
      </c>
      <c r="R5275" s="31">
        <f t="shared" si="507"/>
        <v>43600</v>
      </c>
      <c r="T5275" s="12"/>
      <c r="U5275" s="8">
        <v>17800</v>
      </c>
      <c r="W5275" s="8">
        <f t="shared" si="511"/>
        <v>52020</v>
      </c>
    </row>
    <row r="5276" spans="1:23" ht="21.95" customHeight="1" x14ac:dyDescent="0.2">
      <c r="A5276" s="6" t="s">
        <v>1431</v>
      </c>
      <c r="B5276" s="6" t="s">
        <v>1584</v>
      </c>
      <c r="C5276" s="6" t="s">
        <v>1441</v>
      </c>
      <c r="D5276" s="6" t="s">
        <v>1431</v>
      </c>
      <c r="G5276" s="6">
        <v>300</v>
      </c>
      <c r="H5276" s="6">
        <v>400</v>
      </c>
      <c r="J5276" s="16">
        <f t="shared" si="509"/>
        <v>12</v>
      </c>
      <c r="K5276" s="7">
        <v>44009613</v>
      </c>
      <c r="L5276" s="6" t="str">
        <f t="shared" si="512"/>
        <v>DR  VALERIAN  HALI  300x400</v>
      </c>
      <c r="M5276" s="12">
        <v>0</v>
      </c>
      <c r="N5276" s="12">
        <v>0</v>
      </c>
      <c r="O5276" s="8">
        <v>30600</v>
      </c>
      <c r="P5276" s="8">
        <f t="shared" si="505"/>
        <v>30600</v>
      </c>
      <c r="Q5276" s="12">
        <f t="shared" si="510"/>
        <v>64260</v>
      </c>
      <c r="R5276" s="31">
        <f t="shared" si="507"/>
        <v>64200</v>
      </c>
      <c r="T5276" s="12"/>
      <c r="U5276" s="8">
        <v>33300</v>
      </c>
      <c r="W5276" s="8">
        <f t="shared" si="511"/>
        <v>76500</v>
      </c>
    </row>
    <row r="5277" spans="1:23" ht="21.95" customHeight="1" x14ac:dyDescent="0.2">
      <c r="A5277" s="6" t="s">
        <v>1431</v>
      </c>
      <c r="B5277" s="6" t="s">
        <v>1584</v>
      </c>
      <c r="C5277" s="6" t="s">
        <v>1442</v>
      </c>
      <c r="D5277" s="6" t="s">
        <v>1438</v>
      </c>
      <c r="G5277" s="6">
        <v>90</v>
      </c>
      <c r="H5277" s="6">
        <v>150</v>
      </c>
      <c r="J5277" s="16">
        <f t="shared" si="509"/>
        <v>1.35</v>
      </c>
      <c r="K5277" s="7">
        <v>44009614</v>
      </c>
      <c r="L5277" s="6" t="str">
        <f t="shared" si="512"/>
        <v>DR  LONDON  YOLLUK  90x150</v>
      </c>
      <c r="M5277" s="12">
        <v>0</v>
      </c>
      <c r="N5277" s="12">
        <v>0</v>
      </c>
      <c r="O5277" s="8">
        <v>3373.65</v>
      </c>
      <c r="P5277" s="8">
        <f t="shared" si="505"/>
        <v>3373.65</v>
      </c>
      <c r="Q5277" s="12">
        <f t="shared" si="510"/>
        <v>7084.6650000000009</v>
      </c>
      <c r="R5277" s="31">
        <f t="shared" si="507"/>
        <v>7000</v>
      </c>
      <c r="T5277" s="12"/>
      <c r="U5277" s="8">
        <v>35600</v>
      </c>
      <c r="W5277" s="8">
        <f t="shared" si="511"/>
        <v>8434.125</v>
      </c>
    </row>
    <row r="5278" spans="1:23" ht="21.95" customHeight="1" x14ac:dyDescent="0.2">
      <c r="A5278" s="6" t="s">
        <v>1431</v>
      </c>
      <c r="B5278" s="6" t="s">
        <v>1584</v>
      </c>
      <c r="C5278" s="6" t="s">
        <v>1442</v>
      </c>
      <c r="D5278" s="6" t="s">
        <v>1438</v>
      </c>
      <c r="G5278" s="6">
        <v>90</v>
      </c>
      <c r="H5278" s="6">
        <v>300</v>
      </c>
      <c r="J5278" s="16">
        <f t="shared" si="509"/>
        <v>2.7</v>
      </c>
      <c r="K5278" s="7">
        <v>44009615</v>
      </c>
      <c r="L5278" s="6" t="str">
        <f t="shared" si="512"/>
        <v>DR  LONDON  YOLLUK  90x300</v>
      </c>
      <c r="M5278" s="12">
        <v>0</v>
      </c>
      <c r="N5278" s="12">
        <v>0</v>
      </c>
      <c r="O5278" s="8">
        <v>6747.3</v>
      </c>
      <c r="P5278" s="8">
        <f t="shared" si="505"/>
        <v>6747.3</v>
      </c>
      <c r="Q5278" s="12">
        <f t="shared" si="510"/>
        <v>14169.330000000002</v>
      </c>
      <c r="R5278" s="31">
        <f t="shared" si="507"/>
        <v>14100</v>
      </c>
      <c r="T5278" s="12"/>
      <c r="U5278" s="8">
        <v>38000</v>
      </c>
      <c r="W5278" s="8">
        <f t="shared" si="511"/>
        <v>16868.25</v>
      </c>
    </row>
    <row r="5279" spans="1:23" ht="21.95" customHeight="1" x14ac:dyDescent="0.2">
      <c r="A5279" s="6" t="s">
        <v>1431</v>
      </c>
      <c r="B5279" s="6" t="s">
        <v>1584</v>
      </c>
      <c r="C5279" s="6" t="s">
        <v>1442</v>
      </c>
      <c r="D5279" s="6" t="s">
        <v>1431</v>
      </c>
      <c r="G5279" s="6">
        <v>120</v>
      </c>
      <c r="H5279" s="6">
        <v>180</v>
      </c>
      <c r="J5279" s="16">
        <f t="shared" si="509"/>
        <v>2.16</v>
      </c>
      <c r="K5279" s="7">
        <v>44009616</v>
      </c>
      <c r="L5279" s="6" t="str">
        <f t="shared" si="512"/>
        <v>DR  LONDON  HALI  120x180</v>
      </c>
      <c r="M5279" s="12">
        <v>0</v>
      </c>
      <c r="N5279" s="12">
        <v>0</v>
      </c>
      <c r="O5279" s="8">
        <v>5397.84</v>
      </c>
      <c r="P5279" s="8">
        <f t="shared" si="505"/>
        <v>5397.84</v>
      </c>
      <c r="Q5279" s="12">
        <f t="shared" si="510"/>
        <v>11335.464</v>
      </c>
      <c r="R5279" s="31">
        <f t="shared" si="507"/>
        <v>11300</v>
      </c>
      <c r="T5279" s="12"/>
      <c r="U5279" s="8">
        <v>42800</v>
      </c>
      <c r="W5279" s="8">
        <f t="shared" si="511"/>
        <v>13494.6</v>
      </c>
    </row>
    <row r="5280" spans="1:23" ht="21.95" customHeight="1" x14ac:dyDescent="0.2">
      <c r="A5280" s="6" t="s">
        <v>1431</v>
      </c>
      <c r="B5280" s="6" t="s">
        <v>1584</v>
      </c>
      <c r="C5280" s="6" t="s">
        <v>1442</v>
      </c>
      <c r="D5280" s="6" t="s">
        <v>1431</v>
      </c>
      <c r="G5280" s="6">
        <v>160</v>
      </c>
      <c r="H5280" s="6">
        <v>230</v>
      </c>
      <c r="J5280" s="16">
        <f t="shared" si="509"/>
        <v>3.68</v>
      </c>
      <c r="K5280" s="7">
        <v>44009617</v>
      </c>
      <c r="L5280" s="6" t="str">
        <f t="shared" si="512"/>
        <v>DR  LONDON  HALI  160x230</v>
      </c>
      <c r="M5280" s="12">
        <v>0</v>
      </c>
      <c r="N5280" s="12">
        <v>0</v>
      </c>
      <c r="O5280" s="8">
        <v>9196.32</v>
      </c>
      <c r="P5280" s="8">
        <f t="shared" si="505"/>
        <v>9196.32</v>
      </c>
      <c r="Q5280" s="12">
        <f t="shared" si="510"/>
        <v>19312.272000000001</v>
      </c>
      <c r="R5280" s="31">
        <f t="shared" si="507"/>
        <v>19300</v>
      </c>
      <c r="T5280" s="12"/>
      <c r="U5280" s="8">
        <v>19100</v>
      </c>
      <c r="W5280" s="8">
        <f t="shared" si="511"/>
        <v>22990.799999999999</v>
      </c>
    </row>
    <row r="5281" spans="1:23" ht="21.95" customHeight="1" x14ac:dyDescent="0.2">
      <c r="A5281" s="6" t="s">
        <v>1431</v>
      </c>
      <c r="B5281" s="6" t="s">
        <v>1584</v>
      </c>
      <c r="C5281" s="6" t="s">
        <v>1442</v>
      </c>
      <c r="D5281" s="6" t="s">
        <v>1431</v>
      </c>
      <c r="G5281" s="6">
        <v>200</v>
      </c>
      <c r="H5281" s="6">
        <v>300</v>
      </c>
      <c r="J5281" s="16">
        <f t="shared" ref="J5281:J5312" si="513">G5281*H5281/10000</f>
        <v>6</v>
      </c>
      <c r="K5281" s="7">
        <v>44009618</v>
      </c>
      <c r="L5281" s="6" t="str">
        <f t="shared" si="512"/>
        <v>DR  LONDON  HALI  200x300</v>
      </c>
      <c r="M5281" s="12">
        <v>0</v>
      </c>
      <c r="N5281" s="12">
        <v>0</v>
      </c>
      <c r="O5281" s="8">
        <v>14994</v>
      </c>
      <c r="P5281" s="8">
        <f t="shared" ref="P5281:P5344" si="514">O5281*(1-N5281)</f>
        <v>14994</v>
      </c>
      <c r="Q5281" s="12">
        <f t="shared" ref="Q5281:Q5312" si="515">O5281*2.1</f>
        <v>31487.4</v>
      </c>
      <c r="R5281" s="31">
        <f t="shared" ref="R5281:R5344" si="516">ROUNDDOWN(Q5281,-2)</f>
        <v>31400</v>
      </c>
      <c r="T5281" s="12"/>
      <c r="U5281" s="8">
        <v>20400</v>
      </c>
      <c r="W5281" s="8">
        <f t="shared" si="511"/>
        <v>37485</v>
      </c>
    </row>
    <row r="5282" spans="1:23" ht="21.95" customHeight="1" x14ac:dyDescent="0.2">
      <c r="A5282" s="6" t="s">
        <v>1431</v>
      </c>
      <c r="B5282" s="6" t="s">
        <v>1584</v>
      </c>
      <c r="C5282" s="6" t="s">
        <v>1442</v>
      </c>
      <c r="D5282" s="6" t="s">
        <v>1431</v>
      </c>
      <c r="G5282" s="6">
        <v>240</v>
      </c>
      <c r="H5282" s="6">
        <v>340</v>
      </c>
      <c r="J5282" s="16">
        <f t="shared" si="513"/>
        <v>8.16</v>
      </c>
      <c r="K5282" s="7">
        <v>44009619</v>
      </c>
      <c r="L5282" s="6" t="str">
        <f t="shared" si="512"/>
        <v>DR  LONDON  HALI  240x340</v>
      </c>
      <c r="M5282" s="12">
        <v>0</v>
      </c>
      <c r="N5282" s="12">
        <v>0</v>
      </c>
      <c r="O5282" s="8">
        <v>20391.84</v>
      </c>
      <c r="P5282" s="8">
        <f t="shared" si="514"/>
        <v>20391.84</v>
      </c>
      <c r="Q5282" s="12">
        <f t="shared" si="515"/>
        <v>42822.864000000001</v>
      </c>
      <c r="R5282" s="31">
        <f t="shared" si="516"/>
        <v>42800</v>
      </c>
      <c r="T5282" s="12"/>
      <c r="U5282" s="8">
        <v>21800</v>
      </c>
      <c r="W5282" s="8">
        <f t="shared" si="511"/>
        <v>50979.6</v>
      </c>
    </row>
    <row r="5283" spans="1:23" ht="21.95" customHeight="1" x14ac:dyDescent="0.2">
      <c r="A5283" s="6" t="s">
        <v>1431</v>
      </c>
      <c r="B5283" s="6" t="s">
        <v>1584</v>
      </c>
      <c r="C5283" s="6" t="s">
        <v>1442</v>
      </c>
      <c r="D5283" s="6" t="s">
        <v>1431</v>
      </c>
      <c r="G5283" s="6">
        <v>300</v>
      </c>
      <c r="H5283" s="6">
        <v>400</v>
      </c>
      <c r="J5283" s="16">
        <f t="shared" si="513"/>
        <v>12</v>
      </c>
      <c r="K5283" s="7">
        <v>44009620</v>
      </c>
      <c r="L5283" s="6" t="str">
        <f t="shared" si="512"/>
        <v>DR  LONDON  HALI  300x400</v>
      </c>
      <c r="M5283" s="12">
        <v>0</v>
      </c>
      <c r="N5283" s="12">
        <v>0</v>
      </c>
      <c r="O5283" s="8">
        <v>29988</v>
      </c>
      <c r="P5283" s="8">
        <f t="shared" si="514"/>
        <v>29988</v>
      </c>
      <c r="Q5283" s="12">
        <f t="shared" si="515"/>
        <v>62974.8</v>
      </c>
      <c r="R5283" s="31">
        <f t="shared" si="516"/>
        <v>62900</v>
      </c>
      <c r="T5283" s="12"/>
      <c r="U5283" s="8">
        <v>24500</v>
      </c>
      <c r="W5283" s="8">
        <f t="shared" si="511"/>
        <v>74970</v>
      </c>
    </row>
    <row r="5284" spans="1:23" ht="21.95" customHeight="1" x14ac:dyDescent="0.2">
      <c r="A5284" s="6" t="s">
        <v>1431</v>
      </c>
      <c r="B5284" s="6" t="s">
        <v>1584</v>
      </c>
      <c r="C5284" s="6" t="s">
        <v>1026</v>
      </c>
      <c r="D5284" s="6" t="s">
        <v>1438</v>
      </c>
      <c r="G5284" s="6">
        <v>80</v>
      </c>
      <c r="H5284" s="6">
        <v>150</v>
      </c>
      <c r="J5284" s="16">
        <f t="shared" si="513"/>
        <v>1.2</v>
      </c>
      <c r="K5284" s="7">
        <v>44009621</v>
      </c>
      <c r="L5284" s="6" t="str">
        <f t="shared" si="512"/>
        <v>DR  MODA  YOLLUK  80x150</v>
      </c>
      <c r="M5284" s="12">
        <v>0</v>
      </c>
      <c r="N5284" s="12">
        <v>0</v>
      </c>
      <c r="O5284" s="8">
        <v>2578.7999999999997</v>
      </c>
      <c r="P5284" s="8">
        <f t="shared" si="514"/>
        <v>2578.7999999999997</v>
      </c>
      <c r="Q5284" s="12">
        <f t="shared" si="515"/>
        <v>5415.48</v>
      </c>
      <c r="R5284" s="31">
        <f t="shared" si="516"/>
        <v>5400</v>
      </c>
      <c r="T5284" s="12"/>
      <c r="U5284" s="8">
        <v>19300</v>
      </c>
      <c r="W5284" s="8">
        <f t="shared" si="511"/>
        <v>6446.9999999999991</v>
      </c>
    </row>
    <row r="5285" spans="1:23" ht="21.95" customHeight="1" x14ac:dyDescent="0.2">
      <c r="A5285" s="6" t="s">
        <v>1431</v>
      </c>
      <c r="B5285" s="6" t="s">
        <v>1584</v>
      </c>
      <c r="C5285" s="6" t="s">
        <v>1026</v>
      </c>
      <c r="D5285" s="6" t="s">
        <v>1438</v>
      </c>
      <c r="G5285" s="6">
        <v>80</v>
      </c>
      <c r="H5285" s="6">
        <v>300</v>
      </c>
      <c r="J5285" s="16">
        <f t="shared" si="513"/>
        <v>2.4</v>
      </c>
      <c r="K5285" s="7">
        <v>44009622</v>
      </c>
      <c r="L5285" s="6" t="str">
        <f t="shared" si="512"/>
        <v>DR  MODA  YOLLUK  80x300</v>
      </c>
      <c r="M5285" s="12">
        <v>0</v>
      </c>
      <c r="N5285" s="12">
        <v>0</v>
      </c>
      <c r="O5285" s="8">
        <v>5157.5999999999995</v>
      </c>
      <c r="P5285" s="8">
        <f t="shared" si="514"/>
        <v>5157.5999999999995</v>
      </c>
      <c r="Q5285" s="12">
        <f t="shared" si="515"/>
        <v>10830.96</v>
      </c>
      <c r="R5285" s="31">
        <f t="shared" si="516"/>
        <v>10800</v>
      </c>
      <c r="T5285" s="12"/>
      <c r="U5285" s="8">
        <v>69300</v>
      </c>
    </row>
    <row r="5286" spans="1:23" ht="21.95" customHeight="1" x14ac:dyDescent="0.2">
      <c r="A5286" s="6" t="s">
        <v>1431</v>
      </c>
      <c r="B5286" s="6" t="s">
        <v>1584</v>
      </c>
      <c r="C5286" s="6" t="s">
        <v>1026</v>
      </c>
      <c r="D5286" s="6" t="s">
        <v>1438</v>
      </c>
      <c r="G5286" s="6">
        <v>100</v>
      </c>
      <c r="H5286" s="6">
        <v>200</v>
      </c>
      <c r="J5286" s="16">
        <f t="shared" si="513"/>
        <v>2</v>
      </c>
      <c r="K5286" s="7">
        <v>44009623</v>
      </c>
      <c r="L5286" s="6" t="str">
        <f t="shared" si="512"/>
        <v>DR  MODA  YOLLUK  100x200</v>
      </c>
      <c r="M5286" s="12">
        <v>0</v>
      </c>
      <c r="N5286" s="12">
        <v>0</v>
      </c>
      <c r="O5286" s="8">
        <v>4298</v>
      </c>
      <c r="P5286" s="8">
        <f t="shared" si="514"/>
        <v>4298</v>
      </c>
      <c r="Q5286" s="12">
        <f t="shared" si="515"/>
        <v>9025.8000000000011</v>
      </c>
      <c r="R5286" s="31">
        <f t="shared" si="516"/>
        <v>9000</v>
      </c>
      <c r="T5286" s="12"/>
      <c r="U5286" s="8">
        <v>74200</v>
      </c>
    </row>
    <row r="5287" spans="1:23" ht="21.95" customHeight="1" x14ac:dyDescent="0.2">
      <c r="A5287" s="6" t="s">
        <v>1431</v>
      </c>
      <c r="B5287" s="6" t="s">
        <v>1584</v>
      </c>
      <c r="C5287" s="6" t="s">
        <v>1026</v>
      </c>
      <c r="D5287" s="6" t="s">
        <v>1438</v>
      </c>
      <c r="G5287" s="6">
        <v>100</v>
      </c>
      <c r="H5287" s="6">
        <v>300</v>
      </c>
      <c r="J5287" s="16">
        <f t="shared" si="513"/>
        <v>3</v>
      </c>
      <c r="K5287" s="7">
        <v>44009624</v>
      </c>
      <c r="L5287" s="6" t="str">
        <f t="shared" si="512"/>
        <v>DR  MODA  YOLLUK  100x300</v>
      </c>
      <c r="M5287" s="12">
        <v>0</v>
      </c>
      <c r="N5287" s="12">
        <v>0</v>
      </c>
      <c r="O5287" s="8">
        <v>6447</v>
      </c>
      <c r="P5287" s="8">
        <f t="shared" si="514"/>
        <v>6447</v>
      </c>
      <c r="Q5287" s="12">
        <f t="shared" si="515"/>
        <v>13538.7</v>
      </c>
      <c r="R5287" s="31">
        <f t="shared" si="516"/>
        <v>13500</v>
      </c>
      <c r="T5287" s="12"/>
      <c r="U5287" s="8">
        <v>79200</v>
      </c>
    </row>
    <row r="5288" spans="1:23" ht="21.95" customHeight="1" x14ac:dyDescent="0.2">
      <c r="A5288" s="6" t="s">
        <v>1431</v>
      </c>
      <c r="B5288" s="6" t="s">
        <v>1584</v>
      </c>
      <c r="C5288" s="6" t="s">
        <v>1026</v>
      </c>
      <c r="D5288" s="6" t="s">
        <v>1431</v>
      </c>
      <c r="G5288" s="6">
        <v>125</v>
      </c>
      <c r="H5288" s="6">
        <v>200</v>
      </c>
      <c r="J5288" s="16">
        <f t="shared" si="513"/>
        <v>2.5</v>
      </c>
      <c r="K5288" s="7">
        <v>44009625</v>
      </c>
      <c r="L5288" s="6" t="str">
        <f t="shared" si="512"/>
        <v>DR  MODA  HALI  125x200</v>
      </c>
      <c r="M5288" s="12">
        <v>0</v>
      </c>
      <c r="N5288" s="12">
        <v>0</v>
      </c>
      <c r="O5288" s="8">
        <v>5372.5</v>
      </c>
      <c r="P5288" s="8">
        <f t="shared" si="514"/>
        <v>5372.5</v>
      </c>
      <c r="Q5288" s="12">
        <f t="shared" si="515"/>
        <v>11282.25</v>
      </c>
      <c r="R5288" s="31">
        <f t="shared" si="516"/>
        <v>11200</v>
      </c>
      <c r="T5288" s="12"/>
      <c r="U5288" s="8">
        <v>89100</v>
      </c>
    </row>
    <row r="5289" spans="1:23" ht="21.95" customHeight="1" x14ac:dyDescent="0.2">
      <c r="A5289" s="6" t="s">
        <v>1431</v>
      </c>
      <c r="B5289" s="6" t="s">
        <v>1584</v>
      </c>
      <c r="C5289" s="6" t="s">
        <v>1026</v>
      </c>
      <c r="D5289" s="6" t="s">
        <v>1431</v>
      </c>
      <c r="G5289" s="6">
        <v>165</v>
      </c>
      <c r="H5289" s="6">
        <v>230</v>
      </c>
      <c r="J5289" s="16">
        <f t="shared" si="513"/>
        <v>3.7949999999999999</v>
      </c>
      <c r="K5289" s="7">
        <v>44009626</v>
      </c>
      <c r="L5289" s="6" t="str">
        <f t="shared" si="512"/>
        <v>DR  MODA  HALI  165x230</v>
      </c>
      <c r="M5289" s="12">
        <v>0</v>
      </c>
      <c r="N5289" s="12">
        <v>0</v>
      </c>
      <c r="O5289" s="8">
        <v>8155.4550000000008</v>
      </c>
      <c r="P5289" s="8">
        <f t="shared" si="514"/>
        <v>8155.4550000000008</v>
      </c>
      <c r="Q5289" s="12">
        <f t="shared" si="515"/>
        <v>17126.455500000004</v>
      </c>
      <c r="R5289" s="31">
        <f t="shared" si="516"/>
        <v>17100</v>
      </c>
      <c r="T5289" s="12"/>
      <c r="U5289" s="8">
        <v>21100</v>
      </c>
    </row>
    <row r="5290" spans="1:23" ht="21.95" customHeight="1" x14ac:dyDescent="0.2">
      <c r="A5290" s="6" t="s">
        <v>1431</v>
      </c>
      <c r="B5290" s="6" t="s">
        <v>1584</v>
      </c>
      <c r="C5290" s="6" t="s">
        <v>1026</v>
      </c>
      <c r="D5290" s="6" t="s">
        <v>1431</v>
      </c>
      <c r="G5290" s="6">
        <v>200</v>
      </c>
      <c r="H5290" s="6">
        <v>290</v>
      </c>
      <c r="J5290" s="16">
        <f t="shared" si="513"/>
        <v>5.8</v>
      </c>
      <c r="K5290" s="7">
        <v>44009627</v>
      </c>
      <c r="L5290" s="6" t="str">
        <f t="shared" si="512"/>
        <v>DR  MODA  HALI  200x290</v>
      </c>
      <c r="M5290" s="12">
        <v>0</v>
      </c>
      <c r="N5290" s="12">
        <v>0</v>
      </c>
      <c r="O5290" s="8">
        <v>12464.2</v>
      </c>
      <c r="P5290" s="8">
        <f t="shared" si="514"/>
        <v>12464.2</v>
      </c>
      <c r="Q5290" s="12">
        <f t="shared" si="515"/>
        <v>26174.820000000003</v>
      </c>
      <c r="R5290" s="31">
        <f t="shared" si="516"/>
        <v>26100</v>
      </c>
      <c r="T5290" s="12"/>
      <c r="U5290" s="8">
        <v>22600</v>
      </c>
    </row>
    <row r="5291" spans="1:23" ht="21.95" customHeight="1" x14ac:dyDescent="0.2">
      <c r="A5291" s="6" t="s">
        <v>1431</v>
      </c>
      <c r="B5291" s="6" t="s">
        <v>1584</v>
      </c>
      <c r="C5291" s="6" t="s">
        <v>1443</v>
      </c>
      <c r="D5291" s="6" t="s">
        <v>1433</v>
      </c>
      <c r="G5291" s="6">
        <v>80</v>
      </c>
      <c r="H5291" s="6">
        <v>150</v>
      </c>
      <c r="J5291" s="16">
        <f t="shared" si="513"/>
        <v>1.2</v>
      </c>
      <c r="K5291" s="7">
        <v>44009628</v>
      </c>
      <c r="L5291" s="6" t="str">
        <f t="shared" si="512"/>
        <v>DR  GODIVA  YOLLUK 80x150</v>
      </c>
      <c r="M5291" s="12">
        <v>0</v>
      </c>
      <c r="N5291" s="12">
        <v>0</v>
      </c>
      <c r="O5291" s="8">
        <v>2638.7999999999997</v>
      </c>
      <c r="P5291" s="8">
        <f t="shared" si="514"/>
        <v>2638.7999999999997</v>
      </c>
      <c r="Q5291" s="12">
        <f t="shared" si="515"/>
        <v>5541.48</v>
      </c>
      <c r="R5291" s="31">
        <f t="shared" si="516"/>
        <v>5500</v>
      </c>
      <c r="T5291" s="12"/>
      <c r="U5291" s="8">
        <v>24100</v>
      </c>
    </row>
    <row r="5292" spans="1:23" ht="21.95" customHeight="1" x14ac:dyDescent="0.2">
      <c r="A5292" s="6" t="s">
        <v>1431</v>
      </c>
      <c r="B5292" s="6" t="s">
        <v>1584</v>
      </c>
      <c r="C5292" s="6" t="s">
        <v>1443</v>
      </c>
      <c r="D5292" s="6" t="s">
        <v>1433</v>
      </c>
      <c r="G5292" s="6">
        <v>80</v>
      </c>
      <c r="H5292" s="6">
        <v>300</v>
      </c>
      <c r="J5292" s="16">
        <f t="shared" si="513"/>
        <v>2.4</v>
      </c>
      <c r="K5292" s="7">
        <v>44009629</v>
      </c>
      <c r="L5292" s="6" t="str">
        <f t="shared" si="512"/>
        <v>DR  GODIVA  YOLLUK 80x300</v>
      </c>
      <c r="M5292" s="12">
        <v>0</v>
      </c>
      <c r="N5292" s="12">
        <v>0</v>
      </c>
      <c r="O5292" s="8">
        <v>5277.5999999999995</v>
      </c>
      <c r="P5292" s="8">
        <f t="shared" si="514"/>
        <v>5277.5999999999995</v>
      </c>
      <c r="Q5292" s="12">
        <f t="shared" si="515"/>
        <v>11082.96</v>
      </c>
      <c r="R5292" s="31">
        <f t="shared" si="516"/>
        <v>11000</v>
      </c>
      <c r="T5292" s="12"/>
      <c r="U5292" s="8">
        <v>27100</v>
      </c>
    </row>
    <row r="5293" spans="1:23" ht="21.95" customHeight="1" x14ac:dyDescent="0.2">
      <c r="A5293" s="6" t="s">
        <v>1431</v>
      </c>
      <c r="B5293" s="6" t="s">
        <v>1584</v>
      </c>
      <c r="C5293" s="6" t="s">
        <v>1443</v>
      </c>
      <c r="D5293" s="6" t="s">
        <v>1433</v>
      </c>
      <c r="G5293" s="6">
        <v>100</v>
      </c>
      <c r="H5293" s="6">
        <v>200</v>
      </c>
      <c r="J5293" s="16">
        <f t="shared" si="513"/>
        <v>2</v>
      </c>
      <c r="K5293" s="7">
        <v>44009630</v>
      </c>
      <c r="L5293" s="6" t="str">
        <f t="shared" si="512"/>
        <v>DR  GODIVA  YOLLUK 100x200</v>
      </c>
      <c r="M5293" s="12">
        <v>0</v>
      </c>
      <c r="N5293" s="12">
        <v>0</v>
      </c>
      <c r="O5293" s="8">
        <v>4398</v>
      </c>
      <c r="P5293" s="8">
        <f t="shared" si="514"/>
        <v>4398</v>
      </c>
      <c r="Q5293" s="12">
        <f t="shared" si="515"/>
        <v>9235.8000000000011</v>
      </c>
      <c r="R5293" s="31">
        <f t="shared" si="516"/>
        <v>9200</v>
      </c>
      <c r="T5293" s="12"/>
      <c r="U5293" s="8">
        <v>19300</v>
      </c>
    </row>
    <row r="5294" spans="1:23" ht="21.95" customHeight="1" x14ac:dyDescent="0.2">
      <c r="A5294" s="6" t="s">
        <v>1431</v>
      </c>
      <c r="B5294" s="6" t="s">
        <v>1584</v>
      </c>
      <c r="C5294" s="6" t="s">
        <v>1443</v>
      </c>
      <c r="D5294" s="6" t="s">
        <v>1433</v>
      </c>
      <c r="G5294" s="6">
        <v>100</v>
      </c>
      <c r="H5294" s="6">
        <v>300</v>
      </c>
      <c r="J5294" s="16">
        <f t="shared" si="513"/>
        <v>3</v>
      </c>
      <c r="K5294" s="7">
        <v>44009631</v>
      </c>
      <c r="L5294" s="6" t="str">
        <f t="shared" si="512"/>
        <v>DR  GODIVA  YOLLUK 100x300</v>
      </c>
      <c r="M5294" s="12">
        <v>0</v>
      </c>
      <c r="N5294" s="12">
        <v>0</v>
      </c>
      <c r="O5294" s="8">
        <v>6597</v>
      </c>
      <c r="P5294" s="8">
        <f t="shared" si="514"/>
        <v>6597</v>
      </c>
      <c r="Q5294" s="12">
        <f t="shared" si="515"/>
        <v>13853.7</v>
      </c>
      <c r="R5294" s="31">
        <f t="shared" si="516"/>
        <v>13800</v>
      </c>
      <c r="T5294" s="12"/>
      <c r="U5294" s="8">
        <v>12200</v>
      </c>
      <c r="W5294" s="8">
        <f t="shared" si="511"/>
        <v>16492.5</v>
      </c>
    </row>
    <row r="5295" spans="1:23" ht="21.95" customHeight="1" x14ac:dyDescent="0.2">
      <c r="A5295" s="6" t="s">
        <v>1431</v>
      </c>
      <c r="B5295" s="6" t="s">
        <v>1584</v>
      </c>
      <c r="C5295" s="6" t="s">
        <v>1443</v>
      </c>
      <c r="D5295" s="6" t="s">
        <v>1431</v>
      </c>
      <c r="G5295" s="6">
        <v>125</v>
      </c>
      <c r="H5295" s="6">
        <v>200</v>
      </c>
      <c r="J5295" s="16">
        <f t="shared" si="513"/>
        <v>2.5</v>
      </c>
      <c r="K5295" s="7">
        <v>44009632</v>
      </c>
      <c r="L5295" s="6" t="str">
        <f t="shared" si="512"/>
        <v>DR  GODIVA  HALI  125x200</v>
      </c>
      <c r="M5295" s="12">
        <v>0</v>
      </c>
      <c r="N5295" s="12">
        <v>0</v>
      </c>
      <c r="O5295" s="8">
        <v>5497.5</v>
      </c>
      <c r="P5295" s="8">
        <f t="shared" si="514"/>
        <v>5497.5</v>
      </c>
      <c r="Q5295" s="12">
        <f t="shared" si="515"/>
        <v>11544.75</v>
      </c>
      <c r="R5295" s="31">
        <f t="shared" si="516"/>
        <v>11500</v>
      </c>
      <c r="T5295" s="12"/>
      <c r="U5295" s="8">
        <v>12900</v>
      </c>
      <c r="W5295" s="8">
        <f t="shared" si="511"/>
        <v>13743.75</v>
      </c>
    </row>
    <row r="5296" spans="1:23" ht="21.95" customHeight="1" x14ac:dyDescent="0.2">
      <c r="A5296" s="6" t="s">
        <v>1431</v>
      </c>
      <c r="B5296" s="6" t="s">
        <v>1584</v>
      </c>
      <c r="C5296" s="6" t="s">
        <v>1443</v>
      </c>
      <c r="D5296" s="6" t="s">
        <v>1431</v>
      </c>
      <c r="G5296" s="6">
        <v>165</v>
      </c>
      <c r="H5296" s="6">
        <v>230</v>
      </c>
      <c r="J5296" s="16">
        <f t="shared" si="513"/>
        <v>3.7949999999999999</v>
      </c>
      <c r="K5296" s="7">
        <v>44009633</v>
      </c>
      <c r="L5296" s="6" t="str">
        <f t="shared" si="512"/>
        <v>DR  GODIVA  HALI  165x230</v>
      </c>
      <c r="M5296" s="12">
        <v>0</v>
      </c>
      <c r="N5296" s="12">
        <v>0</v>
      </c>
      <c r="O5296" s="8">
        <v>8345.2049999999999</v>
      </c>
      <c r="P5296" s="8">
        <f t="shared" si="514"/>
        <v>8345.2049999999999</v>
      </c>
      <c r="Q5296" s="12">
        <f t="shared" si="515"/>
        <v>17524.930500000002</v>
      </c>
      <c r="R5296" s="31">
        <f t="shared" si="516"/>
        <v>17500</v>
      </c>
      <c r="T5296" s="12"/>
      <c r="U5296" s="8">
        <v>13000</v>
      </c>
      <c r="W5296" s="8">
        <f t="shared" si="511"/>
        <v>20863.012500000001</v>
      </c>
    </row>
    <row r="5297" spans="1:23" ht="21.95" customHeight="1" x14ac:dyDescent="0.2">
      <c r="A5297" s="6" t="s">
        <v>1431</v>
      </c>
      <c r="B5297" s="6" t="s">
        <v>1584</v>
      </c>
      <c r="C5297" s="6" t="s">
        <v>1443</v>
      </c>
      <c r="D5297" s="6" t="s">
        <v>1431</v>
      </c>
      <c r="G5297" s="6">
        <v>200</v>
      </c>
      <c r="H5297" s="6">
        <v>290</v>
      </c>
      <c r="J5297" s="16">
        <f t="shared" si="513"/>
        <v>5.8</v>
      </c>
      <c r="K5297" s="7">
        <v>44009634</v>
      </c>
      <c r="L5297" s="6" t="str">
        <f t="shared" si="512"/>
        <v>DR  GODIVA  HALI  200x290</v>
      </c>
      <c r="M5297" s="12">
        <v>0</v>
      </c>
      <c r="N5297" s="12">
        <v>0</v>
      </c>
      <c r="O5297" s="8">
        <v>12754.2</v>
      </c>
      <c r="P5297" s="8">
        <f t="shared" si="514"/>
        <v>12754.2</v>
      </c>
      <c r="Q5297" s="12">
        <f t="shared" si="515"/>
        <v>26783.820000000003</v>
      </c>
      <c r="R5297" s="31">
        <f t="shared" si="516"/>
        <v>26700</v>
      </c>
      <c r="T5297" s="12"/>
      <c r="U5297" s="8">
        <v>15600</v>
      </c>
      <c r="W5297" s="8">
        <f t="shared" si="511"/>
        <v>31885.5</v>
      </c>
    </row>
    <row r="5298" spans="1:23" ht="21.95" customHeight="1" x14ac:dyDescent="0.2">
      <c r="A5298" s="6" t="s">
        <v>1431</v>
      </c>
      <c r="B5298" s="6" t="s">
        <v>1585</v>
      </c>
      <c r="C5298" s="6" t="s">
        <v>1444</v>
      </c>
      <c r="D5298" s="6" t="s">
        <v>1433</v>
      </c>
      <c r="G5298" s="6">
        <v>80</v>
      </c>
      <c r="H5298" s="6">
        <v>150</v>
      </c>
      <c r="J5298" s="17">
        <f t="shared" si="513"/>
        <v>1.2</v>
      </c>
      <c r="K5298" s="7">
        <v>44009635</v>
      </c>
      <c r="L5298" s="6" t="str">
        <f t="shared" si="512"/>
        <v>DL REFLECTION YOLLUK 80x150</v>
      </c>
      <c r="M5298" s="12">
        <v>0</v>
      </c>
      <c r="N5298" s="12">
        <v>0</v>
      </c>
      <c r="O5298" s="8">
        <v>1170</v>
      </c>
      <c r="P5298" s="8">
        <f t="shared" si="514"/>
        <v>1170</v>
      </c>
      <c r="Q5298" s="12">
        <f t="shared" si="515"/>
        <v>2457</v>
      </c>
      <c r="R5298" s="31">
        <f t="shared" si="516"/>
        <v>2400</v>
      </c>
      <c r="T5298" s="12"/>
      <c r="U5298" s="8">
        <v>18200</v>
      </c>
      <c r="W5298" s="8">
        <f t="shared" si="511"/>
        <v>2925</v>
      </c>
    </row>
    <row r="5299" spans="1:23" ht="21.95" customHeight="1" x14ac:dyDescent="0.2">
      <c r="A5299" s="6" t="s">
        <v>1431</v>
      </c>
      <c r="B5299" s="6" t="s">
        <v>1585</v>
      </c>
      <c r="C5299" s="6" t="s">
        <v>1444</v>
      </c>
      <c r="D5299" s="6" t="s">
        <v>1433</v>
      </c>
      <c r="G5299" s="6">
        <v>80</v>
      </c>
      <c r="H5299" s="6">
        <v>300</v>
      </c>
      <c r="J5299" s="17">
        <f t="shared" si="513"/>
        <v>2.4</v>
      </c>
      <c r="K5299" s="7">
        <v>44009636</v>
      </c>
      <c r="L5299" s="6" t="str">
        <f t="shared" si="512"/>
        <v>DL REFLECTION YOLLUK 80x300</v>
      </c>
      <c r="M5299" s="12">
        <v>0</v>
      </c>
      <c r="N5299" s="12">
        <v>0</v>
      </c>
      <c r="O5299" s="8">
        <v>2340</v>
      </c>
      <c r="P5299" s="8">
        <f t="shared" si="514"/>
        <v>2340</v>
      </c>
      <c r="Q5299" s="12">
        <f t="shared" si="515"/>
        <v>4914</v>
      </c>
      <c r="R5299" s="31">
        <f t="shared" si="516"/>
        <v>4900</v>
      </c>
      <c r="T5299" s="12"/>
      <c r="U5299" s="8">
        <v>19500</v>
      </c>
      <c r="W5299" s="8">
        <f t="shared" ref="W5299:W5318" si="517">P5299*2.5</f>
        <v>5850</v>
      </c>
    </row>
    <row r="5300" spans="1:23" ht="21.95" customHeight="1" x14ac:dyDescent="0.2">
      <c r="A5300" s="6" t="s">
        <v>1431</v>
      </c>
      <c r="B5300" s="6" t="s">
        <v>1585</v>
      </c>
      <c r="C5300" s="6" t="s">
        <v>1444</v>
      </c>
      <c r="D5300" s="6" t="s">
        <v>1433</v>
      </c>
      <c r="G5300" s="6">
        <v>100</v>
      </c>
      <c r="H5300" s="6">
        <v>200</v>
      </c>
      <c r="J5300" s="17">
        <f t="shared" si="513"/>
        <v>2</v>
      </c>
      <c r="K5300" s="7">
        <v>44009637</v>
      </c>
      <c r="L5300" s="6" t="str">
        <f t="shared" si="512"/>
        <v>DL REFLECTION YOLLUK 100x200</v>
      </c>
      <c r="M5300" s="12">
        <v>0</v>
      </c>
      <c r="N5300" s="12">
        <v>0</v>
      </c>
      <c r="O5300" s="8">
        <v>1950</v>
      </c>
      <c r="P5300" s="8">
        <f t="shared" si="514"/>
        <v>1950</v>
      </c>
      <c r="Q5300" s="12">
        <f t="shared" si="515"/>
        <v>4095</v>
      </c>
      <c r="R5300" s="31">
        <f t="shared" si="516"/>
        <v>4000</v>
      </c>
      <c r="T5300" s="12"/>
      <c r="U5300" s="8">
        <v>20800</v>
      </c>
      <c r="W5300" s="8">
        <f t="shared" si="517"/>
        <v>4875</v>
      </c>
    </row>
    <row r="5301" spans="1:23" ht="21.95" customHeight="1" x14ac:dyDescent="0.2">
      <c r="A5301" s="6" t="s">
        <v>1431</v>
      </c>
      <c r="B5301" s="6" t="s">
        <v>1585</v>
      </c>
      <c r="C5301" s="6" t="s">
        <v>1444</v>
      </c>
      <c r="D5301" s="6" t="s">
        <v>1433</v>
      </c>
      <c r="G5301" s="6">
        <v>100</v>
      </c>
      <c r="H5301" s="6">
        <v>300</v>
      </c>
      <c r="J5301" s="17">
        <f t="shared" si="513"/>
        <v>3</v>
      </c>
      <c r="K5301" s="7">
        <v>44009638</v>
      </c>
      <c r="L5301" s="6" t="str">
        <f t="shared" si="512"/>
        <v>DL REFLECTION YOLLUK 100x300</v>
      </c>
      <c r="M5301" s="12">
        <v>0</v>
      </c>
      <c r="N5301" s="12">
        <v>0</v>
      </c>
      <c r="O5301" s="8">
        <v>2925</v>
      </c>
      <c r="P5301" s="8">
        <f t="shared" si="514"/>
        <v>2925</v>
      </c>
      <c r="Q5301" s="12">
        <f t="shared" si="515"/>
        <v>6142.5</v>
      </c>
      <c r="R5301" s="31">
        <f t="shared" si="516"/>
        <v>6100</v>
      </c>
      <c r="T5301" s="12"/>
      <c r="U5301" s="8">
        <v>23400</v>
      </c>
      <c r="W5301" s="8">
        <f t="shared" si="517"/>
        <v>7312.5</v>
      </c>
    </row>
    <row r="5302" spans="1:23" ht="21.95" customHeight="1" x14ac:dyDescent="0.2">
      <c r="A5302" s="6" t="s">
        <v>1431</v>
      </c>
      <c r="B5302" s="6" t="s">
        <v>1585</v>
      </c>
      <c r="C5302" s="6" t="s">
        <v>1444</v>
      </c>
      <c r="D5302" s="5" t="s">
        <v>1445</v>
      </c>
      <c r="G5302" s="6">
        <v>125</v>
      </c>
      <c r="H5302" s="6">
        <v>200</v>
      </c>
      <c r="J5302" s="17">
        <f t="shared" si="513"/>
        <v>2.5</v>
      </c>
      <c r="K5302" s="7">
        <v>44009639</v>
      </c>
      <c r="L5302" s="6" t="str">
        <f t="shared" si="512"/>
        <v>DL REFLECTION HALI 125x200</v>
      </c>
      <c r="M5302" s="12">
        <v>0</v>
      </c>
      <c r="N5302" s="12">
        <v>0</v>
      </c>
      <c r="O5302" s="8">
        <v>2437.5</v>
      </c>
      <c r="P5302" s="8">
        <f t="shared" si="514"/>
        <v>2437.5</v>
      </c>
      <c r="Q5302" s="12">
        <f t="shared" si="515"/>
        <v>5118.75</v>
      </c>
      <c r="R5302" s="31">
        <f t="shared" si="516"/>
        <v>5100</v>
      </c>
      <c r="T5302" s="12"/>
      <c r="U5302" s="8">
        <v>9800</v>
      </c>
      <c r="W5302" s="8">
        <f t="shared" si="517"/>
        <v>6093.75</v>
      </c>
    </row>
    <row r="5303" spans="1:23" ht="21.95" customHeight="1" x14ac:dyDescent="0.2">
      <c r="A5303" s="6" t="s">
        <v>1431</v>
      </c>
      <c r="B5303" s="6" t="s">
        <v>1585</v>
      </c>
      <c r="C5303" s="6" t="s">
        <v>1444</v>
      </c>
      <c r="D5303" s="5" t="s">
        <v>1445</v>
      </c>
      <c r="G5303" s="6">
        <v>165</v>
      </c>
      <c r="H5303" s="6">
        <v>230</v>
      </c>
      <c r="J5303" s="17">
        <f t="shared" si="513"/>
        <v>3.7949999999999999</v>
      </c>
      <c r="K5303" s="7">
        <v>44009640</v>
      </c>
      <c r="L5303" s="6" t="str">
        <f t="shared" si="512"/>
        <v>DL REFLECTION HALI 165x230</v>
      </c>
      <c r="M5303" s="12">
        <v>0</v>
      </c>
      <c r="N5303" s="12">
        <v>0</v>
      </c>
      <c r="O5303" s="8">
        <v>3700.1250000000005</v>
      </c>
      <c r="P5303" s="8">
        <f t="shared" si="514"/>
        <v>3700.1250000000005</v>
      </c>
      <c r="Q5303" s="12">
        <f t="shared" si="515"/>
        <v>7770.2625000000016</v>
      </c>
      <c r="R5303" s="31">
        <f t="shared" si="516"/>
        <v>7700</v>
      </c>
      <c r="T5303" s="12"/>
      <c r="U5303" s="8">
        <v>9800</v>
      </c>
      <c r="W5303" s="8">
        <f t="shared" si="517"/>
        <v>9250.3125000000018</v>
      </c>
    </row>
    <row r="5304" spans="1:23" ht="21.95" customHeight="1" x14ac:dyDescent="0.2">
      <c r="A5304" s="6" t="s">
        <v>1431</v>
      </c>
      <c r="B5304" s="6" t="s">
        <v>1585</v>
      </c>
      <c r="C5304" s="6" t="s">
        <v>1444</v>
      </c>
      <c r="D5304" s="5" t="s">
        <v>1445</v>
      </c>
      <c r="G5304" s="6">
        <v>200</v>
      </c>
      <c r="H5304" s="6">
        <v>290</v>
      </c>
      <c r="J5304" s="17">
        <f t="shared" si="513"/>
        <v>5.8</v>
      </c>
      <c r="K5304" s="7">
        <v>44009641</v>
      </c>
      <c r="L5304" s="6" t="str">
        <f t="shared" si="512"/>
        <v>DL REFLECTION HALI 200x290</v>
      </c>
      <c r="M5304" s="12">
        <v>0</v>
      </c>
      <c r="N5304" s="12">
        <v>0</v>
      </c>
      <c r="O5304" s="8">
        <v>5655.0000000000009</v>
      </c>
      <c r="P5304" s="8">
        <f t="shared" si="514"/>
        <v>5655.0000000000009</v>
      </c>
      <c r="Q5304" s="12">
        <f t="shared" si="515"/>
        <v>11875.500000000002</v>
      </c>
      <c r="R5304" s="31">
        <f t="shared" si="516"/>
        <v>11800</v>
      </c>
      <c r="T5304" s="12"/>
      <c r="U5304" s="8">
        <v>9900</v>
      </c>
      <c r="W5304" s="8">
        <f t="shared" si="517"/>
        <v>14137.500000000002</v>
      </c>
    </row>
    <row r="5305" spans="1:23" ht="21.95" customHeight="1" x14ac:dyDescent="0.2">
      <c r="A5305" s="6" t="s">
        <v>1431</v>
      </c>
      <c r="B5305" s="6" t="s">
        <v>1585</v>
      </c>
      <c r="C5305" s="6" t="s">
        <v>1444</v>
      </c>
      <c r="D5305" s="6" t="s">
        <v>1446</v>
      </c>
      <c r="G5305" s="6">
        <v>80</v>
      </c>
      <c r="H5305" s="6">
        <v>100</v>
      </c>
      <c r="J5305" s="17">
        <f t="shared" si="513"/>
        <v>0.8</v>
      </c>
      <c r="K5305" s="7">
        <v>44009642</v>
      </c>
      <c r="L5305" s="6" t="str">
        <f t="shared" ref="L5305:L5336" si="518">B5305&amp;" "&amp;C5305&amp;" "&amp;D5305&amp;" "&amp;G5305&amp;"x"&amp;H5305</f>
        <v>DL REFLECTION KESME RULO YOLLUK  80x100</v>
      </c>
      <c r="M5305" s="12">
        <v>0</v>
      </c>
      <c r="N5305" s="12">
        <v>0</v>
      </c>
      <c r="O5305" s="8">
        <v>780</v>
      </c>
      <c r="P5305" s="8">
        <f t="shared" si="514"/>
        <v>780</v>
      </c>
      <c r="Q5305" s="12">
        <f t="shared" si="515"/>
        <v>1638</v>
      </c>
      <c r="R5305" s="31">
        <f t="shared" si="516"/>
        <v>1600</v>
      </c>
      <c r="T5305" s="12"/>
      <c r="U5305" s="8">
        <v>11900</v>
      </c>
      <c r="W5305" s="8">
        <f t="shared" si="517"/>
        <v>1950</v>
      </c>
    </row>
    <row r="5306" spans="1:23" ht="21.95" customHeight="1" x14ac:dyDescent="0.2">
      <c r="A5306" s="6" t="s">
        <v>1431</v>
      </c>
      <c r="B5306" s="6" t="s">
        <v>1585</v>
      </c>
      <c r="C5306" s="6" t="s">
        <v>1444</v>
      </c>
      <c r="D5306" s="6" t="s">
        <v>1446</v>
      </c>
      <c r="G5306" s="6">
        <v>100</v>
      </c>
      <c r="H5306" s="6">
        <v>100</v>
      </c>
      <c r="J5306" s="17">
        <f t="shared" si="513"/>
        <v>1</v>
      </c>
      <c r="K5306" s="7">
        <v>44009643</v>
      </c>
      <c r="L5306" s="6" t="str">
        <f t="shared" si="518"/>
        <v>DL REFLECTION KESME RULO YOLLUK  100x100</v>
      </c>
      <c r="M5306" s="12">
        <v>0</v>
      </c>
      <c r="N5306" s="12">
        <v>0</v>
      </c>
      <c r="O5306" s="8">
        <v>975</v>
      </c>
      <c r="P5306" s="8">
        <f t="shared" si="514"/>
        <v>975</v>
      </c>
      <c r="Q5306" s="12">
        <f t="shared" si="515"/>
        <v>2047.5</v>
      </c>
      <c r="R5306" s="31">
        <f t="shared" si="516"/>
        <v>2000</v>
      </c>
      <c r="T5306" s="12"/>
      <c r="U5306" s="8">
        <v>13800</v>
      </c>
      <c r="W5306" s="8">
        <f t="shared" si="517"/>
        <v>2437.5</v>
      </c>
    </row>
    <row r="5307" spans="1:23" ht="21.95" customHeight="1" x14ac:dyDescent="0.2">
      <c r="A5307" s="6" t="s">
        <v>1431</v>
      </c>
      <c r="B5307" s="6" t="s">
        <v>1585</v>
      </c>
      <c r="C5307" s="6" t="s">
        <v>1444</v>
      </c>
      <c r="D5307" s="6" t="s">
        <v>1446</v>
      </c>
      <c r="G5307" s="6">
        <v>120</v>
      </c>
      <c r="H5307" s="6">
        <v>100</v>
      </c>
      <c r="J5307" s="17">
        <f t="shared" si="513"/>
        <v>1.2</v>
      </c>
      <c r="K5307" s="7">
        <v>44009644</v>
      </c>
      <c r="L5307" s="6" t="str">
        <f t="shared" si="518"/>
        <v>DL REFLECTION KESME RULO YOLLUK  120x100</v>
      </c>
      <c r="M5307" s="12">
        <v>0</v>
      </c>
      <c r="N5307" s="12">
        <v>0</v>
      </c>
      <c r="O5307" s="8">
        <v>1170</v>
      </c>
      <c r="P5307" s="8">
        <f t="shared" si="514"/>
        <v>1170</v>
      </c>
      <c r="Q5307" s="12">
        <f t="shared" si="515"/>
        <v>2457</v>
      </c>
      <c r="R5307" s="31">
        <f t="shared" si="516"/>
        <v>2400</v>
      </c>
      <c r="T5307" s="12"/>
      <c r="U5307" s="8">
        <v>14800</v>
      </c>
      <c r="W5307" s="8">
        <f t="shared" si="517"/>
        <v>2925</v>
      </c>
    </row>
    <row r="5308" spans="1:23" ht="21.95" customHeight="1" x14ac:dyDescent="0.2">
      <c r="A5308" s="6" t="s">
        <v>1431</v>
      </c>
      <c r="B5308" s="6" t="s">
        <v>1585</v>
      </c>
      <c r="C5308" s="6" t="s">
        <v>1444</v>
      </c>
      <c r="D5308" s="6" t="s">
        <v>1446</v>
      </c>
      <c r="G5308" s="6">
        <v>165</v>
      </c>
      <c r="H5308" s="6">
        <v>100</v>
      </c>
      <c r="J5308" s="17">
        <f t="shared" si="513"/>
        <v>1.65</v>
      </c>
      <c r="K5308" s="7">
        <v>44009645</v>
      </c>
      <c r="L5308" s="6" t="str">
        <f t="shared" si="518"/>
        <v>DL REFLECTION KESME RULO YOLLUK  165x100</v>
      </c>
      <c r="M5308" s="12">
        <v>0</v>
      </c>
      <c r="N5308" s="12">
        <v>0</v>
      </c>
      <c r="O5308" s="8">
        <v>1608.7500000000002</v>
      </c>
      <c r="P5308" s="8">
        <f t="shared" si="514"/>
        <v>1608.7500000000002</v>
      </c>
      <c r="Q5308" s="12">
        <f t="shared" si="515"/>
        <v>3378.3750000000005</v>
      </c>
      <c r="R5308" s="31">
        <f t="shared" si="516"/>
        <v>3300</v>
      </c>
      <c r="T5308" s="12"/>
      <c r="U5308" s="8">
        <v>15800</v>
      </c>
      <c r="W5308" s="8">
        <f t="shared" si="517"/>
        <v>4021.8750000000005</v>
      </c>
    </row>
    <row r="5309" spans="1:23" ht="21.95" customHeight="1" x14ac:dyDescent="0.2">
      <c r="A5309" s="6" t="s">
        <v>1431</v>
      </c>
      <c r="B5309" s="6" t="s">
        <v>1585</v>
      </c>
      <c r="C5309" s="6" t="s">
        <v>1444</v>
      </c>
      <c r="D5309" s="6" t="s">
        <v>1446</v>
      </c>
      <c r="G5309" s="6">
        <v>200</v>
      </c>
      <c r="H5309" s="6">
        <v>100</v>
      </c>
      <c r="J5309" s="17">
        <f t="shared" si="513"/>
        <v>2</v>
      </c>
      <c r="K5309" s="7">
        <v>44009646</v>
      </c>
      <c r="L5309" s="6" t="str">
        <f t="shared" si="518"/>
        <v>DL REFLECTION KESME RULO YOLLUK  200x100</v>
      </c>
      <c r="M5309" s="12">
        <v>0</v>
      </c>
      <c r="N5309" s="12">
        <v>0</v>
      </c>
      <c r="O5309" s="8">
        <v>1950</v>
      </c>
      <c r="P5309" s="8">
        <f t="shared" si="514"/>
        <v>1950</v>
      </c>
      <c r="Q5309" s="12">
        <f t="shared" si="515"/>
        <v>4095</v>
      </c>
      <c r="R5309" s="31">
        <f t="shared" si="516"/>
        <v>4000</v>
      </c>
      <c r="T5309" s="12"/>
      <c r="U5309" s="8">
        <v>17800</v>
      </c>
      <c r="W5309" s="8">
        <f t="shared" si="517"/>
        <v>4875</v>
      </c>
    </row>
    <row r="5310" spans="1:23" ht="21.95" customHeight="1" x14ac:dyDescent="0.2">
      <c r="A5310" s="6" t="s">
        <v>1431</v>
      </c>
      <c r="B5310" s="6" t="s">
        <v>1585</v>
      </c>
      <c r="C5310" s="6" t="s">
        <v>828</v>
      </c>
      <c r="D5310" s="6" t="s">
        <v>1446</v>
      </c>
      <c r="G5310" s="6">
        <v>80</v>
      </c>
      <c r="H5310" s="6">
        <v>100</v>
      </c>
      <c r="J5310" s="17">
        <f t="shared" si="513"/>
        <v>0.8</v>
      </c>
      <c r="K5310" s="7">
        <v>44009647</v>
      </c>
      <c r="L5310" s="6" t="str">
        <f t="shared" si="518"/>
        <v>DL SKY  KESME RULO YOLLUK  80x100</v>
      </c>
      <c r="M5310" s="12">
        <v>0</v>
      </c>
      <c r="N5310" s="12">
        <v>0</v>
      </c>
      <c r="O5310" s="8">
        <v>583.20000000000005</v>
      </c>
      <c r="P5310" s="8">
        <f t="shared" si="514"/>
        <v>583.20000000000005</v>
      </c>
      <c r="Q5310" s="12">
        <f t="shared" si="515"/>
        <v>1224.7200000000003</v>
      </c>
      <c r="R5310" s="31">
        <f t="shared" si="516"/>
        <v>1200</v>
      </c>
      <c r="T5310" s="12"/>
      <c r="U5310" s="8">
        <v>13500</v>
      </c>
      <c r="W5310" s="8">
        <f t="shared" si="517"/>
        <v>1458</v>
      </c>
    </row>
    <row r="5311" spans="1:23" ht="21.95" customHeight="1" x14ac:dyDescent="0.2">
      <c r="A5311" s="6" t="s">
        <v>1431</v>
      </c>
      <c r="B5311" s="6" t="s">
        <v>1585</v>
      </c>
      <c r="C5311" s="6" t="s">
        <v>828</v>
      </c>
      <c r="D5311" s="6" t="s">
        <v>1446</v>
      </c>
      <c r="G5311" s="6">
        <v>100</v>
      </c>
      <c r="H5311" s="6">
        <v>100</v>
      </c>
      <c r="J5311" s="17">
        <f t="shared" si="513"/>
        <v>1</v>
      </c>
      <c r="K5311" s="7">
        <v>44009648</v>
      </c>
      <c r="L5311" s="6" t="str">
        <f t="shared" si="518"/>
        <v>DL SKY  KESME RULO YOLLUK  100x100</v>
      </c>
      <c r="M5311" s="12">
        <v>0</v>
      </c>
      <c r="N5311" s="12">
        <v>0</v>
      </c>
      <c r="O5311" s="8">
        <v>729</v>
      </c>
      <c r="P5311" s="8">
        <f t="shared" si="514"/>
        <v>729</v>
      </c>
      <c r="Q5311" s="12">
        <f t="shared" si="515"/>
        <v>1530.9</v>
      </c>
      <c r="R5311" s="31">
        <f t="shared" si="516"/>
        <v>1500</v>
      </c>
      <c r="T5311" s="12"/>
      <c r="U5311" s="8">
        <v>14200</v>
      </c>
      <c r="W5311" s="8">
        <f t="shared" si="517"/>
        <v>1822.5</v>
      </c>
    </row>
    <row r="5312" spans="1:23" ht="21.95" customHeight="1" x14ac:dyDescent="0.2">
      <c r="A5312" s="6" t="s">
        <v>1431</v>
      </c>
      <c r="B5312" s="6" t="s">
        <v>1585</v>
      </c>
      <c r="C5312" s="6" t="s">
        <v>828</v>
      </c>
      <c r="D5312" s="6" t="s">
        <v>1446</v>
      </c>
      <c r="G5312" s="6">
        <v>120</v>
      </c>
      <c r="H5312" s="6">
        <v>100</v>
      </c>
      <c r="J5312" s="17">
        <f t="shared" si="513"/>
        <v>1.2</v>
      </c>
      <c r="K5312" s="7">
        <v>44009649</v>
      </c>
      <c r="L5312" s="6" t="str">
        <f t="shared" si="518"/>
        <v>DL SKY  KESME RULO YOLLUK  120x100</v>
      </c>
      <c r="M5312" s="12">
        <v>0</v>
      </c>
      <c r="N5312" s="12">
        <v>0</v>
      </c>
      <c r="O5312" s="8">
        <v>874.8</v>
      </c>
      <c r="P5312" s="8">
        <f t="shared" si="514"/>
        <v>874.8</v>
      </c>
      <c r="Q5312" s="12">
        <f t="shared" si="515"/>
        <v>1837.08</v>
      </c>
      <c r="R5312" s="31">
        <f t="shared" si="516"/>
        <v>1800</v>
      </c>
      <c r="T5312" s="12"/>
      <c r="U5312" s="8">
        <v>14300</v>
      </c>
      <c r="W5312" s="8">
        <f t="shared" si="517"/>
        <v>2187</v>
      </c>
    </row>
    <row r="5313" spans="1:23" ht="21.95" customHeight="1" x14ac:dyDescent="0.2">
      <c r="A5313" s="6" t="s">
        <v>1431</v>
      </c>
      <c r="B5313" s="6" t="s">
        <v>1585</v>
      </c>
      <c r="C5313" s="6" t="s">
        <v>828</v>
      </c>
      <c r="D5313" s="6" t="s">
        <v>1446</v>
      </c>
      <c r="G5313" s="6">
        <v>160</v>
      </c>
      <c r="H5313" s="6">
        <v>100</v>
      </c>
      <c r="J5313" s="17">
        <f t="shared" ref="J5313:J5344" si="519">G5313*H5313/10000</f>
        <v>1.6</v>
      </c>
      <c r="K5313" s="7">
        <v>44009650</v>
      </c>
      <c r="L5313" s="6" t="str">
        <f t="shared" si="518"/>
        <v>DL SKY  KESME RULO YOLLUK  160x100</v>
      </c>
      <c r="M5313" s="12">
        <v>0</v>
      </c>
      <c r="N5313" s="12">
        <v>0</v>
      </c>
      <c r="O5313" s="8">
        <v>1166.4000000000001</v>
      </c>
      <c r="P5313" s="8">
        <f t="shared" si="514"/>
        <v>1166.4000000000001</v>
      </c>
      <c r="Q5313" s="12">
        <f t="shared" ref="Q5313:Q5344" si="520">O5313*2.1</f>
        <v>2449.4400000000005</v>
      </c>
      <c r="R5313" s="31">
        <f t="shared" si="516"/>
        <v>2400</v>
      </c>
      <c r="T5313" s="12"/>
      <c r="U5313" s="8">
        <v>17200</v>
      </c>
      <c r="W5313" s="8">
        <f t="shared" si="517"/>
        <v>2916</v>
      </c>
    </row>
    <row r="5314" spans="1:23" ht="21.95" customHeight="1" x14ac:dyDescent="0.2">
      <c r="A5314" s="6" t="s">
        <v>1431</v>
      </c>
      <c r="B5314" s="6" t="s">
        <v>1585</v>
      </c>
      <c r="C5314" s="6" t="s">
        <v>828</v>
      </c>
      <c r="D5314" s="6" t="s">
        <v>1446</v>
      </c>
      <c r="G5314" s="6">
        <v>200</v>
      </c>
      <c r="H5314" s="6">
        <v>100</v>
      </c>
      <c r="J5314" s="17">
        <f t="shared" si="519"/>
        <v>2</v>
      </c>
      <c r="K5314" s="7">
        <v>44009651</v>
      </c>
      <c r="L5314" s="6" t="str">
        <f t="shared" si="518"/>
        <v>DL SKY  KESME RULO YOLLUK  200x100</v>
      </c>
      <c r="M5314" s="12">
        <v>0</v>
      </c>
      <c r="N5314" s="12">
        <v>0</v>
      </c>
      <c r="O5314" s="8">
        <v>1458</v>
      </c>
      <c r="P5314" s="8">
        <f t="shared" si="514"/>
        <v>1458</v>
      </c>
      <c r="Q5314" s="12">
        <f t="shared" si="520"/>
        <v>3061.8</v>
      </c>
      <c r="R5314" s="31">
        <f t="shared" si="516"/>
        <v>3000</v>
      </c>
      <c r="T5314" s="12"/>
      <c r="U5314" s="8">
        <v>20000</v>
      </c>
      <c r="W5314" s="8">
        <f t="shared" si="517"/>
        <v>3645</v>
      </c>
    </row>
    <row r="5315" spans="1:23" ht="21.95" customHeight="1" x14ac:dyDescent="0.2">
      <c r="A5315" s="6" t="s">
        <v>1431</v>
      </c>
      <c r="B5315" s="6" t="s">
        <v>1585</v>
      </c>
      <c r="C5315" s="6" t="s">
        <v>1447</v>
      </c>
      <c r="D5315" s="6" t="s">
        <v>1438</v>
      </c>
      <c r="G5315" s="6">
        <v>80</v>
      </c>
      <c r="H5315" s="6">
        <v>150</v>
      </c>
      <c r="J5315" s="17">
        <f t="shared" si="519"/>
        <v>1.2</v>
      </c>
      <c r="K5315" s="7">
        <v>44009652</v>
      </c>
      <c r="L5315" s="6" t="str">
        <f t="shared" si="518"/>
        <v>DL MILLENNIUM  YOLLUK  80x150</v>
      </c>
      <c r="M5315" s="12">
        <v>0</v>
      </c>
      <c r="N5315" s="12">
        <v>0</v>
      </c>
      <c r="O5315" s="8">
        <v>886.8</v>
      </c>
      <c r="P5315" s="8">
        <f t="shared" si="514"/>
        <v>886.8</v>
      </c>
      <c r="Q5315" s="12">
        <f t="shared" si="520"/>
        <v>1862.28</v>
      </c>
      <c r="R5315" s="31">
        <f t="shared" si="516"/>
        <v>1800</v>
      </c>
      <c r="T5315" s="12"/>
      <c r="U5315" s="8">
        <v>21500</v>
      </c>
      <c r="W5315" s="8">
        <f t="shared" si="517"/>
        <v>2217</v>
      </c>
    </row>
    <row r="5316" spans="1:23" ht="21.95" customHeight="1" x14ac:dyDescent="0.2">
      <c r="A5316" s="6" t="s">
        <v>1431</v>
      </c>
      <c r="B5316" s="6" t="s">
        <v>1585</v>
      </c>
      <c r="C5316" s="6" t="s">
        <v>1447</v>
      </c>
      <c r="D5316" s="6" t="s">
        <v>1438</v>
      </c>
      <c r="G5316" s="6">
        <v>80</v>
      </c>
      <c r="H5316" s="6">
        <v>300</v>
      </c>
      <c r="J5316" s="17">
        <f t="shared" si="519"/>
        <v>2.4</v>
      </c>
      <c r="K5316" s="7">
        <v>44009653</v>
      </c>
      <c r="L5316" s="6" t="str">
        <f t="shared" si="518"/>
        <v>DL MILLENNIUM  YOLLUK  80x300</v>
      </c>
      <c r="M5316" s="12">
        <v>0</v>
      </c>
      <c r="N5316" s="12">
        <v>0</v>
      </c>
      <c r="O5316" s="8">
        <v>1773.6</v>
      </c>
      <c r="P5316" s="8">
        <f t="shared" si="514"/>
        <v>1773.6</v>
      </c>
      <c r="Q5316" s="12">
        <f t="shared" si="520"/>
        <v>3724.56</v>
      </c>
      <c r="R5316" s="31">
        <f t="shared" si="516"/>
        <v>3700</v>
      </c>
      <c r="T5316" s="12"/>
      <c r="U5316" s="8">
        <v>22900</v>
      </c>
      <c r="W5316" s="8">
        <f t="shared" si="517"/>
        <v>4434</v>
      </c>
    </row>
    <row r="5317" spans="1:23" ht="21.95" customHeight="1" x14ac:dyDescent="0.2">
      <c r="A5317" s="6" t="s">
        <v>1431</v>
      </c>
      <c r="B5317" s="6" t="s">
        <v>1585</v>
      </c>
      <c r="C5317" s="6" t="s">
        <v>1447</v>
      </c>
      <c r="D5317" s="6" t="s">
        <v>1438</v>
      </c>
      <c r="G5317" s="6">
        <v>100</v>
      </c>
      <c r="H5317" s="6">
        <v>200</v>
      </c>
      <c r="J5317" s="17">
        <f t="shared" si="519"/>
        <v>2</v>
      </c>
      <c r="K5317" s="7">
        <v>44009654</v>
      </c>
      <c r="L5317" s="6" t="str">
        <f t="shared" si="518"/>
        <v>DL MILLENNIUM  YOLLUK  100x200</v>
      </c>
      <c r="M5317" s="12">
        <v>0</v>
      </c>
      <c r="N5317" s="12">
        <v>0</v>
      </c>
      <c r="O5317" s="8">
        <v>1478</v>
      </c>
      <c r="P5317" s="8">
        <f t="shared" si="514"/>
        <v>1478</v>
      </c>
      <c r="Q5317" s="12">
        <f t="shared" si="520"/>
        <v>3103.8</v>
      </c>
      <c r="R5317" s="31">
        <f t="shared" si="516"/>
        <v>3100</v>
      </c>
      <c r="T5317" s="12"/>
      <c r="U5317" s="8">
        <v>25800</v>
      </c>
      <c r="W5317" s="8">
        <f t="shared" si="517"/>
        <v>3695</v>
      </c>
    </row>
    <row r="5318" spans="1:23" ht="21.95" customHeight="1" x14ac:dyDescent="0.2">
      <c r="A5318" s="6" t="s">
        <v>1431</v>
      </c>
      <c r="B5318" s="6" t="s">
        <v>1585</v>
      </c>
      <c r="C5318" s="6" t="s">
        <v>1447</v>
      </c>
      <c r="D5318" s="6" t="s">
        <v>1438</v>
      </c>
      <c r="G5318" s="6">
        <v>100</v>
      </c>
      <c r="H5318" s="6">
        <v>300</v>
      </c>
      <c r="J5318" s="17">
        <f t="shared" si="519"/>
        <v>3</v>
      </c>
      <c r="K5318" s="7">
        <v>44009655</v>
      </c>
      <c r="L5318" s="6" t="str">
        <f t="shared" si="518"/>
        <v>DL MILLENNIUM  YOLLUK  100x300</v>
      </c>
      <c r="M5318" s="12">
        <v>0</v>
      </c>
      <c r="N5318" s="12">
        <v>0</v>
      </c>
      <c r="O5318" s="8">
        <v>2217</v>
      </c>
      <c r="P5318" s="8">
        <f t="shared" si="514"/>
        <v>2217</v>
      </c>
      <c r="Q5318" s="12">
        <f t="shared" si="520"/>
        <v>4655.7</v>
      </c>
      <c r="R5318" s="31">
        <f t="shared" si="516"/>
        <v>4600</v>
      </c>
      <c r="T5318" s="12"/>
      <c r="U5318" s="8">
        <v>15800</v>
      </c>
      <c r="W5318" s="8">
        <f t="shared" si="517"/>
        <v>5542.5</v>
      </c>
    </row>
    <row r="5319" spans="1:23" ht="21.95" customHeight="1" x14ac:dyDescent="0.2">
      <c r="A5319" s="6" t="s">
        <v>1431</v>
      </c>
      <c r="B5319" s="6" t="s">
        <v>1585</v>
      </c>
      <c r="C5319" s="6" t="s">
        <v>1447</v>
      </c>
      <c r="D5319" s="6" t="s">
        <v>1445</v>
      </c>
      <c r="G5319" s="6">
        <v>125</v>
      </c>
      <c r="H5319" s="6">
        <v>200</v>
      </c>
      <c r="J5319" s="17">
        <f t="shared" si="519"/>
        <v>2.5</v>
      </c>
      <c r="K5319" s="7">
        <v>44009656</v>
      </c>
      <c r="L5319" s="6" t="str">
        <f t="shared" si="518"/>
        <v>DL MILLENNIUM  HALI 125x200</v>
      </c>
      <c r="M5319" s="12">
        <v>0</v>
      </c>
      <c r="N5319" s="12">
        <v>0</v>
      </c>
      <c r="O5319" s="8">
        <v>1847.5</v>
      </c>
      <c r="P5319" s="8">
        <f t="shared" si="514"/>
        <v>1847.5</v>
      </c>
      <c r="Q5319" s="12">
        <f t="shared" si="520"/>
        <v>3879.75</v>
      </c>
      <c r="R5319" s="31">
        <f t="shared" si="516"/>
        <v>3800</v>
      </c>
      <c r="T5319" s="12"/>
      <c r="U5319" s="8">
        <v>12100</v>
      </c>
      <c r="W5319" s="8">
        <f t="shared" ref="W5319:W5376" si="521">P5319*2.5</f>
        <v>4618.75</v>
      </c>
    </row>
    <row r="5320" spans="1:23" ht="21.95" customHeight="1" x14ac:dyDescent="0.2">
      <c r="A5320" s="6" t="s">
        <v>1431</v>
      </c>
      <c r="B5320" s="6" t="s">
        <v>1585</v>
      </c>
      <c r="C5320" s="6" t="s">
        <v>1447</v>
      </c>
      <c r="D5320" s="6" t="s">
        <v>1445</v>
      </c>
      <c r="G5320" s="6">
        <v>165</v>
      </c>
      <c r="H5320" s="6">
        <v>230</v>
      </c>
      <c r="J5320" s="17">
        <f t="shared" si="519"/>
        <v>3.7949999999999999</v>
      </c>
      <c r="K5320" s="7">
        <v>44009657</v>
      </c>
      <c r="L5320" s="6" t="str">
        <f t="shared" si="518"/>
        <v>DL MILLENNIUM  HALI 165x230</v>
      </c>
      <c r="M5320" s="12">
        <v>0</v>
      </c>
      <c r="N5320" s="12">
        <v>0</v>
      </c>
      <c r="O5320" s="8">
        <v>2804.5050000000001</v>
      </c>
      <c r="P5320" s="8">
        <f t="shared" si="514"/>
        <v>2804.5050000000001</v>
      </c>
      <c r="Q5320" s="12">
        <f t="shared" si="520"/>
        <v>5889.4605000000001</v>
      </c>
      <c r="R5320" s="31">
        <f t="shared" si="516"/>
        <v>5800</v>
      </c>
      <c r="T5320" s="12"/>
      <c r="U5320" s="8">
        <v>12700</v>
      </c>
      <c r="W5320" s="8">
        <f t="shared" si="521"/>
        <v>7011.2625000000007</v>
      </c>
    </row>
    <row r="5321" spans="1:23" ht="21.95" customHeight="1" x14ac:dyDescent="0.2">
      <c r="A5321" s="6" t="s">
        <v>1431</v>
      </c>
      <c r="B5321" s="6" t="s">
        <v>1585</v>
      </c>
      <c r="C5321" s="6" t="s">
        <v>1447</v>
      </c>
      <c r="D5321" s="6" t="s">
        <v>1445</v>
      </c>
      <c r="G5321" s="6">
        <v>200</v>
      </c>
      <c r="H5321" s="6">
        <v>290</v>
      </c>
      <c r="J5321" s="17">
        <f t="shared" si="519"/>
        <v>5.8</v>
      </c>
      <c r="K5321" s="7">
        <v>44009658</v>
      </c>
      <c r="L5321" s="6" t="str">
        <f t="shared" si="518"/>
        <v>DL MILLENNIUM  HALI 200x290</v>
      </c>
      <c r="M5321" s="12">
        <v>0</v>
      </c>
      <c r="N5321" s="12">
        <v>0</v>
      </c>
      <c r="O5321" s="8">
        <v>4286.2000000000007</v>
      </c>
      <c r="P5321" s="8">
        <f t="shared" si="514"/>
        <v>4286.2000000000007</v>
      </c>
      <c r="Q5321" s="12">
        <f t="shared" si="520"/>
        <v>9001.0200000000023</v>
      </c>
      <c r="R5321" s="31">
        <f t="shared" si="516"/>
        <v>9000</v>
      </c>
      <c r="T5321" s="12"/>
      <c r="U5321" s="8">
        <v>12900</v>
      </c>
      <c r="W5321" s="8">
        <f t="shared" si="521"/>
        <v>10715.500000000002</v>
      </c>
    </row>
    <row r="5322" spans="1:23" ht="21.95" customHeight="1" x14ac:dyDescent="0.2">
      <c r="A5322" s="6" t="s">
        <v>1431</v>
      </c>
      <c r="B5322" s="6" t="s">
        <v>1585</v>
      </c>
      <c r="C5322" s="6" t="s">
        <v>1447</v>
      </c>
      <c r="D5322" s="6" t="s">
        <v>1446</v>
      </c>
      <c r="G5322" s="6">
        <v>80</v>
      </c>
      <c r="H5322" s="6">
        <v>100</v>
      </c>
      <c r="J5322" s="17">
        <f t="shared" si="519"/>
        <v>0.8</v>
      </c>
      <c r="K5322" s="7">
        <v>44009659</v>
      </c>
      <c r="L5322" s="6" t="str">
        <f t="shared" si="518"/>
        <v>DL MILLENNIUM  KESME RULO YOLLUK  80x100</v>
      </c>
      <c r="M5322" s="12">
        <v>0</v>
      </c>
      <c r="N5322" s="12">
        <v>0</v>
      </c>
      <c r="O5322" s="8">
        <v>591.20000000000005</v>
      </c>
      <c r="P5322" s="8">
        <f t="shared" si="514"/>
        <v>591.20000000000005</v>
      </c>
      <c r="Q5322" s="12">
        <f t="shared" si="520"/>
        <v>1241.5200000000002</v>
      </c>
      <c r="R5322" s="31">
        <f t="shared" si="516"/>
        <v>1200</v>
      </c>
      <c r="T5322" s="12"/>
      <c r="U5322" s="8">
        <v>15500</v>
      </c>
      <c r="W5322" s="8">
        <f t="shared" si="521"/>
        <v>1478</v>
      </c>
    </row>
    <row r="5323" spans="1:23" ht="21.95" customHeight="1" x14ac:dyDescent="0.2">
      <c r="A5323" s="6" t="s">
        <v>1431</v>
      </c>
      <c r="B5323" s="6" t="s">
        <v>1585</v>
      </c>
      <c r="C5323" s="6" t="s">
        <v>1447</v>
      </c>
      <c r="D5323" s="6" t="s">
        <v>1446</v>
      </c>
      <c r="G5323" s="6">
        <v>100</v>
      </c>
      <c r="H5323" s="6">
        <v>100</v>
      </c>
      <c r="J5323" s="17">
        <f t="shared" si="519"/>
        <v>1</v>
      </c>
      <c r="K5323" s="7">
        <v>44009660</v>
      </c>
      <c r="L5323" s="6" t="str">
        <f t="shared" si="518"/>
        <v>DL MILLENNIUM  KESME RULO YOLLUK  100x100</v>
      </c>
      <c r="M5323" s="12">
        <v>0</v>
      </c>
      <c r="N5323" s="12">
        <v>0</v>
      </c>
      <c r="O5323" s="8">
        <v>739</v>
      </c>
      <c r="P5323" s="8">
        <f t="shared" si="514"/>
        <v>739</v>
      </c>
      <c r="Q5323" s="12">
        <f t="shared" si="520"/>
        <v>1551.9</v>
      </c>
      <c r="R5323" s="31">
        <f t="shared" si="516"/>
        <v>1500</v>
      </c>
      <c r="T5323" s="12"/>
      <c r="U5323" s="8">
        <v>18000</v>
      </c>
      <c r="W5323" s="8">
        <f t="shared" si="521"/>
        <v>1847.5</v>
      </c>
    </row>
    <row r="5324" spans="1:23" ht="21.95" customHeight="1" x14ac:dyDescent="0.2">
      <c r="A5324" s="6" t="s">
        <v>1431</v>
      </c>
      <c r="B5324" s="6" t="s">
        <v>1585</v>
      </c>
      <c r="C5324" s="6" t="s">
        <v>1447</v>
      </c>
      <c r="D5324" s="6" t="s">
        <v>1446</v>
      </c>
      <c r="G5324" s="6">
        <v>120</v>
      </c>
      <c r="H5324" s="6">
        <v>100</v>
      </c>
      <c r="J5324" s="17">
        <f t="shared" si="519"/>
        <v>1.2</v>
      </c>
      <c r="K5324" s="7">
        <v>44009661</v>
      </c>
      <c r="L5324" s="6" t="str">
        <f t="shared" si="518"/>
        <v>DL MILLENNIUM  KESME RULO YOLLUK  120x100</v>
      </c>
      <c r="M5324" s="12">
        <v>0</v>
      </c>
      <c r="N5324" s="12">
        <v>0</v>
      </c>
      <c r="O5324" s="8">
        <v>886.8</v>
      </c>
      <c r="P5324" s="8">
        <f t="shared" si="514"/>
        <v>886.8</v>
      </c>
      <c r="Q5324" s="12">
        <f t="shared" si="520"/>
        <v>1862.28</v>
      </c>
      <c r="R5324" s="31">
        <f t="shared" si="516"/>
        <v>1800</v>
      </c>
      <c r="T5324" s="12"/>
      <c r="U5324" s="8">
        <v>19300</v>
      </c>
      <c r="W5324" s="8">
        <f t="shared" si="521"/>
        <v>2217</v>
      </c>
    </row>
    <row r="5325" spans="1:23" ht="21.95" customHeight="1" x14ac:dyDescent="0.2">
      <c r="A5325" s="6" t="s">
        <v>1431</v>
      </c>
      <c r="B5325" s="6" t="s">
        <v>1585</v>
      </c>
      <c r="C5325" s="6" t="s">
        <v>1447</v>
      </c>
      <c r="D5325" s="6" t="s">
        <v>1446</v>
      </c>
      <c r="G5325" s="6">
        <v>165</v>
      </c>
      <c r="H5325" s="6">
        <v>100</v>
      </c>
      <c r="J5325" s="17">
        <f t="shared" si="519"/>
        <v>1.65</v>
      </c>
      <c r="K5325" s="7">
        <v>44009662</v>
      </c>
      <c r="L5325" s="6" t="str">
        <f t="shared" si="518"/>
        <v>DL MILLENNIUM  KESME RULO YOLLUK  165x100</v>
      </c>
      <c r="M5325" s="12">
        <v>0</v>
      </c>
      <c r="N5325" s="12">
        <v>0</v>
      </c>
      <c r="O5325" s="8">
        <v>1219.3500000000001</v>
      </c>
      <c r="P5325" s="8">
        <f t="shared" si="514"/>
        <v>1219.3500000000001</v>
      </c>
      <c r="Q5325" s="12">
        <f t="shared" si="520"/>
        <v>2560.6350000000002</v>
      </c>
      <c r="R5325" s="31">
        <f t="shared" si="516"/>
        <v>2500</v>
      </c>
      <c r="T5325" s="12"/>
      <c r="U5325" s="8">
        <v>20600</v>
      </c>
      <c r="W5325" s="8">
        <f t="shared" si="521"/>
        <v>3048.3750000000005</v>
      </c>
    </row>
    <row r="5326" spans="1:23" ht="21.95" customHeight="1" x14ac:dyDescent="0.2">
      <c r="A5326" s="6" t="s">
        <v>1431</v>
      </c>
      <c r="B5326" s="6" t="s">
        <v>1585</v>
      </c>
      <c r="C5326" s="6" t="s">
        <v>1447</v>
      </c>
      <c r="D5326" s="6" t="s">
        <v>1446</v>
      </c>
      <c r="G5326" s="6">
        <v>200</v>
      </c>
      <c r="H5326" s="6">
        <v>100</v>
      </c>
      <c r="J5326" s="17">
        <f t="shared" si="519"/>
        <v>2</v>
      </c>
      <c r="K5326" s="7">
        <v>44009663</v>
      </c>
      <c r="L5326" s="6" t="str">
        <f t="shared" si="518"/>
        <v>DL MILLENNIUM  KESME RULO YOLLUK  200x100</v>
      </c>
      <c r="M5326" s="12">
        <v>0</v>
      </c>
      <c r="N5326" s="12">
        <v>0</v>
      </c>
      <c r="O5326" s="8">
        <v>1478</v>
      </c>
      <c r="P5326" s="8">
        <f t="shared" si="514"/>
        <v>1478</v>
      </c>
      <c r="Q5326" s="12">
        <f t="shared" si="520"/>
        <v>3103.8</v>
      </c>
      <c r="R5326" s="31">
        <f t="shared" si="516"/>
        <v>3100</v>
      </c>
      <c r="T5326" s="12"/>
      <c r="U5326" s="8">
        <v>23200</v>
      </c>
      <c r="W5326" s="8">
        <f t="shared" si="521"/>
        <v>3695</v>
      </c>
    </row>
    <row r="5327" spans="1:23" ht="21.95" customHeight="1" x14ac:dyDescent="0.2">
      <c r="A5327" s="6" t="s">
        <v>1431</v>
      </c>
      <c r="B5327" s="6" t="s">
        <v>1585</v>
      </c>
      <c r="C5327" s="6" t="s">
        <v>824</v>
      </c>
      <c r="D5327" s="6" t="s">
        <v>1438</v>
      </c>
      <c r="G5327" s="6">
        <v>78</v>
      </c>
      <c r="H5327" s="6">
        <v>150</v>
      </c>
      <c r="J5327" s="17">
        <f t="shared" si="519"/>
        <v>1.17</v>
      </c>
      <c r="K5327" s="7">
        <v>44009664</v>
      </c>
      <c r="L5327" s="6" t="str">
        <f t="shared" si="518"/>
        <v>DL RETRO YOLLUK  78x150</v>
      </c>
      <c r="M5327" s="12">
        <v>0</v>
      </c>
      <c r="N5327" s="12">
        <v>0</v>
      </c>
      <c r="O5327" s="8">
        <v>923.13000000000011</v>
      </c>
      <c r="P5327" s="8">
        <f t="shared" si="514"/>
        <v>923.13000000000011</v>
      </c>
      <c r="Q5327" s="12">
        <f t="shared" si="520"/>
        <v>1938.5730000000003</v>
      </c>
      <c r="R5327" s="31">
        <f t="shared" si="516"/>
        <v>1900</v>
      </c>
      <c r="T5327" s="12"/>
      <c r="U5327" s="8">
        <v>6200</v>
      </c>
      <c r="W5327" s="8">
        <f t="shared" si="521"/>
        <v>2307.8250000000003</v>
      </c>
    </row>
    <row r="5328" spans="1:23" ht="21.95" customHeight="1" x14ac:dyDescent="0.2">
      <c r="A5328" s="6" t="s">
        <v>1431</v>
      </c>
      <c r="B5328" s="6" t="s">
        <v>1585</v>
      </c>
      <c r="C5328" s="6" t="s">
        <v>824</v>
      </c>
      <c r="D5328" s="6" t="s">
        <v>1438</v>
      </c>
      <c r="G5328" s="6">
        <v>78</v>
      </c>
      <c r="H5328" s="6">
        <v>300</v>
      </c>
      <c r="J5328" s="17">
        <f t="shared" si="519"/>
        <v>2.34</v>
      </c>
      <c r="K5328" s="7">
        <v>44009665</v>
      </c>
      <c r="L5328" s="6" t="str">
        <f t="shared" si="518"/>
        <v>DL RETRO YOLLUK  78x300</v>
      </c>
      <c r="M5328" s="12">
        <v>0</v>
      </c>
      <c r="N5328" s="12">
        <v>0</v>
      </c>
      <c r="O5328" s="8">
        <v>1846.2600000000002</v>
      </c>
      <c r="P5328" s="8">
        <f t="shared" si="514"/>
        <v>1846.2600000000002</v>
      </c>
      <c r="Q5328" s="12">
        <f t="shared" si="520"/>
        <v>3877.1460000000006</v>
      </c>
      <c r="R5328" s="31">
        <f t="shared" si="516"/>
        <v>3800</v>
      </c>
      <c r="T5328" s="12"/>
      <c r="U5328" s="8">
        <v>6200</v>
      </c>
      <c r="W5328" s="8">
        <f t="shared" si="521"/>
        <v>4615.6500000000005</v>
      </c>
    </row>
    <row r="5329" spans="1:23" ht="21.95" customHeight="1" x14ac:dyDescent="0.2">
      <c r="A5329" s="6" t="s">
        <v>1431</v>
      </c>
      <c r="B5329" s="6" t="s">
        <v>1585</v>
      </c>
      <c r="C5329" s="6" t="s">
        <v>824</v>
      </c>
      <c r="D5329" s="6" t="s">
        <v>1438</v>
      </c>
      <c r="G5329" s="6">
        <v>98</v>
      </c>
      <c r="H5329" s="6">
        <v>200</v>
      </c>
      <c r="J5329" s="17">
        <f t="shared" si="519"/>
        <v>1.96</v>
      </c>
      <c r="K5329" s="7">
        <v>44009666</v>
      </c>
      <c r="L5329" s="6" t="str">
        <f t="shared" si="518"/>
        <v>DL RETRO YOLLUK  98x200</v>
      </c>
      <c r="M5329" s="12">
        <v>0</v>
      </c>
      <c r="N5329" s="12">
        <v>0</v>
      </c>
      <c r="O5329" s="8">
        <v>1546.44</v>
      </c>
      <c r="P5329" s="8">
        <f t="shared" si="514"/>
        <v>1546.44</v>
      </c>
      <c r="Q5329" s="12">
        <f t="shared" si="520"/>
        <v>3247.5240000000003</v>
      </c>
      <c r="R5329" s="31">
        <f t="shared" si="516"/>
        <v>3200</v>
      </c>
      <c r="T5329" s="12"/>
      <c r="U5329" s="8">
        <v>6300</v>
      </c>
      <c r="W5329" s="8">
        <f t="shared" si="521"/>
        <v>3866.1000000000004</v>
      </c>
    </row>
    <row r="5330" spans="1:23" ht="21.95" customHeight="1" x14ac:dyDescent="0.2">
      <c r="A5330" s="6" t="s">
        <v>1431</v>
      </c>
      <c r="B5330" s="6" t="s">
        <v>1585</v>
      </c>
      <c r="C5330" s="6" t="s">
        <v>824</v>
      </c>
      <c r="D5330" s="6" t="s">
        <v>1438</v>
      </c>
      <c r="G5330" s="6">
        <v>98</v>
      </c>
      <c r="H5330" s="6">
        <v>300</v>
      </c>
      <c r="J5330" s="17">
        <f t="shared" si="519"/>
        <v>2.94</v>
      </c>
      <c r="K5330" s="7">
        <v>44009667</v>
      </c>
      <c r="L5330" s="6" t="str">
        <f t="shared" si="518"/>
        <v>DL RETRO YOLLUK  98x300</v>
      </c>
      <c r="M5330" s="12">
        <v>0</v>
      </c>
      <c r="N5330" s="12">
        <v>0</v>
      </c>
      <c r="O5330" s="8">
        <v>2319.66</v>
      </c>
      <c r="P5330" s="8">
        <f t="shared" si="514"/>
        <v>2319.66</v>
      </c>
      <c r="Q5330" s="12">
        <f t="shared" si="520"/>
        <v>4871.2860000000001</v>
      </c>
      <c r="R5330" s="31">
        <f t="shared" si="516"/>
        <v>4800</v>
      </c>
      <c r="T5330" s="12"/>
      <c r="U5330" s="8">
        <v>7600</v>
      </c>
      <c r="W5330" s="8">
        <f t="shared" si="521"/>
        <v>5799.15</v>
      </c>
    </row>
    <row r="5331" spans="1:23" ht="21.95" customHeight="1" x14ac:dyDescent="0.2">
      <c r="A5331" s="6" t="s">
        <v>1431</v>
      </c>
      <c r="B5331" s="6" t="s">
        <v>1585</v>
      </c>
      <c r="C5331" s="6" t="s">
        <v>824</v>
      </c>
      <c r="D5331" s="6" t="s">
        <v>1431</v>
      </c>
      <c r="G5331" s="6">
        <v>120</v>
      </c>
      <c r="H5331" s="6">
        <v>180</v>
      </c>
      <c r="J5331" s="17">
        <f t="shared" si="519"/>
        <v>2.16</v>
      </c>
      <c r="K5331" s="7">
        <v>44009668</v>
      </c>
      <c r="L5331" s="6" t="str">
        <f t="shared" si="518"/>
        <v>DL RETRO HALI  120x180</v>
      </c>
      <c r="M5331" s="12">
        <v>0</v>
      </c>
      <c r="N5331" s="12">
        <v>0</v>
      </c>
      <c r="O5331" s="8">
        <v>1704.24</v>
      </c>
      <c r="P5331" s="8">
        <f t="shared" si="514"/>
        <v>1704.24</v>
      </c>
      <c r="Q5331" s="12">
        <f t="shared" si="520"/>
        <v>3578.904</v>
      </c>
      <c r="R5331" s="31">
        <f t="shared" si="516"/>
        <v>3500</v>
      </c>
      <c r="T5331" s="12"/>
      <c r="U5331" s="8">
        <v>8800</v>
      </c>
      <c r="W5331" s="8">
        <f t="shared" si="521"/>
        <v>4260.6000000000004</v>
      </c>
    </row>
    <row r="5332" spans="1:23" ht="21.95" customHeight="1" x14ac:dyDescent="0.2">
      <c r="A5332" s="6" t="s">
        <v>1431</v>
      </c>
      <c r="B5332" s="6" t="s">
        <v>1585</v>
      </c>
      <c r="C5332" s="6" t="s">
        <v>824</v>
      </c>
      <c r="D5332" s="6" t="s">
        <v>1431</v>
      </c>
      <c r="G5332" s="6">
        <v>160</v>
      </c>
      <c r="H5332" s="6">
        <v>230</v>
      </c>
      <c r="J5332" s="17">
        <f t="shared" si="519"/>
        <v>3.68</v>
      </c>
      <c r="K5332" s="7">
        <v>44009669</v>
      </c>
      <c r="L5332" s="6" t="str">
        <f t="shared" si="518"/>
        <v>DL RETRO HALI  160x230</v>
      </c>
      <c r="M5332" s="12">
        <v>0</v>
      </c>
      <c r="N5332" s="12">
        <v>0</v>
      </c>
      <c r="O5332" s="8">
        <v>2903.52</v>
      </c>
      <c r="P5332" s="8">
        <f t="shared" si="514"/>
        <v>2903.52</v>
      </c>
      <c r="Q5332" s="12">
        <f t="shared" si="520"/>
        <v>6097.3919999999998</v>
      </c>
      <c r="R5332" s="31">
        <f t="shared" si="516"/>
        <v>6000</v>
      </c>
      <c r="T5332" s="12"/>
      <c r="U5332" s="8">
        <v>9500</v>
      </c>
      <c r="W5332" s="8">
        <f t="shared" si="521"/>
        <v>7258.8</v>
      </c>
    </row>
    <row r="5333" spans="1:23" ht="21.95" customHeight="1" x14ac:dyDescent="0.2">
      <c r="A5333" s="6" t="s">
        <v>1431</v>
      </c>
      <c r="B5333" s="6" t="s">
        <v>1585</v>
      </c>
      <c r="C5333" s="6" t="s">
        <v>824</v>
      </c>
      <c r="D5333" s="6" t="s">
        <v>1431</v>
      </c>
      <c r="G5333" s="6">
        <v>195</v>
      </c>
      <c r="H5333" s="6">
        <v>290</v>
      </c>
      <c r="J5333" s="17">
        <f t="shared" si="519"/>
        <v>5.6550000000000002</v>
      </c>
      <c r="K5333" s="7">
        <v>44009670</v>
      </c>
      <c r="L5333" s="6" t="str">
        <f t="shared" si="518"/>
        <v>DL RETRO HALI  195x290</v>
      </c>
      <c r="M5333" s="12">
        <v>0</v>
      </c>
      <c r="N5333" s="12">
        <v>0</v>
      </c>
      <c r="O5333" s="8">
        <v>4461.7950000000001</v>
      </c>
      <c r="P5333" s="8">
        <f t="shared" si="514"/>
        <v>4461.7950000000001</v>
      </c>
      <c r="Q5333" s="12">
        <f t="shared" si="520"/>
        <v>9369.7695000000003</v>
      </c>
      <c r="R5333" s="31">
        <f t="shared" si="516"/>
        <v>9300</v>
      </c>
      <c r="T5333" s="12"/>
      <c r="U5333" s="8">
        <v>10100</v>
      </c>
      <c r="W5333" s="8">
        <f t="shared" si="521"/>
        <v>11154.487499999999</v>
      </c>
    </row>
    <row r="5334" spans="1:23" ht="21.95" customHeight="1" x14ac:dyDescent="0.2">
      <c r="A5334" s="6" t="s">
        <v>1431</v>
      </c>
      <c r="B5334" s="6" t="s">
        <v>1585</v>
      </c>
      <c r="C5334" s="6" t="s">
        <v>824</v>
      </c>
      <c r="D5334" s="6" t="s">
        <v>1446</v>
      </c>
      <c r="G5334" s="6">
        <v>78</v>
      </c>
      <c r="H5334" s="6">
        <v>100</v>
      </c>
      <c r="J5334" s="17">
        <f t="shared" si="519"/>
        <v>0.78</v>
      </c>
      <c r="K5334" s="7">
        <v>44009671</v>
      </c>
      <c r="L5334" s="6" t="str">
        <f t="shared" si="518"/>
        <v>DL RETRO KESME RULO YOLLUK  78x100</v>
      </c>
      <c r="M5334" s="12">
        <v>0</v>
      </c>
      <c r="N5334" s="12">
        <v>0</v>
      </c>
      <c r="O5334" s="8">
        <v>615.42000000000007</v>
      </c>
      <c r="P5334" s="8">
        <f t="shared" si="514"/>
        <v>615.42000000000007</v>
      </c>
      <c r="Q5334" s="12">
        <f t="shared" si="520"/>
        <v>1292.3820000000003</v>
      </c>
      <c r="R5334" s="31">
        <f t="shared" si="516"/>
        <v>1200</v>
      </c>
      <c r="T5334" s="12"/>
      <c r="U5334" s="8">
        <v>11400</v>
      </c>
      <c r="W5334" s="8">
        <f t="shared" si="521"/>
        <v>1538.5500000000002</v>
      </c>
    </row>
    <row r="5335" spans="1:23" ht="21.95" customHeight="1" x14ac:dyDescent="0.2">
      <c r="A5335" s="6" t="s">
        <v>1431</v>
      </c>
      <c r="B5335" s="6" t="s">
        <v>1585</v>
      </c>
      <c r="C5335" s="6" t="s">
        <v>824</v>
      </c>
      <c r="D5335" s="6" t="s">
        <v>1446</v>
      </c>
      <c r="G5335" s="6">
        <v>98</v>
      </c>
      <c r="H5335" s="6">
        <v>100</v>
      </c>
      <c r="J5335" s="17">
        <f t="shared" si="519"/>
        <v>0.98</v>
      </c>
      <c r="K5335" s="7">
        <v>44009672</v>
      </c>
      <c r="L5335" s="6" t="str">
        <f t="shared" si="518"/>
        <v>DL RETRO KESME RULO YOLLUK  98x100</v>
      </c>
      <c r="M5335" s="12">
        <v>0</v>
      </c>
      <c r="N5335" s="12">
        <v>0</v>
      </c>
      <c r="O5335" s="8">
        <v>773.22</v>
      </c>
      <c r="P5335" s="8">
        <f t="shared" si="514"/>
        <v>773.22</v>
      </c>
      <c r="Q5335" s="12">
        <f t="shared" si="520"/>
        <v>1623.7620000000002</v>
      </c>
      <c r="R5335" s="31">
        <f t="shared" si="516"/>
        <v>1600</v>
      </c>
      <c r="T5335" s="12"/>
      <c r="U5335" s="8">
        <v>10800</v>
      </c>
      <c r="W5335" s="8">
        <f t="shared" si="521"/>
        <v>1933.0500000000002</v>
      </c>
    </row>
    <row r="5336" spans="1:23" ht="21.95" customHeight="1" x14ac:dyDescent="0.2">
      <c r="A5336" s="6" t="s">
        <v>1431</v>
      </c>
      <c r="B5336" s="6" t="s">
        <v>1585</v>
      </c>
      <c r="C5336" s="6" t="s">
        <v>824</v>
      </c>
      <c r="D5336" s="6" t="s">
        <v>1446</v>
      </c>
      <c r="G5336" s="6">
        <v>117</v>
      </c>
      <c r="H5336" s="6">
        <v>100</v>
      </c>
      <c r="J5336" s="17">
        <f t="shared" si="519"/>
        <v>1.17</v>
      </c>
      <c r="K5336" s="7">
        <v>44009673</v>
      </c>
      <c r="L5336" s="6" t="str">
        <f t="shared" si="518"/>
        <v>DL RETRO KESME RULO YOLLUK  117x100</v>
      </c>
      <c r="M5336" s="12">
        <v>0</v>
      </c>
      <c r="N5336" s="12">
        <v>0</v>
      </c>
      <c r="O5336" s="8">
        <v>923.13000000000011</v>
      </c>
      <c r="P5336" s="8">
        <f t="shared" si="514"/>
        <v>923.13000000000011</v>
      </c>
      <c r="Q5336" s="12">
        <f t="shared" si="520"/>
        <v>1938.5730000000003</v>
      </c>
      <c r="R5336" s="31">
        <f t="shared" si="516"/>
        <v>1900</v>
      </c>
      <c r="T5336" s="12"/>
      <c r="U5336" s="8">
        <v>11300</v>
      </c>
      <c r="W5336" s="8">
        <f t="shared" si="521"/>
        <v>2307.8250000000003</v>
      </c>
    </row>
    <row r="5337" spans="1:23" ht="21.95" customHeight="1" x14ac:dyDescent="0.2">
      <c r="A5337" s="6" t="s">
        <v>1431</v>
      </c>
      <c r="B5337" s="6" t="s">
        <v>1585</v>
      </c>
      <c r="C5337" s="6" t="s">
        <v>824</v>
      </c>
      <c r="D5337" s="6" t="s">
        <v>1446</v>
      </c>
      <c r="G5337" s="6">
        <v>155</v>
      </c>
      <c r="H5337" s="6">
        <v>100</v>
      </c>
      <c r="J5337" s="17">
        <f t="shared" si="519"/>
        <v>1.55</v>
      </c>
      <c r="K5337" s="7">
        <v>44009674</v>
      </c>
      <c r="L5337" s="6" t="str">
        <f t="shared" ref="L5337:L5368" si="522">B5337&amp;" "&amp;C5337&amp;" "&amp;D5337&amp;" "&amp;G5337&amp;"x"&amp;H5337</f>
        <v>DL RETRO KESME RULO YOLLUK  155x100</v>
      </c>
      <c r="M5337" s="12">
        <v>0</v>
      </c>
      <c r="N5337" s="12">
        <v>0</v>
      </c>
      <c r="O5337" s="8">
        <v>1222.95</v>
      </c>
      <c r="P5337" s="8">
        <f t="shared" si="514"/>
        <v>1222.95</v>
      </c>
      <c r="Q5337" s="12">
        <f t="shared" si="520"/>
        <v>2568.1950000000002</v>
      </c>
      <c r="R5337" s="31">
        <f t="shared" si="516"/>
        <v>2500</v>
      </c>
      <c r="T5337" s="12"/>
      <c r="U5337" s="8">
        <v>11400</v>
      </c>
      <c r="W5337" s="8">
        <f t="shared" si="521"/>
        <v>3057.375</v>
      </c>
    </row>
    <row r="5338" spans="1:23" ht="21.95" customHeight="1" x14ac:dyDescent="0.2">
      <c r="A5338" s="6" t="s">
        <v>1431</v>
      </c>
      <c r="B5338" s="6" t="s">
        <v>1585</v>
      </c>
      <c r="C5338" s="6" t="s">
        <v>824</v>
      </c>
      <c r="D5338" s="6" t="s">
        <v>1446</v>
      </c>
      <c r="G5338" s="6">
        <v>195</v>
      </c>
      <c r="H5338" s="6">
        <v>100</v>
      </c>
      <c r="J5338" s="17">
        <f t="shared" si="519"/>
        <v>1.95</v>
      </c>
      <c r="K5338" s="7">
        <v>44009675</v>
      </c>
      <c r="L5338" s="6" t="str">
        <f t="shared" si="522"/>
        <v>DL RETRO KESME RULO YOLLUK  195x100</v>
      </c>
      <c r="M5338" s="12">
        <v>0</v>
      </c>
      <c r="N5338" s="12">
        <v>0</v>
      </c>
      <c r="O5338" s="8">
        <v>1538.5500000000002</v>
      </c>
      <c r="P5338" s="8">
        <f t="shared" si="514"/>
        <v>1538.5500000000002</v>
      </c>
      <c r="Q5338" s="12">
        <f t="shared" si="520"/>
        <v>3230.9550000000004</v>
      </c>
      <c r="R5338" s="31">
        <f t="shared" si="516"/>
        <v>3200</v>
      </c>
      <c r="T5338" s="12"/>
      <c r="U5338" s="8">
        <v>13700</v>
      </c>
      <c r="W5338" s="8">
        <f t="shared" si="521"/>
        <v>3846.3750000000005</v>
      </c>
    </row>
    <row r="5339" spans="1:23" ht="21.95" customHeight="1" x14ac:dyDescent="0.2">
      <c r="A5339" s="6" t="s">
        <v>1431</v>
      </c>
      <c r="B5339" s="6" t="s">
        <v>1585</v>
      </c>
      <c r="C5339" s="6" t="s">
        <v>1448</v>
      </c>
      <c r="D5339" s="6" t="s">
        <v>1438</v>
      </c>
      <c r="G5339" s="6">
        <v>78</v>
      </c>
      <c r="H5339" s="6">
        <v>150</v>
      </c>
      <c r="J5339" s="17">
        <f t="shared" si="519"/>
        <v>1.17</v>
      </c>
      <c r="K5339" s="7">
        <v>44009676</v>
      </c>
      <c r="L5339" s="6" t="str">
        <f t="shared" si="522"/>
        <v>DL STİL  YOLLUK  78x150</v>
      </c>
      <c r="M5339" s="12">
        <v>0</v>
      </c>
      <c r="N5339" s="12">
        <v>0</v>
      </c>
      <c r="O5339" s="8">
        <v>1098.6300000000001</v>
      </c>
      <c r="P5339" s="8">
        <f t="shared" si="514"/>
        <v>1098.6300000000001</v>
      </c>
      <c r="Q5339" s="12">
        <f t="shared" si="520"/>
        <v>2307.1230000000005</v>
      </c>
      <c r="R5339" s="31">
        <f t="shared" si="516"/>
        <v>2300</v>
      </c>
      <c r="T5339" s="12"/>
      <c r="U5339" s="8">
        <v>16000</v>
      </c>
      <c r="W5339" s="8">
        <f t="shared" si="521"/>
        <v>2746.5750000000003</v>
      </c>
    </row>
    <row r="5340" spans="1:23" ht="21.95" customHeight="1" x14ac:dyDescent="0.2">
      <c r="A5340" s="6" t="s">
        <v>1431</v>
      </c>
      <c r="B5340" s="6" t="s">
        <v>1585</v>
      </c>
      <c r="C5340" s="6" t="s">
        <v>1448</v>
      </c>
      <c r="D5340" s="6" t="s">
        <v>1438</v>
      </c>
      <c r="G5340" s="6">
        <v>78</v>
      </c>
      <c r="H5340" s="6">
        <v>300</v>
      </c>
      <c r="J5340" s="17">
        <f t="shared" si="519"/>
        <v>2.34</v>
      </c>
      <c r="K5340" s="7">
        <v>44009677</v>
      </c>
      <c r="L5340" s="6" t="str">
        <f t="shared" si="522"/>
        <v>DL STİL  YOLLUK  78x300</v>
      </c>
      <c r="M5340" s="12">
        <v>0</v>
      </c>
      <c r="N5340" s="12">
        <v>0</v>
      </c>
      <c r="O5340" s="8">
        <v>2197.2600000000002</v>
      </c>
      <c r="P5340" s="8">
        <f t="shared" si="514"/>
        <v>2197.2600000000002</v>
      </c>
      <c r="Q5340" s="12">
        <f t="shared" si="520"/>
        <v>4614.246000000001</v>
      </c>
      <c r="R5340" s="31">
        <f t="shared" si="516"/>
        <v>4600</v>
      </c>
      <c r="T5340" s="12"/>
      <c r="U5340" s="8">
        <v>17200</v>
      </c>
      <c r="W5340" s="8">
        <f t="shared" si="521"/>
        <v>5493.1500000000005</v>
      </c>
    </row>
    <row r="5341" spans="1:23" ht="21.95" customHeight="1" x14ac:dyDescent="0.2">
      <c r="A5341" s="6" t="s">
        <v>1431</v>
      </c>
      <c r="B5341" s="6" t="s">
        <v>1585</v>
      </c>
      <c r="C5341" s="6" t="s">
        <v>1448</v>
      </c>
      <c r="D5341" s="6" t="s">
        <v>1438</v>
      </c>
      <c r="G5341" s="6">
        <v>98</v>
      </c>
      <c r="H5341" s="6">
        <v>200</v>
      </c>
      <c r="J5341" s="17">
        <f t="shared" si="519"/>
        <v>1.96</v>
      </c>
      <c r="K5341" s="7">
        <v>44009678</v>
      </c>
      <c r="L5341" s="6" t="str">
        <f t="shared" si="522"/>
        <v>DL STİL  YOLLUK  98x200</v>
      </c>
      <c r="M5341" s="12">
        <v>0</v>
      </c>
      <c r="N5341" s="12">
        <v>0</v>
      </c>
      <c r="O5341" s="8">
        <v>1840.4400000000003</v>
      </c>
      <c r="P5341" s="8">
        <f t="shared" si="514"/>
        <v>1840.4400000000003</v>
      </c>
      <c r="Q5341" s="12">
        <f t="shared" si="520"/>
        <v>3864.9240000000009</v>
      </c>
      <c r="R5341" s="31">
        <f t="shared" si="516"/>
        <v>3800</v>
      </c>
      <c r="T5341" s="12"/>
      <c r="U5341" s="8">
        <v>18300</v>
      </c>
      <c r="W5341" s="8">
        <f t="shared" si="521"/>
        <v>4601.1000000000004</v>
      </c>
    </row>
    <row r="5342" spans="1:23" ht="21.95" customHeight="1" x14ac:dyDescent="0.2">
      <c r="A5342" s="6" t="s">
        <v>1431</v>
      </c>
      <c r="B5342" s="6" t="s">
        <v>1585</v>
      </c>
      <c r="C5342" s="6" t="s">
        <v>1448</v>
      </c>
      <c r="D5342" s="6" t="s">
        <v>1438</v>
      </c>
      <c r="G5342" s="6">
        <v>98</v>
      </c>
      <c r="H5342" s="6">
        <v>300</v>
      </c>
      <c r="J5342" s="17">
        <f t="shared" si="519"/>
        <v>2.94</v>
      </c>
      <c r="K5342" s="7">
        <v>44009679</v>
      </c>
      <c r="L5342" s="6" t="str">
        <f t="shared" si="522"/>
        <v>DL STİL  YOLLUK  98x300</v>
      </c>
      <c r="M5342" s="12">
        <v>0</v>
      </c>
      <c r="N5342" s="12">
        <v>0</v>
      </c>
      <c r="O5342" s="8">
        <v>2760.66</v>
      </c>
      <c r="P5342" s="8">
        <f t="shared" si="514"/>
        <v>2760.66</v>
      </c>
      <c r="Q5342" s="12">
        <f t="shared" si="520"/>
        <v>5797.3859999999995</v>
      </c>
      <c r="R5342" s="31">
        <f t="shared" si="516"/>
        <v>5700</v>
      </c>
      <c r="T5342" s="12"/>
      <c r="U5342" s="8">
        <v>20600</v>
      </c>
      <c r="W5342" s="8">
        <f t="shared" si="521"/>
        <v>6901.65</v>
      </c>
    </row>
    <row r="5343" spans="1:23" ht="21.95" customHeight="1" x14ac:dyDescent="0.2">
      <c r="A5343" s="6" t="s">
        <v>1431</v>
      </c>
      <c r="B5343" s="6" t="s">
        <v>1585</v>
      </c>
      <c r="C5343" s="6" t="s">
        <v>1448</v>
      </c>
      <c r="D5343" s="6" t="s">
        <v>1431</v>
      </c>
      <c r="G5343" s="6">
        <v>120</v>
      </c>
      <c r="H5343" s="6">
        <v>180</v>
      </c>
      <c r="J5343" s="17">
        <f t="shared" si="519"/>
        <v>2.16</v>
      </c>
      <c r="K5343" s="7">
        <v>44009680</v>
      </c>
      <c r="L5343" s="6" t="str">
        <f t="shared" si="522"/>
        <v>DL STİL  HALI  120x180</v>
      </c>
      <c r="M5343" s="12">
        <v>0</v>
      </c>
      <c r="N5343" s="12">
        <v>0</v>
      </c>
      <c r="O5343" s="8">
        <v>2028.2400000000002</v>
      </c>
      <c r="P5343" s="8">
        <f t="shared" si="514"/>
        <v>2028.2400000000002</v>
      </c>
      <c r="Q5343" s="12">
        <f t="shared" si="520"/>
        <v>4259.304000000001</v>
      </c>
      <c r="R5343" s="31">
        <f t="shared" si="516"/>
        <v>4200</v>
      </c>
      <c r="T5343" s="12"/>
      <c r="U5343" s="8">
        <v>15800</v>
      </c>
      <c r="W5343" s="8">
        <f t="shared" si="521"/>
        <v>5070.6000000000004</v>
      </c>
    </row>
    <row r="5344" spans="1:23" ht="21.95" customHeight="1" x14ac:dyDescent="0.2">
      <c r="A5344" s="6" t="s">
        <v>1431</v>
      </c>
      <c r="B5344" s="6" t="s">
        <v>1585</v>
      </c>
      <c r="C5344" s="6" t="s">
        <v>1448</v>
      </c>
      <c r="D5344" s="6" t="s">
        <v>1431</v>
      </c>
      <c r="G5344" s="6">
        <v>160</v>
      </c>
      <c r="H5344" s="6">
        <v>230</v>
      </c>
      <c r="J5344" s="17">
        <f t="shared" si="519"/>
        <v>3.68</v>
      </c>
      <c r="K5344" s="7">
        <v>44009681</v>
      </c>
      <c r="L5344" s="6" t="str">
        <f t="shared" si="522"/>
        <v>DL STİL  HALI  160x230</v>
      </c>
      <c r="M5344" s="12">
        <v>0</v>
      </c>
      <c r="N5344" s="12">
        <v>0</v>
      </c>
      <c r="O5344" s="8">
        <v>3455.52</v>
      </c>
      <c r="P5344" s="8">
        <f t="shared" si="514"/>
        <v>3455.52</v>
      </c>
      <c r="Q5344" s="12">
        <f t="shared" si="520"/>
        <v>7256.5920000000006</v>
      </c>
      <c r="R5344" s="31">
        <f t="shared" si="516"/>
        <v>7200</v>
      </c>
      <c r="T5344" s="12"/>
      <c r="U5344" s="8">
        <v>12500</v>
      </c>
      <c r="W5344" s="8">
        <f t="shared" si="521"/>
        <v>8638.7999999999993</v>
      </c>
    </row>
    <row r="5345" spans="1:23" ht="21.95" customHeight="1" x14ac:dyDescent="0.2">
      <c r="A5345" s="6" t="s">
        <v>1431</v>
      </c>
      <c r="B5345" s="6" t="s">
        <v>1585</v>
      </c>
      <c r="C5345" s="6" t="s">
        <v>1448</v>
      </c>
      <c r="D5345" s="6" t="s">
        <v>1431</v>
      </c>
      <c r="G5345" s="6">
        <v>195</v>
      </c>
      <c r="H5345" s="6">
        <v>290</v>
      </c>
      <c r="J5345" s="17">
        <f t="shared" ref="J5345:J5376" si="523">G5345*H5345/10000</f>
        <v>5.6550000000000002</v>
      </c>
      <c r="K5345" s="7">
        <v>44009682</v>
      </c>
      <c r="L5345" s="6" t="str">
        <f t="shared" si="522"/>
        <v>DL STİL  HALI  195x290</v>
      </c>
      <c r="M5345" s="12">
        <v>0</v>
      </c>
      <c r="N5345" s="12">
        <v>0</v>
      </c>
      <c r="O5345" s="8">
        <v>5310.0450000000001</v>
      </c>
      <c r="P5345" s="8">
        <f t="shared" ref="P5345:P5408" si="524">O5345*(1-N5345)</f>
        <v>5310.0450000000001</v>
      </c>
      <c r="Q5345" s="12">
        <f t="shared" ref="Q5345:Q5376" si="525">O5345*2.1</f>
        <v>11151.094500000001</v>
      </c>
      <c r="R5345" s="31">
        <f t="shared" ref="R5345:R5408" si="526">ROUNDDOWN(Q5345,-2)</f>
        <v>11100</v>
      </c>
      <c r="T5345" s="12"/>
      <c r="U5345" s="8">
        <v>13100</v>
      </c>
      <c r="W5345" s="8">
        <f t="shared" si="521"/>
        <v>13275.112499999999</v>
      </c>
    </row>
    <row r="5346" spans="1:23" ht="21.95" customHeight="1" x14ac:dyDescent="0.2">
      <c r="A5346" s="6" t="s">
        <v>1431</v>
      </c>
      <c r="B5346" s="6" t="s">
        <v>1585</v>
      </c>
      <c r="C5346" s="6" t="s">
        <v>1398</v>
      </c>
      <c r="D5346" s="6" t="s">
        <v>1438</v>
      </c>
      <c r="G5346" s="6">
        <v>80</v>
      </c>
      <c r="H5346" s="6">
        <v>150</v>
      </c>
      <c r="J5346" s="17">
        <f t="shared" si="523"/>
        <v>1.2</v>
      </c>
      <c r="K5346" s="7">
        <v>44009683</v>
      </c>
      <c r="L5346" s="6" t="str">
        <f t="shared" si="522"/>
        <v>DL HERMES  YOLLUK  80x150</v>
      </c>
      <c r="M5346" s="12">
        <v>0</v>
      </c>
      <c r="N5346" s="12">
        <v>0</v>
      </c>
      <c r="O5346" s="8">
        <v>1218</v>
      </c>
      <c r="P5346" s="8">
        <f t="shared" si="524"/>
        <v>1218</v>
      </c>
      <c r="Q5346" s="12">
        <f t="shared" si="525"/>
        <v>2557.8000000000002</v>
      </c>
      <c r="R5346" s="31">
        <f t="shared" si="526"/>
        <v>2500</v>
      </c>
      <c r="T5346" s="12"/>
      <c r="U5346" s="8">
        <v>13300</v>
      </c>
      <c r="W5346" s="8">
        <f t="shared" si="521"/>
        <v>3045</v>
      </c>
    </row>
    <row r="5347" spans="1:23" ht="21.95" customHeight="1" x14ac:dyDescent="0.2">
      <c r="A5347" s="6" t="s">
        <v>1431</v>
      </c>
      <c r="B5347" s="6" t="s">
        <v>1585</v>
      </c>
      <c r="C5347" s="6" t="s">
        <v>1398</v>
      </c>
      <c r="D5347" s="6" t="s">
        <v>1438</v>
      </c>
      <c r="G5347" s="6">
        <v>80</v>
      </c>
      <c r="H5347" s="6">
        <v>300</v>
      </c>
      <c r="J5347" s="17">
        <f t="shared" si="523"/>
        <v>2.4</v>
      </c>
      <c r="K5347" s="7">
        <v>44009684</v>
      </c>
      <c r="L5347" s="6" t="str">
        <f t="shared" si="522"/>
        <v>DL HERMES  YOLLUK  80x300</v>
      </c>
      <c r="M5347" s="12">
        <v>0</v>
      </c>
      <c r="N5347" s="12">
        <v>0</v>
      </c>
      <c r="O5347" s="8">
        <v>2436</v>
      </c>
      <c r="P5347" s="8">
        <f t="shared" si="524"/>
        <v>2436</v>
      </c>
      <c r="Q5347" s="12">
        <f t="shared" si="525"/>
        <v>5115.6000000000004</v>
      </c>
      <c r="R5347" s="31">
        <f t="shared" si="526"/>
        <v>5100</v>
      </c>
      <c r="T5347" s="12"/>
      <c r="U5347" s="8">
        <v>15900</v>
      </c>
      <c r="W5347" s="8">
        <f t="shared" si="521"/>
        <v>6090</v>
      </c>
    </row>
    <row r="5348" spans="1:23" ht="21.95" customHeight="1" x14ac:dyDescent="0.2">
      <c r="A5348" s="6" t="s">
        <v>1431</v>
      </c>
      <c r="B5348" s="6" t="s">
        <v>1585</v>
      </c>
      <c r="C5348" s="6" t="s">
        <v>1398</v>
      </c>
      <c r="D5348" s="6" t="s">
        <v>1438</v>
      </c>
      <c r="G5348" s="6">
        <v>100</v>
      </c>
      <c r="H5348" s="6">
        <v>200</v>
      </c>
      <c r="J5348" s="17">
        <f t="shared" si="523"/>
        <v>2</v>
      </c>
      <c r="K5348" s="7">
        <v>44009685</v>
      </c>
      <c r="L5348" s="6" t="str">
        <f t="shared" si="522"/>
        <v>DL HERMES  YOLLUK  100x200</v>
      </c>
      <c r="M5348" s="12">
        <v>0</v>
      </c>
      <c r="N5348" s="12">
        <v>0</v>
      </c>
      <c r="O5348" s="8">
        <v>2030</v>
      </c>
      <c r="P5348" s="8">
        <f t="shared" si="524"/>
        <v>2030</v>
      </c>
      <c r="Q5348" s="12">
        <f t="shared" si="525"/>
        <v>4263</v>
      </c>
      <c r="R5348" s="31">
        <f t="shared" si="526"/>
        <v>4200</v>
      </c>
      <c r="T5348" s="12"/>
      <c r="U5348" s="8">
        <v>18600</v>
      </c>
      <c r="W5348" s="8">
        <f t="shared" si="521"/>
        <v>5075</v>
      </c>
    </row>
    <row r="5349" spans="1:23" ht="21.95" customHeight="1" x14ac:dyDescent="0.2">
      <c r="A5349" s="6" t="s">
        <v>1431</v>
      </c>
      <c r="B5349" s="6" t="s">
        <v>1585</v>
      </c>
      <c r="C5349" s="6" t="s">
        <v>1398</v>
      </c>
      <c r="D5349" s="6" t="s">
        <v>1438</v>
      </c>
      <c r="G5349" s="6">
        <v>100</v>
      </c>
      <c r="H5349" s="6">
        <v>300</v>
      </c>
      <c r="J5349" s="17">
        <f t="shared" si="523"/>
        <v>3</v>
      </c>
      <c r="K5349" s="7">
        <v>44009686</v>
      </c>
      <c r="L5349" s="6" t="str">
        <f t="shared" si="522"/>
        <v>DL HERMES  YOLLUK  100x300</v>
      </c>
      <c r="M5349" s="12">
        <v>0</v>
      </c>
      <c r="N5349" s="12">
        <v>0</v>
      </c>
      <c r="O5349" s="8">
        <v>3045</v>
      </c>
      <c r="P5349" s="8">
        <f t="shared" si="524"/>
        <v>3045</v>
      </c>
      <c r="Q5349" s="12">
        <f t="shared" si="525"/>
        <v>6394.5</v>
      </c>
      <c r="R5349" s="31">
        <f t="shared" si="526"/>
        <v>6300</v>
      </c>
      <c r="T5349" s="12"/>
      <c r="U5349" s="8">
        <v>19900</v>
      </c>
      <c r="W5349" s="8">
        <f t="shared" si="521"/>
        <v>7612.5</v>
      </c>
    </row>
    <row r="5350" spans="1:23" ht="21.95" customHeight="1" x14ac:dyDescent="0.2">
      <c r="A5350" s="6" t="s">
        <v>1431</v>
      </c>
      <c r="B5350" s="6" t="s">
        <v>1585</v>
      </c>
      <c r="C5350" s="6" t="s">
        <v>1398</v>
      </c>
      <c r="D5350" s="6" t="s">
        <v>1445</v>
      </c>
      <c r="G5350" s="6">
        <v>125</v>
      </c>
      <c r="H5350" s="6">
        <v>200</v>
      </c>
      <c r="J5350" s="17">
        <f t="shared" si="523"/>
        <v>2.5</v>
      </c>
      <c r="K5350" s="7">
        <v>44009687</v>
      </c>
      <c r="L5350" s="6" t="str">
        <f t="shared" si="522"/>
        <v>DL HERMES  HALI 125x200</v>
      </c>
      <c r="M5350" s="12">
        <v>0</v>
      </c>
      <c r="N5350" s="12">
        <v>0</v>
      </c>
      <c r="O5350" s="8">
        <v>2537.5</v>
      </c>
      <c r="P5350" s="8">
        <f t="shared" si="524"/>
        <v>2537.5</v>
      </c>
      <c r="Q5350" s="12">
        <f t="shared" si="525"/>
        <v>5328.75</v>
      </c>
      <c r="R5350" s="31">
        <f t="shared" si="526"/>
        <v>5300</v>
      </c>
      <c r="T5350" s="12"/>
      <c r="U5350" s="8">
        <v>21200</v>
      </c>
      <c r="W5350" s="8">
        <f t="shared" si="521"/>
        <v>6343.75</v>
      </c>
    </row>
    <row r="5351" spans="1:23" ht="21.95" customHeight="1" x14ac:dyDescent="0.2">
      <c r="A5351" s="6" t="s">
        <v>1431</v>
      </c>
      <c r="B5351" s="6" t="s">
        <v>1585</v>
      </c>
      <c r="C5351" s="6" t="s">
        <v>1398</v>
      </c>
      <c r="D5351" s="6" t="s">
        <v>1445</v>
      </c>
      <c r="G5351" s="6">
        <v>165</v>
      </c>
      <c r="H5351" s="6">
        <v>230</v>
      </c>
      <c r="J5351" s="17">
        <f t="shared" si="523"/>
        <v>3.7949999999999999</v>
      </c>
      <c r="K5351" s="7">
        <v>44009688</v>
      </c>
      <c r="L5351" s="6" t="str">
        <f t="shared" si="522"/>
        <v>DL HERMES  HALI 165x230</v>
      </c>
      <c r="M5351" s="12">
        <v>0</v>
      </c>
      <c r="N5351" s="12">
        <v>0</v>
      </c>
      <c r="O5351" s="8">
        <v>3851.9250000000002</v>
      </c>
      <c r="P5351" s="8">
        <f t="shared" si="524"/>
        <v>3851.9250000000002</v>
      </c>
      <c r="Q5351" s="12">
        <f t="shared" si="525"/>
        <v>8089.0425000000005</v>
      </c>
      <c r="R5351" s="31">
        <f t="shared" si="526"/>
        <v>8000</v>
      </c>
      <c r="T5351" s="12"/>
      <c r="U5351" s="8">
        <v>23900</v>
      </c>
      <c r="W5351" s="8">
        <f t="shared" si="521"/>
        <v>9629.8125</v>
      </c>
    </row>
    <row r="5352" spans="1:23" ht="21.95" customHeight="1" x14ac:dyDescent="0.2">
      <c r="A5352" s="6" t="s">
        <v>1431</v>
      </c>
      <c r="B5352" s="6" t="s">
        <v>1585</v>
      </c>
      <c r="C5352" s="6" t="s">
        <v>1398</v>
      </c>
      <c r="D5352" s="6" t="s">
        <v>1445</v>
      </c>
      <c r="G5352" s="6">
        <v>200</v>
      </c>
      <c r="H5352" s="6">
        <v>290</v>
      </c>
      <c r="J5352" s="17">
        <f t="shared" si="523"/>
        <v>5.8</v>
      </c>
      <c r="K5352" s="7">
        <v>44009689</v>
      </c>
      <c r="L5352" s="6" t="str">
        <f t="shared" si="522"/>
        <v>DL HERMES  HALI 200x290</v>
      </c>
      <c r="M5352" s="12">
        <v>0</v>
      </c>
      <c r="N5352" s="12">
        <v>0</v>
      </c>
      <c r="O5352" s="8">
        <v>5887.0000000000009</v>
      </c>
      <c r="P5352" s="8">
        <f t="shared" si="524"/>
        <v>5887.0000000000009</v>
      </c>
      <c r="Q5352" s="12">
        <f t="shared" si="525"/>
        <v>12362.700000000003</v>
      </c>
      <c r="R5352" s="31">
        <f t="shared" si="526"/>
        <v>12300</v>
      </c>
      <c r="T5352" s="12"/>
      <c r="U5352" s="8">
        <v>6100</v>
      </c>
      <c r="W5352" s="8">
        <f t="shared" si="521"/>
        <v>14717.500000000002</v>
      </c>
    </row>
    <row r="5353" spans="1:23" ht="21.95" customHeight="1" x14ac:dyDescent="0.2">
      <c r="A5353" s="6" t="s">
        <v>1431</v>
      </c>
      <c r="B5353" s="6" t="s">
        <v>1585</v>
      </c>
      <c r="C5353" s="6" t="s">
        <v>1398</v>
      </c>
      <c r="D5353" s="6" t="s">
        <v>1446</v>
      </c>
      <c r="G5353" s="6">
        <v>80</v>
      </c>
      <c r="H5353" s="6">
        <v>100</v>
      </c>
      <c r="J5353" s="17">
        <f t="shared" si="523"/>
        <v>0.8</v>
      </c>
      <c r="K5353" s="7">
        <v>44009690</v>
      </c>
      <c r="L5353" s="6" t="str">
        <f t="shared" si="522"/>
        <v>DL HERMES  KESME RULO YOLLUK  80x100</v>
      </c>
      <c r="M5353" s="12">
        <v>0</v>
      </c>
      <c r="N5353" s="12">
        <v>0</v>
      </c>
      <c r="O5353" s="8">
        <v>812</v>
      </c>
      <c r="P5353" s="8">
        <f t="shared" si="524"/>
        <v>812</v>
      </c>
      <c r="Q5353" s="12">
        <f t="shared" si="525"/>
        <v>1705.2</v>
      </c>
      <c r="R5353" s="31">
        <f t="shared" si="526"/>
        <v>1700</v>
      </c>
      <c r="T5353" s="12"/>
      <c r="U5353" s="8">
        <v>6100</v>
      </c>
      <c r="W5353" s="8">
        <f t="shared" si="521"/>
        <v>2030</v>
      </c>
    </row>
    <row r="5354" spans="1:23" ht="21.95" customHeight="1" x14ac:dyDescent="0.2">
      <c r="A5354" s="6" t="s">
        <v>1431</v>
      </c>
      <c r="B5354" s="6" t="s">
        <v>1585</v>
      </c>
      <c r="C5354" s="6" t="s">
        <v>1398</v>
      </c>
      <c r="D5354" s="6" t="s">
        <v>1446</v>
      </c>
      <c r="G5354" s="6">
        <v>100</v>
      </c>
      <c r="H5354" s="6">
        <v>100</v>
      </c>
      <c r="J5354" s="17">
        <f t="shared" si="523"/>
        <v>1</v>
      </c>
      <c r="K5354" s="7">
        <v>44009691</v>
      </c>
      <c r="L5354" s="6" t="str">
        <f t="shared" si="522"/>
        <v>DL HERMES  KESME RULO YOLLUK  100x100</v>
      </c>
      <c r="M5354" s="12">
        <v>0</v>
      </c>
      <c r="N5354" s="12">
        <v>0</v>
      </c>
      <c r="O5354" s="8">
        <v>1015</v>
      </c>
      <c r="P5354" s="8">
        <f t="shared" si="524"/>
        <v>1015</v>
      </c>
      <c r="Q5354" s="12">
        <f t="shared" si="525"/>
        <v>2131.5</v>
      </c>
      <c r="R5354" s="31">
        <f t="shared" si="526"/>
        <v>2100</v>
      </c>
      <c r="T5354" s="12"/>
      <c r="U5354" s="8">
        <v>6200</v>
      </c>
      <c r="W5354" s="8">
        <f t="shared" si="521"/>
        <v>2537.5</v>
      </c>
    </row>
    <row r="5355" spans="1:23" ht="21.95" customHeight="1" x14ac:dyDescent="0.2">
      <c r="A5355" s="6" t="s">
        <v>1431</v>
      </c>
      <c r="B5355" s="6" t="s">
        <v>1585</v>
      </c>
      <c r="C5355" s="6" t="s">
        <v>1398</v>
      </c>
      <c r="D5355" s="6" t="s">
        <v>1446</v>
      </c>
      <c r="G5355" s="6">
        <v>120</v>
      </c>
      <c r="H5355" s="6">
        <v>100</v>
      </c>
      <c r="J5355" s="17">
        <f t="shared" si="523"/>
        <v>1.2</v>
      </c>
      <c r="K5355" s="7">
        <v>44009692</v>
      </c>
      <c r="L5355" s="6" t="str">
        <f t="shared" si="522"/>
        <v>DL HERMES  KESME RULO YOLLUK  120x100</v>
      </c>
      <c r="M5355" s="12">
        <v>0</v>
      </c>
      <c r="N5355" s="12">
        <v>0</v>
      </c>
      <c r="O5355" s="8">
        <v>1218</v>
      </c>
      <c r="P5355" s="8">
        <f t="shared" si="524"/>
        <v>1218</v>
      </c>
      <c r="Q5355" s="12">
        <f t="shared" si="525"/>
        <v>2557.8000000000002</v>
      </c>
      <c r="R5355" s="31">
        <f t="shared" si="526"/>
        <v>2500</v>
      </c>
      <c r="T5355" s="12"/>
      <c r="U5355" s="8">
        <v>7400</v>
      </c>
      <c r="W5355" s="8">
        <f t="shared" si="521"/>
        <v>3045</v>
      </c>
    </row>
    <row r="5356" spans="1:23" ht="21.95" customHeight="1" x14ac:dyDescent="0.2">
      <c r="A5356" s="6" t="s">
        <v>1431</v>
      </c>
      <c r="B5356" s="6" t="s">
        <v>1585</v>
      </c>
      <c r="C5356" s="6" t="s">
        <v>1398</v>
      </c>
      <c r="D5356" s="6" t="s">
        <v>1446</v>
      </c>
      <c r="G5356" s="6">
        <v>150</v>
      </c>
      <c r="H5356" s="6">
        <v>100</v>
      </c>
      <c r="J5356" s="17">
        <f t="shared" si="523"/>
        <v>1.5</v>
      </c>
      <c r="K5356" s="7">
        <v>44009693</v>
      </c>
      <c r="L5356" s="6" t="str">
        <f t="shared" si="522"/>
        <v>DL HERMES  KESME RULO YOLLUK  150x100</v>
      </c>
      <c r="M5356" s="12">
        <v>0</v>
      </c>
      <c r="N5356" s="12">
        <v>0</v>
      </c>
      <c r="O5356" s="8">
        <v>1522.5</v>
      </c>
      <c r="P5356" s="8">
        <f t="shared" si="524"/>
        <v>1522.5</v>
      </c>
      <c r="Q5356" s="12">
        <f t="shared" si="525"/>
        <v>3197.25</v>
      </c>
      <c r="R5356" s="31">
        <f t="shared" si="526"/>
        <v>3100</v>
      </c>
      <c r="T5356" s="12"/>
      <c r="U5356" s="8">
        <v>8700</v>
      </c>
      <c r="W5356" s="8">
        <f t="shared" si="521"/>
        <v>3806.25</v>
      </c>
    </row>
    <row r="5357" spans="1:23" ht="21.95" customHeight="1" x14ac:dyDescent="0.2">
      <c r="A5357" s="6" t="s">
        <v>1431</v>
      </c>
      <c r="B5357" s="6" t="s">
        <v>1585</v>
      </c>
      <c r="C5357" s="6" t="s">
        <v>1398</v>
      </c>
      <c r="D5357" s="6" t="s">
        <v>1446</v>
      </c>
      <c r="G5357" s="6">
        <v>200</v>
      </c>
      <c r="H5357" s="6">
        <v>100</v>
      </c>
      <c r="J5357" s="17">
        <f t="shared" si="523"/>
        <v>2</v>
      </c>
      <c r="K5357" s="7">
        <v>44009694</v>
      </c>
      <c r="L5357" s="6" t="str">
        <f t="shared" si="522"/>
        <v>DL HERMES  KESME RULO YOLLUK  200x100</v>
      </c>
      <c r="M5357" s="12">
        <v>0</v>
      </c>
      <c r="N5357" s="12">
        <v>0</v>
      </c>
      <c r="O5357" s="8">
        <v>2030</v>
      </c>
      <c r="P5357" s="8">
        <f t="shared" si="524"/>
        <v>2030</v>
      </c>
      <c r="Q5357" s="12">
        <f t="shared" si="525"/>
        <v>4263</v>
      </c>
      <c r="R5357" s="31">
        <f t="shared" si="526"/>
        <v>4200</v>
      </c>
      <c r="T5357" s="12"/>
      <c r="U5357" s="8">
        <v>9300</v>
      </c>
      <c r="W5357" s="8">
        <f t="shared" si="521"/>
        <v>5075</v>
      </c>
    </row>
    <row r="5358" spans="1:23" ht="21.95" customHeight="1" x14ac:dyDescent="0.2">
      <c r="A5358" s="6" t="s">
        <v>1431</v>
      </c>
      <c r="B5358" s="6" t="s">
        <v>1585</v>
      </c>
      <c r="C5358" s="6" t="s">
        <v>1449</v>
      </c>
      <c r="D5358" s="6" t="s">
        <v>1438</v>
      </c>
      <c r="G5358" s="6">
        <v>80</v>
      </c>
      <c r="H5358" s="6">
        <v>150</v>
      </c>
      <c r="J5358" s="17">
        <f t="shared" si="523"/>
        <v>1.2</v>
      </c>
      <c r="K5358" s="7">
        <v>44009695</v>
      </c>
      <c r="L5358" s="6" t="str">
        <f t="shared" si="522"/>
        <v>DL ELİZ  YOLLUK  80x150</v>
      </c>
      <c r="M5358" s="12">
        <v>0</v>
      </c>
      <c r="N5358" s="12">
        <v>0</v>
      </c>
      <c r="O5358" s="8">
        <v>1002</v>
      </c>
      <c r="P5358" s="8">
        <f t="shared" si="524"/>
        <v>1002</v>
      </c>
      <c r="Q5358" s="12">
        <f t="shared" si="525"/>
        <v>2104.2000000000003</v>
      </c>
      <c r="R5358" s="31">
        <f t="shared" si="526"/>
        <v>2100</v>
      </c>
      <c r="T5358" s="12"/>
      <c r="U5358" s="8">
        <v>9900</v>
      </c>
      <c r="W5358" s="8">
        <f t="shared" si="521"/>
        <v>2505</v>
      </c>
    </row>
    <row r="5359" spans="1:23" ht="21.95" customHeight="1" x14ac:dyDescent="0.2">
      <c r="A5359" s="6" t="s">
        <v>1431</v>
      </c>
      <c r="B5359" s="6" t="s">
        <v>1585</v>
      </c>
      <c r="C5359" s="6" t="s">
        <v>1449</v>
      </c>
      <c r="D5359" s="6" t="s">
        <v>1438</v>
      </c>
      <c r="G5359" s="6">
        <v>80</v>
      </c>
      <c r="H5359" s="6">
        <v>300</v>
      </c>
      <c r="J5359" s="17">
        <f t="shared" si="523"/>
        <v>2.4</v>
      </c>
      <c r="K5359" s="7">
        <v>44009696</v>
      </c>
      <c r="L5359" s="6" t="str">
        <f t="shared" si="522"/>
        <v>DL ELİZ  YOLLUK  80x300</v>
      </c>
      <c r="M5359" s="12">
        <v>0</v>
      </c>
      <c r="N5359" s="12">
        <v>0</v>
      </c>
      <c r="O5359" s="8">
        <v>2004</v>
      </c>
      <c r="P5359" s="8">
        <f t="shared" si="524"/>
        <v>2004</v>
      </c>
      <c r="Q5359" s="12">
        <f t="shared" si="525"/>
        <v>4208.4000000000005</v>
      </c>
      <c r="R5359" s="31">
        <f t="shared" si="526"/>
        <v>4200</v>
      </c>
      <c r="T5359" s="12"/>
      <c r="U5359" s="8">
        <v>11100</v>
      </c>
      <c r="W5359" s="8">
        <f t="shared" si="521"/>
        <v>5010</v>
      </c>
    </row>
    <row r="5360" spans="1:23" ht="21.95" customHeight="1" x14ac:dyDescent="0.2">
      <c r="A5360" s="6" t="s">
        <v>1431</v>
      </c>
      <c r="B5360" s="6" t="s">
        <v>1585</v>
      </c>
      <c r="C5360" s="6" t="s">
        <v>1449</v>
      </c>
      <c r="D5360" s="6" t="s">
        <v>1438</v>
      </c>
      <c r="G5360" s="6">
        <v>100</v>
      </c>
      <c r="H5360" s="6">
        <v>200</v>
      </c>
      <c r="J5360" s="17">
        <f t="shared" si="523"/>
        <v>2</v>
      </c>
      <c r="K5360" s="7">
        <v>44009697</v>
      </c>
      <c r="L5360" s="6" t="str">
        <f t="shared" si="522"/>
        <v>DL ELİZ  YOLLUK  100x200</v>
      </c>
      <c r="M5360" s="12">
        <v>0</v>
      </c>
      <c r="N5360" s="12">
        <v>0</v>
      </c>
      <c r="O5360" s="8">
        <v>1670</v>
      </c>
      <c r="P5360" s="8">
        <f t="shared" si="524"/>
        <v>1670</v>
      </c>
      <c r="Q5360" s="12">
        <f t="shared" si="525"/>
        <v>3507</v>
      </c>
      <c r="R5360" s="31">
        <f t="shared" si="526"/>
        <v>3500</v>
      </c>
      <c r="T5360" s="12"/>
      <c r="U5360" s="8">
        <v>13000</v>
      </c>
      <c r="W5360" s="8">
        <f t="shared" si="521"/>
        <v>4175</v>
      </c>
    </row>
    <row r="5361" spans="1:23" ht="21.95" customHeight="1" x14ac:dyDescent="0.2">
      <c r="A5361" s="6" t="s">
        <v>1431</v>
      </c>
      <c r="B5361" s="6" t="s">
        <v>1585</v>
      </c>
      <c r="C5361" s="6" t="s">
        <v>1449</v>
      </c>
      <c r="D5361" s="6" t="s">
        <v>1438</v>
      </c>
      <c r="G5361" s="6">
        <v>100</v>
      </c>
      <c r="H5361" s="6">
        <v>300</v>
      </c>
      <c r="J5361" s="17">
        <f t="shared" si="523"/>
        <v>3</v>
      </c>
      <c r="K5361" s="7">
        <v>44009698</v>
      </c>
      <c r="L5361" s="6" t="str">
        <f t="shared" si="522"/>
        <v>DL ELİZ  YOLLUK  100x300</v>
      </c>
      <c r="M5361" s="12">
        <v>0</v>
      </c>
      <c r="N5361" s="12">
        <v>0</v>
      </c>
      <c r="O5361" s="8">
        <v>2505</v>
      </c>
      <c r="P5361" s="8">
        <f t="shared" si="524"/>
        <v>2505</v>
      </c>
      <c r="Q5361" s="12">
        <f t="shared" si="525"/>
        <v>5260.5</v>
      </c>
      <c r="R5361" s="31">
        <f t="shared" si="526"/>
        <v>5200</v>
      </c>
      <c r="T5361" s="12"/>
      <c r="U5361" s="8">
        <v>13700</v>
      </c>
      <c r="W5361" s="8">
        <f t="shared" si="521"/>
        <v>6262.5</v>
      </c>
    </row>
    <row r="5362" spans="1:23" ht="21.95" customHeight="1" x14ac:dyDescent="0.2">
      <c r="A5362" s="6" t="s">
        <v>1431</v>
      </c>
      <c r="B5362" s="6" t="s">
        <v>1585</v>
      </c>
      <c r="C5362" s="6" t="s">
        <v>1449</v>
      </c>
      <c r="D5362" s="6" t="s">
        <v>1431</v>
      </c>
      <c r="G5362" s="6">
        <v>125</v>
      </c>
      <c r="H5362" s="6">
        <v>200</v>
      </c>
      <c r="J5362" s="17">
        <f t="shared" si="523"/>
        <v>2.5</v>
      </c>
      <c r="K5362" s="7">
        <v>44009699</v>
      </c>
      <c r="L5362" s="6" t="str">
        <f t="shared" si="522"/>
        <v>DL ELİZ  HALI  125x200</v>
      </c>
      <c r="M5362" s="12">
        <v>0</v>
      </c>
      <c r="N5362" s="12">
        <v>0</v>
      </c>
      <c r="O5362" s="8">
        <v>2087.5</v>
      </c>
      <c r="P5362" s="8">
        <f t="shared" si="524"/>
        <v>2087.5</v>
      </c>
      <c r="Q5362" s="12">
        <f t="shared" si="525"/>
        <v>4383.75</v>
      </c>
      <c r="R5362" s="31">
        <f t="shared" si="526"/>
        <v>4300</v>
      </c>
      <c r="T5362" s="12"/>
      <c r="U5362" s="8">
        <v>13800</v>
      </c>
      <c r="W5362" s="8">
        <f t="shared" si="521"/>
        <v>5218.75</v>
      </c>
    </row>
    <row r="5363" spans="1:23" ht="21.95" customHeight="1" x14ac:dyDescent="0.2">
      <c r="A5363" s="6" t="s">
        <v>1431</v>
      </c>
      <c r="B5363" s="6" t="s">
        <v>1585</v>
      </c>
      <c r="C5363" s="6" t="s">
        <v>1449</v>
      </c>
      <c r="D5363" s="6" t="s">
        <v>1431</v>
      </c>
      <c r="G5363" s="6">
        <v>165</v>
      </c>
      <c r="H5363" s="6">
        <v>230</v>
      </c>
      <c r="J5363" s="17">
        <f t="shared" si="523"/>
        <v>3.7949999999999999</v>
      </c>
      <c r="K5363" s="7">
        <v>44009700</v>
      </c>
      <c r="L5363" s="6" t="str">
        <f t="shared" si="522"/>
        <v>DL ELİZ  HALI  165x230</v>
      </c>
      <c r="M5363" s="12">
        <v>0</v>
      </c>
      <c r="N5363" s="12">
        <v>0</v>
      </c>
      <c r="O5363" s="8">
        <v>3168.8250000000003</v>
      </c>
      <c r="P5363" s="8">
        <f t="shared" si="524"/>
        <v>3168.8250000000003</v>
      </c>
      <c r="Q5363" s="12">
        <f t="shared" si="525"/>
        <v>6654.5325000000012</v>
      </c>
      <c r="R5363" s="31">
        <f t="shared" si="526"/>
        <v>6600</v>
      </c>
      <c r="T5363" s="12"/>
      <c r="U5363" s="8">
        <v>16600</v>
      </c>
      <c r="W5363" s="8">
        <f t="shared" si="521"/>
        <v>7922.0625000000009</v>
      </c>
    </row>
    <row r="5364" spans="1:23" ht="21.95" customHeight="1" x14ac:dyDescent="0.2">
      <c r="A5364" s="6" t="s">
        <v>1431</v>
      </c>
      <c r="B5364" s="6" t="s">
        <v>1585</v>
      </c>
      <c r="C5364" s="6" t="s">
        <v>1449</v>
      </c>
      <c r="D5364" s="6" t="s">
        <v>1431</v>
      </c>
      <c r="G5364" s="6">
        <v>200</v>
      </c>
      <c r="H5364" s="6">
        <v>290</v>
      </c>
      <c r="J5364" s="17">
        <f t="shared" si="523"/>
        <v>5.8</v>
      </c>
      <c r="K5364" s="7">
        <v>44009701</v>
      </c>
      <c r="L5364" s="6" t="str">
        <f t="shared" si="522"/>
        <v>DL ELİZ  HALI  200x290</v>
      </c>
      <c r="M5364" s="12">
        <v>0</v>
      </c>
      <c r="N5364" s="12">
        <v>0</v>
      </c>
      <c r="O5364" s="8">
        <v>4843.0000000000009</v>
      </c>
      <c r="P5364" s="8">
        <f t="shared" si="524"/>
        <v>4843.0000000000009</v>
      </c>
      <c r="Q5364" s="12">
        <f t="shared" si="525"/>
        <v>10170.300000000003</v>
      </c>
      <c r="R5364" s="31">
        <f t="shared" si="526"/>
        <v>10100</v>
      </c>
      <c r="T5364" s="12"/>
      <c r="U5364" s="8">
        <v>19300</v>
      </c>
      <c r="W5364" s="8">
        <f t="shared" si="521"/>
        <v>12107.500000000002</v>
      </c>
    </row>
    <row r="5365" spans="1:23" ht="21.95" customHeight="1" x14ac:dyDescent="0.2">
      <c r="A5365" s="6" t="s">
        <v>1431</v>
      </c>
      <c r="B5365" s="6" t="s">
        <v>1585</v>
      </c>
      <c r="C5365" s="6" t="s">
        <v>1449</v>
      </c>
      <c r="D5365" s="6" t="s">
        <v>1446</v>
      </c>
      <c r="G5365" s="6">
        <v>80</v>
      </c>
      <c r="H5365" s="6">
        <v>100</v>
      </c>
      <c r="J5365" s="17">
        <f t="shared" si="523"/>
        <v>0.8</v>
      </c>
      <c r="K5365" s="7">
        <v>44009702</v>
      </c>
      <c r="L5365" s="6" t="str">
        <f t="shared" si="522"/>
        <v>DL ELİZ  KESME RULO YOLLUK  80x100</v>
      </c>
      <c r="M5365" s="12">
        <v>0</v>
      </c>
      <c r="N5365" s="12">
        <v>0</v>
      </c>
      <c r="O5365" s="8">
        <v>668</v>
      </c>
      <c r="P5365" s="8">
        <f t="shared" si="524"/>
        <v>668</v>
      </c>
      <c r="Q5365" s="12">
        <f t="shared" si="525"/>
        <v>1402.8</v>
      </c>
      <c r="R5365" s="31">
        <f t="shared" si="526"/>
        <v>1400</v>
      </c>
      <c r="T5365" s="12"/>
      <c r="U5365" s="8">
        <v>20700</v>
      </c>
      <c r="W5365" s="8">
        <f t="shared" si="521"/>
        <v>1670</v>
      </c>
    </row>
    <row r="5366" spans="1:23" ht="21.95" customHeight="1" x14ac:dyDescent="0.2">
      <c r="A5366" s="6" t="s">
        <v>1431</v>
      </c>
      <c r="B5366" s="6" t="s">
        <v>1585</v>
      </c>
      <c r="C5366" s="6" t="s">
        <v>1449</v>
      </c>
      <c r="D5366" s="6" t="s">
        <v>1446</v>
      </c>
      <c r="G5366" s="6">
        <v>100</v>
      </c>
      <c r="H5366" s="6">
        <v>100</v>
      </c>
      <c r="J5366" s="17">
        <f t="shared" si="523"/>
        <v>1</v>
      </c>
      <c r="K5366" s="7">
        <v>44009703</v>
      </c>
      <c r="L5366" s="6" t="str">
        <f t="shared" si="522"/>
        <v>DL ELİZ  KESME RULO YOLLUK  100x100</v>
      </c>
      <c r="M5366" s="12">
        <v>0</v>
      </c>
      <c r="N5366" s="12">
        <v>0</v>
      </c>
      <c r="O5366" s="8">
        <v>835</v>
      </c>
      <c r="P5366" s="8">
        <f t="shared" si="524"/>
        <v>835</v>
      </c>
      <c r="Q5366" s="12">
        <f t="shared" si="525"/>
        <v>1753.5</v>
      </c>
      <c r="R5366" s="31">
        <f t="shared" si="526"/>
        <v>1700</v>
      </c>
      <c r="T5366" s="12"/>
      <c r="U5366" s="8">
        <v>22100</v>
      </c>
      <c r="W5366" s="8">
        <f t="shared" si="521"/>
        <v>2087.5</v>
      </c>
    </row>
    <row r="5367" spans="1:23" ht="21.95" customHeight="1" x14ac:dyDescent="0.2">
      <c r="A5367" s="6" t="s">
        <v>1431</v>
      </c>
      <c r="B5367" s="6" t="s">
        <v>1585</v>
      </c>
      <c r="C5367" s="6" t="s">
        <v>1449</v>
      </c>
      <c r="D5367" s="6" t="s">
        <v>1446</v>
      </c>
      <c r="G5367" s="6">
        <v>120</v>
      </c>
      <c r="H5367" s="6">
        <v>100</v>
      </c>
      <c r="J5367" s="17">
        <f t="shared" si="523"/>
        <v>1.2</v>
      </c>
      <c r="K5367" s="7">
        <v>44009704</v>
      </c>
      <c r="L5367" s="6" t="str">
        <f t="shared" si="522"/>
        <v>DL ELİZ  KESME RULO YOLLUK  120x100</v>
      </c>
      <c r="M5367" s="12">
        <v>0</v>
      </c>
      <c r="N5367" s="12">
        <v>0</v>
      </c>
      <c r="O5367" s="8">
        <v>1002</v>
      </c>
      <c r="P5367" s="8">
        <f t="shared" si="524"/>
        <v>1002</v>
      </c>
      <c r="Q5367" s="12">
        <f t="shared" si="525"/>
        <v>2104.2000000000003</v>
      </c>
      <c r="R5367" s="31">
        <f t="shared" si="526"/>
        <v>2100</v>
      </c>
      <c r="T5367" s="12"/>
      <c r="U5367" s="8">
        <v>24900</v>
      </c>
      <c r="W5367" s="8">
        <f t="shared" si="521"/>
        <v>2505</v>
      </c>
    </row>
    <row r="5368" spans="1:23" ht="21.95" customHeight="1" x14ac:dyDescent="0.2">
      <c r="A5368" s="6" t="s">
        <v>1431</v>
      </c>
      <c r="B5368" s="6" t="s">
        <v>1585</v>
      </c>
      <c r="C5368" s="6" t="s">
        <v>1449</v>
      </c>
      <c r="D5368" s="6" t="s">
        <v>1446</v>
      </c>
      <c r="G5368" s="6">
        <v>165</v>
      </c>
      <c r="H5368" s="6">
        <v>100</v>
      </c>
      <c r="J5368" s="17">
        <f t="shared" si="523"/>
        <v>1.65</v>
      </c>
      <c r="K5368" s="7">
        <v>44009705</v>
      </c>
      <c r="L5368" s="6" t="str">
        <f t="shared" si="522"/>
        <v>DL ELİZ  KESME RULO YOLLUK  165x100</v>
      </c>
      <c r="M5368" s="12">
        <v>0</v>
      </c>
      <c r="N5368" s="12">
        <v>0</v>
      </c>
      <c r="O5368" s="8">
        <v>1377.75</v>
      </c>
      <c r="P5368" s="8">
        <f t="shared" si="524"/>
        <v>1377.75</v>
      </c>
      <c r="Q5368" s="12">
        <f t="shared" si="525"/>
        <v>2893.2750000000001</v>
      </c>
      <c r="R5368" s="31">
        <f t="shared" si="526"/>
        <v>2800</v>
      </c>
      <c r="T5368" s="12"/>
      <c r="U5368" s="8">
        <v>15800</v>
      </c>
      <c r="W5368" s="8">
        <f t="shared" si="521"/>
        <v>3444.375</v>
      </c>
    </row>
    <row r="5369" spans="1:23" ht="21.95" customHeight="1" x14ac:dyDescent="0.2">
      <c r="A5369" s="6" t="s">
        <v>1431</v>
      </c>
      <c r="B5369" s="6" t="s">
        <v>1585</v>
      </c>
      <c r="C5369" s="6" t="s">
        <v>1449</v>
      </c>
      <c r="D5369" s="6" t="s">
        <v>1446</v>
      </c>
      <c r="G5369" s="6">
        <v>200</v>
      </c>
      <c r="H5369" s="6">
        <v>100</v>
      </c>
      <c r="J5369" s="17">
        <f t="shared" si="523"/>
        <v>2</v>
      </c>
      <c r="K5369" s="7">
        <v>44009706</v>
      </c>
      <c r="L5369" s="6" t="str">
        <f t="shared" ref="L5369:L5376" si="527">B5369&amp;" "&amp;C5369&amp;" "&amp;D5369&amp;" "&amp;G5369&amp;"x"&amp;H5369</f>
        <v>DL ELİZ  KESME RULO YOLLUK  200x100</v>
      </c>
      <c r="M5369" s="12">
        <v>0</v>
      </c>
      <c r="N5369" s="12">
        <v>0</v>
      </c>
      <c r="O5369" s="8">
        <v>1670</v>
      </c>
      <c r="P5369" s="8">
        <f t="shared" si="524"/>
        <v>1670</v>
      </c>
      <c r="Q5369" s="12">
        <f t="shared" si="525"/>
        <v>3507</v>
      </c>
      <c r="R5369" s="31">
        <f t="shared" si="526"/>
        <v>3500</v>
      </c>
      <c r="T5369" s="12"/>
      <c r="U5369" s="8">
        <v>12500</v>
      </c>
      <c r="W5369" s="8">
        <f t="shared" si="521"/>
        <v>4175</v>
      </c>
    </row>
    <row r="5370" spans="1:23" ht="21.95" customHeight="1" x14ac:dyDescent="0.2">
      <c r="A5370" s="6" t="s">
        <v>1431</v>
      </c>
      <c r="B5370" s="6" t="s">
        <v>1585</v>
      </c>
      <c r="C5370" s="6" t="s">
        <v>1450</v>
      </c>
      <c r="D5370" s="6" t="s">
        <v>1438</v>
      </c>
      <c r="G5370" s="6">
        <v>80</v>
      </c>
      <c r="H5370" s="6">
        <v>150</v>
      </c>
      <c r="J5370" s="17">
        <f t="shared" si="523"/>
        <v>1.2</v>
      </c>
      <c r="K5370" s="7">
        <v>44009707</v>
      </c>
      <c r="L5370" s="6" t="str">
        <f t="shared" si="527"/>
        <v>DL İMZA  YOLLUK  80x150</v>
      </c>
      <c r="M5370" s="12">
        <v>0</v>
      </c>
      <c r="N5370" s="12">
        <v>0</v>
      </c>
      <c r="O5370" s="8">
        <v>1002</v>
      </c>
      <c r="P5370" s="8">
        <f t="shared" si="524"/>
        <v>1002</v>
      </c>
      <c r="Q5370" s="12">
        <f t="shared" si="525"/>
        <v>2104.2000000000003</v>
      </c>
      <c r="R5370" s="31">
        <f t="shared" si="526"/>
        <v>2100</v>
      </c>
      <c r="T5370" s="12"/>
      <c r="U5370" s="8">
        <v>13100</v>
      </c>
      <c r="W5370" s="8">
        <f t="shared" si="521"/>
        <v>2505</v>
      </c>
    </row>
    <row r="5371" spans="1:23" ht="21.95" customHeight="1" x14ac:dyDescent="0.2">
      <c r="A5371" s="6" t="s">
        <v>1431</v>
      </c>
      <c r="B5371" s="6" t="s">
        <v>1585</v>
      </c>
      <c r="C5371" s="6" t="s">
        <v>1450</v>
      </c>
      <c r="D5371" s="6" t="s">
        <v>1438</v>
      </c>
      <c r="G5371" s="6">
        <v>80</v>
      </c>
      <c r="H5371" s="6">
        <v>300</v>
      </c>
      <c r="J5371" s="17">
        <f t="shared" si="523"/>
        <v>2.4</v>
      </c>
      <c r="K5371" s="7">
        <v>44009708</v>
      </c>
      <c r="L5371" s="6" t="str">
        <f t="shared" si="527"/>
        <v>DL İMZA  YOLLUK  80x300</v>
      </c>
      <c r="M5371" s="12">
        <v>0</v>
      </c>
      <c r="N5371" s="12">
        <v>0</v>
      </c>
      <c r="O5371" s="8">
        <v>2004</v>
      </c>
      <c r="P5371" s="8">
        <f t="shared" si="524"/>
        <v>2004</v>
      </c>
      <c r="Q5371" s="12">
        <f t="shared" si="525"/>
        <v>4208.4000000000005</v>
      </c>
      <c r="R5371" s="31">
        <f t="shared" si="526"/>
        <v>4200</v>
      </c>
      <c r="T5371" s="12"/>
      <c r="U5371" s="8">
        <v>13300</v>
      </c>
      <c r="W5371" s="8">
        <f t="shared" si="521"/>
        <v>5010</v>
      </c>
    </row>
    <row r="5372" spans="1:23" ht="21.95" customHeight="1" x14ac:dyDescent="0.2">
      <c r="A5372" s="6" t="s">
        <v>1431</v>
      </c>
      <c r="B5372" s="6" t="s">
        <v>1585</v>
      </c>
      <c r="C5372" s="6" t="s">
        <v>1450</v>
      </c>
      <c r="D5372" s="6" t="s">
        <v>1438</v>
      </c>
      <c r="G5372" s="6">
        <v>100</v>
      </c>
      <c r="H5372" s="6">
        <v>200</v>
      </c>
      <c r="J5372" s="17">
        <f t="shared" si="523"/>
        <v>2</v>
      </c>
      <c r="K5372" s="7">
        <v>44009709</v>
      </c>
      <c r="L5372" s="6" t="str">
        <f t="shared" si="527"/>
        <v>DL İMZA  YOLLUK  100x200</v>
      </c>
      <c r="M5372" s="12">
        <v>0</v>
      </c>
      <c r="N5372" s="12">
        <v>0</v>
      </c>
      <c r="O5372" s="8">
        <v>1670</v>
      </c>
      <c r="P5372" s="8">
        <f t="shared" si="524"/>
        <v>1670</v>
      </c>
      <c r="Q5372" s="12">
        <f t="shared" si="525"/>
        <v>3507</v>
      </c>
      <c r="R5372" s="31">
        <f t="shared" si="526"/>
        <v>3500</v>
      </c>
      <c r="T5372" s="12"/>
      <c r="U5372" s="8">
        <v>15900</v>
      </c>
      <c r="W5372" s="8">
        <f t="shared" si="521"/>
        <v>4175</v>
      </c>
    </row>
    <row r="5373" spans="1:23" ht="21.95" customHeight="1" x14ac:dyDescent="0.2">
      <c r="A5373" s="6" t="s">
        <v>1431</v>
      </c>
      <c r="B5373" s="6" t="s">
        <v>1585</v>
      </c>
      <c r="C5373" s="6" t="s">
        <v>1450</v>
      </c>
      <c r="D5373" s="6" t="s">
        <v>1438</v>
      </c>
      <c r="G5373" s="6">
        <v>100</v>
      </c>
      <c r="H5373" s="6">
        <v>300</v>
      </c>
      <c r="J5373" s="17">
        <f t="shared" si="523"/>
        <v>3</v>
      </c>
      <c r="K5373" s="7">
        <v>44009710</v>
      </c>
      <c r="L5373" s="6" t="str">
        <f t="shared" si="527"/>
        <v>DL İMZA  YOLLUK  100x300</v>
      </c>
      <c r="M5373" s="12">
        <v>0</v>
      </c>
      <c r="N5373" s="12">
        <v>0</v>
      </c>
      <c r="O5373" s="8">
        <v>2505</v>
      </c>
      <c r="P5373" s="8">
        <f t="shared" si="524"/>
        <v>2505</v>
      </c>
      <c r="Q5373" s="12">
        <f t="shared" si="525"/>
        <v>5260.5</v>
      </c>
      <c r="R5373" s="31">
        <f t="shared" si="526"/>
        <v>5200</v>
      </c>
      <c r="T5373" s="12"/>
      <c r="U5373" s="8">
        <v>18600</v>
      </c>
      <c r="W5373" s="8">
        <f t="shared" si="521"/>
        <v>6262.5</v>
      </c>
    </row>
    <row r="5374" spans="1:23" ht="21.95" customHeight="1" x14ac:dyDescent="0.2">
      <c r="A5374" s="6" t="s">
        <v>1431</v>
      </c>
      <c r="B5374" s="6" t="s">
        <v>1585</v>
      </c>
      <c r="C5374" s="6" t="s">
        <v>1450</v>
      </c>
      <c r="D5374" s="6" t="s">
        <v>1431</v>
      </c>
      <c r="G5374" s="6">
        <v>125</v>
      </c>
      <c r="H5374" s="6">
        <v>200</v>
      </c>
      <c r="J5374" s="17">
        <f t="shared" si="523"/>
        <v>2.5</v>
      </c>
      <c r="K5374" s="7">
        <v>44009711</v>
      </c>
      <c r="L5374" s="6" t="str">
        <f t="shared" si="527"/>
        <v>DL İMZA  HALI  125x200</v>
      </c>
      <c r="M5374" s="12">
        <v>0</v>
      </c>
      <c r="N5374" s="12">
        <v>0</v>
      </c>
      <c r="O5374" s="8">
        <v>2087.5</v>
      </c>
      <c r="P5374" s="8">
        <f t="shared" si="524"/>
        <v>2087.5</v>
      </c>
      <c r="Q5374" s="12">
        <f t="shared" si="525"/>
        <v>4383.75</v>
      </c>
      <c r="R5374" s="31">
        <f t="shared" si="526"/>
        <v>4300</v>
      </c>
      <c r="T5374" s="12"/>
      <c r="U5374" s="8">
        <v>19900</v>
      </c>
      <c r="W5374" s="8">
        <f t="shared" si="521"/>
        <v>5218.75</v>
      </c>
    </row>
    <row r="5375" spans="1:23" ht="21.95" customHeight="1" x14ac:dyDescent="0.2">
      <c r="A5375" s="6" t="s">
        <v>1431</v>
      </c>
      <c r="B5375" s="6" t="s">
        <v>1585</v>
      </c>
      <c r="C5375" s="6" t="s">
        <v>1450</v>
      </c>
      <c r="D5375" s="6" t="s">
        <v>1431</v>
      </c>
      <c r="G5375" s="6">
        <v>165</v>
      </c>
      <c r="H5375" s="6">
        <v>230</v>
      </c>
      <c r="J5375" s="17">
        <f t="shared" si="523"/>
        <v>3.7949999999999999</v>
      </c>
      <c r="K5375" s="7">
        <v>44009712</v>
      </c>
      <c r="L5375" s="6" t="str">
        <f t="shared" si="527"/>
        <v>DL İMZA  HALI  165x230</v>
      </c>
      <c r="M5375" s="12">
        <v>0</v>
      </c>
      <c r="N5375" s="12">
        <v>0</v>
      </c>
      <c r="O5375" s="8">
        <v>3168.8250000000003</v>
      </c>
      <c r="P5375" s="8">
        <f t="shared" si="524"/>
        <v>3168.8250000000003</v>
      </c>
      <c r="Q5375" s="12">
        <f t="shared" si="525"/>
        <v>6654.5325000000012</v>
      </c>
      <c r="R5375" s="31">
        <f t="shared" si="526"/>
        <v>6600</v>
      </c>
      <c r="T5375" s="12"/>
      <c r="U5375" s="8">
        <v>21200</v>
      </c>
      <c r="W5375" s="8">
        <f t="shared" si="521"/>
        <v>7922.0625000000009</v>
      </c>
    </row>
    <row r="5376" spans="1:23" ht="21.95" customHeight="1" x14ac:dyDescent="0.2">
      <c r="A5376" s="6" t="s">
        <v>1431</v>
      </c>
      <c r="B5376" s="6" t="s">
        <v>1585</v>
      </c>
      <c r="C5376" s="6" t="s">
        <v>1450</v>
      </c>
      <c r="D5376" s="6" t="s">
        <v>1431</v>
      </c>
      <c r="G5376" s="6">
        <v>200</v>
      </c>
      <c r="H5376" s="6">
        <v>290</v>
      </c>
      <c r="J5376" s="17">
        <f t="shared" si="523"/>
        <v>5.8</v>
      </c>
      <c r="K5376" s="7">
        <v>44009713</v>
      </c>
      <c r="L5376" s="6" t="str">
        <f t="shared" si="527"/>
        <v>DL İMZA  HALI  200x290</v>
      </c>
      <c r="M5376" s="12">
        <v>0</v>
      </c>
      <c r="N5376" s="12">
        <v>0</v>
      </c>
      <c r="O5376" s="8">
        <v>4843.0000000000009</v>
      </c>
      <c r="P5376" s="8">
        <f t="shared" si="524"/>
        <v>4843.0000000000009</v>
      </c>
      <c r="Q5376" s="12">
        <f t="shared" si="525"/>
        <v>10170.300000000003</v>
      </c>
      <c r="R5376" s="31">
        <f t="shared" si="526"/>
        <v>10100</v>
      </c>
      <c r="T5376" s="12"/>
      <c r="U5376" s="8">
        <v>23900</v>
      </c>
      <c r="W5376" s="8">
        <f t="shared" si="521"/>
        <v>12107.500000000002</v>
      </c>
    </row>
    <row r="5377" spans="1:23" ht="21.95" customHeight="1" x14ac:dyDescent="0.2">
      <c r="A5377" s="6" t="s">
        <v>1151</v>
      </c>
      <c r="B5377" s="6" t="s">
        <v>1586</v>
      </c>
      <c r="C5377" s="6" t="s">
        <v>1451</v>
      </c>
      <c r="D5377" s="6" t="s">
        <v>1452</v>
      </c>
      <c r="K5377" s="7">
        <v>44009714</v>
      </c>
      <c r="L5377" s="6" t="str">
        <f t="shared" ref="L5377:L5408" si="528">B5377&amp;" "&amp;C5377&amp;" "&amp;D5377</f>
        <v xml:space="preserve">GC SIDE  4 KAPILI DOLAP </v>
      </c>
      <c r="M5377" s="12">
        <v>0.3</v>
      </c>
      <c r="N5377" s="12">
        <v>0.3</v>
      </c>
      <c r="O5377" s="8">
        <v>19900</v>
      </c>
      <c r="P5377" s="8">
        <f t="shared" si="524"/>
        <v>13930</v>
      </c>
      <c r="Q5377" s="12">
        <f t="shared" ref="Q5377:Q5408" si="529">O5377*(1-N5377)*2.1</f>
        <v>29253</v>
      </c>
      <c r="R5377" s="31">
        <f t="shared" si="526"/>
        <v>29200</v>
      </c>
      <c r="T5377" s="12"/>
      <c r="U5377" s="8">
        <v>6900</v>
      </c>
      <c r="W5377" s="8">
        <f t="shared" ref="W5377:W5418" si="530">P5377*2.5</f>
        <v>34825</v>
      </c>
    </row>
    <row r="5378" spans="1:23" ht="21.95" customHeight="1" x14ac:dyDescent="0.2">
      <c r="A5378" s="6" t="s">
        <v>1151</v>
      </c>
      <c r="B5378" s="6" t="s">
        <v>1586</v>
      </c>
      <c r="C5378" s="6" t="s">
        <v>1451</v>
      </c>
      <c r="D5378" s="6" t="s">
        <v>1453</v>
      </c>
      <c r="K5378" s="7">
        <v>44009715</v>
      </c>
      <c r="L5378" s="6" t="str">
        <f t="shared" si="528"/>
        <v xml:space="preserve">GC SIDE  3 KAPILI DOLAP </v>
      </c>
      <c r="M5378" s="12">
        <v>0.3</v>
      </c>
      <c r="N5378" s="12">
        <v>0.3</v>
      </c>
      <c r="O5378" s="8">
        <v>15000</v>
      </c>
      <c r="P5378" s="8">
        <f t="shared" si="524"/>
        <v>10500</v>
      </c>
      <c r="Q5378" s="12">
        <f t="shared" si="529"/>
        <v>22050</v>
      </c>
      <c r="R5378" s="31">
        <f t="shared" si="526"/>
        <v>22000</v>
      </c>
      <c r="T5378" s="12"/>
      <c r="U5378" s="8">
        <v>6900</v>
      </c>
      <c r="W5378" s="8">
        <f t="shared" si="530"/>
        <v>26250</v>
      </c>
    </row>
    <row r="5379" spans="1:23" ht="21.95" customHeight="1" x14ac:dyDescent="0.2">
      <c r="A5379" s="6" t="s">
        <v>1151</v>
      </c>
      <c r="B5379" s="6" t="s">
        <v>1586</v>
      </c>
      <c r="C5379" s="6" t="s">
        <v>1451</v>
      </c>
      <c r="D5379" s="6" t="s">
        <v>1454</v>
      </c>
      <c r="K5379" s="7">
        <v>44009716</v>
      </c>
      <c r="L5379" s="6" t="str">
        <f t="shared" si="528"/>
        <v xml:space="preserve">GC SIDE  DOLAP İÇİ ÇEKMECE MODÜLÜ BEYAZ </v>
      </c>
      <c r="M5379" s="12">
        <v>0.3</v>
      </c>
      <c r="N5379" s="12">
        <v>0.3</v>
      </c>
      <c r="O5379" s="8">
        <v>3770</v>
      </c>
      <c r="P5379" s="8">
        <f t="shared" si="524"/>
        <v>2639</v>
      </c>
      <c r="Q5379" s="12">
        <f t="shared" si="529"/>
        <v>5541.9000000000005</v>
      </c>
      <c r="R5379" s="31">
        <f t="shared" si="526"/>
        <v>5500</v>
      </c>
      <c r="T5379" s="12"/>
      <c r="U5379" s="8">
        <v>7000</v>
      </c>
      <c r="W5379" s="8">
        <f t="shared" si="530"/>
        <v>6597.5</v>
      </c>
    </row>
    <row r="5380" spans="1:23" ht="21.95" customHeight="1" x14ac:dyDescent="0.2">
      <c r="A5380" s="6" t="s">
        <v>1151</v>
      </c>
      <c r="B5380" s="6" t="s">
        <v>1586</v>
      </c>
      <c r="C5380" s="6" t="s">
        <v>1451</v>
      </c>
      <c r="D5380" s="6" t="s">
        <v>1196</v>
      </c>
      <c r="K5380" s="7">
        <v>44009717</v>
      </c>
      <c r="L5380" s="6" t="str">
        <f t="shared" si="528"/>
        <v xml:space="preserve">GC SIDE  ÇALIŞMA MASASI </v>
      </c>
      <c r="M5380" s="12">
        <v>0.3</v>
      </c>
      <c r="N5380" s="12">
        <v>0.3</v>
      </c>
      <c r="O5380" s="8">
        <v>6400</v>
      </c>
      <c r="P5380" s="8">
        <f t="shared" si="524"/>
        <v>4480</v>
      </c>
      <c r="Q5380" s="12">
        <f t="shared" si="529"/>
        <v>9408</v>
      </c>
      <c r="R5380" s="31">
        <f t="shared" si="526"/>
        <v>9400</v>
      </c>
      <c r="T5380" s="12"/>
      <c r="U5380" s="8">
        <v>8400</v>
      </c>
      <c r="W5380" s="8">
        <f t="shared" si="530"/>
        <v>11200</v>
      </c>
    </row>
    <row r="5381" spans="1:23" ht="21.95" customHeight="1" x14ac:dyDescent="0.2">
      <c r="A5381" s="6" t="s">
        <v>1151</v>
      </c>
      <c r="B5381" s="6" t="s">
        <v>1586</v>
      </c>
      <c r="C5381" s="6" t="s">
        <v>1451</v>
      </c>
      <c r="D5381" s="6" t="s">
        <v>1455</v>
      </c>
      <c r="K5381" s="7">
        <v>44009718</v>
      </c>
      <c r="L5381" s="6" t="str">
        <f t="shared" si="528"/>
        <v xml:space="preserve">GC SIDE  MASA ÜNİTESİ </v>
      </c>
      <c r="M5381" s="12">
        <v>0.3</v>
      </c>
      <c r="N5381" s="12">
        <v>0.3</v>
      </c>
      <c r="O5381" s="8">
        <v>3925</v>
      </c>
      <c r="P5381" s="8">
        <f t="shared" si="524"/>
        <v>2747.5</v>
      </c>
      <c r="Q5381" s="12">
        <f t="shared" si="529"/>
        <v>5769.75</v>
      </c>
      <c r="R5381" s="31">
        <f t="shared" si="526"/>
        <v>5700</v>
      </c>
      <c r="T5381" s="12"/>
      <c r="U5381" s="8">
        <v>9800</v>
      </c>
      <c r="W5381" s="8">
        <f t="shared" si="530"/>
        <v>6868.75</v>
      </c>
    </row>
    <row r="5382" spans="1:23" ht="21.95" customHeight="1" x14ac:dyDescent="0.2">
      <c r="A5382" s="6" t="s">
        <v>1151</v>
      </c>
      <c r="B5382" s="6" t="s">
        <v>1586</v>
      </c>
      <c r="C5382" s="6" t="s">
        <v>1451</v>
      </c>
      <c r="D5382" s="6" t="s">
        <v>1456</v>
      </c>
      <c r="K5382" s="7">
        <v>44009719</v>
      </c>
      <c r="L5382" s="6" t="str">
        <f t="shared" si="528"/>
        <v xml:space="preserve">GC SIDE  ÇAMAŞIRLIK </v>
      </c>
      <c r="M5382" s="12">
        <v>0.3</v>
      </c>
      <c r="N5382" s="12">
        <v>0.3</v>
      </c>
      <c r="O5382" s="8">
        <v>6500</v>
      </c>
      <c r="P5382" s="8">
        <f t="shared" si="524"/>
        <v>4550</v>
      </c>
      <c r="Q5382" s="12">
        <f t="shared" si="529"/>
        <v>9555</v>
      </c>
      <c r="R5382" s="31">
        <f t="shared" si="526"/>
        <v>9500</v>
      </c>
      <c r="T5382" s="12"/>
      <c r="U5382" s="8">
        <v>10500</v>
      </c>
      <c r="W5382" s="8">
        <f t="shared" si="530"/>
        <v>11375</v>
      </c>
    </row>
    <row r="5383" spans="1:23" ht="21.95" customHeight="1" x14ac:dyDescent="0.2">
      <c r="A5383" s="6" t="s">
        <v>1151</v>
      </c>
      <c r="B5383" s="6" t="s">
        <v>1586</v>
      </c>
      <c r="C5383" s="6" t="s">
        <v>1451</v>
      </c>
      <c r="D5383" s="6" t="s">
        <v>1457</v>
      </c>
      <c r="K5383" s="7">
        <v>44009720</v>
      </c>
      <c r="L5383" s="6" t="str">
        <f t="shared" si="528"/>
        <v xml:space="preserve">GC SIDE  AYNA </v>
      </c>
      <c r="M5383" s="12">
        <v>0.3</v>
      </c>
      <c r="N5383" s="12">
        <v>0.3</v>
      </c>
      <c r="O5383" s="8">
        <v>1900</v>
      </c>
      <c r="P5383" s="8">
        <f t="shared" si="524"/>
        <v>1330</v>
      </c>
      <c r="Q5383" s="12">
        <f t="shared" si="529"/>
        <v>2793</v>
      </c>
      <c r="R5383" s="31">
        <f t="shared" si="526"/>
        <v>2700</v>
      </c>
      <c r="T5383" s="12"/>
      <c r="U5383" s="8">
        <v>11200</v>
      </c>
      <c r="W5383" s="8">
        <f t="shared" si="530"/>
        <v>3325</v>
      </c>
    </row>
    <row r="5384" spans="1:23" ht="21.95" customHeight="1" x14ac:dyDescent="0.2">
      <c r="A5384" s="6" t="s">
        <v>1151</v>
      </c>
      <c r="B5384" s="6" t="s">
        <v>1586</v>
      </c>
      <c r="C5384" s="6" t="s">
        <v>1451</v>
      </c>
      <c r="D5384" s="6" t="s">
        <v>1458</v>
      </c>
      <c r="K5384" s="7">
        <v>44009721</v>
      </c>
      <c r="L5384" s="6" t="str">
        <f t="shared" si="528"/>
        <v>GC SIDE  KARYOLA 100*200</v>
      </c>
      <c r="M5384" s="12">
        <v>0.3</v>
      </c>
      <c r="N5384" s="12">
        <v>0.3</v>
      </c>
      <c r="O5384" s="8">
        <v>11000</v>
      </c>
      <c r="P5384" s="8">
        <f t="shared" si="524"/>
        <v>7699.9999999999991</v>
      </c>
      <c r="Q5384" s="12">
        <f t="shared" si="529"/>
        <v>16169.999999999998</v>
      </c>
      <c r="R5384" s="31">
        <f t="shared" si="526"/>
        <v>16100</v>
      </c>
      <c r="T5384" s="12"/>
      <c r="U5384" s="8">
        <v>12600</v>
      </c>
      <c r="W5384" s="8">
        <f t="shared" si="530"/>
        <v>19249.999999999996</v>
      </c>
    </row>
    <row r="5385" spans="1:23" ht="21.95" customHeight="1" x14ac:dyDescent="0.2">
      <c r="A5385" s="6" t="s">
        <v>1151</v>
      </c>
      <c r="B5385" s="6" t="s">
        <v>1586</v>
      </c>
      <c r="C5385" s="6" t="s">
        <v>1451</v>
      </c>
      <c r="D5385" s="6" t="s">
        <v>1459</v>
      </c>
      <c r="K5385" s="7">
        <v>44009722</v>
      </c>
      <c r="L5385" s="6" t="str">
        <f t="shared" si="528"/>
        <v>GC SIDE  CASTLE KARYOLA 100*200</v>
      </c>
      <c r="M5385" s="12">
        <v>0.3</v>
      </c>
      <c r="N5385" s="12">
        <v>0.3</v>
      </c>
      <c r="O5385" s="8">
        <v>18000</v>
      </c>
      <c r="P5385" s="8">
        <f t="shared" si="524"/>
        <v>12600</v>
      </c>
      <c r="Q5385" s="12">
        <f t="shared" si="529"/>
        <v>26460</v>
      </c>
      <c r="R5385" s="31">
        <f t="shared" si="526"/>
        <v>26400</v>
      </c>
      <c r="T5385" s="12"/>
      <c r="U5385" s="8">
        <v>13800</v>
      </c>
      <c r="W5385" s="8">
        <f t="shared" si="530"/>
        <v>31500</v>
      </c>
    </row>
    <row r="5386" spans="1:23" ht="21.95" customHeight="1" x14ac:dyDescent="0.2">
      <c r="A5386" s="6" t="s">
        <v>1151</v>
      </c>
      <c r="B5386" s="6" t="s">
        <v>1586</v>
      </c>
      <c r="C5386" s="6" t="s">
        <v>1451</v>
      </c>
      <c r="D5386" s="6" t="s">
        <v>1460</v>
      </c>
      <c r="K5386" s="7">
        <v>44009723</v>
      </c>
      <c r="L5386" s="6" t="str">
        <f t="shared" si="528"/>
        <v>GC SIDE  STANDART ALT KARYOLA (AYTAŞI) 90*190</v>
      </c>
      <c r="M5386" s="12">
        <v>0.3</v>
      </c>
      <c r="N5386" s="12">
        <v>0.3</v>
      </c>
      <c r="O5386" s="8">
        <v>4027</v>
      </c>
      <c r="P5386" s="8">
        <f t="shared" si="524"/>
        <v>2818.8999999999996</v>
      </c>
      <c r="Q5386" s="12">
        <f t="shared" si="529"/>
        <v>5919.69</v>
      </c>
      <c r="R5386" s="31">
        <f t="shared" si="526"/>
        <v>5900</v>
      </c>
      <c r="T5386" s="12"/>
      <c r="U5386" s="8">
        <v>14500</v>
      </c>
      <c r="W5386" s="8">
        <f t="shared" si="530"/>
        <v>7047.2499999999991</v>
      </c>
    </row>
    <row r="5387" spans="1:23" ht="21.95" customHeight="1" x14ac:dyDescent="0.2">
      <c r="A5387" s="6" t="s">
        <v>1151</v>
      </c>
      <c r="B5387" s="6" t="s">
        <v>1586</v>
      </c>
      <c r="C5387" s="6" t="s">
        <v>1451</v>
      </c>
      <c r="D5387" s="6" t="s">
        <v>1461</v>
      </c>
      <c r="K5387" s="7">
        <v>44009724</v>
      </c>
      <c r="L5387" s="6" t="str">
        <f t="shared" si="528"/>
        <v>GC SIDE  STANDART AYAKLI BAZA (AYTAŞI) 100*200</v>
      </c>
      <c r="M5387" s="12">
        <v>0.3</v>
      </c>
      <c r="N5387" s="12">
        <v>0.3</v>
      </c>
      <c r="O5387" s="8">
        <v>9631</v>
      </c>
      <c r="P5387" s="8">
        <f t="shared" si="524"/>
        <v>6741.7</v>
      </c>
      <c r="Q5387" s="12">
        <f t="shared" si="529"/>
        <v>14157.57</v>
      </c>
      <c r="R5387" s="31">
        <f t="shared" si="526"/>
        <v>14100</v>
      </c>
      <c r="T5387" s="12"/>
      <c r="U5387" s="8">
        <v>14700</v>
      </c>
      <c r="W5387" s="8">
        <f t="shared" si="530"/>
        <v>16854.25</v>
      </c>
    </row>
    <row r="5388" spans="1:23" ht="21.95" customHeight="1" x14ac:dyDescent="0.2">
      <c r="A5388" s="6" t="s">
        <v>1151</v>
      </c>
      <c r="B5388" s="6" t="s">
        <v>1586</v>
      </c>
      <c r="C5388" s="6" t="s">
        <v>1451</v>
      </c>
      <c r="D5388" s="6" t="s">
        <v>1462</v>
      </c>
      <c r="K5388" s="7">
        <v>44009725</v>
      </c>
      <c r="L5388" s="6" t="str">
        <f t="shared" si="528"/>
        <v>GC SIDE  BAŞLIK 100'LÜK</v>
      </c>
      <c r="M5388" s="12">
        <v>0.3</v>
      </c>
      <c r="N5388" s="12">
        <v>0.3</v>
      </c>
      <c r="O5388" s="8">
        <v>4950</v>
      </c>
      <c r="P5388" s="8">
        <f t="shared" si="524"/>
        <v>3465</v>
      </c>
      <c r="Q5388" s="12">
        <f t="shared" si="529"/>
        <v>7276.5</v>
      </c>
      <c r="R5388" s="31">
        <f t="shared" si="526"/>
        <v>7200</v>
      </c>
      <c r="T5388" s="12"/>
      <c r="U5388" s="8">
        <v>17600</v>
      </c>
      <c r="W5388" s="8">
        <f t="shared" si="530"/>
        <v>8662.5</v>
      </c>
    </row>
    <row r="5389" spans="1:23" ht="21.95" customHeight="1" x14ac:dyDescent="0.2">
      <c r="A5389" s="6" t="s">
        <v>1151</v>
      </c>
      <c r="B5389" s="6" t="s">
        <v>1586</v>
      </c>
      <c r="C5389" s="6" t="s">
        <v>1451</v>
      </c>
      <c r="D5389" s="6" t="s">
        <v>1463</v>
      </c>
      <c r="K5389" s="7">
        <v>44009726</v>
      </c>
      <c r="L5389" s="6" t="str">
        <f t="shared" si="528"/>
        <v>GC SIDE  STANDART AYAKLI BAZA (AYTAŞI) 120*200</v>
      </c>
      <c r="M5389" s="12">
        <v>0.3</v>
      </c>
      <c r="N5389" s="12">
        <v>0.3</v>
      </c>
      <c r="O5389" s="8">
        <v>10831</v>
      </c>
      <c r="P5389" s="8">
        <f t="shared" si="524"/>
        <v>7581.7</v>
      </c>
      <c r="Q5389" s="12">
        <f t="shared" si="529"/>
        <v>15921.57</v>
      </c>
      <c r="R5389" s="31">
        <f t="shared" si="526"/>
        <v>15900</v>
      </c>
      <c r="T5389" s="12"/>
      <c r="U5389" s="8">
        <v>20600</v>
      </c>
      <c r="W5389" s="8">
        <f t="shared" si="530"/>
        <v>18954.25</v>
      </c>
    </row>
    <row r="5390" spans="1:23" ht="21.95" customHeight="1" x14ac:dyDescent="0.2">
      <c r="A5390" s="6" t="s">
        <v>1151</v>
      </c>
      <c r="B5390" s="6" t="s">
        <v>1586</v>
      </c>
      <c r="C5390" s="6" t="s">
        <v>1451</v>
      </c>
      <c r="D5390" s="6" t="s">
        <v>1464</v>
      </c>
      <c r="K5390" s="7">
        <v>44009727</v>
      </c>
      <c r="L5390" s="6" t="str">
        <f t="shared" si="528"/>
        <v>GC SIDE  BAŞLIK 120'LİK</v>
      </c>
      <c r="M5390" s="12">
        <v>0.3</v>
      </c>
      <c r="N5390" s="12">
        <v>0.3</v>
      </c>
      <c r="O5390" s="8">
        <v>5950</v>
      </c>
      <c r="P5390" s="8">
        <f t="shared" si="524"/>
        <v>4165</v>
      </c>
      <c r="Q5390" s="12">
        <f t="shared" si="529"/>
        <v>8746.5</v>
      </c>
      <c r="R5390" s="31">
        <f t="shared" si="526"/>
        <v>8700</v>
      </c>
      <c r="T5390" s="12"/>
      <c r="U5390" s="8">
        <v>22000</v>
      </c>
      <c r="W5390" s="8">
        <f t="shared" si="530"/>
        <v>10412.5</v>
      </c>
    </row>
    <row r="5391" spans="1:23" ht="21.95" customHeight="1" x14ac:dyDescent="0.2">
      <c r="A5391" s="6" t="s">
        <v>1151</v>
      </c>
      <c r="B5391" s="6" t="s">
        <v>1586</v>
      </c>
      <c r="C5391" s="6" t="s">
        <v>1451</v>
      </c>
      <c r="D5391" s="6" t="s">
        <v>1465</v>
      </c>
      <c r="K5391" s="7">
        <v>44009728</v>
      </c>
      <c r="L5391" s="6" t="str">
        <f t="shared" si="528"/>
        <v>GC SIDE  KARYOLA 120*200</v>
      </c>
      <c r="M5391" s="12">
        <v>0.3</v>
      </c>
      <c r="N5391" s="12">
        <v>0.3</v>
      </c>
      <c r="O5391" s="8">
        <v>13000</v>
      </c>
      <c r="P5391" s="8">
        <f t="shared" si="524"/>
        <v>9100</v>
      </c>
      <c r="Q5391" s="12">
        <f t="shared" si="529"/>
        <v>19110</v>
      </c>
      <c r="R5391" s="31">
        <f t="shared" si="526"/>
        <v>19100</v>
      </c>
      <c r="T5391" s="12"/>
      <c r="U5391" s="8">
        <v>23500</v>
      </c>
      <c r="W5391" s="8">
        <f t="shared" si="530"/>
        <v>22750</v>
      </c>
    </row>
    <row r="5392" spans="1:23" ht="21.95" customHeight="1" x14ac:dyDescent="0.2">
      <c r="A5392" s="6" t="s">
        <v>1151</v>
      </c>
      <c r="B5392" s="6" t="s">
        <v>1586</v>
      </c>
      <c r="C5392" s="6" t="s">
        <v>1451</v>
      </c>
      <c r="D5392" s="6" t="s">
        <v>1428</v>
      </c>
      <c r="K5392" s="7">
        <v>44009729</v>
      </c>
      <c r="L5392" s="6" t="str">
        <f t="shared" si="528"/>
        <v xml:space="preserve">GC SIDE  KOMODİN </v>
      </c>
      <c r="M5392" s="12">
        <v>0.3</v>
      </c>
      <c r="N5392" s="12">
        <v>0.3</v>
      </c>
      <c r="O5392" s="8">
        <v>3450</v>
      </c>
      <c r="P5392" s="8">
        <f t="shared" si="524"/>
        <v>2415</v>
      </c>
      <c r="Q5392" s="12">
        <f t="shared" si="529"/>
        <v>5071.5</v>
      </c>
      <c r="R5392" s="31">
        <f t="shared" si="526"/>
        <v>5000</v>
      </c>
      <c r="T5392" s="12"/>
      <c r="U5392" s="8">
        <v>26400</v>
      </c>
      <c r="W5392" s="8">
        <f t="shared" si="530"/>
        <v>6037.5</v>
      </c>
    </row>
    <row r="5393" spans="1:23" ht="21.95" customHeight="1" x14ac:dyDescent="0.2">
      <c r="A5393" s="6" t="s">
        <v>1151</v>
      </c>
      <c r="B5393" s="6" t="s">
        <v>1586</v>
      </c>
      <c r="C5393" s="6" t="s">
        <v>1451</v>
      </c>
      <c r="D5393" s="6" t="s">
        <v>530</v>
      </c>
      <c r="K5393" s="7">
        <v>44009730</v>
      </c>
      <c r="L5393" s="6" t="str">
        <f t="shared" si="528"/>
        <v xml:space="preserve">GC SIDE  KİTAPLIK </v>
      </c>
      <c r="M5393" s="12">
        <v>0.3</v>
      </c>
      <c r="N5393" s="12">
        <v>0.3</v>
      </c>
      <c r="O5393" s="8">
        <v>5250</v>
      </c>
      <c r="P5393" s="8">
        <f t="shared" si="524"/>
        <v>3674.9999999999995</v>
      </c>
      <c r="Q5393" s="12">
        <f t="shared" si="529"/>
        <v>7717.4999999999991</v>
      </c>
      <c r="R5393" s="31">
        <f t="shared" si="526"/>
        <v>7700</v>
      </c>
      <c r="T5393" s="12"/>
      <c r="U5393" s="8">
        <v>15800</v>
      </c>
      <c r="W5393" s="8">
        <f t="shared" si="530"/>
        <v>9187.4999999999982</v>
      </c>
    </row>
    <row r="5394" spans="1:23" ht="21.95" customHeight="1" x14ac:dyDescent="0.2">
      <c r="A5394" s="6" t="s">
        <v>1151</v>
      </c>
      <c r="B5394" s="6" t="s">
        <v>1586</v>
      </c>
      <c r="C5394" s="6" t="s">
        <v>1466</v>
      </c>
      <c r="D5394" s="6" t="s">
        <v>1452</v>
      </c>
      <c r="K5394" s="7">
        <v>44009731</v>
      </c>
      <c r="L5394" s="6" t="str">
        <f t="shared" si="528"/>
        <v xml:space="preserve">GC CARIZMA  4 KAPILI DOLAP </v>
      </c>
      <c r="M5394" s="12">
        <v>0.3</v>
      </c>
      <c r="N5394" s="12">
        <v>0.3</v>
      </c>
      <c r="O5394" s="8">
        <v>24680</v>
      </c>
      <c r="P5394" s="8">
        <f t="shared" si="524"/>
        <v>17276</v>
      </c>
      <c r="Q5394" s="12">
        <f t="shared" si="529"/>
        <v>36279.599999999999</v>
      </c>
      <c r="R5394" s="31">
        <f t="shared" si="526"/>
        <v>36200</v>
      </c>
      <c r="T5394" s="12"/>
      <c r="U5394" s="8">
        <v>11900</v>
      </c>
      <c r="W5394" s="8">
        <f t="shared" si="530"/>
        <v>43190</v>
      </c>
    </row>
    <row r="5395" spans="1:23" ht="21.95" customHeight="1" x14ac:dyDescent="0.2">
      <c r="A5395" s="6" t="s">
        <v>1151</v>
      </c>
      <c r="B5395" s="6" t="s">
        <v>1586</v>
      </c>
      <c r="C5395" s="6" t="s">
        <v>1466</v>
      </c>
      <c r="D5395" s="6" t="s">
        <v>1453</v>
      </c>
      <c r="K5395" s="7">
        <v>44009732</v>
      </c>
      <c r="L5395" s="6" t="str">
        <f t="shared" si="528"/>
        <v xml:space="preserve">GC CARIZMA  3 KAPILI DOLAP </v>
      </c>
      <c r="M5395" s="12">
        <v>0.3</v>
      </c>
      <c r="N5395" s="12">
        <v>0.3</v>
      </c>
      <c r="O5395" s="8">
        <v>18850</v>
      </c>
      <c r="P5395" s="8">
        <f t="shared" si="524"/>
        <v>13195</v>
      </c>
      <c r="Q5395" s="12">
        <f t="shared" si="529"/>
        <v>27709.5</v>
      </c>
      <c r="R5395" s="31">
        <f t="shared" si="526"/>
        <v>27700</v>
      </c>
      <c r="T5395" s="12"/>
      <c r="U5395" s="8">
        <v>12600</v>
      </c>
      <c r="W5395" s="8">
        <f t="shared" si="530"/>
        <v>32987.5</v>
      </c>
    </row>
    <row r="5396" spans="1:23" ht="21.95" customHeight="1" x14ac:dyDescent="0.2">
      <c r="A5396" s="6" t="s">
        <v>1151</v>
      </c>
      <c r="B5396" s="6" t="s">
        <v>1586</v>
      </c>
      <c r="C5396" s="6" t="s">
        <v>1466</v>
      </c>
      <c r="D5396" s="6" t="s">
        <v>1196</v>
      </c>
      <c r="K5396" s="7">
        <v>44009733</v>
      </c>
      <c r="L5396" s="6" t="str">
        <f t="shared" si="528"/>
        <v xml:space="preserve">GC CARIZMA  ÇALIŞMA MASASI </v>
      </c>
      <c r="M5396" s="12">
        <v>0.3</v>
      </c>
      <c r="N5396" s="12">
        <v>0.3</v>
      </c>
      <c r="O5396" s="8">
        <v>7500</v>
      </c>
      <c r="P5396" s="8">
        <f t="shared" si="524"/>
        <v>5250</v>
      </c>
      <c r="Q5396" s="12">
        <f t="shared" si="529"/>
        <v>11025</v>
      </c>
      <c r="R5396" s="31">
        <f t="shared" si="526"/>
        <v>11000</v>
      </c>
      <c r="T5396" s="12"/>
      <c r="U5396" s="8">
        <v>12700</v>
      </c>
      <c r="W5396" s="8">
        <f t="shared" si="530"/>
        <v>13125</v>
      </c>
    </row>
    <row r="5397" spans="1:23" ht="21.95" customHeight="1" x14ac:dyDescent="0.2">
      <c r="A5397" s="6" t="s">
        <v>1151</v>
      </c>
      <c r="B5397" s="6" t="s">
        <v>1586</v>
      </c>
      <c r="C5397" s="6" t="s">
        <v>1466</v>
      </c>
      <c r="D5397" s="6" t="s">
        <v>1455</v>
      </c>
      <c r="K5397" s="7">
        <v>44009734</v>
      </c>
      <c r="L5397" s="6" t="str">
        <f t="shared" si="528"/>
        <v xml:space="preserve">GC CARIZMA  MASA ÜNİTESİ </v>
      </c>
      <c r="M5397" s="12">
        <v>0.3</v>
      </c>
      <c r="N5397" s="12">
        <v>0.3</v>
      </c>
      <c r="O5397" s="8">
        <v>5000</v>
      </c>
      <c r="P5397" s="8">
        <f t="shared" si="524"/>
        <v>3500</v>
      </c>
      <c r="Q5397" s="12">
        <f t="shared" si="529"/>
        <v>7350</v>
      </c>
      <c r="R5397" s="31">
        <f t="shared" si="526"/>
        <v>7300</v>
      </c>
      <c r="T5397" s="12"/>
      <c r="U5397" s="8">
        <v>15200</v>
      </c>
      <c r="W5397" s="8">
        <f t="shared" si="530"/>
        <v>8750</v>
      </c>
    </row>
    <row r="5398" spans="1:23" ht="21.95" customHeight="1" x14ac:dyDescent="0.2">
      <c r="A5398" s="6" t="s">
        <v>1151</v>
      </c>
      <c r="B5398" s="6" t="s">
        <v>1586</v>
      </c>
      <c r="C5398" s="6" t="s">
        <v>1466</v>
      </c>
      <c r="D5398" s="6" t="s">
        <v>1456</v>
      </c>
      <c r="K5398" s="7">
        <v>44009735</v>
      </c>
      <c r="L5398" s="6" t="str">
        <f t="shared" si="528"/>
        <v xml:space="preserve">GC CARIZMA  ÇAMAŞIRLIK </v>
      </c>
      <c r="M5398" s="12">
        <v>0.3</v>
      </c>
      <c r="N5398" s="12">
        <v>0.3</v>
      </c>
      <c r="O5398" s="8">
        <v>8500</v>
      </c>
      <c r="P5398" s="8">
        <f t="shared" si="524"/>
        <v>5950</v>
      </c>
      <c r="Q5398" s="12">
        <f t="shared" si="529"/>
        <v>12495</v>
      </c>
      <c r="R5398" s="31">
        <f t="shared" si="526"/>
        <v>12400</v>
      </c>
      <c r="T5398" s="12"/>
      <c r="U5398" s="8">
        <v>17800</v>
      </c>
      <c r="W5398" s="8">
        <f t="shared" si="530"/>
        <v>14875</v>
      </c>
    </row>
    <row r="5399" spans="1:23" ht="21.95" customHeight="1" x14ac:dyDescent="0.2">
      <c r="A5399" s="6" t="s">
        <v>1151</v>
      </c>
      <c r="B5399" s="6" t="s">
        <v>1586</v>
      </c>
      <c r="C5399" s="6" t="s">
        <v>1466</v>
      </c>
      <c r="D5399" s="6" t="s">
        <v>1457</v>
      </c>
      <c r="K5399" s="7">
        <v>44009736</v>
      </c>
      <c r="L5399" s="6" t="str">
        <f t="shared" si="528"/>
        <v xml:space="preserve">GC CARIZMA  AYNA </v>
      </c>
      <c r="M5399" s="12">
        <v>0.3</v>
      </c>
      <c r="N5399" s="12">
        <v>0.3</v>
      </c>
      <c r="O5399" s="8">
        <v>1800</v>
      </c>
      <c r="P5399" s="8">
        <f t="shared" si="524"/>
        <v>1260</v>
      </c>
      <c r="Q5399" s="12">
        <f t="shared" si="529"/>
        <v>2646</v>
      </c>
      <c r="R5399" s="31">
        <f t="shared" si="526"/>
        <v>2600</v>
      </c>
      <c r="T5399" s="12"/>
      <c r="U5399" s="8">
        <v>19000</v>
      </c>
      <c r="W5399" s="8">
        <f t="shared" si="530"/>
        <v>3150</v>
      </c>
    </row>
    <row r="5400" spans="1:23" ht="21.95" customHeight="1" x14ac:dyDescent="0.2">
      <c r="A5400" s="6" t="s">
        <v>1151</v>
      </c>
      <c r="B5400" s="6" t="s">
        <v>1586</v>
      </c>
      <c r="C5400" s="6" t="s">
        <v>1466</v>
      </c>
      <c r="D5400" s="6" t="s">
        <v>1458</v>
      </c>
      <c r="K5400" s="7">
        <v>44009737</v>
      </c>
      <c r="L5400" s="6" t="str">
        <f t="shared" si="528"/>
        <v>GC CARIZMA  KARYOLA 100*200</v>
      </c>
      <c r="M5400" s="12">
        <v>0.3</v>
      </c>
      <c r="N5400" s="12">
        <v>0.3</v>
      </c>
      <c r="O5400" s="8">
        <v>9000</v>
      </c>
      <c r="P5400" s="8">
        <f t="shared" si="524"/>
        <v>6300</v>
      </c>
      <c r="Q5400" s="12">
        <f t="shared" si="529"/>
        <v>13230</v>
      </c>
      <c r="R5400" s="31">
        <f t="shared" si="526"/>
        <v>13200</v>
      </c>
      <c r="T5400" s="12"/>
      <c r="U5400" s="8">
        <v>20300</v>
      </c>
      <c r="W5400" s="8">
        <f t="shared" si="530"/>
        <v>15750</v>
      </c>
    </row>
    <row r="5401" spans="1:23" ht="21.95" customHeight="1" x14ac:dyDescent="0.2">
      <c r="A5401" s="6" t="s">
        <v>1151</v>
      </c>
      <c r="B5401" s="6" t="s">
        <v>1586</v>
      </c>
      <c r="C5401" s="6" t="s">
        <v>1466</v>
      </c>
      <c r="D5401" s="6" t="s">
        <v>1459</v>
      </c>
      <c r="K5401" s="7">
        <v>44009738</v>
      </c>
      <c r="L5401" s="6" t="str">
        <f t="shared" si="528"/>
        <v>GC CARIZMA  CASTLE KARYOLA 100*200</v>
      </c>
      <c r="M5401" s="12">
        <v>0.3</v>
      </c>
      <c r="N5401" s="12">
        <v>0.3</v>
      </c>
      <c r="O5401" s="8">
        <v>17000</v>
      </c>
      <c r="P5401" s="8">
        <f t="shared" si="524"/>
        <v>11900</v>
      </c>
      <c r="Q5401" s="12">
        <f t="shared" si="529"/>
        <v>24990</v>
      </c>
      <c r="R5401" s="31">
        <f t="shared" si="526"/>
        <v>24900</v>
      </c>
      <c r="T5401" s="12"/>
      <c r="U5401" s="8">
        <v>22800</v>
      </c>
      <c r="W5401" s="8">
        <f t="shared" si="530"/>
        <v>29750</v>
      </c>
    </row>
    <row r="5402" spans="1:23" ht="21.95" customHeight="1" x14ac:dyDescent="0.2">
      <c r="A5402" s="6" t="s">
        <v>1151</v>
      </c>
      <c r="B5402" s="6" t="s">
        <v>1586</v>
      </c>
      <c r="C5402" s="6" t="s">
        <v>1466</v>
      </c>
      <c r="D5402" s="6" t="s">
        <v>1467</v>
      </c>
      <c r="K5402" s="7">
        <v>44009739</v>
      </c>
      <c r="L5402" s="6" t="str">
        <f t="shared" si="528"/>
        <v>GC CARIZMA  STANDART ALT KARYOLA CEVİZ 90*190</v>
      </c>
      <c r="M5402" s="12">
        <v>0.3</v>
      </c>
      <c r="N5402" s="12">
        <v>0.3</v>
      </c>
      <c r="O5402" s="8">
        <v>4370</v>
      </c>
      <c r="P5402" s="8">
        <f t="shared" si="524"/>
        <v>3059</v>
      </c>
      <c r="Q5402" s="12">
        <f t="shared" si="529"/>
        <v>6423.9000000000005</v>
      </c>
      <c r="R5402" s="31">
        <f t="shared" si="526"/>
        <v>6400</v>
      </c>
      <c r="T5402" s="12"/>
      <c r="U5402" s="8">
        <v>5600</v>
      </c>
      <c r="W5402" s="8">
        <f t="shared" si="530"/>
        <v>7647.5</v>
      </c>
    </row>
    <row r="5403" spans="1:23" ht="21.95" customHeight="1" x14ac:dyDescent="0.2">
      <c r="A5403" s="6" t="s">
        <v>1151</v>
      </c>
      <c r="B5403" s="6" t="s">
        <v>1586</v>
      </c>
      <c r="C5403" s="6" t="s">
        <v>1466</v>
      </c>
      <c r="D5403" s="6" t="s">
        <v>1468</v>
      </c>
      <c r="K5403" s="7">
        <v>44009740</v>
      </c>
      <c r="L5403" s="6" t="str">
        <f t="shared" si="528"/>
        <v>GC CARIZMA  STANDART AYAKLI CEVİZ BAZA 100*200</v>
      </c>
      <c r="M5403" s="12">
        <v>0.3</v>
      </c>
      <c r="N5403" s="12">
        <v>0.3</v>
      </c>
      <c r="O5403" s="8">
        <v>10159</v>
      </c>
      <c r="P5403" s="8">
        <f t="shared" si="524"/>
        <v>7111.2999999999993</v>
      </c>
      <c r="Q5403" s="12">
        <f t="shared" si="529"/>
        <v>14933.73</v>
      </c>
      <c r="R5403" s="31">
        <f t="shared" si="526"/>
        <v>14900</v>
      </c>
      <c r="T5403" s="12"/>
      <c r="U5403" s="8">
        <v>5600</v>
      </c>
      <c r="W5403" s="8">
        <f t="shared" si="530"/>
        <v>17778.25</v>
      </c>
    </row>
    <row r="5404" spans="1:23" ht="21.95" customHeight="1" x14ac:dyDescent="0.2">
      <c r="A5404" s="6" t="s">
        <v>1151</v>
      </c>
      <c r="B5404" s="6" t="s">
        <v>1586</v>
      </c>
      <c r="C5404" s="6" t="s">
        <v>1466</v>
      </c>
      <c r="D5404" s="6" t="s">
        <v>1462</v>
      </c>
      <c r="K5404" s="7">
        <v>44009741</v>
      </c>
      <c r="L5404" s="6" t="str">
        <f t="shared" si="528"/>
        <v>GC CARIZMA  BAŞLIK 100'LÜK</v>
      </c>
      <c r="M5404" s="12">
        <v>0.3</v>
      </c>
      <c r="N5404" s="12">
        <v>0.3</v>
      </c>
      <c r="O5404" s="8">
        <v>3700</v>
      </c>
      <c r="P5404" s="8">
        <f t="shared" si="524"/>
        <v>2590</v>
      </c>
      <c r="Q5404" s="12">
        <f t="shared" si="529"/>
        <v>5439</v>
      </c>
      <c r="R5404" s="31">
        <f t="shared" si="526"/>
        <v>5400</v>
      </c>
      <c r="T5404" s="12"/>
      <c r="U5404" s="8">
        <v>5700</v>
      </c>
      <c r="W5404" s="8">
        <f t="shared" si="530"/>
        <v>6475</v>
      </c>
    </row>
    <row r="5405" spans="1:23" ht="21.95" customHeight="1" x14ac:dyDescent="0.2">
      <c r="A5405" s="6" t="s">
        <v>1151</v>
      </c>
      <c r="B5405" s="6" t="s">
        <v>1586</v>
      </c>
      <c r="C5405" s="6" t="s">
        <v>1466</v>
      </c>
      <c r="D5405" s="6" t="s">
        <v>1469</v>
      </c>
      <c r="K5405" s="7">
        <v>44009742</v>
      </c>
      <c r="L5405" s="6" t="str">
        <f t="shared" si="528"/>
        <v>GC CARIZMA  STANDART AYAKLI CEVİZ BAZA 120*200</v>
      </c>
      <c r="M5405" s="12">
        <v>0.3</v>
      </c>
      <c r="N5405" s="12">
        <v>0.3</v>
      </c>
      <c r="O5405" s="8">
        <v>11530</v>
      </c>
      <c r="P5405" s="8">
        <f t="shared" si="524"/>
        <v>8070.9999999999991</v>
      </c>
      <c r="Q5405" s="12">
        <f t="shared" si="529"/>
        <v>16949.099999999999</v>
      </c>
      <c r="R5405" s="31">
        <f t="shared" si="526"/>
        <v>16900</v>
      </c>
      <c r="T5405" s="12"/>
      <c r="U5405" s="8">
        <v>6800</v>
      </c>
      <c r="W5405" s="8">
        <f t="shared" si="530"/>
        <v>20177.499999999996</v>
      </c>
    </row>
    <row r="5406" spans="1:23" ht="21.95" customHeight="1" x14ac:dyDescent="0.2">
      <c r="A5406" s="6" t="s">
        <v>1151</v>
      </c>
      <c r="B5406" s="6" t="s">
        <v>1586</v>
      </c>
      <c r="C5406" s="6" t="s">
        <v>1466</v>
      </c>
      <c r="D5406" s="6" t="s">
        <v>1464</v>
      </c>
      <c r="K5406" s="7">
        <v>44009743</v>
      </c>
      <c r="L5406" s="6" t="str">
        <f t="shared" si="528"/>
        <v>GC CARIZMA  BAŞLIK 120'LİK</v>
      </c>
      <c r="M5406" s="12">
        <v>0.3</v>
      </c>
      <c r="N5406" s="12">
        <v>0.3</v>
      </c>
      <c r="O5406" s="8">
        <v>4500</v>
      </c>
      <c r="P5406" s="8">
        <f t="shared" si="524"/>
        <v>3150</v>
      </c>
      <c r="Q5406" s="12">
        <f t="shared" si="529"/>
        <v>6615</v>
      </c>
      <c r="R5406" s="31">
        <f t="shared" si="526"/>
        <v>6600</v>
      </c>
      <c r="T5406" s="12"/>
      <c r="U5406" s="8">
        <v>8000</v>
      </c>
      <c r="W5406" s="8">
        <f t="shared" si="530"/>
        <v>7875</v>
      </c>
    </row>
    <row r="5407" spans="1:23" ht="21.95" customHeight="1" x14ac:dyDescent="0.2">
      <c r="A5407" s="6" t="s">
        <v>1151</v>
      </c>
      <c r="B5407" s="6" t="s">
        <v>1586</v>
      </c>
      <c r="C5407" s="6" t="s">
        <v>1466</v>
      </c>
      <c r="D5407" s="6" t="s">
        <v>1465</v>
      </c>
      <c r="K5407" s="7">
        <v>44009744</v>
      </c>
      <c r="L5407" s="6" t="str">
        <f t="shared" si="528"/>
        <v>GC CARIZMA  KARYOLA 120*200</v>
      </c>
      <c r="M5407" s="12">
        <v>0.3</v>
      </c>
      <c r="N5407" s="12">
        <v>0.3</v>
      </c>
      <c r="O5407" s="8">
        <v>11000</v>
      </c>
      <c r="P5407" s="8">
        <f t="shared" si="524"/>
        <v>7699.9999999999991</v>
      </c>
      <c r="Q5407" s="12">
        <f t="shared" si="529"/>
        <v>16169.999999999998</v>
      </c>
      <c r="R5407" s="31">
        <f t="shared" si="526"/>
        <v>16100</v>
      </c>
      <c r="T5407" s="12"/>
      <c r="U5407" s="8">
        <v>8500</v>
      </c>
      <c r="W5407" s="8">
        <f t="shared" si="530"/>
        <v>19249.999999999996</v>
      </c>
    </row>
    <row r="5408" spans="1:23" ht="21.95" customHeight="1" x14ac:dyDescent="0.2">
      <c r="A5408" s="6" t="s">
        <v>1151</v>
      </c>
      <c r="B5408" s="6" t="s">
        <v>1586</v>
      </c>
      <c r="C5408" s="6" t="s">
        <v>1466</v>
      </c>
      <c r="D5408" s="6" t="s">
        <v>1428</v>
      </c>
      <c r="K5408" s="7">
        <v>44009745</v>
      </c>
      <c r="L5408" s="6" t="str">
        <f t="shared" si="528"/>
        <v xml:space="preserve">GC CARIZMA  KOMODİN </v>
      </c>
      <c r="M5408" s="12">
        <v>0.3</v>
      </c>
      <c r="N5408" s="12">
        <v>0.3</v>
      </c>
      <c r="O5408" s="8">
        <v>4250</v>
      </c>
      <c r="P5408" s="8">
        <f t="shared" si="524"/>
        <v>2975</v>
      </c>
      <c r="Q5408" s="12">
        <f t="shared" si="529"/>
        <v>6247.5</v>
      </c>
      <c r="R5408" s="31">
        <f t="shared" si="526"/>
        <v>6200</v>
      </c>
      <c r="T5408" s="12"/>
      <c r="U5408" s="8">
        <v>9100</v>
      </c>
      <c r="W5408" s="8">
        <f t="shared" si="530"/>
        <v>7437.5</v>
      </c>
    </row>
    <row r="5409" spans="1:23" ht="21.95" customHeight="1" x14ac:dyDescent="0.2">
      <c r="A5409" s="6" t="s">
        <v>1151</v>
      </c>
      <c r="B5409" s="6" t="s">
        <v>1586</v>
      </c>
      <c r="C5409" s="6" t="s">
        <v>1466</v>
      </c>
      <c r="D5409" s="6" t="s">
        <v>530</v>
      </c>
      <c r="K5409" s="7">
        <v>44009746</v>
      </c>
      <c r="L5409" s="6" t="str">
        <f t="shared" ref="L5409:L5440" si="531">B5409&amp;" "&amp;C5409&amp;" "&amp;D5409</f>
        <v xml:space="preserve">GC CARIZMA  KİTAPLIK </v>
      </c>
      <c r="M5409" s="12">
        <v>0.3</v>
      </c>
      <c r="N5409" s="12">
        <v>0.3</v>
      </c>
      <c r="O5409" s="8">
        <v>8200</v>
      </c>
      <c r="P5409" s="8">
        <f t="shared" ref="P5409:P5472" si="532">O5409*(1-N5409)</f>
        <v>5740</v>
      </c>
      <c r="Q5409" s="12">
        <f t="shared" ref="Q5409:Q5440" si="533">O5409*(1-N5409)*2.1</f>
        <v>12054</v>
      </c>
      <c r="R5409" s="31">
        <f t="shared" ref="R5409:R5472" si="534">ROUNDDOWN(Q5409,-2)</f>
        <v>12000</v>
      </c>
      <c r="T5409" s="12"/>
      <c r="U5409" s="8">
        <v>10200</v>
      </c>
      <c r="W5409" s="8">
        <f t="shared" si="530"/>
        <v>14350</v>
      </c>
    </row>
    <row r="5410" spans="1:23" ht="21.95" customHeight="1" x14ac:dyDescent="0.2">
      <c r="A5410" s="6" t="s">
        <v>1151</v>
      </c>
      <c r="B5410" s="6" t="s">
        <v>1586</v>
      </c>
      <c r="C5410" s="6" t="s">
        <v>381</v>
      </c>
      <c r="D5410" s="6" t="s">
        <v>1470</v>
      </c>
      <c r="K5410" s="7">
        <v>44009747</v>
      </c>
      <c r="L5410" s="6" t="str">
        <f t="shared" si="531"/>
        <v xml:space="preserve">GC SAHRA  SR-100  4 KAPILI DOLAP </v>
      </c>
      <c r="M5410" s="12">
        <v>0.3</v>
      </c>
      <c r="N5410" s="12">
        <v>0.3</v>
      </c>
      <c r="O5410" s="8">
        <v>22281</v>
      </c>
      <c r="P5410" s="8">
        <f t="shared" si="532"/>
        <v>15596.699999999999</v>
      </c>
      <c r="Q5410" s="12">
        <f t="shared" si="533"/>
        <v>32753.07</v>
      </c>
      <c r="R5410" s="31">
        <f t="shared" si="534"/>
        <v>32700</v>
      </c>
      <c r="T5410" s="12"/>
      <c r="U5410" s="8">
        <v>10700</v>
      </c>
      <c r="W5410" s="8">
        <f t="shared" si="530"/>
        <v>38991.75</v>
      </c>
    </row>
    <row r="5411" spans="1:23" ht="21.95" customHeight="1" x14ac:dyDescent="0.2">
      <c r="A5411" s="6" t="s">
        <v>1151</v>
      </c>
      <c r="B5411" s="6" t="s">
        <v>1586</v>
      </c>
      <c r="C5411" s="6" t="s">
        <v>381</v>
      </c>
      <c r="D5411" s="6" t="s">
        <v>1471</v>
      </c>
      <c r="K5411" s="7">
        <v>44009748</v>
      </c>
      <c r="L5411" s="6" t="str">
        <f t="shared" si="531"/>
        <v xml:space="preserve">GC SAHRA  SR-101 3 KAPILI DOLAP </v>
      </c>
      <c r="M5411" s="12">
        <v>0.3</v>
      </c>
      <c r="N5411" s="12">
        <v>0.3</v>
      </c>
      <c r="O5411" s="8">
        <v>17161</v>
      </c>
      <c r="P5411" s="8">
        <f t="shared" si="532"/>
        <v>12012.699999999999</v>
      </c>
      <c r="Q5411" s="12">
        <f t="shared" si="533"/>
        <v>25226.67</v>
      </c>
      <c r="R5411" s="31">
        <f t="shared" si="534"/>
        <v>25200</v>
      </c>
      <c r="T5411" s="12"/>
      <c r="U5411" s="8">
        <v>11300</v>
      </c>
      <c r="W5411" s="8">
        <f t="shared" si="530"/>
        <v>30031.749999999996</v>
      </c>
    </row>
    <row r="5412" spans="1:23" ht="21.95" customHeight="1" x14ac:dyDescent="0.2">
      <c r="A5412" s="6" t="s">
        <v>1151</v>
      </c>
      <c r="B5412" s="6" t="s">
        <v>1586</v>
      </c>
      <c r="C5412" s="6" t="s">
        <v>381</v>
      </c>
      <c r="D5412" s="6" t="s">
        <v>1472</v>
      </c>
      <c r="K5412" s="7">
        <v>44009749</v>
      </c>
      <c r="L5412" s="6" t="str">
        <f t="shared" si="531"/>
        <v xml:space="preserve">GC SAHRA   DOLAP İÇİ ÇEKMECE MODÜLÜ BEYAZ </v>
      </c>
      <c r="M5412" s="12">
        <v>0.3</v>
      </c>
      <c r="N5412" s="12">
        <v>0.3</v>
      </c>
      <c r="O5412" s="8">
        <v>3770</v>
      </c>
      <c r="P5412" s="8">
        <f t="shared" si="532"/>
        <v>2639</v>
      </c>
      <c r="Q5412" s="12">
        <f t="shared" si="533"/>
        <v>5541.9000000000005</v>
      </c>
      <c r="R5412" s="31">
        <f t="shared" si="534"/>
        <v>5500</v>
      </c>
      <c r="T5412" s="12"/>
      <c r="U5412" s="8">
        <v>11400</v>
      </c>
      <c r="W5412" s="8">
        <f t="shared" si="530"/>
        <v>6597.5</v>
      </c>
    </row>
    <row r="5413" spans="1:23" ht="21.95" customHeight="1" x14ac:dyDescent="0.2">
      <c r="A5413" s="6" t="s">
        <v>1151</v>
      </c>
      <c r="B5413" s="6" t="s">
        <v>1586</v>
      </c>
      <c r="C5413" s="6" t="s">
        <v>381</v>
      </c>
      <c r="D5413" s="6" t="s">
        <v>1473</v>
      </c>
      <c r="K5413" s="7">
        <v>44009750</v>
      </c>
      <c r="L5413" s="6" t="str">
        <f t="shared" si="531"/>
        <v xml:space="preserve">GC SAHRA  SR-102 ÇALIŞMA MASASI </v>
      </c>
      <c r="M5413" s="12">
        <v>0.3</v>
      </c>
      <c r="N5413" s="12">
        <v>0.3</v>
      </c>
      <c r="O5413" s="8">
        <v>5236</v>
      </c>
      <c r="P5413" s="8">
        <f t="shared" si="532"/>
        <v>3665.2</v>
      </c>
      <c r="Q5413" s="12">
        <f t="shared" si="533"/>
        <v>7696.92</v>
      </c>
      <c r="R5413" s="31">
        <f t="shared" si="534"/>
        <v>7600</v>
      </c>
      <c r="T5413" s="12"/>
      <c r="U5413" s="8">
        <v>13700</v>
      </c>
      <c r="W5413" s="8">
        <f t="shared" si="530"/>
        <v>9163</v>
      </c>
    </row>
    <row r="5414" spans="1:23" ht="21.95" customHeight="1" x14ac:dyDescent="0.2">
      <c r="A5414" s="6" t="s">
        <v>1151</v>
      </c>
      <c r="B5414" s="6" t="s">
        <v>1586</v>
      </c>
      <c r="C5414" s="6" t="s">
        <v>381</v>
      </c>
      <c r="D5414" s="6" t="s">
        <v>1474</v>
      </c>
      <c r="K5414" s="7">
        <v>44009751</v>
      </c>
      <c r="L5414" s="6" t="str">
        <f t="shared" si="531"/>
        <v>GC SAHRA  SR-103 MASA ÜNİTESİ</v>
      </c>
      <c r="M5414" s="12">
        <v>0.3</v>
      </c>
      <c r="N5414" s="12">
        <v>0.3</v>
      </c>
      <c r="O5414" s="8">
        <v>2610</v>
      </c>
      <c r="P5414" s="8">
        <f t="shared" si="532"/>
        <v>1826.9999999999998</v>
      </c>
      <c r="Q5414" s="12">
        <f t="shared" si="533"/>
        <v>3836.7</v>
      </c>
      <c r="R5414" s="31">
        <f t="shared" si="534"/>
        <v>3800</v>
      </c>
      <c r="T5414" s="12"/>
      <c r="U5414" s="8">
        <v>15900</v>
      </c>
      <c r="W5414" s="8">
        <f t="shared" si="530"/>
        <v>4567.4999999999991</v>
      </c>
    </row>
    <row r="5415" spans="1:23" ht="21.95" customHeight="1" x14ac:dyDescent="0.2">
      <c r="A5415" s="6" t="s">
        <v>1151</v>
      </c>
      <c r="B5415" s="6" t="s">
        <v>1586</v>
      </c>
      <c r="C5415" s="6" t="s">
        <v>381</v>
      </c>
      <c r="D5415" s="6" t="s">
        <v>1475</v>
      </c>
      <c r="K5415" s="7">
        <v>44009752</v>
      </c>
      <c r="L5415" s="6" t="str">
        <f t="shared" si="531"/>
        <v xml:space="preserve">GC SAHRA  SR-104 ÇAMAŞIRLIK </v>
      </c>
      <c r="M5415" s="12">
        <v>0.3</v>
      </c>
      <c r="N5415" s="12">
        <v>0.3</v>
      </c>
      <c r="O5415" s="8">
        <v>8808</v>
      </c>
      <c r="P5415" s="8">
        <f t="shared" si="532"/>
        <v>6165.5999999999995</v>
      </c>
      <c r="Q5415" s="12">
        <f t="shared" si="533"/>
        <v>12947.76</v>
      </c>
      <c r="R5415" s="31">
        <f t="shared" si="534"/>
        <v>12900</v>
      </c>
      <c r="T5415" s="12"/>
      <c r="U5415" s="8">
        <v>17100</v>
      </c>
      <c r="W5415" s="8">
        <f t="shared" si="530"/>
        <v>15413.999999999998</v>
      </c>
    </row>
    <row r="5416" spans="1:23" ht="21.95" customHeight="1" x14ac:dyDescent="0.2">
      <c r="A5416" s="6" t="s">
        <v>1151</v>
      </c>
      <c r="B5416" s="6" t="s">
        <v>1586</v>
      </c>
      <c r="C5416" s="6" t="s">
        <v>381</v>
      </c>
      <c r="D5416" s="6" t="s">
        <v>1476</v>
      </c>
      <c r="K5416" s="7">
        <v>44009753</v>
      </c>
      <c r="L5416" s="6" t="str">
        <f t="shared" si="531"/>
        <v xml:space="preserve">GC SAHRA  SR-105 AYNA </v>
      </c>
      <c r="M5416" s="12">
        <v>0.3</v>
      </c>
      <c r="N5416" s="12">
        <v>0.3</v>
      </c>
      <c r="O5416" s="8">
        <v>2065</v>
      </c>
      <c r="P5416" s="8">
        <f t="shared" si="532"/>
        <v>1445.5</v>
      </c>
      <c r="Q5416" s="12">
        <f t="shared" si="533"/>
        <v>3035.55</v>
      </c>
      <c r="R5416" s="31">
        <f t="shared" si="534"/>
        <v>3000</v>
      </c>
      <c r="T5416" s="12"/>
      <c r="U5416" s="8">
        <v>18200</v>
      </c>
      <c r="W5416" s="8">
        <f t="shared" si="530"/>
        <v>3613.75</v>
      </c>
    </row>
    <row r="5417" spans="1:23" ht="21.95" customHeight="1" x14ac:dyDescent="0.2">
      <c r="A5417" s="6" t="s">
        <v>1151</v>
      </c>
      <c r="B5417" s="6" t="s">
        <v>1586</v>
      </c>
      <c r="C5417" s="6" t="s">
        <v>381</v>
      </c>
      <c r="D5417" s="6" t="s">
        <v>1477</v>
      </c>
      <c r="K5417" s="7">
        <v>44009754</v>
      </c>
      <c r="L5417" s="6" t="str">
        <f t="shared" si="531"/>
        <v xml:space="preserve">GC SAHRA  SR-106 KARYOLA 100*200 </v>
      </c>
      <c r="M5417" s="12">
        <v>0.3</v>
      </c>
      <c r="N5417" s="12">
        <v>0.3</v>
      </c>
      <c r="O5417" s="8">
        <v>10348</v>
      </c>
      <c r="P5417" s="8">
        <f t="shared" si="532"/>
        <v>7243.5999999999995</v>
      </c>
      <c r="Q5417" s="12">
        <f t="shared" si="533"/>
        <v>15211.56</v>
      </c>
      <c r="R5417" s="31">
        <f t="shared" si="534"/>
        <v>15200</v>
      </c>
      <c r="T5417" s="12"/>
      <c r="U5417" s="8">
        <v>20500</v>
      </c>
      <c r="W5417" s="8">
        <f t="shared" si="530"/>
        <v>18109</v>
      </c>
    </row>
    <row r="5418" spans="1:23" ht="21.95" customHeight="1" x14ac:dyDescent="0.2">
      <c r="A5418" s="6" t="s">
        <v>1151</v>
      </c>
      <c r="B5418" s="6" t="s">
        <v>1586</v>
      </c>
      <c r="C5418" s="6" t="s">
        <v>381</v>
      </c>
      <c r="D5418" s="6" t="s">
        <v>1478</v>
      </c>
      <c r="K5418" s="7">
        <v>44009755</v>
      </c>
      <c r="L5418" s="6" t="str">
        <f t="shared" si="531"/>
        <v>GC SAHRA  BYZ-107 STANDART ALT KARYOLA BEYAZ 90*190</v>
      </c>
      <c r="M5418" s="12">
        <v>0.3</v>
      </c>
      <c r="N5418" s="12">
        <v>0.3</v>
      </c>
      <c r="O5418" s="8">
        <v>4027</v>
      </c>
      <c r="P5418" s="8">
        <f t="shared" si="532"/>
        <v>2818.8999999999996</v>
      </c>
      <c r="Q5418" s="12">
        <f t="shared" si="533"/>
        <v>5919.69</v>
      </c>
      <c r="R5418" s="31">
        <f t="shared" si="534"/>
        <v>5900</v>
      </c>
      <c r="T5418" s="12"/>
      <c r="U5418" s="8">
        <v>15800</v>
      </c>
      <c r="W5418" s="8">
        <f t="shared" si="530"/>
        <v>7047.2499999999991</v>
      </c>
    </row>
    <row r="5419" spans="1:23" ht="21.95" customHeight="1" x14ac:dyDescent="0.2">
      <c r="A5419" s="6" t="s">
        <v>1151</v>
      </c>
      <c r="B5419" s="6" t="s">
        <v>1586</v>
      </c>
      <c r="C5419" s="6" t="s">
        <v>381</v>
      </c>
      <c r="D5419" s="6" t="s">
        <v>1479</v>
      </c>
      <c r="K5419" s="7">
        <v>44009756</v>
      </c>
      <c r="L5419" s="6" t="str">
        <f t="shared" si="531"/>
        <v>GC SAHRA  BYZ-111 STANDART AYAKLI BEYAZ BAZA 100*200</v>
      </c>
      <c r="M5419" s="12">
        <v>0.3</v>
      </c>
      <c r="N5419" s="12">
        <v>0.3</v>
      </c>
      <c r="O5419" s="8">
        <v>9630</v>
      </c>
      <c r="P5419" s="8">
        <f t="shared" si="532"/>
        <v>6741</v>
      </c>
      <c r="Q5419" s="12">
        <f t="shared" si="533"/>
        <v>14156.1</v>
      </c>
      <c r="R5419" s="31">
        <f t="shared" si="534"/>
        <v>14100</v>
      </c>
      <c r="T5419" s="12"/>
      <c r="U5419" s="8">
        <v>18600</v>
      </c>
      <c r="W5419" s="8">
        <f t="shared" ref="W5419:W5887" si="535">P5419*2.5</f>
        <v>16852.5</v>
      </c>
    </row>
    <row r="5420" spans="1:23" ht="21.95" customHeight="1" x14ac:dyDescent="0.2">
      <c r="A5420" s="6" t="s">
        <v>1151</v>
      </c>
      <c r="B5420" s="6" t="s">
        <v>1586</v>
      </c>
      <c r="C5420" s="6" t="s">
        <v>381</v>
      </c>
      <c r="D5420" s="6" t="s">
        <v>1480</v>
      </c>
      <c r="K5420" s="7">
        <v>44009757</v>
      </c>
      <c r="L5420" s="6" t="str">
        <f t="shared" si="531"/>
        <v xml:space="preserve">GC SAHRA  SR-112 BAŞLIK 100'LÜK </v>
      </c>
      <c r="M5420" s="12">
        <v>0.3</v>
      </c>
      <c r="N5420" s="12">
        <v>0.3</v>
      </c>
      <c r="O5420" s="8">
        <v>4027</v>
      </c>
      <c r="P5420" s="8">
        <f t="shared" si="532"/>
        <v>2818.8999999999996</v>
      </c>
      <c r="Q5420" s="12">
        <f t="shared" si="533"/>
        <v>5919.69</v>
      </c>
      <c r="R5420" s="31">
        <f t="shared" si="534"/>
        <v>5900</v>
      </c>
      <c r="T5420" s="12"/>
      <c r="U5420" s="8">
        <v>19900</v>
      </c>
      <c r="W5420" s="8">
        <f t="shared" si="535"/>
        <v>7047.2499999999991</v>
      </c>
    </row>
    <row r="5421" spans="1:23" ht="21.95" customHeight="1" x14ac:dyDescent="0.2">
      <c r="A5421" s="6" t="s">
        <v>1151</v>
      </c>
      <c r="B5421" s="6" t="s">
        <v>1586</v>
      </c>
      <c r="C5421" s="6" t="s">
        <v>381</v>
      </c>
      <c r="D5421" s="6" t="s">
        <v>1481</v>
      </c>
      <c r="K5421" s="7">
        <v>44009758</v>
      </c>
      <c r="L5421" s="6" t="str">
        <f t="shared" si="531"/>
        <v>GC SAHRA  SR-128 CASTLE KARYOLA 100*200</v>
      </c>
      <c r="M5421" s="12">
        <v>0.3</v>
      </c>
      <c r="N5421" s="12">
        <v>0.3</v>
      </c>
      <c r="O5421" s="8">
        <v>15582</v>
      </c>
      <c r="P5421" s="8">
        <f t="shared" si="532"/>
        <v>10907.4</v>
      </c>
      <c r="Q5421" s="12">
        <f t="shared" si="533"/>
        <v>22905.54</v>
      </c>
      <c r="R5421" s="31">
        <f t="shared" si="534"/>
        <v>22900</v>
      </c>
      <c r="T5421" s="12"/>
      <c r="U5421" s="8">
        <v>21200</v>
      </c>
      <c r="W5421" s="8">
        <f t="shared" si="535"/>
        <v>27268.5</v>
      </c>
    </row>
    <row r="5422" spans="1:23" ht="21.95" customHeight="1" x14ac:dyDescent="0.2">
      <c r="A5422" s="6" t="s">
        <v>1151</v>
      </c>
      <c r="B5422" s="6" t="s">
        <v>1586</v>
      </c>
      <c r="C5422" s="6" t="s">
        <v>381</v>
      </c>
      <c r="D5422" s="6" t="s">
        <v>1482</v>
      </c>
      <c r="K5422" s="7">
        <v>44009759</v>
      </c>
      <c r="L5422" s="6" t="str">
        <f t="shared" si="531"/>
        <v>GC SAHRA  BYZ-131 STANDART AYAKLI BEYAZ BAZA 120*200</v>
      </c>
      <c r="M5422" s="12">
        <v>0.3</v>
      </c>
      <c r="N5422" s="12">
        <v>0.3</v>
      </c>
      <c r="O5422" s="8">
        <v>10831</v>
      </c>
      <c r="P5422" s="8">
        <f t="shared" si="532"/>
        <v>7581.7</v>
      </c>
      <c r="Q5422" s="12">
        <f t="shared" si="533"/>
        <v>15921.57</v>
      </c>
      <c r="R5422" s="31">
        <f t="shared" si="534"/>
        <v>15900</v>
      </c>
    </row>
    <row r="5423" spans="1:23" ht="21.95" customHeight="1" x14ac:dyDescent="0.2">
      <c r="A5423" s="6" t="s">
        <v>1151</v>
      </c>
      <c r="B5423" s="6" t="s">
        <v>1586</v>
      </c>
      <c r="C5423" s="6" t="s">
        <v>381</v>
      </c>
      <c r="D5423" s="6" t="s">
        <v>1483</v>
      </c>
      <c r="K5423" s="7">
        <v>44009760</v>
      </c>
      <c r="L5423" s="6" t="str">
        <f t="shared" si="531"/>
        <v xml:space="preserve">GC SAHRA  SR-123 BAŞLIK 120'LİK </v>
      </c>
      <c r="M5423" s="12">
        <v>0.3</v>
      </c>
      <c r="N5423" s="12">
        <v>0.3</v>
      </c>
      <c r="O5423" s="8">
        <v>5059</v>
      </c>
      <c r="P5423" s="8">
        <f t="shared" si="532"/>
        <v>3541.2999999999997</v>
      </c>
      <c r="Q5423" s="12">
        <f t="shared" si="533"/>
        <v>7436.73</v>
      </c>
      <c r="R5423" s="31">
        <f t="shared" si="534"/>
        <v>7400</v>
      </c>
    </row>
    <row r="5424" spans="1:23" ht="21.95" customHeight="1" x14ac:dyDescent="0.2">
      <c r="A5424" s="6" t="s">
        <v>1151</v>
      </c>
      <c r="B5424" s="6" t="s">
        <v>1586</v>
      </c>
      <c r="C5424" s="6" t="s">
        <v>381</v>
      </c>
      <c r="D5424" s="6" t="s">
        <v>1484</v>
      </c>
      <c r="K5424" s="7">
        <v>44009761</v>
      </c>
      <c r="L5424" s="6" t="str">
        <f t="shared" si="531"/>
        <v>GC SAHRA  SR-115 KARYOLA 120*200</v>
      </c>
      <c r="M5424" s="12">
        <v>0.3</v>
      </c>
      <c r="N5424" s="12">
        <v>0.3</v>
      </c>
      <c r="O5424" s="8">
        <v>11899</v>
      </c>
      <c r="P5424" s="8">
        <f t="shared" si="532"/>
        <v>8329.2999999999993</v>
      </c>
      <c r="Q5424" s="12">
        <f t="shared" si="533"/>
        <v>17491.53</v>
      </c>
      <c r="R5424" s="31">
        <f t="shared" si="534"/>
        <v>17400</v>
      </c>
    </row>
    <row r="5425" spans="1:18" ht="21.95" customHeight="1" x14ac:dyDescent="0.2">
      <c r="A5425" s="6" t="s">
        <v>1151</v>
      </c>
      <c r="B5425" s="6" t="s">
        <v>1586</v>
      </c>
      <c r="C5425" s="6" t="s">
        <v>381</v>
      </c>
      <c r="D5425" s="6" t="s">
        <v>1485</v>
      </c>
      <c r="K5425" s="7">
        <v>44009762</v>
      </c>
      <c r="L5425" s="6" t="str">
        <f t="shared" si="531"/>
        <v xml:space="preserve">GC SAHRA  SR-109 KOMODİN </v>
      </c>
      <c r="M5425" s="12">
        <v>0.3</v>
      </c>
      <c r="N5425" s="12">
        <v>0.3</v>
      </c>
      <c r="O5425" s="8">
        <v>3435</v>
      </c>
      <c r="P5425" s="8">
        <f t="shared" si="532"/>
        <v>2404.5</v>
      </c>
      <c r="Q5425" s="12">
        <f t="shared" si="533"/>
        <v>5049.45</v>
      </c>
      <c r="R5425" s="31">
        <f t="shared" si="534"/>
        <v>5000</v>
      </c>
    </row>
    <row r="5426" spans="1:18" ht="21.95" customHeight="1" x14ac:dyDescent="0.2">
      <c r="A5426" s="6" t="s">
        <v>1151</v>
      </c>
      <c r="B5426" s="6" t="s">
        <v>1586</v>
      </c>
      <c r="C5426" s="6" t="s">
        <v>381</v>
      </c>
      <c r="D5426" s="6" t="s">
        <v>1486</v>
      </c>
      <c r="K5426" s="7">
        <v>44009763</v>
      </c>
      <c r="L5426" s="6" t="str">
        <f t="shared" si="531"/>
        <v xml:space="preserve">GC SAHRA  SR-110 KİTAPLIK </v>
      </c>
      <c r="M5426" s="12">
        <v>0.3</v>
      </c>
      <c r="N5426" s="12">
        <v>0.3</v>
      </c>
      <c r="O5426" s="8">
        <v>6415</v>
      </c>
      <c r="P5426" s="8">
        <f t="shared" si="532"/>
        <v>4490.5</v>
      </c>
      <c r="Q5426" s="12">
        <f t="shared" si="533"/>
        <v>9430.0500000000011</v>
      </c>
      <c r="R5426" s="31">
        <f t="shared" si="534"/>
        <v>9400</v>
      </c>
    </row>
    <row r="5427" spans="1:18" ht="21.95" customHeight="1" x14ac:dyDescent="0.2">
      <c r="A5427" s="6" t="s">
        <v>1151</v>
      </c>
      <c r="B5427" s="6" t="s">
        <v>1586</v>
      </c>
      <c r="C5427" s="6" t="s">
        <v>1130</v>
      </c>
      <c r="D5427" s="6" t="s">
        <v>1487</v>
      </c>
      <c r="K5427" s="7">
        <v>44009764</v>
      </c>
      <c r="L5427" s="6" t="str">
        <f t="shared" si="531"/>
        <v xml:space="preserve">GC İNCİ NC-100 4 KAPILI DOLAP </v>
      </c>
      <c r="M5427" s="12">
        <v>0.3</v>
      </c>
      <c r="N5427" s="12">
        <v>0.3</v>
      </c>
      <c r="O5427" s="8">
        <v>21272</v>
      </c>
      <c r="P5427" s="8">
        <f t="shared" si="532"/>
        <v>14890.4</v>
      </c>
      <c r="Q5427" s="12">
        <f t="shared" si="533"/>
        <v>31269.84</v>
      </c>
      <c r="R5427" s="31">
        <f t="shared" si="534"/>
        <v>31200</v>
      </c>
    </row>
    <row r="5428" spans="1:18" ht="21.95" customHeight="1" x14ac:dyDescent="0.2">
      <c r="A5428" s="6" t="s">
        <v>1151</v>
      </c>
      <c r="B5428" s="6" t="s">
        <v>1586</v>
      </c>
      <c r="C5428" s="6" t="s">
        <v>1130</v>
      </c>
      <c r="D5428" s="6" t="s">
        <v>1488</v>
      </c>
      <c r="K5428" s="7">
        <v>44009765</v>
      </c>
      <c r="L5428" s="6" t="str">
        <f t="shared" si="531"/>
        <v xml:space="preserve">GC İNCİ NC-101 3 KAPILI DOLAP </v>
      </c>
      <c r="M5428" s="12">
        <v>0.3</v>
      </c>
      <c r="N5428" s="12">
        <v>0.3</v>
      </c>
      <c r="O5428" s="8">
        <v>15867</v>
      </c>
      <c r="P5428" s="8">
        <f t="shared" si="532"/>
        <v>11106.9</v>
      </c>
      <c r="Q5428" s="12">
        <f t="shared" si="533"/>
        <v>23324.49</v>
      </c>
      <c r="R5428" s="31">
        <f t="shared" si="534"/>
        <v>23300</v>
      </c>
    </row>
    <row r="5429" spans="1:18" ht="21.95" customHeight="1" x14ac:dyDescent="0.2">
      <c r="A5429" s="6" t="s">
        <v>1151</v>
      </c>
      <c r="B5429" s="6" t="s">
        <v>1586</v>
      </c>
      <c r="C5429" s="6" t="s">
        <v>1130</v>
      </c>
      <c r="D5429" s="6" t="s">
        <v>1454</v>
      </c>
      <c r="K5429" s="7">
        <v>44009766</v>
      </c>
      <c r="L5429" s="6" t="str">
        <f t="shared" si="531"/>
        <v xml:space="preserve">GC İNCİ DOLAP İÇİ ÇEKMECE MODÜLÜ BEYAZ </v>
      </c>
      <c r="M5429" s="12">
        <v>0.3</v>
      </c>
      <c r="N5429" s="12">
        <v>0.3</v>
      </c>
      <c r="O5429" s="8">
        <v>3770</v>
      </c>
      <c r="P5429" s="8">
        <f t="shared" si="532"/>
        <v>2639</v>
      </c>
      <c r="Q5429" s="12">
        <f t="shared" si="533"/>
        <v>5541.9000000000005</v>
      </c>
      <c r="R5429" s="31">
        <f t="shared" si="534"/>
        <v>5500</v>
      </c>
    </row>
    <row r="5430" spans="1:18" ht="21.95" customHeight="1" x14ac:dyDescent="0.2">
      <c r="A5430" s="6" t="s">
        <v>1151</v>
      </c>
      <c r="B5430" s="6" t="s">
        <v>1586</v>
      </c>
      <c r="C5430" s="6" t="s">
        <v>1130</v>
      </c>
      <c r="D5430" s="6" t="s">
        <v>1489</v>
      </c>
      <c r="K5430" s="7">
        <v>44009767</v>
      </c>
      <c r="L5430" s="6" t="str">
        <f t="shared" si="531"/>
        <v xml:space="preserve">GC İNCİ NC-102 ÇALIŞMA MASASI </v>
      </c>
      <c r="M5430" s="12">
        <v>0.3</v>
      </c>
      <c r="N5430" s="12">
        <v>0.3</v>
      </c>
      <c r="O5430" s="8">
        <v>6646</v>
      </c>
      <c r="P5430" s="8">
        <f t="shared" si="532"/>
        <v>4652.2</v>
      </c>
      <c r="Q5430" s="12">
        <f t="shared" si="533"/>
        <v>9769.6200000000008</v>
      </c>
      <c r="R5430" s="31">
        <f t="shared" si="534"/>
        <v>9700</v>
      </c>
    </row>
    <row r="5431" spans="1:18" ht="21.95" customHeight="1" x14ac:dyDescent="0.2">
      <c r="A5431" s="6" t="s">
        <v>1151</v>
      </c>
      <c r="B5431" s="6" t="s">
        <v>1586</v>
      </c>
      <c r="C5431" s="6" t="s">
        <v>1130</v>
      </c>
      <c r="D5431" s="6" t="s">
        <v>1490</v>
      </c>
      <c r="K5431" s="7">
        <v>44009768</v>
      </c>
      <c r="L5431" s="6" t="str">
        <f t="shared" si="531"/>
        <v xml:space="preserve">GC İNCİ NC-103 MASA ÜNİTESİ </v>
      </c>
      <c r="M5431" s="12">
        <v>0.3</v>
      </c>
      <c r="N5431" s="12">
        <v>0.3</v>
      </c>
      <c r="O5431" s="8">
        <v>1230</v>
      </c>
      <c r="P5431" s="8">
        <f t="shared" si="532"/>
        <v>861</v>
      </c>
      <c r="Q5431" s="12">
        <f t="shared" si="533"/>
        <v>1808.1000000000001</v>
      </c>
      <c r="R5431" s="31">
        <f t="shared" si="534"/>
        <v>1800</v>
      </c>
    </row>
    <row r="5432" spans="1:18" ht="21.95" customHeight="1" x14ac:dyDescent="0.2">
      <c r="A5432" s="6" t="s">
        <v>1151</v>
      </c>
      <c r="B5432" s="6" t="s">
        <v>1586</v>
      </c>
      <c r="C5432" s="6" t="s">
        <v>1130</v>
      </c>
      <c r="D5432" s="6" t="s">
        <v>1491</v>
      </c>
      <c r="K5432" s="7">
        <v>44009769</v>
      </c>
      <c r="L5432" s="6" t="str">
        <f t="shared" si="531"/>
        <v xml:space="preserve">GC İNCİ NC-104 ÇAMAŞIRLIK </v>
      </c>
      <c r="M5432" s="12">
        <v>0.3</v>
      </c>
      <c r="N5432" s="12">
        <v>0.3</v>
      </c>
      <c r="O5432" s="8">
        <v>8394</v>
      </c>
      <c r="P5432" s="8">
        <f t="shared" si="532"/>
        <v>5875.7999999999993</v>
      </c>
      <c r="Q5432" s="12">
        <f t="shared" si="533"/>
        <v>12339.179999999998</v>
      </c>
      <c r="R5432" s="31">
        <f t="shared" si="534"/>
        <v>12300</v>
      </c>
    </row>
    <row r="5433" spans="1:18" ht="21.95" customHeight="1" x14ac:dyDescent="0.2">
      <c r="A5433" s="6" t="s">
        <v>1151</v>
      </c>
      <c r="B5433" s="6" t="s">
        <v>1586</v>
      </c>
      <c r="C5433" s="6" t="s">
        <v>1130</v>
      </c>
      <c r="D5433" s="6" t="s">
        <v>1492</v>
      </c>
      <c r="K5433" s="7">
        <v>44009770</v>
      </c>
      <c r="L5433" s="6" t="str">
        <f t="shared" si="531"/>
        <v xml:space="preserve">GC İNCİ NC-105 AYNA </v>
      </c>
      <c r="M5433" s="12">
        <v>0.3</v>
      </c>
      <c r="N5433" s="12">
        <v>0.3</v>
      </c>
      <c r="O5433" s="8">
        <v>1955</v>
      </c>
      <c r="P5433" s="8">
        <f t="shared" si="532"/>
        <v>1368.5</v>
      </c>
      <c r="Q5433" s="12">
        <f t="shared" si="533"/>
        <v>2873.85</v>
      </c>
      <c r="R5433" s="31">
        <f t="shared" si="534"/>
        <v>2800</v>
      </c>
    </row>
    <row r="5434" spans="1:18" ht="21.95" customHeight="1" x14ac:dyDescent="0.2">
      <c r="A5434" s="6" t="s">
        <v>1151</v>
      </c>
      <c r="B5434" s="6" t="s">
        <v>1586</v>
      </c>
      <c r="C5434" s="6" t="s">
        <v>1130</v>
      </c>
      <c r="D5434" s="6" t="s">
        <v>1493</v>
      </c>
      <c r="K5434" s="7">
        <v>44009771</v>
      </c>
      <c r="L5434" s="6" t="str">
        <f t="shared" si="531"/>
        <v>GC İNCİ NC-106 KARYOLA 100*200</v>
      </c>
      <c r="M5434" s="12">
        <v>0.3</v>
      </c>
      <c r="N5434" s="12">
        <v>0.3</v>
      </c>
      <c r="O5434" s="8">
        <v>8336</v>
      </c>
      <c r="P5434" s="8">
        <f t="shared" si="532"/>
        <v>5835.2</v>
      </c>
      <c r="Q5434" s="12">
        <f t="shared" si="533"/>
        <v>12253.92</v>
      </c>
      <c r="R5434" s="31">
        <f t="shared" si="534"/>
        <v>12200</v>
      </c>
    </row>
    <row r="5435" spans="1:18" ht="21.95" customHeight="1" x14ac:dyDescent="0.2">
      <c r="A5435" s="6" t="s">
        <v>1151</v>
      </c>
      <c r="B5435" s="6" t="s">
        <v>1586</v>
      </c>
      <c r="C5435" s="6" t="s">
        <v>1130</v>
      </c>
      <c r="D5435" s="6" t="s">
        <v>1494</v>
      </c>
      <c r="K5435" s="7">
        <v>44009772</v>
      </c>
      <c r="L5435" s="6" t="str">
        <f t="shared" si="531"/>
        <v>GC İNCİ AYS-111 STANDART AYAKLI AYTAŞI BAZA 100*200</v>
      </c>
      <c r="M5435" s="12">
        <v>0.3</v>
      </c>
      <c r="N5435" s="12">
        <v>0.3</v>
      </c>
      <c r="O5435" s="8">
        <v>9631</v>
      </c>
      <c r="P5435" s="8">
        <f t="shared" si="532"/>
        <v>6741.7</v>
      </c>
      <c r="Q5435" s="12">
        <f t="shared" si="533"/>
        <v>14157.57</v>
      </c>
      <c r="R5435" s="31">
        <f t="shared" si="534"/>
        <v>14100</v>
      </c>
    </row>
    <row r="5436" spans="1:18" ht="21.95" customHeight="1" x14ac:dyDescent="0.2">
      <c r="A5436" s="6" t="s">
        <v>1151</v>
      </c>
      <c r="B5436" s="6" t="s">
        <v>1586</v>
      </c>
      <c r="C5436" s="6" t="s">
        <v>1130</v>
      </c>
      <c r="D5436" s="6" t="s">
        <v>1495</v>
      </c>
      <c r="K5436" s="7">
        <v>44009773</v>
      </c>
      <c r="L5436" s="6" t="str">
        <f t="shared" si="531"/>
        <v xml:space="preserve">GC İNCİ NC-112 BAŞLIK 100'LÜK </v>
      </c>
      <c r="M5436" s="12">
        <v>0.3</v>
      </c>
      <c r="N5436" s="12">
        <v>0.3</v>
      </c>
      <c r="O5436" s="8">
        <v>2875</v>
      </c>
      <c r="P5436" s="8">
        <f t="shared" si="532"/>
        <v>2012.4999999999998</v>
      </c>
      <c r="Q5436" s="12">
        <f t="shared" si="533"/>
        <v>4226.25</v>
      </c>
      <c r="R5436" s="31">
        <f t="shared" si="534"/>
        <v>4200</v>
      </c>
    </row>
    <row r="5437" spans="1:18" ht="21.95" customHeight="1" x14ac:dyDescent="0.2">
      <c r="A5437" s="6" t="s">
        <v>1151</v>
      </c>
      <c r="B5437" s="6" t="s">
        <v>1586</v>
      </c>
      <c r="C5437" s="6" t="s">
        <v>1130</v>
      </c>
      <c r="D5437" s="6" t="s">
        <v>1496</v>
      </c>
      <c r="K5437" s="7">
        <v>44009774</v>
      </c>
      <c r="L5437" s="6" t="str">
        <f t="shared" si="531"/>
        <v>GC İNCİ AYS-131 STANDART AYAKLI AYTAŞI BAZA 120*200</v>
      </c>
      <c r="M5437" s="12">
        <v>0.3</v>
      </c>
      <c r="N5437" s="12">
        <v>0.3</v>
      </c>
      <c r="O5437" s="8">
        <v>10831</v>
      </c>
      <c r="P5437" s="8">
        <f t="shared" si="532"/>
        <v>7581.7</v>
      </c>
      <c r="Q5437" s="12">
        <f t="shared" si="533"/>
        <v>15921.57</v>
      </c>
      <c r="R5437" s="31">
        <f t="shared" si="534"/>
        <v>15900</v>
      </c>
    </row>
    <row r="5438" spans="1:18" ht="21.95" customHeight="1" x14ac:dyDescent="0.2">
      <c r="A5438" s="6" t="s">
        <v>1151</v>
      </c>
      <c r="B5438" s="6" t="s">
        <v>1586</v>
      </c>
      <c r="C5438" s="6" t="s">
        <v>1130</v>
      </c>
      <c r="D5438" s="6" t="s">
        <v>1497</v>
      </c>
      <c r="K5438" s="7">
        <v>44009775</v>
      </c>
      <c r="L5438" s="6" t="str">
        <f t="shared" si="531"/>
        <v xml:space="preserve">GC İNCİ NC-123 BAŞLIK 120'LİK </v>
      </c>
      <c r="M5438" s="12">
        <v>0.3</v>
      </c>
      <c r="N5438" s="12">
        <v>0.3</v>
      </c>
      <c r="O5438" s="8">
        <v>3426</v>
      </c>
      <c r="P5438" s="8">
        <f t="shared" si="532"/>
        <v>2398.1999999999998</v>
      </c>
      <c r="Q5438" s="12">
        <f t="shared" si="533"/>
        <v>5036.22</v>
      </c>
      <c r="R5438" s="31">
        <f t="shared" si="534"/>
        <v>5000</v>
      </c>
    </row>
    <row r="5439" spans="1:18" ht="21.95" customHeight="1" x14ac:dyDescent="0.2">
      <c r="A5439" s="6" t="s">
        <v>1151</v>
      </c>
      <c r="B5439" s="6" t="s">
        <v>1586</v>
      </c>
      <c r="C5439" s="6" t="s">
        <v>1130</v>
      </c>
      <c r="D5439" s="6" t="s">
        <v>1498</v>
      </c>
      <c r="K5439" s="7">
        <v>44009776</v>
      </c>
      <c r="L5439" s="6" t="str">
        <f t="shared" si="531"/>
        <v>GC İNCİ NC-128 CASTLE KARYOLA 100*200</v>
      </c>
      <c r="M5439" s="12">
        <v>0.3</v>
      </c>
      <c r="N5439" s="12">
        <v>0.3</v>
      </c>
      <c r="O5439" s="8">
        <v>14534</v>
      </c>
      <c r="P5439" s="8">
        <f t="shared" si="532"/>
        <v>10173.799999999999</v>
      </c>
      <c r="Q5439" s="12">
        <f t="shared" si="533"/>
        <v>21364.98</v>
      </c>
      <c r="R5439" s="31">
        <f t="shared" si="534"/>
        <v>21300</v>
      </c>
    </row>
    <row r="5440" spans="1:18" ht="21.95" customHeight="1" x14ac:dyDescent="0.2">
      <c r="A5440" s="6" t="s">
        <v>1151</v>
      </c>
      <c r="B5440" s="6" t="s">
        <v>1586</v>
      </c>
      <c r="C5440" s="6" t="s">
        <v>1130</v>
      </c>
      <c r="D5440" s="6" t="s">
        <v>1499</v>
      </c>
      <c r="K5440" s="7">
        <v>44009777</v>
      </c>
      <c r="L5440" s="6" t="str">
        <f t="shared" si="531"/>
        <v>GC İNCİ AYS-107 STANDART ALT KARYOLA AYTAŞI 90*190</v>
      </c>
      <c r="M5440" s="12">
        <v>0.3</v>
      </c>
      <c r="N5440" s="12">
        <v>0.3</v>
      </c>
      <c r="O5440" s="8">
        <v>4027</v>
      </c>
      <c r="P5440" s="8">
        <f t="shared" si="532"/>
        <v>2818.8999999999996</v>
      </c>
      <c r="Q5440" s="12">
        <f t="shared" si="533"/>
        <v>5919.69</v>
      </c>
      <c r="R5440" s="31">
        <f t="shared" si="534"/>
        <v>5900</v>
      </c>
    </row>
    <row r="5441" spans="1:18" ht="21.95" customHeight="1" x14ac:dyDescent="0.2">
      <c r="A5441" s="6" t="s">
        <v>1151</v>
      </c>
      <c r="B5441" s="6" t="s">
        <v>1586</v>
      </c>
      <c r="C5441" s="6" t="s">
        <v>1130</v>
      </c>
      <c r="D5441" s="6" t="s">
        <v>1500</v>
      </c>
      <c r="K5441" s="7">
        <v>44009778</v>
      </c>
      <c r="L5441" s="6" t="str">
        <f t="shared" ref="L5441:L5462" si="536">B5441&amp;" "&amp;C5441&amp;" "&amp;D5441</f>
        <v xml:space="preserve">GC İNCİ İNCİ ÇAMAŞIRLIK 6 ÇEK 120 CM </v>
      </c>
      <c r="M5441" s="12">
        <v>0.3</v>
      </c>
      <c r="N5441" s="12">
        <v>0.3</v>
      </c>
      <c r="O5441" s="8">
        <v>11551</v>
      </c>
      <c r="P5441" s="8">
        <f t="shared" si="532"/>
        <v>8085.7</v>
      </c>
      <c r="Q5441" s="12">
        <f t="shared" ref="Q5441:Q5472" si="537">O5441*(1-N5441)*2.1</f>
        <v>16979.97</v>
      </c>
      <c r="R5441" s="31">
        <f t="shared" si="534"/>
        <v>16900</v>
      </c>
    </row>
    <row r="5442" spans="1:18" ht="21.95" customHeight="1" x14ac:dyDescent="0.2">
      <c r="A5442" s="6" t="s">
        <v>1151</v>
      </c>
      <c r="B5442" s="6" t="s">
        <v>1586</v>
      </c>
      <c r="C5442" s="6" t="s">
        <v>1130</v>
      </c>
      <c r="D5442" s="6" t="s">
        <v>1501</v>
      </c>
      <c r="K5442" s="7">
        <v>44009779</v>
      </c>
      <c r="L5442" s="6" t="str">
        <f t="shared" si="536"/>
        <v>GC İNCİ NC-115 KARYOLA 120*200</v>
      </c>
      <c r="M5442" s="12">
        <v>0.3</v>
      </c>
      <c r="N5442" s="12">
        <v>0.3</v>
      </c>
      <c r="O5442" s="8">
        <v>9498</v>
      </c>
      <c r="P5442" s="8">
        <f t="shared" si="532"/>
        <v>6648.5999999999995</v>
      </c>
      <c r="Q5442" s="12">
        <f t="shared" si="537"/>
        <v>13962.06</v>
      </c>
      <c r="R5442" s="31">
        <f t="shared" si="534"/>
        <v>13900</v>
      </c>
    </row>
    <row r="5443" spans="1:18" ht="21.95" customHeight="1" x14ac:dyDescent="0.2">
      <c r="A5443" s="6" t="s">
        <v>1151</v>
      </c>
      <c r="B5443" s="6" t="s">
        <v>1586</v>
      </c>
      <c r="C5443" s="6" t="s">
        <v>1130</v>
      </c>
      <c r="D5443" s="6" t="s">
        <v>1502</v>
      </c>
      <c r="K5443" s="7">
        <v>44009780</v>
      </c>
      <c r="L5443" s="6" t="str">
        <f t="shared" si="536"/>
        <v xml:space="preserve">GC İNCİ NC-109 KOMODİN </v>
      </c>
      <c r="M5443" s="12">
        <v>0.3</v>
      </c>
      <c r="N5443" s="12">
        <v>0.3</v>
      </c>
      <c r="O5443" s="8">
        <v>3507</v>
      </c>
      <c r="P5443" s="8">
        <f t="shared" si="532"/>
        <v>2454.8999999999996</v>
      </c>
      <c r="Q5443" s="12">
        <f t="shared" si="537"/>
        <v>5155.2899999999991</v>
      </c>
      <c r="R5443" s="31">
        <f t="shared" si="534"/>
        <v>5100</v>
      </c>
    </row>
    <row r="5444" spans="1:18" ht="21.95" customHeight="1" x14ac:dyDescent="0.2">
      <c r="A5444" s="6" t="s">
        <v>1151</v>
      </c>
      <c r="B5444" s="6" t="s">
        <v>1586</v>
      </c>
      <c r="C5444" s="6" t="s">
        <v>1130</v>
      </c>
      <c r="D5444" s="6" t="s">
        <v>1503</v>
      </c>
      <c r="K5444" s="7">
        <v>44009781</v>
      </c>
      <c r="L5444" s="6" t="str">
        <f t="shared" si="536"/>
        <v xml:space="preserve">GC İNCİ NC-110 KİTAPLIK </v>
      </c>
      <c r="M5444" s="12">
        <v>0.3</v>
      </c>
      <c r="N5444" s="12">
        <v>0.3</v>
      </c>
      <c r="O5444" s="8">
        <v>5807</v>
      </c>
      <c r="P5444" s="8">
        <f t="shared" si="532"/>
        <v>4064.8999999999996</v>
      </c>
      <c r="Q5444" s="12">
        <f t="shared" si="537"/>
        <v>8536.2899999999991</v>
      </c>
      <c r="R5444" s="31">
        <f t="shared" si="534"/>
        <v>8500</v>
      </c>
    </row>
    <row r="5445" spans="1:18" ht="21.95" customHeight="1" x14ac:dyDescent="0.2">
      <c r="A5445" s="6" t="s">
        <v>1151</v>
      </c>
      <c r="B5445" s="6" t="s">
        <v>1586</v>
      </c>
      <c r="C5445" s="6" t="s">
        <v>1504</v>
      </c>
      <c r="D5445" s="6" t="s">
        <v>1505</v>
      </c>
      <c r="K5445" s="7">
        <v>44009782</v>
      </c>
      <c r="L5445" s="6" t="str">
        <f t="shared" si="536"/>
        <v xml:space="preserve">GC LOFTER  LF-100 4 KAPILI DOLAP </v>
      </c>
      <c r="M5445" s="12">
        <v>0.3</v>
      </c>
      <c r="N5445" s="12">
        <v>0.3</v>
      </c>
      <c r="O5445" s="8">
        <v>21871</v>
      </c>
      <c r="P5445" s="8">
        <f t="shared" si="532"/>
        <v>15309.699999999999</v>
      </c>
      <c r="Q5445" s="12">
        <f t="shared" si="537"/>
        <v>32150.37</v>
      </c>
      <c r="R5445" s="31">
        <f t="shared" si="534"/>
        <v>32100</v>
      </c>
    </row>
    <row r="5446" spans="1:18" ht="21.95" customHeight="1" x14ac:dyDescent="0.2">
      <c r="A5446" s="6" t="s">
        <v>1151</v>
      </c>
      <c r="B5446" s="6" t="s">
        <v>1586</v>
      </c>
      <c r="C5446" s="6" t="s">
        <v>1504</v>
      </c>
      <c r="D5446" s="6" t="s">
        <v>1506</v>
      </c>
      <c r="K5446" s="7">
        <v>44009783</v>
      </c>
      <c r="L5446" s="6" t="str">
        <f t="shared" si="536"/>
        <v xml:space="preserve">GC LOFTER  LF-101 3 KAPILI DOLAP </v>
      </c>
      <c r="M5446" s="12">
        <v>0.3</v>
      </c>
      <c r="N5446" s="12">
        <v>0.3</v>
      </c>
      <c r="O5446" s="8">
        <v>16329</v>
      </c>
      <c r="P5446" s="8">
        <f t="shared" si="532"/>
        <v>11430.3</v>
      </c>
      <c r="Q5446" s="12">
        <f t="shared" si="537"/>
        <v>24003.63</v>
      </c>
      <c r="R5446" s="31">
        <f t="shared" si="534"/>
        <v>24000</v>
      </c>
    </row>
    <row r="5447" spans="1:18" ht="21.95" customHeight="1" x14ac:dyDescent="0.2">
      <c r="A5447" s="6" t="s">
        <v>1151</v>
      </c>
      <c r="B5447" s="6" t="s">
        <v>1586</v>
      </c>
      <c r="C5447" s="6" t="s">
        <v>1504</v>
      </c>
      <c r="D5447" s="6" t="s">
        <v>1454</v>
      </c>
      <c r="K5447" s="7">
        <v>44009784</v>
      </c>
      <c r="L5447" s="6" t="str">
        <f t="shared" si="536"/>
        <v xml:space="preserve">GC LOFTER  DOLAP İÇİ ÇEKMECE MODÜLÜ BEYAZ </v>
      </c>
      <c r="M5447" s="12">
        <v>0.3</v>
      </c>
      <c r="N5447" s="12">
        <v>0.3</v>
      </c>
      <c r="O5447" s="8">
        <v>3770</v>
      </c>
      <c r="P5447" s="8">
        <f t="shared" si="532"/>
        <v>2639</v>
      </c>
      <c r="Q5447" s="12">
        <f t="shared" si="537"/>
        <v>5541.9000000000005</v>
      </c>
      <c r="R5447" s="31">
        <f t="shared" si="534"/>
        <v>5500</v>
      </c>
    </row>
    <row r="5448" spans="1:18" ht="21.95" customHeight="1" x14ac:dyDescent="0.2">
      <c r="A5448" s="6" t="s">
        <v>1151</v>
      </c>
      <c r="B5448" s="6" t="s">
        <v>1586</v>
      </c>
      <c r="C5448" s="6" t="s">
        <v>1504</v>
      </c>
      <c r="D5448" s="6" t="s">
        <v>1507</v>
      </c>
      <c r="K5448" s="7">
        <v>44009785</v>
      </c>
      <c r="L5448" s="6" t="str">
        <f t="shared" si="536"/>
        <v xml:space="preserve">GC LOFTER  LF-102 ÇALIŞMA MASASI </v>
      </c>
      <c r="M5448" s="12">
        <v>0.3</v>
      </c>
      <c r="N5448" s="12">
        <v>0.3</v>
      </c>
      <c r="O5448" s="8">
        <v>7062</v>
      </c>
      <c r="P5448" s="8">
        <f t="shared" si="532"/>
        <v>4943.3999999999996</v>
      </c>
      <c r="Q5448" s="12">
        <f t="shared" si="537"/>
        <v>10381.14</v>
      </c>
      <c r="R5448" s="31">
        <f t="shared" si="534"/>
        <v>10300</v>
      </c>
    </row>
    <row r="5449" spans="1:18" ht="21.95" customHeight="1" x14ac:dyDescent="0.2">
      <c r="A5449" s="6" t="s">
        <v>1151</v>
      </c>
      <c r="B5449" s="6" t="s">
        <v>1586</v>
      </c>
      <c r="C5449" s="6" t="s">
        <v>1504</v>
      </c>
      <c r="D5449" s="6" t="s">
        <v>1508</v>
      </c>
      <c r="K5449" s="7">
        <v>44009786</v>
      </c>
      <c r="L5449" s="6" t="str">
        <f t="shared" si="536"/>
        <v>GC LOFTER  LF-103 ÜNİTE</v>
      </c>
      <c r="M5449" s="12">
        <v>0.3</v>
      </c>
      <c r="N5449" s="12">
        <v>0.3</v>
      </c>
      <c r="O5449" s="8">
        <v>4284</v>
      </c>
      <c r="P5449" s="8">
        <f t="shared" si="532"/>
        <v>2998.7999999999997</v>
      </c>
      <c r="Q5449" s="12">
        <f t="shared" si="537"/>
        <v>6297.48</v>
      </c>
      <c r="R5449" s="31">
        <f t="shared" si="534"/>
        <v>6200</v>
      </c>
    </row>
    <row r="5450" spans="1:18" ht="21.95" customHeight="1" x14ac:dyDescent="0.2">
      <c r="A5450" s="6" t="s">
        <v>1151</v>
      </c>
      <c r="B5450" s="6" t="s">
        <v>1586</v>
      </c>
      <c r="C5450" s="6" t="s">
        <v>1504</v>
      </c>
      <c r="D5450" s="6" t="s">
        <v>1509</v>
      </c>
      <c r="K5450" s="7">
        <v>44009787</v>
      </c>
      <c r="L5450" s="6" t="str">
        <f t="shared" si="536"/>
        <v>GC LOFTER  LF-104 ÇAMAŞIRLIK</v>
      </c>
      <c r="M5450" s="12">
        <v>0.3</v>
      </c>
      <c r="N5450" s="12">
        <v>0.3</v>
      </c>
      <c r="O5450" s="8">
        <v>6446</v>
      </c>
      <c r="P5450" s="8">
        <f t="shared" si="532"/>
        <v>4512.2</v>
      </c>
      <c r="Q5450" s="12">
        <f t="shared" si="537"/>
        <v>9475.6200000000008</v>
      </c>
      <c r="R5450" s="31">
        <f t="shared" si="534"/>
        <v>9400</v>
      </c>
    </row>
    <row r="5451" spans="1:18" ht="21.95" customHeight="1" x14ac:dyDescent="0.2">
      <c r="A5451" s="6" t="s">
        <v>1151</v>
      </c>
      <c r="B5451" s="6" t="s">
        <v>1586</v>
      </c>
      <c r="C5451" s="6" t="s">
        <v>1504</v>
      </c>
      <c r="D5451" s="6" t="s">
        <v>1510</v>
      </c>
      <c r="K5451" s="7">
        <v>44009788</v>
      </c>
      <c r="L5451" s="6" t="str">
        <f t="shared" si="536"/>
        <v xml:space="preserve">GC LOFTER  LF-105 </v>
      </c>
      <c r="M5451" s="12">
        <v>0.3</v>
      </c>
      <c r="N5451" s="12">
        <v>0.3</v>
      </c>
      <c r="O5451" s="8">
        <v>3277</v>
      </c>
      <c r="P5451" s="8">
        <f t="shared" si="532"/>
        <v>2293.8999999999996</v>
      </c>
      <c r="Q5451" s="12">
        <f t="shared" si="537"/>
        <v>4817.1899999999996</v>
      </c>
      <c r="R5451" s="31">
        <f t="shared" si="534"/>
        <v>4800</v>
      </c>
    </row>
    <row r="5452" spans="1:18" ht="21.95" customHeight="1" x14ac:dyDescent="0.2">
      <c r="A5452" s="6" t="s">
        <v>1151</v>
      </c>
      <c r="B5452" s="6" t="s">
        <v>1586</v>
      </c>
      <c r="C5452" s="6" t="s">
        <v>1504</v>
      </c>
      <c r="D5452" s="6" t="s">
        <v>1511</v>
      </c>
      <c r="K5452" s="7">
        <v>44009789</v>
      </c>
      <c r="L5452" s="6" t="str">
        <f t="shared" si="536"/>
        <v>GC LOFTER  LF-106 KARYOLA 100*200</v>
      </c>
      <c r="M5452" s="12">
        <v>0.3</v>
      </c>
      <c r="N5452" s="12">
        <v>0.3</v>
      </c>
      <c r="O5452" s="8">
        <v>8904</v>
      </c>
      <c r="P5452" s="8">
        <f t="shared" si="532"/>
        <v>6232.7999999999993</v>
      </c>
      <c r="Q5452" s="12">
        <f t="shared" si="537"/>
        <v>13088.88</v>
      </c>
      <c r="R5452" s="31">
        <f t="shared" si="534"/>
        <v>13000</v>
      </c>
    </row>
    <row r="5453" spans="1:18" ht="21.95" customHeight="1" x14ac:dyDescent="0.2">
      <c r="A5453" s="6" t="s">
        <v>1151</v>
      </c>
      <c r="B5453" s="6" t="s">
        <v>1586</v>
      </c>
      <c r="C5453" s="6" t="s">
        <v>1504</v>
      </c>
      <c r="D5453" s="6" t="s">
        <v>1479</v>
      </c>
      <c r="K5453" s="7">
        <v>44009790</v>
      </c>
      <c r="L5453" s="6" t="str">
        <f t="shared" si="536"/>
        <v>GC LOFTER  BYZ-111 STANDART AYAKLI BEYAZ BAZA 100*200</v>
      </c>
      <c r="M5453" s="12">
        <v>0.3</v>
      </c>
      <c r="N5453" s="12">
        <v>0.3</v>
      </c>
      <c r="O5453" s="8">
        <v>9630</v>
      </c>
      <c r="P5453" s="8">
        <f t="shared" si="532"/>
        <v>6741</v>
      </c>
      <c r="Q5453" s="12">
        <f t="shared" si="537"/>
        <v>14156.1</v>
      </c>
      <c r="R5453" s="31">
        <f t="shared" si="534"/>
        <v>14100</v>
      </c>
    </row>
    <row r="5454" spans="1:18" ht="21.95" customHeight="1" x14ac:dyDescent="0.2">
      <c r="A5454" s="6" t="s">
        <v>1151</v>
      </c>
      <c r="B5454" s="6" t="s">
        <v>1586</v>
      </c>
      <c r="C5454" s="6" t="s">
        <v>1504</v>
      </c>
      <c r="D5454" s="6" t="s">
        <v>1512</v>
      </c>
      <c r="K5454" s="7">
        <v>44009791</v>
      </c>
      <c r="L5454" s="6" t="str">
        <f t="shared" si="536"/>
        <v xml:space="preserve">GC LOFTER  LF-112 BAŞLIK 100'LÜK </v>
      </c>
      <c r="M5454" s="12">
        <v>0.3</v>
      </c>
      <c r="N5454" s="12">
        <v>0.3</v>
      </c>
      <c r="O5454" s="8">
        <v>3675</v>
      </c>
      <c r="P5454" s="8">
        <f t="shared" si="532"/>
        <v>2572.5</v>
      </c>
      <c r="Q5454" s="12">
        <f t="shared" si="537"/>
        <v>5402.25</v>
      </c>
      <c r="R5454" s="31">
        <f t="shared" si="534"/>
        <v>5400</v>
      </c>
    </row>
    <row r="5455" spans="1:18" ht="21.95" customHeight="1" x14ac:dyDescent="0.2">
      <c r="A5455" s="6" t="s">
        <v>1151</v>
      </c>
      <c r="B5455" s="6" t="s">
        <v>1586</v>
      </c>
      <c r="C5455" s="6" t="s">
        <v>1504</v>
      </c>
      <c r="D5455" s="6" t="s">
        <v>1482</v>
      </c>
      <c r="K5455" s="7">
        <v>44009792</v>
      </c>
      <c r="L5455" s="6" t="str">
        <f t="shared" si="536"/>
        <v>GC LOFTER  BYZ-131 STANDART AYAKLI BEYAZ BAZA 120*200</v>
      </c>
      <c r="M5455" s="12">
        <v>0.3</v>
      </c>
      <c r="N5455" s="12">
        <v>0.3</v>
      </c>
      <c r="O5455" s="8">
        <v>10831</v>
      </c>
      <c r="P5455" s="8">
        <f t="shared" si="532"/>
        <v>7581.7</v>
      </c>
      <c r="Q5455" s="12">
        <f t="shared" si="537"/>
        <v>15921.57</v>
      </c>
      <c r="R5455" s="31">
        <f t="shared" si="534"/>
        <v>15900</v>
      </c>
    </row>
    <row r="5456" spans="1:18" ht="21.95" customHeight="1" x14ac:dyDescent="0.2">
      <c r="A5456" s="6" t="s">
        <v>1151</v>
      </c>
      <c r="B5456" s="6" t="s">
        <v>1586</v>
      </c>
      <c r="C5456" s="6" t="s">
        <v>1504</v>
      </c>
      <c r="D5456" s="6" t="s">
        <v>1513</v>
      </c>
      <c r="K5456" s="7">
        <v>44009793</v>
      </c>
      <c r="L5456" s="6" t="str">
        <f t="shared" si="536"/>
        <v>GC LOFTER  LF-123 BAŞLIK 120'LİK</v>
      </c>
      <c r="M5456" s="12">
        <v>0.3</v>
      </c>
      <c r="N5456" s="12">
        <v>0.3</v>
      </c>
      <c r="O5456" s="8">
        <v>4576</v>
      </c>
      <c r="P5456" s="8">
        <f t="shared" si="532"/>
        <v>3203.2</v>
      </c>
      <c r="Q5456" s="12">
        <f t="shared" si="537"/>
        <v>6726.72</v>
      </c>
      <c r="R5456" s="31">
        <f t="shared" si="534"/>
        <v>6700</v>
      </c>
    </row>
    <row r="5457" spans="1:18" ht="21.95" customHeight="1" x14ac:dyDescent="0.2">
      <c r="A5457" s="6" t="s">
        <v>1151</v>
      </c>
      <c r="B5457" s="6" t="s">
        <v>1586</v>
      </c>
      <c r="C5457" s="6" t="s">
        <v>1504</v>
      </c>
      <c r="D5457" s="6" t="s">
        <v>1514</v>
      </c>
      <c r="K5457" s="7">
        <v>44009794</v>
      </c>
      <c r="L5457" s="6" t="str">
        <f t="shared" si="536"/>
        <v xml:space="preserve">GC LOFTER  LF-128 CASTLE KARYOLA 100*200 </v>
      </c>
      <c r="M5457" s="12">
        <v>0.3</v>
      </c>
      <c r="N5457" s="12">
        <v>0.3</v>
      </c>
      <c r="O5457" s="8">
        <v>15754</v>
      </c>
      <c r="P5457" s="8">
        <f t="shared" si="532"/>
        <v>11027.8</v>
      </c>
      <c r="Q5457" s="12">
        <f t="shared" si="537"/>
        <v>23158.38</v>
      </c>
      <c r="R5457" s="31">
        <f t="shared" si="534"/>
        <v>23100</v>
      </c>
    </row>
    <row r="5458" spans="1:18" ht="21.95" customHeight="1" x14ac:dyDescent="0.2">
      <c r="A5458" s="6" t="s">
        <v>1151</v>
      </c>
      <c r="B5458" s="6" t="s">
        <v>1586</v>
      </c>
      <c r="C5458" s="6" t="s">
        <v>1504</v>
      </c>
      <c r="D5458" s="6" t="s">
        <v>1478</v>
      </c>
      <c r="K5458" s="7">
        <v>44009795</v>
      </c>
      <c r="L5458" s="6" t="str">
        <f t="shared" si="536"/>
        <v>GC LOFTER  BYZ-107 STANDART ALT KARYOLA BEYAZ 90*190</v>
      </c>
      <c r="M5458" s="12">
        <v>0.3</v>
      </c>
      <c r="N5458" s="12">
        <v>0.3</v>
      </c>
      <c r="O5458" s="8">
        <v>4027</v>
      </c>
      <c r="P5458" s="8">
        <f t="shared" si="532"/>
        <v>2818.8999999999996</v>
      </c>
      <c r="Q5458" s="12">
        <f t="shared" si="537"/>
        <v>5919.69</v>
      </c>
      <c r="R5458" s="31">
        <f t="shared" si="534"/>
        <v>5900</v>
      </c>
    </row>
    <row r="5459" spans="1:18" ht="21.95" customHeight="1" x14ac:dyDescent="0.2">
      <c r="A5459" s="6" t="s">
        <v>1151</v>
      </c>
      <c r="B5459" s="6" t="s">
        <v>1586</v>
      </c>
      <c r="C5459" s="6" t="s">
        <v>1504</v>
      </c>
      <c r="D5459" s="6" t="s">
        <v>1515</v>
      </c>
      <c r="K5459" s="7">
        <v>44009796</v>
      </c>
      <c r="L5459" s="6" t="str">
        <f t="shared" si="536"/>
        <v>GC LOFTER  LF-115 KARYOLA 120*200</v>
      </c>
      <c r="M5459" s="12">
        <v>0.3</v>
      </c>
      <c r="N5459" s="12">
        <v>0.3</v>
      </c>
      <c r="O5459" s="8">
        <v>10371</v>
      </c>
      <c r="P5459" s="8">
        <f t="shared" si="532"/>
        <v>7259.7</v>
      </c>
      <c r="Q5459" s="12">
        <f t="shared" si="537"/>
        <v>15245.37</v>
      </c>
      <c r="R5459" s="31">
        <f t="shared" si="534"/>
        <v>15200</v>
      </c>
    </row>
    <row r="5460" spans="1:18" ht="21.95" customHeight="1" x14ac:dyDescent="0.2">
      <c r="A5460" s="6" t="s">
        <v>1151</v>
      </c>
      <c r="B5460" s="6" t="s">
        <v>1586</v>
      </c>
      <c r="C5460" s="6" t="s">
        <v>1504</v>
      </c>
      <c r="D5460" s="6" t="s">
        <v>1516</v>
      </c>
      <c r="K5460" s="7">
        <v>44009797</v>
      </c>
      <c r="L5460" s="6" t="str">
        <f t="shared" si="536"/>
        <v xml:space="preserve">GC LOFTER  LF-109 KOMODİN </v>
      </c>
      <c r="M5460" s="12">
        <v>0.3</v>
      </c>
      <c r="N5460" s="12">
        <v>0.3</v>
      </c>
      <c r="O5460" s="8">
        <v>4272</v>
      </c>
      <c r="P5460" s="8">
        <f t="shared" si="532"/>
        <v>2990.3999999999996</v>
      </c>
      <c r="Q5460" s="12">
        <f t="shared" si="537"/>
        <v>6279.8399999999992</v>
      </c>
      <c r="R5460" s="31">
        <f t="shared" si="534"/>
        <v>6200</v>
      </c>
    </row>
    <row r="5461" spans="1:18" ht="21.95" customHeight="1" x14ac:dyDescent="0.2">
      <c r="A5461" s="6" t="s">
        <v>1151</v>
      </c>
      <c r="B5461" s="6" t="s">
        <v>1586</v>
      </c>
      <c r="C5461" s="6" t="s">
        <v>1504</v>
      </c>
      <c r="D5461" s="6" t="s">
        <v>1517</v>
      </c>
      <c r="K5461" s="7">
        <v>44009798</v>
      </c>
      <c r="L5461" s="6" t="str">
        <f t="shared" si="536"/>
        <v xml:space="preserve">GC LOFTER  ÇAMAŞIRLIK 6 ÇEKMECELİ 120 CM </v>
      </c>
      <c r="M5461" s="12">
        <v>0.3</v>
      </c>
      <c r="N5461" s="12">
        <v>0.3</v>
      </c>
      <c r="O5461" s="8">
        <v>10891</v>
      </c>
      <c r="P5461" s="8">
        <f t="shared" si="532"/>
        <v>7623.7</v>
      </c>
      <c r="Q5461" s="12">
        <f t="shared" si="537"/>
        <v>16009.77</v>
      </c>
      <c r="R5461" s="31">
        <f t="shared" si="534"/>
        <v>16000</v>
      </c>
    </row>
    <row r="5462" spans="1:18" ht="21.95" customHeight="1" x14ac:dyDescent="0.2">
      <c r="A5462" s="6" t="s">
        <v>1151</v>
      </c>
      <c r="B5462" s="6" t="s">
        <v>1586</v>
      </c>
      <c r="C5462" s="6" t="s">
        <v>1504</v>
      </c>
      <c r="D5462" s="6" t="s">
        <v>1518</v>
      </c>
      <c r="K5462" s="7">
        <v>44009799</v>
      </c>
      <c r="L5462" s="6" t="str">
        <f t="shared" si="536"/>
        <v xml:space="preserve">GC LOFTER  LF-110 KİTAPLIK </v>
      </c>
      <c r="M5462" s="12">
        <v>0.3</v>
      </c>
      <c r="N5462" s="12">
        <v>0.3</v>
      </c>
      <c r="O5462" s="8">
        <v>8363</v>
      </c>
      <c r="P5462" s="8">
        <f t="shared" si="532"/>
        <v>5854.0999999999995</v>
      </c>
      <c r="Q5462" s="12">
        <f t="shared" si="537"/>
        <v>12293.609999999999</v>
      </c>
      <c r="R5462" s="31">
        <f t="shared" si="534"/>
        <v>12200</v>
      </c>
    </row>
    <row r="5463" spans="1:18" ht="21.95" customHeight="1" x14ac:dyDescent="0.2">
      <c r="A5463" s="6" t="s">
        <v>1151</v>
      </c>
      <c r="B5463" s="6" t="s">
        <v>1586</v>
      </c>
      <c r="C5463" s="6" t="s">
        <v>1519</v>
      </c>
      <c r="D5463" s="6" t="s">
        <v>1520</v>
      </c>
      <c r="K5463" s="7">
        <v>44009800</v>
      </c>
      <c r="L5463" s="6" t="str">
        <f t="shared" ref="L5463:L5477" si="538">B5463&amp;" "&amp;C5464&amp;" "&amp;D5463</f>
        <v xml:space="preserve">GC VİZYON  VZ-100 4 KAPILI DOLAP </v>
      </c>
      <c r="M5463" s="12">
        <v>0.3</v>
      </c>
      <c r="N5463" s="12">
        <v>0.3</v>
      </c>
      <c r="O5463" s="8">
        <v>21594</v>
      </c>
      <c r="P5463" s="8">
        <f t="shared" si="532"/>
        <v>15115.8</v>
      </c>
      <c r="Q5463" s="12">
        <f t="shared" si="537"/>
        <v>31743.18</v>
      </c>
      <c r="R5463" s="31">
        <f t="shared" si="534"/>
        <v>31700</v>
      </c>
    </row>
    <row r="5464" spans="1:18" ht="21.95" customHeight="1" x14ac:dyDescent="0.2">
      <c r="A5464" s="6" t="s">
        <v>1151</v>
      </c>
      <c r="B5464" s="6" t="s">
        <v>1586</v>
      </c>
      <c r="C5464" s="6" t="s">
        <v>1519</v>
      </c>
      <c r="D5464" s="6" t="s">
        <v>1521</v>
      </c>
      <c r="K5464" s="7">
        <v>44009801</v>
      </c>
      <c r="L5464" s="6" t="str">
        <f t="shared" si="538"/>
        <v xml:space="preserve">GC VİZYON  VZ-101 3 KAPILI DOLAP </v>
      </c>
      <c r="M5464" s="12">
        <v>0.3</v>
      </c>
      <c r="N5464" s="12">
        <v>0.3</v>
      </c>
      <c r="O5464" s="8">
        <v>16741</v>
      </c>
      <c r="P5464" s="8">
        <f t="shared" si="532"/>
        <v>11718.699999999999</v>
      </c>
      <c r="Q5464" s="12">
        <f t="shared" si="537"/>
        <v>24609.27</v>
      </c>
      <c r="R5464" s="31">
        <f t="shared" si="534"/>
        <v>24600</v>
      </c>
    </row>
    <row r="5465" spans="1:18" ht="21.95" customHeight="1" x14ac:dyDescent="0.2">
      <c r="A5465" s="6" t="s">
        <v>1151</v>
      </c>
      <c r="B5465" s="6" t="s">
        <v>1586</v>
      </c>
      <c r="C5465" s="6" t="s">
        <v>1519</v>
      </c>
      <c r="D5465" s="6" t="s">
        <v>1454</v>
      </c>
      <c r="K5465" s="7">
        <v>44009802</v>
      </c>
      <c r="L5465" s="6" t="str">
        <f t="shared" si="538"/>
        <v xml:space="preserve">GC VİZYON  DOLAP İÇİ ÇEKMECE MODÜLÜ BEYAZ </v>
      </c>
      <c r="M5465" s="12">
        <v>0.3</v>
      </c>
      <c r="N5465" s="12">
        <v>0.3</v>
      </c>
      <c r="O5465" s="8">
        <v>3770</v>
      </c>
      <c r="P5465" s="8">
        <f t="shared" si="532"/>
        <v>2639</v>
      </c>
      <c r="Q5465" s="12">
        <f t="shared" si="537"/>
        <v>5541.9000000000005</v>
      </c>
      <c r="R5465" s="31">
        <f t="shared" si="534"/>
        <v>5500</v>
      </c>
    </row>
    <row r="5466" spans="1:18" ht="21.95" customHeight="1" x14ac:dyDescent="0.2">
      <c r="A5466" s="6" t="s">
        <v>1151</v>
      </c>
      <c r="B5466" s="6" t="s">
        <v>1586</v>
      </c>
      <c r="C5466" s="6" t="s">
        <v>1519</v>
      </c>
      <c r="D5466" s="6" t="s">
        <v>1522</v>
      </c>
      <c r="K5466" s="7">
        <v>44009803</v>
      </c>
      <c r="L5466" s="6" t="str">
        <f t="shared" si="538"/>
        <v xml:space="preserve">GC VİZYON  VZ-102 ÇALIŞMA MASASI </v>
      </c>
      <c r="M5466" s="12">
        <v>0.3</v>
      </c>
      <c r="N5466" s="12">
        <v>0.3</v>
      </c>
      <c r="O5466" s="8">
        <v>8854</v>
      </c>
      <c r="P5466" s="8">
        <f t="shared" si="532"/>
        <v>6197.7999999999993</v>
      </c>
      <c r="Q5466" s="12">
        <f t="shared" si="537"/>
        <v>13015.38</v>
      </c>
      <c r="R5466" s="31">
        <f t="shared" si="534"/>
        <v>13000</v>
      </c>
    </row>
    <row r="5467" spans="1:18" ht="21.95" customHeight="1" x14ac:dyDescent="0.2">
      <c r="A5467" s="6" t="s">
        <v>1151</v>
      </c>
      <c r="B5467" s="6" t="s">
        <v>1586</v>
      </c>
      <c r="C5467" s="6" t="s">
        <v>1519</v>
      </c>
      <c r="D5467" s="6" t="s">
        <v>1523</v>
      </c>
      <c r="K5467" s="7">
        <v>44009804</v>
      </c>
      <c r="L5467" s="6" t="str">
        <f t="shared" si="538"/>
        <v xml:space="preserve">GC VİZYON  VZ-104 ÇAMAŞIRLIK </v>
      </c>
      <c r="M5467" s="12">
        <v>0.3</v>
      </c>
      <c r="N5467" s="12">
        <v>0.3</v>
      </c>
      <c r="O5467" s="8">
        <v>9488</v>
      </c>
      <c r="P5467" s="8">
        <f t="shared" si="532"/>
        <v>6641.5999999999995</v>
      </c>
      <c r="Q5467" s="12">
        <f t="shared" si="537"/>
        <v>13947.359999999999</v>
      </c>
      <c r="R5467" s="31">
        <f t="shared" si="534"/>
        <v>13900</v>
      </c>
    </row>
    <row r="5468" spans="1:18" ht="21.95" customHeight="1" x14ac:dyDescent="0.2">
      <c r="A5468" s="6" t="s">
        <v>1151</v>
      </c>
      <c r="B5468" s="6" t="s">
        <v>1586</v>
      </c>
      <c r="C5468" s="6" t="s">
        <v>1519</v>
      </c>
      <c r="D5468" s="6" t="s">
        <v>1524</v>
      </c>
      <c r="K5468" s="7">
        <v>44009805</v>
      </c>
      <c r="L5468" s="6" t="str">
        <f t="shared" si="538"/>
        <v xml:space="preserve">GC VİZYON  VZ-105 AYNA </v>
      </c>
      <c r="M5468" s="12">
        <v>0.3</v>
      </c>
      <c r="N5468" s="12">
        <v>0.3</v>
      </c>
      <c r="O5468" s="8">
        <v>1564</v>
      </c>
      <c r="P5468" s="8">
        <f t="shared" si="532"/>
        <v>1094.8</v>
      </c>
      <c r="Q5468" s="12">
        <f t="shared" si="537"/>
        <v>2299.08</v>
      </c>
      <c r="R5468" s="31">
        <f t="shared" si="534"/>
        <v>2200</v>
      </c>
    </row>
    <row r="5469" spans="1:18" ht="21.95" customHeight="1" x14ac:dyDescent="0.2">
      <c r="A5469" s="6" t="s">
        <v>1151</v>
      </c>
      <c r="B5469" s="6" t="s">
        <v>1586</v>
      </c>
      <c r="C5469" s="6" t="s">
        <v>1519</v>
      </c>
      <c r="D5469" s="6" t="s">
        <v>1525</v>
      </c>
      <c r="K5469" s="7">
        <v>44009806</v>
      </c>
      <c r="L5469" s="6" t="str">
        <f t="shared" si="538"/>
        <v>GC VİZYON  VZ-106 KARYOLA 100*200</v>
      </c>
      <c r="M5469" s="12">
        <v>0.3</v>
      </c>
      <c r="N5469" s="12">
        <v>0.3</v>
      </c>
      <c r="O5469" s="8">
        <v>8352</v>
      </c>
      <c r="P5469" s="8">
        <f t="shared" si="532"/>
        <v>5846.4</v>
      </c>
      <c r="Q5469" s="12">
        <f t="shared" si="537"/>
        <v>12277.44</v>
      </c>
      <c r="R5469" s="31">
        <f t="shared" si="534"/>
        <v>12200</v>
      </c>
    </row>
    <row r="5470" spans="1:18" ht="21.95" customHeight="1" x14ac:dyDescent="0.2">
      <c r="A5470" s="6" t="s">
        <v>1151</v>
      </c>
      <c r="B5470" s="6" t="s">
        <v>1586</v>
      </c>
      <c r="C5470" s="6" t="s">
        <v>1519</v>
      </c>
      <c r="D5470" s="6" t="s">
        <v>1526</v>
      </c>
      <c r="K5470" s="7">
        <v>44009807</v>
      </c>
      <c r="L5470" s="6" t="str">
        <f t="shared" si="538"/>
        <v>GC VİZYON  VZB-111 STANDART AYAKLI VİZYON BAZA 100*200</v>
      </c>
      <c r="M5470" s="12">
        <v>0.3</v>
      </c>
      <c r="N5470" s="12">
        <v>0.3</v>
      </c>
      <c r="O5470" s="8">
        <v>9629</v>
      </c>
      <c r="P5470" s="8">
        <f t="shared" si="532"/>
        <v>6740.2999999999993</v>
      </c>
      <c r="Q5470" s="12">
        <f t="shared" si="537"/>
        <v>14154.63</v>
      </c>
      <c r="R5470" s="31">
        <f t="shared" si="534"/>
        <v>14100</v>
      </c>
    </row>
    <row r="5471" spans="1:18" ht="21.95" customHeight="1" x14ac:dyDescent="0.2">
      <c r="A5471" s="6" t="s">
        <v>1151</v>
      </c>
      <c r="B5471" s="6" t="s">
        <v>1586</v>
      </c>
      <c r="C5471" s="6" t="s">
        <v>1519</v>
      </c>
      <c r="D5471" s="6" t="s">
        <v>1527</v>
      </c>
      <c r="K5471" s="7">
        <v>44009808</v>
      </c>
      <c r="L5471" s="6" t="str">
        <f t="shared" si="538"/>
        <v>GC VİZYON  VZ-112 BAŞLIK 100'LÜK</v>
      </c>
      <c r="M5471" s="12">
        <v>0.3</v>
      </c>
      <c r="N5471" s="12">
        <v>0.3</v>
      </c>
      <c r="O5471" s="8">
        <v>2415</v>
      </c>
      <c r="P5471" s="8">
        <f t="shared" si="532"/>
        <v>1690.5</v>
      </c>
      <c r="Q5471" s="12">
        <f t="shared" si="537"/>
        <v>3550.05</v>
      </c>
      <c r="R5471" s="31">
        <f t="shared" si="534"/>
        <v>3500</v>
      </c>
    </row>
    <row r="5472" spans="1:18" ht="21.95" customHeight="1" x14ac:dyDescent="0.2">
      <c r="A5472" s="6" t="s">
        <v>1151</v>
      </c>
      <c r="B5472" s="6" t="s">
        <v>1586</v>
      </c>
      <c r="C5472" s="6" t="s">
        <v>1519</v>
      </c>
      <c r="D5472" s="6" t="s">
        <v>1528</v>
      </c>
      <c r="K5472" s="7">
        <v>44009809</v>
      </c>
      <c r="L5472" s="6" t="str">
        <f t="shared" si="538"/>
        <v>GC VİZYON  VZ-112 STANDART AYAKLI VİZYON BAZA 120*200</v>
      </c>
      <c r="M5472" s="12">
        <v>0.3</v>
      </c>
      <c r="N5472" s="12">
        <v>0.3</v>
      </c>
      <c r="O5472" s="8">
        <v>10831</v>
      </c>
      <c r="P5472" s="8">
        <f t="shared" si="532"/>
        <v>7581.7</v>
      </c>
      <c r="Q5472" s="12">
        <f t="shared" si="537"/>
        <v>15921.57</v>
      </c>
      <c r="R5472" s="31">
        <f t="shared" si="534"/>
        <v>15900</v>
      </c>
    </row>
    <row r="5473" spans="1:18" ht="21.95" customHeight="1" x14ac:dyDescent="0.2">
      <c r="A5473" s="6" t="s">
        <v>1151</v>
      </c>
      <c r="B5473" s="6" t="s">
        <v>1586</v>
      </c>
      <c r="C5473" s="6" t="s">
        <v>1519</v>
      </c>
      <c r="D5473" s="6" t="s">
        <v>1529</v>
      </c>
      <c r="K5473" s="7">
        <v>44009810</v>
      </c>
      <c r="L5473" s="6" t="str">
        <f t="shared" si="538"/>
        <v>GC VİZYON  VZ-123 BAŞLIK 120'LİK</v>
      </c>
      <c r="M5473" s="12">
        <v>0.3</v>
      </c>
      <c r="N5473" s="12">
        <v>0.3</v>
      </c>
      <c r="O5473" s="8">
        <v>2815</v>
      </c>
      <c r="P5473" s="8">
        <f t="shared" ref="P5473:P5536" si="539">O5473*(1-N5473)</f>
        <v>1970.4999999999998</v>
      </c>
      <c r="Q5473" s="12">
        <f t="shared" ref="Q5473:Q5504" si="540">O5473*(1-N5473)*2.1</f>
        <v>4138.0499999999993</v>
      </c>
      <c r="R5473" s="31">
        <f t="shared" ref="R5473:R5536" si="541">ROUNDDOWN(Q5473,-2)</f>
        <v>4100</v>
      </c>
    </row>
    <row r="5474" spans="1:18" ht="21.95" customHeight="1" x14ac:dyDescent="0.2">
      <c r="A5474" s="6" t="s">
        <v>1151</v>
      </c>
      <c r="B5474" s="6" t="s">
        <v>1586</v>
      </c>
      <c r="C5474" s="6" t="s">
        <v>1519</v>
      </c>
      <c r="D5474" s="6" t="s">
        <v>1530</v>
      </c>
      <c r="K5474" s="7">
        <v>44009811</v>
      </c>
      <c r="L5474" s="6" t="str">
        <f t="shared" si="538"/>
        <v>GC VİZYON  VZ-128 CASTLE KARYOLA 100*200</v>
      </c>
      <c r="M5474" s="12">
        <v>0.3</v>
      </c>
      <c r="N5474" s="12">
        <v>0.3</v>
      </c>
      <c r="O5474" s="8">
        <v>15890</v>
      </c>
      <c r="P5474" s="8">
        <f t="shared" si="539"/>
        <v>11123</v>
      </c>
      <c r="Q5474" s="12">
        <f t="shared" si="540"/>
        <v>23358.3</v>
      </c>
      <c r="R5474" s="31">
        <f t="shared" si="541"/>
        <v>23300</v>
      </c>
    </row>
    <row r="5475" spans="1:18" ht="21.95" customHeight="1" x14ac:dyDescent="0.2">
      <c r="A5475" s="6" t="s">
        <v>1151</v>
      </c>
      <c r="B5475" s="6" t="s">
        <v>1586</v>
      </c>
      <c r="C5475" s="6" t="s">
        <v>1519</v>
      </c>
      <c r="D5475" s="6" t="s">
        <v>1531</v>
      </c>
      <c r="K5475" s="7">
        <v>44009812</v>
      </c>
      <c r="L5475" s="6" t="str">
        <f t="shared" si="538"/>
        <v>GC VİZYON  VZB-107 STANDART ALT KARYOLA VİZYON 90*190</v>
      </c>
      <c r="M5475" s="12">
        <v>0.3</v>
      </c>
      <c r="N5475" s="12">
        <v>0.3</v>
      </c>
      <c r="O5475" s="8">
        <v>4027</v>
      </c>
      <c r="P5475" s="8">
        <f t="shared" si="539"/>
        <v>2818.8999999999996</v>
      </c>
      <c r="Q5475" s="12">
        <f t="shared" si="540"/>
        <v>5919.69</v>
      </c>
      <c r="R5475" s="31">
        <f t="shared" si="541"/>
        <v>5900</v>
      </c>
    </row>
    <row r="5476" spans="1:18" ht="21.95" customHeight="1" x14ac:dyDescent="0.2">
      <c r="A5476" s="6" t="s">
        <v>1151</v>
      </c>
      <c r="B5476" s="6" t="s">
        <v>1586</v>
      </c>
      <c r="C5476" s="6" t="s">
        <v>1519</v>
      </c>
      <c r="D5476" s="6" t="s">
        <v>1532</v>
      </c>
      <c r="K5476" s="7">
        <v>44009813</v>
      </c>
      <c r="L5476" s="6" t="str">
        <f t="shared" si="538"/>
        <v>GC VİZYON  VZ-115 KARYOLA 120*200</v>
      </c>
      <c r="M5476" s="12">
        <v>0.3</v>
      </c>
      <c r="N5476" s="12">
        <v>0.3</v>
      </c>
      <c r="O5476" s="8">
        <v>9470</v>
      </c>
      <c r="P5476" s="8">
        <f t="shared" si="539"/>
        <v>6629</v>
      </c>
      <c r="Q5476" s="12">
        <f t="shared" si="540"/>
        <v>13920.900000000001</v>
      </c>
      <c r="R5476" s="31">
        <f t="shared" si="541"/>
        <v>13900</v>
      </c>
    </row>
    <row r="5477" spans="1:18" ht="21.95" customHeight="1" x14ac:dyDescent="0.2">
      <c r="A5477" s="6" t="s">
        <v>1151</v>
      </c>
      <c r="B5477" s="6" t="s">
        <v>1586</v>
      </c>
      <c r="C5477" s="6" t="s">
        <v>1519</v>
      </c>
      <c r="D5477" s="6" t="s">
        <v>1533</v>
      </c>
      <c r="K5477" s="7">
        <v>44009814</v>
      </c>
      <c r="L5477" s="6" t="str">
        <f t="shared" si="538"/>
        <v xml:space="preserve">GC VİZYON  VZ-109 KOMODİN </v>
      </c>
      <c r="M5477" s="12">
        <v>0.3</v>
      </c>
      <c r="N5477" s="12">
        <v>0.3</v>
      </c>
      <c r="O5477" s="8">
        <v>5648</v>
      </c>
      <c r="P5477" s="8">
        <f t="shared" si="539"/>
        <v>3953.6</v>
      </c>
      <c r="Q5477" s="12">
        <f t="shared" si="540"/>
        <v>8302.56</v>
      </c>
      <c r="R5477" s="31">
        <f t="shared" si="541"/>
        <v>8300</v>
      </c>
    </row>
    <row r="5478" spans="1:18" ht="21.95" customHeight="1" x14ac:dyDescent="0.2">
      <c r="A5478" s="6" t="s">
        <v>1151</v>
      </c>
      <c r="B5478" s="6" t="s">
        <v>1586</v>
      </c>
      <c r="C5478" s="6" t="s">
        <v>1519</v>
      </c>
      <c r="D5478" s="6" t="s">
        <v>1534</v>
      </c>
      <c r="K5478" s="7">
        <v>44009815</v>
      </c>
      <c r="L5478" s="6" t="str">
        <f>B5478&amp;" "&amp;C5478&amp;" "&amp;D5478</f>
        <v xml:space="preserve">GC VİZYON  VZ-110 KİTAPLIK </v>
      </c>
      <c r="M5478" s="12">
        <v>0.3</v>
      </c>
      <c r="N5478" s="12">
        <v>0.3</v>
      </c>
      <c r="O5478" s="8">
        <v>7957</v>
      </c>
      <c r="P5478" s="8">
        <f t="shared" si="539"/>
        <v>5569.9</v>
      </c>
      <c r="Q5478" s="12">
        <f t="shared" si="540"/>
        <v>11696.789999999999</v>
      </c>
      <c r="R5478" s="31">
        <f t="shared" si="541"/>
        <v>11600</v>
      </c>
    </row>
    <row r="5479" spans="1:18" ht="21.95" customHeight="1" x14ac:dyDescent="0.2">
      <c r="A5479" s="6" t="s">
        <v>1151</v>
      </c>
      <c r="B5479" s="6" t="s">
        <v>1586</v>
      </c>
      <c r="C5479" s="6" t="s">
        <v>1535</v>
      </c>
      <c r="D5479" s="6" t="s">
        <v>1452</v>
      </c>
      <c r="K5479" s="7">
        <v>44009816</v>
      </c>
      <c r="L5479" s="6" t="str">
        <f t="shared" ref="L5479:L5492" si="542">B5479&amp;" "&amp;C5480&amp;" "&amp;D5479</f>
        <v xml:space="preserve">GC STUDIO 4 KAPILI DOLAP </v>
      </c>
      <c r="M5479" s="12">
        <v>0.3</v>
      </c>
      <c r="N5479" s="12">
        <v>0.3</v>
      </c>
      <c r="O5479" s="8">
        <v>24800</v>
      </c>
      <c r="P5479" s="8">
        <f t="shared" si="539"/>
        <v>17360</v>
      </c>
      <c r="Q5479" s="12">
        <f t="shared" si="540"/>
        <v>36456</v>
      </c>
      <c r="R5479" s="31">
        <f t="shared" si="541"/>
        <v>36400</v>
      </c>
    </row>
    <row r="5480" spans="1:18" ht="21.95" customHeight="1" x14ac:dyDescent="0.2">
      <c r="A5480" s="6" t="s">
        <v>1151</v>
      </c>
      <c r="B5480" s="6" t="s">
        <v>1586</v>
      </c>
      <c r="C5480" s="6" t="s">
        <v>1535</v>
      </c>
      <c r="D5480" s="6" t="s">
        <v>1453</v>
      </c>
      <c r="K5480" s="7">
        <v>44009817</v>
      </c>
      <c r="L5480" s="6" t="str">
        <f t="shared" si="542"/>
        <v xml:space="preserve">GC STUDIO 3 KAPILI DOLAP </v>
      </c>
      <c r="M5480" s="12">
        <v>0.3</v>
      </c>
      <c r="N5480" s="12">
        <v>0.3</v>
      </c>
      <c r="O5480" s="8">
        <v>19300</v>
      </c>
      <c r="P5480" s="8">
        <f t="shared" si="539"/>
        <v>13510</v>
      </c>
      <c r="Q5480" s="12">
        <f t="shared" si="540"/>
        <v>28371</v>
      </c>
      <c r="R5480" s="31">
        <f t="shared" si="541"/>
        <v>28300</v>
      </c>
    </row>
    <row r="5481" spans="1:18" ht="21.95" customHeight="1" x14ac:dyDescent="0.2">
      <c r="A5481" s="6" t="s">
        <v>1151</v>
      </c>
      <c r="B5481" s="6" t="s">
        <v>1586</v>
      </c>
      <c r="C5481" s="6" t="s">
        <v>1535</v>
      </c>
      <c r="D5481" s="6" t="s">
        <v>1196</v>
      </c>
      <c r="K5481" s="7">
        <v>44009818</v>
      </c>
      <c r="L5481" s="6" t="str">
        <f t="shared" si="542"/>
        <v xml:space="preserve">GC STUDIO ÇALIŞMA MASASI </v>
      </c>
      <c r="M5481" s="12">
        <v>0.3</v>
      </c>
      <c r="N5481" s="12">
        <v>0.3</v>
      </c>
      <c r="O5481" s="8">
        <v>6350</v>
      </c>
      <c r="P5481" s="8">
        <f t="shared" si="539"/>
        <v>4445</v>
      </c>
      <c r="Q5481" s="12">
        <f t="shared" si="540"/>
        <v>9334.5</v>
      </c>
      <c r="R5481" s="31">
        <f t="shared" si="541"/>
        <v>9300</v>
      </c>
    </row>
    <row r="5482" spans="1:18" ht="21.95" customHeight="1" x14ac:dyDescent="0.2">
      <c r="A5482" s="6" t="s">
        <v>1151</v>
      </c>
      <c r="B5482" s="6" t="s">
        <v>1586</v>
      </c>
      <c r="C5482" s="6" t="s">
        <v>1535</v>
      </c>
      <c r="D5482" s="6" t="s">
        <v>1455</v>
      </c>
      <c r="K5482" s="7">
        <v>44009819</v>
      </c>
      <c r="L5482" s="6" t="str">
        <f t="shared" si="542"/>
        <v xml:space="preserve">GC STUDIO MASA ÜNİTESİ </v>
      </c>
      <c r="M5482" s="12">
        <v>0.3</v>
      </c>
      <c r="N5482" s="12">
        <v>0.3</v>
      </c>
      <c r="O5482" s="8">
        <v>4600</v>
      </c>
      <c r="P5482" s="8">
        <f t="shared" si="539"/>
        <v>3220</v>
      </c>
      <c r="Q5482" s="12">
        <f t="shared" si="540"/>
        <v>6762</v>
      </c>
      <c r="R5482" s="31">
        <f t="shared" si="541"/>
        <v>6700</v>
      </c>
    </row>
    <row r="5483" spans="1:18" ht="21.95" customHeight="1" x14ac:dyDescent="0.2">
      <c r="A5483" s="6" t="s">
        <v>1151</v>
      </c>
      <c r="B5483" s="6" t="s">
        <v>1586</v>
      </c>
      <c r="C5483" s="6" t="s">
        <v>1535</v>
      </c>
      <c r="D5483" s="6" t="s">
        <v>126</v>
      </c>
      <c r="K5483" s="7">
        <v>44009820</v>
      </c>
      <c r="L5483" s="6" t="str">
        <f t="shared" si="542"/>
        <v>GC STUDIO ÇAMAŞIRLIK</v>
      </c>
      <c r="M5483" s="12">
        <v>0.3</v>
      </c>
      <c r="N5483" s="12">
        <v>0.3</v>
      </c>
      <c r="O5483" s="8">
        <v>8650</v>
      </c>
      <c r="P5483" s="8">
        <f t="shared" si="539"/>
        <v>6055</v>
      </c>
      <c r="Q5483" s="12">
        <f t="shared" si="540"/>
        <v>12715.5</v>
      </c>
      <c r="R5483" s="31">
        <f t="shared" si="541"/>
        <v>12700</v>
      </c>
    </row>
    <row r="5484" spans="1:18" ht="21.95" customHeight="1" x14ac:dyDescent="0.2">
      <c r="A5484" s="6" t="s">
        <v>1151</v>
      </c>
      <c r="B5484" s="6" t="s">
        <v>1586</v>
      </c>
      <c r="C5484" s="6" t="s">
        <v>1535</v>
      </c>
      <c r="D5484" s="6" t="s">
        <v>1457</v>
      </c>
      <c r="K5484" s="7">
        <v>44009821</v>
      </c>
      <c r="L5484" s="6" t="str">
        <f t="shared" si="542"/>
        <v xml:space="preserve">GC STUDIO AYNA </v>
      </c>
      <c r="M5484" s="12">
        <v>0.3</v>
      </c>
      <c r="N5484" s="12">
        <v>0.3</v>
      </c>
      <c r="O5484" s="8">
        <v>1650</v>
      </c>
      <c r="P5484" s="8">
        <f t="shared" si="539"/>
        <v>1155</v>
      </c>
      <c r="Q5484" s="12">
        <f t="shared" si="540"/>
        <v>2425.5</v>
      </c>
      <c r="R5484" s="31">
        <f t="shared" si="541"/>
        <v>2400</v>
      </c>
    </row>
    <row r="5485" spans="1:18" ht="21.95" customHeight="1" x14ac:dyDescent="0.2">
      <c r="A5485" s="6" t="s">
        <v>1151</v>
      </c>
      <c r="B5485" s="6" t="s">
        <v>1586</v>
      </c>
      <c r="C5485" s="6" t="s">
        <v>1535</v>
      </c>
      <c r="D5485" s="6" t="s">
        <v>1458</v>
      </c>
      <c r="K5485" s="7">
        <v>44009822</v>
      </c>
      <c r="L5485" s="6" t="str">
        <f t="shared" si="542"/>
        <v>GC STUDIO KARYOLA 100*200</v>
      </c>
      <c r="M5485" s="12">
        <v>0.3</v>
      </c>
      <c r="N5485" s="12">
        <v>0.3</v>
      </c>
      <c r="O5485" s="8">
        <v>11500</v>
      </c>
      <c r="P5485" s="8">
        <f t="shared" si="539"/>
        <v>8049.9999999999991</v>
      </c>
      <c r="Q5485" s="12">
        <f t="shared" si="540"/>
        <v>16905</v>
      </c>
      <c r="R5485" s="31">
        <f t="shared" si="541"/>
        <v>16900</v>
      </c>
    </row>
    <row r="5486" spans="1:18" ht="21.95" customHeight="1" x14ac:dyDescent="0.2">
      <c r="A5486" s="6" t="s">
        <v>1151</v>
      </c>
      <c r="B5486" s="6" t="s">
        <v>1586</v>
      </c>
      <c r="C5486" s="6" t="s">
        <v>1535</v>
      </c>
      <c r="D5486" s="6" t="s">
        <v>1536</v>
      </c>
      <c r="K5486" s="7">
        <v>44009823</v>
      </c>
      <c r="L5486" s="6" t="str">
        <f t="shared" si="542"/>
        <v>GC STUDIO STANDART AYAKLI SOFİA BAZA 100*200</v>
      </c>
      <c r="M5486" s="12">
        <v>0.3</v>
      </c>
      <c r="N5486" s="12">
        <v>0.3</v>
      </c>
      <c r="O5486" s="8">
        <v>9630</v>
      </c>
      <c r="P5486" s="8">
        <f t="shared" si="539"/>
        <v>6741</v>
      </c>
      <c r="Q5486" s="12">
        <f t="shared" si="540"/>
        <v>14156.1</v>
      </c>
      <c r="R5486" s="31">
        <f t="shared" si="541"/>
        <v>14100</v>
      </c>
    </row>
    <row r="5487" spans="1:18" ht="21.95" customHeight="1" x14ac:dyDescent="0.2">
      <c r="A5487" s="6" t="s">
        <v>1151</v>
      </c>
      <c r="B5487" s="6" t="s">
        <v>1586</v>
      </c>
      <c r="C5487" s="6" t="s">
        <v>1535</v>
      </c>
      <c r="D5487" s="6" t="s">
        <v>1462</v>
      </c>
      <c r="K5487" s="7">
        <v>44009824</v>
      </c>
      <c r="L5487" s="6" t="str">
        <f t="shared" si="542"/>
        <v>GC STUDIO BAŞLIK 100'LÜK</v>
      </c>
      <c r="M5487" s="12">
        <v>0.3</v>
      </c>
      <c r="N5487" s="12">
        <v>0.3</v>
      </c>
      <c r="O5487" s="8">
        <v>4500</v>
      </c>
      <c r="P5487" s="8">
        <f t="shared" si="539"/>
        <v>3150</v>
      </c>
      <c r="Q5487" s="12">
        <f t="shared" si="540"/>
        <v>6615</v>
      </c>
      <c r="R5487" s="31">
        <f t="shared" si="541"/>
        <v>6600</v>
      </c>
    </row>
    <row r="5488" spans="1:18" ht="21.95" customHeight="1" x14ac:dyDescent="0.2">
      <c r="A5488" s="6" t="s">
        <v>1151</v>
      </c>
      <c r="B5488" s="6" t="s">
        <v>1586</v>
      </c>
      <c r="C5488" s="6" t="s">
        <v>1535</v>
      </c>
      <c r="D5488" s="6" t="s">
        <v>1537</v>
      </c>
      <c r="K5488" s="7">
        <v>44009825</v>
      </c>
      <c r="L5488" s="6" t="str">
        <f t="shared" si="542"/>
        <v>GC STUDIO STANDART AYAKLI SOFİA BAZA 120*200</v>
      </c>
      <c r="M5488" s="12">
        <v>0.3</v>
      </c>
      <c r="N5488" s="12">
        <v>0.3</v>
      </c>
      <c r="O5488" s="8">
        <v>9811</v>
      </c>
      <c r="P5488" s="8">
        <f t="shared" si="539"/>
        <v>6867.7</v>
      </c>
      <c r="Q5488" s="12">
        <f t="shared" si="540"/>
        <v>14422.17</v>
      </c>
      <c r="R5488" s="31">
        <f t="shared" si="541"/>
        <v>14400</v>
      </c>
    </row>
    <row r="5489" spans="1:18" ht="21.95" customHeight="1" x14ac:dyDescent="0.2">
      <c r="A5489" s="6" t="s">
        <v>1151</v>
      </c>
      <c r="B5489" s="6" t="s">
        <v>1586</v>
      </c>
      <c r="C5489" s="6" t="s">
        <v>1535</v>
      </c>
      <c r="D5489" s="6" t="s">
        <v>1464</v>
      </c>
      <c r="K5489" s="7">
        <v>44009826</v>
      </c>
      <c r="L5489" s="6" t="str">
        <f t="shared" si="542"/>
        <v>GC STUDIO BAŞLIK 120'LİK</v>
      </c>
      <c r="M5489" s="12">
        <v>0.3</v>
      </c>
      <c r="N5489" s="12">
        <v>0.3</v>
      </c>
      <c r="O5489" s="8">
        <v>5700</v>
      </c>
      <c r="P5489" s="8">
        <f t="shared" si="539"/>
        <v>3989.9999999999995</v>
      </c>
      <c r="Q5489" s="12">
        <f t="shared" si="540"/>
        <v>8379</v>
      </c>
      <c r="R5489" s="31">
        <f t="shared" si="541"/>
        <v>8300</v>
      </c>
    </row>
    <row r="5490" spans="1:18" ht="21.95" customHeight="1" x14ac:dyDescent="0.2">
      <c r="A5490" s="6" t="s">
        <v>1151</v>
      </c>
      <c r="B5490" s="6" t="s">
        <v>1586</v>
      </c>
      <c r="C5490" s="6" t="s">
        <v>1535</v>
      </c>
      <c r="D5490" s="6" t="s">
        <v>1538</v>
      </c>
      <c r="K5490" s="7">
        <v>44009827</v>
      </c>
      <c r="L5490" s="6" t="str">
        <f t="shared" si="542"/>
        <v>GC STUDIO STANDART ALT KARYOLA BEYAZ 90*190</v>
      </c>
      <c r="M5490" s="12">
        <v>0.3</v>
      </c>
      <c r="N5490" s="12">
        <v>0.3</v>
      </c>
      <c r="O5490" s="8">
        <v>4027</v>
      </c>
      <c r="P5490" s="8">
        <f t="shared" si="539"/>
        <v>2818.8999999999996</v>
      </c>
      <c r="Q5490" s="12">
        <f t="shared" si="540"/>
        <v>5919.69</v>
      </c>
      <c r="R5490" s="31">
        <f t="shared" si="541"/>
        <v>5900</v>
      </c>
    </row>
    <row r="5491" spans="1:18" ht="21.95" customHeight="1" x14ac:dyDescent="0.2">
      <c r="A5491" s="6" t="s">
        <v>1151</v>
      </c>
      <c r="B5491" s="6" t="s">
        <v>1586</v>
      </c>
      <c r="C5491" s="6" t="s">
        <v>1535</v>
      </c>
      <c r="D5491" s="6" t="s">
        <v>1465</v>
      </c>
      <c r="K5491" s="7">
        <v>44009828</v>
      </c>
      <c r="L5491" s="6" t="str">
        <f t="shared" si="542"/>
        <v>GC STUDIO KARYOLA 120*200</v>
      </c>
      <c r="M5491" s="12">
        <v>0.3</v>
      </c>
      <c r="N5491" s="12">
        <v>0.3</v>
      </c>
      <c r="O5491" s="8">
        <v>11850</v>
      </c>
      <c r="P5491" s="8">
        <f t="shared" si="539"/>
        <v>8295</v>
      </c>
      <c r="Q5491" s="12">
        <f t="shared" si="540"/>
        <v>17419.5</v>
      </c>
      <c r="R5491" s="31">
        <f t="shared" si="541"/>
        <v>17400</v>
      </c>
    </row>
    <row r="5492" spans="1:18" ht="21.95" customHeight="1" x14ac:dyDescent="0.2">
      <c r="A5492" s="6" t="s">
        <v>1151</v>
      </c>
      <c r="B5492" s="6" t="s">
        <v>1586</v>
      </c>
      <c r="C5492" s="6" t="s">
        <v>1535</v>
      </c>
      <c r="D5492" s="6" t="s">
        <v>1428</v>
      </c>
      <c r="K5492" s="7">
        <v>44009829</v>
      </c>
      <c r="L5492" s="6" t="str">
        <f t="shared" si="542"/>
        <v xml:space="preserve">GC STUDIO KOMODİN </v>
      </c>
      <c r="M5492" s="12">
        <v>0.3</v>
      </c>
      <c r="N5492" s="12">
        <v>0.3</v>
      </c>
      <c r="O5492" s="8">
        <v>3650</v>
      </c>
      <c r="P5492" s="8">
        <f t="shared" si="539"/>
        <v>2555</v>
      </c>
      <c r="Q5492" s="12">
        <f t="shared" si="540"/>
        <v>5365.5</v>
      </c>
      <c r="R5492" s="31">
        <f t="shared" si="541"/>
        <v>5300</v>
      </c>
    </row>
    <row r="5493" spans="1:18" ht="21.95" customHeight="1" x14ac:dyDescent="0.2">
      <c r="A5493" s="6" t="s">
        <v>1151</v>
      </c>
      <c r="B5493" s="6" t="s">
        <v>1586</v>
      </c>
      <c r="C5493" s="6" t="s">
        <v>1535</v>
      </c>
      <c r="D5493" s="6" t="s">
        <v>530</v>
      </c>
      <c r="K5493" s="7">
        <v>44009830</v>
      </c>
      <c r="L5493" s="6" t="str">
        <f>B5493&amp;" "&amp;C5493&amp;" "&amp;D5493</f>
        <v xml:space="preserve">GC STUDIO KİTAPLIK </v>
      </c>
      <c r="M5493" s="12">
        <v>0.3</v>
      </c>
      <c r="N5493" s="12">
        <v>0.3</v>
      </c>
      <c r="O5493" s="8">
        <v>5250</v>
      </c>
      <c r="P5493" s="8">
        <f t="shared" si="539"/>
        <v>3674.9999999999995</v>
      </c>
      <c r="Q5493" s="12">
        <f t="shared" si="540"/>
        <v>7717.4999999999991</v>
      </c>
      <c r="R5493" s="31">
        <f t="shared" si="541"/>
        <v>7700</v>
      </c>
    </row>
    <row r="5494" spans="1:18" ht="21.95" customHeight="1" x14ac:dyDescent="0.2">
      <c r="A5494" s="6" t="s">
        <v>1151</v>
      </c>
      <c r="B5494" s="6" t="s">
        <v>1586</v>
      </c>
      <c r="C5494" s="6" t="s">
        <v>1539</v>
      </c>
      <c r="D5494" s="6" t="s">
        <v>1452</v>
      </c>
      <c r="K5494" s="7">
        <v>44009831</v>
      </c>
      <c r="L5494" s="6" t="str">
        <f t="shared" ref="L5494:L5507" si="543">B5494&amp;" "&amp;C5495&amp;" "&amp;D5494</f>
        <v xml:space="preserve">GC ARMİN  4 KAPILI DOLAP </v>
      </c>
      <c r="M5494" s="12">
        <v>0.3</v>
      </c>
      <c r="N5494" s="12">
        <v>0.3</v>
      </c>
      <c r="O5494" s="8">
        <v>24900</v>
      </c>
      <c r="P5494" s="8">
        <f t="shared" si="539"/>
        <v>17430</v>
      </c>
      <c r="Q5494" s="12">
        <f t="shared" si="540"/>
        <v>36603</v>
      </c>
      <c r="R5494" s="31">
        <f t="shared" si="541"/>
        <v>36600</v>
      </c>
    </row>
    <row r="5495" spans="1:18" ht="21.95" customHeight="1" x14ac:dyDescent="0.2">
      <c r="A5495" s="6" t="s">
        <v>1151</v>
      </c>
      <c r="B5495" s="6" t="s">
        <v>1586</v>
      </c>
      <c r="C5495" s="6" t="s">
        <v>1539</v>
      </c>
      <c r="D5495" s="6" t="s">
        <v>1453</v>
      </c>
      <c r="K5495" s="7">
        <v>44009832</v>
      </c>
      <c r="L5495" s="6" t="str">
        <f t="shared" si="543"/>
        <v xml:space="preserve">GC ARMİN  3 KAPILI DOLAP </v>
      </c>
      <c r="M5495" s="12">
        <v>0.3</v>
      </c>
      <c r="N5495" s="12">
        <v>0.3</v>
      </c>
      <c r="O5495" s="8">
        <v>19250</v>
      </c>
      <c r="P5495" s="8">
        <f t="shared" si="539"/>
        <v>13475</v>
      </c>
      <c r="Q5495" s="12">
        <f t="shared" si="540"/>
        <v>28297.5</v>
      </c>
      <c r="R5495" s="31">
        <f t="shared" si="541"/>
        <v>28200</v>
      </c>
    </row>
    <row r="5496" spans="1:18" ht="21.95" customHeight="1" x14ac:dyDescent="0.2">
      <c r="A5496" s="6" t="s">
        <v>1151</v>
      </c>
      <c r="B5496" s="6" t="s">
        <v>1586</v>
      </c>
      <c r="C5496" s="6" t="s">
        <v>1539</v>
      </c>
      <c r="D5496" s="6" t="s">
        <v>1196</v>
      </c>
      <c r="K5496" s="7">
        <v>44009833</v>
      </c>
      <c r="L5496" s="6" t="str">
        <f t="shared" si="543"/>
        <v xml:space="preserve">GC ARMİN  ÇALIŞMA MASASI </v>
      </c>
      <c r="M5496" s="12">
        <v>0.3</v>
      </c>
      <c r="N5496" s="12">
        <v>0.3</v>
      </c>
      <c r="O5496" s="8">
        <v>6600</v>
      </c>
      <c r="P5496" s="8">
        <f t="shared" si="539"/>
        <v>4620</v>
      </c>
      <c r="Q5496" s="12">
        <f t="shared" si="540"/>
        <v>9702</v>
      </c>
      <c r="R5496" s="31">
        <f t="shared" si="541"/>
        <v>9700</v>
      </c>
    </row>
    <row r="5497" spans="1:18" ht="21.95" customHeight="1" x14ac:dyDescent="0.2">
      <c r="A5497" s="6" t="s">
        <v>1151</v>
      </c>
      <c r="B5497" s="6" t="s">
        <v>1586</v>
      </c>
      <c r="C5497" s="6" t="s">
        <v>1539</v>
      </c>
      <c r="D5497" s="6" t="s">
        <v>1455</v>
      </c>
      <c r="K5497" s="7">
        <v>44009834</v>
      </c>
      <c r="L5497" s="6" t="str">
        <f t="shared" si="543"/>
        <v xml:space="preserve">GC ARMİN  MASA ÜNİTESİ </v>
      </c>
      <c r="M5497" s="12">
        <v>0.3</v>
      </c>
      <c r="N5497" s="12">
        <v>0.3</v>
      </c>
      <c r="O5497" s="8">
        <v>4100</v>
      </c>
      <c r="P5497" s="8">
        <f t="shared" si="539"/>
        <v>2870</v>
      </c>
      <c r="Q5497" s="12">
        <f t="shared" si="540"/>
        <v>6027</v>
      </c>
      <c r="R5497" s="31">
        <f t="shared" si="541"/>
        <v>6000</v>
      </c>
    </row>
    <row r="5498" spans="1:18" ht="21.95" customHeight="1" x14ac:dyDescent="0.2">
      <c r="A5498" s="6" t="s">
        <v>1151</v>
      </c>
      <c r="B5498" s="6" t="s">
        <v>1586</v>
      </c>
      <c r="C5498" s="6" t="s">
        <v>1539</v>
      </c>
      <c r="D5498" s="6" t="s">
        <v>126</v>
      </c>
      <c r="K5498" s="7">
        <v>44009835</v>
      </c>
      <c r="L5498" s="6" t="str">
        <f t="shared" si="543"/>
        <v>GC ARMİN  ÇAMAŞIRLIK</v>
      </c>
      <c r="M5498" s="12">
        <v>0.3</v>
      </c>
      <c r="N5498" s="12">
        <v>0.3</v>
      </c>
      <c r="O5498" s="8">
        <v>8960</v>
      </c>
      <c r="P5498" s="8">
        <f t="shared" si="539"/>
        <v>6272</v>
      </c>
      <c r="Q5498" s="12">
        <f t="shared" si="540"/>
        <v>13171.2</v>
      </c>
      <c r="R5498" s="31">
        <f t="shared" si="541"/>
        <v>13100</v>
      </c>
    </row>
    <row r="5499" spans="1:18" ht="21.95" customHeight="1" x14ac:dyDescent="0.2">
      <c r="A5499" s="6" t="s">
        <v>1151</v>
      </c>
      <c r="B5499" s="6" t="s">
        <v>1586</v>
      </c>
      <c r="C5499" s="6" t="s">
        <v>1539</v>
      </c>
      <c r="D5499" s="6" t="s">
        <v>1457</v>
      </c>
      <c r="K5499" s="7">
        <v>44009836</v>
      </c>
      <c r="L5499" s="6" t="str">
        <f t="shared" si="543"/>
        <v xml:space="preserve">GC ARMİN  AYNA </v>
      </c>
      <c r="M5499" s="12">
        <v>0.3</v>
      </c>
      <c r="N5499" s="12">
        <v>0.3</v>
      </c>
      <c r="O5499" s="8">
        <v>1700</v>
      </c>
      <c r="P5499" s="8">
        <f t="shared" si="539"/>
        <v>1190</v>
      </c>
      <c r="Q5499" s="12">
        <f t="shared" si="540"/>
        <v>2499</v>
      </c>
      <c r="R5499" s="31">
        <f t="shared" si="541"/>
        <v>2400</v>
      </c>
    </row>
    <row r="5500" spans="1:18" ht="21.95" customHeight="1" x14ac:dyDescent="0.2">
      <c r="A5500" s="6" t="s">
        <v>1151</v>
      </c>
      <c r="B5500" s="6" t="s">
        <v>1586</v>
      </c>
      <c r="C5500" s="6" t="s">
        <v>1539</v>
      </c>
      <c r="D5500" s="6" t="s">
        <v>1458</v>
      </c>
      <c r="K5500" s="7">
        <v>44009837</v>
      </c>
      <c r="L5500" s="6" t="str">
        <f t="shared" si="543"/>
        <v>GC ARMİN  KARYOLA 100*200</v>
      </c>
      <c r="M5500" s="12">
        <v>0.3</v>
      </c>
      <c r="N5500" s="12">
        <v>0.3</v>
      </c>
      <c r="O5500" s="8">
        <v>10500</v>
      </c>
      <c r="P5500" s="8">
        <f t="shared" si="539"/>
        <v>7349.9999999999991</v>
      </c>
      <c r="Q5500" s="12">
        <f t="shared" si="540"/>
        <v>15434.999999999998</v>
      </c>
      <c r="R5500" s="31">
        <f t="shared" si="541"/>
        <v>15400</v>
      </c>
    </row>
    <row r="5501" spans="1:18" ht="21.95" customHeight="1" x14ac:dyDescent="0.2">
      <c r="A5501" s="6" t="s">
        <v>1151</v>
      </c>
      <c r="B5501" s="6" t="s">
        <v>1586</v>
      </c>
      <c r="C5501" s="6" t="s">
        <v>1539</v>
      </c>
      <c r="D5501" s="6" t="s">
        <v>1540</v>
      </c>
      <c r="K5501" s="7">
        <v>44009838</v>
      </c>
      <c r="L5501" s="6" t="str">
        <f t="shared" si="543"/>
        <v>GC ARMİN  STANDART AYAKLI BEYAZ BAZA 100*200</v>
      </c>
      <c r="M5501" s="12">
        <v>0.3</v>
      </c>
      <c r="N5501" s="12">
        <v>0.3</v>
      </c>
      <c r="O5501" s="8">
        <v>9630</v>
      </c>
      <c r="P5501" s="8">
        <f t="shared" si="539"/>
        <v>6741</v>
      </c>
      <c r="Q5501" s="12">
        <f t="shared" si="540"/>
        <v>14156.1</v>
      </c>
      <c r="R5501" s="31">
        <f t="shared" si="541"/>
        <v>14100</v>
      </c>
    </row>
    <row r="5502" spans="1:18" ht="21.95" customHeight="1" x14ac:dyDescent="0.2">
      <c r="A5502" s="6" t="s">
        <v>1151</v>
      </c>
      <c r="B5502" s="6" t="s">
        <v>1586</v>
      </c>
      <c r="C5502" s="6" t="s">
        <v>1539</v>
      </c>
      <c r="D5502" s="6" t="s">
        <v>1462</v>
      </c>
      <c r="K5502" s="7">
        <v>44009839</v>
      </c>
      <c r="L5502" s="6" t="str">
        <f t="shared" si="543"/>
        <v>GC ARMİN  BAŞLIK 100'LÜK</v>
      </c>
      <c r="M5502" s="12">
        <v>0.3</v>
      </c>
      <c r="N5502" s="12">
        <v>0.3</v>
      </c>
      <c r="O5502" s="8">
        <v>4200</v>
      </c>
      <c r="P5502" s="8">
        <f t="shared" si="539"/>
        <v>2940</v>
      </c>
      <c r="Q5502" s="12">
        <f t="shared" si="540"/>
        <v>6174</v>
      </c>
      <c r="R5502" s="31">
        <f t="shared" si="541"/>
        <v>6100</v>
      </c>
    </row>
    <row r="5503" spans="1:18" ht="21.95" customHeight="1" x14ac:dyDescent="0.2">
      <c r="A5503" s="6" t="s">
        <v>1151</v>
      </c>
      <c r="B5503" s="6" t="s">
        <v>1586</v>
      </c>
      <c r="C5503" s="6" t="s">
        <v>1539</v>
      </c>
      <c r="D5503" s="6" t="s">
        <v>1459</v>
      </c>
      <c r="K5503" s="7">
        <v>44009840</v>
      </c>
      <c r="L5503" s="6" t="str">
        <f t="shared" si="543"/>
        <v>GC ARMİN  CASTLE KARYOLA 100*200</v>
      </c>
      <c r="M5503" s="12">
        <v>0.3</v>
      </c>
      <c r="N5503" s="12">
        <v>0.3</v>
      </c>
      <c r="O5503" s="8">
        <v>16000</v>
      </c>
      <c r="P5503" s="8">
        <f t="shared" si="539"/>
        <v>11200</v>
      </c>
      <c r="Q5503" s="12">
        <f t="shared" si="540"/>
        <v>23520</v>
      </c>
      <c r="R5503" s="31">
        <f t="shared" si="541"/>
        <v>23500</v>
      </c>
    </row>
    <row r="5504" spans="1:18" ht="21.95" customHeight="1" x14ac:dyDescent="0.2">
      <c r="A5504" s="6" t="s">
        <v>1151</v>
      </c>
      <c r="B5504" s="6" t="s">
        <v>1586</v>
      </c>
      <c r="C5504" s="6" t="s">
        <v>1539</v>
      </c>
      <c r="D5504" s="6" t="s">
        <v>1541</v>
      </c>
      <c r="K5504" s="7">
        <v>44009841</v>
      </c>
      <c r="L5504" s="6" t="str">
        <f t="shared" si="543"/>
        <v>GC ARMİN  STANDART AYAKLI BEYAZ BAZA 120*200</v>
      </c>
      <c r="M5504" s="12">
        <v>0.3</v>
      </c>
      <c r="N5504" s="12">
        <v>0.3</v>
      </c>
      <c r="O5504" s="8">
        <v>10832</v>
      </c>
      <c r="P5504" s="8">
        <f t="shared" si="539"/>
        <v>7582.4</v>
      </c>
      <c r="Q5504" s="12">
        <f t="shared" si="540"/>
        <v>15923.039999999999</v>
      </c>
      <c r="R5504" s="31">
        <f t="shared" si="541"/>
        <v>15900</v>
      </c>
    </row>
    <row r="5505" spans="1:18" ht="21.95" customHeight="1" x14ac:dyDescent="0.2">
      <c r="A5505" s="6" t="s">
        <v>1151</v>
      </c>
      <c r="B5505" s="6" t="s">
        <v>1586</v>
      </c>
      <c r="C5505" s="6" t="s">
        <v>1539</v>
      </c>
      <c r="D5505" s="6" t="s">
        <v>1464</v>
      </c>
      <c r="K5505" s="7">
        <v>44009842</v>
      </c>
      <c r="L5505" s="6" t="str">
        <f t="shared" si="543"/>
        <v>GC ARMİN  BAŞLIK 120'LİK</v>
      </c>
      <c r="M5505" s="12">
        <v>0.3</v>
      </c>
      <c r="N5505" s="12">
        <v>0.3</v>
      </c>
      <c r="O5505" s="8">
        <v>5400</v>
      </c>
      <c r="P5505" s="8">
        <f t="shared" si="539"/>
        <v>3779.9999999999995</v>
      </c>
      <c r="Q5505" s="12">
        <f t="shared" ref="Q5505:Q5536" si="544">O5505*(1-N5505)*2.1</f>
        <v>7937.9999999999991</v>
      </c>
      <c r="R5505" s="31">
        <f t="shared" si="541"/>
        <v>7900</v>
      </c>
    </row>
    <row r="5506" spans="1:18" ht="21.95" customHeight="1" x14ac:dyDescent="0.2">
      <c r="A5506" s="6" t="s">
        <v>1151</v>
      </c>
      <c r="B5506" s="6" t="s">
        <v>1586</v>
      </c>
      <c r="C5506" s="6" t="s">
        <v>1539</v>
      </c>
      <c r="D5506" s="6" t="s">
        <v>1465</v>
      </c>
      <c r="K5506" s="7">
        <v>44009843</v>
      </c>
      <c r="L5506" s="6" t="str">
        <f t="shared" si="543"/>
        <v>GC ARMİN  KARYOLA 120*200</v>
      </c>
      <c r="M5506" s="12">
        <v>0.3</v>
      </c>
      <c r="N5506" s="12">
        <v>0.3</v>
      </c>
      <c r="O5506" s="8">
        <v>12000</v>
      </c>
      <c r="P5506" s="8">
        <f t="shared" si="539"/>
        <v>8400</v>
      </c>
      <c r="Q5506" s="12">
        <f t="shared" si="544"/>
        <v>17640</v>
      </c>
      <c r="R5506" s="31">
        <f t="shared" si="541"/>
        <v>17600</v>
      </c>
    </row>
    <row r="5507" spans="1:18" ht="21.95" customHeight="1" x14ac:dyDescent="0.2">
      <c r="A5507" s="6" t="s">
        <v>1151</v>
      </c>
      <c r="B5507" s="6" t="s">
        <v>1586</v>
      </c>
      <c r="C5507" s="6" t="s">
        <v>1539</v>
      </c>
      <c r="D5507" s="6" t="s">
        <v>1428</v>
      </c>
      <c r="K5507" s="7">
        <v>44009844</v>
      </c>
      <c r="L5507" s="6" t="str">
        <f t="shared" si="543"/>
        <v xml:space="preserve">GC ARMİN  KOMODİN </v>
      </c>
      <c r="M5507" s="12">
        <v>0.3</v>
      </c>
      <c r="N5507" s="12">
        <v>0.3</v>
      </c>
      <c r="O5507" s="8">
        <v>3500</v>
      </c>
      <c r="P5507" s="8">
        <f t="shared" si="539"/>
        <v>2450</v>
      </c>
      <c r="Q5507" s="12">
        <f t="shared" si="544"/>
        <v>5145</v>
      </c>
      <c r="R5507" s="31">
        <f t="shared" si="541"/>
        <v>5100</v>
      </c>
    </row>
    <row r="5508" spans="1:18" ht="21.95" customHeight="1" x14ac:dyDescent="0.2">
      <c r="A5508" s="6" t="s">
        <v>1151</v>
      </c>
      <c r="B5508" s="6" t="s">
        <v>1586</v>
      </c>
      <c r="C5508" s="6" t="s">
        <v>1539</v>
      </c>
      <c r="D5508" s="6" t="s">
        <v>530</v>
      </c>
      <c r="K5508" s="7">
        <v>44009845</v>
      </c>
      <c r="L5508" s="6" t="str">
        <f>B5508&amp;" "&amp;C5508&amp;" "&amp;D5508</f>
        <v xml:space="preserve">GC ARMİN  KİTAPLIK </v>
      </c>
      <c r="M5508" s="12">
        <v>0.3</v>
      </c>
      <c r="N5508" s="12">
        <v>0.3</v>
      </c>
      <c r="O5508" s="8">
        <v>5500</v>
      </c>
      <c r="P5508" s="8">
        <f t="shared" si="539"/>
        <v>3849.9999999999995</v>
      </c>
      <c r="Q5508" s="12">
        <f t="shared" si="544"/>
        <v>8084.9999999999991</v>
      </c>
      <c r="R5508" s="31">
        <f t="shared" si="541"/>
        <v>8000</v>
      </c>
    </row>
    <row r="5509" spans="1:18" ht="21.95" customHeight="1" x14ac:dyDescent="0.2">
      <c r="A5509" s="6" t="s">
        <v>1151</v>
      </c>
      <c r="B5509" s="6" t="s">
        <v>1586</v>
      </c>
      <c r="C5509" s="6" t="s">
        <v>1542</v>
      </c>
      <c r="D5509" s="6" t="s">
        <v>1543</v>
      </c>
      <c r="K5509" s="7">
        <v>44009846</v>
      </c>
      <c r="L5509" s="6" t="str">
        <f t="shared" ref="L5509:L5526" si="545">B5509&amp;" "&amp;C5510&amp;" "&amp;D5509</f>
        <v xml:space="preserve">GC PLATO  PT-100 PİYON DOLAP </v>
      </c>
      <c r="M5509" s="12">
        <v>0.3</v>
      </c>
      <c r="N5509" s="12">
        <v>0.3</v>
      </c>
      <c r="O5509" s="8">
        <v>5767</v>
      </c>
      <c r="P5509" s="8">
        <f t="shared" si="539"/>
        <v>4036.8999999999996</v>
      </c>
      <c r="Q5509" s="12">
        <f t="shared" si="544"/>
        <v>8477.49</v>
      </c>
      <c r="R5509" s="31">
        <f t="shared" si="541"/>
        <v>8400</v>
      </c>
    </row>
    <row r="5510" spans="1:18" ht="21.95" customHeight="1" x14ac:dyDescent="0.2">
      <c r="A5510" s="6" t="s">
        <v>1151</v>
      </c>
      <c r="B5510" s="6" t="s">
        <v>1586</v>
      </c>
      <c r="C5510" s="6" t="s">
        <v>1542</v>
      </c>
      <c r="D5510" s="6" t="s">
        <v>1544</v>
      </c>
      <c r="K5510" s="7">
        <v>44009847</v>
      </c>
      <c r="L5510" s="6" t="str">
        <f t="shared" si="545"/>
        <v xml:space="preserve">GC PLATO  PT-101 2 KAPILI DOLAP </v>
      </c>
      <c r="M5510" s="12">
        <v>0.3</v>
      </c>
      <c r="N5510" s="12">
        <v>0.3</v>
      </c>
      <c r="O5510" s="8">
        <v>9311</v>
      </c>
      <c r="P5510" s="8">
        <f t="shared" si="539"/>
        <v>6517.7</v>
      </c>
      <c r="Q5510" s="12">
        <f t="shared" si="544"/>
        <v>13687.17</v>
      </c>
      <c r="R5510" s="31">
        <f t="shared" si="541"/>
        <v>13600</v>
      </c>
    </row>
    <row r="5511" spans="1:18" ht="21.95" customHeight="1" x14ac:dyDescent="0.2">
      <c r="A5511" s="6" t="s">
        <v>1151</v>
      </c>
      <c r="B5511" s="6" t="s">
        <v>1586</v>
      </c>
      <c r="C5511" s="6" t="s">
        <v>1542</v>
      </c>
      <c r="D5511" s="6" t="s">
        <v>1545</v>
      </c>
      <c r="K5511" s="7">
        <v>44009848</v>
      </c>
      <c r="L5511" s="6" t="str">
        <f t="shared" si="545"/>
        <v xml:space="preserve">GC PLATO  PT-111 KÖŞE DOLAP </v>
      </c>
      <c r="M5511" s="12">
        <v>0.3</v>
      </c>
      <c r="N5511" s="12">
        <v>0.3</v>
      </c>
      <c r="O5511" s="8">
        <v>10521</v>
      </c>
      <c r="P5511" s="8">
        <f t="shared" si="539"/>
        <v>7364.7</v>
      </c>
      <c r="Q5511" s="12">
        <f t="shared" si="544"/>
        <v>15465.87</v>
      </c>
      <c r="R5511" s="31">
        <f t="shared" si="541"/>
        <v>15400</v>
      </c>
    </row>
    <row r="5512" spans="1:18" ht="21.95" customHeight="1" x14ac:dyDescent="0.2">
      <c r="A5512" s="6" t="s">
        <v>1151</v>
      </c>
      <c r="B5512" s="6" t="s">
        <v>1586</v>
      </c>
      <c r="C5512" s="6" t="s">
        <v>1542</v>
      </c>
      <c r="D5512" s="6" t="s">
        <v>1546</v>
      </c>
      <c r="K5512" s="7">
        <v>44009849</v>
      </c>
      <c r="L5512" s="6" t="str">
        <f t="shared" si="545"/>
        <v xml:space="preserve">GC PLATO  PT-102 ÇALIŞMA MASASI </v>
      </c>
      <c r="M5512" s="12">
        <v>0.3</v>
      </c>
      <c r="N5512" s="12">
        <v>0.3</v>
      </c>
      <c r="O5512" s="8">
        <v>5072</v>
      </c>
      <c r="P5512" s="8">
        <f t="shared" si="539"/>
        <v>3550.3999999999996</v>
      </c>
      <c r="Q5512" s="12">
        <f t="shared" si="544"/>
        <v>7455.8399999999992</v>
      </c>
      <c r="R5512" s="31">
        <f t="shared" si="541"/>
        <v>7400</v>
      </c>
    </row>
    <row r="5513" spans="1:18" ht="21.95" customHeight="1" x14ac:dyDescent="0.2">
      <c r="A5513" s="6" t="s">
        <v>1151</v>
      </c>
      <c r="B5513" s="6" t="s">
        <v>1586</v>
      </c>
      <c r="C5513" s="6" t="s">
        <v>1542</v>
      </c>
      <c r="D5513" s="6" t="s">
        <v>1547</v>
      </c>
      <c r="K5513" s="7">
        <v>44009850</v>
      </c>
      <c r="L5513" s="6" t="str">
        <f t="shared" si="545"/>
        <v xml:space="preserve">GC PLATO  PT-103 MASA ÜNİTESİ </v>
      </c>
      <c r="M5513" s="12">
        <v>0.3</v>
      </c>
      <c r="N5513" s="12">
        <v>0.3</v>
      </c>
      <c r="O5513" s="8">
        <v>2506</v>
      </c>
      <c r="P5513" s="8">
        <f t="shared" si="539"/>
        <v>1754.1999999999998</v>
      </c>
      <c r="Q5513" s="12">
        <f t="shared" si="544"/>
        <v>3683.8199999999997</v>
      </c>
      <c r="R5513" s="31">
        <f t="shared" si="541"/>
        <v>3600</v>
      </c>
    </row>
    <row r="5514" spans="1:18" ht="21.95" customHeight="1" x14ac:dyDescent="0.2">
      <c r="A5514" s="6" t="s">
        <v>1151</v>
      </c>
      <c r="B5514" s="6" t="s">
        <v>1586</v>
      </c>
      <c r="C5514" s="6" t="s">
        <v>1542</v>
      </c>
      <c r="D5514" s="6" t="s">
        <v>1548</v>
      </c>
      <c r="K5514" s="7">
        <v>44009851</v>
      </c>
      <c r="L5514" s="6" t="str">
        <f t="shared" si="545"/>
        <v xml:space="preserve">GC PLATO  PT-104 ÇAMAŞIRLIK </v>
      </c>
      <c r="M5514" s="12">
        <v>0.3</v>
      </c>
      <c r="N5514" s="12">
        <v>0.3</v>
      </c>
      <c r="O5514" s="8">
        <v>4492</v>
      </c>
      <c r="P5514" s="8">
        <f t="shared" si="539"/>
        <v>3144.3999999999996</v>
      </c>
      <c r="Q5514" s="12">
        <f t="shared" si="544"/>
        <v>6603.24</v>
      </c>
      <c r="R5514" s="31">
        <f t="shared" si="541"/>
        <v>6600</v>
      </c>
    </row>
    <row r="5515" spans="1:18" ht="21.95" customHeight="1" x14ac:dyDescent="0.2">
      <c r="A5515" s="6" t="s">
        <v>1151</v>
      </c>
      <c r="B5515" s="6" t="s">
        <v>1586</v>
      </c>
      <c r="C5515" s="6" t="s">
        <v>1542</v>
      </c>
      <c r="D5515" s="6" t="s">
        <v>1549</v>
      </c>
      <c r="K5515" s="7">
        <v>44009852</v>
      </c>
      <c r="L5515" s="6" t="str">
        <f t="shared" si="545"/>
        <v xml:space="preserve">GC PLATO  PT-105 AYNA </v>
      </c>
      <c r="M5515" s="12">
        <v>0.3</v>
      </c>
      <c r="N5515" s="12">
        <v>0.3</v>
      </c>
      <c r="O5515" s="8">
        <v>2246</v>
      </c>
      <c r="P5515" s="8">
        <f t="shared" si="539"/>
        <v>1572.1999999999998</v>
      </c>
      <c r="Q5515" s="12">
        <f t="shared" si="544"/>
        <v>3301.62</v>
      </c>
      <c r="R5515" s="31">
        <f t="shared" si="541"/>
        <v>3300</v>
      </c>
    </row>
    <row r="5516" spans="1:18" ht="21.95" customHeight="1" x14ac:dyDescent="0.2">
      <c r="A5516" s="6" t="s">
        <v>1151</v>
      </c>
      <c r="B5516" s="6" t="s">
        <v>1586</v>
      </c>
      <c r="C5516" s="6" t="s">
        <v>1542</v>
      </c>
      <c r="D5516" s="6" t="s">
        <v>1550</v>
      </c>
      <c r="K5516" s="7">
        <v>44009853</v>
      </c>
      <c r="L5516" s="6" t="str">
        <f t="shared" si="545"/>
        <v>GC PLATO  PT-106 KARYOLA 100*200</v>
      </c>
      <c r="M5516" s="12">
        <v>0.3</v>
      </c>
      <c r="N5516" s="12">
        <v>0.3</v>
      </c>
      <c r="O5516" s="8">
        <v>7433</v>
      </c>
      <c r="P5516" s="8">
        <f t="shared" si="539"/>
        <v>5203.0999999999995</v>
      </c>
      <c r="Q5516" s="12">
        <f t="shared" si="544"/>
        <v>10926.51</v>
      </c>
      <c r="R5516" s="31">
        <f t="shared" si="541"/>
        <v>10900</v>
      </c>
    </row>
    <row r="5517" spans="1:18" ht="21.95" customHeight="1" x14ac:dyDescent="0.2">
      <c r="A5517" s="6" t="s">
        <v>1151</v>
      </c>
      <c r="B5517" s="6" t="s">
        <v>1586</v>
      </c>
      <c r="C5517" s="6" t="s">
        <v>1542</v>
      </c>
      <c r="D5517" s="6" t="s">
        <v>1551</v>
      </c>
      <c r="K5517" s="7">
        <v>44009854</v>
      </c>
      <c r="L5517" s="6" t="str">
        <f t="shared" si="545"/>
        <v>GC PLATO  PT-108 MERDİVENLİ RANZA 90*200 (ALT KARYOLA DAHİL)</v>
      </c>
      <c r="M5517" s="12">
        <v>0.3</v>
      </c>
      <c r="N5517" s="12">
        <v>0.3</v>
      </c>
      <c r="O5517" s="8">
        <v>21889</v>
      </c>
      <c r="P5517" s="8">
        <f t="shared" si="539"/>
        <v>15322.3</v>
      </c>
      <c r="Q5517" s="12">
        <f t="shared" si="544"/>
        <v>32176.829999999998</v>
      </c>
      <c r="R5517" s="31">
        <f t="shared" si="541"/>
        <v>32100</v>
      </c>
    </row>
    <row r="5518" spans="1:18" ht="21.95" customHeight="1" x14ac:dyDescent="0.2">
      <c r="A5518" s="21" t="s">
        <v>1151</v>
      </c>
      <c r="B5518" s="21" t="s">
        <v>1586</v>
      </c>
      <c r="C5518" s="21" t="s">
        <v>1542</v>
      </c>
      <c r="D5518" s="21" t="s">
        <v>1552</v>
      </c>
      <c r="E5518" s="21"/>
      <c r="F5518" s="21"/>
      <c r="G5518" s="21"/>
      <c r="H5518" s="21"/>
      <c r="I5518" s="22"/>
      <c r="J5518" s="22"/>
      <c r="K5518" s="22">
        <v>44009855</v>
      </c>
      <c r="L5518" s="21" t="str">
        <f t="shared" si="545"/>
        <v>GC PLATO  BEYAZ METAL RANZA 90*200  (ALT KARYOLA DAHİL)</v>
      </c>
      <c r="M5518" s="23">
        <v>0.3</v>
      </c>
      <c r="N5518" s="23">
        <v>0.3</v>
      </c>
      <c r="O5518" s="23">
        <v>21000</v>
      </c>
      <c r="P5518" s="23">
        <f t="shared" si="539"/>
        <v>14699.999999999998</v>
      </c>
      <c r="Q5518" s="23">
        <f t="shared" si="544"/>
        <v>30869.999999999996</v>
      </c>
      <c r="R5518" s="32">
        <f t="shared" si="541"/>
        <v>30800</v>
      </c>
    </row>
    <row r="5519" spans="1:18" ht="21.95" customHeight="1" x14ac:dyDescent="0.2">
      <c r="A5519" s="21" t="s">
        <v>1151</v>
      </c>
      <c r="B5519" s="21" t="s">
        <v>1586</v>
      </c>
      <c r="C5519" s="21" t="s">
        <v>1542</v>
      </c>
      <c r="D5519" s="21" t="s">
        <v>1553</v>
      </c>
      <c r="E5519" s="21"/>
      <c r="F5519" s="21"/>
      <c r="G5519" s="21"/>
      <c r="H5519" s="21"/>
      <c r="I5519" s="22"/>
      <c r="J5519" s="22"/>
      <c r="K5519" s="22">
        <v>44009856</v>
      </c>
      <c r="L5519" s="21" t="str">
        <f t="shared" si="545"/>
        <v>GC PLATO  SİS GRİ METAL RANZA 90*200  (ALT KARYOLA DAHİL)</v>
      </c>
      <c r="M5519" s="23">
        <v>0.3</v>
      </c>
      <c r="N5519" s="23">
        <v>0.3</v>
      </c>
      <c r="O5519" s="23">
        <v>22500</v>
      </c>
      <c r="P5519" s="23">
        <f t="shared" si="539"/>
        <v>15749.999999999998</v>
      </c>
      <c r="Q5519" s="23">
        <f t="shared" si="544"/>
        <v>33075</v>
      </c>
      <c r="R5519" s="32">
        <f t="shared" si="541"/>
        <v>33000</v>
      </c>
    </row>
    <row r="5520" spans="1:18" ht="21.95" customHeight="1" x14ac:dyDescent="0.2">
      <c r="A5520" s="6" t="s">
        <v>1151</v>
      </c>
      <c r="B5520" s="6" t="s">
        <v>1586</v>
      </c>
      <c r="C5520" s="6" t="s">
        <v>1542</v>
      </c>
      <c r="D5520" s="6" t="s">
        <v>1554</v>
      </c>
      <c r="K5520" s="7">
        <v>44009857</v>
      </c>
      <c r="L5520" s="6" t="str">
        <f t="shared" si="545"/>
        <v>GC PLATO  PT-115 KARYOLA 120*200</v>
      </c>
      <c r="M5520" s="12">
        <v>0.3</v>
      </c>
      <c r="N5520" s="12">
        <v>0.3</v>
      </c>
      <c r="O5520" s="8">
        <v>8471</v>
      </c>
      <c r="P5520" s="8">
        <f t="shared" si="539"/>
        <v>5929.7</v>
      </c>
      <c r="Q5520" s="12">
        <f t="shared" si="544"/>
        <v>12452.37</v>
      </c>
      <c r="R5520" s="31">
        <f t="shared" si="541"/>
        <v>12400</v>
      </c>
    </row>
    <row r="5521" spans="1:23" ht="21.95" customHeight="1" x14ac:dyDescent="0.2">
      <c r="A5521" s="6" t="s">
        <v>1151</v>
      </c>
      <c r="B5521" s="6" t="s">
        <v>1586</v>
      </c>
      <c r="C5521" s="6" t="s">
        <v>1542</v>
      </c>
      <c r="D5521" s="6" t="s">
        <v>1478</v>
      </c>
      <c r="K5521" s="7">
        <v>44009858</v>
      </c>
      <c r="L5521" s="6" t="str">
        <f t="shared" si="545"/>
        <v>GC PLATO  BYZ-107 STANDART ALT KARYOLA BEYAZ 90*190</v>
      </c>
      <c r="M5521" s="12">
        <v>0.3</v>
      </c>
      <c r="N5521" s="12">
        <v>0.3</v>
      </c>
      <c r="O5521" s="8">
        <v>4028</v>
      </c>
      <c r="P5521" s="8">
        <f t="shared" si="539"/>
        <v>2819.6</v>
      </c>
      <c r="Q5521" s="12">
        <f t="shared" si="544"/>
        <v>5921.16</v>
      </c>
      <c r="R5521" s="31">
        <f t="shared" si="541"/>
        <v>5900</v>
      </c>
    </row>
    <row r="5522" spans="1:23" ht="21.95" customHeight="1" x14ac:dyDescent="0.2">
      <c r="A5522" s="6" t="s">
        <v>1151</v>
      </c>
      <c r="B5522" s="6" t="s">
        <v>1586</v>
      </c>
      <c r="C5522" s="6" t="s">
        <v>1542</v>
      </c>
      <c r="D5522" s="6" t="s">
        <v>1479</v>
      </c>
      <c r="K5522" s="7">
        <v>44009859</v>
      </c>
      <c r="L5522" s="6" t="str">
        <f t="shared" si="545"/>
        <v>GC PLATO  BYZ-111 STANDART AYAKLI BEYAZ BAZA 100*200</v>
      </c>
      <c r="M5522" s="12">
        <v>0.3</v>
      </c>
      <c r="N5522" s="12">
        <v>0.3</v>
      </c>
      <c r="O5522" s="8">
        <v>9630</v>
      </c>
      <c r="P5522" s="8">
        <f t="shared" si="539"/>
        <v>6741</v>
      </c>
      <c r="Q5522" s="12">
        <f t="shared" si="544"/>
        <v>14156.1</v>
      </c>
      <c r="R5522" s="31">
        <f t="shared" si="541"/>
        <v>14100</v>
      </c>
    </row>
    <row r="5523" spans="1:23" ht="21.95" customHeight="1" x14ac:dyDescent="0.2">
      <c r="A5523" s="6" t="s">
        <v>1151</v>
      </c>
      <c r="B5523" s="6" t="s">
        <v>1586</v>
      </c>
      <c r="C5523" s="6" t="s">
        <v>1542</v>
      </c>
      <c r="D5523" s="6" t="s">
        <v>1555</v>
      </c>
      <c r="K5523" s="7">
        <v>44009860</v>
      </c>
      <c r="L5523" s="6" t="str">
        <f t="shared" si="545"/>
        <v xml:space="preserve">GC PLATO  PT-112 BAŞLIK 100'LÜK </v>
      </c>
      <c r="M5523" s="12">
        <v>0.3</v>
      </c>
      <c r="N5523" s="12">
        <v>0.3</v>
      </c>
      <c r="O5523" s="8">
        <v>3478</v>
      </c>
      <c r="P5523" s="8">
        <f t="shared" si="539"/>
        <v>2434.6</v>
      </c>
      <c r="Q5523" s="12">
        <f t="shared" si="544"/>
        <v>5112.66</v>
      </c>
      <c r="R5523" s="31">
        <f t="shared" si="541"/>
        <v>5100</v>
      </c>
    </row>
    <row r="5524" spans="1:23" ht="21.95" customHeight="1" x14ac:dyDescent="0.2">
      <c r="A5524" s="6" t="s">
        <v>1151</v>
      </c>
      <c r="B5524" s="6" t="s">
        <v>1586</v>
      </c>
      <c r="C5524" s="6" t="s">
        <v>1542</v>
      </c>
      <c r="D5524" s="6" t="s">
        <v>1482</v>
      </c>
      <c r="K5524" s="7">
        <v>44009861</v>
      </c>
      <c r="L5524" s="6" t="str">
        <f t="shared" si="545"/>
        <v>GC PLATO  BYZ-131 STANDART AYAKLI BEYAZ BAZA 120*200</v>
      </c>
      <c r="M5524" s="12">
        <v>0.3</v>
      </c>
      <c r="N5524" s="12">
        <v>0.3</v>
      </c>
      <c r="O5524" s="8">
        <v>10832</v>
      </c>
      <c r="P5524" s="8">
        <f t="shared" si="539"/>
        <v>7582.4</v>
      </c>
      <c r="Q5524" s="12">
        <f t="shared" si="544"/>
        <v>15923.039999999999</v>
      </c>
      <c r="R5524" s="31">
        <f t="shared" si="541"/>
        <v>15900</v>
      </c>
    </row>
    <row r="5525" spans="1:23" ht="21.95" customHeight="1" x14ac:dyDescent="0.2">
      <c r="A5525" s="6" t="s">
        <v>1151</v>
      </c>
      <c r="B5525" s="6" t="s">
        <v>1586</v>
      </c>
      <c r="C5525" s="6" t="s">
        <v>1542</v>
      </c>
      <c r="D5525" s="6" t="s">
        <v>1556</v>
      </c>
      <c r="K5525" s="7">
        <v>44009862</v>
      </c>
      <c r="L5525" s="6" t="str">
        <f t="shared" si="545"/>
        <v xml:space="preserve">GC PLATO  PT-23 BAŞLIK 120'LİK </v>
      </c>
      <c r="M5525" s="12">
        <v>0.3</v>
      </c>
      <c r="N5525" s="12">
        <v>0.3</v>
      </c>
      <c r="O5525" s="8">
        <v>4071</v>
      </c>
      <c r="P5525" s="8">
        <f t="shared" si="539"/>
        <v>2849.7</v>
      </c>
      <c r="Q5525" s="12">
        <f t="shared" si="544"/>
        <v>5984.37</v>
      </c>
      <c r="R5525" s="31">
        <f t="shared" si="541"/>
        <v>5900</v>
      </c>
    </row>
    <row r="5526" spans="1:23" ht="21.95" customHeight="1" x14ac:dyDescent="0.2">
      <c r="A5526" s="6" t="s">
        <v>1151</v>
      </c>
      <c r="B5526" s="6" t="s">
        <v>1586</v>
      </c>
      <c r="C5526" s="6" t="s">
        <v>1542</v>
      </c>
      <c r="D5526" s="6" t="s">
        <v>1557</v>
      </c>
      <c r="K5526" s="7">
        <v>44009863</v>
      </c>
      <c r="L5526" s="6" t="str">
        <f t="shared" si="545"/>
        <v xml:space="preserve">GC PLATO  PT-109 KOMODİN </v>
      </c>
      <c r="M5526" s="12">
        <v>0.3</v>
      </c>
      <c r="N5526" s="12">
        <v>0.3</v>
      </c>
      <c r="O5526" s="8">
        <v>2676</v>
      </c>
      <c r="P5526" s="8">
        <f t="shared" si="539"/>
        <v>1873.1999999999998</v>
      </c>
      <c r="Q5526" s="12">
        <f t="shared" si="544"/>
        <v>3933.72</v>
      </c>
      <c r="R5526" s="31">
        <f t="shared" si="541"/>
        <v>3900</v>
      </c>
    </row>
    <row r="5527" spans="1:23" ht="21.95" customHeight="1" x14ac:dyDescent="0.2">
      <c r="A5527" s="6" t="s">
        <v>1151</v>
      </c>
      <c r="B5527" s="6" t="s">
        <v>1586</v>
      </c>
      <c r="C5527" s="6" t="s">
        <v>1542</v>
      </c>
      <c r="D5527" s="6" t="s">
        <v>1558</v>
      </c>
      <c r="K5527" s="7">
        <v>44009864</v>
      </c>
      <c r="L5527" s="6" t="str">
        <f>B5527&amp;" "&amp;C5527&amp;" "&amp;D5527</f>
        <v xml:space="preserve">GC PLATO  PT-110 KİTAPLIK </v>
      </c>
      <c r="M5527" s="12">
        <v>0.3</v>
      </c>
      <c r="N5527" s="12">
        <v>0.3</v>
      </c>
      <c r="O5527" s="8">
        <v>4884</v>
      </c>
      <c r="P5527" s="8">
        <f t="shared" si="539"/>
        <v>3418.7999999999997</v>
      </c>
      <c r="Q5527" s="12">
        <f t="shared" si="544"/>
        <v>7179.48</v>
      </c>
      <c r="R5527" s="31">
        <f t="shared" si="541"/>
        <v>7100</v>
      </c>
    </row>
    <row r="5528" spans="1:23" ht="21.95" customHeight="1" x14ac:dyDescent="0.2">
      <c r="A5528" s="6" t="s">
        <v>1151</v>
      </c>
      <c r="B5528" s="6" t="s">
        <v>1586</v>
      </c>
      <c r="C5528" s="6" t="s">
        <v>1559</v>
      </c>
      <c r="D5528" s="6" t="s">
        <v>1560</v>
      </c>
      <c r="K5528" s="7">
        <v>44009865</v>
      </c>
      <c r="L5528" s="6" t="str">
        <f t="shared" ref="L5528:L5541" si="546">B5528&amp;" "&amp;C5529&amp;" "&amp;D5528</f>
        <v xml:space="preserve">GC NEON  NE-100 4 KAPILI DOLAP </v>
      </c>
      <c r="M5528" s="12">
        <v>0.3</v>
      </c>
      <c r="N5528" s="12">
        <v>0.3</v>
      </c>
      <c r="O5528" s="8">
        <v>21175</v>
      </c>
      <c r="P5528" s="8">
        <f t="shared" si="539"/>
        <v>14822.499999999998</v>
      </c>
      <c r="Q5528" s="12">
        <f t="shared" si="544"/>
        <v>31127.249999999996</v>
      </c>
      <c r="R5528" s="31">
        <f t="shared" si="541"/>
        <v>31100</v>
      </c>
    </row>
    <row r="5529" spans="1:23" ht="21.95" customHeight="1" x14ac:dyDescent="0.2">
      <c r="A5529" s="6" t="s">
        <v>1151</v>
      </c>
      <c r="B5529" s="6" t="s">
        <v>1586</v>
      </c>
      <c r="C5529" s="6" t="s">
        <v>1559</v>
      </c>
      <c r="D5529" s="6" t="s">
        <v>1561</v>
      </c>
      <c r="K5529" s="7">
        <v>44009866</v>
      </c>
      <c r="L5529" s="6" t="str">
        <f t="shared" si="546"/>
        <v xml:space="preserve">GC NEON  NE-101 3 KAPILI DOLAP </v>
      </c>
      <c r="M5529" s="12">
        <v>0.3</v>
      </c>
      <c r="N5529" s="12">
        <v>0.3</v>
      </c>
      <c r="O5529" s="8">
        <v>16556</v>
      </c>
      <c r="P5529" s="8">
        <f t="shared" si="539"/>
        <v>11589.199999999999</v>
      </c>
      <c r="Q5529" s="12">
        <f t="shared" si="544"/>
        <v>24337.32</v>
      </c>
      <c r="R5529" s="31">
        <f t="shared" si="541"/>
        <v>24300</v>
      </c>
    </row>
    <row r="5530" spans="1:23" ht="21.95" customHeight="1" x14ac:dyDescent="0.2">
      <c r="A5530" s="6" t="s">
        <v>1151</v>
      </c>
      <c r="B5530" s="6" t="s">
        <v>1586</v>
      </c>
      <c r="C5530" s="6" t="s">
        <v>1559</v>
      </c>
      <c r="D5530" s="6" t="s">
        <v>1454</v>
      </c>
      <c r="K5530" s="7">
        <v>44009867</v>
      </c>
      <c r="L5530" s="6" t="str">
        <f t="shared" si="546"/>
        <v xml:space="preserve">GC NEON  DOLAP İÇİ ÇEKMECE MODÜLÜ BEYAZ </v>
      </c>
      <c r="M5530" s="12">
        <v>0.3</v>
      </c>
      <c r="N5530" s="12">
        <v>0.3</v>
      </c>
      <c r="O5530" s="8">
        <v>3770</v>
      </c>
      <c r="P5530" s="8">
        <f t="shared" si="539"/>
        <v>2639</v>
      </c>
      <c r="Q5530" s="12">
        <f t="shared" si="544"/>
        <v>5541.9000000000005</v>
      </c>
      <c r="R5530" s="31">
        <f t="shared" si="541"/>
        <v>5500</v>
      </c>
    </row>
    <row r="5531" spans="1:23" ht="21.95" customHeight="1" x14ac:dyDescent="0.2">
      <c r="A5531" s="6" t="s">
        <v>1151</v>
      </c>
      <c r="B5531" s="6" t="s">
        <v>1586</v>
      </c>
      <c r="C5531" s="6" t="s">
        <v>1559</v>
      </c>
      <c r="D5531" s="6" t="s">
        <v>1562</v>
      </c>
      <c r="K5531" s="7">
        <v>44009868</v>
      </c>
      <c r="L5531" s="6" t="str">
        <f t="shared" si="546"/>
        <v xml:space="preserve">GC NEON  NE-102 ÇALIŞMA MASASI </v>
      </c>
      <c r="M5531" s="12">
        <v>0.3</v>
      </c>
      <c r="N5531" s="12">
        <v>0.3</v>
      </c>
      <c r="O5531" s="8">
        <v>8087</v>
      </c>
      <c r="P5531" s="8">
        <f t="shared" si="539"/>
        <v>5660.9</v>
      </c>
      <c r="Q5531" s="12">
        <f t="shared" si="544"/>
        <v>11887.89</v>
      </c>
      <c r="R5531" s="31">
        <f t="shared" si="541"/>
        <v>11800</v>
      </c>
    </row>
    <row r="5532" spans="1:23" ht="21.95" customHeight="1" x14ac:dyDescent="0.2">
      <c r="A5532" s="6" t="s">
        <v>1151</v>
      </c>
      <c r="B5532" s="6" t="s">
        <v>1586</v>
      </c>
      <c r="C5532" s="6" t="s">
        <v>1559</v>
      </c>
      <c r="D5532" s="6" t="s">
        <v>1563</v>
      </c>
      <c r="K5532" s="7">
        <v>44009869</v>
      </c>
      <c r="L5532" s="6" t="str">
        <f t="shared" si="546"/>
        <v xml:space="preserve">GC NEON  NE-104 ÇAMAŞIRLIK </v>
      </c>
      <c r="M5532" s="12">
        <v>0.3</v>
      </c>
      <c r="N5532" s="12">
        <v>0.3</v>
      </c>
      <c r="O5532" s="8">
        <v>9191</v>
      </c>
      <c r="P5532" s="8">
        <f t="shared" si="539"/>
        <v>6433.7</v>
      </c>
      <c r="Q5532" s="12">
        <f t="shared" si="544"/>
        <v>13510.77</v>
      </c>
      <c r="R5532" s="31">
        <f t="shared" si="541"/>
        <v>13500</v>
      </c>
      <c r="U5532" s="8">
        <v>1730</v>
      </c>
      <c r="W5532" s="8">
        <f t="shared" ref="W5532:W5558" si="547">P5532*2.5</f>
        <v>16084.25</v>
      </c>
    </row>
    <row r="5533" spans="1:23" ht="21.95" customHeight="1" x14ac:dyDescent="0.2">
      <c r="A5533" s="6" t="s">
        <v>1151</v>
      </c>
      <c r="B5533" s="6" t="s">
        <v>1586</v>
      </c>
      <c r="C5533" s="6" t="s">
        <v>1559</v>
      </c>
      <c r="D5533" s="6" t="s">
        <v>1564</v>
      </c>
      <c r="K5533" s="7">
        <v>44009870</v>
      </c>
      <c r="L5533" s="6" t="str">
        <f t="shared" si="546"/>
        <v xml:space="preserve">GC NEON  NE-105 AYNA </v>
      </c>
      <c r="M5533" s="12">
        <v>0.3</v>
      </c>
      <c r="N5533" s="12">
        <v>0.3</v>
      </c>
      <c r="O5533" s="8">
        <v>949</v>
      </c>
      <c r="P5533" s="8">
        <f t="shared" si="539"/>
        <v>664.3</v>
      </c>
      <c r="Q5533" s="12">
        <f t="shared" si="544"/>
        <v>1395.03</v>
      </c>
      <c r="R5533" s="31">
        <f t="shared" si="541"/>
        <v>1300</v>
      </c>
      <c r="U5533" s="8">
        <v>2730</v>
      </c>
      <c r="W5533" s="8">
        <f t="shared" si="547"/>
        <v>1660.75</v>
      </c>
    </row>
    <row r="5534" spans="1:23" ht="21.95" customHeight="1" x14ac:dyDescent="0.2">
      <c r="A5534" s="6" t="s">
        <v>1151</v>
      </c>
      <c r="B5534" s="6" t="s">
        <v>1586</v>
      </c>
      <c r="C5534" s="6" t="s">
        <v>1559</v>
      </c>
      <c r="D5534" s="6" t="s">
        <v>1565</v>
      </c>
      <c r="K5534" s="7">
        <v>44009871</v>
      </c>
      <c r="L5534" s="6" t="str">
        <f t="shared" si="546"/>
        <v>GC NEON  NE-106 KARYOLA 100*200</v>
      </c>
      <c r="M5534" s="12">
        <v>0.3</v>
      </c>
      <c r="N5534" s="12">
        <v>0.3</v>
      </c>
      <c r="O5534" s="8">
        <v>8262</v>
      </c>
      <c r="P5534" s="8">
        <f t="shared" si="539"/>
        <v>5783.4</v>
      </c>
      <c r="Q5534" s="12">
        <f t="shared" si="544"/>
        <v>12145.14</v>
      </c>
      <c r="R5534" s="31">
        <f t="shared" si="541"/>
        <v>12100</v>
      </c>
      <c r="U5534" s="8">
        <v>2000</v>
      </c>
      <c r="W5534" s="8">
        <f t="shared" si="547"/>
        <v>14458.5</v>
      </c>
    </row>
    <row r="5535" spans="1:23" ht="21.95" customHeight="1" x14ac:dyDescent="0.2">
      <c r="A5535" s="6" t="s">
        <v>1151</v>
      </c>
      <c r="B5535" s="6" t="s">
        <v>1586</v>
      </c>
      <c r="C5535" s="6" t="s">
        <v>1559</v>
      </c>
      <c r="D5535" s="6" t="s">
        <v>1566</v>
      </c>
      <c r="K5535" s="7">
        <v>44009872</v>
      </c>
      <c r="L5535" s="6" t="str">
        <f t="shared" si="546"/>
        <v>GC NEON  SFT-111 STANDART AYAKLI SOFİA BAZA 100*200</v>
      </c>
      <c r="M5535" s="12">
        <v>0.3</v>
      </c>
      <c r="N5535" s="12">
        <v>0.3</v>
      </c>
      <c r="O5535" s="8">
        <v>9630</v>
      </c>
      <c r="P5535" s="8">
        <f t="shared" si="539"/>
        <v>6741</v>
      </c>
      <c r="Q5535" s="12">
        <f t="shared" si="544"/>
        <v>14156.1</v>
      </c>
      <c r="R5535" s="31">
        <f t="shared" si="541"/>
        <v>14100</v>
      </c>
      <c r="U5535" s="8">
        <v>2600</v>
      </c>
      <c r="W5535" s="8">
        <f t="shared" si="547"/>
        <v>16852.5</v>
      </c>
    </row>
    <row r="5536" spans="1:23" ht="21.95" customHeight="1" x14ac:dyDescent="0.2">
      <c r="A5536" s="6" t="s">
        <v>1151</v>
      </c>
      <c r="B5536" s="6" t="s">
        <v>1586</v>
      </c>
      <c r="C5536" s="6" t="s">
        <v>1559</v>
      </c>
      <c r="D5536" s="6" t="s">
        <v>1567</v>
      </c>
      <c r="K5536" s="7">
        <v>44009873</v>
      </c>
      <c r="L5536" s="6" t="str">
        <f t="shared" si="546"/>
        <v xml:space="preserve">GC NEON  NE-112 BAŞLIK 100'LÜK </v>
      </c>
      <c r="M5536" s="12">
        <v>0.3</v>
      </c>
      <c r="N5536" s="12">
        <v>0.3</v>
      </c>
      <c r="O5536" s="8">
        <v>3972</v>
      </c>
      <c r="P5536" s="8">
        <f t="shared" si="539"/>
        <v>2780.3999999999996</v>
      </c>
      <c r="Q5536" s="12">
        <f t="shared" si="544"/>
        <v>5838.8399999999992</v>
      </c>
      <c r="R5536" s="31">
        <f t="shared" si="541"/>
        <v>5800</v>
      </c>
      <c r="U5536" s="8">
        <v>1735</v>
      </c>
      <c r="W5536" s="8">
        <f t="shared" si="547"/>
        <v>6950.9999999999991</v>
      </c>
    </row>
    <row r="5537" spans="1:23" ht="21.95" customHeight="1" x14ac:dyDescent="0.2">
      <c r="A5537" s="6" t="s">
        <v>1151</v>
      </c>
      <c r="B5537" s="6" t="s">
        <v>1586</v>
      </c>
      <c r="C5537" s="6" t="s">
        <v>1559</v>
      </c>
      <c r="D5537" s="6" t="s">
        <v>1568</v>
      </c>
      <c r="K5537" s="7">
        <v>44009874</v>
      </c>
      <c r="L5537" s="6" t="str">
        <f t="shared" si="546"/>
        <v>GC NEON  SFT-131 STANDART AYAKLI SOFİA BAZA 120*200</v>
      </c>
      <c r="M5537" s="12">
        <v>0.3</v>
      </c>
      <c r="N5537" s="12">
        <v>0.3</v>
      </c>
      <c r="O5537" s="8">
        <v>9811</v>
      </c>
      <c r="P5537" s="8">
        <f t="shared" ref="P5537:P5542" si="548">O5537*(1-N5537)</f>
        <v>6867.7</v>
      </c>
      <c r="Q5537" s="12">
        <f t="shared" ref="Q5537:Q5542" si="549">O5537*(1-N5537)*2.1</f>
        <v>14422.17</v>
      </c>
      <c r="R5537" s="31">
        <f t="shared" ref="R5537:R5542" si="550">ROUNDDOWN(Q5537,-2)</f>
        <v>14400</v>
      </c>
      <c r="U5537" s="8">
        <v>2250</v>
      </c>
      <c r="W5537" s="8">
        <f t="shared" si="547"/>
        <v>17169.25</v>
      </c>
    </row>
    <row r="5538" spans="1:23" ht="21.95" customHeight="1" x14ac:dyDescent="0.2">
      <c r="A5538" s="6" t="s">
        <v>1151</v>
      </c>
      <c r="B5538" s="6" t="s">
        <v>1586</v>
      </c>
      <c r="C5538" s="6" t="s">
        <v>1559</v>
      </c>
      <c r="D5538" s="6" t="s">
        <v>1569</v>
      </c>
      <c r="K5538" s="7">
        <v>44009875</v>
      </c>
      <c r="L5538" s="6" t="str">
        <f t="shared" si="546"/>
        <v xml:space="preserve">GC NEON  NE-123 BAŞLIK 120'LİK </v>
      </c>
      <c r="M5538" s="12">
        <v>0.3</v>
      </c>
      <c r="N5538" s="12">
        <v>0.3</v>
      </c>
      <c r="O5538" s="8">
        <v>4965</v>
      </c>
      <c r="P5538" s="8">
        <f t="shared" si="548"/>
        <v>3475.5</v>
      </c>
      <c r="Q5538" s="12">
        <f t="shared" si="549"/>
        <v>7298.55</v>
      </c>
      <c r="R5538" s="31">
        <f t="shared" si="550"/>
        <v>7200</v>
      </c>
      <c r="U5538" s="8">
        <v>3570</v>
      </c>
      <c r="W5538" s="8">
        <f t="shared" si="547"/>
        <v>8688.75</v>
      </c>
    </row>
    <row r="5539" spans="1:23" ht="21.95" customHeight="1" x14ac:dyDescent="0.2">
      <c r="A5539" s="6" t="s">
        <v>1151</v>
      </c>
      <c r="B5539" s="6" t="s">
        <v>1586</v>
      </c>
      <c r="C5539" s="6" t="s">
        <v>1559</v>
      </c>
      <c r="D5539" s="6" t="s">
        <v>1570</v>
      </c>
      <c r="K5539" s="7">
        <v>44009876</v>
      </c>
      <c r="L5539" s="6" t="str">
        <f t="shared" si="546"/>
        <v xml:space="preserve">GC NEON  SFT-107 STANDART ALT KARYOLA SOFİA 90*190 </v>
      </c>
      <c r="M5539" s="12">
        <v>0.3</v>
      </c>
      <c r="N5539" s="12">
        <v>0.3</v>
      </c>
      <c r="O5539" s="8">
        <v>4026</v>
      </c>
      <c r="P5539" s="8">
        <f t="shared" si="548"/>
        <v>2818.2</v>
      </c>
      <c r="Q5539" s="12">
        <f t="shared" si="549"/>
        <v>5918.22</v>
      </c>
      <c r="R5539" s="31">
        <f t="shared" si="550"/>
        <v>5900</v>
      </c>
      <c r="U5539" s="8">
        <v>2715</v>
      </c>
      <c r="W5539" s="8">
        <f t="shared" si="547"/>
        <v>7045.5</v>
      </c>
    </row>
    <row r="5540" spans="1:23" ht="21.95" customHeight="1" x14ac:dyDescent="0.2">
      <c r="A5540" s="6" t="s">
        <v>1151</v>
      </c>
      <c r="B5540" s="6" t="s">
        <v>1586</v>
      </c>
      <c r="C5540" s="6" t="s">
        <v>1559</v>
      </c>
      <c r="D5540" s="6" t="s">
        <v>1571</v>
      </c>
      <c r="K5540" s="7">
        <v>44009877</v>
      </c>
      <c r="L5540" s="6" t="str">
        <f t="shared" si="546"/>
        <v>GC NEON  NE-115 KARYOLA 120*200</v>
      </c>
      <c r="M5540" s="12">
        <v>0.3</v>
      </c>
      <c r="N5540" s="12">
        <v>0.3</v>
      </c>
      <c r="O5540" s="8">
        <v>9859</v>
      </c>
      <c r="P5540" s="8">
        <f t="shared" si="548"/>
        <v>6901.2999999999993</v>
      </c>
      <c r="Q5540" s="12">
        <f t="shared" si="549"/>
        <v>14492.73</v>
      </c>
      <c r="R5540" s="31">
        <f t="shared" si="550"/>
        <v>14400</v>
      </c>
      <c r="U5540" s="8">
        <v>3700</v>
      </c>
      <c r="W5540" s="8">
        <f t="shared" si="547"/>
        <v>17253.25</v>
      </c>
    </row>
    <row r="5541" spans="1:23" ht="21.95" customHeight="1" x14ac:dyDescent="0.2">
      <c r="A5541" s="6" t="s">
        <v>1151</v>
      </c>
      <c r="B5541" s="6" t="s">
        <v>1586</v>
      </c>
      <c r="C5541" s="6" t="s">
        <v>1559</v>
      </c>
      <c r="D5541" s="6" t="s">
        <v>1572</v>
      </c>
      <c r="K5541" s="7">
        <v>44009878</v>
      </c>
      <c r="L5541" s="6" t="str">
        <f t="shared" si="546"/>
        <v xml:space="preserve">GC NEON  NE-109 KOMODİN </v>
      </c>
      <c r="M5541" s="12">
        <v>0.3</v>
      </c>
      <c r="N5541" s="12">
        <v>0.3</v>
      </c>
      <c r="O5541" s="8">
        <v>3146</v>
      </c>
      <c r="P5541" s="8">
        <f t="shared" si="548"/>
        <v>2202.1999999999998</v>
      </c>
      <c r="Q5541" s="12">
        <f t="shared" si="549"/>
        <v>4624.62</v>
      </c>
      <c r="R5541" s="31">
        <f t="shared" si="550"/>
        <v>4600</v>
      </c>
      <c r="U5541" s="8">
        <v>3000</v>
      </c>
      <c r="W5541" s="8">
        <f t="shared" si="547"/>
        <v>5505.5</v>
      </c>
    </row>
    <row r="5542" spans="1:23" ht="21.95" customHeight="1" x14ac:dyDescent="0.2">
      <c r="A5542" s="6" t="s">
        <v>1151</v>
      </c>
      <c r="B5542" s="6" t="s">
        <v>1586</v>
      </c>
      <c r="C5542" s="6" t="s">
        <v>1559</v>
      </c>
      <c r="D5542" s="6" t="s">
        <v>1573</v>
      </c>
      <c r="K5542" s="7">
        <v>44009879</v>
      </c>
      <c r="L5542" s="6" t="str">
        <f t="shared" ref="L5542:L5605" si="551">B5542&amp;" "&amp;C5542&amp;" "&amp;D5542</f>
        <v xml:space="preserve">GC NEON  NE-110 KİTAPLIK </v>
      </c>
      <c r="M5542" s="12">
        <v>0.3</v>
      </c>
      <c r="N5542" s="12">
        <v>0.3</v>
      </c>
      <c r="O5542" s="8">
        <v>4481</v>
      </c>
      <c r="P5542" s="8">
        <f t="shared" si="548"/>
        <v>3136.7</v>
      </c>
      <c r="Q5542" s="12">
        <f t="shared" si="549"/>
        <v>6587.07</v>
      </c>
      <c r="R5542" s="31">
        <f t="shared" si="550"/>
        <v>6500</v>
      </c>
      <c r="U5542" s="8">
        <v>4000</v>
      </c>
      <c r="W5542" s="8">
        <f t="shared" si="547"/>
        <v>7841.75</v>
      </c>
    </row>
    <row r="5543" spans="1:23" ht="21.95" customHeight="1" x14ac:dyDescent="0.2">
      <c r="B5543" s="6" t="s">
        <v>1586</v>
      </c>
      <c r="C5543" s="6" t="s">
        <v>2011</v>
      </c>
      <c r="D5543" s="6" t="s">
        <v>1452</v>
      </c>
      <c r="K5543" s="7">
        <v>44009880</v>
      </c>
      <c r="L5543" s="6" t="str">
        <f t="shared" si="551"/>
        <v xml:space="preserve">GC STROM  4 KAPILI DOLAP </v>
      </c>
      <c r="M5543" s="12">
        <v>0.3</v>
      </c>
      <c r="N5543" s="12">
        <v>0.3</v>
      </c>
      <c r="U5543" s="8">
        <v>4465</v>
      </c>
      <c r="W5543" s="8">
        <f t="shared" si="547"/>
        <v>0</v>
      </c>
    </row>
    <row r="5544" spans="1:23" ht="21.95" customHeight="1" x14ac:dyDescent="0.2">
      <c r="B5544" s="6" t="s">
        <v>1586</v>
      </c>
      <c r="C5544" s="6" t="s">
        <v>2011</v>
      </c>
      <c r="D5544" s="6" t="s">
        <v>1453</v>
      </c>
      <c r="K5544" s="7">
        <v>44009881</v>
      </c>
      <c r="L5544" s="6" t="str">
        <f t="shared" si="551"/>
        <v xml:space="preserve">GC STROM  3 KAPILI DOLAP </v>
      </c>
      <c r="M5544" s="12">
        <v>0.3</v>
      </c>
      <c r="N5544" s="12">
        <v>0.3</v>
      </c>
      <c r="U5544" s="8">
        <v>3115</v>
      </c>
      <c r="W5544" s="8">
        <f t="shared" si="547"/>
        <v>0</v>
      </c>
    </row>
    <row r="5545" spans="1:23" ht="21.6" customHeight="1" x14ac:dyDescent="0.2">
      <c r="B5545" s="6" t="s">
        <v>1586</v>
      </c>
      <c r="C5545" s="6" t="s">
        <v>2011</v>
      </c>
      <c r="D5545" s="6" t="s">
        <v>1196</v>
      </c>
      <c r="K5545" s="7">
        <v>44009882</v>
      </c>
      <c r="L5545" s="6" t="str">
        <f t="shared" si="551"/>
        <v xml:space="preserve">GC STROM  ÇALIŞMA MASASI </v>
      </c>
      <c r="M5545" s="12">
        <v>0.3</v>
      </c>
      <c r="N5545" s="12">
        <v>0.3</v>
      </c>
      <c r="U5545" s="8">
        <v>3600</v>
      </c>
      <c r="W5545" s="8">
        <f t="shared" si="547"/>
        <v>0</v>
      </c>
    </row>
    <row r="5546" spans="1:23" ht="21.95" customHeight="1" x14ac:dyDescent="0.2">
      <c r="B5546" s="6" t="s">
        <v>1586</v>
      </c>
      <c r="C5546" s="6" t="s">
        <v>2011</v>
      </c>
      <c r="D5546" s="6" t="s">
        <v>2012</v>
      </c>
      <c r="K5546" s="7">
        <v>44009883</v>
      </c>
      <c r="L5546" s="6" t="str">
        <f t="shared" si="551"/>
        <v xml:space="preserve">GC STROM  MASASI ÜNİTESİ </v>
      </c>
      <c r="M5546" s="12">
        <v>0.3</v>
      </c>
      <c r="N5546" s="12">
        <v>0.3</v>
      </c>
      <c r="U5546" s="8">
        <v>2400</v>
      </c>
      <c r="W5546" s="8">
        <f t="shared" si="547"/>
        <v>0</v>
      </c>
    </row>
    <row r="5547" spans="1:23" ht="21.95" customHeight="1" x14ac:dyDescent="0.2">
      <c r="B5547" s="6" t="s">
        <v>1586</v>
      </c>
      <c r="C5547" s="6" t="s">
        <v>2011</v>
      </c>
      <c r="D5547" s="6" t="s">
        <v>1456</v>
      </c>
      <c r="K5547" s="7">
        <v>44009884</v>
      </c>
      <c r="L5547" s="6" t="str">
        <f t="shared" si="551"/>
        <v xml:space="preserve">GC STROM  ÇAMAŞIRLIK </v>
      </c>
      <c r="M5547" s="12">
        <v>0.3</v>
      </c>
      <c r="N5547" s="12">
        <v>0.3</v>
      </c>
      <c r="U5547" s="8">
        <v>2535</v>
      </c>
      <c r="W5547" s="8">
        <f t="shared" si="547"/>
        <v>0</v>
      </c>
    </row>
    <row r="5548" spans="1:23" ht="21.95" customHeight="1" x14ac:dyDescent="0.2">
      <c r="B5548" s="6" t="s">
        <v>1586</v>
      </c>
      <c r="C5548" s="6" t="s">
        <v>2011</v>
      </c>
      <c r="D5548" s="6" t="s">
        <v>1458</v>
      </c>
      <c r="K5548" s="7">
        <v>44009885</v>
      </c>
      <c r="L5548" s="6" t="str">
        <f t="shared" si="551"/>
        <v>GC STROM  KARYOLA 100*200</v>
      </c>
      <c r="M5548" s="12">
        <v>0.3</v>
      </c>
      <c r="N5548" s="12">
        <v>0.3</v>
      </c>
      <c r="U5548" s="8">
        <v>2900</v>
      </c>
      <c r="W5548" s="8">
        <f t="shared" si="547"/>
        <v>0</v>
      </c>
    </row>
    <row r="5549" spans="1:23" ht="21.95" customHeight="1" x14ac:dyDescent="0.2">
      <c r="B5549" s="6" t="s">
        <v>1586</v>
      </c>
      <c r="C5549" s="6" t="s">
        <v>2011</v>
      </c>
      <c r="D5549" s="6" t="s">
        <v>2013</v>
      </c>
      <c r="K5549" s="7">
        <v>44009886</v>
      </c>
      <c r="L5549" s="6" t="str">
        <f t="shared" si="551"/>
        <v>GC STROM  STANDART ALT KARYOLA FÜME 90*190</v>
      </c>
      <c r="M5549" s="12">
        <v>0.3</v>
      </c>
      <c r="N5549" s="12">
        <v>0.3</v>
      </c>
      <c r="U5549" s="8">
        <v>2345</v>
      </c>
      <c r="W5549" s="8">
        <f t="shared" si="547"/>
        <v>0</v>
      </c>
    </row>
    <row r="5550" spans="1:23" s="6" customFormat="1" ht="21.95" customHeight="1" x14ac:dyDescent="0.2">
      <c r="A5550" s="5"/>
      <c r="B5550" s="6" t="s">
        <v>1586</v>
      </c>
      <c r="C5550" s="6" t="s">
        <v>2011</v>
      </c>
      <c r="D5550" s="6" t="s">
        <v>2014</v>
      </c>
      <c r="E5550" s="5"/>
      <c r="F5550" s="5"/>
      <c r="G5550" s="5"/>
      <c r="H5550" s="5"/>
      <c r="I5550" s="7"/>
      <c r="J5550" s="7"/>
      <c r="K5550" s="7">
        <v>44009887</v>
      </c>
      <c r="L5550" s="6" t="str">
        <f t="shared" si="551"/>
        <v>GC STROM  STANDART AYAKLI FÜME BAZA 100*200</v>
      </c>
      <c r="M5550" s="12">
        <v>0.3</v>
      </c>
      <c r="N5550" s="12">
        <v>0.3</v>
      </c>
      <c r="O5550" s="8"/>
      <c r="P5550" s="5"/>
      <c r="Q5550" s="5"/>
      <c r="R5550" s="31"/>
      <c r="S5550" s="5"/>
      <c r="T5550" s="12"/>
      <c r="U5550" s="12">
        <v>15800</v>
      </c>
      <c r="V5550" s="12"/>
      <c r="W5550" s="12"/>
    </row>
    <row r="5551" spans="1:23" ht="21.95" customHeight="1" x14ac:dyDescent="0.2">
      <c r="B5551" s="6" t="s">
        <v>1586</v>
      </c>
      <c r="C5551" s="6" t="s">
        <v>2011</v>
      </c>
      <c r="D5551" s="6" t="s">
        <v>2015</v>
      </c>
      <c r="K5551" s="7">
        <v>44009888</v>
      </c>
      <c r="L5551" s="6" t="str">
        <f t="shared" si="551"/>
        <v>GC STROM  BAŞLIK 100 LÜK</v>
      </c>
      <c r="M5551" s="12">
        <v>0.3</v>
      </c>
      <c r="N5551" s="12">
        <v>0.3</v>
      </c>
      <c r="U5551" s="8">
        <v>1535</v>
      </c>
      <c r="W5551" s="8">
        <f t="shared" si="547"/>
        <v>0</v>
      </c>
    </row>
    <row r="5552" spans="1:23" ht="21.95" customHeight="1" x14ac:dyDescent="0.2">
      <c r="B5552" s="6" t="s">
        <v>1586</v>
      </c>
      <c r="C5552" s="6" t="s">
        <v>2011</v>
      </c>
      <c r="D5552" s="6" t="s">
        <v>2016</v>
      </c>
      <c r="K5552" s="7">
        <v>44009889</v>
      </c>
      <c r="L5552" s="6" t="str">
        <f t="shared" si="551"/>
        <v>GC STROM  STANDART AYAKLI FÜME BAZA 120*200</v>
      </c>
      <c r="M5552" s="12">
        <v>0.3</v>
      </c>
      <c r="N5552" s="12">
        <v>0.3</v>
      </c>
      <c r="U5552" s="8">
        <v>1920</v>
      </c>
      <c r="W5552" s="8">
        <f t="shared" si="547"/>
        <v>0</v>
      </c>
    </row>
    <row r="5553" spans="1:23" ht="21.95" customHeight="1" x14ac:dyDescent="0.2">
      <c r="B5553" s="6" t="s">
        <v>1586</v>
      </c>
      <c r="C5553" s="6" t="s">
        <v>2011</v>
      </c>
      <c r="D5553" s="6" t="s">
        <v>2017</v>
      </c>
      <c r="K5553" s="7">
        <v>44009890</v>
      </c>
      <c r="L5553" s="6" t="str">
        <f t="shared" si="551"/>
        <v xml:space="preserve">GC STROM  BEYAZ METAL RANZA 100*200 (ALT KARYOLA DAHİLDİR) </v>
      </c>
      <c r="M5553" s="12">
        <v>0.3</v>
      </c>
      <c r="N5553" s="12">
        <v>0.3</v>
      </c>
      <c r="U5553" s="8">
        <v>1965</v>
      </c>
      <c r="W5553" s="8">
        <f t="shared" si="547"/>
        <v>0</v>
      </c>
    </row>
    <row r="5554" spans="1:23" ht="21.95" customHeight="1" x14ac:dyDescent="0.2">
      <c r="B5554" s="6" t="s">
        <v>1586</v>
      </c>
      <c r="C5554" s="6" t="s">
        <v>2011</v>
      </c>
      <c r="D5554" s="6" t="s">
        <v>2018</v>
      </c>
      <c r="K5554" s="7">
        <v>44009891</v>
      </c>
      <c r="L5554" s="6" t="str">
        <f t="shared" si="551"/>
        <v>GC STROM  SİYAH METAL RANZA 100*200 (ALT KARYOLA DAHİLDİR)</v>
      </c>
      <c r="M5554" s="12">
        <v>0.3</v>
      </c>
      <c r="N5554" s="12">
        <v>0.3</v>
      </c>
      <c r="U5554" s="8">
        <v>2504</v>
      </c>
      <c r="W5554" s="8">
        <f t="shared" si="547"/>
        <v>0</v>
      </c>
    </row>
    <row r="5555" spans="1:23" ht="21.95" customHeight="1" x14ac:dyDescent="0.2">
      <c r="B5555" s="6" t="s">
        <v>1586</v>
      </c>
      <c r="C5555" s="6" t="s">
        <v>2011</v>
      </c>
      <c r="D5555" s="6" t="s">
        <v>2019</v>
      </c>
      <c r="K5555" s="7">
        <v>44009892</v>
      </c>
      <c r="L5555" s="6" t="str">
        <f t="shared" si="551"/>
        <v>GC STROM  BAŞLIK 120 LİK</v>
      </c>
      <c r="M5555" s="12">
        <v>0.3</v>
      </c>
      <c r="N5555" s="12">
        <v>0.3</v>
      </c>
      <c r="U5555" s="8">
        <v>1560</v>
      </c>
      <c r="W5555" s="8">
        <f t="shared" si="547"/>
        <v>0</v>
      </c>
    </row>
    <row r="5556" spans="1:23" ht="21.95" customHeight="1" x14ac:dyDescent="0.2">
      <c r="B5556" s="6" t="s">
        <v>1586</v>
      </c>
      <c r="C5556" s="6" t="s">
        <v>2011</v>
      </c>
      <c r="D5556" s="6" t="s">
        <v>1465</v>
      </c>
      <c r="K5556" s="7">
        <v>44009893</v>
      </c>
      <c r="L5556" s="6" t="str">
        <f t="shared" si="551"/>
        <v>GC STROM  KARYOLA 120*200</v>
      </c>
      <c r="M5556" s="12">
        <v>0.3</v>
      </c>
      <c r="N5556" s="12">
        <v>0.3</v>
      </c>
      <c r="U5556" s="8">
        <v>2005</v>
      </c>
      <c r="W5556" s="8">
        <f t="shared" si="547"/>
        <v>0</v>
      </c>
    </row>
    <row r="5557" spans="1:23" ht="21.95" customHeight="1" x14ac:dyDescent="0.2">
      <c r="B5557" s="6" t="s">
        <v>1586</v>
      </c>
      <c r="C5557" s="6" t="s">
        <v>2011</v>
      </c>
      <c r="D5557" s="6" t="s">
        <v>362</v>
      </c>
      <c r="K5557" s="7">
        <v>44009894</v>
      </c>
      <c r="L5557" s="6" t="str">
        <f t="shared" si="551"/>
        <v>GC STROM  KOMODİN</v>
      </c>
      <c r="M5557" s="12">
        <v>0.3</v>
      </c>
      <c r="N5557" s="12">
        <v>0.3</v>
      </c>
      <c r="U5557" s="8">
        <v>1440</v>
      </c>
      <c r="W5557" s="8">
        <f t="shared" si="547"/>
        <v>0</v>
      </c>
    </row>
    <row r="5558" spans="1:23" ht="21.95" customHeight="1" x14ac:dyDescent="0.2">
      <c r="B5558" s="6" t="s">
        <v>1586</v>
      </c>
      <c r="C5558" s="6" t="s">
        <v>2011</v>
      </c>
      <c r="D5558" s="6" t="s">
        <v>530</v>
      </c>
      <c r="K5558" s="7">
        <v>44009895</v>
      </c>
      <c r="L5558" s="6" t="str">
        <f t="shared" si="551"/>
        <v xml:space="preserve">GC STROM  KİTAPLIK </v>
      </c>
      <c r="M5558" s="12">
        <v>0.3</v>
      </c>
      <c r="N5558" s="12">
        <v>0.3</v>
      </c>
      <c r="U5558" s="8">
        <v>1840</v>
      </c>
      <c r="W5558" s="8">
        <f t="shared" si="547"/>
        <v>0</v>
      </c>
    </row>
    <row r="5559" spans="1:23" ht="21.95" customHeight="1" x14ac:dyDescent="0.2">
      <c r="A5559" s="6" t="s">
        <v>1151</v>
      </c>
      <c r="B5559" s="5" t="s">
        <v>1805</v>
      </c>
      <c r="C5559" s="5" t="s">
        <v>1598</v>
      </c>
      <c r="D5559" s="5" t="s">
        <v>1453</v>
      </c>
      <c r="K5559" s="7">
        <v>44009924</v>
      </c>
      <c r="L5559" s="6" t="str">
        <f t="shared" si="551"/>
        <v xml:space="preserve">PLK TREND  3 KAPILI DOLAP </v>
      </c>
      <c r="M5559" s="12">
        <v>0.4</v>
      </c>
      <c r="N5559" s="8">
        <v>0.3</v>
      </c>
      <c r="O5559" s="8">
        <v>20000</v>
      </c>
      <c r="P5559" s="8">
        <f t="shared" ref="P5559:P5622" si="552">O5559*(1-N5559)</f>
        <v>14000</v>
      </c>
      <c r="Q5559" s="12">
        <f t="shared" ref="Q5559:Q5622" si="553">O5559*(1-N5559)*2.1</f>
        <v>29400</v>
      </c>
      <c r="R5559" s="31">
        <f t="shared" ref="R5559:R5622" si="554">ROUNDDOWN(Q5559,-2)</f>
        <v>29400</v>
      </c>
      <c r="U5559" s="8">
        <v>2640</v>
      </c>
      <c r="W5559" s="8">
        <f t="shared" ref="W5559:W5568" si="555">P5559*2.5</f>
        <v>35000</v>
      </c>
    </row>
    <row r="5560" spans="1:23" ht="21.95" customHeight="1" x14ac:dyDescent="0.2">
      <c r="A5560" s="6" t="s">
        <v>1151</v>
      </c>
      <c r="B5560" s="5" t="s">
        <v>1805</v>
      </c>
      <c r="C5560" s="5" t="s">
        <v>1598</v>
      </c>
      <c r="D5560" s="5" t="s">
        <v>1599</v>
      </c>
      <c r="K5560" s="7">
        <v>44009925</v>
      </c>
      <c r="L5560" s="6" t="str">
        <f t="shared" si="551"/>
        <v>PLK TREND  BAŞLIKLI KARYOLA 100*200</v>
      </c>
      <c r="M5560" s="12">
        <v>0.4</v>
      </c>
      <c r="N5560" s="8">
        <v>0.3</v>
      </c>
      <c r="O5560" s="8">
        <v>12000</v>
      </c>
      <c r="P5560" s="8">
        <f t="shared" si="552"/>
        <v>8400</v>
      </c>
      <c r="Q5560" s="12">
        <f t="shared" si="553"/>
        <v>17640</v>
      </c>
      <c r="R5560" s="31">
        <f t="shared" si="554"/>
        <v>17600</v>
      </c>
      <c r="U5560" s="8">
        <v>3170</v>
      </c>
      <c r="W5560" s="8">
        <f t="shared" si="555"/>
        <v>21000</v>
      </c>
    </row>
    <row r="5561" spans="1:23" ht="21.95" customHeight="1" x14ac:dyDescent="0.2">
      <c r="A5561" s="6" t="s">
        <v>1151</v>
      </c>
      <c r="B5561" s="5" t="s">
        <v>1805</v>
      </c>
      <c r="C5561" s="5" t="s">
        <v>1598</v>
      </c>
      <c r="D5561" s="5" t="s">
        <v>1600</v>
      </c>
      <c r="K5561" s="7">
        <v>44009926</v>
      </c>
      <c r="L5561" s="6" t="str">
        <f t="shared" si="551"/>
        <v>PLK TREND  ÇALIŞMA MASASI (ÜST MODÜL DAHİL)</v>
      </c>
      <c r="M5561" s="12">
        <v>0.4</v>
      </c>
      <c r="N5561" s="8">
        <v>0.3</v>
      </c>
      <c r="O5561" s="8">
        <v>12000</v>
      </c>
      <c r="P5561" s="8">
        <f t="shared" si="552"/>
        <v>8400</v>
      </c>
      <c r="Q5561" s="12">
        <f t="shared" si="553"/>
        <v>17640</v>
      </c>
      <c r="R5561" s="31">
        <f t="shared" si="554"/>
        <v>17600</v>
      </c>
      <c r="U5561" s="8">
        <v>1300</v>
      </c>
      <c r="W5561" s="8">
        <f t="shared" si="555"/>
        <v>21000</v>
      </c>
    </row>
    <row r="5562" spans="1:23" ht="21.95" customHeight="1" x14ac:dyDescent="0.2">
      <c r="A5562" s="6" t="s">
        <v>1151</v>
      </c>
      <c r="B5562" s="5" t="s">
        <v>1805</v>
      </c>
      <c r="C5562" s="5" t="s">
        <v>1598</v>
      </c>
      <c r="D5562" s="5" t="s">
        <v>1452</v>
      </c>
      <c r="K5562" s="7">
        <v>44009927</v>
      </c>
      <c r="L5562" s="6" t="str">
        <f t="shared" si="551"/>
        <v xml:space="preserve">PLK TREND  4 KAPILI DOLAP </v>
      </c>
      <c r="M5562" s="12">
        <v>0.4</v>
      </c>
      <c r="N5562" s="8">
        <v>0.3</v>
      </c>
      <c r="O5562" s="8">
        <v>26000</v>
      </c>
      <c r="P5562" s="8">
        <f t="shared" si="552"/>
        <v>18200</v>
      </c>
      <c r="Q5562" s="12">
        <f t="shared" si="553"/>
        <v>38220</v>
      </c>
      <c r="R5562" s="31">
        <f t="shared" si="554"/>
        <v>38200</v>
      </c>
      <c r="U5562" s="8">
        <v>1655</v>
      </c>
      <c r="W5562" s="8">
        <f t="shared" si="555"/>
        <v>45500</v>
      </c>
    </row>
    <row r="5563" spans="1:23" ht="21.95" customHeight="1" x14ac:dyDescent="0.2">
      <c r="A5563" s="6" t="s">
        <v>1151</v>
      </c>
      <c r="B5563" s="5" t="s">
        <v>1805</v>
      </c>
      <c r="C5563" s="5" t="s">
        <v>1598</v>
      </c>
      <c r="D5563" s="5" t="s">
        <v>1601</v>
      </c>
      <c r="K5563" s="7">
        <v>44009928</v>
      </c>
      <c r="L5563" s="6" t="str">
        <f t="shared" si="551"/>
        <v>PLK TREND  BAŞLIKLI KARYOLA 120*200</v>
      </c>
      <c r="M5563" s="12">
        <v>0.4</v>
      </c>
      <c r="N5563" s="8">
        <v>0.3</v>
      </c>
      <c r="O5563" s="8">
        <v>14000</v>
      </c>
      <c r="P5563" s="8">
        <f t="shared" si="552"/>
        <v>9800</v>
      </c>
      <c r="Q5563" s="12">
        <f t="shared" si="553"/>
        <v>20580</v>
      </c>
      <c r="R5563" s="31">
        <f t="shared" si="554"/>
        <v>20500</v>
      </c>
      <c r="U5563" s="8">
        <v>1870</v>
      </c>
      <c r="W5563" s="8">
        <f t="shared" si="555"/>
        <v>24500</v>
      </c>
    </row>
    <row r="5564" spans="1:23" ht="21.95" customHeight="1" x14ac:dyDescent="0.2">
      <c r="A5564" s="6" t="s">
        <v>1151</v>
      </c>
      <c r="B5564" s="5" t="s">
        <v>1805</v>
      </c>
      <c r="C5564" s="5" t="s">
        <v>1598</v>
      </c>
      <c r="D5564" s="5" t="s">
        <v>1602</v>
      </c>
      <c r="K5564" s="7">
        <v>44009929</v>
      </c>
      <c r="L5564" s="6" t="str">
        <f t="shared" si="551"/>
        <v xml:space="preserve">PLK TREND  BAZA 100'LÜK </v>
      </c>
      <c r="M5564" s="12">
        <v>0.4</v>
      </c>
      <c r="N5564" s="8">
        <v>0.3</v>
      </c>
      <c r="O5564" s="8">
        <v>9000</v>
      </c>
      <c r="P5564" s="8">
        <f t="shared" si="552"/>
        <v>6300</v>
      </c>
      <c r="Q5564" s="12">
        <f t="shared" si="553"/>
        <v>13230</v>
      </c>
      <c r="R5564" s="31">
        <f t="shared" si="554"/>
        <v>13200</v>
      </c>
      <c r="U5564" s="8">
        <v>1350</v>
      </c>
      <c r="W5564" s="8">
        <f t="shared" si="555"/>
        <v>15750</v>
      </c>
    </row>
    <row r="5565" spans="1:23" ht="21.95" customHeight="1" x14ac:dyDescent="0.2">
      <c r="A5565" s="6" t="s">
        <v>1151</v>
      </c>
      <c r="B5565" s="5" t="s">
        <v>1805</v>
      </c>
      <c r="C5565" s="5" t="s">
        <v>1598</v>
      </c>
      <c r="D5565" s="5" t="s">
        <v>1603</v>
      </c>
      <c r="K5565" s="7">
        <v>44009930</v>
      </c>
      <c r="L5565" s="6" t="str">
        <f t="shared" si="551"/>
        <v xml:space="preserve">PLK TREND  BAZA 120'LİK </v>
      </c>
      <c r="M5565" s="12">
        <v>0.4</v>
      </c>
      <c r="N5565" s="8">
        <v>0.3</v>
      </c>
      <c r="O5565" s="8">
        <v>10000</v>
      </c>
      <c r="P5565" s="8">
        <f t="shared" si="552"/>
        <v>7000</v>
      </c>
      <c r="Q5565" s="12">
        <f t="shared" si="553"/>
        <v>14700</v>
      </c>
      <c r="R5565" s="31">
        <f t="shared" si="554"/>
        <v>14700</v>
      </c>
      <c r="U5565" s="8">
        <v>1900</v>
      </c>
      <c r="W5565" s="8">
        <f t="shared" si="555"/>
        <v>17500</v>
      </c>
    </row>
    <row r="5566" spans="1:23" ht="21.95" customHeight="1" x14ac:dyDescent="0.2">
      <c r="A5566" s="6" t="s">
        <v>1151</v>
      </c>
      <c r="B5566" s="5" t="s">
        <v>1805</v>
      </c>
      <c r="C5566" s="5" t="s">
        <v>1598</v>
      </c>
      <c r="D5566" s="5" t="s">
        <v>1604</v>
      </c>
      <c r="K5566" s="7">
        <v>44009931</v>
      </c>
      <c r="L5566" s="6" t="str">
        <f t="shared" si="551"/>
        <v xml:space="preserve">PLK TREND  BAZA BAŞLIĞI 100'LÜK </v>
      </c>
      <c r="M5566" s="12">
        <v>0.4</v>
      </c>
      <c r="N5566" s="8">
        <v>0.3</v>
      </c>
      <c r="O5566" s="8">
        <v>7500</v>
      </c>
      <c r="P5566" s="8">
        <f t="shared" si="552"/>
        <v>5250</v>
      </c>
      <c r="Q5566" s="12">
        <f t="shared" si="553"/>
        <v>11025</v>
      </c>
      <c r="R5566" s="31">
        <f t="shared" si="554"/>
        <v>11000</v>
      </c>
      <c r="U5566" s="8">
        <v>1350</v>
      </c>
      <c r="W5566" s="8">
        <f t="shared" si="555"/>
        <v>13125</v>
      </c>
    </row>
    <row r="5567" spans="1:23" ht="21.95" customHeight="1" x14ac:dyDescent="0.2">
      <c r="A5567" s="6" t="s">
        <v>1151</v>
      </c>
      <c r="B5567" s="5" t="s">
        <v>1805</v>
      </c>
      <c r="C5567" s="5" t="s">
        <v>1598</v>
      </c>
      <c r="D5567" s="5" t="s">
        <v>1605</v>
      </c>
      <c r="K5567" s="7">
        <v>44009932</v>
      </c>
      <c r="L5567" s="6" t="str">
        <f t="shared" si="551"/>
        <v xml:space="preserve">PLK TREND  BAZA BAŞLIĞI 120'LİK </v>
      </c>
      <c r="M5567" s="12">
        <v>0.4</v>
      </c>
      <c r="N5567" s="8">
        <v>0.3</v>
      </c>
      <c r="O5567" s="8">
        <v>8500</v>
      </c>
      <c r="P5567" s="8">
        <f t="shared" si="552"/>
        <v>5950</v>
      </c>
      <c r="Q5567" s="12">
        <f t="shared" si="553"/>
        <v>12495</v>
      </c>
      <c r="R5567" s="31">
        <f t="shared" si="554"/>
        <v>12400</v>
      </c>
      <c r="U5567" s="8">
        <v>1900</v>
      </c>
      <c r="W5567" s="8">
        <f t="shared" si="555"/>
        <v>14875</v>
      </c>
    </row>
    <row r="5568" spans="1:23" ht="21.95" customHeight="1" x14ac:dyDescent="0.2">
      <c r="A5568" s="6" t="s">
        <v>1151</v>
      </c>
      <c r="B5568" s="5" t="s">
        <v>1805</v>
      </c>
      <c r="C5568" s="5" t="s">
        <v>1598</v>
      </c>
      <c r="D5568" s="5" t="s">
        <v>1606</v>
      </c>
      <c r="K5568" s="7">
        <v>44009933</v>
      </c>
      <c r="L5568" s="6" t="str">
        <f t="shared" si="551"/>
        <v xml:space="preserve">PLK TREND  DAYBED KARYOLA </v>
      </c>
      <c r="M5568" s="12">
        <v>0.4</v>
      </c>
      <c r="N5568" s="8">
        <v>0.3</v>
      </c>
      <c r="O5568" s="8">
        <v>10000</v>
      </c>
      <c r="P5568" s="8">
        <f t="shared" si="552"/>
        <v>7000</v>
      </c>
      <c r="Q5568" s="12">
        <f t="shared" si="553"/>
        <v>14700</v>
      </c>
      <c r="R5568" s="31">
        <f t="shared" si="554"/>
        <v>14700</v>
      </c>
      <c r="U5568" s="8">
        <v>2565</v>
      </c>
      <c r="W5568" s="8">
        <f t="shared" si="555"/>
        <v>17500</v>
      </c>
    </row>
    <row r="5569" spans="1:23" ht="21.95" customHeight="1" x14ac:dyDescent="0.2">
      <c r="A5569" s="6" t="s">
        <v>1151</v>
      </c>
      <c r="B5569" s="5" t="s">
        <v>1805</v>
      </c>
      <c r="C5569" s="5" t="s">
        <v>1598</v>
      </c>
      <c r="D5569" s="5" t="s">
        <v>1076</v>
      </c>
      <c r="K5569" s="7">
        <v>44009934</v>
      </c>
      <c r="L5569" s="6" t="str">
        <f t="shared" si="551"/>
        <v xml:space="preserve">PLK TREND  KORKULUK </v>
      </c>
      <c r="M5569" s="12">
        <v>0.4</v>
      </c>
      <c r="N5569" s="8">
        <v>0.3</v>
      </c>
      <c r="O5569" s="8">
        <v>4000</v>
      </c>
      <c r="P5569" s="8">
        <f t="shared" si="552"/>
        <v>2800</v>
      </c>
      <c r="Q5569" s="12">
        <f t="shared" si="553"/>
        <v>5880</v>
      </c>
      <c r="R5569" s="31">
        <f t="shared" si="554"/>
        <v>5800</v>
      </c>
      <c r="U5569" s="8">
        <v>3090</v>
      </c>
      <c r="W5569" s="8">
        <f t="shared" ref="W5569:W5600" si="556">P5569*2.5</f>
        <v>7000</v>
      </c>
    </row>
    <row r="5570" spans="1:23" ht="21.95" customHeight="1" x14ac:dyDescent="0.2">
      <c r="A5570" s="6" t="s">
        <v>1151</v>
      </c>
      <c r="B5570" s="5" t="s">
        <v>1805</v>
      </c>
      <c r="C5570" s="5" t="s">
        <v>1598</v>
      </c>
      <c r="D5570" s="5" t="s">
        <v>1607</v>
      </c>
      <c r="K5570" s="7">
        <v>44009935</v>
      </c>
      <c r="L5570" s="6" t="str">
        <f t="shared" si="551"/>
        <v xml:space="preserve">PLK TREND  YAVRU ALT SANDIK </v>
      </c>
      <c r="M5570" s="12">
        <v>0.4</v>
      </c>
      <c r="N5570" s="8">
        <v>0.3</v>
      </c>
      <c r="O5570" s="8">
        <v>6000</v>
      </c>
      <c r="P5570" s="8">
        <f t="shared" si="552"/>
        <v>4200</v>
      </c>
      <c r="Q5570" s="12">
        <f t="shared" si="553"/>
        <v>8820</v>
      </c>
      <c r="R5570" s="31">
        <f t="shared" si="554"/>
        <v>8800</v>
      </c>
      <c r="U5570" s="8">
        <v>3170</v>
      </c>
      <c r="W5570" s="8">
        <f t="shared" si="556"/>
        <v>10500</v>
      </c>
    </row>
    <row r="5571" spans="1:23" ht="21.95" customHeight="1" x14ac:dyDescent="0.2">
      <c r="A5571" s="6" t="s">
        <v>1151</v>
      </c>
      <c r="B5571" s="5" t="s">
        <v>1805</v>
      </c>
      <c r="C5571" s="5" t="s">
        <v>1598</v>
      </c>
      <c r="D5571" s="5" t="s">
        <v>1608</v>
      </c>
      <c r="K5571" s="7">
        <v>44009936</v>
      </c>
      <c r="L5571" s="6" t="str">
        <f t="shared" si="551"/>
        <v xml:space="preserve">PLK TREND  RANZA </v>
      </c>
      <c r="M5571" s="12">
        <v>0.4</v>
      </c>
      <c r="N5571" s="8">
        <v>0.3</v>
      </c>
      <c r="O5571" s="8">
        <v>28000</v>
      </c>
      <c r="P5571" s="8">
        <f t="shared" si="552"/>
        <v>19600</v>
      </c>
      <c r="Q5571" s="12">
        <f t="shared" si="553"/>
        <v>41160</v>
      </c>
      <c r="R5571" s="31">
        <f t="shared" si="554"/>
        <v>41100</v>
      </c>
      <c r="U5571" s="8">
        <v>3380</v>
      </c>
      <c r="W5571" s="8">
        <f t="shared" si="556"/>
        <v>49000</v>
      </c>
    </row>
    <row r="5572" spans="1:23" ht="21.95" customHeight="1" x14ac:dyDescent="0.2">
      <c r="A5572" s="6" t="s">
        <v>1151</v>
      </c>
      <c r="B5572" s="5" t="s">
        <v>1805</v>
      </c>
      <c r="C5572" s="5" t="s">
        <v>1598</v>
      </c>
      <c r="D5572" s="5" t="s">
        <v>1609</v>
      </c>
      <c r="K5572" s="7">
        <v>44009937</v>
      </c>
      <c r="L5572" s="6" t="str">
        <f t="shared" si="551"/>
        <v>PLK TREND  ŞİFONYER (3 ÇEKMECELİ)</v>
      </c>
      <c r="M5572" s="12">
        <v>0.4</v>
      </c>
      <c r="N5572" s="8">
        <v>0.3</v>
      </c>
      <c r="O5572" s="8">
        <v>11000</v>
      </c>
      <c r="P5572" s="8">
        <f t="shared" si="552"/>
        <v>7699.9999999999991</v>
      </c>
      <c r="Q5572" s="12">
        <f t="shared" si="553"/>
        <v>16169.999999999998</v>
      </c>
      <c r="R5572" s="31">
        <f t="shared" si="554"/>
        <v>16100</v>
      </c>
      <c r="U5572" s="8">
        <v>2015</v>
      </c>
      <c r="W5572" s="8">
        <f t="shared" si="556"/>
        <v>19249.999999999996</v>
      </c>
    </row>
    <row r="5573" spans="1:23" ht="21.95" customHeight="1" x14ac:dyDescent="0.2">
      <c r="A5573" s="6" t="s">
        <v>1151</v>
      </c>
      <c r="B5573" s="5" t="s">
        <v>1805</v>
      </c>
      <c r="C5573" s="5" t="s">
        <v>1598</v>
      </c>
      <c r="D5573" s="5" t="s">
        <v>1610</v>
      </c>
      <c r="K5573" s="7">
        <v>44009938</v>
      </c>
      <c r="L5573" s="6" t="str">
        <f t="shared" si="551"/>
        <v>PLK TREND  ŞİFONYER (6 ÇEKMECELİ)</v>
      </c>
      <c r="M5573" s="12">
        <v>0.4</v>
      </c>
      <c r="N5573" s="8">
        <v>0.3</v>
      </c>
      <c r="O5573" s="8">
        <v>22000</v>
      </c>
      <c r="P5573" s="8">
        <f t="shared" si="552"/>
        <v>15399.999999999998</v>
      </c>
      <c r="Q5573" s="12">
        <f t="shared" si="553"/>
        <v>32339.999999999996</v>
      </c>
      <c r="R5573" s="31">
        <f t="shared" si="554"/>
        <v>32300</v>
      </c>
      <c r="U5573" s="8">
        <v>2565</v>
      </c>
      <c r="W5573" s="8">
        <f t="shared" si="556"/>
        <v>38499.999999999993</v>
      </c>
    </row>
    <row r="5574" spans="1:23" ht="21.95" customHeight="1" x14ac:dyDescent="0.2">
      <c r="A5574" s="6" t="s">
        <v>1151</v>
      </c>
      <c r="B5574" s="5" t="s">
        <v>1805</v>
      </c>
      <c r="C5574" s="5" t="s">
        <v>1598</v>
      </c>
      <c r="D5574" s="5" t="s">
        <v>1457</v>
      </c>
      <c r="K5574" s="7">
        <v>44009939</v>
      </c>
      <c r="L5574" s="6" t="str">
        <f t="shared" si="551"/>
        <v xml:space="preserve">PLK TREND  AYNA </v>
      </c>
      <c r="M5574" s="12">
        <v>0.4</v>
      </c>
      <c r="N5574" s="8">
        <v>0.3</v>
      </c>
      <c r="O5574" s="8">
        <v>3500</v>
      </c>
      <c r="P5574" s="8">
        <f t="shared" si="552"/>
        <v>2450</v>
      </c>
      <c r="Q5574" s="12">
        <f t="shared" si="553"/>
        <v>5145</v>
      </c>
      <c r="R5574" s="31">
        <f t="shared" si="554"/>
        <v>5100</v>
      </c>
      <c r="U5574" s="8">
        <v>2650</v>
      </c>
      <c r="W5574" s="8">
        <f t="shared" si="556"/>
        <v>6125</v>
      </c>
    </row>
    <row r="5575" spans="1:23" ht="21.95" customHeight="1" x14ac:dyDescent="0.2">
      <c r="A5575" s="6" t="s">
        <v>1151</v>
      </c>
      <c r="B5575" s="5" t="s">
        <v>1805</v>
      </c>
      <c r="C5575" s="5" t="s">
        <v>1598</v>
      </c>
      <c r="D5575" s="5" t="s">
        <v>1428</v>
      </c>
      <c r="K5575" s="7">
        <v>44009940</v>
      </c>
      <c r="L5575" s="6" t="str">
        <f t="shared" si="551"/>
        <v xml:space="preserve">PLK TREND  KOMODİN </v>
      </c>
      <c r="M5575" s="12">
        <v>0.4</v>
      </c>
      <c r="N5575" s="8">
        <v>0.3</v>
      </c>
      <c r="O5575" s="8">
        <v>4000</v>
      </c>
      <c r="P5575" s="8">
        <f t="shared" si="552"/>
        <v>2800</v>
      </c>
      <c r="Q5575" s="12">
        <f t="shared" si="553"/>
        <v>5880</v>
      </c>
      <c r="R5575" s="31">
        <f t="shared" si="554"/>
        <v>5800</v>
      </c>
      <c r="U5575" s="8">
        <v>3135</v>
      </c>
      <c r="W5575" s="8">
        <f t="shared" si="556"/>
        <v>7000</v>
      </c>
    </row>
    <row r="5576" spans="1:23" ht="21.95" customHeight="1" x14ac:dyDescent="0.2">
      <c r="A5576" s="6" t="s">
        <v>1151</v>
      </c>
      <c r="B5576" s="5" t="s">
        <v>1805</v>
      </c>
      <c r="C5576" s="5" t="s">
        <v>1598</v>
      </c>
      <c r="D5576" s="5" t="s">
        <v>1611</v>
      </c>
      <c r="K5576" s="7">
        <v>44009941</v>
      </c>
      <c r="L5576" s="6" t="str">
        <f t="shared" si="551"/>
        <v>PLK TREND  UYKU SETİ</v>
      </c>
      <c r="M5576" s="12">
        <v>0.4</v>
      </c>
      <c r="N5576" s="8">
        <v>0.3</v>
      </c>
      <c r="O5576" s="8">
        <v>5500</v>
      </c>
      <c r="P5576" s="8">
        <f t="shared" si="552"/>
        <v>3849.9999999999995</v>
      </c>
      <c r="Q5576" s="12">
        <f t="shared" si="553"/>
        <v>8084.9999999999991</v>
      </c>
      <c r="R5576" s="31">
        <f t="shared" si="554"/>
        <v>8000</v>
      </c>
      <c r="U5576" s="8">
        <v>2790</v>
      </c>
      <c r="W5576" s="8">
        <f t="shared" si="556"/>
        <v>9624.9999999999982</v>
      </c>
    </row>
    <row r="5577" spans="1:23" ht="21.95" customHeight="1" x14ac:dyDescent="0.2">
      <c r="A5577" s="6" t="s">
        <v>1151</v>
      </c>
      <c r="B5577" s="5" t="s">
        <v>1805</v>
      </c>
      <c r="C5577" s="5" t="s">
        <v>1598</v>
      </c>
      <c r="D5577" s="5" t="s">
        <v>358</v>
      </c>
      <c r="K5577" s="7">
        <v>44009942</v>
      </c>
      <c r="L5577" s="6" t="str">
        <f t="shared" si="551"/>
        <v xml:space="preserve">PLK TREND  SANDALYE </v>
      </c>
      <c r="M5577" s="12">
        <v>0.4</v>
      </c>
      <c r="N5577" s="8">
        <v>0.3</v>
      </c>
      <c r="O5577" s="8">
        <v>7500</v>
      </c>
      <c r="P5577" s="8">
        <f t="shared" si="552"/>
        <v>5250</v>
      </c>
      <c r="Q5577" s="12">
        <f t="shared" si="553"/>
        <v>11025</v>
      </c>
      <c r="R5577" s="31">
        <f t="shared" si="554"/>
        <v>11000</v>
      </c>
      <c r="U5577" s="8">
        <v>3605</v>
      </c>
      <c r="W5577" s="8">
        <f t="shared" si="556"/>
        <v>13125</v>
      </c>
    </row>
    <row r="5578" spans="1:23" ht="21.95" customHeight="1" x14ac:dyDescent="0.2">
      <c r="A5578" s="6" t="s">
        <v>1151</v>
      </c>
      <c r="B5578" s="5" t="s">
        <v>1805</v>
      </c>
      <c r="C5578" s="5" t="s">
        <v>1598</v>
      </c>
      <c r="D5578" s="5" t="s">
        <v>530</v>
      </c>
      <c r="K5578" s="7">
        <v>44009943</v>
      </c>
      <c r="L5578" s="6" t="str">
        <f t="shared" si="551"/>
        <v xml:space="preserve">PLK TREND  KİTAPLIK </v>
      </c>
      <c r="M5578" s="12">
        <v>0.4</v>
      </c>
      <c r="N5578" s="8">
        <v>0.3</v>
      </c>
      <c r="O5578" s="8">
        <v>7000</v>
      </c>
      <c r="P5578" s="8">
        <f t="shared" si="552"/>
        <v>4900</v>
      </c>
      <c r="Q5578" s="12">
        <f t="shared" si="553"/>
        <v>10290</v>
      </c>
      <c r="R5578" s="31">
        <f t="shared" si="554"/>
        <v>10200</v>
      </c>
      <c r="U5578" s="8">
        <v>4085</v>
      </c>
      <c r="W5578" s="8">
        <f t="shared" si="556"/>
        <v>12250</v>
      </c>
    </row>
    <row r="5579" spans="1:23" ht="21.95" customHeight="1" x14ac:dyDescent="0.2">
      <c r="A5579" s="6" t="s">
        <v>1151</v>
      </c>
      <c r="B5579" s="5" t="s">
        <v>1805</v>
      </c>
      <c r="C5579" s="5" t="s">
        <v>1598</v>
      </c>
      <c r="D5579" s="5" t="s">
        <v>1431</v>
      </c>
      <c r="K5579" s="7">
        <v>44009944</v>
      </c>
      <c r="L5579" s="6" t="str">
        <f t="shared" si="551"/>
        <v xml:space="preserve">PLK TREND  HALI </v>
      </c>
      <c r="M5579" s="12">
        <v>0.4</v>
      </c>
      <c r="N5579" s="8">
        <v>0.3</v>
      </c>
      <c r="O5579" s="8">
        <v>2500</v>
      </c>
      <c r="P5579" s="8">
        <f t="shared" si="552"/>
        <v>1750</v>
      </c>
      <c r="Q5579" s="12">
        <f t="shared" si="553"/>
        <v>3675</v>
      </c>
      <c r="R5579" s="31">
        <f t="shared" si="554"/>
        <v>3600</v>
      </c>
      <c r="U5579" s="8">
        <v>3700</v>
      </c>
      <c r="W5579" s="8">
        <f t="shared" si="556"/>
        <v>4375</v>
      </c>
    </row>
    <row r="5580" spans="1:23" ht="21.95" customHeight="1" x14ac:dyDescent="0.2">
      <c r="A5580" s="6" t="s">
        <v>1151</v>
      </c>
      <c r="B5580" s="5" t="s">
        <v>1805</v>
      </c>
      <c r="C5580" s="5" t="s">
        <v>1598</v>
      </c>
      <c r="D5580" s="5" t="s">
        <v>82</v>
      </c>
      <c r="K5580" s="7">
        <v>44009945</v>
      </c>
      <c r="L5580" s="6" t="str">
        <f t="shared" si="551"/>
        <v>PLK TREND  BOY AYNASI</v>
      </c>
      <c r="M5580" s="12">
        <v>0.4</v>
      </c>
      <c r="N5580" s="8">
        <v>0.3</v>
      </c>
      <c r="O5580" s="8">
        <v>4500</v>
      </c>
      <c r="P5580" s="8">
        <f t="shared" si="552"/>
        <v>3150</v>
      </c>
      <c r="Q5580" s="12">
        <f t="shared" si="553"/>
        <v>6615</v>
      </c>
      <c r="R5580" s="31">
        <f t="shared" si="554"/>
        <v>6600</v>
      </c>
      <c r="U5580" s="8">
        <v>4215</v>
      </c>
      <c r="W5580" s="8">
        <f t="shared" si="556"/>
        <v>7875</v>
      </c>
    </row>
    <row r="5581" spans="1:23" ht="21.95" customHeight="1" x14ac:dyDescent="0.2">
      <c r="A5581" s="6" t="s">
        <v>1151</v>
      </c>
      <c r="B5581" s="5" t="s">
        <v>1805</v>
      </c>
      <c r="C5581" s="5" t="s">
        <v>1612</v>
      </c>
      <c r="D5581" s="5" t="s">
        <v>1453</v>
      </c>
      <c r="K5581" s="7">
        <v>44009946</v>
      </c>
      <c r="L5581" s="6" t="str">
        <f t="shared" si="551"/>
        <v xml:space="preserve">PLK BOHEM  3 KAPILI DOLAP </v>
      </c>
      <c r="M5581" s="12">
        <v>0.4</v>
      </c>
      <c r="N5581" s="8">
        <v>0.3</v>
      </c>
      <c r="O5581" s="8">
        <v>21000</v>
      </c>
      <c r="P5581" s="8">
        <f t="shared" si="552"/>
        <v>14699.999999999998</v>
      </c>
      <c r="Q5581" s="12">
        <f t="shared" si="553"/>
        <v>30869.999999999996</v>
      </c>
      <c r="R5581" s="31">
        <f t="shared" si="554"/>
        <v>30800</v>
      </c>
      <c r="U5581" s="8">
        <v>4040</v>
      </c>
      <c r="W5581" s="8">
        <f t="shared" si="556"/>
        <v>36749.999999999993</v>
      </c>
    </row>
    <row r="5582" spans="1:23" ht="21.95" customHeight="1" x14ac:dyDescent="0.2">
      <c r="A5582" s="6" t="s">
        <v>1151</v>
      </c>
      <c r="B5582" s="5" t="s">
        <v>1805</v>
      </c>
      <c r="C5582" s="5" t="s">
        <v>1612</v>
      </c>
      <c r="D5582" s="5" t="s">
        <v>1599</v>
      </c>
      <c r="K5582" s="7">
        <v>44009947</v>
      </c>
      <c r="L5582" s="6" t="str">
        <f t="shared" si="551"/>
        <v>PLK BOHEM  BAŞLIKLI KARYOLA 100*200</v>
      </c>
      <c r="M5582" s="12">
        <v>0.4</v>
      </c>
      <c r="N5582" s="8">
        <v>0.3</v>
      </c>
      <c r="O5582" s="8">
        <v>12000</v>
      </c>
      <c r="P5582" s="8">
        <f t="shared" si="552"/>
        <v>8400</v>
      </c>
      <c r="Q5582" s="12">
        <f t="shared" si="553"/>
        <v>17640</v>
      </c>
      <c r="R5582" s="31">
        <f t="shared" si="554"/>
        <v>17600</v>
      </c>
      <c r="U5582" s="8">
        <v>3815</v>
      </c>
      <c r="W5582" s="8">
        <f t="shared" si="556"/>
        <v>21000</v>
      </c>
    </row>
    <row r="5583" spans="1:23" ht="21.95" customHeight="1" x14ac:dyDescent="0.2">
      <c r="A5583" s="6" t="s">
        <v>1151</v>
      </c>
      <c r="B5583" s="5" t="s">
        <v>1805</v>
      </c>
      <c r="C5583" s="5" t="s">
        <v>1612</v>
      </c>
      <c r="D5583" s="5" t="s">
        <v>1600</v>
      </c>
      <c r="K5583" s="7">
        <v>44009948</v>
      </c>
      <c r="L5583" s="6" t="str">
        <f t="shared" si="551"/>
        <v>PLK BOHEM  ÇALIŞMA MASASI (ÜST MODÜL DAHİL)</v>
      </c>
      <c r="M5583" s="12">
        <v>0.4</v>
      </c>
      <c r="N5583" s="8">
        <v>0.3</v>
      </c>
      <c r="O5583" s="8">
        <v>12000</v>
      </c>
      <c r="P5583" s="8">
        <f t="shared" si="552"/>
        <v>8400</v>
      </c>
      <c r="Q5583" s="12">
        <f t="shared" si="553"/>
        <v>17640</v>
      </c>
      <c r="R5583" s="31">
        <f t="shared" si="554"/>
        <v>17600</v>
      </c>
      <c r="U5583" s="8">
        <v>4070</v>
      </c>
      <c r="W5583" s="8">
        <f t="shared" si="556"/>
        <v>21000</v>
      </c>
    </row>
    <row r="5584" spans="1:23" ht="21.95" customHeight="1" x14ac:dyDescent="0.2">
      <c r="A5584" s="6" t="s">
        <v>1151</v>
      </c>
      <c r="B5584" s="5" t="s">
        <v>1805</v>
      </c>
      <c r="C5584" s="5" t="s">
        <v>1612</v>
      </c>
      <c r="D5584" s="5" t="s">
        <v>1452</v>
      </c>
      <c r="K5584" s="7">
        <v>44009949</v>
      </c>
      <c r="L5584" s="6" t="str">
        <f t="shared" si="551"/>
        <v xml:space="preserve">PLK BOHEM  4 KAPILI DOLAP </v>
      </c>
      <c r="M5584" s="12">
        <v>0.4</v>
      </c>
      <c r="N5584" s="8">
        <v>0.3</v>
      </c>
      <c r="O5584" s="8">
        <v>30000</v>
      </c>
      <c r="P5584" s="8">
        <f t="shared" si="552"/>
        <v>21000</v>
      </c>
      <c r="Q5584" s="12">
        <f t="shared" si="553"/>
        <v>44100</v>
      </c>
      <c r="R5584" s="31">
        <f t="shared" si="554"/>
        <v>44100</v>
      </c>
      <c r="U5584" s="8">
        <v>5790</v>
      </c>
      <c r="W5584" s="8">
        <f t="shared" si="556"/>
        <v>52500</v>
      </c>
    </row>
    <row r="5585" spans="1:23" ht="21.95" customHeight="1" x14ac:dyDescent="0.2">
      <c r="A5585" s="6" t="s">
        <v>1151</v>
      </c>
      <c r="B5585" s="5" t="s">
        <v>1805</v>
      </c>
      <c r="C5585" s="5" t="s">
        <v>1612</v>
      </c>
      <c r="D5585" s="5" t="s">
        <v>1601</v>
      </c>
      <c r="K5585" s="7">
        <v>44009950</v>
      </c>
      <c r="L5585" s="6" t="str">
        <f t="shared" si="551"/>
        <v>PLK BOHEM  BAŞLIKLI KARYOLA 120*200</v>
      </c>
      <c r="M5585" s="12">
        <v>0.4</v>
      </c>
      <c r="N5585" s="8">
        <v>0.3</v>
      </c>
      <c r="O5585" s="8">
        <v>14000</v>
      </c>
      <c r="P5585" s="8">
        <f t="shared" si="552"/>
        <v>9800</v>
      </c>
      <c r="Q5585" s="12">
        <f t="shared" si="553"/>
        <v>20580</v>
      </c>
      <c r="R5585" s="31">
        <f t="shared" si="554"/>
        <v>20500</v>
      </c>
      <c r="U5585" s="8">
        <v>7925</v>
      </c>
      <c r="W5585" s="8">
        <f t="shared" si="556"/>
        <v>24500</v>
      </c>
    </row>
    <row r="5586" spans="1:23" ht="21.95" customHeight="1" x14ac:dyDescent="0.2">
      <c r="A5586" s="6" t="s">
        <v>1151</v>
      </c>
      <c r="B5586" s="5" t="s">
        <v>1805</v>
      </c>
      <c r="C5586" s="5" t="s">
        <v>1612</v>
      </c>
      <c r="D5586" s="5" t="s">
        <v>1602</v>
      </c>
      <c r="K5586" s="7">
        <v>44009951</v>
      </c>
      <c r="L5586" s="6" t="str">
        <f t="shared" si="551"/>
        <v xml:space="preserve">PLK BOHEM  BAZA 100'LÜK </v>
      </c>
      <c r="M5586" s="12">
        <v>0.4</v>
      </c>
      <c r="N5586" s="8">
        <v>0.3</v>
      </c>
      <c r="O5586" s="8">
        <v>9000</v>
      </c>
      <c r="P5586" s="8">
        <f t="shared" si="552"/>
        <v>6300</v>
      </c>
      <c r="Q5586" s="12">
        <f t="shared" si="553"/>
        <v>13230</v>
      </c>
      <c r="R5586" s="31">
        <f t="shared" si="554"/>
        <v>13200</v>
      </c>
      <c r="U5586" s="8">
        <v>8620</v>
      </c>
      <c r="W5586" s="8">
        <f t="shared" si="556"/>
        <v>15750</v>
      </c>
    </row>
    <row r="5587" spans="1:23" ht="21.95" customHeight="1" x14ac:dyDescent="0.2">
      <c r="A5587" s="6" t="s">
        <v>1151</v>
      </c>
      <c r="B5587" s="5" t="s">
        <v>1805</v>
      </c>
      <c r="C5587" s="5" t="s">
        <v>1612</v>
      </c>
      <c r="D5587" s="5" t="s">
        <v>1603</v>
      </c>
      <c r="K5587" s="7">
        <v>44009952</v>
      </c>
      <c r="L5587" s="6" t="str">
        <f t="shared" si="551"/>
        <v xml:space="preserve">PLK BOHEM  BAZA 120'LİK </v>
      </c>
      <c r="M5587" s="12">
        <v>0.4</v>
      </c>
      <c r="N5587" s="8">
        <v>0.3</v>
      </c>
      <c r="O5587" s="8">
        <v>10000</v>
      </c>
      <c r="P5587" s="8">
        <f t="shared" si="552"/>
        <v>7000</v>
      </c>
      <c r="Q5587" s="12">
        <f t="shared" si="553"/>
        <v>14700</v>
      </c>
      <c r="R5587" s="31">
        <f t="shared" si="554"/>
        <v>14700</v>
      </c>
      <c r="U5587" s="8">
        <v>1010</v>
      </c>
      <c r="W5587" s="8">
        <f t="shared" si="556"/>
        <v>17500</v>
      </c>
    </row>
    <row r="5588" spans="1:23" ht="21.95" customHeight="1" x14ac:dyDescent="0.2">
      <c r="A5588" s="6" t="s">
        <v>1151</v>
      </c>
      <c r="B5588" s="5" t="s">
        <v>1805</v>
      </c>
      <c r="C5588" s="5" t="s">
        <v>1612</v>
      </c>
      <c r="D5588" s="5" t="s">
        <v>1604</v>
      </c>
      <c r="K5588" s="7">
        <v>44009953</v>
      </c>
      <c r="L5588" s="6" t="str">
        <f t="shared" si="551"/>
        <v xml:space="preserve">PLK BOHEM  BAZA BAŞLIĞI 100'LÜK </v>
      </c>
      <c r="M5588" s="12">
        <v>0.4</v>
      </c>
      <c r="N5588" s="8">
        <v>0.3</v>
      </c>
      <c r="O5588" s="8">
        <v>7500</v>
      </c>
      <c r="P5588" s="8">
        <f t="shared" si="552"/>
        <v>5250</v>
      </c>
      <c r="Q5588" s="12">
        <f t="shared" si="553"/>
        <v>11025</v>
      </c>
      <c r="R5588" s="31">
        <f t="shared" si="554"/>
        <v>11000</v>
      </c>
      <c r="U5588" s="8">
        <v>1240</v>
      </c>
      <c r="W5588" s="8">
        <f t="shared" si="556"/>
        <v>13125</v>
      </c>
    </row>
    <row r="5589" spans="1:23" ht="21.95" customHeight="1" x14ac:dyDescent="0.2">
      <c r="A5589" s="6" t="s">
        <v>1151</v>
      </c>
      <c r="B5589" s="5" t="s">
        <v>1805</v>
      </c>
      <c r="C5589" s="5" t="s">
        <v>1612</v>
      </c>
      <c r="D5589" s="5" t="s">
        <v>1605</v>
      </c>
      <c r="K5589" s="7">
        <v>44009954</v>
      </c>
      <c r="L5589" s="6" t="str">
        <f t="shared" si="551"/>
        <v xml:space="preserve">PLK BOHEM  BAZA BAŞLIĞI 120'LİK </v>
      </c>
      <c r="M5589" s="12">
        <v>0.4</v>
      </c>
      <c r="N5589" s="8">
        <v>0.3</v>
      </c>
      <c r="O5589" s="8">
        <v>8500</v>
      </c>
      <c r="P5589" s="8">
        <f t="shared" si="552"/>
        <v>5950</v>
      </c>
      <c r="Q5589" s="12">
        <f t="shared" si="553"/>
        <v>12495</v>
      </c>
      <c r="R5589" s="31">
        <f t="shared" si="554"/>
        <v>12400</v>
      </c>
      <c r="U5589" s="8">
        <v>1555</v>
      </c>
      <c r="W5589" s="8">
        <f t="shared" si="556"/>
        <v>14875</v>
      </c>
    </row>
    <row r="5590" spans="1:23" ht="21.95" customHeight="1" x14ac:dyDescent="0.2">
      <c r="A5590" s="6" t="s">
        <v>1151</v>
      </c>
      <c r="B5590" s="5" t="s">
        <v>1805</v>
      </c>
      <c r="C5590" s="5" t="s">
        <v>1612</v>
      </c>
      <c r="D5590" s="5" t="s">
        <v>1606</v>
      </c>
      <c r="K5590" s="7">
        <v>44009955</v>
      </c>
      <c r="L5590" s="6" t="str">
        <f t="shared" si="551"/>
        <v xml:space="preserve">PLK BOHEM  DAYBED KARYOLA </v>
      </c>
      <c r="M5590" s="12">
        <v>0.4</v>
      </c>
      <c r="N5590" s="8">
        <v>0.3</v>
      </c>
      <c r="O5590" s="8">
        <v>9000</v>
      </c>
      <c r="P5590" s="8">
        <f t="shared" si="552"/>
        <v>6300</v>
      </c>
      <c r="Q5590" s="12">
        <f t="shared" si="553"/>
        <v>13230</v>
      </c>
      <c r="R5590" s="31">
        <f t="shared" si="554"/>
        <v>13200</v>
      </c>
      <c r="U5590" s="8">
        <v>1880</v>
      </c>
      <c r="W5590" s="8">
        <f t="shared" si="556"/>
        <v>15750</v>
      </c>
    </row>
    <row r="5591" spans="1:23" ht="21.95" customHeight="1" x14ac:dyDescent="0.2">
      <c r="A5591" s="6" t="s">
        <v>1151</v>
      </c>
      <c r="B5591" s="5" t="s">
        <v>1805</v>
      </c>
      <c r="C5591" s="5" t="s">
        <v>1612</v>
      </c>
      <c r="D5591" s="5" t="s">
        <v>1076</v>
      </c>
      <c r="K5591" s="7">
        <v>44009956</v>
      </c>
      <c r="L5591" s="6" t="str">
        <f t="shared" si="551"/>
        <v xml:space="preserve">PLK BOHEM  KORKULUK </v>
      </c>
      <c r="M5591" s="12">
        <v>0.4</v>
      </c>
      <c r="N5591" s="8">
        <v>0.3</v>
      </c>
      <c r="O5591" s="8">
        <v>4000</v>
      </c>
      <c r="P5591" s="8">
        <f t="shared" si="552"/>
        <v>2800</v>
      </c>
      <c r="Q5591" s="12">
        <f t="shared" si="553"/>
        <v>5880</v>
      </c>
      <c r="R5591" s="31">
        <f t="shared" si="554"/>
        <v>5800</v>
      </c>
      <c r="U5591" s="8">
        <v>3185</v>
      </c>
      <c r="W5591" s="8">
        <f t="shared" si="556"/>
        <v>7000</v>
      </c>
    </row>
    <row r="5592" spans="1:23" ht="21.95" customHeight="1" x14ac:dyDescent="0.2">
      <c r="A5592" s="6" t="s">
        <v>1151</v>
      </c>
      <c r="B5592" s="5" t="s">
        <v>1805</v>
      </c>
      <c r="C5592" s="5" t="s">
        <v>1612</v>
      </c>
      <c r="D5592" s="5" t="s">
        <v>1607</v>
      </c>
      <c r="K5592" s="7">
        <v>44009957</v>
      </c>
      <c r="L5592" s="6" t="str">
        <f t="shared" si="551"/>
        <v xml:space="preserve">PLK BOHEM  YAVRU ALT SANDIK </v>
      </c>
      <c r="M5592" s="12">
        <v>0.4</v>
      </c>
      <c r="N5592" s="8">
        <v>0.3</v>
      </c>
      <c r="O5592" s="8">
        <v>7000</v>
      </c>
      <c r="P5592" s="8">
        <f t="shared" si="552"/>
        <v>4900</v>
      </c>
      <c r="Q5592" s="12">
        <f t="shared" si="553"/>
        <v>10290</v>
      </c>
      <c r="R5592" s="31">
        <f t="shared" si="554"/>
        <v>10200</v>
      </c>
      <c r="U5592" s="8">
        <v>4300</v>
      </c>
      <c r="W5592" s="8">
        <f t="shared" si="556"/>
        <v>12250</v>
      </c>
    </row>
    <row r="5593" spans="1:23" ht="21.95" customHeight="1" x14ac:dyDescent="0.2">
      <c r="A5593" s="6" t="s">
        <v>1151</v>
      </c>
      <c r="B5593" s="5" t="s">
        <v>1805</v>
      </c>
      <c r="C5593" s="5" t="s">
        <v>1612</v>
      </c>
      <c r="D5593" s="5" t="s">
        <v>96</v>
      </c>
      <c r="K5593" s="7">
        <v>44009958</v>
      </c>
      <c r="L5593" s="6" t="str">
        <f t="shared" si="551"/>
        <v xml:space="preserve">PLK BOHEM  ŞİFONYER </v>
      </c>
      <c r="M5593" s="12">
        <v>0.4</v>
      </c>
      <c r="N5593" s="8">
        <v>0.3</v>
      </c>
      <c r="O5593" s="8">
        <v>11000</v>
      </c>
      <c r="P5593" s="8">
        <f t="shared" si="552"/>
        <v>7699.9999999999991</v>
      </c>
      <c r="Q5593" s="12">
        <f t="shared" si="553"/>
        <v>16169.999999999998</v>
      </c>
      <c r="R5593" s="31">
        <f t="shared" si="554"/>
        <v>16100</v>
      </c>
      <c r="U5593" s="8">
        <v>4130</v>
      </c>
      <c r="W5593" s="8">
        <f t="shared" si="556"/>
        <v>19249.999999999996</v>
      </c>
    </row>
    <row r="5594" spans="1:23" ht="21.95" customHeight="1" x14ac:dyDescent="0.2">
      <c r="A5594" s="6" t="s">
        <v>1151</v>
      </c>
      <c r="B5594" s="5" t="s">
        <v>1805</v>
      </c>
      <c r="C5594" s="5" t="s">
        <v>1612</v>
      </c>
      <c r="D5594" s="5" t="s">
        <v>1457</v>
      </c>
      <c r="K5594" s="7">
        <v>44009959</v>
      </c>
      <c r="L5594" s="6" t="str">
        <f t="shared" si="551"/>
        <v xml:space="preserve">PLK BOHEM  AYNA </v>
      </c>
      <c r="M5594" s="12">
        <v>0.4</v>
      </c>
      <c r="N5594" s="8">
        <v>0.3</v>
      </c>
      <c r="O5594" s="8">
        <v>3500</v>
      </c>
      <c r="P5594" s="8">
        <f t="shared" si="552"/>
        <v>2450</v>
      </c>
      <c r="Q5594" s="12">
        <f t="shared" si="553"/>
        <v>5145</v>
      </c>
      <c r="R5594" s="31">
        <f t="shared" si="554"/>
        <v>5100</v>
      </c>
      <c r="U5594" s="8">
        <v>2475</v>
      </c>
      <c r="W5594" s="8">
        <f t="shared" si="556"/>
        <v>6125</v>
      </c>
    </row>
    <row r="5595" spans="1:23" ht="21.95" customHeight="1" x14ac:dyDescent="0.2">
      <c r="A5595" s="6" t="s">
        <v>1151</v>
      </c>
      <c r="B5595" s="5" t="s">
        <v>1805</v>
      </c>
      <c r="C5595" s="5" t="s">
        <v>1612</v>
      </c>
      <c r="D5595" s="5" t="s">
        <v>1428</v>
      </c>
      <c r="K5595" s="7">
        <v>44009960</v>
      </c>
      <c r="L5595" s="6" t="str">
        <f t="shared" si="551"/>
        <v xml:space="preserve">PLK BOHEM  KOMODİN </v>
      </c>
      <c r="M5595" s="12">
        <v>0.4</v>
      </c>
      <c r="N5595" s="8">
        <v>0.3</v>
      </c>
      <c r="O5595" s="8">
        <v>4000</v>
      </c>
      <c r="P5595" s="8">
        <f t="shared" si="552"/>
        <v>2800</v>
      </c>
      <c r="Q5595" s="12">
        <f t="shared" si="553"/>
        <v>5880</v>
      </c>
      <c r="R5595" s="31">
        <f t="shared" si="554"/>
        <v>5800</v>
      </c>
      <c r="U5595" s="8">
        <v>4725</v>
      </c>
      <c r="W5595" s="8">
        <f t="shared" si="556"/>
        <v>7000</v>
      </c>
    </row>
    <row r="5596" spans="1:23" ht="21.95" customHeight="1" x14ac:dyDescent="0.2">
      <c r="A5596" s="6" t="s">
        <v>1151</v>
      </c>
      <c r="B5596" s="5" t="s">
        <v>1805</v>
      </c>
      <c r="C5596" s="5" t="s">
        <v>1612</v>
      </c>
      <c r="D5596" s="5" t="s">
        <v>1611</v>
      </c>
      <c r="K5596" s="7">
        <v>44009961</v>
      </c>
      <c r="L5596" s="6" t="str">
        <f t="shared" si="551"/>
        <v>PLK BOHEM  UYKU SETİ</v>
      </c>
      <c r="M5596" s="12">
        <v>0.4</v>
      </c>
      <c r="N5596" s="8">
        <v>0.3</v>
      </c>
      <c r="O5596" s="8">
        <v>5500</v>
      </c>
      <c r="P5596" s="8">
        <f t="shared" si="552"/>
        <v>3849.9999999999995</v>
      </c>
      <c r="Q5596" s="12">
        <f t="shared" si="553"/>
        <v>8084.9999999999991</v>
      </c>
      <c r="R5596" s="31">
        <f t="shared" si="554"/>
        <v>8000</v>
      </c>
      <c r="U5596" s="8">
        <v>4220</v>
      </c>
      <c r="W5596" s="8">
        <f t="shared" si="556"/>
        <v>9624.9999999999982</v>
      </c>
    </row>
    <row r="5597" spans="1:23" ht="21.95" customHeight="1" x14ac:dyDescent="0.2">
      <c r="A5597" s="6" t="s">
        <v>1151</v>
      </c>
      <c r="B5597" s="5" t="s">
        <v>1805</v>
      </c>
      <c r="C5597" s="5" t="s">
        <v>1612</v>
      </c>
      <c r="D5597" s="5" t="s">
        <v>358</v>
      </c>
      <c r="K5597" s="7">
        <v>44009962</v>
      </c>
      <c r="L5597" s="6" t="str">
        <f t="shared" si="551"/>
        <v xml:space="preserve">PLK BOHEM  SANDALYE </v>
      </c>
      <c r="M5597" s="12">
        <v>0.4</v>
      </c>
      <c r="N5597" s="8">
        <v>0.3</v>
      </c>
      <c r="O5597" s="8">
        <v>7500</v>
      </c>
      <c r="P5597" s="8">
        <f t="shared" si="552"/>
        <v>5250</v>
      </c>
      <c r="Q5597" s="12">
        <f t="shared" si="553"/>
        <v>11025</v>
      </c>
      <c r="R5597" s="31">
        <f t="shared" si="554"/>
        <v>11000</v>
      </c>
      <c r="U5597" s="8">
        <v>3290</v>
      </c>
      <c r="W5597" s="8">
        <f t="shared" si="556"/>
        <v>13125</v>
      </c>
    </row>
    <row r="5598" spans="1:23" ht="21.95" customHeight="1" x14ac:dyDescent="0.2">
      <c r="A5598" s="6" t="s">
        <v>1151</v>
      </c>
      <c r="B5598" s="5" t="s">
        <v>1805</v>
      </c>
      <c r="C5598" s="5" t="s">
        <v>1612</v>
      </c>
      <c r="D5598" s="5" t="s">
        <v>530</v>
      </c>
      <c r="K5598" s="7">
        <v>44009963</v>
      </c>
      <c r="L5598" s="6" t="str">
        <f t="shared" si="551"/>
        <v xml:space="preserve">PLK BOHEM  KİTAPLIK </v>
      </c>
      <c r="M5598" s="12">
        <v>0.4</v>
      </c>
      <c r="N5598" s="8">
        <v>0.3</v>
      </c>
      <c r="O5598" s="8">
        <v>6000</v>
      </c>
      <c r="P5598" s="8">
        <f t="shared" si="552"/>
        <v>4200</v>
      </c>
      <c r="Q5598" s="12">
        <f t="shared" si="553"/>
        <v>8820</v>
      </c>
      <c r="R5598" s="31">
        <f t="shared" si="554"/>
        <v>8800</v>
      </c>
      <c r="U5598" s="8">
        <v>2705</v>
      </c>
      <c r="W5598" s="8">
        <f t="shared" si="556"/>
        <v>10500</v>
      </c>
    </row>
    <row r="5599" spans="1:23" ht="21.95" customHeight="1" x14ac:dyDescent="0.2">
      <c r="A5599" s="6" t="s">
        <v>1151</v>
      </c>
      <c r="B5599" s="5" t="s">
        <v>1805</v>
      </c>
      <c r="C5599" s="5" t="s">
        <v>1612</v>
      </c>
      <c r="D5599" s="5" t="s">
        <v>1431</v>
      </c>
      <c r="K5599" s="7">
        <v>44009964</v>
      </c>
      <c r="L5599" s="6" t="str">
        <f t="shared" si="551"/>
        <v xml:space="preserve">PLK BOHEM  HALI </v>
      </c>
      <c r="M5599" s="12">
        <v>0.4</v>
      </c>
      <c r="N5599" s="8">
        <v>0.3</v>
      </c>
      <c r="O5599" s="8">
        <v>2500</v>
      </c>
      <c r="P5599" s="8">
        <f t="shared" si="552"/>
        <v>1750</v>
      </c>
      <c r="Q5599" s="12">
        <f t="shared" si="553"/>
        <v>3675</v>
      </c>
      <c r="R5599" s="31">
        <f t="shared" si="554"/>
        <v>3600</v>
      </c>
      <c r="U5599" s="8">
        <v>765</v>
      </c>
      <c r="W5599" s="8">
        <f t="shared" si="556"/>
        <v>4375</v>
      </c>
    </row>
    <row r="5600" spans="1:23" ht="21.95" customHeight="1" x14ac:dyDescent="0.2">
      <c r="A5600" s="6" t="s">
        <v>1151</v>
      </c>
      <c r="B5600" s="5" t="s">
        <v>1805</v>
      </c>
      <c r="C5600" s="5" t="s">
        <v>1612</v>
      </c>
      <c r="D5600" s="5" t="s">
        <v>82</v>
      </c>
      <c r="K5600" s="7">
        <v>44009965</v>
      </c>
      <c r="L5600" s="6" t="str">
        <f t="shared" si="551"/>
        <v>PLK BOHEM  BOY AYNASI</v>
      </c>
      <c r="M5600" s="12">
        <v>0.4</v>
      </c>
      <c r="N5600" s="8">
        <v>0.3</v>
      </c>
      <c r="O5600" s="8">
        <v>4500</v>
      </c>
      <c r="P5600" s="8">
        <f t="shared" si="552"/>
        <v>3150</v>
      </c>
      <c r="Q5600" s="12">
        <f t="shared" si="553"/>
        <v>6615</v>
      </c>
      <c r="R5600" s="31">
        <f t="shared" si="554"/>
        <v>6600</v>
      </c>
      <c r="U5600" s="8">
        <v>1220</v>
      </c>
      <c r="W5600" s="8">
        <f t="shared" si="556"/>
        <v>7875</v>
      </c>
    </row>
    <row r="5601" spans="1:23" ht="21.95" customHeight="1" x14ac:dyDescent="0.2">
      <c r="A5601" s="6" t="s">
        <v>1151</v>
      </c>
      <c r="B5601" s="5" t="s">
        <v>1805</v>
      </c>
      <c r="C5601" s="5" t="s">
        <v>1613</v>
      </c>
      <c r="D5601" s="5" t="s">
        <v>1453</v>
      </c>
      <c r="K5601" s="7">
        <v>44009966</v>
      </c>
      <c r="L5601" s="6" t="str">
        <f t="shared" si="551"/>
        <v xml:space="preserve">PLK LOREN  3 KAPILI DOLAP </v>
      </c>
      <c r="M5601" s="12">
        <v>0.4</v>
      </c>
      <c r="N5601" s="8">
        <v>0.3</v>
      </c>
      <c r="O5601" s="8">
        <v>21000</v>
      </c>
      <c r="P5601" s="8">
        <f t="shared" si="552"/>
        <v>14699.999999999998</v>
      </c>
      <c r="Q5601" s="12">
        <f t="shared" si="553"/>
        <v>30869.999999999996</v>
      </c>
      <c r="R5601" s="31">
        <f t="shared" si="554"/>
        <v>30800</v>
      </c>
      <c r="U5601" s="8">
        <v>1275</v>
      </c>
      <c r="W5601" s="8">
        <f t="shared" ref="W5601:W5632" si="557">P5601*2.5</f>
        <v>36749.999999999993</v>
      </c>
    </row>
    <row r="5602" spans="1:23" ht="21.95" customHeight="1" x14ac:dyDescent="0.2">
      <c r="A5602" s="6" t="s">
        <v>1151</v>
      </c>
      <c r="B5602" s="5" t="s">
        <v>1805</v>
      </c>
      <c r="C5602" s="5" t="s">
        <v>1613</v>
      </c>
      <c r="D5602" s="5" t="s">
        <v>1599</v>
      </c>
      <c r="K5602" s="7">
        <v>44009967</v>
      </c>
      <c r="L5602" s="6" t="str">
        <f t="shared" si="551"/>
        <v>PLK LOREN  BAŞLIKLI KARYOLA 100*200</v>
      </c>
      <c r="M5602" s="12">
        <v>0.4</v>
      </c>
      <c r="N5602" s="8">
        <v>0.3</v>
      </c>
      <c r="O5602" s="8">
        <v>12000</v>
      </c>
      <c r="P5602" s="8">
        <f t="shared" si="552"/>
        <v>8400</v>
      </c>
      <c r="Q5602" s="12">
        <f t="shared" si="553"/>
        <v>17640</v>
      </c>
      <c r="R5602" s="31">
        <f t="shared" si="554"/>
        <v>17600</v>
      </c>
      <c r="U5602" s="8">
        <v>910</v>
      </c>
      <c r="W5602" s="8">
        <f t="shared" si="557"/>
        <v>21000</v>
      </c>
    </row>
    <row r="5603" spans="1:23" ht="21.95" customHeight="1" x14ac:dyDescent="0.2">
      <c r="A5603" s="6" t="s">
        <v>1151</v>
      </c>
      <c r="B5603" s="5" t="s">
        <v>1805</v>
      </c>
      <c r="C5603" s="5" t="s">
        <v>1613</v>
      </c>
      <c r="D5603" s="5" t="s">
        <v>1600</v>
      </c>
      <c r="K5603" s="7">
        <v>44009968</v>
      </c>
      <c r="L5603" s="6" t="str">
        <f t="shared" si="551"/>
        <v>PLK LOREN  ÇALIŞMA MASASI (ÜST MODÜL DAHİL)</v>
      </c>
      <c r="M5603" s="12">
        <v>0.4</v>
      </c>
      <c r="N5603" s="8">
        <v>0.3</v>
      </c>
      <c r="O5603" s="8">
        <v>12000</v>
      </c>
      <c r="P5603" s="8">
        <f t="shared" si="552"/>
        <v>8400</v>
      </c>
      <c r="Q5603" s="12">
        <f t="shared" si="553"/>
        <v>17640</v>
      </c>
      <c r="R5603" s="31">
        <f t="shared" si="554"/>
        <v>17600</v>
      </c>
      <c r="U5603" s="8">
        <v>1270</v>
      </c>
      <c r="W5603" s="8">
        <f t="shared" si="557"/>
        <v>21000</v>
      </c>
    </row>
    <row r="5604" spans="1:23" ht="21.95" customHeight="1" x14ac:dyDescent="0.2">
      <c r="A5604" s="6" t="s">
        <v>1151</v>
      </c>
      <c r="B5604" s="5" t="s">
        <v>1805</v>
      </c>
      <c r="C5604" s="5" t="s">
        <v>1613</v>
      </c>
      <c r="D5604" s="5" t="s">
        <v>1452</v>
      </c>
      <c r="K5604" s="7">
        <v>44009969</v>
      </c>
      <c r="L5604" s="6" t="str">
        <f t="shared" si="551"/>
        <v xml:space="preserve">PLK LOREN  4 KAPILI DOLAP </v>
      </c>
      <c r="M5604" s="12">
        <v>0.4</v>
      </c>
      <c r="N5604" s="8">
        <v>0.3</v>
      </c>
      <c r="O5604" s="8">
        <v>30000</v>
      </c>
      <c r="P5604" s="8">
        <f t="shared" si="552"/>
        <v>21000</v>
      </c>
      <c r="Q5604" s="12">
        <f t="shared" si="553"/>
        <v>44100</v>
      </c>
      <c r="R5604" s="31">
        <f t="shared" si="554"/>
        <v>44100</v>
      </c>
      <c r="U5604" s="8">
        <v>775</v>
      </c>
      <c r="W5604" s="8">
        <f t="shared" si="557"/>
        <v>52500</v>
      </c>
    </row>
    <row r="5605" spans="1:23" ht="21.95" customHeight="1" x14ac:dyDescent="0.2">
      <c r="A5605" s="6" t="s">
        <v>1151</v>
      </c>
      <c r="B5605" s="5" t="s">
        <v>1805</v>
      </c>
      <c r="C5605" s="5" t="s">
        <v>1613</v>
      </c>
      <c r="D5605" s="5" t="s">
        <v>1608</v>
      </c>
      <c r="K5605" s="7">
        <v>44009970</v>
      </c>
      <c r="L5605" s="6" t="str">
        <f t="shared" si="551"/>
        <v xml:space="preserve">PLK LOREN  RANZA </v>
      </c>
      <c r="M5605" s="12">
        <v>0.4</v>
      </c>
      <c r="N5605" s="8">
        <v>0.3</v>
      </c>
      <c r="O5605" s="8">
        <v>34500</v>
      </c>
      <c r="P5605" s="8">
        <f t="shared" si="552"/>
        <v>24150</v>
      </c>
      <c r="Q5605" s="12">
        <f t="shared" si="553"/>
        <v>50715</v>
      </c>
      <c r="R5605" s="31">
        <f t="shared" si="554"/>
        <v>50700</v>
      </c>
      <c r="U5605" s="8">
        <v>420</v>
      </c>
      <c r="W5605" s="8">
        <f t="shared" si="557"/>
        <v>60375</v>
      </c>
    </row>
    <row r="5606" spans="1:23" ht="21.95" customHeight="1" x14ac:dyDescent="0.2">
      <c r="A5606" s="6" t="s">
        <v>1151</v>
      </c>
      <c r="B5606" s="5" t="s">
        <v>1805</v>
      </c>
      <c r="C5606" s="5" t="s">
        <v>1613</v>
      </c>
      <c r="D5606" s="5" t="s">
        <v>1601</v>
      </c>
      <c r="K5606" s="7">
        <v>44009971</v>
      </c>
      <c r="L5606" s="6" t="str">
        <f t="shared" ref="L5606:L5669" si="558">B5606&amp;" "&amp;C5606&amp;" "&amp;D5606</f>
        <v>PLK LOREN  BAŞLIKLI KARYOLA 120*200</v>
      </c>
      <c r="M5606" s="12">
        <v>0.4</v>
      </c>
      <c r="N5606" s="8">
        <v>0.3</v>
      </c>
      <c r="O5606" s="8">
        <v>14000</v>
      </c>
      <c r="P5606" s="8">
        <f t="shared" si="552"/>
        <v>9800</v>
      </c>
      <c r="Q5606" s="12">
        <f t="shared" si="553"/>
        <v>20580</v>
      </c>
      <c r="R5606" s="31">
        <f t="shared" si="554"/>
        <v>20500</v>
      </c>
      <c r="U5606" s="8">
        <v>1065</v>
      </c>
      <c r="W5606" s="8">
        <f t="shared" si="557"/>
        <v>24500</v>
      </c>
    </row>
    <row r="5607" spans="1:23" ht="21.95" customHeight="1" x14ac:dyDescent="0.2">
      <c r="A5607" s="6" t="s">
        <v>1151</v>
      </c>
      <c r="B5607" s="5" t="s">
        <v>1805</v>
      </c>
      <c r="C5607" s="5" t="s">
        <v>1613</v>
      </c>
      <c r="D5607" s="5" t="s">
        <v>1602</v>
      </c>
      <c r="K5607" s="7">
        <v>44009972</v>
      </c>
      <c r="L5607" s="6" t="str">
        <f t="shared" si="558"/>
        <v xml:space="preserve">PLK LOREN  BAZA 100'LÜK </v>
      </c>
      <c r="M5607" s="12">
        <v>0.4</v>
      </c>
      <c r="N5607" s="8">
        <v>0.3</v>
      </c>
      <c r="O5607" s="8">
        <v>9000</v>
      </c>
      <c r="P5607" s="8">
        <f t="shared" si="552"/>
        <v>6300</v>
      </c>
      <c r="Q5607" s="12">
        <f t="shared" si="553"/>
        <v>13230</v>
      </c>
      <c r="R5607" s="31">
        <f t="shared" si="554"/>
        <v>13200</v>
      </c>
      <c r="U5607" s="8">
        <v>460</v>
      </c>
      <c r="W5607" s="8">
        <f t="shared" si="557"/>
        <v>15750</v>
      </c>
    </row>
    <row r="5608" spans="1:23" ht="21.95" customHeight="1" x14ac:dyDescent="0.2">
      <c r="A5608" s="6" t="s">
        <v>1151</v>
      </c>
      <c r="B5608" s="5" t="s">
        <v>1805</v>
      </c>
      <c r="C5608" s="5" t="s">
        <v>1613</v>
      </c>
      <c r="D5608" s="5" t="s">
        <v>1603</v>
      </c>
      <c r="K5608" s="7">
        <v>44009973</v>
      </c>
      <c r="L5608" s="6" t="str">
        <f t="shared" si="558"/>
        <v xml:space="preserve">PLK LOREN  BAZA 120'LİK </v>
      </c>
      <c r="M5608" s="12">
        <v>0.4</v>
      </c>
      <c r="N5608" s="8">
        <v>0.3</v>
      </c>
      <c r="O5608" s="8">
        <v>10000</v>
      </c>
      <c r="P5608" s="8">
        <f t="shared" si="552"/>
        <v>7000</v>
      </c>
      <c r="Q5608" s="12">
        <f t="shared" si="553"/>
        <v>14700</v>
      </c>
      <c r="R5608" s="31">
        <f t="shared" si="554"/>
        <v>14700</v>
      </c>
      <c r="U5608" s="8">
        <v>1020</v>
      </c>
      <c r="W5608" s="8">
        <f t="shared" si="557"/>
        <v>17500</v>
      </c>
    </row>
    <row r="5609" spans="1:23" ht="21.95" customHeight="1" x14ac:dyDescent="0.2">
      <c r="A5609" s="6" t="s">
        <v>1151</v>
      </c>
      <c r="B5609" s="5" t="s">
        <v>1805</v>
      </c>
      <c r="C5609" s="5" t="s">
        <v>1613</v>
      </c>
      <c r="D5609" s="5" t="s">
        <v>1604</v>
      </c>
      <c r="K5609" s="7">
        <v>44009974</v>
      </c>
      <c r="L5609" s="6" t="str">
        <f t="shared" si="558"/>
        <v xml:space="preserve">PLK LOREN  BAZA BAŞLIĞI 100'LÜK </v>
      </c>
      <c r="M5609" s="12">
        <v>0.4</v>
      </c>
      <c r="N5609" s="8">
        <v>0.3</v>
      </c>
      <c r="O5609" s="8">
        <v>7000</v>
      </c>
      <c r="P5609" s="8">
        <f t="shared" si="552"/>
        <v>4900</v>
      </c>
      <c r="Q5609" s="12">
        <f t="shared" si="553"/>
        <v>10290</v>
      </c>
      <c r="R5609" s="31">
        <f t="shared" si="554"/>
        <v>10200</v>
      </c>
      <c r="U5609" s="8">
        <v>5445</v>
      </c>
      <c r="W5609" s="8">
        <f t="shared" si="557"/>
        <v>12250</v>
      </c>
    </row>
    <row r="5610" spans="1:23" ht="21.95" customHeight="1" x14ac:dyDescent="0.2">
      <c r="A5610" s="6" t="s">
        <v>1151</v>
      </c>
      <c r="B5610" s="5" t="s">
        <v>1805</v>
      </c>
      <c r="C5610" s="5" t="s">
        <v>1613</v>
      </c>
      <c r="D5610" s="5" t="s">
        <v>1605</v>
      </c>
      <c r="K5610" s="7">
        <v>44009975</v>
      </c>
      <c r="L5610" s="6" t="str">
        <f t="shared" si="558"/>
        <v xml:space="preserve">PLK LOREN  BAZA BAŞLIĞI 120'LİK </v>
      </c>
      <c r="M5610" s="12">
        <v>0.4</v>
      </c>
      <c r="N5610" s="8">
        <v>0.3</v>
      </c>
      <c r="O5610" s="8">
        <v>8000</v>
      </c>
      <c r="P5610" s="8">
        <f t="shared" si="552"/>
        <v>5600</v>
      </c>
      <c r="Q5610" s="12">
        <f t="shared" si="553"/>
        <v>11760</v>
      </c>
      <c r="R5610" s="31">
        <f t="shared" si="554"/>
        <v>11700</v>
      </c>
      <c r="U5610" s="8">
        <v>5575</v>
      </c>
      <c r="W5610" s="8">
        <f t="shared" si="557"/>
        <v>14000</v>
      </c>
    </row>
    <row r="5611" spans="1:23" ht="21.95" customHeight="1" x14ac:dyDescent="0.2">
      <c r="A5611" s="6" t="s">
        <v>1151</v>
      </c>
      <c r="B5611" s="5" t="s">
        <v>1805</v>
      </c>
      <c r="C5611" s="5" t="s">
        <v>1613</v>
      </c>
      <c r="D5611" s="5" t="s">
        <v>1606</v>
      </c>
      <c r="K5611" s="7">
        <v>44009976</v>
      </c>
      <c r="L5611" s="6" t="str">
        <f t="shared" si="558"/>
        <v xml:space="preserve">PLK LOREN  DAYBED KARYOLA </v>
      </c>
      <c r="M5611" s="12">
        <v>0.4</v>
      </c>
      <c r="N5611" s="8">
        <v>0.3</v>
      </c>
      <c r="O5611" s="8">
        <v>10000</v>
      </c>
      <c r="P5611" s="8">
        <f t="shared" si="552"/>
        <v>7000</v>
      </c>
      <c r="Q5611" s="12">
        <f t="shared" si="553"/>
        <v>14700</v>
      </c>
      <c r="R5611" s="31">
        <f t="shared" si="554"/>
        <v>14700</v>
      </c>
      <c r="U5611" s="8">
        <v>5535</v>
      </c>
      <c r="W5611" s="8">
        <f t="shared" si="557"/>
        <v>17500</v>
      </c>
    </row>
    <row r="5612" spans="1:23" ht="21.95" customHeight="1" x14ac:dyDescent="0.2">
      <c r="A5612" s="6" t="s">
        <v>1151</v>
      </c>
      <c r="B5612" s="5" t="s">
        <v>1805</v>
      </c>
      <c r="C5612" s="5" t="s">
        <v>1613</v>
      </c>
      <c r="D5612" s="5" t="s">
        <v>1076</v>
      </c>
      <c r="K5612" s="7">
        <v>44009977</v>
      </c>
      <c r="L5612" s="6" t="str">
        <f t="shared" si="558"/>
        <v xml:space="preserve">PLK LOREN  KORKULUK </v>
      </c>
      <c r="M5612" s="12">
        <v>0.4</v>
      </c>
      <c r="N5612" s="8">
        <v>0.3</v>
      </c>
      <c r="O5612" s="8">
        <v>4000</v>
      </c>
      <c r="P5612" s="8">
        <f t="shared" si="552"/>
        <v>2800</v>
      </c>
      <c r="Q5612" s="12">
        <f t="shared" si="553"/>
        <v>5880</v>
      </c>
      <c r="R5612" s="31">
        <f t="shared" si="554"/>
        <v>5800</v>
      </c>
      <c r="U5612" s="8">
        <v>6725</v>
      </c>
      <c r="W5612" s="8">
        <f t="shared" si="557"/>
        <v>7000</v>
      </c>
    </row>
    <row r="5613" spans="1:23" ht="21.95" customHeight="1" x14ac:dyDescent="0.2">
      <c r="A5613" s="6" t="s">
        <v>1151</v>
      </c>
      <c r="B5613" s="5" t="s">
        <v>1805</v>
      </c>
      <c r="C5613" s="5" t="s">
        <v>1613</v>
      </c>
      <c r="D5613" s="5" t="s">
        <v>1607</v>
      </c>
      <c r="K5613" s="7">
        <v>44009978</v>
      </c>
      <c r="L5613" s="6" t="str">
        <f t="shared" si="558"/>
        <v xml:space="preserve">PLK LOREN  YAVRU ALT SANDIK </v>
      </c>
      <c r="M5613" s="12">
        <v>0.4</v>
      </c>
      <c r="N5613" s="8">
        <v>0.3</v>
      </c>
      <c r="O5613" s="8">
        <v>6000</v>
      </c>
      <c r="P5613" s="8">
        <f t="shared" si="552"/>
        <v>4200</v>
      </c>
      <c r="Q5613" s="12">
        <f t="shared" si="553"/>
        <v>8820</v>
      </c>
      <c r="R5613" s="31">
        <f t="shared" si="554"/>
        <v>8800</v>
      </c>
      <c r="U5613" s="8">
        <v>2130</v>
      </c>
      <c r="W5613" s="8">
        <f t="shared" si="557"/>
        <v>10500</v>
      </c>
    </row>
    <row r="5614" spans="1:23" ht="21.95" customHeight="1" x14ac:dyDescent="0.2">
      <c r="A5614" s="6" t="s">
        <v>1151</v>
      </c>
      <c r="B5614" s="5" t="s">
        <v>1805</v>
      </c>
      <c r="C5614" s="5" t="s">
        <v>1613</v>
      </c>
      <c r="D5614" s="5" t="s">
        <v>96</v>
      </c>
      <c r="K5614" s="7">
        <v>44009979</v>
      </c>
      <c r="L5614" s="6" t="str">
        <f t="shared" si="558"/>
        <v xml:space="preserve">PLK LOREN  ŞİFONYER </v>
      </c>
      <c r="M5614" s="12">
        <v>0.4</v>
      </c>
      <c r="N5614" s="8">
        <v>0.3</v>
      </c>
      <c r="O5614" s="8">
        <v>11000</v>
      </c>
      <c r="P5614" s="8">
        <f t="shared" si="552"/>
        <v>7699.9999999999991</v>
      </c>
      <c r="Q5614" s="12">
        <f t="shared" si="553"/>
        <v>16169.999999999998</v>
      </c>
      <c r="R5614" s="31">
        <f t="shared" si="554"/>
        <v>16100</v>
      </c>
      <c r="U5614" s="8">
        <v>2420</v>
      </c>
      <c r="W5614" s="8">
        <f t="shared" si="557"/>
        <v>19249.999999999996</v>
      </c>
    </row>
    <row r="5615" spans="1:23" ht="21.95" customHeight="1" x14ac:dyDescent="0.2">
      <c r="A5615" s="6" t="s">
        <v>1151</v>
      </c>
      <c r="B5615" s="5" t="s">
        <v>1805</v>
      </c>
      <c r="C5615" s="5" t="s">
        <v>1613</v>
      </c>
      <c r="D5615" s="5" t="s">
        <v>1457</v>
      </c>
      <c r="K5615" s="7">
        <v>44009980</v>
      </c>
      <c r="L5615" s="6" t="str">
        <f t="shared" si="558"/>
        <v xml:space="preserve">PLK LOREN  AYNA </v>
      </c>
      <c r="M5615" s="12">
        <v>0.4</v>
      </c>
      <c r="N5615" s="8">
        <v>0.3</v>
      </c>
      <c r="O5615" s="8">
        <v>3500</v>
      </c>
      <c r="P5615" s="8">
        <f t="shared" si="552"/>
        <v>2450</v>
      </c>
      <c r="Q5615" s="12">
        <f t="shared" si="553"/>
        <v>5145</v>
      </c>
      <c r="R5615" s="31">
        <f t="shared" si="554"/>
        <v>5100</v>
      </c>
      <c r="U5615" s="8">
        <v>1925</v>
      </c>
      <c r="W5615" s="8">
        <f t="shared" si="557"/>
        <v>6125</v>
      </c>
    </row>
    <row r="5616" spans="1:23" ht="21.95" customHeight="1" x14ac:dyDescent="0.2">
      <c r="A5616" s="6" t="s">
        <v>1151</v>
      </c>
      <c r="B5616" s="5" t="s">
        <v>1805</v>
      </c>
      <c r="C5616" s="5" t="s">
        <v>1613</v>
      </c>
      <c r="D5616" s="5" t="s">
        <v>1428</v>
      </c>
      <c r="K5616" s="7">
        <v>44009981</v>
      </c>
      <c r="L5616" s="6" t="str">
        <f t="shared" si="558"/>
        <v xml:space="preserve">PLK LOREN  KOMODİN </v>
      </c>
      <c r="M5616" s="12">
        <v>0.4</v>
      </c>
      <c r="N5616" s="8">
        <v>0.3</v>
      </c>
      <c r="O5616" s="8">
        <v>4000</v>
      </c>
      <c r="P5616" s="8">
        <f t="shared" si="552"/>
        <v>2800</v>
      </c>
      <c r="Q5616" s="12">
        <f t="shared" si="553"/>
        <v>5880</v>
      </c>
      <c r="R5616" s="31">
        <f t="shared" si="554"/>
        <v>5800</v>
      </c>
      <c r="U5616" s="8">
        <v>1650</v>
      </c>
      <c r="W5616" s="8">
        <f t="shared" si="557"/>
        <v>7000</v>
      </c>
    </row>
    <row r="5617" spans="1:23" ht="21.95" customHeight="1" x14ac:dyDescent="0.2">
      <c r="A5617" s="6" t="s">
        <v>1151</v>
      </c>
      <c r="B5617" s="5" t="s">
        <v>1805</v>
      </c>
      <c r="C5617" s="5" t="s">
        <v>1613</v>
      </c>
      <c r="D5617" s="5" t="s">
        <v>1614</v>
      </c>
      <c r="K5617" s="7">
        <v>44009982</v>
      </c>
      <c r="L5617" s="6" t="str">
        <f t="shared" si="558"/>
        <v xml:space="preserve">PLK LOREN  UYKU SETİ </v>
      </c>
      <c r="M5617" s="12">
        <v>0.4</v>
      </c>
      <c r="N5617" s="8">
        <v>0.3</v>
      </c>
      <c r="O5617" s="8">
        <v>5500</v>
      </c>
      <c r="P5617" s="8">
        <f t="shared" si="552"/>
        <v>3849.9999999999995</v>
      </c>
      <c r="Q5617" s="12">
        <f t="shared" si="553"/>
        <v>8084.9999999999991</v>
      </c>
      <c r="R5617" s="31">
        <f t="shared" si="554"/>
        <v>8000</v>
      </c>
      <c r="U5617" s="8">
        <v>885</v>
      </c>
      <c r="W5617" s="8">
        <f t="shared" si="557"/>
        <v>9624.9999999999982</v>
      </c>
    </row>
    <row r="5618" spans="1:23" ht="21.95" customHeight="1" x14ac:dyDescent="0.2">
      <c r="A5618" s="6" t="s">
        <v>1151</v>
      </c>
      <c r="B5618" s="5" t="s">
        <v>1805</v>
      </c>
      <c r="C5618" s="5" t="s">
        <v>1613</v>
      </c>
      <c r="D5618" s="5" t="s">
        <v>358</v>
      </c>
      <c r="K5618" s="7">
        <v>44009983</v>
      </c>
      <c r="L5618" s="6" t="str">
        <f t="shared" si="558"/>
        <v xml:space="preserve">PLK LOREN  SANDALYE </v>
      </c>
      <c r="M5618" s="12">
        <v>0.4</v>
      </c>
      <c r="N5618" s="8">
        <v>0.3</v>
      </c>
      <c r="O5618" s="8">
        <v>7500</v>
      </c>
      <c r="P5618" s="8">
        <f t="shared" si="552"/>
        <v>5250</v>
      </c>
      <c r="Q5618" s="12">
        <f t="shared" si="553"/>
        <v>11025</v>
      </c>
      <c r="R5618" s="31">
        <f t="shared" si="554"/>
        <v>11000</v>
      </c>
      <c r="U5618" s="8">
        <v>2560</v>
      </c>
      <c r="W5618" s="8">
        <f t="shared" si="557"/>
        <v>13125</v>
      </c>
    </row>
    <row r="5619" spans="1:23" ht="21.95" customHeight="1" x14ac:dyDescent="0.2">
      <c r="A5619" s="6" t="s">
        <v>1151</v>
      </c>
      <c r="B5619" s="5" t="s">
        <v>1805</v>
      </c>
      <c r="C5619" s="5" t="s">
        <v>1613</v>
      </c>
      <c r="D5619" s="5" t="s">
        <v>530</v>
      </c>
      <c r="K5619" s="7">
        <v>44009984</v>
      </c>
      <c r="L5619" s="6" t="str">
        <f t="shared" si="558"/>
        <v xml:space="preserve">PLK LOREN  KİTAPLIK </v>
      </c>
      <c r="M5619" s="12">
        <v>0.4</v>
      </c>
      <c r="N5619" s="8">
        <v>0.3</v>
      </c>
      <c r="O5619" s="8">
        <v>6000</v>
      </c>
      <c r="P5619" s="8">
        <f t="shared" si="552"/>
        <v>4200</v>
      </c>
      <c r="Q5619" s="12">
        <f t="shared" si="553"/>
        <v>8820</v>
      </c>
      <c r="R5619" s="31">
        <f t="shared" si="554"/>
        <v>8800</v>
      </c>
      <c r="U5619" s="8">
        <v>1395</v>
      </c>
      <c r="W5619" s="8">
        <f t="shared" si="557"/>
        <v>10500</v>
      </c>
    </row>
    <row r="5620" spans="1:23" ht="21.95" customHeight="1" x14ac:dyDescent="0.2">
      <c r="A5620" s="6" t="s">
        <v>1151</v>
      </c>
      <c r="B5620" s="5" t="s">
        <v>1805</v>
      </c>
      <c r="C5620" s="5" t="s">
        <v>1613</v>
      </c>
      <c r="D5620" s="5" t="s">
        <v>1431</v>
      </c>
      <c r="K5620" s="7">
        <v>44009985</v>
      </c>
      <c r="L5620" s="6" t="str">
        <f t="shared" si="558"/>
        <v xml:space="preserve">PLK LOREN  HALI </v>
      </c>
      <c r="M5620" s="12">
        <v>0.4</v>
      </c>
      <c r="N5620" s="8">
        <v>0.3</v>
      </c>
      <c r="O5620" s="8">
        <v>2500</v>
      </c>
      <c r="P5620" s="8">
        <f t="shared" si="552"/>
        <v>1750</v>
      </c>
      <c r="Q5620" s="12">
        <f t="shared" si="553"/>
        <v>3675</v>
      </c>
      <c r="R5620" s="31">
        <f t="shared" si="554"/>
        <v>3600</v>
      </c>
      <c r="U5620" s="8">
        <v>1390</v>
      </c>
      <c r="W5620" s="8">
        <f t="shared" si="557"/>
        <v>4375</v>
      </c>
    </row>
    <row r="5621" spans="1:23" ht="21.95" customHeight="1" x14ac:dyDescent="0.2">
      <c r="A5621" s="6" t="s">
        <v>1151</v>
      </c>
      <c r="B5621" s="5" t="s">
        <v>1805</v>
      </c>
      <c r="C5621" s="5" t="s">
        <v>1613</v>
      </c>
      <c r="D5621" s="5" t="s">
        <v>1615</v>
      </c>
      <c r="K5621" s="7">
        <v>44009986</v>
      </c>
      <c r="L5621" s="6" t="str">
        <f t="shared" si="558"/>
        <v xml:space="preserve">PLK LOREN  BOY AYNASI </v>
      </c>
      <c r="M5621" s="12">
        <v>0.4</v>
      </c>
      <c r="N5621" s="8">
        <v>0.3</v>
      </c>
      <c r="O5621" s="8">
        <v>4500</v>
      </c>
      <c r="P5621" s="8">
        <f t="shared" si="552"/>
        <v>3150</v>
      </c>
      <c r="Q5621" s="12">
        <f t="shared" si="553"/>
        <v>6615</v>
      </c>
      <c r="R5621" s="31">
        <f t="shared" si="554"/>
        <v>6600</v>
      </c>
      <c r="U5621" s="8">
        <v>1910</v>
      </c>
      <c r="W5621" s="8">
        <f t="shared" si="557"/>
        <v>7875</v>
      </c>
    </row>
    <row r="5622" spans="1:23" ht="21.95" customHeight="1" x14ac:dyDescent="0.2">
      <c r="A5622" s="6" t="s">
        <v>1151</v>
      </c>
      <c r="B5622" s="5" t="s">
        <v>1805</v>
      </c>
      <c r="C5622" s="5" t="s">
        <v>1616</v>
      </c>
      <c r="D5622" s="5" t="s">
        <v>1453</v>
      </c>
      <c r="K5622" s="7">
        <v>44009987</v>
      </c>
      <c r="L5622" s="6" t="str">
        <f t="shared" si="558"/>
        <v xml:space="preserve">PLK JOYY 3 KAPILI DOLAP </v>
      </c>
      <c r="M5622" s="12">
        <v>0.4</v>
      </c>
      <c r="N5622" s="8">
        <v>0.3</v>
      </c>
      <c r="O5622" s="8">
        <v>20000</v>
      </c>
      <c r="P5622" s="8">
        <f t="shared" si="552"/>
        <v>14000</v>
      </c>
      <c r="Q5622" s="12">
        <f t="shared" si="553"/>
        <v>29400</v>
      </c>
      <c r="R5622" s="31">
        <f t="shared" si="554"/>
        <v>29400</v>
      </c>
      <c r="U5622" s="8">
        <v>2385</v>
      </c>
      <c r="W5622" s="8">
        <f t="shared" si="557"/>
        <v>35000</v>
      </c>
    </row>
    <row r="5623" spans="1:23" ht="21.95" customHeight="1" x14ac:dyDescent="0.2">
      <c r="A5623" s="6" t="s">
        <v>1151</v>
      </c>
      <c r="B5623" s="5" t="s">
        <v>1805</v>
      </c>
      <c r="C5623" s="5" t="s">
        <v>1616</v>
      </c>
      <c r="D5623" s="5" t="s">
        <v>1599</v>
      </c>
      <c r="K5623" s="7">
        <v>44009988</v>
      </c>
      <c r="L5623" s="6" t="str">
        <f t="shared" si="558"/>
        <v>PLK JOYY BAŞLIKLI KARYOLA 100*200</v>
      </c>
      <c r="M5623" s="12">
        <v>0.4</v>
      </c>
      <c r="N5623" s="8">
        <v>0.3</v>
      </c>
      <c r="O5623" s="8">
        <v>12000</v>
      </c>
      <c r="P5623" s="8">
        <f t="shared" ref="P5623:P5686" si="559">O5623*(1-N5623)</f>
        <v>8400</v>
      </c>
      <c r="Q5623" s="12">
        <f t="shared" ref="Q5623:Q5686" si="560">O5623*(1-N5623)*2.1</f>
        <v>17640</v>
      </c>
      <c r="R5623" s="31">
        <f t="shared" ref="R5623:R5686" si="561">ROUNDDOWN(Q5623,-2)</f>
        <v>17600</v>
      </c>
      <c r="U5623" s="8">
        <v>805</v>
      </c>
      <c r="W5623" s="8">
        <f t="shared" si="557"/>
        <v>21000</v>
      </c>
    </row>
    <row r="5624" spans="1:23" ht="21.95" customHeight="1" x14ac:dyDescent="0.2">
      <c r="A5624" s="6" t="s">
        <v>1151</v>
      </c>
      <c r="B5624" s="5" t="s">
        <v>1805</v>
      </c>
      <c r="C5624" s="5" t="s">
        <v>1616</v>
      </c>
      <c r="D5624" s="5" t="s">
        <v>1600</v>
      </c>
      <c r="K5624" s="7">
        <v>44009989</v>
      </c>
      <c r="L5624" s="6" t="str">
        <f t="shared" si="558"/>
        <v>PLK JOYY ÇALIŞMA MASASI (ÜST MODÜL DAHİL)</v>
      </c>
      <c r="M5624" s="12">
        <v>0.4</v>
      </c>
      <c r="N5624" s="8">
        <v>0.3</v>
      </c>
      <c r="O5624" s="8">
        <v>12000</v>
      </c>
      <c r="P5624" s="8">
        <f t="shared" si="559"/>
        <v>8400</v>
      </c>
      <c r="Q5624" s="12">
        <f t="shared" si="560"/>
        <v>17640</v>
      </c>
      <c r="R5624" s="31">
        <f t="shared" si="561"/>
        <v>17600</v>
      </c>
      <c r="U5624" s="8">
        <v>1980</v>
      </c>
      <c r="W5624" s="8">
        <f t="shared" si="557"/>
        <v>21000</v>
      </c>
    </row>
    <row r="5625" spans="1:23" ht="21.95" customHeight="1" x14ac:dyDescent="0.2">
      <c r="A5625" s="6" t="s">
        <v>1151</v>
      </c>
      <c r="B5625" s="5" t="s">
        <v>1805</v>
      </c>
      <c r="C5625" s="5" t="s">
        <v>1616</v>
      </c>
      <c r="D5625" s="5" t="s">
        <v>1452</v>
      </c>
      <c r="K5625" s="7">
        <v>44009990</v>
      </c>
      <c r="L5625" s="6" t="str">
        <f t="shared" si="558"/>
        <v xml:space="preserve">PLK JOYY 4 KAPILI DOLAP </v>
      </c>
      <c r="M5625" s="12">
        <v>0.4</v>
      </c>
      <c r="N5625" s="8">
        <v>0.3</v>
      </c>
      <c r="O5625" s="8">
        <v>26000</v>
      </c>
      <c r="P5625" s="8">
        <f t="shared" si="559"/>
        <v>18200</v>
      </c>
      <c r="Q5625" s="12">
        <f t="shared" si="560"/>
        <v>38220</v>
      </c>
      <c r="R5625" s="31">
        <f t="shared" si="561"/>
        <v>38200</v>
      </c>
      <c r="U5625" s="8">
        <v>2345</v>
      </c>
      <c r="W5625" s="8">
        <f t="shared" si="557"/>
        <v>45500</v>
      </c>
    </row>
    <row r="5626" spans="1:23" ht="21.95" customHeight="1" x14ac:dyDescent="0.2">
      <c r="A5626" s="6" t="s">
        <v>1151</v>
      </c>
      <c r="B5626" s="5" t="s">
        <v>1805</v>
      </c>
      <c r="C5626" s="5" t="s">
        <v>1616</v>
      </c>
      <c r="D5626" s="5" t="s">
        <v>1601</v>
      </c>
      <c r="K5626" s="7">
        <v>44009991</v>
      </c>
      <c r="L5626" s="6" t="str">
        <f t="shared" si="558"/>
        <v>PLK JOYY BAŞLIKLI KARYOLA 120*200</v>
      </c>
      <c r="M5626" s="12">
        <v>0.4</v>
      </c>
      <c r="N5626" s="8">
        <v>0.3</v>
      </c>
      <c r="O5626" s="8">
        <v>14000</v>
      </c>
      <c r="P5626" s="8">
        <f t="shared" si="559"/>
        <v>9800</v>
      </c>
      <c r="Q5626" s="12">
        <f t="shared" si="560"/>
        <v>20580</v>
      </c>
      <c r="R5626" s="31">
        <f t="shared" si="561"/>
        <v>20500</v>
      </c>
      <c r="U5626" s="8">
        <v>2345</v>
      </c>
      <c r="W5626" s="8">
        <f t="shared" si="557"/>
        <v>24500</v>
      </c>
    </row>
    <row r="5627" spans="1:23" ht="21.95" customHeight="1" x14ac:dyDescent="0.2">
      <c r="A5627" s="6" t="s">
        <v>1151</v>
      </c>
      <c r="B5627" s="5" t="s">
        <v>1805</v>
      </c>
      <c r="C5627" s="5" t="s">
        <v>1616</v>
      </c>
      <c r="D5627" s="5" t="s">
        <v>1602</v>
      </c>
      <c r="K5627" s="7">
        <v>44009992</v>
      </c>
      <c r="L5627" s="6" t="str">
        <f t="shared" si="558"/>
        <v xml:space="preserve">PLK JOYY BAZA 100'LÜK </v>
      </c>
      <c r="M5627" s="12">
        <v>0.4</v>
      </c>
      <c r="N5627" s="8">
        <v>0.3</v>
      </c>
      <c r="O5627" s="8">
        <v>9000</v>
      </c>
      <c r="P5627" s="8">
        <f t="shared" si="559"/>
        <v>6300</v>
      </c>
      <c r="Q5627" s="12">
        <f t="shared" si="560"/>
        <v>13230</v>
      </c>
      <c r="R5627" s="31">
        <f t="shared" si="561"/>
        <v>13200</v>
      </c>
      <c r="U5627" s="8">
        <v>1620</v>
      </c>
      <c r="W5627" s="8">
        <f t="shared" si="557"/>
        <v>15750</v>
      </c>
    </row>
    <row r="5628" spans="1:23" ht="21.95" customHeight="1" x14ac:dyDescent="0.2">
      <c r="A5628" s="6" t="s">
        <v>1151</v>
      </c>
      <c r="B5628" s="5" t="s">
        <v>1805</v>
      </c>
      <c r="C5628" s="5" t="s">
        <v>1616</v>
      </c>
      <c r="D5628" s="5" t="s">
        <v>1603</v>
      </c>
      <c r="K5628" s="7">
        <v>44009993</v>
      </c>
      <c r="L5628" s="6" t="str">
        <f t="shared" si="558"/>
        <v xml:space="preserve">PLK JOYY BAZA 120'LİK </v>
      </c>
      <c r="M5628" s="12">
        <v>0.4</v>
      </c>
      <c r="N5628" s="8">
        <v>0.3</v>
      </c>
      <c r="O5628" s="8">
        <v>10000</v>
      </c>
      <c r="P5628" s="8">
        <f t="shared" si="559"/>
        <v>7000</v>
      </c>
      <c r="Q5628" s="12">
        <f t="shared" si="560"/>
        <v>14700</v>
      </c>
      <c r="R5628" s="31">
        <f t="shared" si="561"/>
        <v>14700</v>
      </c>
      <c r="U5628" s="8">
        <v>1925</v>
      </c>
      <c r="W5628" s="8">
        <f t="shared" si="557"/>
        <v>17500</v>
      </c>
    </row>
    <row r="5629" spans="1:23" ht="21.95" customHeight="1" x14ac:dyDescent="0.2">
      <c r="A5629" s="6" t="s">
        <v>1151</v>
      </c>
      <c r="B5629" s="5" t="s">
        <v>1805</v>
      </c>
      <c r="C5629" s="5" t="s">
        <v>1616</v>
      </c>
      <c r="D5629" s="5" t="s">
        <v>1604</v>
      </c>
      <c r="K5629" s="7">
        <v>44009994</v>
      </c>
      <c r="L5629" s="6" t="str">
        <f t="shared" si="558"/>
        <v xml:space="preserve">PLK JOYY BAZA BAŞLIĞI 100'LÜK </v>
      </c>
      <c r="M5629" s="12">
        <v>0.4</v>
      </c>
      <c r="N5629" s="8">
        <v>0.3</v>
      </c>
      <c r="O5629" s="8">
        <v>7500</v>
      </c>
      <c r="P5629" s="8">
        <f t="shared" si="559"/>
        <v>5250</v>
      </c>
      <c r="Q5629" s="12">
        <f t="shared" si="560"/>
        <v>11025</v>
      </c>
      <c r="R5629" s="31">
        <f t="shared" si="561"/>
        <v>11000</v>
      </c>
      <c r="U5629" s="8">
        <v>915</v>
      </c>
      <c r="W5629" s="8">
        <f t="shared" si="557"/>
        <v>13125</v>
      </c>
    </row>
    <row r="5630" spans="1:23" ht="21.95" customHeight="1" x14ac:dyDescent="0.2">
      <c r="A5630" s="6" t="s">
        <v>1151</v>
      </c>
      <c r="B5630" s="5" t="s">
        <v>1805</v>
      </c>
      <c r="C5630" s="5" t="s">
        <v>1616</v>
      </c>
      <c r="D5630" s="5" t="s">
        <v>1605</v>
      </c>
      <c r="K5630" s="7">
        <v>44009995</v>
      </c>
      <c r="L5630" s="6" t="str">
        <f t="shared" si="558"/>
        <v xml:space="preserve">PLK JOYY BAZA BAŞLIĞI 120'LİK </v>
      </c>
      <c r="M5630" s="12">
        <v>0.4</v>
      </c>
      <c r="N5630" s="8">
        <v>0.3</v>
      </c>
      <c r="O5630" s="8">
        <v>8500</v>
      </c>
      <c r="P5630" s="8">
        <f t="shared" si="559"/>
        <v>5950</v>
      </c>
      <c r="Q5630" s="12">
        <f t="shared" si="560"/>
        <v>12495</v>
      </c>
      <c r="R5630" s="31">
        <f t="shared" si="561"/>
        <v>12400</v>
      </c>
      <c r="U5630" s="8">
        <v>1920</v>
      </c>
      <c r="W5630" s="8">
        <f t="shared" si="557"/>
        <v>14875</v>
      </c>
    </row>
    <row r="5631" spans="1:23" ht="21.95" customHeight="1" x14ac:dyDescent="0.2">
      <c r="A5631" s="6" t="s">
        <v>1151</v>
      </c>
      <c r="B5631" s="5" t="s">
        <v>1805</v>
      </c>
      <c r="C5631" s="5" t="s">
        <v>1616</v>
      </c>
      <c r="D5631" s="5" t="s">
        <v>1606</v>
      </c>
      <c r="K5631" s="7">
        <v>44009996</v>
      </c>
      <c r="L5631" s="6" t="str">
        <f t="shared" si="558"/>
        <v xml:space="preserve">PLK JOYY DAYBED KARYOLA </v>
      </c>
      <c r="M5631" s="12">
        <v>0.4</v>
      </c>
      <c r="N5631" s="8">
        <v>0.3</v>
      </c>
      <c r="O5631" s="8">
        <v>10000</v>
      </c>
      <c r="P5631" s="8">
        <f t="shared" si="559"/>
        <v>7000</v>
      </c>
      <c r="Q5631" s="12">
        <f t="shared" si="560"/>
        <v>14700</v>
      </c>
      <c r="R5631" s="31">
        <f t="shared" si="561"/>
        <v>14700</v>
      </c>
      <c r="U5631" s="8">
        <v>2305</v>
      </c>
      <c r="W5631" s="8">
        <f t="shared" si="557"/>
        <v>17500</v>
      </c>
    </row>
    <row r="5632" spans="1:23" ht="21.95" customHeight="1" x14ac:dyDescent="0.2">
      <c r="A5632" s="6" t="s">
        <v>1151</v>
      </c>
      <c r="B5632" s="5" t="s">
        <v>1805</v>
      </c>
      <c r="C5632" s="5" t="s">
        <v>1616</v>
      </c>
      <c r="D5632" s="5" t="s">
        <v>1076</v>
      </c>
      <c r="K5632" s="7">
        <v>44009997</v>
      </c>
      <c r="L5632" s="6" t="str">
        <f t="shared" si="558"/>
        <v xml:space="preserve">PLK JOYY KORKULUK </v>
      </c>
      <c r="M5632" s="12">
        <v>0.4</v>
      </c>
      <c r="N5632" s="8">
        <v>0.3</v>
      </c>
      <c r="O5632" s="8">
        <v>4000</v>
      </c>
      <c r="P5632" s="8">
        <f t="shared" si="559"/>
        <v>2800</v>
      </c>
      <c r="Q5632" s="12">
        <f t="shared" si="560"/>
        <v>5880</v>
      </c>
      <c r="R5632" s="31">
        <f t="shared" si="561"/>
        <v>5800</v>
      </c>
      <c r="U5632" s="8">
        <v>1020</v>
      </c>
      <c r="W5632" s="8">
        <f t="shared" si="557"/>
        <v>7000</v>
      </c>
    </row>
    <row r="5633" spans="1:23" ht="21.95" customHeight="1" x14ac:dyDescent="0.2">
      <c r="A5633" s="6" t="s">
        <v>1151</v>
      </c>
      <c r="B5633" s="5" t="s">
        <v>1805</v>
      </c>
      <c r="C5633" s="5" t="s">
        <v>1616</v>
      </c>
      <c r="D5633" s="5" t="s">
        <v>1607</v>
      </c>
      <c r="K5633" s="7">
        <v>44009998</v>
      </c>
      <c r="L5633" s="6" t="str">
        <f t="shared" si="558"/>
        <v xml:space="preserve">PLK JOYY YAVRU ALT SANDIK </v>
      </c>
      <c r="M5633" s="12">
        <v>0.4</v>
      </c>
      <c r="N5633" s="8">
        <v>0.3</v>
      </c>
      <c r="O5633" s="8">
        <v>6000</v>
      </c>
      <c r="P5633" s="8">
        <f t="shared" si="559"/>
        <v>4200</v>
      </c>
      <c r="Q5633" s="12">
        <f t="shared" si="560"/>
        <v>8820</v>
      </c>
      <c r="R5633" s="31">
        <f t="shared" si="561"/>
        <v>8800</v>
      </c>
      <c r="U5633" s="8">
        <v>8965</v>
      </c>
      <c r="W5633" s="8">
        <f t="shared" ref="W5633:W5665" si="562">P5633*2.5</f>
        <v>10500</v>
      </c>
    </row>
    <row r="5634" spans="1:23" ht="21.95" customHeight="1" x14ac:dyDescent="0.2">
      <c r="A5634" s="6" t="s">
        <v>1151</v>
      </c>
      <c r="B5634" s="5" t="s">
        <v>1805</v>
      </c>
      <c r="C5634" s="5" t="s">
        <v>1616</v>
      </c>
      <c r="D5634" s="5" t="s">
        <v>96</v>
      </c>
      <c r="K5634" s="7">
        <v>44009999</v>
      </c>
      <c r="L5634" s="6" t="str">
        <f t="shared" si="558"/>
        <v xml:space="preserve">PLK JOYY ŞİFONYER </v>
      </c>
      <c r="M5634" s="12">
        <v>0.4</v>
      </c>
      <c r="N5634" s="8">
        <v>0.3</v>
      </c>
      <c r="O5634" s="8">
        <v>11000</v>
      </c>
      <c r="P5634" s="8">
        <f t="shared" si="559"/>
        <v>7699.9999999999991</v>
      </c>
      <c r="Q5634" s="12">
        <f t="shared" si="560"/>
        <v>16169.999999999998</v>
      </c>
      <c r="R5634" s="31">
        <f t="shared" si="561"/>
        <v>16100</v>
      </c>
      <c r="U5634" s="8">
        <v>10915</v>
      </c>
      <c r="W5634" s="8">
        <f t="shared" si="562"/>
        <v>19249.999999999996</v>
      </c>
    </row>
    <row r="5635" spans="1:23" ht="21.95" customHeight="1" x14ac:dyDescent="0.2">
      <c r="A5635" s="6" t="s">
        <v>1151</v>
      </c>
      <c r="B5635" s="5" t="s">
        <v>1805</v>
      </c>
      <c r="C5635" s="5" t="s">
        <v>1616</v>
      </c>
      <c r="D5635" s="5" t="s">
        <v>1457</v>
      </c>
      <c r="K5635" s="7">
        <v>44010000</v>
      </c>
      <c r="L5635" s="6" t="str">
        <f t="shared" si="558"/>
        <v xml:space="preserve">PLK JOYY AYNA </v>
      </c>
      <c r="M5635" s="12">
        <v>0.4</v>
      </c>
      <c r="N5635" s="8">
        <v>0.3</v>
      </c>
      <c r="O5635" s="8">
        <v>3500</v>
      </c>
      <c r="P5635" s="8">
        <f t="shared" si="559"/>
        <v>2450</v>
      </c>
      <c r="Q5635" s="12">
        <f t="shared" si="560"/>
        <v>5145</v>
      </c>
      <c r="R5635" s="31">
        <f t="shared" si="561"/>
        <v>5100</v>
      </c>
      <c r="U5635" s="8">
        <v>4250</v>
      </c>
      <c r="W5635" s="8">
        <f t="shared" si="562"/>
        <v>6125</v>
      </c>
    </row>
    <row r="5636" spans="1:23" ht="21.95" customHeight="1" x14ac:dyDescent="0.2">
      <c r="A5636" s="6" t="s">
        <v>1151</v>
      </c>
      <c r="B5636" s="5" t="s">
        <v>1805</v>
      </c>
      <c r="C5636" s="5" t="s">
        <v>1616</v>
      </c>
      <c r="D5636" s="5" t="s">
        <v>1428</v>
      </c>
      <c r="K5636" s="7">
        <v>44010001</v>
      </c>
      <c r="L5636" s="6" t="str">
        <f t="shared" si="558"/>
        <v xml:space="preserve">PLK JOYY KOMODİN </v>
      </c>
      <c r="M5636" s="12">
        <v>0.4</v>
      </c>
      <c r="N5636" s="8">
        <v>0.3</v>
      </c>
      <c r="O5636" s="8">
        <v>4000</v>
      </c>
      <c r="P5636" s="8">
        <f t="shared" si="559"/>
        <v>2800</v>
      </c>
      <c r="Q5636" s="12">
        <f t="shared" si="560"/>
        <v>5880</v>
      </c>
      <c r="R5636" s="31">
        <f t="shared" si="561"/>
        <v>5800</v>
      </c>
      <c r="U5636" s="8">
        <v>2900</v>
      </c>
      <c r="W5636" s="8">
        <f t="shared" si="562"/>
        <v>7000</v>
      </c>
    </row>
    <row r="5637" spans="1:23" ht="21.95" customHeight="1" x14ac:dyDescent="0.2">
      <c r="A5637" s="6" t="s">
        <v>1151</v>
      </c>
      <c r="B5637" s="5" t="s">
        <v>1805</v>
      </c>
      <c r="C5637" s="5" t="s">
        <v>1616</v>
      </c>
      <c r="D5637" s="5" t="s">
        <v>1614</v>
      </c>
      <c r="K5637" s="7">
        <v>44010002</v>
      </c>
      <c r="L5637" s="6" t="str">
        <f t="shared" si="558"/>
        <v xml:space="preserve">PLK JOYY UYKU SETİ </v>
      </c>
      <c r="M5637" s="12">
        <v>0.4</v>
      </c>
      <c r="N5637" s="8">
        <v>0.3</v>
      </c>
      <c r="O5637" s="8">
        <v>5500</v>
      </c>
      <c r="P5637" s="8">
        <f t="shared" si="559"/>
        <v>3849.9999999999995</v>
      </c>
      <c r="Q5637" s="12">
        <f t="shared" si="560"/>
        <v>8084.9999999999991</v>
      </c>
      <c r="R5637" s="31">
        <f t="shared" si="561"/>
        <v>8000</v>
      </c>
      <c r="U5637" s="8">
        <v>3530</v>
      </c>
      <c r="W5637" s="8">
        <f t="shared" si="562"/>
        <v>9624.9999999999982</v>
      </c>
    </row>
    <row r="5638" spans="1:23" ht="21.95" customHeight="1" x14ac:dyDescent="0.2">
      <c r="A5638" s="6" t="s">
        <v>1151</v>
      </c>
      <c r="B5638" s="5" t="s">
        <v>1805</v>
      </c>
      <c r="C5638" s="5" t="s">
        <v>1616</v>
      </c>
      <c r="D5638" s="5" t="s">
        <v>358</v>
      </c>
      <c r="K5638" s="7">
        <v>44010003</v>
      </c>
      <c r="L5638" s="6" t="str">
        <f t="shared" si="558"/>
        <v xml:space="preserve">PLK JOYY SANDALYE </v>
      </c>
      <c r="M5638" s="12">
        <v>0.4</v>
      </c>
      <c r="N5638" s="8">
        <v>0.3</v>
      </c>
      <c r="O5638" s="8">
        <v>7500</v>
      </c>
      <c r="P5638" s="8">
        <f t="shared" si="559"/>
        <v>5250</v>
      </c>
      <c r="Q5638" s="12">
        <f t="shared" si="560"/>
        <v>11025</v>
      </c>
      <c r="R5638" s="31">
        <f t="shared" si="561"/>
        <v>11000</v>
      </c>
      <c r="U5638" s="8">
        <v>980</v>
      </c>
      <c r="W5638" s="8">
        <f t="shared" si="562"/>
        <v>13125</v>
      </c>
    </row>
    <row r="5639" spans="1:23" ht="21.95" customHeight="1" x14ac:dyDescent="0.2">
      <c r="A5639" s="6" t="s">
        <v>1151</v>
      </c>
      <c r="B5639" s="5" t="s">
        <v>1805</v>
      </c>
      <c r="C5639" s="5" t="s">
        <v>1616</v>
      </c>
      <c r="D5639" s="5" t="s">
        <v>530</v>
      </c>
      <c r="K5639" s="7">
        <v>44010004</v>
      </c>
      <c r="L5639" s="6" t="str">
        <f t="shared" si="558"/>
        <v xml:space="preserve">PLK JOYY KİTAPLIK </v>
      </c>
      <c r="M5639" s="12">
        <v>0.4</v>
      </c>
      <c r="N5639" s="8">
        <v>0.3</v>
      </c>
      <c r="O5639" s="8">
        <v>6000</v>
      </c>
      <c r="P5639" s="8">
        <f t="shared" si="559"/>
        <v>4200</v>
      </c>
      <c r="Q5639" s="12">
        <f t="shared" si="560"/>
        <v>8820</v>
      </c>
      <c r="R5639" s="31">
        <f t="shared" si="561"/>
        <v>8800</v>
      </c>
      <c r="U5639" s="8">
        <v>1780</v>
      </c>
      <c r="W5639" s="8">
        <f t="shared" si="562"/>
        <v>10500</v>
      </c>
    </row>
    <row r="5640" spans="1:23" ht="21.95" customHeight="1" x14ac:dyDescent="0.2">
      <c r="A5640" s="6" t="s">
        <v>1151</v>
      </c>
      <c r="B5640" s="5" t="s">
        <v>1805</v>
      </c>
      <c r="C5640" s="5" t="s">
        <v>1616</v>
      </c>
      <c r="D5640" s="5" t="s">
        <v>1431</v>
      </c>
      <c r="K5640" s="7">
        <v>44010005</v>
      </c>
      <c r="L5640" s="6" t="str">
        <f t="shared" si="558"/>
        <v xml:space="preserve">PLK JOYY HALI </v>
      </c>
      <c r="M5640" s="12">
        <v>0.4</v>
      </c>
      <c r="N5640" s="8">
        <v>0.3</v>
      </c>
      <c r="O5640" s="8">
        <v>2500</v>
      </c>
      <c r="P5640" s="8">
        <f t="shared" si="559"/>
        <v>1750</v>
      </c>
      <c r="Q5640" s="12">
        <f t="shared" si="560"/>
        <v>3675</v>
      </c>
      <c r="R5640" s="31">
        <f t="shared" si="561"/>
        <v>3600</v>
      </c>
      <c r="U5640" s="8">
        <v>2170</v>
      </c>
      <c r="W5640" s="8">
        <f t="shared" si="562"/>
        <v>4375</v>
      </c>
    </row>
    <row r="5641" spans="1:23" ht="21.95" customHeight="1" x14ac:dyDescent="0.2">
      <c r="A5641" s="6" t="s">
        <v>1151</v>
      </c>
      <c r="B5641" s="5" t="s">
        <v>1805</v>
      </c>
      <c r="C5641" s="5" t="s">
        <v>1616</v>
      </c>
      <c r="D5641" s="5" t="s">
        <v>1615</v>
      </c>
      <c r="K5641" s="7">
        <v>44010006</v>
      </c>
      <c r="L5641" s="6" t="str">
        <f t="shared" si="558"/>
        <v xml:space="preserve">PLK JOYY BOY AYNASI </v>
      </c>
      <c r="M5641" s="12">
        <v>0.4</v>
      </c>
      <c r="N5641" s="8">
        <v>0.3</v>
      </c>
      <c r="O5641" s="8">
        <v>4500</v>
      </c>
      <c r="P5641" s="8">
        <f t="shared" si="559"/>
        <v>3150</v>
      </c>
      <c r="Q5641" s="12">
        <f t="shared" si="560"/>
        <v>6615</v>
      </c>
      <c r="R5641" s="31">
        <f t="shared" si="561"/>
        <v>6600</v>
      </c>
      <c r="U5641" s="8">
        <v>805</v>
      </c>
      <c r="W5641" s="8">
        <f t="shared" si="562"/>
        <v>7875</v>
      </c>
    </row>
    <row r="5642" spans="1:23" ht="21.95" customHeight="1" x14ac:dyDescent="0.2">
      <c r="A5642" s="6" t="s">
        <v>1151</v>
      </c>
      <c r="B5642" s="5" t="s">
        <v>1805</v>
      </c>
      <c r="C5642" s="5" t="s">
        <v>1617</v>
      </c>
      <c r="D5642" s="5" t="s">
        <v>1453</v>
      </c>
      <c r="K5642" s="7">
        <v>44010007</v>
      </c>
      <c r="L5642" s="6" t="str">
        <f t="shared" si="558"/>
        <v xml:space="preserve">PLK SOFIA  3 KAPILI DOLAP </v>
      </c>
      <c r="M5642" s="12">
        <v>0.4</v>
      </c>
      <c r="N5642" s="8">
        <v>0.3</v>
      </c>
      <c r="O5642" s="8">
        <v>21000</v>
      </c>
      <c r="P5642" s="8">
        <f t="shared" si="559"/>
        <v>14699.999999999998</v>
      </c>
      <c r="Q5642" s="12">
        <f t="shared" si="560"/>
        <v>30869.999999999996</v>
      </c>
      <c r="R5642" s="31">
        <f t="shared" si="561"/>
        <v>30800</v>
      </c>
      <c r="U5642" s="8">
        <v>1665</v>
      </c>
      <c r="W5642" s="8">
        <f t="shared" si="562"/>
        <v>36749.999999999993</v>
      </c>
    </row>
    <row r="5643" spans="1:23" ht="21.95" customHeight="1" x14ac:dyDescent="0.2">
      <c r="A5643" s="6" t="s">
        <v>1151</v>
      </c>
      <c r="B5643" s="5" t="s">
        <v>1805</v>
      </c>
      <c r="C5643" s="5" t="s">
        <v>1617</v>
      </c>
      <c r="D5643" s="5" t="s">
        <v>1599</v>
      </c>
      <c r="K5643" s="7">
        <v>44010008</v>
      </c>
      <c r="L5643" s="6" t="str">
        <f t="shared" si="558"/>
        <v>PLK SOFIA  BAŞLIKLI KARYOLA 100*200</v>
      </c>
      <c r="M5643" s="12">
        <v>0.4</v>
      </c>
      <c r="N5643" s="8">
        <v>0.3</v>
      </c>
      <c r="O5643" s="8">
        <v>13000</v>
      </c>
      <c r="P5643" s="8">
        <f t="shared" si="559"/>
        <v>9100</v>
      </c>
      <c r="Q5643" s="12">
        <f t="shared" si="560"/>
        <v>19110</v>
      </c>
      <c r="R5643" s="31">
        <f t="shared" si="561"/>
        <v>19100</v>
      </c>
      <c r="U5643" s="8">
        <v>1925</v>
      </c>
      <c r="W5643" s="8">
        <f t="shared" si="562"/>
        <v>22750</v>
      </c>
    </row>
    <row r="5644" spans="1:23" ht="21.95" customHeight="1" x14ac:dyDescent="0.2">
      <c r="A5644" s="6" t="s">
        <v>1151</v>
      </c>
      <c r="B5644" s="5" t="s">
        <v>1805</v>
      </c>
      <c r="C5644" s="5" t="s">
        <v>1617</v>
      </c>
      <c r="D5644" s="5" t="s">
        <v>1600</v>
      </c>
      <c r="K5644" s="7">
        <v>44010009</v>
      </c>
      <c r="L5644" s="6" t="str">
        <f t="shared" si="558"/>
        <v>PLK SOFIA  ÇALIŞMA MASASI (ÜST MODÜL DAHİL)</v>
      </c>
      <c r="M5644" s="12">
        <v>0.4</v>
      </c>
      <c r="N5644" s="8">
        <v>0.3</v>
      </c>
      <c r="O5644" s="8">
        <v>12500</v>
      </c>
      <c r="P5644" s="8">
        <f t="shared" si="559"/>
        <v>8750</v>
      </c>
      <c r="Q5644" s="12">
        <f t="shared" si="560"/>
        <v>18375</v>
      </c>
      <c r="R5644" s="31">
        <f t="shared" si="561"/>
        <v>18300</v>
      </c>
      <c r="U5644" s="8">
        <v>2085</v>
      </c>
      <c r="W5644" s="8">
        <f t="shared" si="562"/>
        <v>21875</v>
      </c>
    </row>
    <row r="5645" spans="1:23" ht="21.95" customHeight="1" x14ac:dyDescent="0.2">
      <c r="A5645" s="6" t="s">
        <v>1151</v>
      </c>
      <c r="B5645" s="5" t="s">
        <v>1805</v>
      </c>
      <c r="C5645" s="5" t="s">
        <v>1617</v>
      </c>
      <c r="D5645" s="5" t="s">
        <v>1452</v>
      </c>
      <c r="K5645" s="7">
        <v>44010010</v>
      </c>
      <c r="L5645" s="6" t="str">
        <f t="shared" si="558"/>
        <v xml:space="preserve">PLK SOFIA  4 KAPILI DOLAP </v>
      </c>
      <c r="M5645" s="12">
        <v>0.4</v>
      </c>
      <c r="N5645" s="8">
        <v>0.3</v>
      </c>
      <c r="O5645" s="8">
        <v>26000</v>
      </c>
      <c r="P5645" s="8">
        <f t="shared" si="559"/>
        <v>18200</v>
      </c>
      <c r="Q5645" s="12">
        <f t="shared" si="560"/>
        <v>38220</v>
      </c>
      <c r="R5645" s="31">
        <f t="shared" si="561"/>
        <v>38200</v>
      </c>
      <c r="U5645" s="8">
        <v>2470</v>
      </c>
      <c r="W5645" s="8">
        <f t="shared" si="562"/>
        <v>45500</v>
      </c>
    </row>
    <row r="5646" spans="1:23" ht="21.95" customHeight="1" x14ac:dyDescent="0.2">
      <c r="A5646" s="6" t="s">
        <v>1151</v>
      </c>
      <c r="B5646" s="5" t="s">
        <v>1805</v>
      </c>
      <c r="C5646" s="5" t="s">
        <v>1617</v>
      </c>
      <c r="D5646" s="5" t="s">
        <v>1618</v>
      </c>
      <c r="K5646" s="7">
        <v>44010011</v>
      </c>
      <c r="L5646" s="6" t="str">
        <f t="shared" si="558"/>
        <v xml:space="preserve">PLK SOFIA  SÜRGÜLÜ DOLAP </v>
      </c>
      <c r="M5646" s="12">
        <v>0.4</v>
      </c>
      <c r="N5646" s="8">
        <v>0.3</v>
      </c>
      <c r="O5646" s="8">
        <v>26000</v>
      </c>
      <c r="P5646" s="8">
        <f t="shared" si="559"/>
        <v>18200</v>
      </c>
      <c r="Q5646" s="12">
        <f t="shared" si="560"/>
        <v>38220</v>
      </c>
      <c r="R5646" s="31">
        <f t="shared" si="561"/>
        <v>38200</v>
      </c>
      <c r="U5646" s="8">
        <v>890</v>
      </c>
      <c r="W5646" s="8">
        <f t="shared" si="562"/>
        <v>45500</v>
      </c>
    </row>
    <row r="5647" spans="1:23" ht="21.95" customHeight="1" x14ac:dyDescent="0.2">
      <c r="A5647" s="6" t="s">
        <v>1151</v>
      </c>
      <c r="B5647" s="5" t="s">
        <v>1805</v>
      </c>
      <c r="C5647" s="5" t="s">
        <v>1617</v>
      </c>
      <c r="D5647" s="5" t="s">
        <v>1619</v>
      </c>
      <c r="K5647" s="7">
        <v>44010012</v>
      </c>
      <c r="L5647" s="6" t="str">
        <f t="shared" si="558"/>
        <v xml:space="preserve">PLK SOFIA  2 KAPILI DOLAP </v>
      </c>
      <c r="M5647" s="12">
        <v>0.4</v>
      </c>
      <c r="N5647" s="8">
        <v>0.3</v>
      </c>
      <c r="O5647" s="8">
        <v>14000</v>
      </c>
      <c r="P5647" s="8">
        <f t="shared" si="559"/>
        <v>9800</v>
      </c>
      <c r="Q5647" s="12">
        <f t="shared" si="560"/>
        <v>20580</v>
      </c>
      <c r="R5647" s="31">
        <f t="shared" si="561"/>
        <v>20500</v>
      </c>
      <c r="U5647" s="8">
        <v>2410</v>
      </c>
      <c r="W5647" s="8">
        <f t="shared" si="562"/>
        <v>24500</v>
      </c>
    </row>
    <row r="5648" spans="1:23" ht="21.95" customHeight="1" x14ac:dyDescent="0.2">
      <c r="A5648" s="6" t="s">
        <v>1151</v>
      </c>
      <c r="B5648" s="5" t="s">
        <v>1805</v>
      </c>
      <c r="C5648" s="5" t="s">
        <v>1617</v>
      </c>
      <c r="D5648" s="5" t="s">
        <v>1620</v>
      </c>
      <c r="K5648" s="7">
        <v>44010013</v>
      </c>
      <c r="L5648" s="6" t="str">
        <f t="shared" si="558"/>
        <v>PLK SOFIA  2 KAPILI DOLAP (ÇEKMECE MODÜLÜ)</v>
      </c>
      <c r="M5648" s="12">
        <v>0.4</v>
      </c>
      <c r="N5648" s="8">
        <v>0.3</v>
      </c>
      <c r="O5648" s="8">
        <v>6000</v>
      </c>
      <c r="P5648" s="8">
        <f t="shared" si="559"/>
        <v>4200</v>
      </c>
      <c r="Q5648" s="12">
        <f t="shared" si="560"/>
        <v>8820</v>
      </c>
      <c r="R5648" s="31">
        <f t="shared" si="561"/>
        <v>8800</v>
      </c>
      <c r="U5648" s="8">
        <v>3240</v>
      </c>
      <c r="W5648" s="8">
        <f t="shared" si="562"/>
        <v>10500</v>
      </c>
    </row>
    <row r="5649" spans="1:23" ht="21.95" customHeight="1" x14ac:dyDescent="0.2">
      <c r="A5649" s="6" t="s">
        <v>1151</v>
      </c>
      <c r="B5649" s="5" t="s">
        <v>1805</v>
      </c>
      <c r="C5649" s="5" t="s">
        <v>1617</v>
      </c>
      <c r="D5649" s="5" t="s">
        <v>1621</v>
      </c>
      <c r="K5649" s="7">
        <v>44010014</v>
      </c>
      <c r="L5649" s="6" t="str">
        <f t="shared" si="558"/>
        <v xml:space="preserve">PLK SOFIA  KÖŞE DOLAP </v>
      </c>
      <c r="M5649" s="12">
        <v>0.4</v>
      </c>
      <c r="N5649" s="8">
        <v>0.3</v>
      </c>
      <c r="O5649" s="8">
        <v>14000</v>
      </c>
      <c r="P5649" s="8">
        <f t="shared" si="559"/>
        <v>9800</v>
      </c>
      <c r="Q5649" s="12">
        <f t="shared" si="560"/>
        <v>20580</v>
      </c>
      <c r="R5649" s="31">
        <f t="shared" si="561"/>
        <v>20500</v>
      </c>
      <c r="U5649" s="8">
        <v>1910</v>
      </c>
      <c r="W5649" s="8">
        <f t="shared" si="562"/>
        <v>24500</v>
      </c>
    </row>
    <row r="5650" spans="1:23" ht="21.95" customHeight="1" x14ac:dyDescent="0.2">
      <c r="A5650" s="6" t="s">
        <v>1151</v>
      </c>
      <c r="B5650" s="5" t="s">
        <v>1805</v>
      </c>
      <c r="C5650" s="5" t="s">
        <v>1617</v>
      </c>
      <c r="D5650" s="5" t="s">
        <v>1622</v>
      </c>
      <c r="K5650" s="7">
        <v>44010015</v>
      </c>
      <c r="L5650" s="6" t="str">
        <f t="shared" si="558"/>
        <v>PLK SOFIA  BAZA 100'LÜK</v>
      </c>
      <c r="M5650" s="12">
        <v>0.4</v>
      </c>
      <c r="N5650" s="8">
        <v>0.3</v>
      </c>
      <c r="O5650" s="8">
        <v>9000</v>
      </c>
      <c r="P5650" s="8">
        <f t="shared" si="559"/>
        <v>6300</v>
      </c>
      <c r="Q5650" s="12">
        <f t="shared" si="560"/>
        <v>13230</v>
      </c>
      <c r="R5650" s="31">
        <f t="shared" si="561"/>
        <v>13200</v>
      </c>
      <c r="U5650" s="8">
        <v>2220</v>
      </c>
      <c r="W5650" s="8">
        <f t="shared" si="562"/>
        <v>15750</v>
      </c>
    </row>
    <row r="5651" spans="1:23" ht="21.95" customHeight="1" x14ac:dyDescent="0.2">
      <c r="A5651" s="6" t="s">
        <v>1151</v>
      </c>
      <c r="B5651" s="5" t="s">
        <v>1805</v>
      </c>
      <c r="C5651" s="5" t="s">
        <v>1617</v>
      </c>
      <c r="D5651" s="5" t="s">
        <v>1603</v>
      </c>
      <c r="K5651" s="7">
        <v>44010016</v>
      </c>
      <c r="L5651" s="6" t="str">
        <f t="shared" si="558"/>
        <v xml:space="preserve">PLK SOFIA  BAZA 120'LİK </v>
      </c>
      <c r="M5651" s="12">
        <v>0.4</v>
      </c>
      <c r="N5651" s="8">
        <v>0.3</v>
      </c>
      <c r="O5651" s="8">
        <v>10000</v>
      </c>
      <c r="P5651" s="8">
        <f t="shared" si="559"/>
        <v>7000</v>
      </c>
      <c r="Q5651" s="12">
        <f t="shared" si="560"/>
        <v>14700</v>
      </c>
      <c r="R5651" s="31">
        <f t="shared" si="561"/>
        <v>14700</v>
      </c>
      <c r="U5651" s="8">
        <v>1465</v>
      </c>
      <c r="W5651" s="8">
        <f t="shared" si="562"/>
        <v>17500</v>
      </c>
    </row>
    <row r="5652" spans="1:23" ht="21.95" customHeight="1" x14ac:dyDescent="0.2">
      <c r="A5652" s="6" t="s">
        <v>1151</v>
      </c>
      <c r="B5652" s="5" t="s">
        <v>1805</v>
      </c>
      <c r="C5652" s="5" t="s">
        <v>1617</v>
      </c>
      <c r="D5652" s="5" t="s">
        <v>1604</v>
      </c>
      <c r="K5652" s="7">
        <v>44010017</v>
      </c>
      <c r="L5652" s="6" t="str">
        <f t="shared" si="558"/>
        <v xml:space="preserve">PLK SOFIA  BAZA BAŞLIĞI 100'LÜK </v>
      </c>
      <c r="M5652" s="12">
        <v>0.4</v>
      </c>
      <c r="N5652" s="8">
        <v>0.3</v>
      </c>
      <c r="O5652" s="8">
        <v>7500</v>
      </c>
      <c r="P5652" s="8">
        <f t="shared" si="559"/>
        <v>5250</v>
      </c>
      <c r="Q5652" s="12">
        <f t="shared" si="560"/>
        <v>11025</v>
      </c>
      <c r="R5652" s="31">
        <f t="shared" si="561"/>
        <v>11000</v>
      </c>
      <c r="U5652" s="8">
        <v>1670</v>
      </c>
      <c r="W5652" s="8">
        <f t="shared" si="562"/>
        <v>13125</v>
      </c>
    </row>
    <row r="5653" spans="1:23" ht="21.95" customHeight="1" x14ac:dyDescent="0.2">
      <c r="A5653" s="6" t="s">
        <v>1151</v>
      </c>
      <c r="B5653" s="5" t="s">
        <v>1805</v>
      </c>
      <c r="C5653" s="5" t="s">
        <v>1617</v>
      </c>
      <c r="D5653" s="5" t="s">
        <v>1605</v>
      </c>
      <c r="K5653" s="7">
        <v>44010018</v>
      </c>
      <c r="L5653" s="6" t="str">
        <f t="shared" si="558"/>
        <v xml:space="preserve">PLK SOFIA  BAZA BAŞLIĞI 120'LİK </v>
      </c>
      <c r="M5653" s="12">
        <v>0.4</v>
      </c>
      <c r="N5653" s="8">
        <v>0.3</v>
      </c>
      <c r="O5653" s="8">
        <v>8500</v>
      </c>
      <c r="P5653" s="8">
        <f t="shared" si="559"/>
        <v>5950</v>
      </c>
      <c r="Q5653" s="12">
        <f t="shared" si="560"/>
        <v>12495</v>
      </c>
      <c r="R5653" s="31">
        <f t="shared" si="561"/>
        <v>12400</v>
      </c>
      <c r="U5653" s="8">
        <v>925</v>
      </c>
      <c r="W5653" s="8">
        <f t="shared" si="562"/>
        <v>14875</v>
      </c>
    </row>
    <row r="5654" spans="1:23" ht="21.95" customHeight="1" x14ac:dyDescent="0.2">
      <c r="A5654" s="6" t="s">
        <v>1151</v>
      </c>
      <c r="B5654" s="5" t="s">
        <v>1805</v>
      </c>
      <c r="C5654" s="5" t="s">
        <v>1617</v>
      </c>
      <c r="D5654" s="5" t="s">
        <v>96</v>
      </c>
      <c r="K5654" s="7">
        <v>44010019</v>
      </c>
      <c r="L5654" s="6" t="str">
        <f t="shared" si="558"/>
        <v xml:space="preserve">PLK SOFIA  ŞİFONYER </v>
      </c>
      <c r="M5654" s="12">
        <v>0.4</v>
      </c>
      <c r="N5654" s="8">
        <v>0.3</v>
      </c>
      <c r="O5654" s="8">
        <v>11000</v>
      </c>
      <c r="P5654" s="8">
        <f t="shared" si="559"/>
        <v>7699.9999999999991</v>
      </c>
      <c r="Q5654" s="12">
        <f t="shared" si="560"/>
        <v>16169.999999999998</v>
      </c>
      <c r="R5654" s="31">
        <f t="shared" si="561"/>
        <v>16100</v>
      </c>
      <c r="U5654" s="8">
        <v>1045</v>
      </c>
      <c r="W5654" s="8">
        <f t="shared" si="562"/>
        <v>19249.999999999996</v>
      </c>
    </row>
    <row r="5655" spans="1:23" ht="21.95" customHeight="1" x14ac:dyDescent="0.2">
      <c r="A5655" s="6" t="s">
        <v>1151</v>
      </c>
      <c r="B5655" s="5" t="s">
        <v>1805</v>
      </c>
      <c r="C5655" s="5" t="s">
        <v>1617</v>
      </c>
      <c r="D5655" s="5" t="s">
        <v>1457</v>
      </c>
      <c r="K5655" s="7">
        <v>44010020</v>
      </c>
      <c r="L5655" s="6" t="str">
        <f t="shared" si="558"/>
        <v xml:space="preserve">PLK SOFIA  AYNA </v>
      </c>
      <c r="M5655" s="12">
        <v>0.4</v>
      </c>
      <c r="N5655" s="8">
        <v>0.3</v>
      </c>
      <c r="O5655" s="8">
        <v>4000</v>
      </c>
      <c r="P5655" s="8">
        <f t="shared" si="559"/>
        <v>2800</v>
      </c>
      <c r="Q5655" s="12">
        <f t="shared" si="560"/>
        <v>5880</v>
      </c>
      <c r="R5655" s="31">
        <f t="shared" si="561"/>
        <v>5800</v>
      </c>
      <c r="U5655" s="8">
        <v>1225</v>
      </c>
      <c r="W5655" s="8">
        <f t="shared" si="562"/>
        <v>7000</v>
      </c>
    </row>
    <row r="5656" spans="1:23" ht="21.95" customHeight="1" x14ac:dyDescent="0.2">
      <c r="A5656" s="6" t="s">
        <v>1151</v>
      </c>
      <c r="B5656" s="5" t="s">
        <v>1805</v>
      </c>
      <c r="C5656" s="5" t="s">
        <v>1617</v>
      </c>
      <c r="D5656" s="5" t="s">
        <v>1428</v>
      </c>
      <c r="K5656" s="7">
        <v>44010021</v>
      </c>
      <c r="L5656" s="6" t="str">
        <f t="shared" si="558"/>
        <v xml:space="preserve">PLK SOFIA  KOMODİN </v>
      </c>
      <c r="M5656" s="12">
        <v>0.4</v>
      </c>
      <c r="N5656" s="8">
        <v>0.3</v>
      </c>
      <c r="O5656" s="8">
        <v>4000</v>
      </c>
      <c r="P5656" s="8">
        <f t="shared" si="559"/>
        <v>2800</v>
      </c>
      <c r="Q5656" s="12">
        <f t="shared" si="560"/>
        <v>5880</v>
      </c>
      <c r="R5656" s="31">
        <f t="shared" si="561"/>
        <v>5800</v>
      </c>
      <c r="U5656" s="8">
        <v>1360</v>
      </c>
      <c r="W5656" s="8">
        <f t="shared" si="562"/>
        <v>7000</v>
      </c>
    </row>
    <row r="5657" spans="1:23" ht="21.95" customHeight="1" x14ac:dyDescent="0.2">
      <c r="A5657" s="6" t="s">
        <v>1151</v>
      </c>
      <c r="B5657" s="5" t="s">
        <v>1805</v>
      </c>
      <c r="C5657" s="5" t="s">
        <v>1617</v>
      </c>
      <c r="D5657" s="5" t="s">
        <v>1614</v>
      </c>
      <c r="K5657" s="7">
        <v>44010022</v>
      </c>
      <c r="L5657" s="6" t="str">
        <f t="shared" si="558"/>
        <v xml:space="preserve">PLK SOFIA  UYKU SETİ </v>
      </c>
      <c r="M5657" s="12">
        <v>0.4</v>
      </c>
      <c r="N5657" s="8">
        <v>0.3</v>
      </c>
      <c r="O5657" s="8">
        <v>5500</v>
      </c>
      <c r="P5657" s="8">
        <f t="shared" si="559"/>
        <v>3849.9999999999995</v>
      </c>
      <c r="Q5657" s="12">
        <f t="shared" si="560"/>
        <v>8084.9999999999991</v>
      </c>
      <c r="R5657" s="31">
        <f t="shared" si="561"/>
        <v>8000</v>
      </c>
      <c r="U5657" s="8">
        <v>1525</v>
      </c>
      <c r="W5657" s="8">
        <f t="shared" si="562"/>
        <v>9624.9999999999982</v>
      </c>
    </row>
    <row r="5658" spans="1:23" ht="21.95" customHeight="1" x14ac:dyDescent="0.2">
      <c r="A5658" s="6" t="s">
        <v>1151</v>
      </c>
      <c r="B5658" s="5" t="s">
        <v>1805</v>
      </c>
      <c r="C5658" s="5" t="s">
        <v>1617</v>
      </c>
      <c r="D5658" s="5" t="s">
        <v>358</v>
      </c>
      <c r="K5658" s="7">
        <v>44010023</v>
      </c>
      <c r="L5658" s="6" t="str">
        <f t="shared" si="558"/>
        <v xml:space="preserve">PLK SOFIA  SANDALYE </v>
      </c>
      <c r="M5658" s="12">
        <v>0.4</v>
      </c>
      <c r="N5658" s="8">
        <v>0.3</v>
      </c>
      <c r="O5658" s="8">
        <v>7500</v>
      </c>
      <c r="P5658" s="8">
        <f t="shared" si="559"/>
        <v>5250</v>
      </c>
      <c r="Q5658" s="12">
        <f t="shared" si="560"/>
        <v>11025</v>
      </c>
      <c r="R5658" s="31">
        <f t="shared" si="561"/>
        <v>11000</v>
      </c>
      <c r="U5658" s="8">
        <v>845</v>
      </c>
      <c r="W5658" s="8">
        <f t="shared" si="562"/>
        <v>13125</v>
      </c>
    </row>
    <row r="5659" spans="1:23" ht="21.95" customHeight="1" x14ac:dyDescent="0.2">
      <c r="A5659" s="5" t="s">
        <v>1151</v>
      </c>
      <c r="B5659" s="5" t="s">
        <v>1805</v>
      </c>
      <c r="C5659" s="5" t="s">
        <v>1617</v>
      </c>
      <c r="D5659" s="5" t="s">
        <v>530</v>
      </c>
      <c r="K5659" s="7">
        <v>44010024</v>
      </c>
      <c r="L5659" s="6" t="str">
        <f t="shared" si="558"/>
        <v xml:space="preserve">PLK SOFIA  KİTAPLIK </v>
      </c>
      <c r="M5659" s="12">
        <v>0.4</v>
      </c>
      <c r="N5659" s="8">
        <v>0.3</v>
      </c>
      <c r="O5659" s="8">
        <v>7000</v>
      </c>
      <c r="P5659" s="8">
        <f t="shared" si="559"/>
        <v>4900</v>
      </c>
      <c r="Q5659" s="12">
        <f t="shared" si="560"/>
        <v>10290</v>
      </c>
      <c r="R5659" s="31">
        <f t="shared" si="561"/>
        <v>10200</v>
      </c>
      <c r="U5659" s="8">
        <v>1010</v>
      </c>
      <c r="W5659" s="8">
        <f t="shared" si="562"/>
        <v>12250</v>
      </c>
    </row>
    <row r="5660" spans="1:23" ht="21.95" customHeight="1" x14ac:dyDescent="0.2">
      <c r="A5660" s="5" t="s">
        <v>1151</v>
      </c>
      <c r="B5660" s="5" t="s">
        <v>1805</v>
      </c>
      <c r="C5660" s="5" t="s">
        <v>1617</v>
      </c>
      <c r="D5660" s="5" t="s">
        <v>1431</v>
      </c>
      <c r="K5660" s="7">
        <v>44010025</v>
      </c>
      <c r="L5660" s="6" t="str">
        <f t="shared" si="558"/>
        <v xml:space="preserve">PLK SOFIA  HALI </v>
      </c>
      <c r="M5660" s="12">
        <v>0.4</v>
      </c>
      <c r="N5660" s="8">
        <v>0.3</v>
      </c>
      <c r="O5660" s="8">
        <v>2500</v>
      </c>
      <c r="P5660" s="8">
        <f t="shared" si="559"/>
        <v>1750</v>
      </c>
      <c r="Q5660" s="12">
        <f t="shared" si="560"/>
        <v>3675</v>
      </c>
      <c r="R5660" s="31">
        <f t="shared" si="561"/>
        <v>3600</v>
      </c>
      <c r="U5660" s="8">
        <v>2925</v>
      </c>
      <c r="W5660" s="8">
        <f t="shared" si="562"/>
        <v>4375</v>
      </c>
    </row>
    <row r="5661" spans="1:23" ht="21.95" customHeight="1" x14ac:dyDescent="0.2">
      <c r="A5661" s="5" t="s">
        <v>1151</v>
      </c>
      <c r="B5661" s="5" t="s">
        <v>1805</v>
      </c>
      <c r="C5661" s="5" t="s">
        <v>1617</v>
      </c>
      <c r="D5661" s="5" t="s">
        <v>1615</v>
      </c>
      <c r="K5661" s="7">
        <v>44010026</v>
      </c>
      <c r="L5661" s="6" t="str">
        <f t="shared" si="558"/>
        <v xml:space="preserve">PLK SOFIA  BOY AYNASI </v>
      </c>
      <c r="M5661" s="12">
        <v>0.4</v>
      </c>
      <c r="N5661" s="8">
        <v>0.3</v>
      </c>
      <c r="O5661" s="8">
        <v>4500</v>
      </c>
      <c r="P5661" s="8">
        <f t="shared" si="559"/>
        <v>3150</v>
      </c>
      <c r="Q5661" s="12">
        <f t="shared" si="560"/>
        <v>6615</v>
      </c>
      <c r="R5661" s="31">
        <f t="shared" si="561"/>
        <v>6600</v>
      </c>
      <c r="U5661" s="8">
        <v>560</v>
      </c>
      <c r="W5661" s="8">
        <f t="shared" si="562"/>
        <v>7875</v>
      </c>
    </row>
    <row r="5662" spans="1:23" ht="21.95" customHeight="1" x14ac:dyDescent="0.2">
      <c r="A5662" s="5" t="s">
        <v>1151</v>
      </c>
      <c r="B5662" s="5" t="s">
        <v>1805</v>
      </c>
      <c r="C5662" s="5" t="s">
        <v>1623</v>
      </c>
      <c r="D5662" s="5" t="s">
        <v>1453</v>
      </c>
      <c r="K5662" s="7">
        <v>44010027</v>
      </c>
      <c r="L5662" s="6" t="str">
        <f t="shared" si="558"/>
        <v xml:space="preserve">PLK MOTTO  3 KAPILI DOLAP </v>
      </c>
      <c r="M5662" s="12">
        <v>0.4</v>
      </c>
      <c r="N5662" s="8">
        <v>0.3</v>
      </c>
      <c r="O5662" s="8">
        <v>20000</v>
      </c>
      <c r="P5662" s="8">
        <f t="shared" si="559"/>
        <v>14000</v>
      </c>
      <c r="Q5662" s="12">
        <f t="shared" si="560"/>
        <v>29400</v>
      </c>
      <c r="R5662" s="31">
        <f t="shared" si="561"/>
        <v>29400</v>
      </c>
      <c r="U5662" s="8">
        <v>595</v>
      </c>
      <c r="W5662" s="8">
        <f t="shared" si="562"/>
        <v>35000</v>
      </c>
    </row>
    <row r="5663" spans="1:23" ht="21.95" customHeight="1" x14ac:dyDescent="0.2">
      <c r="A5663" s="5" t="s">
        <v>1151</v>
      </c>
      <c r="B5663" s="5" t="s">
        <v>1805</v>
      </c>
      <c r="C5663" s="5" t="s">
        <v>1623</v>
      </c>
      <c r="D5663" s="5" t="s">
        <v>1624</v>
      </c>
      <c r="K5663" s="7">
        <v>44010028</v>
      </c>
      <c r="L5663" s="6" t="str">
        <f t="shared" si="558"/>
        <v xml:space="preserve">PLK MOTTO  BAŞLIKLI DOLAP </v>
      </c>
      <c r="M5663" s="12">
        <v>0.4</v>
      </c>
      <c r="N5663" s="8">
        <v>0.3</v>
      </c>
      <c r="O5663" s="8">
        <v>12000</v>
      </c>
      <c r="P5663" s="8">
        <f t="shared" si="559"/>
        <v>8400</v>
      </c>
      <c r="Q5663" s="12">
        <f t="shared" si="560"/>
        <v>17640</v>
      </c>
      <c r="R5663" s="31">
        <f t="shared" si="561"/>
        <v>17600</v>
      </c>
      <c r="U5663" s="8">
        <v>795</v>
      </c>
      <c r="W5663" s="8">
        <f t="shared" si="562"/>
        <v>21000</v>
      </c>
    </row>
    <row r="5664" spans="1:23" ht="21.95" customHeight="1" x14ac:dyDescent="0.2">
      <c r="A5664" s="5" t="s">
        <v>1151</v>
      </c>
      <c r="B5664" s="5" t="s">
        <v>1805</v>
      </c>
      <c r="C5664" s="5" t="s">
        <v>1623</v>
      </c>
      <c r="D5664" s="5" t="s">
        <v>1600</v>
      </c>
      <c r="K5664" s="7">
        <v>44010029</v>
      </c>
      <c r="L5664" s="6" t="str">
        <f t="shared" si="558"/>
        <v>PLK MOTTO  ÇALIŞMA MASASI (ÜST MODÜL DAHİL)</v>
      </c>
      <c r="M5664" s="12">
        <v>0.4</v>
      </c>
      <c r="N5664" s="8">
        <v>0.3</v>
      </c>
      <c r="O5664" s="8">
        <v>13000</v>
      </c>
      <c r="P5664" s="8">
        <f t="shared" si="559"/>
        <v>9100</v>
      </c>
      <c r="Q5664" s="12">
        <f t="shared" si="560"/>
        <v>19110</v>
      </c>
      <c r="R5664" s="31">
        <f t="shared" si="561"/>
        <v>19100</v>
      </c>
      <c r="U5664" s="8">
        <v>800</v>
      </c>
      <c r="W5664" s="8">
        <f t="shared" si="562"/>
        <v>22750</v>
      </c>
    </row>
    <row r="5665" spans="1:23" ht="21.95" customHeight="1" x14ac:dyDescent="0.2">
      <c r="A5665" s="5" t="s">
        <v>1151</v>
      </c>
      <c r="B5665" s="5" t="s">
        <v>1805</v>
      </c>
      <c r="C5665" s="5" t="s">
        <v>1623</v>
      </c>
      <c r="D5665" s="5" t="s">
        <v>1608</v>
      </c>
      <c r="K5665" s="7">
        <v>44010030</v>
      </c>
      <c r="L5665" s="6" t="str">
        <f t="shared" si="558"/>
        <v xml:space="preserve">PLK MOTTO  RANZA </v>
      </c>
      <c r="M5665" s="12">
        <v>0.4</v>
      </c>
      <c r="N5665" s="8">
        <v>0.3</v>
      </c>
      <c r="O5665" s="8">
        <v>21000</v>
      </c>
      <c r="P5665" s="8">
        <f t="shared" si="559"/>
        <v>14699.999999999998</v>
      </c>
      <c r="Q5665" s="12">
        <f t="shared" si="560"/>
        <v>30869.999999999996</v>
      </c>
      <c r="R5665" s="31">
        <f t="shared" si="561"/>
        <v>30800</v>
      </c>
      <c r="U5665" s="8">
        <v>860</v>
      </c>
      <c r="W5665" s="8">
        <f t="shared" si="562"/>
        <v>36749.999999999993</v>
      </c>
    </row>
    <row r="5666" spans="1:23" ht="21.95" customHeight="1" x14ac:dyDescent="0.2">
      <c r="A5666" s="5" t="s">
        <v>1151</v>
      </c>
      <c r="B5666" s="5" t="s">
        <v>1805</v>
      </c>
      <c r="C5666" s="5" t="s">
        <v>1623</v>
      </c>
      <c r="D5666" s="5" t="s">
        <v>1601</v>
      </c>
      <c r="K5666" s="7">
        <v>44010031</v>
      </c>
      <c r="L5666" s="6" t="str">
        <f t="shared" si="558"/>
        <v>PLK MOTTO  BAŞLIKLI KARYOLA 120*200</v>
      </c>
      <c r="M5666" s="12">
        <v>0.4</v>
      </c>
      <c r="N5666" s="8">
        <v>0.3</v>
      </c>
      <c r="O5666" s="8">
        <v>14000</v>
      </c>
      <c r="P5666" s="8">
        <f t="shared" si="559"/>
        <v>9800</v>
      </c>
      <c r="Q5666" s="12">
        <f t="shared" si="560"/>
        <v>20580</v>
      </c>
      <c r="R5666" s="31">
        <f t="shared" si="561"/>
        <v>20500</v>
      </c>
      <c r="U5666" s="8">
        <v>16900</v>
      </c>
      <c r="W5666" s="8">
        <f>T5666*2.5</f>
        <v>0</v>
      </c>
    </row>
    <row r="5667" spans="1:23" ht="21.95" customHeight="1" x14ac:dyDescent="0.2">
      <c r="A5667" s="5" t="s">
        <v>1151</v>
      </c>
      <c r="B5667" s="5" t="s">
        <v>1805</v>
      </c>
      <c r="C5667" s="5" t="s">
        <v>1623</v>
      </c>
      <c r="D5667" s="5" t="s">
        <v>1622</v>
      </c>
      <c r="K5667" s="7">
        <v>44010032</v>
      </c>
      <c r="L5667" s="6" t="str">
        <f t="shared" si="558"/>
        <v>PLK MOTTO  BAZA 100'LÜK</v>
      </c>
      <c r="M5667" s="12">
        <v>0.4</v>
      </c>
      <c r="N5667" s="8">
        <v>0.3</v>
      </c>
      <c r="O5667" s="8">
        <v>9000</v>
      </c>
      <c r="P5667" s="8">
        <f t="shared" si="559"/>
        <v>6300</v>
      </c>
      <c r="Q5667" s="12">
        <f t="shared" si="560"/>
        <v>13230</v>
      </c>
      <c r="R5667" s="31">
        <f t="shared" si="561"/>
        <v>13200</v>
      </c>
      <c r="U5667" s="8">
        <v>8185</v>
      </c>
      <c r="W5667" s="8">
        <f t="shared" ref="W5667:W5730" si="563">T5667*2.5</f>
        <v>0</v>
      </c>
    </row>
    <row r="5668" spans="1:23" ht="21.95" customHeight="1" x14ac:dyDescent="0.2">
      <c r="A5668" s="5" t="s">
        <v>1151</v>
      </c>
      <c r="B5668" s="5" t="s">
        <v>1805</v>
      </c>
      <c r="C5668" s="5" t="s">
        <v>1623</v>
      </c>
      <c r="D5668" s="5" t="s">
        <v>1603</v>
      </c>
      <c r="K5668" s="7">
        <v>44010033</v>
      </c>
      <c r="L5668" s="6" t="str">
        <f t="shared" si="558"/>
        <v xml:space="preserve">PLK MOTTO  BAZA 120'LİK </v>
      </c>
      <c r="M5668" s="12">
        <v>0.4</v>
      </c>
      <c r="N5668" s="8">
        <v>0.3</v>
      </c>
      <c r="O5668" s="8">
        <v>10000</v>
      </c>
      <c r="P5668" s="8">
        <f t="shared" si="559"/>
        <v>7000</v>
      </c>
      <c r="Q5668" s="12">
        <f t="shared" si="560"/>
        <v>14700</v>
      </c>
      <c r="R5668" s="31">
        <f t="shared" si="561"/>
        <v>14700</v>
      </c>
      <c r="U5668" s="8">
        <v>11800</v>
      </c>
      <c r="W5668" s="8">
        <f t="shared" si="563"/>
        <v>0</v>
      </c>
    </row>
    <row r="5669" spans="1:23" ht="21.95" customHeight="1" x14ac:dyDescent="0.2">
      <c r="A5669" s="5" t="s">
        <v>1151</v>
      </c>
      <c r="B5669" s="5" t="s">
        <v>1805</v>
      </c>
      <c r="C5669" s="5" t="s">
        <v>1623</v>
      </c>
      <c r="D5669" s="5" t="s">
        <v>1604</v>
      </c>
      <c r="K5669" s="7">
        <v>44010034</v>
      </c>
      <c r="L5669" s="6" t="str">
        <f t="shared" si="558"/>
        <v xml:space="preserve">PLK MOTTO  BAZA BAŞLIĞI 100'LÜK </v>
      </c>
      <c r="M5669" s="12">
        <v>0.4</v>
      </c>
      <c r="N5669" s="8">
        <v>0.3</v>
      </c>
      <c r="O5669" s="8">
        <v>7500</v>
      </c>
      <c r="P5669" s="8">
        <f t="shared" si="559"/>
        <v>5250</v>
      </c>
      <c r="Q5669" s="12">
        <f t="shared" si="560"/>
        <v>11025</v>
      </c>
      <c r="R5669" s="31">
        <f t="shared" si="561"/>
        <v>11000</v>
      </c>
      <c r="U5669" s="12">
        <v>12235</v>
      </c>
      <c r="W5669" s="8">
        <f t="shared" si="563"/>
        <v>0</v>
      </c>
    </row>
    <row r="5670" spans="1:23" ht="21.95" customHeight="1" x14ac:dyDescent="0.2">
      <c r="A5670" s="5" t="s">
        <v>1151</v>
      </c>
      <c r="B5670" s="5" t="s">
        <v>1805</v>
      </c>
      <c r="C5670" s="5" t="s">
        <v>1623</v>
      </c>
      <c r="D5670" s="5" t="s">
        <v>1605</v>
      </c>
      <c r="K5670" s="7">
        <v>44010035</v>
      </c>
      <c r="L5670" s="6" t="str">
        <f t="shared" ref="L5670:L5733" si="564">B5670&amp;" "&amp;C5670&amp;" "&amp;D5670</f>
        <v xml:space="preserve">PLK MOTTO  BAZA BAŞLIĞI 120'LİK </v>
      </c>
      <c r="M5670" s="12">
        <v>0.4</v>
      </c>
      <c r="N5670" s="8">
        <v>0.3</v>
      </c>
      <c r="O5670" s="8">
        <v>8500</v>
      </c>
      <c r="P5670" s="8">
        <f t="shared" si="559"/>
        <v>5950</v>
      </c>
      <c r="Q5670" s="12">
        <f t="shared" si="560"/>
        <v>12495</v>
      </c>
      <c r="R5670" s="31">
        <f t="shared" si="561"/>
        <v>12400</v>
      </c>
      <c r="U5670" s="12">
        <v>10000</v>
      </c>
      <c r="W5670" s="8">
        <f t="shared" si="563"/>
        <v>0</v>
      </c>
    </row>
    <row r="5671" spans="1:23" ht="21.95" customHeight="1" x14ac:dyDescent="0.2">
      <c r="A5671" s="5" t="s">
        <v>1151</v>
      </c>
      <c r="B5671" s="5" t="s">
        <v>1805</v>
      </c>
      <c r="C5671" s="5" t="s">
        <v>1623</v>
      </c>
      <c r="D5671" s="5" t="s">
        <v>96</v>
      </c>
      <c r="K5671" s="7">
        <v>44010036</v>
      </c>
      <c r="L5671" s="6" t="str">
        <f t="shared" si="564"/>
        <v xml:space="preserve">PLK MOTTO  ŞİFONYER </v>
      </c>
      <c r="M5671" s="12">
        <v>0.4</v>
      </c>
      <c r="N5671" s="8">
        <v>0.3</v>
      </c>
      <c r="O5671" s="8">
        <v>12500</v>
      </c>
      <c r="P5671" s="8">
        <f t="shared" si="559"/>
        <v>8750</v>
      </c>
      <c r="Q5671" s="12">
        <f t="shared" si="560"/>
        <v>18375</v>
      </c>
      <c r="R5671" s="31">
        <f t="shared" si="561"/>
        <v>18300</v>
      </c>
      <c r="U5671" s="12">
        <v>3470</v>
      </c>
      <c r="W5671" s="8">
        <f t="shared" si="563"/>
        <v>0</v>
      </c>
    </row>
    <row r="5672" spans="1:23" ht="21.95" customHeight="1" x14ac:dyDescent="0.2">
      <c r="A5672" s="5" t="s">
        <v>1151</v>
      </c>
      <c r="B5672" s="5" t="s">
        <v>1805</v>
      </c>
      <c r="C5672" s="5" t="s">
        <v>1623</v>
      </c>
      <c r="D5672" s="5" t="s">
        <v>1457</v>
      </c>
      <c r="K5672" s="7">
        <v>44010037</v>
      </c>
      <c r="L5672" s="6" t="str">
        <f t="shared" si="564"/>
        <v xml:space="preserve">PLK MOTTO  AYNA </v>
      </c>
      <c r="M5672" s="12">
        <v>0.4</v>
      </c>
      <c r="N5672" s="8">
        <v>0.3</v>
      </c>
      <c r="O5672" s="8">
        <v>4000</v>
      </c>
      <c r="P5672" s="8">
        <f t="shared" si="559"/>
        <v>2800</v>
      </c>
      <c r="Q5672" s="12">
        <f t="shared" si="560"/>
        <v>5880</v>
      </c>
      <c r="R5672" s="31">
        <f t="shared" si="561"/>
        <v>5800</v>
      </c>
      <c r="U5672" s="12">
        <v>15100</v>
      </c>
      <c r="W5672" s="8">
        <f t="shared" si="563"/>
        <v>0</v>
      </c>
    </row>
    <row r="5673" spans="1:23" ht="21.95" customHeight="1" x14ac:dyDescent="0.2">
      <c r="A5673" s="5" t="s">
        <v>1151</v>
      </c>
      <c r="B5673" s="5" t="s">
        <v>1805</v>
      </c>
      <c r="C5673" s="5" t="s">
        <v>1623</v>
      </c>
      <c r="D5673" s="5" t="s">
        <v>1428</v>
      </c>
      <c r="K5673" s="7">
        <v>44010038</v>
      </c>
      <c r="L5673" s="6" t="str">
        <f t="shared" si="564"/>
        <v xml:space="preserve">PLK MOTTO  KOMODİN </v>
      </c>
      <c r="M5673" s="12">
        <v>0.4</v>
      </c>
      <c r="N5673" s="8">
        <v>0.3</v>
      </c>
      <c r="O5673" s="8">
        <v>4500</v>
      </c>
      <c r="P5673" s="8">
        <f t="shared" si="559"/>
        <v>3150</v>
      </c>
      <c r="Q5673" s="12">
        <f t="shared" si="560"/>
        <v>6615</v>
      </c>
      <c r="R5673" s="31">
        <f t="shared" si="561"/>
        <v>6600</v>
      </c>
      <c r="U5673" s="12">
        <v>15565</v>
      </c>
      <c r="W5673" s="8">
        <f t="shared" si="563"/>
        <v>0</v>
      </c>
    </row>
    <row r="5674" spans="1:23" ht="21.95" customHeight="1" x14ac:dyDescent="0.2">
      <c r="A5674" s="5" t="s">
        <v>1151</v>
      </c>
      <c r="B5674" s="5" t="s">
        <v>1805</v>
      </c>
      <c r="C5674" s="5" t="s">
        <v>1623</v>
      </c>
      <c r="D5674" s="5" t="s">
        <v>1614</v>
      </c>
      <c r="K5674" s="7">
        <v>44010039</v>
      </c>
      <c r="L5674" s="6" t="str">
        <f t="shared" si="564"/>
        <v xml:space="preserve">PLK MOTTO  UYKU SETİ </v>
      </c>
      <c r="M5674" s="12">
        <v>0.4</v>
      </c>
      <c r="N5674" s="8">
        <v>0.3</v>
      </c>
      <c r="O5674" s="8">
        <v>5500</v>
      </c>
      <c r="P5674" s="8">
        <f t="shared" si="559"/>
        <v>3849.9999999999995</v>
      </c>
      <c r="Q5674" s="12">
        <f t="shared" si="560"/>
        <v>8084.9999999999991</v>
      </c>
      <c r="R5674" s="31">
        <f t="shared" si="561"/>
        <v>8000</v>
      </c>
      <c r="U5674" s="12">
        <v>1760</v>
      </c>
      <c r="W5674" s="8">
        <f t="shared" si="563"/>
        <v>0</v>
      </c>
    </row>
    <row r="5675" spans="1:23" ht="21.95" customHeight="1" x14ac:dyDescent="0.2">
      <c r="A5675" s="5" t="s">
        <v>1151</v>
      </c>
      <c r="B5675" s="5" t="s">
        <v>1805</v>
      </c>
      <c r="C5675" s="5" t="s">
        <v>1623</v>
      </c>
      <c r="D5675" s="5" t="s">
        <v>358</v>
      </c>
      <c r="K5675" s="7">
        <v>44010040</v>
      </c>
      <c r="L5675" s="6" t="str">
        <f t="shared" si="564"/>
        <v xml:space="preserve">PLK MOTTO  SANDALYE </v>
      </c>
      <c r="M5675" s="12">
        <v>0.4</v>
      </c>
      <c r="N5675" s="8">
        <v>0.3</v>
      </c>
      <c r="O5675" s="8">
        <v>7500</v>
      </c>
      <c r="P5675" s="8">
        <f t="shared" si="559"/>
        <v>5250</v>
      </c>
      <c r="Q5675" s="12">
        <f t="shared" si="560"/>
        <v>11025</v>
      </c>
      <c r="R5675" s="31">
        <f t="shared" si="561"/>
        <v>11000</v>
      </c>
      <c r="U5675" s="12">
        <v>7000</v>
      </c>
      <c r="W5675" s="8">
        <f t="shared" si="563"/>
        <v>0</v>
      </c>
    </row>
    <row r="5676" spans="1:23" ht="21.95" customHeight="1" x14ac:dyDescent="0.2">
      <c r="A5676" s="5" t="s">
        <v>1151</v>
      </c>
      <c r="B5676" s="5" t="s">
        <v>1805</v>
      </c>
      <c r="C5676" s="5" t="s">
        <v>1623</v>
      </c>
      <c r="D5676" s="5" t="s">
        <v>530</v>
      </c>
      <c r="K5676" s="7">
        <v>44010041</v>
      </c>
      <c r="L5676" s="6" t="str">
        <f t="shared" si="564"/>
        <v xml:space="preserve">PLK MOTTO  KİTAPLIK </v>
      </c>
      <c r="M5676" s="12">
        <v>0.4</v>
      </c>
      <c r="N5676" s="8">
        <v>0.3</v>
      </c>
      <c r="O5676" s="8">
        <v>6000</v>
      </c>
      <c r="P5676" s="8">
        <f t="shared" si="559"/>
        <v>4200</v>
      </c>
      <c r="Q5676" s="12">
        <f t="shared" si="560"/>
        <v>8820</v>
      </c>
      <c r="R5676" s="31">
        <f t="shared" si="561"/>
        <v>8800</v>
      </c>
      <c r="U5676" s="12">
        <v>24475</v>
      </c>
      <c r="W5676" s="8">
        <f t="shared" si="563"/>
        <v>0</v>
      </c>
    </row>
    <row r="5677" spans="1:23" ht="21.95" customHeight="1" x14ac:dyDescent="0.2">
      <c r="A5677" s="5" t="s">
        <v>1151</v>
      </c>
      <c r="B5677" s="5" t="s">
        <v>1805</v>
      </c>
      <c r="C5677" s="5" t="s">
        <v>1623</v>
      </c>
      <c r="D5677" s="5" t="s">
        <v>1431</v>
      </c>
      <c r="K5677" s="7">
        <v>44010042</v>
      </c>
      <c r="L5677" s="6" t="str">
        <f t="shared" si="564"/>
        <v xml:space="preserve">PLK MOTTO  HALI </v>
      </c>
      <c r="M5677" s="12">
        <v>0.4</v>
      </c>
      <c r="N5677" s="8">
        <v>0.3</v>
      </c>
      <c r="O5677" s="8">
        <v>2500</v>
      </c>
      <c r="P5677" s="8">
        <f t="shared" si="559"/>
        <v>1750</v>
      </c>
      <c r="Q5677" s="12">
        <f t="shared" si="560"/>
        <v>3675</v>
      </c>
      <c r="R5677" s="31">
        <f t="shared" si="561"/>
        <v>3600</v>
      </c>
      <c r="U5677" s="12">
        <v>9735</v>
      </c>
      <c r="W5677" s="8">
        <f t="shared" si="563"/>
        <v>0</v>
      </c>
    </row>
    <row r="5678" spans="1:23" ht="21.95" customHeight="1" x14ac:dyDescent="0.2">
      <c r="A5678" s="5" t="s">
        <v>1151</v>
      </c>
      <c r="B5678" s="5" t="s">
        <v>1805</v>
      </c>
      <c r="C5678" s="5" t="s">
        <v>1623</v>
      </c>
      <c r="D5678" s="5" t="s">
        <v>1615</v>
      </c>
      <c r="K5678" s="7">
        <v>44010043</v>
      </c>
      <c r="L5678" s="6" t="str">
        <f t="shared" si="564"/>
        <v xml:space="preserve">PLK MOTTO  BOY AYNASI </v>
      </c>
      <c r="M5678" s="12">
        <v>0.4</v>
      </c>
      <c r="N5678" s="8">
        <v>0.3</v>
      </c>
      <c r="O5678" s="8">
        <v>4500</v>
      </c>
      <c r="P5678" s="8">
        <f t="shared" si="559"/>
        <v>3150</v>
      </c>
      <c r="Q5678" s="12">
        <f t="shared" si="560"/>
        <v>6615</v>
      </c>
      <c r="R5678" s="31">
        <f t="shared" si="561"/>
        <v>6600</v>
      </c>
      <c r="U5678" s="8">
        <v>29315</v>
      </c>
      <c r="W5678" s="8">
        <f t="shared" si="563"/>
        <v>0</v>
      </c>
    </row>
    <row r="5679" spans="1:23" ht="21.95" customHeight="1" x14ac:dyDescent="0.2">
      <c r="A5679" s="5" t="s">
        <v>1151</v>
      </c>
      <c r="B5679" s="5" t="s">
        <v>1805</v>
      </c>
      <c r="C5679" s="5" t="s">
        <v>1625</v>
      </c>
      <c r="D5679" s="5" t="s">
        <v>1453</v>
      </c>
      <c r="K5679" s="7">
        <v>44010044</v>
      </c>
      <c r="L5679" s="6" t="str">
        <f t="shared" si="564"/>
        <v xml:space="preserve">PLK DARK  3 KAPILI DOLAP </v>
      </c>
      <c r="M5679" s="12">
        <v>0.4</v>
      </c>
      <c r="N5679" s="8">
        <v>0.3</v>
      </c>
      <c r="O5679" s="8">
        <v>21000</v>
      </c>
      <c r="P5679" s="8">
        <f t="shared" si="559"/>
        <v>14699.999999999998</v>
      </c>
      <c r="Q5679" s="12">
        <f t="shared" si="560"/>
        <v>30869.999999999996</v>
      </c>
      <c r="R5679" s="31">
        <f t="shared" si="561"/>
        <v>30800</v>
      </c>
      <c r="U5679" s="8">
        <v>14740</v>
      </c>
      <c r="W5679" s="8">
        <f t="shared" si="563"/>
        <v>0</v>
      </c>
    </row>
    <row r="5680" spans="1:23" ht="21.95" customHeight="1" x14ac:dyDescent="0.2">
      <c r="A5680" s="5" t="s">
        <v>1151</v>
      </c>
      <c r="B5680" s="5" t="s">
        <v>1805</v>
      </c>
      <c r="C5680" s="5" t="s">
        <v>1625</v>
      </c>
      <c r="D5680" s="5" t="s">
        <v>1601</v>
      </c>
      <c r="K5680" s="7">
        <v>44010045</v>
      </c>
      <c r="L5680" s="6" t="str">
        <f t="shared" si="564"/>
        <v>PLK DARK  BAŞLIKLI KARYOLA 120*200</v>
      </c>
      <c r="M5680" s="12">
        <v>0.4</v>
      </c>
      <c r="N5680" s="8">
        <v>0.3</v>
      </c>
      <c r="O5680" s="8">
        <v>14000</v>
      </c>
      <c r="P5680" s="8">
        <f t="shared" si="559"/>
        <v>9800</v>
      </c>
      <c r="Q5680" s="12">
        <f t="shared" si="560"/>
        <v>20580</v>
      </c>
      <c r="R5680" s="31">
        <f t="shared" si="561"/>
        <v>20500</v>
      </c>
      <c r="U5680" s="8">
        <v>5655</v>
      </c>
      <c r="W5680" s="8">
        <f t="shared" si="563"/>
        <v>0</v>
      </c>
    </row>
    <row r="5681" spans="1:23" ht="21.95" customHeight="1" x14ac:dyDescent="0.2">
      <c r="A5681" s="5" t="s">
        <v>1151</v>
      </c>
      <c r="B5681" s="5" t="s">
        <v>1805</v>
      </c>
      <c r="C5681" s="5" t="s">
        <v>1625</v>
      </c>
      <c r="D5681" s="5" t="s">
        <v>1600</v>
      </c>
      <c r="K5681" s="7">
        <v>44010046</v>
      </c>
      <c r="L5681" s="6" t="str">
        <f t="shared" si="564"/>
        <v>PLK DARK  ÇALIŞMA MASASI (ÜST MODÜL DAHİL)</v>
      </c>
      <c r="M5681" s="12">
        <v>0.4</v>
      </c>
      <c r="N5681" s="8">
        <v>0.3</v>
      </c>
      <c r="O5681" s="8">
        <v>12500</v>
      </c>
      <c r="P5681" s="8">
        <f t="shared" si="559"/>
        <v>8750</v>
      </c>
      <c r="Q5681" s="12">
        <f t="shared" si="560"/>
        <v>18375</v>
      </c>
      <c r="R5681" s="31">
        <f t="shared" si="561"/>
        <v>18300</v>
      </c>
      <c r="U5681" s="8">
        <v>5680</v>
      </c>
      <c r="W5681" s="8">
        <f t="shared" si="563"/>
        <v>0</v>
      </c>
    </row>
    <row r="5682" spans="1:23" ht="21.95" customHeight="1" x14ac:dyDescent="0.2">
      <c r="A5682" s="5" t="s">
        <v>1151</v>
      </c>
      <c r="B5682" s="5" t="s">
        <v>1805</v>
      </c>
      <c r="C5682" s="5" t="s">
        <v>1625</v>
      </c>
      <c r="D5682" s="5" t="s">
        <v>1618</v>
      </c>
      <c r="K5682" s="7">
        <v>44010047</v>
      </c>
      <c r="L5682" s="6" t="str">
        <f t="shared" si="564"/>
        <v xml:space="preserve">PLK DARK  SÜRGÜLÜ DOLAP </v>
      </c>
      <c r="M5682" s="12">
        <v>0.4</v>
      </c>
      <c r="N5682" s="8">
        <v>0.3</v>
      </c>
      <c r="O5682" s="8">
        <v>26000</v>
      </c>
      <c r="P5682" s="8">
        <f t="shared" si="559"/>
        <v>18200</v>
      </c>
      <c r="Q5682" s="12">
        <f t="shared" si="560"/>
        <v>38220</v>
      </c>
      <c r="R5682" s="31">
        <f t="shared" si="561"/>
        <v>38200</v>
      </c>
      <c r="U5682" s="8">
        <v>1380</v>
      </c>
      <c r="W5682" s="8">
        <f t="shared" si="563"/>
        <v>0</v>
      </c>
    </row>
    <row r="5683" spans="1:23" ht="21.95" customHeight="1" x14ac:dyDescent="0.2">
      <c r="A5683" s="5" t="s">
        <v>1151</v>
      </c>
      <c r="B5683" s="5" t="s">
        <v>1805</v>
      </c>
      <c r="C5683" s="5" t="s">
        <v>1625</v>
      </c>
      <c r="D5683" s="5" t="s">
        <v>1622</v>
      </c>
      <c r="K5683" s="7">
        <v>44010048</v>
      </c>
      <c r="L5683" s="6" t="str">
        <f t="shared" si="564"/>
        <v>PLK DARK  BAZA 100'LÜK</v>
      </c>
      <c r="M5683" s="12">
        <v>0.4</v>
      </c>
      <c r="N5683" s="8">
        <v>0.3</v>
      </c>
      <c r="O5683" s="8">
        <v>9000</v>
      </c>
      <c r="P5683" s="8">
        <f t="shared" si="559"/>
        <v>6300</v>
      </c>
      <c r="Q5683" s="12">
        <f t="shared" si="560"/>
        <v>13230</v>
      </c>
      <c r="R5683" s="31">
        <f t="shared" si="561"/>
        <v>13200</v>
      </c>
      <c r="U5683" s="8">
        <v>18040</v>
      </c>
      <c r="W5683" s="8">
        <f t="shared" si="563"/>
        <v>0</v>
      </c>
    </row>
    <row r="5684" spans="1:23" ht="21.95" customHeight="1" x14ac:dyDescent="0.2">
      <c r="A5684" s="5" t="s">
        <v>1151</v>
      </c>
      <c r="B5684" s="5" t="s">
        <v>1805</v>
      </c>
      <c r="C5684" s="5" t="s">
        <v>1625</v>
      </c>
      <c r="D5684" s="5" t="s">
        <v>1603</v>
      </c>
      <c r="K5684" s="7">
        <v>44010049</v>
      </c>
      <c r="L5684" s="6" t="str">
        <f t="shared" si="564"/>
        <v xml:space="preserve">PLK DARK  BAZA 120'LİK </v>
      </c>
      <c r="M5684" s="12">
        <v>0.4</v>
      </c>
      <c r="N5684" s="8">
        <v>0.3</v>
      </c>
      <c r="O5684" s="8">
        <v>10000</v>
      </c>
      <c r="P5684" s="8">
        <f t="shared" si="559"/>
        <v>7000</v>
      </c>
      <c r="Q5684" s="12">
        <f t="shared" si="560"/>
        <v>14700</v>
      </c>
      <c r="R5684" s="31">
        <f t="shared" si="561"/>
        <v>14700</v>
      </c>
      <c r="U5684" s="8">
        <v>1760</v>
      </c>
      <c r="W5684" s="8">
        <f t="shared" si="563"/>
        <v>0</v>
      </c>
    </row>
    <row r="5685" spans="1:23" ht="21.95" customHeight="1" x14ac:dyDescent="0.2">
      <c r="A5685" s="5" t="s">
        <v>1151</v>
      </c>
      <c r="B5685" s="5" t="s">
        <v>1805</v>
      </c>
      <c r="C5685" s="5" t="s">
        <v>1625</v>
      </c>
      <c r="D5685" s="5" t="s">
        <v>1604</v>
      </c>
      <c r="K5685" s="7">
        <v>44010050</v>
      </c>
      <c r="L5685" s="6" t="str">
        <f t="shared" si="564"/>
        <v xml:space="preserve">PLK DARK  BAZA BAŞLIĞI 100'LÜK </v>
      </c>
      <c r="M5685" s="12">
        <v>0.4</v>
      </c>
      <c r="N5685" s="8">
        <v>0.3</v>
      </c>
      <c r="O5685" s="8">
        <v>8500</v>
      </c>
      <c r="P5685" s="8">
        <f t="shared" si="559"/>
        <v>5950</v>
      </c>
      <c r="Q5685" s="12">
        <f t="shared" si="560"/>
        <v>12495</v>
      </c>
      <c r="R5685" s="31">
        <f t="shared" si="561"/>
        <v>12400</v>
      </c>
      <c r="U5685" s="8">
        <v>7000</v>
      </c>
      <c r="W5685" s="8">
        <f t="shared" si="563"/>
        <v>0</v>
      </c>
    </row>
    <row r="5686" spans="1:23" ht="21.95" customHeight="1" x14ac:dyDescent="0.2">
      <c r="A5686" s="5" t="s">
        <v>1151</v>
      </c>
      <c r="B5686" s="5" t="s">
        <v>1805</v>
      </c>
      <c r="C5686" s="5" t="s">
        <v>1625</v>
      </c>
      <c r="D5686" s="5" t="s">
        <v>96</v>
      </c>
      <c r="K5686" s="7">
        <v>44010051</v>
      </c>
      <c r="L5686" s="6" t="str">
        <f t="shared" si="564"/>
        <v xml:space="preserve">PLK DARK  ŞİFONYER </v>
      </c>
      <c r="M5686" s="12">
        <v>0.4</v>
      </c>
      <c r="N5686" s="8">
        <v>0.3</v>
      </c>
      <c r="O5686" s="8">
        <v>12000</v>
      </c>
      <c r="P5686" s="8">
        <f t="shared" si="559"/>
        <v>8400</v>
      </c>
      <c r="Q5686" s="12">
        <f t="shared" si="560"/>
        <v>17640</v>
      </c>
      <c r="R5686" s="31">
        <f t="shared" si="561"/>
        <v>17600</v>
      </c>
      <c r="U5686" s="8">
        <v>7480</v>
      </c>
      <c r="W5686" s="8">
        <f t="shared" si="563"/>
        <v>0</v>
      </c>
    </row>
    <row r="5687" spans="1:23" ht="21.95" customHeight="1" x14ac:dyDescent="0.2">
      <c r="A5687" s="5" t="s">
        <v>1151</v>
      </c>
      <c r="B5687" s="5" t="s">
        <v>1805</v>
      </c>
      <c r="C5687" s="5" t="s">
        <v>1625</v>
      </c>
      <c r="D5687" s="5" t="s">
        <v>1457</v>
      </c>
      <c r="K5687" s="7">
        <v>44010052</v>
      </c>
      <c r="L5687" s="6" t="str">
        <f t="shared" si="564"/>
        <v xml:space="preserve">PLK DARK  AYNA </v>
      </c>
      <c r="M5687" s="12">
        <v>0.4</v>
      </c>
      <c r="N5687" s="8">
        <v>0.3</v>
      </c>
      <c r="O5687" s="8">
        <v>3500</v>
      </c>
      <c r="P5687" s="8">
        <f t="shared" ref="P5687:P5750" si="565">O5687*(1-N5687)</f>
        <v>2450</v>
      </c>
      <c r="Q5687" s="12">
        <f t="shared" ref="Q5687:Q5750" si="566">O5687*(1-N5687)*2.1</f>
        <v>5145</v>
      </c>
      <c r="R5687" s="31">
        <f t="shared" ref="R5687:R5750" si="567">ROUNDDOWN(Q5687,-2)</f>
        <v>5100</v>
      </c>
      <c r="U5687" s="8">
        <v>11880</v>
      </c>
      <c r="W5687" s="8">
        <f t="shared" si="563"/>
        <v>0</v>
      </c>
    </row>
    <row r="5688" spans="1:23" ht="21.95" customHeight="1" x14ac:dyDescent="0.2">
      <c r="A5688" s="5" t="s">
        <v>1151</v>
      </c>
      <c r="B5688" s="5" t="s">
        <v>1805</v>
      </c>
      <c r="C5688" s="5" t="s">
        <v>1625</v>
      </c>
      <c r="D5688" s="5" t="s">
        <v>1428</v>
      </c>
      <c r="K5688" s="7">
        <v>44010053</v>
      </c>
      <c r="L5688" s="6" t="str">
        <f t="shared" si="564"/>
        <v xml:space="preserve">PLK DARK  KOMODİN </v>
      </c>
      <c r="M5688" s="12">
        <v>0.4</v>
      </c>
      <c r="N5688" s="8">
        <v>0.3</v>
      </c>
      <c r="O5688" s="8">
        <v>4000</v>
      </c>
      <c r="P5688" s="8">
        <f t="shared" si="565"/>
        <v>2800</v>
      </c>
      <c r="Q5688" s="12">
        <f t="shared" si="566"/>
        <v>5880</v>
      </c>
      <c r="R5688" s="31">
        <f t="shared" si="567"/>
        <v>5800</v>
      </c>
      <c r="U5688" s="8">
        <v>9955</v>
      </c>
      <c r="W5688" s="8">
        <f t="shared" si="563"/>
        <v>0</v>
      </c>
    </row>
    <row r="5689" spans="1:23" ht="21.95" customHeight="1" x14ac:dyDescent="0.2">
      <c r="A5689" s="5" t="s">
        <v>1151</v>
      </c>
      <c r="B5689" s="5" t="s">
        <v>1805</v>
      </c>
      <c r="C5689" s="5" t="s">
        <v>1625</v>
      </c>
      <c r="D5689" s="5" t="s">
        <v>1614</v>
      </c>
      <c r="K5689" s="7">
        <v>44010054</v>
      </c>
      <c r="L5689" s="6" t="str">
        <f t="shared" si="564"/>
        <v xml:space="preserve">PLK DARK  UYKU SETİ </v>
      </c>
      <c r="M5689" s="12">
        <v>0.4</v>
      </c>
      <c r="N5689" s="8">
        <v>0.3</v>
      </c>
      <c r="O5689" s="8">
        <v>5500</v>
      </c>
      <c r="P5689" s="8">
        <f t="shared" si="565"/>
        <v>3849.9999999999995</v>
      </c>
      <c r="Q5689" s="12">
        <f t="shared" si="566"/>
        <v>8084.9999999999991</v>
      </c>
      <c r="R5689" s="31">
        <f t="shared" si="567"/>
        <v>8000</v>
      </c>
      <c r="U5689" s="8">
        <v>14355</v>
      </c>
      <c r="W5689" s="8">
        <f t="shared" si="563"/>
        <v>0</v>
      </c>
    </row>
    <row r="5690" spans="1:23" ht="21.95" customHeight="1" x14ac:dyDescent="0.2">
      <c r="A5690" s="5" t="s">
        <v>1151</v>
      </c>
      <c r="B5690" s="5" t="s">
        <v>1805</v>
      </c>
      <c r="C5690" s="5" t="s">
        <v>1625</v>
      </c>
      <c r="D5690" s="5" t="s">
        <v>358</v>
      </c>
      <c r="K5690" s="7">
        <v>44010055</v>
      </c>
      <c r="L5690" s="6" t="str">
        <f t="shared" si="564"/>
        <v xml:space="preserve">PLK DARK  SANDALYE </v>
      </c>
      <c r="M5690" s="12">
        <v>0.4</v>
      </c>
      <c r="N5690" s="8">
        <v>0.3</v>
      </c>
      <c r="O5690" s="8">
        <v>7500</v>
      </c>
      <c r="P5690" s="8">
        <f t="shared" si="565"/>
        <v>5250</v>
      </c>
      <c r="Q5690" s="12">
        <f t="shared" si="566"/>
        <v>11025</v>
      </c>
      <c r="R5690" s="31">
        <f t="shared" si="567"/>
        <v>11000</v>
      </c>
      <c r="U5690" s="8">
        <v>6490</v>
      </c>
      <c r="W5690" s="8">
        <f t="shared" si="563"/>
        <v>0</v>
      </c>
    </row>
    <row r="5691" spans="1:23" ht="21.95" customHeight="1" x14ac:dyDescent="0.2">
      <c r="A5691" s="5" t="s">
        <v>1151</v>
      </c>
      <c r="B5691" s="5" t="s">
        <v>1805</v>
      </c>
      <c r="C5691" s="5" t="s">
        <v>1625</v>
      </c>
      <c r="D5691" s="5" t="s">
        <v>530</v>
      </c>
      <c r="K5691" s="7">
        <v>44010056</v>
      </c>
      <c r="L5691" s="6" t="str">
        <f t="shared" si="564"/>
        <v xml:space="preserve">PLK DARK  KİTAPLIK </v>
      </c>
      <c r="M5691" s="12">
        <v>0.4</v>
      </c>
      <c r="N5691" s="8">
        <v>0.3</v>
      </c>
      <c r="O5691" s="8">
        <v>6000</v>
      </c>
      <c r="P5691" s="8">
        <f t="shared" si="565"/>
        <v>4200</v>
      </c>
      <c r="Q5691" s="12">
        <f t="shared" si="566"/>
        <v>8820</v>
      </c>
      <c r="R5691" s="31">
        <f t="shared" si="567"/>
        <v>8800</v>
      </c>
      <c r="U5691" s="8">
        <v>8690</v>
      </c>
      <c r="W5691" s="8">
        <f t="shared" si="563"/>
        <v>0</v>
      </c>
    </row>
    <row r="5692" spans="1:23" ht="21.95" customHeight="1" x14ac:dyDescent="0.2">
      <c r="A5692" s="5" t="s">
        <v>1151</v>
      </c>
      <c r="B5692" s="5" t="s">
        <v>1805</v>
      </c>
      <c r="C5692" s="5" t="s">
        <v>1625</v>
      </c>
      <c r="D5692" s="5" t="s">
        <v>1431</v>
      </c>
      <c r="K5692" s="7">
        <v>44010057</v>
      </c>
      <c r="L5692" s="6" t="str">
        <f t="shared" si="564"/>
        <v xml:space="preserve">PLK DARK  HALI </v>
      </c>
      <c r="M5692" s="12">
        <v>0.4</v>
      </c>
      <c r="N5692" s="8">
        <v>0.3</v>
      </c>
      <c r="O5692" s="8">
        <v>2500</v>
      </c>
      <c r="P5692" s="8">
        <f t="shared" si="565"/>
        <v>1750</v>
      </c>
      <c r="Q5692" s="12">
        <f t="shared" si="566"/>
        <v>3675</v>
      </c>
      <c r="R5692" s="31">
        <f t="shared" si="567"/>
        <v>3600</v>
      </c>
      <c r="U5692" s="8">
        <v>10360</v>
      </c>
      <c r="W5692" s="8">
        <f t="shared" si="563"/>
        <v>0</v>
      </c>
    </row>
    <row r="5693" spans="1:23" ht="21.6" customHeight="1" x14ac:dyDescent="0.2">
      <c r="A5693" s="5" t="s">
        <v>1151</v>
      </c>
      <c r="B5693" s="5" t="s">
        <v>1805</v>
      </c>
      <c r="C5693" s="5" t="s">
        <v>1625</v>
      </c>
      <c r="D5693" s="5" t="s">
        <v>1615</v>
      </c>
      <c r="K5693" s="7">
        <v>44010058</v>
      </c>
      <c r="L5693" s="6" t="str">
        <f t="shared" si="564"/>
        <v xml:space="preserve">PLK DARK  BOY AYNASI </v>
      </c>
      <c r="M5693" s="12">
        <v>0.4</v>
      </c>
      <c r="N5693" s="8">
        <v>0.3</v>
      </c>
      <c r="O5693" s="8">
        <v>4500</v>
      </c>
      <c r="P5693" s="8">
        <f t="shared" si="565"/>
        <v>3150</v>
      </c>
      <c r="Q5693" s="12">
        <f t="shared" si="566"/>
        <v>6615</v>
      </c>
      <c r="R5693" s="31">
        <f t="shared" si="567"/>
        <v>6600</v>
      </c>
      <c r="U5693" s="8">
        <v>12560</v>
      </c>
      <c r="W5693" s="8">
        <f t="shared" si="563"/>
        <v>0</v>
      </c>
    </row>
    <row r="5694" spans="1:23" ht="21.6" customHeight="1" x14ac:dyDescent="0.2">
      <c r="A5694" s="5" t="s">
        <v>1151</v>
      </c>
      <c r="B5694" s="5" t="s">
        <v>1805</v>
      </c>
      <c r="C5694" s="5" t="s">
        <v>1626</v>
      </c>
      <c r="D5694" s="5" t="s">
        <v>1453</v>
      </c>
      <c r="K5694" s="7">
        <v>44010059</v>
      </c>
      <c r="L5694" s="6" t="str">
        <f t="shared" si="564"/>
        <v xml:space="preserve">PLK LİNE  3 KAPILI DOLAP </v>
      </c>
      <c r="M5694" s="12">
        <v>0.4</v>
      </c>
      <c r="N5694" s="8">
        <v>0.3</v>
      </c>
      <c r="O5694" s="8">
        <v>21000</v>
      </c>
      <c r="P5694" s="8">
        <f t="shared" si="565"/>
        <v>14699.999999999998</v>
      </c>
      <c r="Q5694" s="12">
        <f t="shared" si="566"/>
        <v>30869.999999999996</v>
      </c>
      <c r="R5694" s="31">
        <f t="shared" si="567"/>
        <v>30800</v>
      </c>
      <c r="U5694" s="8">
        <v>7940</v>
      </c>
      <c r="W5694" s="8">
        <f t="shared" si="563"/>
        <v>0</v>
      </c>
    </row>
    <row r="5695" spans="1:23" ht="21.6" customHeight="1" x14ac:dyDescent="0.2">
      <c r="A5695" s="5" t="s">
        <v>1151</v>
      </c>
      <c r="B5695" s="5" t="s">
        <v>1805</v>
      </c>
      <c r="C5695" s="5" t="s">
        <v>1626</v>
      </c>
      <c r="D5695" s="5" t="s">
        <v>1599</v>
      </c>
      <c r="K5695" s="7">
        <v>44010060</v>
      </c>
      <c r="L5695" s="6" t="str">
        <f t="shared" si="564"/>
        <v>PLK LİNE  BAŞLIKLI KARYOLA 100*200</v>
      </c>
      <c r="M5695" s="12">
        <v>0.4</v>
      </c>
      <c r="N5695" s="8">
        <v>0.3</v>
      </c>
      <c r="O5695" s="8">
        <v>12000</v>
      </c>
      <c r="P5695" s="8">
        <f t="shared" si="565"/>
        <v>8400</v>
      </c>
      <c r="Q5695" s="12">
        <f t="shared" si="566"/>
        <v>17640</v>
      </c>
      <c r="R5695" s="31">
        <f t="shared" si="567"/>
        <v>17600</v>
      </c>
      <c r="U5695" s="8">
        <v>3245</v>
      </c>
      <c r="W5695" s="8">
        <f t="shared" si="563"/>
        <v>0</v>
      </c>
    </row>
    <row r="5696" spans="1:23" ht="21.6" customHeight="1" x14ac:dyDescent="0.2">
      <c r="A5696" s="5" t="s">
        <v>1151</v>
      </c>
      <c r="B5696" s="5" t="s">
        <v>1805</v>
      </c>
      <c r="C5696" s="5" t="s">
        <v>1626</v>
      </c>
      <c r="D5696" s="5" t="s">
        <v>1600</v>
      </c>
      <c r="K5696" s="7">
        <v>44010061</v>
      </c>
      <c r="L5696" s="6" t="str">
        <f t="shared" si="564"/>
        <v>PLK LİNE  ÇALIŞMA MASASI (ÜST MODÜL DAHİL)</v>
      </c>
      <c r="M5696" s="12">
        <v>0.4</v>
      </c>
      <c r="N5696" s="8">
        <v>0.3</v>
      </c>
      <c r="O5696" s="8">
        <v>12500</v>
      </c>
      <c r="P5696" s="8">
        <f t="shared" si="565"/>
        <v>8750</v>
      </c>
      <c r="Q5696" s="12">
        <f t="shared" si="566"/>
        <v>18375</v>
      </c>
      <c r="R5696" s="31">
        <f t="shared" si="567"/>
        <v>18300</v>
      </c>
      <c r="U5696" s="8">
        <v>14255</v>
      </c>
      <c r="W5696" s="8">
        <f t="shared" si="563"/>
        <v>0</v>
      </c>
    </row>
    <row r="5697" spans="1:23" ht="21.95" customHeight="1" x14ac:dyDescent="0.2">
      <c r="A5697" s="5" t="s">
        <v>1151</v>
      </c>
      <c r="B5697" s="5" t="s">
        <v>1805</v>
      </c>
      <c r="C5697" s="5" t="s">
        <v>1626</v>
      </c>
      <c r="D5697" s="5" t="s">
        <v>1452</v>
      </c>
      <c r="K5697" s="7">
        <v>44010062</v>
      </c>
      <c r="L5697" s="6" t="str">
        <f t="shared" si="564"/>
        <v xml:space="preserve">PLK LİNE  4 KAPILI DOLAP </v>
      </c>
      <c r="M5697" s="12">
        <v>0.4</v>
      </c>
      <c r="N5697" s="8">
        <v>0.3</v>
      </c>
      <c r="O5697" s="8">
        <v>27000</v>
      </c>
      <c r="P5697" s="8">
        <f t="shared" si="565"/>
        <v>18900</v>
      </c>
      <c r="Q5697" s="12">
        <f t="shared" si="566"/>
        <v>39690</v>
      </c>
      <c r="R5697" s="31">
        <f t="shared" si="567"/>
        <v>39600</v>
      </c>
      <c r="U5697" s="8">
        <v>21725</v>
      </c>
      <c r="W5697" s="8">
        <f t="shared" si="563"/>
        <v>0</v>
      </c>
    </row>
    <row r="5698" spans="1:23" ht="21.95" customHeight="1" x14ac:dyDescent="0.2">
      <c r="A5698" s="5" t="s">
        <v>1151</v>
      </c>
      <c r="B5698" s="5" t="s">
        <v>1805</v>
      </c>
      <c r="C5698" s="5" t="s">
        <v>1626</v>
      </c>
      <c r="D5698" s="5" t="s">
        <v>1601</v>
      </c>
      <c r="K5698" s="7">
        <v>44010063</v>
      </c>
      <c r="L5698" s="6" t="str">
        <f t="shared" si="564"/>
        <v>PLK LİNE  BAŞLIKLI KARYOLA 120*200</v>
      </c>
      <c r="M5698" s="12">
        <v>0.4</v>
      </c>
      <c r="N5698" s="8">
        <v>0.3</v>
      </c>
      <c r="O5698" s="8">
        <v>14000</v>
      </c>
      <c r="P5698" s="8">
        <f t="shared" si="565"/>
        <v>9800</v>
      </c>
      <c r="Q5698" s="12">
        <f t="shared" si="566"/>
        <v>20580</v>
      </c>
      <c r="R5698" s="31">
        <f t="shared" si="567"/>
        <v>20500</v>
      </c>
      <c r="U5698" s="8">
        <v>7920</v>
      </c>
      <c r="W5698" s="8">
        <f t="shared" si="563"/>
        <v>0</v>
      </c>
    </row>
    <row r="5699" spans="1:23" ht="21.95" customHeight="1" x14ac:dyDescent="0.2">
      <c r="A5699" s="5" t="s">
        <v>1151</v>
      </c>
      <c r="B5699" s="5" t="s">
        <v>1805</v>
      </c>
      <c r="C5699" s="5" t="s">
        <v>1626</v>
      </c>
      <c r="D5699" s="5" t="s">
        <v>1622</v>
      </c>
      <c r="K5699" s="7">
        <v>44010064</v>
      </c>
      <c r="L5699" s="6" t="str">
        <f t="shared" si="564"/>
        <v>PLK LİNE  BAZA 100'LÜK</v>
      </c>
      <c r="M5699" s="12">
        <v>0.4</v>
      </c>
      <c r="N5699" s="8">
        <v>0.3</v>
      </c>
      <c r="O5699" s="8">
        <v>9000</v>
      </c>
      <c r="P5699" s="8">
        <f t="shared" si="565"/>
        <v>6300</v>
      </c>
      <c r="Q5699" s="12">
        <f t="shared" si="566"/>
        <v>13230</v>
      </c>
      <c r="R5699" s="31">
        <f t="shared" si="567"/>
        <v>13200</v>
      </c>
      <c r="U5699" s="8">
        <v>25720</v>
      </c>
      <c r="W5699" s="8">
        <f t="shared" si="563"/>
        <v>0</v>
      </c>
    </row>
    <row r="5700" spans="1:23" ht="21.95" customHeight="1" x14ac:dyDescent="0.2">
      <c r="A5700" s="5" t="s">
        <v>1151</v>
      </c>
      <c r="B5700" s="5" t="s">
        <v>1805</v>
      </c>
      <c r="C5700" s="5" t="s">
        <v>1626</v>
      </c>
      <c r="D5700" s="5" t="s">
        <v>1603</v>
      </c>
      <c r="K5700" s="7">
        <v>44010065</v>
      </c>
      <c r="L5700" s="6" t="str">
        <f t="shared" si="564"/>
        <v xml:space="preserve">PLK LİNE  BAZA 120'LİK </v>
      </c>
      <c r="M5700" s="12">
        <v>0.4</v>
      </c>
      <c r="N5700" s="8">
        <v>0.3</v>
      </c>
      <c r="O5700" s="8">
        <v>10000</v>
      </c>
      <c r="P5700" s="8">
        <f t="shared" si="565"/>
        <v>7000</v>
      </c>
      <c r="Q5700" s="12">
        <f t="shared" si="566"/>
        <v>14700</v>
      </c>
      <c r="R5700" s="31">
        <f t="shared" si="567"/>
        <v>14700</v>
      </c>
      <c r="U5700" s="8">
        <v>14255</v>
      </c>
      <c r="W5700" s="8">
        <f t="shared" si="563"/>
        <v>0</v>
      </c>
    </row>
    <row r="5701" spans="1:23" ht="21.95" customHeight="1" x14ac:dyDescent="0.2">
      <c r="A5701" s="5" t="s">
        <v>1151</v>
      </c>
      <c r="B5701" s="5" t="s">
        <v>1805</v>
      </c>
      <c r="C5701" s="5" t="s">
        <v>1626</v>
      </c>
      <c r="D5701" s="5" t="s">
        <v>1604</v>
      </c>
      <c r="K5701" s="7">
        <v>44010066</v>
      </c>
      <c r="L5701" s="6" t="str">
        <f t="shared" si="564"/>
        <v xml:space="preserve">PLK LİNE  BAZA BAŞLIĞI 100'LÜK </v>
      </c>
      <c r="M5701" s="12">
        <v>0.4</v>
      </c>
      <c r="N5701" s="8">
        <v>0.3</v>
      </c>
      <c r="O5701" s="8">
        <v>7500</v>
      </c>
      <c r="P5701" s="8">
        <f t="shared" si="565"/>
        <v>5250</v>
      </c>
      <c r="Q5701" s="12">
        <f t="shared" si="566"/>
        <v>11025</v>
      </c>
      <c r="R5701" s="31">
        <f t="shared" si="567"/>
        <v>11000</v>
      </c>
      <c r="U5701" s="8">
        <v>5700</v>
      </c>
      <c r="W5701" s="8">
        <f t="shared" si="563"/>
        <v>0</v>
      </c>
    </row>
    <row r="5702" spans="1:23" ht="21.95" customHeight="1" x14ac:dyDescent="0.2">
      <c r="A5702" s="5" t="s">
        <v>1151</v>
      </c>
      <c r="B5702" s="5" t="s">
        <v>1805</v>
      </c>
      <c r="C5702" s="5" t="s">
        <v>1626</v>
      </c>
      <c r="D5702" s="5" t="s">
        <v>1605</v>
      </c>
      <c r="K5702" s="7">
        <v>44010067</v>
      </c>
      <c r="L5702" s="6" t="str">
        <f t="shared" si="564"/>
        <v xml:space="preserve">PLK LİNE  BAZA BAŞLIĞI 120'LİK </v>
      </c>
      <c r="M5702" s="12">
        <v>0.4</v>
      </c>
      <c r="N5702" s="8">
        <v>0.3</v>
      </c>
      <c r="O5702" s="8">
        <v>8500</v>
      </c>
      <c r="P5702" s="8">
        <f t="shared" si="565"/>
        <v>5950</v>
      </c>
      <c r="Q5702" s="12">
        <f t="shared" si="566"/>
        <v>12495</v>
      </c>
      <c r="R5702" s="31">
        <f t="shared" si="567"/>
        <v>12400</v>
      </c>
      <c r="U5702" s="8">
        <v>7610</v>
      </c>
      <c r="W5702" s="8">
        <f t="shared" si="563"/>
        <v>0</v>
      </c>
    </row>
    <row r="5703" spans="1:23" ht="21.95" customHeight="1" x14ac:dyDescent="0.2">
      <c r="A5703" s="5" t="s">
        <v>1151</v>
      </c>
      <c r="B5703" s="5" t="s">
        <v>1805</v>
      </c>
      <c r="C5703" s="5" t="s">
        <v>1626</v>
      </c>
      <c r="D5703" s="5" t="s">
        <v>96</v>
      </c>
      <c r="K5703" s="7">
        <v>44010068</v>
      </c>
      <c r="L5703" s="6" t="str">
        <f t="shared" si="564"/>
        <v xml:space="preserve">PLK LİNE  ŞİFONYER </v>
      </c>
      <c r="M5703" s="12">
        <v>0.4</v>
      </c>
      <c r="N5703" s="8">
        <v>0.3</v>
      </c>
      <c r="O5703" s="8">
        <v>11000</v>
      </c>
      <c r="P5703" s="8">
        <f t="shared" si="565"/>
        <v>7699.9999999999991</v>
      </c>
      <c r="Q5703" s="12">
        <f t="shared" si="566"/>
        <v>16169.999999999998</v>
      </c>
      <c r="R5703" s="31">
        <f t="shared" si="567"/>
        <v>16100</v>
      </c>
      <c r="U5703" s="8">
        <v>2675</v>
      </c>
      <c r="W5703" s="8">
        <f t="shared" si="563"/>
        <v>0</v>
      </c>
    </row>
    <row r="5704" spans="1:23" ht="21.95" customHeight="1" x14ac:dyDescent="0.2">
      <c r="A5704" s="5" t="s">
        <v>1151</v>
      </c>
      <c r="B5704" s="5" t="s">
        <v>1805</v>
      </c>
      <c r="C5704" s="5" t="s">
        <v>1626</v>
      </c>
      <c r="D5704" s="5" t="s">
        <v>1457</v>
      </c>
      <c r="K5704" s="7">
        <v>44010069</v>
      </c>
      <c r="L5704" s="6" t="str">
        <f t="shared" si="564"/>
        <v xml:space="preserve">PLK LİNE  AYNA </v>
      </c>
      <c r="M5704" s="12">
        <v>0.4</v>
      </c>
      <c r="N5704" s="8">
        <v>0.3</v>
      </c>
      <c r="O5704" s="8">
        <v>3500</v>
      </c>
      <c r="P5704" s="8">
        <f t="shared" si="565"/>
        <v>2450</v>
      </c>
      <c r="Q5704" s="12">
        <f t="shared" si="566"/>
        <v>5145</v>
      </c>
      <c r="R5704" s="31">
        <f t="shared" si="567"/>
        <v>5100</v>
      </c>
      <c r="U5704" s="8">
        <v>17555</v>
      </c>
      <c r="W5704" s="8">
        <f t="shared" si="563"/>
        <v>0</v>
      </c>
    </row>
    <row r="5705" spans="1:23" ht="21.95" customHeight="1" x14ac:dyDescent="0.2">
      <c r="A5705" s="5" t="s">
        <v>1151</v>
      </c>
      <c r="B5705" s="5" t="s">
        <v>1805</v>
      </c>
      <c r="C5705" s="5" t="s">
        <v>1626</v>
      </c>
      <c r="D5705" s="5" t="s">
        <v>1428</v>
      </c>
      <c r="K5705" s="7">
        <v>44010070</v>
      </c>
      <c r="L5705" s="6" t="str">
        <f t="shared" si="564"/>
        <v xml:space="preserve">PLK LİNE  KOMODİN </v>
      </c>
      <c r="M5705" s="12">
        <v>0.4</v>
      </c>
      <c r="N5705" s="8">
        <v>0.3</v>
      </c>
      <c r="O5705" s="8">
        <v>4000</v>
      </c>
      <c r="P5705" s="8">
        <f t="shared" si="565"/>
        <v>2800</v>
      </c>
      <c r="Q5705" s="12">
        <f t="shared" si="566"/>
        <v>5880</v>
      </c>
      <c r="R5705" s="31">
        <f t="shared" si="567"/>
        <v>5800</v>
      </c>
      <c r="U5705" s="8">
        <v>1760</v>
      </c>
      <c r="W5705" s="8">
        <f t="shared" si="563"/>
        <v>0</v>
      </c>
    </row>
    <row r="5706" spans="1:23" ht="21.95" customHeight="1" x14ac:dyDescent="0.2">
      <c r="A5706" s="5" t="s">
        <v>1151</v>
      </c>
      <c r="B5706" s="5" t="s">
        <v>1805</v>
      </c>
      <c r="C5706" s="5" t="s">
        <v>1626</v>
      </c>
      <c r="D5706" s="5" t="s">
        <v>1614</v>
      </c>
      <c r="K5706" s="7">
        <v>44010071</v>
      </c>
      <c r="L5706" s="6" t="str">
        <f t="shared" si="564"/>
        <v xml:space="preserve">PLK LİNE  UYKU SETİ </v>
      </c>
      <c r="M5706" s="12">
        <v>0.4</v>
      </c>
      <c r="N5706" s="8">
        <v>0.3</v>
      </c>
      <c r="O5706" s="8">
        <v>5500</v>
      </c>
      <c r="P5706" s="8">
        <f t="shared" si="565"/>
        <v>3849.9999999999995</v>
      </c>
      <c r="Q5706" s="12">
        <f t="shared" si="566"/>
        <v>8084.9999999999991</v>
      </c>
      <c r="R5706" s="31">
        <f t="shared" si="567"/>
        <v>8000</v>
      </c>
      <c r="U5706" s="8">
        <v>7370</v>
      </c>
      <c r="W5706" s="8">
        <f t="shared" si="563"/>
        <v>0</v>
      </c>
    </row>
    <row r="5707" spans="1:23" ht="21.95" customHeight="1" x14ac:dyDescent="0.2">
      <c r="A5707" s="5" t="s">
        <v>1151</v>
      </c>
      <c r="B5707" s="5" t="s">
        <v>1805</v>
      </c>
      <c r="C5707" s="5" t="s">
        <v>1626</v>
      </c>
      <c r="D5707" s="5" t="s">
        <v>358</v>
      </c>
      <c r="K5707" s="7">
        <v>44010072</v>
      </c>
      <c r="L5707" s="6" t="str">
        <f t="shared" si="564"/>
        <v xml:space="preserve">PLK LİNE  SANDALYE </v>
      </c>
      <c r="M5707" s="12">
        <v>0.4</v>
      </c>
      <c r="N5707" s="8">
        <v>0.3</v>
      </c>
      <c r="O5707" s="8">
        <v>7500</v>
      </c>
      <c r="P5707" s="8">
        <f t="shared" si="565"/>
        <v>5250</v>
      </c>
      <c r="Q5707" s="12">
        <f t="shared" si="566"/>
        <v>11025</v>
      </c>
      <c r="R5707" s="31">
        <f t="shared" si="567"/>
        <v>11000</v>
      </c>
      <c r="U5707" s="8">
        <v>16240</v>
      </c>
      <c r="W5707" s="8">
        <f t="shared" si="563"/>
        <v>0</v>
      </c>
    </row>
    <row r="5708" spans="1:23" ht="21.95" customHeight="1" x14ac:dyDescent="0.2">
      <c r="A5708" s="5" t="s">
        <v>1151</v>
      </c>
      <c r="B5708" s="5" t="s">
        <v>1805</v>
      </c>
      <c r="C5708" s="5" t="s">
        <v>1626</v>
      </c>
      <c r="D5708" s="5" t="s">
        <v>530</v>
      </c>
      <c r="K5708" s="7">
        <v>44010073</v>
      </c>
      <c r="L5708" s="6" t="str">
        <f t="shared" si="564"/>
        <v xml:space="preserve">PLK LİNE  KİTAPLIK </v>
      </c>
      <c r="M5708" s="12">
        <v>0.4</v>
      </c>
      <c r="N5708" s="8">
        <v>0.3</v>
      </c>
      <c r="O5708" s="8">
        <v>6000</v>
      </c>
      <c r="P5708" s="8">
        <f t="shared" si="565"/>
        <v>4200</v>
      </c>
      <c r="Q5708" s="12">
        <f t="shared" si="566"/>
        <v>8820</v>
      </c>
      <c r="R5708" s="31">
        <f t="shared" si="567"/>
        <v>8800</v>
      </c>
      <c r="U5708" s="8">
        <v>7610</v>
      </c>
      <c r="W5708" s="8">
        <f t="shared" si="563"/>
        <v>0</v>
      </c>
    </row>
    <row r="5709" spans="1:23" ht="21.95" customHeight="1" x14ac:dyDescent="0.2">
      <c r="A5709" s="5" t="s">
        <v>1151</v>
      </c>
      <c r="B5709" s="5" t="s">
        <v>1805</v>
      </c>
      <c r="C5709" s="5" t="s">
        <v>1626</v>
      </c>
      <c r="D5709" s="5" t="s">
        <v>1431</v>
      </c>
      <c r="K5709" s="7">
        <v>44010074</v>
      </c>
      <c r="L5709" s="6" t="str">
        <f t="shared" si="564"/>
        <v xml:space="preserve">PLK LİNE  HALI </v>
      </c>
      <c r="M5709" s="12">
        <v>0.4</v>
      </c>
      <c r="N5709" s="8">
        <v>0.3</v>
      </c>
      <c r="O5709" s="8">
        <v>2500</v>
      </c>
      <c r="P5709" s="8">
        <f t="shared" si="565"/>
        <v>1750</v>
      </c>
      <c r="Q5709" s="12">
        <f t="shared" si="566"/>
        <v>3675</v>
      </c>
      <c r="R5709" s="31">
        <f t="shared" si="567"/>
        <v>3600</v>
      </c>
      <c r="U5709" s="8">
        <v>14455</v>
      </c>
      <c r="W5709" s="8">
        <f t="shared" si="563"/>
        <v>0</v>
      </c>
    </row>
    <row r="5710" spans="1:23" ht="21.95" customHeight="1" x14ac:dyDescent="0.2">
      <c r="A5710" s="5" t="s">
        <v>1151</v>
      </c>
      <c r="B5710" s="5" t="s">
        <v>1805</v>
      </c>
      <c r="C5710" s="5" t="s">
        <v>1626</v>
      </c>
      <c r="D5710" s="5" t="s">
        <v>1615</v>
      </c>
      <c r="K5710" s="7">
        <v>44010075</v>
      </c>
      <c r="L5710" s="6" t="str">
        <f t="shared" si="564"/>
        <v xml:space="preserve">PLK LİNE  BOY AYNASI </v>
      </c>
      <c r="M5710" s="12">
        <v>0.4</v>
      </c>
      <c r="N5710" s="8">
        <v>0.3</v>
      </c>
      <c r="O5710" s="8">
        <v>4500</v>
      </c>
      <c r="P5710" s="8">
        <f t="shared" si="565"/>
        <v>3150</v>
      </c>
      <c r="Q5710" s="12">
        <f t="shared" si="566"/>
        <v>6615</v>
      </c>
      <c r="R5710" s="31">
        <f t="shared" si="567"/>
        <v>6600</v>
      </c>
      <c r="U5710" s="8">
        <v>6095</v>
      </c>
      <c r="W5710" s="8">
        <f t="shared" si="563"/>
        <v>0</v>
      </c>
    </row>
    <row r="5711" spans="1:23" ht="21.95" customHeight="1" x14ac:dyDescent="0.2">
      <c r="A5711" s="5" t="s">
        <v>1151</v>
      </c>
      <c r="B5711" s="5" t="s">
        <v>1805</v>
      </c>
      <c r="C5711" s="5" t="s">
        <v>1048</v>
      </c>
      <c r="D5711" s="5" t="s">
        <v>1453</v>
      </c>
      <c r="K5711" s="7">
        <v>44010076</v>
      </c>
      <c r="L5711" s="6" t="str">
        <f t="shared" si="564"/>
        <v xml:space="preserve">PLK LOFT  3 KAPILI DOLAP </v>
      </c>
      <c r="M5711" s="12">
        <v>0.4</v>
      </c>
      <c r="N5711" s="8">
        <v>0.3</v>
      </c>
      <c r="O5711" s="8">
        <v>15000</v>
      </c>
      <c r="P5711" s="8">
        <f t="shared" si="565"/>
        <v>10500</v>
      </c>
      <c r="Q5711" s="12">
        <f t="shared" si="566"/>
        <v>22050</v>
      </c>
      <c r="R5711" s="31">
        <f t="shared" si="567"/>
        <v>22000</v>
      </c>
      <c r="U5711" s="8">
        <v>5730</v>
      </c>
      <c r="W5711" s="8">
        <f t="shared" si="563"/>
        <v>0</v>
      </c>
    </row>
    <row r="5712" spans="1:23" ht="21.95" customHeight="1" x14ac:dyDescent="0.2">
      <c r="A5712" s="5" t="s">
        <v>1151</v>
      </c>
      <c r="B5712" s="5" t="s">
        <v>1805</v>
      </c>
      <c r="C5712" s="5" t="s">
        <v>1048</v>
      </c>
      <c r="D5712" s="5" t="s">
        <v>1599</v>
      </c>
      <c r="K5712" s="7">
        <v>44010077</v>
      </c>
      <c r="L5712" s="6" t="str">
        <f t="shared" si="564"/>
        <v>PLK LOFT  BAŞLIKLI KARYOLA 100*200</v>
      </c>
      <c r="M5712" s="12">
        <v>0.4</v>
      </c>
      <c r="N5712" s="8">
        <v>0.3</v>
      </c>
      <c r="O5712" s="8">
        <v>12000</v>
      </c>
      <c r="P5712" s="8">
        <f t="shared" si="565"/>
        <v>8400</v>
      </c>
      <c r="Q5712" s="12">
        <f t="shared" si="566"/>
        <v>17640</v>
      </c>
      <c r="R5712" s="31">
        <f t="shared" si="567"/>
        <v>17600</v>
      </c>
      <c r="U5712" s="8">
        <v>1795</v>
      </c>
      <c r="W5712" s="8">
        <f t="shared" si="563"/>
        <v>0</v>
      </c>
    </row>
    <row r="5713" spans="1:23" ht="21.95" customHeight="1" x14ac:dyDescent="0.2">
      <c r="A5713" s="5" t="s">
        <v>1151</v>
      </c>
      <c r="B5713" s="5" t="s">
        <v>1805</v>
      </c>
      <c r="C5713" s="5" t="s">
        <v>1048</v>
      </c>
      <c r="D5713" s="5" t="s">
        <v>1627</v>
      </c>
      <c r="K5713" s="7">
        <v>44010078</v>
      </c>
      <c r="L5713" s="6" t="str">
        <f t="shared" si="564"/>
        <v>PLK LOFT  ÇALIŞMA MASASI</v>
      </c>
      <c r="M5713" s="12">
        <v>0.4</v>
      </c>
      <c r="N5713" s="8">
        <v>0.3</v>
      </c>
      <c r="O5713" s="8">
        <v>10000</v>
      </c>
      <c r="P5713" s="8">
        <f t="shared" si="565"/>
        <v>7000</v>
      </c>
      <c r="Q5713" s="12">
        <f t="shared" si="566"/>
        <v>14700</v>
      </c>
      <c r="R5713" s="31">
        <f t="shared" si="567"/>
        <v>14700</v>
      </c>
      <c r="U5713" s="8">
        <v>17755</v>
      </c>
      <c r="W5713" s="8">
        <f t="shared" si="563"/>
        <v>0</v>
      </c>
    </row>
    <row r="5714" spans="1:23" ht="21.95" customHeight="1" x14ac:dyDescent="0.2">
      <c r="A5714" s="5" t="s">
        <v>1151</v>
      </c>
      <c r="B5714" s="5" t="s">
        <v>1805</v>
      </c>
      <c r="C5714" s="5" t="s">
        <v>1048</v>
      </c>
      <c r="D5714" s="5" t="s">
        <v>1601</v>
      </c>
      <c r="K5714" s="7">
        <v>44010079</v>
      </c>
      <c r="L5714" s="6" t="str">
        <f t="shared" si="564"/>
        <v>PLK LOFT  BAŞLIKLI KARYOLA 120*200</v>
      </c>
      <c r="M5714" s="12">
        <v>0.4</v>
      </c>
      <c r="N5714" s="8">
        <v>0.3</v>
      </c>
      <c r="O5714" s="8">
        <v>14000</v>
      </c>
      <c r="P5714" s="8">
        <f t="shared" si="565"/>
        <v>9800</v>
      </c>
      <c r="Q5714" s="12">
        <f t="shared" si="566"/>
        <v>20580</v>
      </c>
      <c r="R5714" s="31">
        <f t="shared" si="567"/>
        <v>20500</v>
      </c>
      <c r="U5714" s="8">
        <v>1650</v>
      </c>
      <c r="W5714" s="8">
        <f t="shared" si="563"/>
        <v>0</v>
      </c>
    </row>
    <row r="5715" spans="1:23" ht="21.95" customHeight="1" x14ac:dyDescent="0.2">
      <c r="A5715" s="5" t="s">
        <v>1151</v>
      </c>
      <c r="B5715" s="5" t="s">
        <v>1805</v>
      </c>
      <c r="C5715" s="5" t="s">
        <v>1048</v>
      </c>
      <c r="D5715" s="5" t="s">
        <v>1602</v>
      </c>
      <c r="K5715" s="7">
        <v>44010080</v>
      </c>
      <c r="L5715" s="6" t="str">
        <f t="shared" si="564"/>
        <v xml:space="preserve">PLK LOFT  BAZA 100'LÜK </v>
      </c>
      <c r="M5715" s="12">
        <v>0.4</v>
      </c>
      <c r="N5715" s="8">
        <v>0.3</v>
      </c>
      <c r="O5715" s="8">
        <v>9000</v>
      </c>
      <c r="P5715" s="8">
        <f t="shared" si="565"/>
        <v>6300</v>
      </c>
      <c r="Q5715" s="12">
        <f t="shared" si="566"/>
        <v>13230</v>
      </c>
      <c r="R5715" s="31">
        <f t="shared" si="567"/>
        <v>13200</v>
      </c>
      <c r="U5715" s="8">
        <v>6500</v>
      </c>
      <c r="W5715" s="8">
        <f t="shared" si="563"/>
        <v>0</v>
      </c>
    </row>
    <row r="5716" spans="1:23" ht="21.95" customHeight="1" x14ac:dyDescent="0.2">
      <c r="A5716" s="5" t="s">
        <v>1151</v>
      </c>
      <c r="B5716" s="5" t="s">
        <v>1805</v>
      </c>
      <c r="C5716" s="5" t="s">
        <v>1048</v>
      </c>
      <c r="D5716" s="5" t="s">
        <v>1603</v>
      </c>
      <c r="K5716" s="7">
        <v>44010081</v>
      </c>
      <c r="L5716" s="6" t="str">
        <f t="shared" si="564"/>
        <v xml:space="preserve">PLK LOFT  BAZA 120'LİK </v>
      </c>
      <c r="M5716" s="12">
        <v>0.4</v>
      </c>
      <c r="N5716" s="8">
        <v>0.3</v>
      </c>
      <c r="O5716" s="8">
        <v>10000</v>
      </c>
      <c r="P5716" s="8">
        <f t="shared" si="565"/>
        <v>7000</v>
      </c>
      <c r="Q5716" s="12">
        <f t="shared" si="566"/>
        <v>14700</v>
      </c>
      <c r="R5716" s="31">
        <f t="shared" si="567"/>
        <v>14700</v>
      </c>
      <c r="U5716" s="8">
        <v>16680</v>
      </c>
      <c r="W5716" s="8">
        <f t="shared" si="563"/>
        <v>0</v>
      </c>
    </row>
    <row r="5717" spans="1:23" ht="21.95" customHeight="1" x14ac:dyDescent="0.2">
      <c r="A5717" s="5" t="s">
        <v>1151</v>
      </c>
      <c r="B5717" s="5" t="s">
        <v>1805</v>
      </c>
      <c r="C5717" s="5" t="s">
        <v>1048</v>
      </c>
      <c r="D5717" s="5" t="s">
        <v>1604</v>
      </c>
      <c r="K5717" s="7">
        <v>44010082</v>
      </c>
      <c r="L5717" s="6" t="str">
        <f t="shared" si="564"/>
        <v xml:space="preserve">PLK LOFT  BAZA BAŞLIĞI 100'LÜK </v>
      </c>
      <c r="M5717" s="12">
        <v>0.4</v>
      </c>
      <c r="N5717" s="8">
        <v>0.3</v>
      </c>
      <c r="O5717" s="8">
        <v>8500</v>
      </c>
      <c r="P5717" s="8">
        <f t="shared" si="565"/>
        <v>5950</v>
      </c>
      <c r="Q5717" s="12">
        <f t="shared" si="566"/>
        <v>12495</v>
      </c>
      <c r="R5717" s="31">
        <f t="shared" si="567"/>
        <v>12400</v>
      </c>
      <c r="U5717" s="8">
        <v>3380</v>
      </c>
      <c r="W5717" s="8">
        <f t="shared" si="563"/>
        <v>0</v>
      </c>
    </row>
    <row r="5718" spans="1:23" ht="21.95" customHeight="1" x14ac:dyDescent="0.2">
      <c r="A5718" s="5" t="s">
        <v>1151</v>
      </c>
      <c r="B5718" s="5" t="s">
        <v>1805</v>
      </c>
      <c r="C5718" s="5" t="s">
        <v>1048</v>
      </c>
      <c r="D5718" s="5" t="s">
        <v>1605</v>
      </c>
      <c r="K5718" s="7">
        <v>44010083</v>
      </c>
      <c r="L5718" s="6" t="str">
        <f t="shared" si="564"/>
        <v xml:space="preserve">PLK LOFT  BAZA BAŞLIĞI 120'LİK </v>
      </c>
      <c r="M5718" s="12">
        <v>0.4</v>
      </c>
      <c r="N5718" s="8">
        <v>0.3</v>
      </c>
      <c r="O5718" s="8">
        <v>9000</v>
      </c>
      <c r="P5718" s="8">
        <f t="shared" si="565"/>
        <v>6300</v>
      </c>
      <c r="Q5718" s="12">
        <f t="shared" si="566"/>
        <v>13230</v>
      </c>
      <c r="R5718" s="31">
        <f t="shared" si="567"/>
        <v>13200</v>
      </c>
      <c r="U5718" s="8">
        <v>14685</v>
      </c>
      <c r="W5718" s="8">
        <f t="shared" si="563"/>
        <v>0</v>
      </c>
    </row>
    <row r="5719" spans="1:23" ht="21.95" customHeight="1" x14ac:dyDescent="0.2">
      <c r="A5719" s="5" t="s">
        <v>1151</v>
      </c>
      <c r="B5719" s="5" t="s">
        <v>1805</v>
      </c>
      <c r="C5719" s="5" t="s">
        <v>1048</v>
      </c>
      <c r="D5719" s="5" t="s">
        <v>96</v>
      </c>
      <c r="K5719" s="7">
        <v>44010084</v>
      </c>
      <c r="L5719" s="6" t="str">
        <f t="shared" si="564"/>
        <v xml:space="preserve">PLK LOFT  ŞİFONYER </v>
      </c>
      <c r="M5719" s="12">
        <v>0.4</v>
      </c>
      <c r="N5719" s="8">
        <v>0.3</v>
      </c>
      <c r="O5719" s="8">
        <v>10000</v>
      </c>
      <c r="P5719" s="8">
        <f t="shared" si="565"/>
        <v>7000</v>
      </c>
      <c r="Q5719" s="12">
        <f t="shared" si="566"/>
        <v>14700</v>
      </c>
      <c r="R5719" s="31">
        <f t="shared" si="567"/>
        <v>14700</v>
      </c>
      <c r="U5719" s="8">
        <v>20680</v>
      </c>
      <c r="W5719" s="8">
        <f t="shared" si="563"/>
        <v>0</v>
      </c>
    </row>
    <row r="5720" spans="1:23" ht="21.95" customHeight="1" x14ac:dyDescent="0.2">
      <c r="A5720" s="5" t="s">
        <v>1151</v>
      </c>
      <c r="B5720" s="5" t="s">
        <v>1805</v>
      </c>
      <c r="C5720" s="5" t="s">
        <v>1048</v>
      </c>
      <c r="D5720" s="5" t="s">
        <v>1457</v>
      </c>
      <c r="K5720" s="7">
        <v>44010085</v>
      </c>
      <c r="L5720" s="6" t="str">
        <f t="shared" si="564"/>
        <v xml:space="preserve">PLK LOFT  AYNA </v>
      </c>
      <c r="M5720" s="12">
        <v>0.4</v>
      </c>
      <c r="N5720" s="8">
        <v>0.3</v>
      </c>
      <c r="O5720" s="8">
        <v>3500</v>
      </c>
      <c r="P5720" s="8">
        <f t="shared" si="565"/>
        <v>2450</v>
      </c>
      <c r="Q5720" s="12">
        <f t="shared" si="566"/>
        <v>5145</v>
      </c>
      <c r="R5720" s="31">
        <f t="shared" si="567"/>
        <v>5100</v>
      </c>
      <c r="U5720" s="8">
        <v>3565</v>
      </c>
      <c r="W5720" s="8">
        <f t="shared" si="563"/>
        <v>0</v>
      </c>
    </row>
    <row r="5721" spans="1:23" ht="21.95" customHeight="1" x14ac:dyDescent="0.2">
      <c r="A5721" s="5" t="s">
        <v>1151</v>
      </c>
      <c r="B5721" s="5" t="s">
        <v>1805</v>
      </c>
      <c r="C5721" s="5" t="s">
        <v>1048</v>
      </c>
      <c r="D5721" s="5" t="s">
        <v>1428</v>
      </c>
      <c r="K5721" s="7">
        <v>44010086</v>
      </c>
      <c r="L5721" s="6" t="str">
        <f t="shared" si="564"/>
        <v xml:space="preserve">PLK LOFT  KOMODİN </v>
      </c>
      <c r="M5721" s="12">
        <v>0.4</v>
      </c>
      <c r="N5721" s="8">
        <v>0.3</v>
      </c>
      <c r="O5721" s="8">
        <v>3500</v>
      </c>
      <c r="P5721" s="8">
        <f t="shared" si="565"/>
        <v>2450</v>
      </c>
      <c r="Q5721" s="12">
        <f t="shared" si="566"/>
        <v>5145</v>
      </c>
      <c r="R5721" s="31">
        <f t="shared" si="567"/>
        <v>5100</v>
      </c>
      <c r="U5721" s="8">
        <v>9500</v>
      </c>
      <c r="W5721" s="8">
        <f t="shared" si="563"/>
        <v>0</v>
      </c>
    </row>
    <row r="5722" spans="1:23" ht="21.95" customHeight="1" x14ac:dyDescent="0.2">
      <c r="A5722" s="5" t="s">
        <v>1151</v>
      </c>
      <c r="B5722" s="5" t="s">
        <v>1805</v>
      </c>
      <c r="C5722" s="5" t="s">
        <v>1048</v>
      </c>
      <c r="D5722" s="5" t="s">
        <v>1614</v>
      </c>
      <c r="K5722" s="7">
        <v>44010087</v>
      </c>
      <c r="L5722" s="6" t="str">
        <f t="shared" si="564"/>
        <v xml:space="preserve">PLK LOFT  UYKU SETİ </v>
      </c>
      <c r="M5722" s="12">
        <v>0.4</v>
      </c>
      <c r="N5722" s="8">
        <v>0.3</v>
      </c>
      <c r="O5722" s="8">
        <v>5500</v>
      </c>
      <c r="P5722" s="8">
        <f t="shared" si="565"/>
        <v>3849.9999999999995</v>
      </c>
      <c r="Q5722" s="12">
        <f t="shared" si="566"/>
        <v>8084.9999999999991</v>
      </c>
      <c r="R5722" s="31">
        <f t="shared" si="567"/>
        <v>8000</v>
      </c>
      <c r="U5722" s="8">
        <v>11285</v>
      </c>
      <c r="W5722" s="8">
        <f t="shared" si="563"/>
        <v>0</v>
      </c>
    </row>
    <row r="5723" spans="1:23" ht="21.95" customHeight="1" x14ac:dyDescent="0.2">
      <c r="A5723" s="5" t="s">
        <v>1151</v>
      </c>
      <c r="B5723" s="5" t="s">
        <v>1805</v>
      </c>
      <c r="C5723" s="5" t="s">
        <v>1048</v>
      </c>
      <c r="D5723" s="5" t="s">
        <v>358</v>
      </c>
      <c r="K5723" s="7">
        <v>44010088</v>
      </c>
      <c r="L5723" s="6" t="str">
        <f t="shared" si="564"/>
        <v xml:space="preserve">PLK LOFT  SANDALYE </v>
      </c>
      <c r="M5723" s="12">
        <v>0.4</v>
      </c>
      <c r="N5723" s="8">
        <v>0.3</v>
      </c>
      <c r="O5723" s="8">
        <v>7500</v>
      </c>
      <c r="P5723" s="8">
        <f t="shared" si="565"/>
        <v>5250</v>
      </c>
      <c r="Q5723" s="12">
        <f t="shared" si="566"/>
        <v>11025</v>
      </c>
      <c r="R5723" s="31">
        <f t="shared" si="567"/>
        <v>11000</v>
      </c>
      <c r="U5723" s="8">
        <v>2255</v>
      </c>
      <c r="W5723" s="8">
        <f t="shared" si="563"/>
        <v>0</v>
      </c>
    </row>
    <row r="5724" spans="1:23" ht="21.95" customHeight="1" x14ac:dyDescent="0.2">
      <c r="A5724" s="5" t="s">
        <v>1151</v>
      </c>
      <c r="B5724" s="5" t="s">
        <v>1805</v>
      </c>
      <c r="C5724" s="5" t="s">
        <v>1048</v>
      </c>
      <c r="D5724" s="5" t="s">
        <v>530</v>
      </c>
      <c r="K5724" s="7">
        <v>44010089</v>
      </c>
      <c r="L5724" s="6" t="str">
        <f t="shared" si="564"/>
        <v xml:space="preserve">PLK LOFT  KİTAPLIK </v>
      </c>
      <c r="M5724" s="12">
        <v>0.4</v>
      </c>
      <c r="N5724" s="8">
        <v>0.3</v>
      </c>
      <c r="O5724" s="8">
        <v>6000</v>
      </c>
      <c r="P5724" s="8">
        <f t="shared" si="565"/>
        <v>4200</v>
      </c>
      <c r="Q5724" s="12">
        <f t="shared" si="566"/>
        <v>8820</v>
      </c>
      <c r="R5724" s="31">
        <f t="shared" si="567"/>
        <v>8800</v>
      </c>
      <c r="U5724" s="8">
        <v>8000</v>
      </c>
      <c r="W5724" s="8">
        <f t="shared" si="563"/>
        <v>0</v>
      </c>
    </row>
    <row r="5725" spans="1:23" ht="21.95" customHeight="1" x14ac:dyDescent="0.2">
      <c r="A5725" s="5" t="s">
        <v>1151</v>
      </c>
      <c r="B5725" s="5" t="s">
        <v>1805</v>
      </c>
      <c r="C5725" s="5" t="s">
        <v>1048</v>
      </c>
      <c r="D5725" s="5" t="s">
        <v>1431</v>
      </c>
      <c r="K5725" s="7">
        <v>44010090</v>
      </c>
      <c r="L5725" s="6" t="str">
        <f t="shared" si="564"/>
        <v xml:space="preserve">PLK LOFT  HALI </v>
      </c>
      <c r="M5725" s="12">
        <v>0.4</v>
      </c>
      <c r="N5725" s="8">
        <v>0.3</v>
      </c>
      <c r="O5725" s="8">
        <v>2500</v>
      </c>
      <c r="P5725" s="8">
        <f t="shared" si="565"/>
        <v>1750</v>
      </c>
      <c r="Q5725" s="12">
        <f t="shared" si="566"/>
        <v>3675</v>
      </c>
      <c r="R5725" s="31">
        <f t="shared" si="567"/>
        <v>3600</v>
      </c>
      <c r="U5725" s="8">
        <v>3685</v>
      </c>
      <c r="W5725" s="8">
        <f t="shared" si="563"/>
        <v>0</v>
      </c>
    </row>
    <row r="5726" spans="1:23" ht="21.95" customHeight="1" x14ac:dyDescent="0.2">
      <c r="A5726" s="5" t="s">
        <v>1151</v>
      </c>
      <c r="B5726" s="5" t="s">
        <v>1805</v>
      </c>
      <c r="C5726" s="5" t="s">
        <v>1048</v>
      </c>
      <c r="D5726" s="5" t="s">
        <v>1615</v>
      </c>
      <c r="K5726" s="7">
        <v>44010091</v>
      </c>
      <c r="L5726" s="6" t="str">
        <f t="shared" si="564"/>
        <v xml:space="preserve">PLK LOFT  BOY AYNASI </v>
      </c>
      <c r="M5726" s="12">
        <v>0.4</v>
      </c>
      <c r="N5726" s="8">
        <v>0.3</v>
      </c>
      <c r="O5726" s="8">
        <v>4500</v>
      </c>
      <c r="P5726" s="8">
        <f t="shared" si="565"/>
        <v>3150</v>
      </c>
      <c r="Q5726" s="12">
        <f t="shared" si="566"/>
        <v>6615</v>
      </c>
      <c r="R5726" s="31">
        <f t="shared" si="567"/>
        <v>6600</v>
      </c>
      <c r="U5726" s="8">
        <v>11200</v>
      </c>
      <c r="W5726" s="8">
        <f t="shared" si="563"/>
        <v>0</v>
      </c>
    </row>
    <row r="5727" spans="1:23" ht="21.95" customHeight="1" x14ac:dyDescent="0.2">
      <c r="A5727" s="5" t="s">
        <v>1151</v>
      </c>
      <c r="B5727" s="5" t="s">
        <v>1805</v>
      </c>
      <c r="C5727" s="5" t="s">
        <v>1393</v>
      </c>
      <c r="D5727" s="5" t="s">
        <v>1453</v>
      </c>
      <c r="K5727" s="7">
        <v>44010092</v>
      </c>
      <c r="L5727" s="6" t="str">
        <f t="shared" si="564"/>
        <v xml:space="preserve">PLK DIANA  3 KAPILI DOLAP </v>
      </c>
      <c r="M5727" s="12">
        <v>0.4</v>
      </c>
      <c r="N5727" s="8">
        <v>0.3</v>
      </c>
      <c r="O5727" s="8">
        <v>21000</v>
      </c>
      <c r="P5727" s="8">
        <f t="shared" si="565"/>
        <v>14699.999999999998</v>
      </c>
      <c r="Q5727" s="12">
        <f t="shared" si="566"/>
        <v>30869.999999999996</v>
      </c>
      <c r="R5727" s="31">
        <f t="shared" si="567"/>
        <v>30800</v>
      </c>
      <c r="U5727" s="8">
        <v>3565</v>
      </c>
      <c r="W5727" s="8">
        <f t="shared" si="563"/>
        <v>0</v>
      </c>
    </row>
    <row r="5728" spans="1:23" ht="21.95" customHeight="1" x14ac:dyDescent="0.2">
      <c r="A5728" s="5" t="s">
        <v>1151</v>
      </c>
      <c r="B5728" s="5" t="s">
        <v>1805</v>
      </c>
      <c r="C5728" s="5" t="s">
        <v>1393</v>
      </c>
      <c r="D5728" s="5" t="s">
        <v>1599</v>
      </c>
      <c r="K5728" s="7">
        <v>44010093</v>
      </c>
      <c r="L5728" s="6" t="str">
        <f t="shared" si="564"/>
        <v>PLK DIANA  BAŞLIKLI KARYOLA 100*200</v>
      </c>
      <c r="M5728" s="12">
        <v>0.4</v>
      </c>
      <c r="N5728" s="8">
        <v>0.3</v>
      </c>
      <c r="O5728" s="8">
        <v>14000</v>
      </c>
      <c r="P5728" s="8">
        <f t="shared" si="565"/>
        <v>9800</v>
      </c>
      <c r="Q5728" s="12">
        <f t="shared" si="566"/>
        <v>20580</v>
      </c>
      <c r="R5728" s="31">
        <f t="shared" si="567"/>
        <v>20500</v>
      </c>
      <c r="U5728" s="8">
        <v>3520</v>
      </c>
      <c r="W5728" s="8">
        <f t="shared" si="563"/>
        <v>0</v>
      </c>
    </row>
    <row r="5729" spans="1:23" ht="21.95" customHeight="1" x14ac:dyDescent="0.2">
      <c r="A5729" s="5" t="s">
        <v>1151</v>
      </c>
      <c r="B5729" s="5" t="s">
        <v>1805</v>
      </c>
      <c r="C5729" s="5" t="s">
        <v>1393</v>
      </c>
      <c r="D5729" s="5" t="s">
        <v>1196</v>
      </c>
      <c r="K5729" s="7">
        <v>44010094</v>
      </c>
      <c r="L5729" s="6" t="str">
        <f t="shared" si="564"/>
        <v xml:space="preserve">PLK DIANA  ÇALIŞMA MASASI </v>
      </c>
      <c r="M5729" s="12">
        <v>0.4</v>
      </c>
      <c r="N5729" s="8">
        <v>0.3</v>
      </c>
      <c r="O5729" s="8">
        <v>12500</v>
      </c>
      <c r="P5729" s="8">
        <f t="shared" si="565"/>
        <v>8750</v>
      </c>
      <c r="Q5729" s="12">
        <f t="shared" si="566"/>
        <v>18375</v>
      </c>
      <c r="R5729" s="31">
        <f t="shared" si="567"/>
        <v>18300</v>
      </c>
      <c r="U5729" s="8">
        <v>11165</v>
      </c>
      <c r="W5729" s="8">
        <f t="shared" si="563"/>
        <v>0</v>
      </c>
    </row>
    <row r="5730" spans="1:23" ht="21.95" customHeight="1" x14ac:dyDescent="0.2">
      <c r="A5730" s="5" t="s">
        <v>1151</v>
      </c>
      <c r="B5730" s="5" t="s">
        <v>1805</v>
      </c>
      <c r="C5730" s="5" t="s">
        <v>1393</v>
      </c>
      <c r="D5730" s="5" t="s">
        <v>1602</v>
      </c>
      <c r="K5730" s="7">
        <v>44010095</v>
      </c>
      <c r="L5730" s="6" t="str">
        <f t="shared" si="564"/>
        <v xml:space="preserve">PLK DIANA  BAZA 100'LÜK </v>
      </c>
      <c r="M5730" s="12">
        <v>0.4</v>
      </c>
      <c r="N5730" s="8">
        <v>0.3</v>
      </c>
      <c r="O5730" s="8">
        <v>9000</v>
      </c>
      <c r="P5730" s="8">
        <f t="shared" si="565"/>
        <v>6300</v>
      </c>
      <c r="Q5730" s="12">
        <f t="shared" si="566"/>
        <v>13230</v>
      </c>
      <c r="R5730" s="31">
        <f t="shared" si="567"/>
        <v>13200</v>
      </c>
      <c r="U5730" s="8">
        <v>2675</v>
      </c>
      <c r="W5730" s="8">
        <f t="shared" si="563"/>
        <v>0</v>
      </c>
    </row>
    <row r="5731" spans="1:23" ht="21.95" customHeight="1" x14ac:dyDescent="0.2">
      <c r="A5731" s="5" t="s">
        <v>1151</v>
      </c>
      <c r="B5731" s="5" t="s">
        <v>1805</v>
      </c>
      <c r="C5731" s="5" t="s">
        <v>1393</v>
      </c>
      <c r="D5731" s="5" t="s">
        <v>1603</v>
      </c>
      <c r="K5731" s="7">
        <v>44010096</v>
      </c>
      <c r="L5731" s="6" t="str">
        <f t="shared" si="564"/>
        <v xml:space="preserve">PLK DIANA  BAZA 120'LİK </v>
      </c>
      <c r="M5731" s="12">
        <v>0.4</v>
      </c>
      <c r="N5731" s="8">
        <v>0.3</v>
      </c>
      <c r="O5731" s="8">
        <v>10000</v>
      </c>
      <c r="P5731" s="8">
        <f t="shared" si="565"/>
        <v>7000</v>
      </c>
      <c r="Q5731" s="12">
        <f t="shared" si="566"/>
        <v>14700</v>
      </c>
      <c r="R5731" s="31">
        <f t="shared" si="567"/>
        <v>14700</v>
      </c>
      <c r="U5731" s="8">
        <v>7610</v>
      </c>
      <c r="W5731" s="8">
        <f t="shared" ref="W5731:W5794" si="568">T5731*2.5</f>
        <v>0</v>
      </c>
    </row>
    <row r="5732" spans="1:23" ht="21.95" customHeight="1" x14ac:dyDescent="0.2">
      <c r="A5732" s="5" t="s">
        <v>1151</v>
      </c>
      <c r="B5732" s="5" t="s">
        <v>1805</v>
      </c>
      <c r="C5732" s="5" t="s">
        <v>1393</v>
      </c>
      <c r="D5732" s="5" t="s">
        <v>1604</v>
      </c>
      <c r="K5732" s="7">
        <v>44010097</v>
      </c>
      <c r="L5732" s="6" t="str">
        <f t="shared" si="564"/>
        <v xml:space="preserve">PLK DIANA  BAZA BAŞLIĞI 100'LÜK </v>
      </c>
      <c r="M5732" s="12">
        <v>0.4</v>
      </c>
      <c r="N5732" s="8">
        <v>0.3</v>
      </c>
      <c r="O5732" s="8">
        <v>7500</v>
      </c>
      <c r="P5732" s="8">
        <f t="shared" si="565"/>
        <v>5250</v>
      </c>
      <c r="Q5732" s="12">
        <f t="shared" si="566"/>
        <v>11025</v>
      </c>
      <c r="R5732" s="31">
        <f t="shared" si="567"/>
        <v>11000</v>
      </c>
      <c r="U5732" s="8">
        <v>4045</v>
      </c>
      <c r="W5732" s="8">
        <f t="shared" si="568"/>
        <v>0</v>
      </c>
    </row>
    <row r="5733" spans="1:23" ht="21.95" customHeight="1" x14ac:dyDescent="0.2">
      <c r="A5733" s="5" t="s">
        <v>1151</v>
      </c>
      <c r="B5733" s="5" t="s">
        <v>1805</v>
      </c>
      <c r="C5733" s="5" t="s">
        <v>1393</v>
      </c>
      <c r="D5733" s="5" t="s">
        <v>1605</v>
      </c>
      <c r="K5733" s="7">
        <v>44010098</v>
      </c>
      <c r="L5733" s="6" t="str">
        <f t="shared" si="564"/>
        <v xml:space="preserve">PLK DIANA  BAZA BAŞLIĞI 120'LİK </v>
      </c>
      <c r="M5733" s="12">
        <v>0.4</v>
      </c>
      <c r="N5733" s="8">
        <v>0.3</v>
      </c>
      <c r="O5733" s="8">
        <v>8500</v>
      </c>
      <c r="P5733" s="8">
        <f t="shared" si="565"/>
        <v>5950</v>
      </c>
      <c r="Q5733" s="12">
        <f t="shared" si="566"/>
        <v>12495</v>
      </c>
      <c r="R5733" s="31">
        <f t="shared" si="567"/>
        <v>12400</v>
      </c>
      <c r="U5733" s="8">
        <v>13070</v>
      </c>
      <c r="W5733" s="8">
        <f t="shared" si="568"/>
        <v>0</v>
      </c>
    </row>
    <row r="5734" spans="1:23" ht="21.95" customHeight="1" x14ac:dyDescent="0.2">
      <c r="A5734" s="5" t="s">
        <v>1151</v>
      </c>
      <c r="B5734" s="5" t="s">
        <v>1805</v>
      </c>
      <c r="C5734" s="5" t="s">
        <v>1393</v>
      </c>
      <c r="D5734" s="5" t="s">
        <v>78</v>
      </c>
      <c r="K5734" s="7">
        <v>44010099</v>
      </c>
      <c r="L5734" s="6" t="str">
        <f t="shared" ref="L5734:L5797" si="569">B5734&amp;" "&amp;C5734&amp;" "&amp;D5734</f>
        <v>PLK DIANA  ŞİFONYER</v>
      </c>
      <c r="M5734" s="12">
        <v>0.4</v>
      </c>
      <c r="N5734" s="8">
        <v>0.3</v>
      </c>
      <c r="O5734" s="8">
        <v>12000</v>
      </c>
      <c r="P5734" s="8">
        <f t="shared" si="565"/>
        <v>8400</v>
      </c>
      <c r="Q5734" s="12">
        <f t="shared" si="566"/>
        <v>17640</v>
      </c>
      <c r="R5734" s="31">
        <f t="shared" si="567"/>
        <v>17600</v>
      </c>
      <c r="U5734" s="8">
        <v>4160</v>
      </c>
      <c r="W5734" s="8">
        <f t="shared" si="568"/>
        <v>0</v>
      </c>
    </row>
    <row r="5735" spans="1:23" ht="21.95" customHeight="1" x14ac:dyDescent="0.2">
      <c r="A5735" s="5" t="s">
        <v>1151</v>
      </c>
      <c r="B5735" s="5" t="s">
        <v>1805</v>
      </c>
      <c r="C5735" s="5" t="s">
        <v>1393</v>
      </c>
      <c r="D5735" s="5" t="s">
        <v>1457</v>
      </c>
      <c r="K5735" s="7">
        <v>44010100</v>
      </c>
      <c r="L5735" s="6" t="str">
        <f t="shared" si="569"/>
        <v xml:space="preserve">PLK DIANA  AYNA </v>
      </c>
      <c r="M5735" s="12">
        <v>0.4</v>
      </c>
      <c r="N5735" s="8">
        <v>0.3</v>
      </c>
      <c r="O5735" s="8">
        <v>4000</v>
      </c>
      <c r="P5735" s="8">
        <f t="shared" si="565"/>
        <v>2800</v>
      </c>
      <c r="Q5735" s="12">
        <f t="shared" si="566"/>
        <v>5880</v>
      </c>
      <c r="R5735" s="31">
        <f t="shared" si="567"/>
        <v>5800</v>
      </c>
      <c r="U5735" s="8">
        <v>3520</v>
      </c>
      <c r="W5735" s="8">
        <f t="shared" si="568"/>
        <v>0</v>
      </c>
    </row>
    <row r="5736" spans="1:23" ht="21.95" customHeight="1" x14ac:dyDescent="0.2">
      <c r="A5736" s="5" t="s">
        <v>1151</v>
      </c>
      <c r="B5736" s="5" t="s">
        <v>1805</v>
      </c>
      <c r="C5736" s="5" t="s">
        <v>1393</v>
      </c>
      <c r="D5736" s="5" t="s">
        <v>1428</v>
      </c>
      <c r="K5736" s="7">
        <v>44010101</v>
      </c>
      <c r="L5736" s="6" t="str">
        <f t="shared" si="569"/>
        <v xml:space="preserve">PLK DIANA  KOMODİN </v>
      </c>
      <c r="M5736" s="12">
        <v>0.4</v>
      </c>
      <c r="N5736" s="8">
        <v>0.3</v>
      </c>
      <c r="O5736" s="8">
        <v>4000</v>
      </c>
      <c r="P5736" s="8">
        <f t="shared" si="565"/>
        <v>2800</v>
      </c>
      <c r="Q5736" s="12">
        <f t="shared" si="566"/>
        <v>5880</v>
      </c>
      <c r="R5736" s="31">
        <f t="shared" si="567"/>
        <v>5800</v>
      </c>
      <c r="U5736" s="8">
        <v>10410</v>
      </c>
      <c r="W5736" s="8">
        <f t="shared" si="568"/>
        <v>0</v>
      </c>
    </row>
    <row r="5737" spans="1:23" ht="21.95" customHeight="1" x14ac:dyDescent="0.2">
      <c r="A5737" s="5" t="s">
        <v>1151</v>
      </c>
      <c r="B5737" s="5" t="s">
        <v>1805</v>
      </c>
      <c r="C5737" s="5" t="s">
        <v>1393</v>
      </c>
      <c r="D5737" s="5" t="s">
        <v>1611</v>
      </c>
      <c r="K5737" s="7">
        <v>44010102</v>
      </c>
      <c r="L5737" s="6" t="str">
        <f t="shared" si="569"/>
        <v>PLK DIANA  UYKU SETİ</v>
      </c>
      <c r="M5737" s="12">
        <v>0.4</v>
      </c>
      <c r="N5737" s="8">
        <v>0.3</v>
      </c>
      <c r="O5737" s="8">
        <v>7000</v>
      </c>
      <c r="P5737" s="8">
        <f t="shared" si="565"/>
        <v>4900</v>
      </c>
      <c r="Q5737" s="12">
        <f t="shared" si="566"/>
        <v>10290</v>
      </c>
      <c r="R5737" s="31">
        <f t="shared" si="567"/>
        <v>10200</v>
      </c>
      <c r="U5737" s="8">
        <v>2615</v>
      </c>
      <c r="W5737" s="8">
        <f t="shared" si="568"/>
        <v>0</v>
      </c>
    </row>
    <row r="5738" spans="1:23" ht="21.95" customHeight="1" x14ac:dyDescent="0.2">
      <c r="A5738" s="5" t="s">
        <v>1151</v>
      </c>
      <c r="B5738" s="5" t="s">
        <v>1805</v>
      </c>
      <c r="C5738" s="5" t="s">
        <v>1393</v>
      </c>
      <c r="D5738" s="5" t="s">
        <v>1628</v>
      </c>
      <c r="K5738" s="7">
        <v>44010103</v>
      </c>
      <c r="L5738" s="6" t="str">
        <f t="shared" si="569"/>
        <v xml:space="preserve">PLK DIANA  TÜL </v>
      </c>
      <c r="M5738" s="12">
        <v>0.4</v>
      </c>
      <c r="N5738" s="8">
        <v>0.3</v>
      </c>
      <c r="O5738" s="8">
        <v>5500</v>
      </c>
      <c r="P5738" s="8">
        <f t="shared" si="565"/>
        <v>3849.9999999999995</v>
      </c>
      <c r="Q5738" s="12">
        <f t="shared" si="566"/>
        <v>8084.9999999999991</v>
      </c>
      <c r="R5738" s="31">
        <f t="shared" si="567"/>
        <v>8000</v>
      </c>
      <c r="U5738" s="8">
        <v>8530</v>
      </c>
      <c r="W5738" s="8">
        <f t="shared" si="568"/>
        <v>0</v>
      </c>
    </row>
    <row r="5739" spans="1:23" ht="21.95" customHeight="1" x14ac:dyDescent="0.2">
      <c r="A5739" s="5" t="s">
        <v>1151</v>
      </c>
      <c r="B5739" s="5" t="s">
        <v>1805</v>
      </c>
      <c r="C5739" s="5" t="s">
        <v>1393</v>
      </c>
      <c r="D5739" s="5" t="s">
        <v>358</v>
      </c>
      <c r="K5739" s="7">
        <v>44010104</v>
      </c>
      <c r="L5739" s="6" t="str">
        <f t="shared" si="569"/>
        <v xml:space="preserve">PLK DIANA  SANDALYE </v>
      </c>
      <c r="M5739" s="12">
        <v>0.4</v>
      </c>
      <c r="N5739" s="8">
        <v>0.3</v>
      </c>
      <c r="O5739" s="8">
        <v>8000</v>
      </c>
      <c r="P5739" s="8">
        <f t="shared" si="565"/>
        <v>5600</v>
      </c>
      <c r="Q5739" s="12">
        <f t="shared" si="566"/>
        <v>11760</v>
      </c>
      <c r="R5739" s="31">
        <f t="shared" si="567"/>
        <v>11700</v>
      </c>
      <c r="U5739" s="8">
        <v>9800</v>
      </c>
      <c r="W5739" s="8">
        <f t="shared" si="568"/>
        <v>0</v>
      </c>
    </row>
    <row r="5740" spans="1:23" ht="21.95" customHeight="1" x14ac:dyDescent="0.2">
      <c r="A5740" s="5" t="s">
        <v>1151</v>
      </c>
      <c r="B5740" s="5" t="s">
        <v>1805</v>
      </c>
      <c r="C5740" s="5" t="s">
        <v>1393</v>
      </c>
      <c r="D5740" s="5" t="s">
        <v>530</v>
      </c>
      <c r="K5740" s="7">
        <v>44010105</v>
      </c>
      <c r="L5740" s="6" t="str">
        <f t="shared" si="569"/>
        <v xml:space="preserve">PLK DIANA  KİTAPLIK </v>
      </c>
      <c r="M5740" s="12">
        <v>0.4</v>
      </c>
      <c r="N5740" s="8">
        <v>0.3</v>
      </c>
      <c r="O5740" s="8">
        <v>7000</v>
      </c>
      <c r="P5740" s="8">
        <f t="shared" si="565"/>
        <v>4900</v>
      </c>
      <c r="Q5740" s="12">
        <f t="shared" si="566"/>
        <v>10290</v>
      </c>
      <c r="R5740" s="31">
        <f t="shared" si="567"/>
        <v>10200</v>
      </c>
      <c r="U5740" s="8">
        <v>3410</v>
      </c>
      <c r="W5740" s="8">
        <f t="shared" si="568"/>
        <v>0</v>
      </c>
    </row>
    <row r="5741" spans="1:23" ht="21.95" customHeight="1" x14ac:dyDescent="0.2">
      <c r="A5741" s="5" t="s">
        <v>1151</v>
      </c>
      <c r="B5741" s="5" t="s">
        <v>1805</v>
      </c>
      <c r="C5741" s="5" t="s">
        <v>1393</v>
      </c>
      <c r="D5741" s="5" t="s">
        <v>1431</v>
      </c>
      <c r="K5741" s="7">
        <v>44010106</v>
      </c>
      <c r="L5741" s="6" t="str">
        <f t="shared" si="569"/>
        <v xml:space="preserve">PLK DIANA  HALI </v>
      </c>
      <c r="M5741" s="12">
        <v>0.4</v>
      </c>
      <c r="N5741" s="8">
        <v>0.3</v>
      </c>
      <c r="O5741" s="8">
        <v>2500</v>
      </c>
      <c r="P5741" s="8">
        <f t="shared" si="565"/>
        <v>1750</v>
      </c>
      <c r="Q5741" s="12">
        <f t="shared" si="566"/>
        <v>3675</v>
      </c>
      <c r="R5741" s="31">
        <f t="shared" si="567"/>
        <v>3600</v>
      </c>
      <c r="U5741" s="8">
        <v>3520</v>
      </c>
      <c r="W5741" s="8">
        <f t="shared" si="568"/>
        <v>0</v>
      </c>
    </row>
    <row r="5742" spans="1:23" ht="21.95" customHeight="1" x14ac:dyDescent="0.2">
      <c r="A5742" s="5" t="s">
        <v>1151</v>
      </c>
      <c r="B5742" s="5" t="s">
        <v>1805</v>
      </c>
      <c r="C5742" s="5" t="s">
        <v>1393</v>
      </c>
      <c r="D5742" s="5" t="s">
        <v>1615</v>
      </c>
      <c r="K5742" s="7">
        <v>44010107</v>
      </c>
      <c r="L5742" s="6" t="str">
        <f t="shared" si="569"/>
        <v xml:space="preserve">PLK DIANA  BOY AYNASI </v>
      </c>
      <c r="M5742" s="12">
        <v>0.4</v>
      </c>
      <c r="N5742" s="8">
        <v>0.3</v>
      </c>
      <c r="O5742" s="8">
        <v>4500</v>
      </c>
      <c r="P5742" s="8">
        <f t="shared" si="565"/>
        <v>3150</v>
      </c>
      <c r="Q5742" s="12">
        <f t="shared" si="566"/>
        <v>6615</v>
      </c>
      <c r="R5742" s="31">
        <f t="shared" si="567"/>
        <v>6600</v>
      </c>
      <c r="U5742" s="8">
        <v>19275</v>
      </c>
      <c r="W5742" s="8">
        <f t="shared" si="568"/>
        <v>0</v>
      </c>
    </row>
    <row r="5743" spans="1:23" ht="21.95" customHeight="1" x14ac:dyDescent="0.2">
      <c r="A5743" s="5" t="s">
        <v>1151</v>
      </c>
      <c r="B5743" s="5" t="s">
        <v>1805</v>
      </c>
      <c r="C5743" s="5" t="s">
        <v>1629</v>
      </c>
      <c r="D5743" s="5" t="s">
        <v>1630</v>
      </c>
      <c r="K5743" s="7">
        <v>44010108</v>
      </c>
      <c r="L5743" s="6" t="str">
        <f t="shared" si="569"/>
        <v xml:space="preserve">PLK FLORA NEW DOLAP  </v>
      </c>
      <c r="M5743" s="12">
        <v>0.4</v>
      </c>
      <c r="N5743" s="8">
        <v>0.3</v>
      </c>
      <c r="O5743" s="8">
        <v>21000</v>
      </c>
      <c r="P5743" s="8">
        <f t="shared" si="565"/>
        <v>14699.999999999998</v>
      </c>
      <c r="Q5743" s="12">
        <f t="shared" si="566"/>
        <v>30869.999999999996</v>
      </c>
      <c r="R5743" s="31">
        <f t="shared" si="567"/>
        <v>30800</v>
      </c>
      <c r="U5743" s="8">
        <v>10065</v>
      </c>
      <c r="W5743" s="8">
        <f t="shared" si="568"/>
        <v>0</v>
      </c>
    </row>
    <row r="5744" spans="1:23" ht="21.95" customHeight="1" x14ac:dyDescent="0.2">
      <c r="A5744" s="5" t="s">
        <v>1151</v>
      </c>
      <c r="B5744" s="5" t="s">
        <v>1805</v>
      </c>
      <c r="C5744" s="5" t="s">
        <v>1629</v>
      </c>
      <c r="D5744" s="5" t="s">
        <v>1608</v>
      </c>
      <c r="K5744" s="7">
        <v>44010109</v>
      </c>
      <c r="L5744" s="6" t="str">
        <f t="shared" si="569"/>
        <v xml:space="preserve">PLK FLORA NEW RANZA </v>
      </c>
      <c r="M5744" s="12">
        <v>0.4</v>
      </c>
      <c r="N5744" s="8">
        <v>0.3</v>
      </c>
      <c r="O5744" s="8">
        <v>39000</v>
      </c>
      <c r="P5744" s="8">
        <f t="shared" si="565"/>
        <v>27300</v>
      </c>
      <c r="Q5744" s="12">
        <f t="shared" si="566"/>
        <v>57330</v>
      </c>
      <c r="R5744" s="31">
        <f t="shared" si="567"/>
        <v>57300</v>
      </c>
      <c r="U5744" s="8">
        <v>14115</v>
      </c>
      <c r="W5744" s="8">
        <f t="shared" si="568"/>
        <v>0</v>
      </c>
    </row>
    <row r="5745" spans="1:23" ht="21.95" customHeight="1" x14ac:dyDescent="0.2">
      <c r="A5745" s="5" t="s">
        <v>1151</v>
      </c>
      <c r="B5745" s="5" t="s">
        <v>1805</v>
      </c>
      <c r="C5745" s="5" t="s">
        <v>1629</v>
      </c>
      <c r="D5745" s="5" t="s">
        <v>1631</v>
      </c>
      <c r="K5745" s="7">
        <v>44010110</v>
      </c>
      <c r="L5745" s="6" t="str">
        <f t="shared" si="569"/>
        <v xml:space="preserve">PLK FLORA NEW RANZA SANDIĞI </v>
      </c>
      <c r="M5745" s="12">
        <v>0.4</v>
      </c>
      <c r="N5745" s="8">
        <v>0.3</v>
      </c>
      <c r="O5745" s="8">
        <v>7000</v>
      </c>
      <c r="P5745" s="8">
        <f t="shared" si="565"/>
        <v>4900</v>
      </c>
      <c r="Q5745" s="12">
        <f t="shared" si="566"/>
        <v>10290</v>
      </c>
      <c r="R5745" s="31">
        <f t="shared" si="567"/>
        <v>10200</v>
      </c>
      <c r="U5745" s="8">
        <v>6830</v>
      </c>
      <c r="W5745" s="8">
        <f t="shared" si="568"/>
        <v>0</v>
      </c>
    </row>
    <row r="5746" spans="1:23" ht="21.95" customHeight="1" x14ac:dyDescent="0.2">
      <c r="A5746" s="5" t="s">
        <v>1151</v>
      </c>
      <c r="B5746" s="5" t="s">
        <v>1805</v>
      </c>
      <c r="C5746" s="5" t="s">
        <v>1629</v>
      </c>
      <c r="D5746" s="5" t="s">
        <v>96</v>
      </c>
      <c r="K5746" s="7">
        <v>44010111</v>
      </c>
      <c r="L5746" s="6" t="str">
        <f t="shared" si="569"/>
        <v xml:space="preserve">PLK FLORA NEW ŞİFONYER </v>
      </c>
      <c r="M5746" s="12">
        <v>0.4</v>
      </c>
      <c r="N5746" s="8">
        <v>0.3</v>
      </c>
      <c r="O5746" s="8">
        <v>11000</v>
      </c>
      <c r="P5746" s="8">
        <f t="shared" si="565"/>
        <v>7699.9999999999991</v>
      </c>
      <c r="Q5746" s="12">
        <f t="shared" si="566"/>
        <v>16169.999999999998</v>
      </c>
      <c r="R5746" s="31">
        <f t="shared" si="567"/>
        <v>16100</v>
      </c>
      <c r="U5746" s="8">
        <v>7640</v>
      </c>
      <c r="W5746" s="8">
        <f t="shared" si="568"/>
        <v>0</v>
      </c>
    </row>
    <row r="5747" spans="1:23" ht="21.95" customHeight="1" x14ac:dyDescent="0.2">
      <c r="A5747" s="5" t="s">
        <v>1151</v>
      </c>
      <c r="B5747" s="5" t="s">
        <v>1805</v>
      </c>
      <c r="C5747" s="5" t="s">
        <v>1629</v>
      </c>
      <c r="D5747" s="5" t="s">
        <v>1196</v>
      </c>
      <c r="K5747" s="7">
        <v>44010112</v>
      </c>
      <c r="L5747" s="6" t="str">
        <f t="shared" si="569"/>
        <v xml:space="preserve">PLK FLORA NEW ÇALIŞMA MASASI </v>
      </c>
      <c r="M5747" s="12">
        <v>0.4</v>
      </c>
      <c r="N5747" s="8">
        <v>0.3</v>
      </c>
      <c r="O5747" s="8">
        <v>11000</v>
      </c>
      <c r="P5747" s="8">
        <f t="shared" si="565"/>
        <v>7699.9999999999991</v>
      </c>
      <c r="Q5747" s="12">
        <f t="shared" si="566"/>
        <v>16169.999999999998</v>
      </c>
      <c r="R5747" s="31">
        <f t="shared" si="567"/>
        <v>16100</v>
      </c>
      <c r="U5747" s="8">
        <v>1795</v>
      </c>
      <c r="W5747" s="8">
        <f t="shared" si="568"/>
        <v>0</v>
      </c>
    </row>
    <row r="5748" spans="1:23" ht="21.95" customHeight="1" x14ac:dyDescent="0.2">
      <c r="A5748" s="5" t="s">
        <v>1151</v>
      </c>
      <c r="B5748" s="5" t="s">
        <v>1805</v>
      </c>
      <c r="C5748" s="5" t="s">
        <v>1629</v>
      </c>
      <c r="D5748" s="5" t="s">
        <v>530</v>
      </c>
      <c r="K5748" s="7">
        <v>44010113</v>
      </c>
      <c r="L5748" s="6" t="str">
        <f t="shared" si="569"/>
        <v xml:space="preserve">PLK FLORA NEW KİTAPLIK </v>
      </c>
      <c r="M5748" s="12">
        <v>0.4</v>
      </c>
      <c r="N5748" s="8">
        <v>0.3</v>
      </c>
      <c r="O5748" s="8">
        <v>6000</v>
      </c>
      <c r="P5748" s="8">
        <f t="shared" si="565"/>
        <v>4200</v>
      </c>
      <c r="Q5748" s="12">
        <f t="shared" si="566"/>
        <v>8820</v>
      </c>
      <c r="R5748" s="31">
        <f t="shared" si="567"/>
        <v>8800</v>
      </c>
      <c r="U5748" s="8">
        <v>17415</v>
      </c>
      <c r="W5748" s="8">
        <f t="shared" si="568"/>
        <v>0</v>
      </c>
    </row>
    <row r="5749" spans="1:23" ht="21.95" customHeight="1" x14ac:dyDescent="0.2">
      <c r="A5749" s="5" t="s">
        <v>1151</v>
      </c>
      <c r="B5749" s="5" t="s">
        <v>1805</v>
      </c>
      <c r="C5749" s="5" t="s">
        <v>1632</v>
      </c>
      <c r="D5749" s="5" t="s">
        <v>1633</v>
      </c>
      <c r="K5749" s="7">
        <v>44010114</v>
      </c>
      <c r="L5749" s="6" t="str">
        <f t="shared" si="569"/>
        <v xml:space="preserve">PLK NEW PİNK DOLAP </v>
      </c>
      <c r="M5749" s="12">
        <v>0.4</v>
      </c>
      <c r="N5749" s="8">
        <v>0.3</v>
      </c>
      <c r="O5749" s="8">
        <v>30000</v>
      </c>
      <c r="P5749" s="8">
        <f t="shared" si="565"/>
        <v>21000</v>
      </c>
      <c r="Q5749" s="12">
        <f t="shared" si="566"/>
        <v>44100</v>
      </c>
      <c r="R5749" s="31">
        <f t="shared" si="567"/>
        <v>44100</v>
      </c>
      <c r="U5749" s="8">
        <v>1650</v>
      </c>
      <c r="W5749" s="8">
        <f t="shared" si="568"/>
        <v>0</v>
      </c>
    </row>
    <row r="5750" spans="1:23" ht="21.95" customHeight="1" x14ac:dyDescent="0.2">
      <c r="A5750" s="5" t="s">
        <v>1151</v>
      </c>
      <c r="B5750" s="5" t="s">
        <v>1805</v>
      </c>
      <c r="C5750" s="5" t="s">
        <v>1632</v>
      </c>
      <c r="D5750" s="5" t="s">
        <v>363</v>
      </c>
      <c r="K5750" s="7">
        <v>44010115</v>
      </c>
      <c r="L5750" s="6" t="str">
        <f t="shared" si="569"/>
        <v>PLK NEW PİNK KARYOLA</v>
      </c>
      <c r="M5750" s="12">
        <v>0.4</v>
      </c>
      <c r="N5750" s="8">
        <v>0.3</v>
      </c>
      <c r="O5750" s="8">
        <v>25000</v>
      </c>
      <c r="P5750" s="8">
        <f t="shared" si="565"/>
        <v>17500</v>
      </c>
      <c r="Q5750" s="12">
        <f t="shared" si="566"/>
        <v>36750</v>
      </c>
      <c r="R5750" s="31">
        <f t="shared" si="567"/>
        <v>36700</v>
      </c>
      <c r="U5750" s="8">
        <v>7270</v>
      </c>
      <c r="W5750" s="8">
        <f t="shared" si="568"/>
        <v>0</v>
      </c>
    </row>
    <row r="5751" spans="1:23" ht="21.95" customHeight="1" x14ac:dyDescent="0.2">
      <c r="A5751" s="5" t="s">
        <v>1151</v>
      </c>
      <c r="B5751" s="5" t="s">
        <v>1805</v>
      </c>
      <c r="C5751" s="5" t="s">
        <v>1632</v>
      </c>
      <c r="D5751" s="5" t="s">
        <v>96</v>
      </c>
      <c r="K5751" s="7">
        <v>44010116</v>
      </c>
      <c r="L5751" s="6" t="str">
        <f t="shared" si="569"/>
        <v xml:space="preserve">PLK NEW PİNK ŞİFONYER </v>
      </c>
      <c r="M5751" s="12">
        <v>0.4</v>
      </c>
      <c r="N5751" s="8">
        <v>0.3</v>
      </c>
      <c r="O5751" s="8">
        <v>18000</v>
      </c>
      <c r="P5751" s="8">
        <f t="shared" ref="P5751:P5814" si="570">O5751*(1-N5751)</f>
        <v>12600</v>
      </c>
      <c r="Q5751" s="12">
        <f t="shared" ref="Q5751:Q5814" si="571">O5751*(1-N5751)*2.1</f>
        <v>26460</v>
      </c>
      <c r="R5751" s="31">
        <f t="shared" ref="R5751:R5814" si="572">ROUNDDOWN(Q5751,-2)</f>
        <v>26400</v>
      </c>
      <c r="U5751" s="8">
        <v>24120</v>
      </c>
      <c r="W5751" s="8">
        <f t="shared" si="568"/>
        <v>0</v>
      </c>
    </row>
    <row r="5752" spans="1:23" ht="21.95" customHeight="1" x14ac:dyDescent="0.2">
      <c r="A5752" s="5" t="s">
        <v>1151</v>
      </c>
      <c r="B5752" s="5" t="s">
        <v>1805</v>
      </c>
      <c r="C5752" s="5" t="s">
        <v>1632</v>
      </c>
      <c r="D5752" s="5" t="s">
        <v>1634</v>
      </c>
      <c r="K5752" s="7">
        <v>44010117</v>
      </c>
      <c r="L5752" s="6" t="str">
        <f t="shared" si="569"/>
        <v xml:space="preserve">PLK NEW PİNK TAÇ </v>
      </c>
      <c r="M5752" s="12">
        <v>0.4</v>
      </c>
      <c r="N5752" s="8">
        <v>0.3</v>
      </c>
      <c r="O5752" s="8">
        <v>5000</v>
      </c>
      <c r="P5752" s="8">
        <f t="shared" si="570"/>
        <v>3500</v>
      </c>
      <c r="Q5752" s="12">
        <f t="shared" si="571"/>
        <v>7350</v>
      </c>
      <c r="R5752" s="31">
        <f t="shared" si="572"/>
        <v>7300</v>
      </c>
      <c r="U5752" s="8">
        <v>12540</v>
      </c>
      <c r="W5752" s="8">
        <f t="shared" si="568"/>
        <v>0</v>
      </c>
    </row>
    <row r="5753" spans="1:23" ht="18.600000000000001" customHeight="1" x14ac:dyDescent="0.2">
      <c r="A5753" s="5" t="s">
        <v>1151</v>
      </c>
      <c r="B5753" s="5" t="s">
        <v>1805</v>
      </c>
      <c r="C5753" s="5" t="s">
        <v>1632</v>
      </c>
      <c r="D5753" s="5" t="s">
        <v>1628</v>
      </c>
      <c r="K5753" s="7">
        <v>44010118</v>
      </c>
      <c r="L5753" s="6" t="str">
        <f t="shared" si="569"/>
        <v xml:space="preserve">PLK NEW PİNK TÜL </v>
      </c>
      <c r="M5753" s="12">
        <v>0.4</v>
      </c>
      <c r="N5753" s="8">
        <v>0.3</v>
      </c>
      <c r="O5753" s="8">
        <v>5000</v>
      </c>
      <c r="P5753" s="8">
        <f t="shared" si="570"/>
        <v>3500</v>
      </c>
      <c r="Q5753" s="12">
        <f t="shared" si="571"/>
        <v>7350</v>
      </c>
      <c r="R5753" s="31">
        <f t="shared" si="572"/>
        <v>7300</v>
      </c>
      <c r="U5753" s="8">
        <v>5225</v>
      </c>
      <c r="W5753" s="8">
        <f t="shared" si="568"/>
        <v>0</v>
      </c>
    </row>
    <row r="5754" spans="1:23" ht="21.95" customHeight="1" x14ac:dyDescent="0.2">
      <c r="A5754" s="5" t="s">
        <v>1151</v>
      </c>
      <c r="B5754" s="5" t="s">
        <v>1805</v>
      </c>
      <c r="C5754" s="5" t="s">
        <v>1635</v>
      </c>
      <c r="D5754" s="5" t="s">
        <v>361</v>
      </c>
      <c r="K5754" s="7">
        <v>44010119</v>
      </c>
      <c r="L5754" s="6" t="str">
        <f t="shared" si="569"/>
        <v>PLK FLEXI  DOLAP</v>
      </c>
      <c r="M5754" s="12">
        <v>0.4</v>
      </c>
      <c r="N5754" s="8">
        <v>0.3</v>
      </c>
      <c r="O5754" s="8">
        <v>10000</v>
      </c>
      <c r="P5754" s="8">
        <f t="shared" si="570"/>
        <v>7000</v>
      </c>
      <c r="Q5754" s="12">
        <f t="shared" si="571"/>
        <v>14700</v>
      </c>
      <c r="R5754" s="31">
        <f t="shared" si="572"/>
        <v>14700</v>
      </c>
      <c r="U5754" s="8">
        <v>6950</v>
      </c>
      <c r="W5754" s="8">
        <f t="shared" si="568"/>
        <v>0</v>
      </c>
    </row>
    <row r="5755" spans="1:23" ht="21.95" customHeight="1" x14ac:dyDescent="0.2">
      <c r="A5755" s="5" t="s">
        <v>1151</v>
      </c>
      <c r="B5755" s="5" t="s">
        <v>1805</v>
      </c>
      <c r="C5755" s="5" t="s">
        <v>1635</v>
      </c>
      <c r="D5755" s="5" t="s">
        <v>1608</v>
      </c>
      <c r="K5755" s="7">
        <v>44010120</v>
      </c>
      <c r="L5755" s="6" t="str">
        <f t="shared" si="569"/>
        <v xml:space="preserve">PLK FLEXI  RANZA </v>
      </c>
      <c r="M5755" s="12">
        <v>0.4</v>
      </c>
      <c r="N5755" s="8">
        <v>0.3</v>
      </c>
      <c r="O5755" s="8">
        <v>26000</v>
      </c>
      <c r="P5755" s="8">
        <f t="shared" si="570"/>
        <v>18200</v>
      </c>
      <c r="Q5755" s="12">
        <f t="shared" si="571"/>
        <v>38220</v>
      </c>
      <c r="R5755" s="31">
        <f t="shared" si="572"/>
        <v>38200</v>
      </c>
      <c r="U5755" s="8">
        <v>1795</v>
      </c>
      <c r="W5755" s="8">
        <f t="shared" si="568"/>
        <v>0</v>
      </c>
    </row>
    <row r="5756" spans="1:23" ht="21.95" customHeight="1" x14ac:dyDescent="0.2">
      <c r="A5756" s="5" t="s">
        <v>1151</v>
      </c>
      <c r="B5756" s="5" t="s">
        <v>1805</v>
      </c>
      <c r="C5756" s="5" t="s">
        <v>1635</v>
      </c>
      <c r="D5756" s="5" t="s">
        <v>363</v>
      </c>
      <c r="K5756" s="7">
        <v>44010121</v>
      </c>
      <c r="L5756" s="6" t="str">
        <f t="shared" si="569"/>
        <v>PLK FLEXI  KARYOLA</v>
      </c>
      <c r="M5756" s="12">
        <v>0.4</v>
      </c>
      <c r="N5756" s="8">
        <v>0.3</v>
      </c>
      <c r="O5756" s="8">
        <v>10000</v>
      </c>
      <c r="P5756" s="8">
        <f t="shared" si="570"/>
        <v>7000</v>
      </c>
      <c r="Q5756" s="12">
        <f t="shared" si="571"/>
        <v>14700</v>
      </c>
      <c r="R5756" s="31">
        <f t="shared" si="572"/>
        <v>14700</v>
      </c>
      <c r="U5756" s="8">
        <v>15840</v>
      </c>
      <c r="W5756" s="8">
        <f t="shared" si="568"/>
        <v>0</v>
      </c>
    </row>
    <row r="5757" spans="1:23" ht="21.95" customHeight="1" x14ac:dyDescent="0.2">
      <c r="A5757" s="5" t="s">
        <v>1151</v>
      </c>
      <c r="B5757" s="5" t="s">
        <v>1805</v>
      </c>
      <c r="C5757" s="5" t="s">
        <v>1635</v>
      </c>
      <c r="D5757" s="5" t="s">
        <v>1636</v>
      </c>
      <c r="K5757" s="7">
        <v>44010122</v>
      </c>
      <c r="L5757" s="6" t="str">
        <f t="shared" si="569"/>
        <v xml:space="preserve">PLK FLEXI  BİLGİSAYAR MASASI </v>
      </c>
      <c r="M5757" s="12">
        <v>0.4</v>
      </c>
      <c r="N5757" s="8">
        <v>0.3</v>
      </c>
      <c r="O5757" s="8">
        <v>10000</v>
      </c>
      <c r="P5757" s="8">
        <f t="shared" si="570"/>
        <v>7000</v>
      </c>
      <c r="Q5757" s="12">
        <f t="shared" si="571"/>
        <v>14700</v>
      </c>
      <c r="R5757" s="31">
        <f t="shared" si="572"/>
        <v>14700</v>
      </c>
      <c r="U5757" s="8">
        <v>1650</v>
      </c>
      <c r="W5757" s="8">
        <f t="shared" si="568"/>
        <v>0</v>
      </c>
    </row>
    <row r="5758" spans="1:23" ht="21.95" customHeight="1" x14ac:dyDescent="0.2">
      <c r="A5758" s="5" t="s">
        <v>1151</v>
      </c>
      <c r="B5758" s="5" t="s">
        <v>1805</v>
      </c>
      <c r="C5758" s="5" t="s">
        <v>1637</v>
      </c>
      <c r="D5758" s="5" t="s">
        <v>1633</v>
      </c>
      <c r="K5758" s="7">
        <v>44010123</v>
      </c>
      <c r="L5758" s="6" t="str">
        <f t="shared" si="569"/>
        <v xml:space="preserve">PLK LUCCA  DOLAP </v>
      </c>
      <c r="M5758" s="12">
        <v>0.4</v>
      </c>
      <c r="N5758" s="8">
        <v>0.3</v>
      </c>
      <c r="O5758" s="8">
        <v>30000</v>
      </c>
      <c r="P5758" s="8">
        <f t="shared" si="570"/>
        <v>21000</v>
      </c>
      <c r="Q5758" s="12">
        <f t="shared" si="571"/>
        <v>44100</v>
      </c>
      <c r="R5758" s="31">
        <f t="shared" si="572"/>
        <v>44100</v>
      </c>
      <c r="U5758" s="8">
        <v>6500</v>
      </c>
      <c r="W5758" s="8">
        <f t="shared" si="568"/>
        <v>0</v>
      </c>
    </row>
    <row r="5759" spans="1:23" ht="21.95" customHeight="1" x14ac:dyDescent="0.2">
      <c r="A5759" s="5" t="s">
        <v>1151</v>
      </c>
      <c r="B5759" s="5" t="s">
        <v>1805</v>
      </c>
      <c r="C5759" s="5" t="s">
        <v>1637</v>
      </c>
      <c r="D5759" s="5" t="s">
        <v>363</v>
      </c>
      <c r="K5759" s="7">
        <v>44010124</v>
      </c>
      <c r="L5759" s="6" t="str">
        <f t="shared" si="569"/>
        <v>PLK LUCCA  KARYOLA</v>
      </c>
      <c r="M5759" s="12">
        <v>0.4</v>
      </c>
      <c r="N5759" s="8">
        <v>0.3</v>
      </c>
      <c r="O5759" s="8">
        <v>30000</v>
      </c>
      <c r="P5759" s="8">
        <f t="shared" si="570"/>
        <v>21000</v>
      </c>
      <c r="Q5759" s="12">
        <f t="shared" si="571"/>
        <v>44100</v>
      </c>
      <c r="R5759" s="31">
        <f t="shared" si="572"/>
        <v>44100</v>
      </c>
      <c r="U5759" s="8">
        <v>27560</v>
      </c>
      <c r="W5759" s="8">
        <f t="shared" si="568"/>
        <v>0</v>
      </c>
    </row>
    <row r="5760" spans="1:23" ht="21.95" customHeight="1" x14ac:dyDescent="0.2">
      <c r="A5760" s="5" t="s">
        <v>1151</v>
      </c>
      <c r="B5760" s="5" t="s">
        <v>1805</v>
      </c>
      <c r="C5760" s="5" t="s">
        <v>1637</v>
      </c>
      <c r="D5760" s="5" t="s">
        <v>1638</v>
      </c>
      <c r="K5760" s="7">
        <v>44010125</v>
      </c>
      <c r="L5760" s="6" t="str">
        <f t="shared" si="569"/>
        <v xml:space="preserve">PLK LUCCA  KARYOLA SANDIĞI </v>
      </c>
      <c r="M5760" s="12">
        <v>0.4</v>
      </c>
      <c r="N5760" s="8">
        <v>0.3</v>
      </c>
      <c r="O5760" s="8">
        <v>7000</v>
      </c>
      <c r="P5760" s="8">
        <f t="shared" si="570"/>
        <v>4900</v>
      </c>
      <c r="Q5760" s="12">
        <f t="shared" si="571"/>
        <v>10290</v>
      </c>
      <c r="R5760" s="31">
        <f t="shared" si="572"/>
        <v>10200</v>
      </c>
      <c r="U5760" s="8">
        <v>11815</v>
      </c>
      <c r="W5760" s="8">
        <f t="shared" si="568"/>
        <v>0</v>
      </c>
    </row>
    <row r="5761" spans="1:23" ht="21.95" customHeight="1" x14ac:dyDescent="0.2">
      <c r="A5761" s="5" t="s">
        <v>1151</v>
      </c>
      <c r="B5761" s="5" t="s">
        <v>1805</v>
      </c>
      <c r="C5761" s="5" t="s">
        <v>1637</v>
      </c>
      <c r="D5761" s="5" t="s">
        <v>96</v>
      </c>
      <c r="K5761" s="7">
        <v>44010126</v>
      </c>
      <c r="L5761" s="6" t="str">
        <f t="shared" si="569"/>
        <v xml:space="preserve">PLK LUCCA  ŞİFONYER </v>
      </c>
      <c r="M5761" s="12">
        <v>0.4</v>
      </c>
      <c r="N5761" s="8">
        <v>0.3</v>
      </c>
      <c r="O5761" s="8">
        <v>18000</v>
      </c>
      <c r="P5761" s="8">
        <f t="shared" si="570"/>
        <v>12600</v>
      </c>
      <c r="Q5761" s="12">
        <f t="shared" si="571"/>
        <v>26460</v>
      </c>
      <c r="R5761" s="31">
        <f t="shared" si="572"/>
        <v>26400</v>
      </c>
      <c r="U5761" s="8">
        <v>5665</v>
      </c>
      <c r="W5761" s="8">
        <f t="shared" si="568"/>
        <v>0</v>
      </c>
    </row>
    <row r="5762" spans="1:23" ht="21.95" customHeight="1" x14ac:dyDescent="0.2">
      <c r="A5762" s="6" t="s">
        <v>1673</v>
      </c>
      <c r="B5762" s="6" t="s">
        <v>1806</v>
      </c>
      <c r="C5762" s="6" t="s">
        <v>1640</v>
      </c>
      <c r="D5762" s="6" t="s">
        <v>1641</v>
      </c>
      <c r="K5762" s="7">
        <v>44010127</v>
      </c>
      <c r="L5762" s="6" t="str">
        <f t="shared" si="569"/>
        <v xml:space="preserve">CTB EMBOSS BATTANİYE ÇİFT KİŞİLİK </v>
      </c>
      <c r="M5762" s="8">
        <v>0.25</v>
      </c>
      <c r="N5762" s="8">
        <v>0.25</v>
      </c>
      <c r="O5762" s="8">
        <v>1499</v>
      </c>
      <c r="P5762" s="12">
        <f t="shared" si="570"/>
        <v>1124.25</v>
      </c>
      <c r="Q5762" s="12">
        <f t="shared" si="571"/>
        <v>2360.9250000000002</v>
      </c>
      <c r="R5762" s="33">
        <f t="shared" si="572"/>
        <v>2300</v>
      </c>
      <c r="U5762" s="8">
        <v>6775</v>
      </c>
      <c r="W5762" s="8">
        <f t="shared" si="568"/>
        <v>0</v>
      </c>
    </row>
    <row r="5763" spans="1:23" ht="21.95" customHeight="1" x14ac:dyDescent="0.2">
      <c r="A5763" s="6" t="s">
        <v>1673</v>
      </c>
      <c r="B5763" s="6" t="s">
        <v>1806</v>
      </c>
      <c r="C5763" s="6" t="s">
        <v>1639</v>
      </c>
      <c r="D5763" s="6" t="s">
        <v>1643</v>
      </c>
      <c r="K5763" s="7">
        <v>44010128</v>
      </c>
      <c r="L5763" s="6" t="str">
        <f t="shared" si="569"/>
        <v xml:space="preserve">CTB VELVET  NEVRESİM TAKIMI (RCY) ÇİFT KİŞİLİK </v>
      </c>
      <c r="M5763" s="8">
        <v>0.25</v>
      </c>
      <c r="N5763" s="8">
        <v>0.25</v>
      </c>
      <c r="O5763" s="8">
        <v>2310</v>
      </c>
      <c r="P5763" s="12">
        <f t="shared" si="570"/>
        <v>1732.5</v>
      </c>
      <c r="Q5763" s="12">
        <f t="shared" si="571"/>
        <v>3638.25</v>
      </c>
      <c r="R5763" s="33">
        <f t="shared" si="572"/>
        <v>3600</v>
      </c>
      <c r="U5763" s="8">
        <v>1845</v>
      </c>
      <c r="W5763" s="8">
        <f t="shared" si="568"/>
        <v>0</v>
      </c>
    </row>
    <row r="5764" spans="1:23" ht="21.95" customHeight="1" x14ac:dyDescent="0.2">
      <c r="A5764" s="6" t="s">
        <v>1673</v>
      </c>
      <c r="B5764" s="6" t="s">
        <v>1806</v>
      </c>
      <c r="C5764" s="6" t="s">
        <v>1644</v>
      </c>
      <c r="D5764" s="6" t="s">
        <v>1645</v>
      </c>
      <c r="K5764" s="7">
        <v>44010129</v>
      </c>
      <c r="L5764" s="6" t="str">
        <f t="shared" si="569"/>
        <v xml:space="preserve">CTB WARM FLANEL  NEVRESİM TEK KİŞİLİK - RCY </v>
      </c>
      <c r="M5764" s="8">
        <v>0.25</v>
      </c>
      <c r="N5764" s="8">
        <v>0.25</v>
      </c>
      <c r="O5764" s="8">
        <v>1750</v>
      </c>
      <c r="P5764" s="12">
        <f t="shared" si="570"/>
        <v>1312.5</v>
      </c>
      <c r="Q5764" s="12">
        <f t="shared" si="571"/>
        <v>2756.25</v>
      </c>
      <c r="R5764" s="33">
        <f t="shared" si="572"/>
        <v>2700</v>
      </c>
      <c r="U5764" s="8">
        <v>15115</v>
      </c>
      <c r="W5764" s="8">
        <f t="shared" si="568"/>
        <v>0</v>
      </c>
    </row>
    <row r="5765" spans="1:23" ht="21.95" customHeight="1" x14ac:dyDescent="0.2">
      <c r="A5765" s="6" t="s">
        <v>1673</v>
      </c>
      <c r="B5765" s="6" t="s">
        <v>1806</v>
      </c>
      <c r="C5765" s="6" t="s">
        <v>1644</v>
      </c>
      <c r="D5765" s="6" t="s">
        <v>1646</v>
      </c>
      <c r="K5765" s="7">
        <v>44010130</v>
      </c>
      <c r="L5765" s="6" t="str">
        <f t="shared" si="569"/>
        <v xml:space="preserve">CTB WARM FLANEL  NEVRESİM TAKIMI ÇİFT KİŞİLİK - RCY </v>
      </c>
      <c r="M5765" s="8">
        <v>0.25</v>
      </c>
      <c r="N5765" s="8">
        <v>0.25</v>
      </c>
      <c r="O5765" s="8">
        <v>2280</v>
      </c>
      <c r="P5765" s="12">
        <f t="shared" si="570"/>
        <v>1710</v>
      </c>
      <c r="Q5765" s="12">
        <f t="shared" si="571"/>
        <v>3591</v>
      </c>
      <c r="R5765" s="33">
        <f t="shared" si="572"/>
        <v>3500</v>
      </c>
      <c r="U5765" s="8">
        <v>14255</v>
      </c>
      <c r="W5765" s="8">
        <f t="shared" si="568"/>
        <v>0</v>
      </c>
    </row>
    <row r="5766" spans="1:23" ht="21.95" customHeight="1" x14ac:dyDescent="0.2">
      <c r="A5766" s="6" t="s">
        <v>1673</v>
      </c>
      <c r="B5766" s="6" t="s">
        <v>1806</v>
      </c>
      <c r="C5766" s="6" t="s">
        <v>1647</v>
      </c>
      <c r="D5766" s="6" t="s">
        <v>1648</v>
      </c>
      <c r="K5766" s="7">
        <v>44010131</v>
      </c>
      <c r="L5766" s="6" t="str">
        <f t="shared" si="569"/>
        <v xml:space="preserve">CTB PAMUK FLANEL  NEVRESİM TAKIMI TEK KİŞİLİK </v>
      </c>
      <c r="M5766" s="8">
        <v>0.25</v>
      </c>
      <c r="N5766" s="8">
        <v>0.25</v>
      </c>
      <c r="O5766" s="8">
        <v>1525</v>
      </c>
      <c r="P5766" s="12">
        <f t="shared" si="570"/>
        <v>1143.75</v>
      </c>
      <c r="Q5766" s="12">
        <f t="shared" si="571"/>
        <v>2401.875</v>
      </c>
      <c r="R5766" s="33">
        <f t="shared" si="572"/>
        <v>2400</v>
      </c>
      <c r="U5766" s="8">
        <v>1550</v>
      </c>
      <c r="W5766" s="8">
        <f t="shared" si="568"/>
        <v>0</v>
      </c>
    </row>
    <row r="5767" spans="1:23" ht="21.95" customHeight="1" x14ac:dyDescent="0.2">
      <c r="A5767" s="6" t="s">
        <v>1673</v>
      </c>
      <c r="B5767" s="6" t="s">
        <v>1806</v>
      </c>
      <c r="C5767" s="6" t="s">
        <v>1647</v>
      </c>
      <c r="D5767" s="6" t="s">
        <v>1649</v>
      </c>
      <c r="K5767" s="7">
        <v>44010132</v>
      </c>
      <c r="L5767" s="6" t="str">
        <f t="shared" si="569"/>
        <v>CTB PAMUK FLANEL  NEVRESİM TAKIMI ÇİFT KİŞİLİK</v>
      </c>
      <c r="M5767" s="8">
        <v>0.25</v>
      </c>
      <c r="N5767" s="8">
        <v>0.25</v>
      </c>
      <c r="O5767" s="8">
        <v>1965</v>
      </c>
      <c r="P5767" s="12">
        <f t="shared" si="570"/>
        <v>1473.75</v>
      </c>
      <c r="Q5767" s="12">
        <f t="shared" si="571"/>
        <v>3094.875</v>
      </c>
      <c r="R5767" s="33">
        <f t="shared" si="572"/>
        <v>3000</v>
      </c>
      <c r="U5767" s="8">
        <v>6500</v>
      </c>
      <c r="W5767" s="8">
        <f t="shared" si="568"/>
        <v>0</v>
      </c>
    </row>
    <row r="5768" spans="1:23" ht="21.95" customHeight="1" x14ac:dyDescent="0.2">
      <c r="A5768" s="6" t="s">
        <v>1673</v>
      </c>
      <c r="B5768" s="6" t="s">
        <v>1806</v>
      </c>
      <c r="C5768" s="6" t="s">
        <v>1650</v>
      </c>
      <c r="D5768" s="6" t="s">
        <v>1649</v>
      </c>
      <c r="K5768" s="7">
        <v>44010133</v>
      </c>
      <c r="L5768" s="6" t="str">
        <f t="shared" si="569"/>
        <v>CTB TWIRLY  NEVRESİM TAKIMI ÇİFT KİŞİLİK</v>
      </c>
      <c r="M5768" s="8">
        <v>0.25</v>
      </c>
      <c r="N5768" s="8">
        <v>0.25</v>
      </c>
      <c r="O5768" s="8">
        <v>3160</v>
      </c>
      <c r="P5768" s="12">
        <f t="shared" si="570"/>
        <v>2370</v>
      </c>
      <c r="Q5768" s="12">
        <f t="shared" si="571"/>
        <v>4977</v>
      </c>
      <c r="R5768" s="33">
        <f t="shared" si="572"/>
        <v>4900</v>
      </c>
      <c r="U5768" s="8">
        <v>25010</v>
      </c>
      <c r="W5768" s="8">
        <f t="shared" si="568"/>
        <v>0</v>
      </c>
    </row>
    <row r="5769" spans="1:23" ht="21.95" customHeight="1" x14ac:dyDescent="0.2">
      <c r="A5769" s="6" t="s">
        <v>1673</v>
      </c>
      <c r="B5769" s="6" t="s">
        <v>1806</v>
      </c>
      <c r="C5769" s="6" t="s">
        <v>1651</v>
      </c>
      <c r="D5769" s="6" t="s">
        <v>1649</v>
      </c>
      <c r="K5769" s="7">
        <v>44010134</v>
      </c>
      <c r="L5769" s="6" t="str">
        <f t="shared" si="569"/>
        <v>CTB LOOPRA  NEVRESİM TAKIMI ÇİFT KİŞİLİK</v>
      </c>
      <c r="M5769" s="8">
        <v>0.25</v>
      </c>
      <c r="N5769" s="8">
        <v>0.25</v>
      </c>
      <c r="O5769" s="8">
        <v>2409</v>
      </c>
      <c r="P5769" s="12">
        <f t="shared" si="570"/>
        <v>1806.75</v>
      </c>
      <c r="Q5769" s="12">
        <f t="shared" si="571"/>
        <v>3794.1750000000002</v>
      </c>
      <c r="R5769" s="33">
        <f t="shared" si="572"/>
        <v>3700</v>
      </c>
      <c r="U5769" s="8">
        <v>14255</v>
      </c>
      <c r="W5769" s="8">
        <f t="shared" si="568"/>
        <v>0</v>
      </c>
    </row>
    <row r="5770" spans="1:23" ht="21.95" customHeight="1" x14ac:dyDescent="0.2">
      <c r="A5770" s="6" t="s">
        <v>1673</v>
      </c>
      <c r="B5770" s="6" t="s">
        <v>1806</v>
      </c>
      <c r="C5770" s="6" t="s">
        <v>1652</v>
      </c>
      <c r="D5770" s="6" t="s">
        <v>1802</v>
      </c>
      <c r="K5770" s="7">
        <v>44010135</v>
      </c>
      <c r="L5770" s="6" t="str">
        <f t="shared" si="569"/>
        <v>CTB COTTON KETEN  NEVRESİM TAKIMI ÇİFT KİŞİLİK (ARIE-DARIAN-FORBES-HEMERA-PELIAS-KIVORA-ESMIRA)</v>
      </c>
      <c r="M5770" s="8">
        <v>0.25</v>
      </c>
      <c r="N5770" s="8">
        <v>0.25</v>
      </c>
      <c r="O5770" s="8">
        <v>3395</v>
      </c>
      <c r="P5770" s="12">
        <f t="shared" si="570"/>
        <v>2546.25</v>
      </c>
      <c r="Q5770" s="12">
        <f t="shared" si="571"/>
        <v>5347.125</v>
      </c>
      <c r="R5770" s="33">
        <f t="shared" si="572"/>
        <v>5300</v>
      </c>
      <c r="U5770" s="8">
        <v>5370</v>
      </c>
      <c r="W5770" s="8">
        <f t="shared" si="568"/>
        <v>0</v>
      </c>
    </row>
    <row r="5771" spans="1:23" ht="21.95" customHeight="1" x14ac:dyDescent="0.2">
      <c r="A5771" s="6" t="s">
        <v>1673</v>
      </c>
      <c r="B5771" s="6" t="s">
        <v>1806</v>
      </c>
      <c r="C5771" s="6" t="s">
        <v>1652</v>
      </c>
      <c r="D5771" s="6" t="s">
        <v>1653</v>
      </c>
      <c r="K5771" s="7">
        <v>44010136</v>
      </c>
      <c r="L5771" s="6" t="str">
        <f t="shared" si="569"/>
        <v>CTB COTTON KETEN  NEVRESİM TAKIMI ÇİFT KİŞİLİK (BASIC)</v>
      </c>
      <c r="M5771" s="8">
        <v>0.25</v>
      </c>
      <c r="N5771" s="8">
        <v>0.25</v>
      </c>
      <c r="O5771" s="8">
        <v>2900</v>
      </c>
      <c r="P5771" s="12">
        <f t="shared" si="570"/>
        <v>2175</v>
      </c>
      <c r="Q5771" s="12">
        <f t="shared" si="571"/>
        <v>4567.5</v>
      </c>
      <c r="R5771" s="33">
        <f t="shared" si="572"/>
        <v>4500</v>
      </c>
      <c r="U5771" s="8">
        <v>7320</v>
      </c>
      <c r="W5771" s="8">
        <f t="shared" si="568"/>
        <v>0</v>
      </c>
    </row>
    <row r="5772" spans="1:23" ht="21.95" customHeight="1" x14ac:dyDescent="0.2">
      <c r="A5772" s="6" t="s">
        <v>1673</v>
      </c>
      <c r="B5772" s="6" t="s">
        <v>1806</v>
      </c>
      <c r="C5772" s="6" t="s">
        <v>1654</v>
      </c>
      <c r="D5772" s="6" t="s">
        <v>1655</v>
      </c>
      <c r="K5772" s="7">
        <v>44010137</v>
      </c>
      <c r="L5772" s="6" t="str">
        <f t="shared" si="569"/>
        <v>CTB INBORN  NEVRESİM TAKIMI ÇİFT KİŞİLİK (BANDED)</v>
      </c>
      <c r="M5772" s="8">
        <v>0.25</v>
      </c>
      <c r="N5772" s="8">
        <v>0.25</v>
      </c>
      <c r="O5772" s="8">
        <v>3510</v>
      </c>
      <c r="P5772" s="12">
        <f t="shared" si="570"/>
        <v>2632.5</v>
      </c>
      <c r="Q5772" s="12">
        <f t="shared" si="571"/>
        <v>5528.25</v>
      </c>
      <c r="R5772" s="33">
        <f t="shared" si="572"/>
        <v>5500</v>
      </c>
      <c r="U5772" s="8">
        <v>1795</v>
      </c>
      <c r="W5772" s="8">
        <f t="shared" si="568"/>
        <v>0</v>
      </c>
    </row>
    <row r="5773" spans="1:23" ht="21.95" customHeight="1" x14ac:dyDescent="0.2">
      <c r="A5773" s="6" t="s">
        <v>1673</v>
      </c>
      <c r="B5773" s="6" t="s">
        <v>1806</v>
      </c>
      <c r="C5773" s="6" t="s">
        <v>1654</v>
      </c>
      <c r="D5773" s="6" t="s">
        <v>1656</v>
      </c>
      <c r="K5773" s="7">
        <v>44010138</v>
      </c>
      <c r="L5773" s="6" t="str">
        <f t="shared" si="569"/>
        <v>CTB INBORN  NEVRESİM TAKIMI ÇİFT KİŞİLİK (FLORO)</v>
      </c>
      <c r="M5773" s="8">
        <v>0.25</v>
      </c>
      <c r="N5773" s="8">
        <v>0.25</v>
      </c>
      <c r="O5773" s="8">
        <v>3910</v>
      </c>
      <c r="P5773" s="12">
        <f t="shared" si="570"/>
        <v>2932.5</v>
      </c>
      <c r="Q5773" s="12">
        <f t="shared" si="571"/>
        <v>6158.25</v>
      </c>
      <c r="R5773" s="33">
        <f t="shared" si="572"/>
        <v>6100</v>
      </c>
      <c r="U5773" s="8">
        <v>17555</v>
      </c>
      <c r="W5773" s="8">
        <f t="shared" si="568"/>
        <v>0</v>
      </c>
    </row>
    <row r="5774" spans="1:23" ht="21.95" customHeight="1" x14ac:dyDescent="0.2">
      <c r="A5774" s="6" t="s">
        <v>1673</v>
      </c>
      <c r="B5774" s="6" t="s">
        <v>1806</v>
      </c>
      <c r="C5774" s="6" t="s">
        <v>1657</v>
      </c>
      <c r="D5774" s="6" t="s">
        <v>1658</v>
      </c>
      <c r="K5774" s="7">
        <v>44010139</v>
      </c>
      <c r="L5774" s="6" t="str">
        <f t="shared" si="569"/>
        <v>CTB PUFF NAKIŞLI  NEVRESİM TAKIMI ÇİFT KİŞİLİK (LIYA)</v>
      </c>
      <c r="M5774" s="8">
        <v>0.25</v>
      </c>
      <c r="N5774" s="8">
        <v>0.25</v>
      </c>
      <c r="O5774" s="8">
        <v>2770</v>
      </c>
      <c r="P5774" s="12">
        <f t="shared" si="570"/>
        <v>2077.5</v>
      </c>
      <c r="Q5774" s="12">
        <f t="shared" si="571"/>
        <v>4362.75</v>
      </c>
      <c r="R5774" s="33">
        <f t="shared" si="572"/>
        <v>4300</v>
      </c>
      <c r="U5774" s="8">
        <v>1550</v>
      </c>
      <c r="W5774" s="8">
        <f t="shared" si="568"/>
        <v>0</v>
      </c>
    </row>
    <row r="5775" spans="1:23" ht="21.95" customHeight="1" x14ac:dyDescent="0.2">
      <c r="A5775" s="6" t="s">
        <v>1673</v>
      </c>
      <c r="B5775" s="6" t="s">
        <v>1806</v>
      </c>
      <c r="C5775" s="6" t="s">
        <v>1657</v>
      </c>
      <c r="D5775" s="6" t="s">
        <v>1659</v>
      </c>
      <c r="K5775" s="7">
        <v>44010140</v>
      </c>
      <c r="L5775" s="6" t="str">
        <f t="shared" si="569"/>
        <v>CTB PUFF NAKIŞLI  NEVRESİM TAKIMI ÇİFT KİŞİLİK (TUFT-LINEA-BELLIS-STESSO-KATY-BLOSSOM-NELLA-AMARIS-MOLENDE)</v>
      </c>
      <c r="M5775" s="8">
        <v>0.25</v>
      </c>
      <c r="N5775" s="8">
        <v>0.25</v>
      </c>
      <c r="O5775" s="8">
        <v>3210</v>
      </c>
      <c r="P5775" s="12">
        <f t="shared" si="570"/>
        <v>2407.5</v>
      </c>
      <c r="Q5775" s="12">
        <f t="shared" si="571"/>
        <v>5055.75</v>
      </c>
      <c r="R5775" s="33">
        <f t="shared" si="572"/>
        <v>5000</v>
      </c>
      <c r="U5775" s="8">
        <v>6500</v>
      </c>
      <c r="W5775" s="8">
        <f t="shared" si="568"/>
        <v>0</v>
      </c>
    </row>
    <row r="5776" spans="1:23" ht="21.95" customHeight="1" x14ac:dyDescent="0.2">
      <c r="A5776" s="6" t="s">
        <v>1673</v>
      </c>
      <c r="B5776" s="6" t="s">
        <v>1806</v>
      </c>
      <c r="C5776" s="6" t="s">
        <v>1660</v>
      </c>
      <c r="D5776" s="6" t="s">
        <v>1642</v>
      </c>
      <c r="K5776" s="7">
        <v>44010141</v>
      </c>
      <c r="L5776" s="6" t="str">
        <f t="shared" si="569"/>
        <v xml:space="preserve">CTB KLEIN NAK. RANFORCE NEVRESİM TAKIMI ÇİFT KİŞİLİK </v>
      </c>
      <c r="M5776" s="8">
        <v>0.25</v>
      </c>
      <c r="N5776" s="8">
        <v>0.25</v>
      </c>
      <c r="O5776" s="8">
        <v>2070</v>
      </c>
      <c r="P5776" s="12">
        <f t="shared" si="570"/>
        <v>1552.5</v>
      </c>
      <c r="Q5776" s="12">
        <f t="shared" si="571"/>
        <v>3260.25</v>
      </c>
      <c r="R5776" s="33">
        <f t="shared" si="572"/>
        <v>3200</v>
      </c>
      <c r="U5776" s="8">
        <v>12025</v>
      </c>
      <c r="W5776" s="8">
        <f t="shared" si="568"/>
        <v>0</v>
      </c>
    </row>
    <row r="5777" spans="1:23" ht="21.95" customHeight="1" x14ac:dyDescent="0.2">
      <c r="A5777" s="6" t="s">
        <v>1673</v>
      </c>
      <c r="B5777" s="6" t="s">
        <v>1806</v>
      </c>
      <c r="C5777" s="6" t="s">
        <v>1661</v>
      </c>
      <c r="D5777" s="6" t="s">
        <v>1662</v>
      </c>
      <c r="K5777" s="7">
        <v>44010142</v>
      </c>
      <c r="L5777" s="6" t="str">
        <f t="shared" si="569"/>
        <v>CTB BRODE RANFORCE NEVRESİM TAKIMI ÇİFT  KİŞİLİK (DELBIN-MAIA-PAMUYA)</v>
      </c>
      <c r="M5777" s="8">
        <v>0.25</v>
      </c>
      <c r="N5777" s="8">
        <v>0.25</v>
      </c>
      <c r="O5777" s="8">
        <v>2260</v>
      </c>
      <c r="P5777" s="12">
        <f t="shared" si="570"/>
        <v>1695</v>
      </c>
      <c r="Q5777" s="12">
        <f t="shared" si="571"/>
        <v>3559.5</v>
      </c>
      <c r="R5777" s="33">
        <f t="shared" si="572"/>
        <v>3500</v>
      </c>
      <c r="U5777" s="8">
        <v>2620</v>
      </c>
      <c r="W5777" s="8">
        <f t="shared" si="568"/>
        <v>0</v>
      </c>
    </row>
    <row r="5778" spans="1:23" ht="21.95" customHeight="1" x14ac:dyDescent="0.2">
      <c r="A5778" s="6" t="s">
        <v>1673</v>
      </c>
      <c r="B5778" s="6" t="s">
        <v>1806</v>
      </c>
      <c r="C5778" s="6" t="s">
        <v>1661</v>
      </c>
      <c r="D5778" s="6" t="s">
        <v>1663</v>
      </c>
      <c r="K5778" s="7">
        <v>44010143</v>
      </c>
      <c r="L5778" s="6" t="str">
        <f t="shared" si="569"/>
        <v>CTB BRODE RANFORCE NEVRESİM TAKIMI ÇİFT KİŞİLİK (ALVORA-TIVA-KERJA-ORYA)</v>
      </c>
      <c r="M5778" s="8">
        <v>0.25</v>
      </c>
      <c r="N5778" s="8">
        <v>0.25</v>
      </c>
      <c r="O5778" s="8">
        <v>2560</v>
      </c>
      <c r="P5778" s="12">
        <f t="shared" si="570"/>
        <v>1920</v>
      </c>
      <c r="Q5778" s="12">
        <f t="shared" si="571"/>
        <v>4032</v>
      </c>
      <c r="R5778" s="33">
        <f t="shared" si="572"/>
        <v>4000</v>
      </c>
      <c r="U5778" s="8">
        <v>8440</v>
      </c>
      <c r="W5778" s="8">
        <f t="shared" si="568"/>
        <v>0</v>
      </c>
    </row>
    <row r="5779" spans="1:23" ht="21.95" customHeight="1" x14ac:dyDescent="0.2">
      <c r="A5779" s="6" t="s">
        <v>1673</v>
      </c>
      <c r="B5779" s="6" t="s">
        <v>1806</v>
      </c>
      <c r="C5779" s="6" t="s">
        <v>1664</v>
      </c>
      <c r="D5779" s="6" t="s">
        <v>1642</v>
      </c>
      <c r="K5779" s="7">
        <v>44010144</v>
      </c>
      <c r="L5779" s="6" t="str">
        <f t="shared" si="569"/>
        <v xml:space="preserve">CTB FOLK ART RANFORCE NEVRESİM TAKIMI ÇİFT KİŞİLİK </v>
      </c>
      <c r="M5779" s="8">
        <v>0.25</v>
      </c>
      <c r="N5779" s="8">
        <v>0.25</v>
      </c>
      <c r="O5779" s="8">
        <v>2005</v>
      </c>
      <c r="P5779" s="12">
        <f t="shared" si="570"/>
        <v>1503.75</v>
      </c>
      <c r="Q5779" s="12">
        <f t="shared" si="571"/>
        <v>3157.875</v>
      </c>
      <c r="R5779" s="33">
        <f t="shared" si="572"/>
        <v>3100</v>
      </c>
      <c r="U5779" s="8">
        <v>10250</v>
      </c>
      <c r="W5779" s="8">
        <f t="shared" si="568"/>
        <v>0</v>
      </c>
    </row>
    <row r="5780" spans="1:23" ht="21.95" customHeight="1" x14ac:dyDescent="0.2">
      <c r="A5780" s="6" t="s">
        <v>1673</v>
      </c>
      <c r="B5780" s="6" t="s">
        <v>1806</v>
      </c>
      <c r="C5780" s="6" t="s">
        <v>1665</v>
      </c>
      <c r="D5780" s="6" t="s">
        <v>1648</v>
      </c>
      <c r="K5780" s="7">
        <v>44010145</v>
      </c>
      <c r="L5780" s="6" t="str">
        <f t="shared" si="569"/>
        <v xml:space="preserve">CTB CANDY RANFORCE NEVRESİM TAKIMI TEK KİŞİLİK </v>
      </c>
      <c r="M5780" s="8">
        <v>0.25</v>
      </c>
      <c r="N5780" s="8">
        <v>0.25</v>
      </c>
      <c r="O5780" s="8">
        <v>1330</v>
      </c>
      <c r="P5780" s="12">
        <f t="shared" si="570"/>
        <v>997.5</v>
      </c>
      <c r="Q5780" s="12">
        <f t="shared" si="571"/>
        <v>2094.75</v>
      </c>
      <c r="R5780" s="33">
        <f t="shared" si="572"/>
        <v>2000</v>
      </c>
      <c r="U5780" s="8">
        <v>3410</v>
      </c>
      <c r="W5780" s="8">
        <f t="shared" si="568"/>
        <v>0</v>
      </c>
    </row>
    <row r="5781" spans="1:23" ht="21.95" customHeight="1" x14ac:dyDescent="0.2">
      <c r="A5781" s="6" t="s">
        <v>1673</v>
      </c>
      <c r="B5781" s="6" t="s">
        <v>1806</v>
      </c>
      <c r="C5781" s="6" t="s">
        <v>1665</v>
      </c>
      <c r="D5781" s="6" t="s">
        <v>1642</v>
      </c>
      <c r="K5781" s="7">
        <v>44010146</v>
      </c>
      <c r="L5781" s="6" t="str">
        <f t="shared" si="569"/>
        <v xml:space="preserve">CTB CANDY RANFORCE NEVRESİM TAKIMI ÇİFT KİŞİLİK </v>
      </c>
      <c r="M5781" s="8">
        <v>0.25</v>
      </c>
      <c r="N5781" s="8">
        <v>0.25</v>
      </c>
      <c r="O5781" s="8">
        <v>1655</v>
      </c>
      <c r="P5781" s="12">
        <f t="shared" si="570"/>
        <v>1241.25</v>
      </c>
      <c r="Q5781" s="12">
        <f t="shared" si="571"/>
        <v>2606.625</v>
      </c>
      <c r="R5781" s="33">
        <f t="shared" si="572"/>
        <v>2600</v>
      </c>
      <c r="U5781" s="8">
        <v>3520</v>
      </c>
      <c r="W5781" s="8">
        <f t="shared" si="568"/>
        <v>0</v>
      </c>
    </row>
    <row r="5782" spans="1:23" ht="21.95" customHeight="1" x14ac:dyDescent="0.2">
      <c r="A5782" s="6" t="s">
        <v>1673</v>
      </c>
      <c r="B5782" s="6" t="s">
        <v>1806</v>
      </c>
      <c r="C5782" s="6" t="s">
        <v>1666</v>
      </c>
      <c r="D5782" s="6" t="s">
        <v>1667</v>
      </c>
      <c r="K5782" s="7">
        <v>44010147</v>
      </c>
      <c r="L5782" s="6" t="str">
        <f t="shared" si="569"/>
        <v>CTB NATUREFORCE  NEVRESİM TAKIMI TEK KİŞİLİK - RCY</v>
      </c>
      <c r="M5782" s="8">
        <v>0.25</v>
      </c>
      <c r="N5782" s="8">
        <v>0.25</v>
      </c>
      <c r="O5782" s="8">
        <v>1710</v>
      </c>
      <c r="P5782" s="12">
        <f t="shared" si="570"/>
        <v>1282.5</v>
      </c>
      <c r="Q5782" s="12">
        <f t="shared" si="571"/>
        <v>2693.25</v>
      </c>
      <c r="R5782" s="33">
        <f t="shared" si="572"/>
        <v>2600</v>
      </c>
      <c r="U5782" s="8">
        <v>10220</v>
      </c>
      <c r="W5782" s="8">
        <f t="shared" si="568"/>
        <v>0</v>
      </c>
    </row>
    <row r="5783" spans="1:23" ht="21.95" customHeight="1" x14ac:dyDescent="0.2">
      <c r="A5783" s="6" t="s">
        <v>1673</v>
      </c>
      <c r="B5783" s="6" t="s">
        <v>1806</v>
      </c>
      <c r="C5783" s="6" t="s">
        <v>1666</v>
      </c>
      <c r="D5783" s="6" t="s">
        <v>1646</v>
      </c>
      <c r="K5783" s="7">
        <v>44010148</v>
      </c>
      <c r="L5783" s="6" t="str">
        <f t="shared" si="569"/>
        <v xml:space="preserve">CTB NATUREFORCE  NEVRESİM TAKIMI ÇİFT KİŞİLİK - RCY </v>
      </c>
      <c r="M5783" s="8">
        <v>0.25</v>
      </c>
      <c r="N5783" s="8">
        <v>0.25</v>
      </c>
      <c r="O5783" s="8">
        <v>2190</v>
      </c>
      <c r="P5783" s="12">
        <f t="shared" si="570"/>
        <v>1642.5</v>
      </c>
      <c r="Q5783" s="12">
        <f t="shared" si="571"/>
        <v>3449.25</v>
      </c>
      <c r="R5783" s="33">
        <f t="shared" si="572"/>
        <v>3400</v>
      </c>
      <c r="U5783" s="8">
        <v>2620</v>
      </c>
      <c r="W5783" s="8">
        <f t="shared" si="568"/>
        <v>0</v>
      </c>
    </row>
    <row r="5784" spans="1:23" ht="21.95" customHeight="1" x14ac:dyDescent="0.2">
      <c r="A5784" s="6" t="s">
        <v>1673</v>
      </c>
      <c r="B5784" s="6" t="s">
        <v>1806</v>
      </c>
      <c r="C5784" s="5" t="s">
        <v>1668</v>
      </c>
      <c r="D5784" s="6" t="s">
        <v>1648</v>
      </c>
      <c r="K5784" s="7">
        <v>44010149</v>
      </c>
      <c r="L5784" s="6" t="str">
        <f t="shared" si="569"/>
        <v xml:space="preserve">CTB MODERN RANFORCE NEVRESİM TAKIMI TEK KİŞİLİK </v>
      </c>
      <c r="M5784" s="8">
        <v>0.25</v>
      </c>
      <c r="N5784" s="8">
        <v>0.25</v>
      </c>
      <c r="O5784" s="8">
        <v>1365</v>
      </c>
      <c r="P5784" s="12">
        <f t="shared" si="570"/>
        <v>1023.75</v>
      </c>
      <c r="Q5784" s="12">
        <f t="shared" si="571"/>
        <v>2149.875</v>
      </c>
      <c r="R5784" s="33">
        <f t="shared" si="572"/>
        <v>2100</v>
      </c>
      <c r="U5784" s="8">
        <v>6600</v>
      </c>
      <c r="W5784" s="8">
        <f t="shared" si="568"/>
        <v>0</v>
      </c>
    </row>
    <row r="5785" spans="1:23" ht="21.95" customHeight="1" x14ac:dyDescent="0.2">
      <c r="A5785" s="6" t="s">
        <v>1673</v>
      </c>
      <c r="B5785" s="6" t="s">
        <v>1806</v>
      </c>
      <c r="C5785" s="5" t="s">
        <v>1668</v>
      </c>
      <c r="D5785" s="6" t="s">
        <v>1642</v>
      </c>
      <c r="K5785" s="7">
        <v>44010150</v>
      </c>
      <c r="L5785" s="6" t="str">
        <f t="shared" si="569"/>
        <v xml:space="preserve">CTB MODERN RANFORCE NEVRESİM TAKIMI ÇİFT KİŞİLİK </v>
      </c>
      <c r="M5785" s="8">
        <v>0.25</v>
      </c>
      <c r="N5785" s="8">
        <v>0.25</v>
      </c>
      <c r="O5785" s="8">
        <v>1755</v>
      </c>
      <c r="P5785" s="12">
        <f t="shared" si="570"/>
        <v>1316.25</v>
      </c>
      <c r="Q5785" s="12">
        <f t="shared" si="571"/>
        <v>2764.125</v>
      </c>
      <c r="R5785" s="33">
        <f t="shared" si="572"/>
        <v>2700</v>
      </c>
      <c r="U5785" s="8">
        <v>2850</v>
      </c>
      <c r="W5785" s="8">
        <f t="shared" si="568"/>
        <v>0</v>
      </c>
    </row>
    <row r="5786" spans="1:23" ht="21.95" customHeight="1" x14ac:dyDescent="0.2">
      <c r="A5786" s="6" t="s">
        <v>1673</v>
      </c>
      <c r="B5786" s="6" t="s">
        <v>1806</v>
      </c>
      <c r="C5786" s="6" t="s">
        <v>1669</v>
      </c>
      <c r="D5786" s="6" t="s">
        <v>1648</v>
      </c>
      <c r="K5786" s="7">
        <v>44010151</v>
      </c>
      <c r="L5786" s="6" t="str">
        <f t="shared" si="569"/>
        <v xml:space="preserve">CTB PLAID RANFORCE NEVRESİM TAKIMI TEK KİŞİLİK </v>
      </c>
      <c r="M5786" s="8">
        <v>0.25</v>
      </c>
      <c r="N5786" s="8">
        <v>0.25</v>
      </c>
      <c r="O5786" s="8">
        <v>1330</v>
      </c>
      <c r="P5786" s="12">
        <f t="shared" si="570"/>
        <v>997.5</v>
      </c>
      <c r="Q5786" s="12">
        <f t="shared" si="571"/>
        <v>2094.75</v>
      </c>
      <c r="R5786" s="33">
        <f t="shared" si="572"/>
        <v>2000</v>
      </c>
      <c r="U5786" s="8">
        <v>11200</v>
      </c>
      <c r="W5786" s="8">
        <f t="shared" si="568"/>
        <v>0</v>
      </c>
    </row>
    <row r="5787" spans="1:23" ht="21.95" customHeight="1" x14ac:dyDescent="0.2">
      <c r="A5787" s="6" t="s">
        <v>1673</v>
      </c>
      <c r="B5787" s="6" t="s">
        <v>1806</v>
      </c>
      <c r="C5787" s="6" t="s">
        <v>1669</v>
      </c>
      <c r="D5787" s="6" t="s">
        <v>1642</v>
      </c>
      <c r="K5787" s="7">
        <v>44010152</v>
      </c>
      <c r="L5787" s="6" t="str">
        <f t="shared" si="569"/>
        <v xml:space="preserve">CTB PLAID RANFORCE NEVRESİM TAKIMI ÇİFT KİŞİLİK </v>
      </c>
      <c r="M5787" s="8">
        <v>0.25</v>
      </c>
      <c r="N5787" s="8">
        <v>0.25</v>
      </c>
      <c r="O5787" s="8">
        <v>1705</v>
      </c>
      <c r="P5787" s="12">
        <f t="shared" si="570"/>
        <v>1278.75</v>
      </c>
      <c r="Q5787" s="12">
        <f t="shared" si="571"/>
        <v>2685.375</v>
      </c>
      <c r="R5787" s="33">
        <f t="shared" si="572"/>
        <v>2600</v>
      </c>
      <c r="U5787" s="8">
        <v>3410</v>
      </c>
      <c r="W5787" s="8">
        <f t="shared" si="568"/>
        <v>0</v>
      </c>
    </row>
    <row r="5788" spans="1:23" ht="21.95" customHeight="1" x14ac:dyDescent="0.2">
      <c r="A5788" s="6" t="s">
        <v>1673</v>
      </c>
      <c r="B5788" s="6" t="s">
        <v>1806</v>
      </c>
      <c r="C5788" s="6" t="s">
        <v>1670</v>
      </c>
      <c r="D5788" s="6" t="s">
        <v>1648</v>
      </c>
      <c r="K5788" s="7">
        <v>44010153</v>
      </c>
      <c r="L5788" s="6" t="str">
        <f t="shared" si="569"/>
        <v xml:space="preserve">CTB PLAIN RANFORCE  NEVRESİM TAKIMI TEK KİŞİLİK </v>
      </c>
      <c r="M5788" s="8">
        <v>0.25</v>
      </c>
      <c r="N5788" s="8">
        <v>0.25</v>
      </c>
      <c r="O5788" s="8">
        <v>1200</v>
      </c>
      <c r="P5788" s="12">
        <f t="shared" si="570"/>
        <v>900</v>
      </c>
      <c r="Q5788" s="12">
        <f t="shared" si="571"/>
        <v>1890</v>
      </c>
      <c r="R5788" s="33">
        <f t="shared" si="572"/>
        <v>1800</v>
      </c>
      <c r="U5788" s="8">
        <v>3520</v>
      </c>
      <c r="W5788" s="8">
        <f t="shared" si="568"/>
        <v>0</v>
      </c>
    </row>
    <row r="5789" spans="1:23" ht="21.95" customHeight="1" x14ac:dyDescent="0.2">
      <c r="A5789" s="6" t="s">
        <v>1673</v>
      </c>
      <c r="B5789" s="6" t="s">
        <v>1806</v>
      </c>
      <c r="C5789" s="6" t="s">
        <v>1670</v>
      </c>
      <c r="D5789" s="6" t="s">
        <v>1642</v>
      </c>
      <c r="K5789" s="7">
        <v>44010154</v>
      </c>
      <c r="L5789" s="6" t="str">
        <f t="shared" si="569"/>
        <v xml:space="preserve">CTB PLAIN RANFORCE  NEVRESİM TAKIMI ÇİFT KİŞİLİK </v>
      </c>
      <c r="M5789" s="8">
        <v>0.25</v>
      </c>
      <c r="N5789" s="8">
        <v>0.25</v>
      </c>
      <c r="O5789" s="8">
        <v>1550</v>
      </c>
      <c r="P5789" s="12">
        <f t="shared" si="570"/>
        <v>1162.5</v>
      </c>
      <c r="Q5789" s="12">
        <f t="shared" si="571"/>
        <v>2441.25</v>
      </c>
      <c r="R5789" s="33">
        <f t="shared" si="572"/>
        <v>2400</v>
      </c>
      <c r="U5789" s="8">
        <v>10990</v>
      </c>
      <c r="W5789" s="8">
        <f t="shared" si="568"/>
        <v>0</v>
      </c>
    </row>
    <row r="5790" spans="1:23" ht="21.95" customHeight="1" x14ac:dyDescent="0.2">
      <c r="A5790" s="6" t="s">
        <v>1673</v>
      </c>
      <c r="B5790" s="6" t="s">
        <v>1806</v>
      </c>
      <c r="C5790" s="6" t="s">
        <v>1671</v>
      </c>
      <c r="D5790" s="6" t="s">
        <v>1672</v>
      </c>
      <c r="K5790" s="7">
        <v>44010155</v>
      </c>
      <c r="L5790" s="6" t="str">
        <f t="shared" si="569"/>
        <v>CTB NORDEK RANFORCE NEVRESİM TAKIMI TEK KİŞİLİK</v>
      </c>
      <c r="M5790" s="8">
        <v>0.25</v>
      </c>
      <c r="N5790" s="8">
        <v>0.25</v>
      </c>
      <c r="O5790" s="8">
        <v>1200</v>
      </c>
      <c r="P5790" s="12">
        <f t="shared" si="570"/>
        <v>900</v>
      </c>
      <c r="Q5790" s="12">
        <f t="shared" si="571"/>
        <v>1890</v>
      </c>
      <c r="R5790" s="33">
        <f t="shared" si="572"/>
        <v>1800</v>
      </c>
      <c r="U5790" s="8">
        <v>2375</v>
      </c>
      <c r="W5790" s="8">
        <f t="shared" si="568"/>
        <v>0</v>
      </c>
    </row>
    <row r="5791" spans="1:23" ht="21.95" customHeight="1" x14ac:dyDescent="0.2">
      <c r="A5791" s="6" t="s">
        <v>1673</v>
      </c>
      <c r="B5791" s="6" t="s">
        <v>1806</v>
      </c>
      <c r="C5791" s="6" t="s">
        <v>1671</v>
      </c>
      <c r="D5791" s="6" t="s">
        <v>1642</v>
      </c>
      <c r="K5791" s="7">
        <v>44010156</v>
      </c>
      <c r="L5791" s="6" t="str">
        <f t="shared" si="569"/>
        <v xml:space="preserve">CTB NORDEK RANFORCE NEVRESİM TAKIMI ÇİFT KİŞİLİK </v>
      </c>
      <c r="M5791" s="8">
        <v>0.25</v>
      </c>
      <c r="N5791" s="8">
        <v>0.25</v>
      </c>
      <c r="O5791" s="8">
        <v>1550</v>
      </c>
      <c r="P5791" s="12">
        <f t="shared" si="570"/>
        <v>1162.5</v>
      </c>
      <c r="Q5791" s="12">
        <f t="shared" si="571"/>
        <v>2441.25</v>
      </c>
      <c r="R5791" s="33">
        <f t="shared" si="572"/>
        <v>2400</v>
      </c>
      <c r="U5791" s="8">
        <v>7700</v>
      </c>
      <c r="W5791" s="8">
        <f t="shared" si="568"/>
        <v>0</v>
      </c>
    </row>
    <row r="5792" spans="1:23" ht="21.95" customHeight="1" x14ac:dyDescent="0.2">
      <c r="A5792" s="6" t="s">
        <v>1673</v>
      </c>
      <c r="B5792" s="6" t="s">
        <v>1806</v>
      </c>
      <c r="C5792" s="6" t="s">
        <v>1674</v>
      </c>
      <c r="D5792" s="6" t="s">
        <v>1648</v>
      </c>
      <c r="K5792" s="7">
        <v>44010157</v>
      </c>
      <c r="L5792" s="6" t="str">
        <f t="shared" si="569"/>
        <v xml:space="preserve">CTB DUAL RANFORCE  NEVRESİM TAKIMI TEK KİŞİLİK </v>
      </c>
      <c r="M5792" s="8">
        <v>0.25</v>
      </c>
      <c r="N5792" s="8">
        <v>0.25</v>
      </c>
      <c r="O5792" s="8">
        <v>1140</v>
      </c>
      <c r="P5792" s="12">
        <f t="shared" si="570"/>
        <v>855</v>
      </c>
      <c r="Q5792" s="12">
        <f t="shared" si="571"/>
        <v>1795.5</v>
      </c>
      <c r="R5792" s="33">
        <f t="shared" si="572"/>
        <v>1700</v>
      </c>
      <c r="U5792" s="8">
        <v>3685</v>
      </c>
      <c r="W5792" s="8">
        <f t="shared" si="568"/>
        <v>0</v>
      </c>
    </row>
    <row r="5793" spans="1:23" ht="21.95" customHeight="1" x14ac:dyDescent="0.2">
      <c r="A5793" s="6" t="s">
        <v>1673</v>
      </c>
      <c r="B5793" s="6" t="s">
        <v>1806</v>
      </c>
      <c r="C5793" s="6" t="s">
        <v>1674</v>
      </c>
      <c r="D5793" s="6" t="s">
        <v>1642</v>
      </c>
      <c r="K5793" s="7">
        <v>44010158</v>
      </c>
      <c r="L5793" s="6" t="str">
        <f t="shared" si="569"/>
        <v xml:space="preserve">CTB DUAL RANFORCE  NEVRESİM TAKIMI ÇİFT KİŞİLİK </v>
      </c>
      <c r="M5793" s="8">
        <v>0.25</v>
      </c>
      <c r="N5793" s="8">
        <v>0.25</v>
      </c>
      <c r="O5793" s="8">
        <v>1455</v>
      </c>
      <c r="P5793" s="12">
        <f t="shared" si="570"/>
        <v>1091.25</v>
      </c>
      <c r="Q5793" s="12">
        <f t="shared" si="571"/>
        <v>2291.625</v>
      </c>
      <c r="R5793" s="33">
        <f t="shared" si="572"/>
        <v>2200</v>
      </c>
      <c r="U5793" s="8">
        <v>11200</v>
      </c>
      <c r="W5793" s="8">
        <f t="shared" si="568"/>
        <v>0</v>
      </c>
    </row>
    <row r="5794" spans="1:23" ht="21.95" customHeight="1" x14ac:dyDescent="0.2">
      <c r="A5794" s="6" t="s">
        <v>1673</v>
      </c>
      <c r="B5794" s="6" t="s">
        <v>1806</v>
      </c>
      <c r="C5794" s="6" t="s">
        <v>1675</v>
      </c>
      <c r="D5794" s="6" t="s">
        <v>1648</v>
      </c>
      <c r="K5794" s="7">
        <v>44010159</v>
      </c>
      <c r="L5794" s="6" t="str">
        <f t="shared" si="569"/>
        <v xml:space="preserve">CTB ETHNIC RANFORCE NEVRESİM TAKIMI TEK KİŞİLİK </v>
      </c>
      <c r="M5794" s="8">
        <v>0.25</v>
      </c>
      <c r="N5794" s="8">
        <v>0.25</v>
      </c>
      <c r="O5794" s="8">
        <v>1140</v>
      </c>
      <c r="P5794" s="12">
        <f t="shared" si="570"/>
        <v>855</v>
      </c>
      <c r="Q5794" s="12">
        <f t="shared" si="571"/>
        <v>1795.5</v>
      </c>
      <c r="R5794" s="33">
        <f t="shared" si="572"/>
        <v>1700</v>
      </c>
      <c r="U5794" s="8">
        <v>3025</v>
      </c>
      <c r="W5794" s="8">
        <f t="shared" si="568"/>
        <v>0</v>
      </c>
    </row>
    <row r="5795" spans="1:23" ht="21.95" customHeight="1" x14ac:dyDescent="0.2">
      <c r="A5795" s="6" t="s">
        <v>1673</v>
      </c>
      <c r="B5795" s="6" t="s">
        <v>1806</v>
      </c>
      <c r="C5795" s="6" t="s">
        <v>1675</v>
      </c>
      <c r="D5795" s="6" t="s">
        <v>1649</v>
      </c>
      <c r="K5795" s="7">
        <v>44010160</v>
      </c>
      <c r="L5795" s="6" t="str">
        <f t="shared" si="569"/>
        <v>CTB ETHNIC RANFORCE NEVRESİM TAKIMI ÇİFT KİŞİLİK</v>
      </c>
      <c r="M5795" s="8">
        <v>0.25</v>
      </c>
      <c r="N5795" s="8">
        <v>0.25</v>
      </c>
      <c r="O5795" s="8">
        <v>1455</v>
      </c>
      <c r="P5795" s="12">
        <f t="shared" si="570"/>
        <v>1091.25</v>
      </c>
      <c r="Q5795" s="12">
        <f t="shared" si="571"/>
        <v>2291.625</v>
      </c>
      <c r="R5795" s="33">
        <f t="shared" si="572"/>
        <v>2200</v>
      </c>
      <c r="U5795" s="8">
        <v>3520</v>
      </c>
      <c r="W5795" s="8">
        <f t="shared" ref="W5795:W5808" si="573">T5795*2.5</f>
        <v>0</v>
      </c>
    </row>
    <row r="5796" spans="1:23" ht="21.95" customHeight="1" x14ac:dyDescent="0.2">
      <c r="A5796" s="6" t="s">
        <v>1673</v>
      </c>
      <c r="B5796" s="6" t="s">
        <v>1806</v>
      </c>
      <c r="C5796" s="6" t="s">
        <v>1675</v>
      </c>
      <c r="D5796" s="6" t="s">
        <v>2132</v>
      </c>
      <c r="K5796" s="7">
        <v>44010161</v>
      </c>
      <c r="L5796" s="6" t="str">
        <f t="shared" si="569"/>
        <v>CTB ETHNIC RANFORCE  COMPLETE SET TEK KİŞİLİK</v>
      </c>
      <c r="M5796" s="8">
        <v>0.25</v>
      </c>
      <c r="N5796" s="8">
        <v>0.25</v>
      </c>
      <c r="O5796" s="8">
        <v>1610</v>
      </c>
      <c r="P5796" s="12">
        <f t="shared" si="570"/>
        <v>1207.5</v>
      </c>
      <c r="Q5796" s="12">
        <f t="shared" si="571"/>
        <v>2535.75</v>
      </c>
      <c r="R5796" s="33">
        <f t="shared" si="572"/>
        <v>2500</v>
      </c>
      <c r="U5796" s="8">
        <v>11090</v>
      </c>
      <c r="W5796" s="8">
        <f t="shared" si="573"/>
        <v>0</v>
      </c>
    </row>
    <row r="5797" spans="1:23" ht="21.95" customHeight="1" x14ac:dyDescent="0.2">
      <c r="A5797" s="6" t="s">
        <v>1673</v>
      </c>
      <c r="B5797" s="6" t="s">
        <v>1806</v>
      </c>
      <c r="C5797" s="6" t="s">
        <v>1675</v>
      </c>
      <c r="D5797" s="6" t="s">
        <v>2132</v>
      </c>
      <c r="K5797" s="7">
        <v>44010162</v>
      </c>
      <c r="L5797" s="6" t="str">
        <f t="shared" si="569"/>
        <v>CTB ETHNIC RANFORCE  COMPLETE SET TEK KİŞİLİK</v>
      </c>
      <c r="M5797" s="8">
        <v>0.25</v>
      </c>
      <c r="N5797" s="8">
        <v>0.25</v>
      </c>
      <c r="O5797" s="8">
        <v>1995</v>
      </c>
      <c r="P5797" s="12">
        <f t="shared" si="570"/>
        <v>1496.25</v>
      </c>
      <c r="Q5797" s="12">
        <f t="shared" si="571"/>
        <v>3142.125</v>
      </c>
      <c r="R5797" s="33">
        <f t="shared" si="572"/>
        <v>3100</v>
      </c>
      <c r="U5797" s="8">
        <v>2620</v>
      </c>
      <c r="W5797" s="8">
        <f t="shared" si="573"/>
        <v>0</v>
      </c>
    </row>
    <row r="5798" spans="1:23" ht="21.95" customHeight="1" x14ac:dyDescent="0.2">
      <c r="A5798" s="6" t="s">
        <v>1673</v>
      </c>
      <c r="B5798" s="6" t="s">
        <v>1806</v>
      </c>
      <c r="C5798" s="6" t="s">
        <v>1676</v>
      </c>
      <c r="D5798" s="6" t="s">
        <v>1677</v>
      </c>
      <c r="K5798" s="7">
        <v>44010163</v>
      </c>
      <c r="L5798" s="6" t="str">
        <f t="shared" ref="L5798:L5861" si="574">B5798&amp;" "&amp;C5798&amp;" "&amp;D5798</f>
        <v xml:space="preserve">CTB PETİTE RANFORCE  NEVRESİM TAKIMI TEK KİŞİLİK FTT </v>
      </c>
      <c r="M5798" s="8">
        <v>0.25</v>
      </c>
      <c r="N5798" s="8">
        <v>0.25</v>
      </c>
      <c r="O5798" s="8">
        <v>1140</v>
      </c>
      <c r="P5798" s="12">
        <f t="shared" si="570"/>
        <v>855</v>
      </c>
      <c r="Q5798" s="12">
        <f t="shared" si="571"/>
        <v>1795.5</v>
      </c>
      <c r="R5798" s="33">
        <f t="shared" si="572"/>
        <v>1700</v>
      </c>
      <c r="U5798" s="8">
        <v>7550</v>
      </c>
      <c r="W5798" s="8">
        <f t="shared" si="573"/>
        <v>0</v>
      </c>
    </row>
    <row r="5799" spans="1:23" ht="21.95" customHeight="1" x14ac:dyDescent="0.2">
      <c r="A5799" s="6" t="s">
        <v>1673</v>
      </c>
      <c r="B5799" s="6" t="s">
        <v>1806</v>
      </c>
      <c r="C5799" s="6" t="s">
        <v>1676</v>
      </c>
      <c r="D5799" s="6" t="s">
        <v>1678</v>
      </c>
      <c r="K5799" s="7">
        <v>44010164</v>
      </c>
      <c r="L5799" s="6" t="str">
        <f t="shared" si="574"/>
        <v xml:space="preserve">CTB PETİTE RANFORCE  NEVRESİM TAKIMI ÇİFT KİŞİLİK FTT </v>
      </c>
      <c r="M5799" s="8">
        <v>0.25</v>
      </c>
      <c r="N5799" s="8">
        <v>0.25</v>
      </c>
      <c r="O5799" s="8">
        <v>1455</v>
      </c>
      <c r="P5799" s="12">
        <f t="shared" si="570"/>
        <v>1091.25</v>
      </c>
      <c r="Q5799" s="12">
        <f t="shared" si="571"/>
        <v>2291.625</v>
      </c>
      <c r="R5799" s="33">
        <f t="shared" si="572"/>
        <v>2200</v>
      </c>
      <c r="U5799" s="8">
        <v>3630</v>
      </c>
      <c r="W5799" s="8">
        <f t="shared" si="573"/>
        <v>0</v>
      </c>
    </row>
    <row r="5800" spans="1:23" ht="21.95" customHeight="1" x14ac:dyDescent="0.2">
      <c r="A5800" s="6" t="s">
        <v>1673</v>
      </c>
      <c r="B5800" s="6" t="s">
        <v>1806</v>
      </c>
      <c r="C5800" s="6" t="s">
        <v>1676</v>
      </c>
      <c r="D5800" s="6" t="s">
        <v>2131</v>
      </c>
      <c r="K5800" s="7">
        <v>44010165</v>
      </c>
      <c r="L5800" s="6" t="str">
        <f t="shared" si="574"/>
        <v xml:space="preserve">CTB PETİTE RANFORCE  COMPLETE SET TEK KİŞİLİK FTT </v>
      </c>
      <c r="M5800" s="8">
        <v>0.25</v>
      </c>
      <c r="N5800" s="8">
        <v>0.25</v>
      </c>
      <c r="O5800" s="8">
        <v>1610</v>
      </c>
      <c r="P5800" s="12">
        <f t="shared" si="570"/>
        <v>1207.5</v>
      </c>
      <c r="Q5800" s="12">
        <f t="shared" si="571"/>
        <v>2535.75</v>
      </c>
      <c r="R5800" s="33">
        <f t="shared" si="572"/>
        <v>2500</v>
      </c>
      <c r="U5800" s="8">
        <v>11200</v>
      </c>
      <c r="W5800" s="8">
        <f t="shared" si="573"/>
        <v>0</v>
      </c>
    </row>
    <row r="5801" spans="1:23" ht="21.95" customHeight="1" x14ac:dyDescent="0.2">
      <c r="A5801" s="6" t="s">
        <v>1673</v>
      </c>
      <c r="B5801" s="6" t="s">
        <v>1806</v>
      </c>
      <c r="C5801" s="6" t="s">
        <v>1676</v>
      </c>
      <c r="D5801" s="6" t="s">
        <v>2131</v>
      </c>
      <c r="K5801" s="7">
        <v>44010166</v>
      </c>
      <c r="L5801" s="6" t="str">
        <f t="shared" si="574"/>
        <v xml:space="preserve">CTB PETİTE RANFORCE  COMPLETE SET TEK KİŞİLİK FTT </v>
      </c>
      <c r="M5801" s="8">
        <v>0.25</v>
      </c>
      <c r="N5801" s="8">
        <v>0.25</v>
      </c>
      <c r="O5801" s="8">
        <v>1195</v>
      </c>
      <c r="P5801" s="12">
        <f t="shared" si="570"/>
        <v>896.25</v>
      </c>
      <c r="Q5801" s="12">
        <f t="shared" si="571"/>
        <v>1882.125</v>
      </c>
      <c r="R5801" s="33">
        <f t="shared" si="572"/>
        <v>1800</v>
      </c>
      <c r="U5801" s="8">
        <v>3025</v>
      </c>
      <c r="W5801" s="8">
        <f t="shared" si="573"/>
        <v>0</v>
      </c>
    </row>
    <row r="5802" spans="1:23" ht="21.95" customHeight="1" x14ac:dyDescent="0.2">
      <c r="A5802" s="6" t="s">
        <v>1673</v>
      </c>
      <c r="B5802" s="6" t="s">
        <v>1806</v>
      </c>
      <c r="C5802" s="6" t="s">
        <v>1679</v>
      </c>
      <c r="D5802" s="6" t="s">
        <v>1677</v>
      </c>
      <c r="K5802" s="7">
        <v>44010167</v>
      </c>
      <c r="L5802" s="6" t="str">
        <f t="shared" si="574"/>
        <v xml:space="preserve">CTB MINIMAL RANFORCE  NEVRESİM TAKIMI TEK KİŞİLİK FTT </v>
      </c>
      <c r="M5802" s="8">
        <v>0.25</v>
      </c>
      <c r="N5802" s="8">
        <v>0.25</v>
      </c>
      <c r="O5802" s="8">
        <v>1140</v>
      </c>
      <c r="P5802" s="12">
        <f t="shared" si="570"/>
        <v>855</v>
      </c>
      <c r="Q5802" s="12">
        <f t="shared" si="571"/>
        <v>1795.5</v>
      </c>
      <c r="R5802" s="33">
        <f t="shared" si="572"/>
        <v>1700</v>
      </c>
      <c r="U5802" s="8">
        <v>3520</v>
      </c>
      <c r="W5802" s="8">
        <f t="shared" si="573"/>
        <v>0</v>
      </c>
    </row>
    <row r="5803" spans="1:23" ht="21.95" customHeight="1" x14ac:dyDescent="0.2">
      <c r="A5803" s="6" t="s">
        <v>1673</v>
      </c>
      <c r="B5803" s="6" t="s">
        <v>1806</v>
      </c>
      <c r="C5803" s="6" t="s">
        <v>1679</v>
      </c>
      <c r="D5803" s="6" t="s">
        <v>1678</v>
      </c>
      <c r="K5803" s="7">
        <v>44010168</v>
      </c>
      <c r="L5803" s="6" t="str">
        <f t="shared" si="574"/>
        <v xml:space="preserve">CTB MINIMAL RANFORCE  NEVRESİM TAKIMI ÇİFT KİŞİLİK FTT </v>
      </c>
      <c r="M5803" s="8">
        <v>0.25</v>
      </c>
      <c r="N5803" s="8">
        <v>0.25</v>
      </c>
      <c r="O5803" s="8">
        <v>1455</v>
      </c>
      <c r="P5803" s="12">
        <f t="shared" si="570"/>
        <v>1091.25</v>
      </c>
      <c r="Q5803" s="12">
        <f t="shared" si="571"/>
        <v>2291.625</v>
      </c>
      <c r="R5803" s="33">
        <f t="shared" si="572"/>
        <v>2200</v>
      </c>
      <c r="U5803" s="8">
        <v>6125</v>
      </c>
      <c r="W5803" s="8">
        <f t="shared" si="573"/>
        <v>0</v>
      </c>
    </row>
    <row r="5804" spans="1:23" ht="21.95" customHeight="1" x14ac:dyDescent="0.2">
      <c r="A5804" s="6" t="s">
        <v>1673</v>
      </c>
      <c r="B5804" s="6" t="s">
        <v>1806</v>
      </c>
      <c r="C5804" s="6" t="s">
        <v>1679</v>
      </c>
      <c r="D5804" s="6" t="s">
        <v>1680</v>
      </c>
      <c r="K5804" s="7">
        <v>44010169</v>
      </c>
      <c r="L5804" s="6" t="str">
        <f t="shared" si="574"/>
        <v>CTB MINIMAL RANFORCE  COMPLETE SET TEK KİŞİLİK FTT</v>
      </c>
      <c r="M5804" s="8">
        <v>0.25</v>
      </c>
      <c r="N5804" s="8">
        <v>0.25</v>
      </c>
      <c r="O5804" s="8">
        <v>1610</v>
      </c>
      <c r="P5804" s="12">
        <f t="shared" si="570"/>
        <v>1207.5</v>
      </c>
      <c r="Q5804" s="12">
        <f t="shared" si="571"/>
        <v>2535.75</v>
      </c>
      <c r="R5804" s="33">
        <f t="shared" si="572"/>
        <v>2500</v>
      </c>
      <c r="U5804" s="8">
        <v>8290</v>
      </c>
      <c r="W5804" s="8">
        <f t="shared" si="573"/>
        <v>0</v>
      </c>
    </row>
    <row r="5805" spans="1:23" ht="21.95" customHeight="1" x14ac:dyDescent="0.2">
      <c r="A5805" s="6" t="s">
        <v>1673</v>
      </c>
      <c r="B5805" s="6" t="s">
        <v>1806</v>
      </c>
      <c r="C5805" s="6" t="s">
        <v>1679</v>
      </c>
      <c r="D5805" s="6" t="s">
        <v>2133</v>
      </c>
      <c r="K5805" s="7">
        <v>44010170</v>
      </c>
      <c r="L5805" s="6" t="str">
        <f t="shared" si="574"/>
        <v>CTB MINIMAL RANFORCE  COMPLETE SET ÇİFT KİŞİLİK FTT</v>
      </c>
      <c r="M5805" s="8">
        <v>0.25</v>
      </c>
      <c r="N5805" s="8">
        <v>0.25</v>
      </c>
      <c r="O5805" s="8">
        <v>1995</v>
      </c>
      <c r="P5805" s="12">
        <f t="shared" si="570"/>
        <v>1496.25</v>
      </c>
      <c r="Q5805" s="12">
        <f t="shared" si="571"/>
        <v>3142.125</v>
      </c>
      <c r="R5805" s="33">
        <f t="shared" si="572"/>
        <v>3100</v>
      </c>
      <c r="U5805" s="8">
        <v>15680</v>
      </c>
      <c r="W5805" s="8">
        <f t="shared" si="573"/>
        <v>0</v>
      </c>
    </row>
    <row r="5806" spans="1:23" ht="21.95" customHeight="1" x14ac:dyDescent="0.2">
      <c r="A5806" s="6" t="s">
        <v>1673</v>
      </c>
      <c r="B5806" s="6" t="s">
        <v>1806</v>
      </c>
      <c r="C5806" s="6" t="s">
        <v>1681</v>
      </c>
      <c r="D5806" s="6" t="s">
        <v>1648</v>
      </c>
      <c r="K5806" s="7">
        <v>44010171</v>
      </c>
      <c r="L5806" s="6" t="str">
        <f t="shared" si="574"/>
        <v xml:space="preserve">CTB BOHEM RANFORCE  NEVRESİM TAKIMI TEK KİŞİLİK </v>
      </c>
      <c r="M5806" s="8">
        <v>0.25</v>
      </c>
      <c r="N5806" s="8">
        <v>0.25</v>
      </c>
      <c r="O5806" s="8">
        <v>1140</v>
      </c>
      <c r="P5806" s="12">
        <f t="shared" si="570"/>
        <v>855</v>
      </c>
      <c r="Q5806" s="12">
        <f t="shared" si="571"/>
        <v>1795.5</v>
      </c>
      <c r="R5806" s="33">
        <f t="shared" si="572"/>
        <v>1700</v>
      </c>
      <c r="U5806" s="8">
        <v>11255</v>
      </c>
      <c r="W5806" s="8">
        <f t="shared" si="573"/>
        <v>0</v>
      </c>
    </row>
    <row r="5807" spans="1:23" ht="21.95" customHeight="1" x14ac:dyDescent="0.2">
      <c r="A5807" s="6" t="s">
        <v>1673</v>
      </c>
      <c r="B5807" s="6" t="s">
        <v>1806</v>
      </c>
      <c r="C5807" s="6" t="s">
        <v>1681</v>
      </c>
      <c r="D5807" s="6" t="s">
        <v>1649</v>
      </c>
      <c r="K5807" s="7">
        <v>44010172</v>
      </c>
      <c r="L5807" s="6" t="str">
        <f t="shared" si="574"/>
        <v>CTB BOHEM RANFORCE  NEVRESİM TAKIMI ÇİFT KİŞİLİK</v>
      </c>
      <c r="M5807" s="8">
        <v>0.25</v>
      </c>
      <c r="N5807" s="8">
        <v>0.25</v>
      </c>
      <c r="O5807" s="8">
        <v>1455</v>
      </c>
      <c r="P5807" s="12">
        <f t="shared" si="570"/>
        <v>1091.25</v>
      </c>
      <c r="Q5807" s="12">
        <f t="shared" si="571"/>
        <v>2291.625</v>
      </c>
      <c r="R5807" s="33">
        <f t="shared" si="572"/>
        <v>2200</v>
      </c>
      <c r="U5807" s="8">
        <v>14255</v>
      </c>
      <c r="W5807" s="8">
        <f t="shared" si="573"/>
        <v>0</v>
      </c>
    </row>
    <row r="5808" spans="1:23" ht="21.95" customHeight="1" x14ac:dyDescent="0.2">
      <c r="A5808" s="6" t="s">
        <v>1673</v>
      </c>
      <c r="B5808" s="6" t="s">
        <v>1806</v>
      </c>
      <c r="C5808" s="6" t="s">
        <v>1681</v>
      </c>
      <c r="D5808" s="6" t="s">
        <v>1803</v>
      </c>
      <c r="K5808" s="7">
        <v>44010173</v>
      </c>
      <c r="L5808" s="6" t="str">
        <f t="shared" si="574"/>
        <v>CTB BOHEM RANFORCE  COMPLETE SET ÇİFT KİŞİLİK</v>
      </c>
      <c r="M5808" s="8">
        <v>0.25</v>
      </c>
      <c r="N5808" s="8">
        <v>0.25</v>
      </c>
      <c r="O5808" s="8">
        <v>1995</v>
      </c>
      <c r="P5808" s="12">
        <f t="shared" si="570"/>
        <v>1496.25</v>
      </c>
      <c r="Q5808" s="12">
        <f t="shared" si="571"/>
        <v>3142.125</v>
      </c>
      <c r="R5808" s="33">
        <f t="shared" si="572"/>
        <v>3100</v>
      </c>
      <c r="U5808" s="8">
        <v>11645</v>
      </c>
      <c r="W5808" s="8">
        <f t="shared" si="573"/>
        <v>0</v>
      </c>
    </row>
    <row r="5809" spans="1:23" ht="21.95" customHeight="1" x14ac:dyDescent="0.2">
      <c r="A5809" s="6" t="s">
        <v>1673</v>
      </c>
      <c r="B5809" s="6" t="s">
        <v>1806</v>
      </c>
      <c r="C5809" s="6" t="s">
        <v>1683</v>
      </c>
      <c r="D5809" s="6" t="s">
        <v>1648</v>
      </c>
      <c r="K5809" s="7">
        <v>44010174</v>
      </c>
      <c r="L5809" s="6" t="str">
        <f t="shared" si="574"/>
        <v xml:space="preserve">CTB TOPRAK RANFORCE NEVRESİM TAKIMI TEK KİŞİLİK </v>
      </c>
      <c r="M5809" s="8">
        <v>0.25</v>
      </c>
      <c r="N5809" s="8">
        <v>0.25</v>
      </c>
      <c r="O5809" s="8">
        <v>1140</v>
      </c>
      <c r="P5809" s="12">
        <f t="shared" si="570"/>
        <v>855</v>
      </c>
      <c r="Q5809" s="12">
        <f t="shared" si="571"/>
        <v>1795.5</v>
      </c>
      <c r="R5809" s="33">
        <f t="shared" si="572"/>
        <v>1700</v>
      </c>
      <c r="U5809" s="8">
        <v>33450</v>
      </c>
      <c r="W5809" s="8">
        <f>T5809*2.5</f>
        <v>0</v>
      </c>
    </row>
    <row r="5810" spans="1:23" ht="21.95" customHeight="1" x14ac:dyDescent="0.2">
      <c r="A5810" s="6" t="s">
        <v>1673</v>
      </c>
      <c r="B5810" s="6" t="s">
        <v>1806</v>
      </c>
      <c r="C5810" s="6" t="s">
        <v>1683</v>
      </c>
      <c r="D5810" s="6" t="s">
        <v>1642</v>
      </c>
      <c r="K5810" s="7">
        <v>44010175</v>
      </c>
      <c r="L5810" s="6" t="str">
        <f t="shared" si="574"/>
        <v xml:space="preserve">CTB TOPRAK RANFORCE NEVRESİM TAKIMI ÇİFT KİŞİLİK </v>
      </c>
      <c r="M5810" s="8">
        <v>0.25</v>
      </c>
      <c r="N5810" s="8">
        <v>0.25</v>
      </c>
      <c r="O5810" s="8">
        <v>1455</v>
      </c>
      <c r="P5810" s="12">
        <f t="shared" si="570"/>
        <v>1091.25</v>
      </c>
      <c r="Q5810" s="12">
        <f t="shared" si="571"/>
        <v>2291.625</v>
      </c>
      <c r="R5810" s="33">
        <f t="shared" si="572"/>
        <v>2200</v>
      </c>
      <c r="U5810" s="8">
        <v>31050</v>
      </c>
      <c r="W5810" s="8">
        <f t="shared" ref="W5810:W5866" si="575">T5810*2.5</f>
        <v>0</v>
      </c>
    </row>
    <row r="5811" spans="1:23" ht="21.95" customHeight="1" x14ac:dyDescent="0.2">
      <c r="A5811" s="6" t="s">
        <v>1673</v>
      </c>
      <c r="B5811" s="6" t="s">
        <v>1806</v>
      </c>
      <c r="C5811" s="6" t="s">
        <v>1684</v>
      </c>
      <c r="D5811" s="6" t="s">
        <v>1648</v>
      </c>
      <c r="K5811" s="7">
        <v>44010176</v>
      </c>
      <c r="L5811" s="6" t="str">
        <f t="shared" si="574"/>
        <v xml:space="preserve">CTB MODE LİNE RANFORCE NEVRESİM TAKIMI TEK KİŞİLİK </v>
      </c>
      <c r="M5811" s="8">
        <v>0.25</v>
      </c>
      <c r="N5811" s="8">
        <v>0.25</v>
      </c>
      <c r="O5811" s="8">
        <v>1140</v>
      </c>
      <c r="P5811" s="12">
        <f t="shared" si="570"/>
        <v>855</v>
      </c>
      <c r="Q5811" s="12">
        <f t="shared" si="571"/>
        <v>1795.5</v>
      </c>
      <c r="R5811" s="33">
        <f t="shared" si="572"/>
        <v>1700</v>
      </c>
      <c r="U5811" s="8">
        <v>15180</v>
      </c>
      <c r="W5811" s="8">
        <f t="shared" si="575"/>
        <v>0</v>
      </c>
    </row>
    <row r="5812" spans="1:23" ht="21.95" customHeight="1" x14ac:dyDescent="0.2">
      <c r="A5812" s="6" t="s">
        <v>1673</v>
      </c>
      <c r="B5812" s="6" t="s">
        <v>1806</v>
      </c>
      <c r="C5812" s="6" t="s">
        <v>1684</v>
      </c>
      <c r="D5812" s="6" t="s">
        <v>1642</v>
      </c>
      <c r="K5812" s="7">
        <v>44010177</v>
      </c>
      <c r="L5812" s="6" t="str">
        <f t="shared" si="574"/>
        <v xml:space="preserve">CTB MODE LİNE RANFORCE NEVRESİM TAKIMI ÇİFT KİŞİLİK </v>
      </c>
      <c r="M5812" s="8">
        <v>0.25</v>
      </c>
      <c r="N5812" s="8">
        <v>0.25</v>
      </c>
      <c r="O5812" s="8">
        <v>1455</v>
      </c>
      <c r="P5812" s="12">
        <f t="shared" si="570"/>
        <v>1091.25</v>
      </c>
      <c r="Q5812" s="12">
        <f t="shared" si="571"/>
        <v>2291.625</v>
      </c>
      <c r="R5812" s="33">
        <f t="shared" si="572"/>
        <v>2200</v>
      </c>
      <c r="U5812" s="8">
        <v>40220</v>
      </c>
      <c r="W5812" s="8">
        <f t="shared" si="575"/>
        <v>0</v>
      </c>
    </row>
    <row r="5813" spans="1:23" ht="21.95" customHeight="1" x14ac:dyDescent="0.2">
      <c r="A5813" s="6" t="s">
        <v>1673</v>
      </c>
      <c r="B5813" s="6" t="s">
        <v>1806</v>
      </c>
      <c r="C5813" s="6" t="s">
        <v>1684</v>
      </c>
      <c r="D5813" s="6" t="s">
        <v>1685</v>
      </c>
      <c r="K5813" s="7">
        <v>44010178</v>
      </c>
      <c r="L5813" s="6" t="str">
        <f t="shared" si="574"/>
        <v xml:space="preserve">CTB MODE LİNE RANFORCE NEVRESİM TAKIMI FAMILY </v>
      </c>
      <c r="M5813" s="8">
        <v>0.25</v>
      </c>
      <c r="N5813" s="8">
        <v>0.25</v>
      </c>
      <c r="O5813" s="8">
        <v>1870</v>
      </c>
      <c r="P5813" s="12">
        <f t="shared" si="570"/>
        <v>1402.5</v>
      </c>
      <c r="Q5813" s="12">
        <f t="shared" si="571"/>
        <v>2945.25</v>
      </c>
      <c r="R5813" s="33">
        <f t="shared" si="572"/>
        <v>2900</v>
      </c>
      <c r="U5813" s="8">
        <v>4700</v>
      </c>
      <c r="W5813" s="8">
        <f t="shared" si="575"/>
        <v>0</v>
      </c>
    </row>
    <row r="5814" spans="1:23" ht="21.95" customHeight="1" x14ac:dyDescent="0.2">
      <c r="A5814" s="6" t="s">
        <v>1673</v>
      </c>
      <c r="B5814" s="6" t="s">
        <v>1806</v>
      </c>
      <c r="C5814" s="6" t="s">
        <v>1684</v>
      </c>
      <c r="D5814" s="6" t="s">
        <v>1686</v>
      </c>
      <c r="K5814" s="7">
        <v>44010179</v>
      </c>
      <c r="L5814" s="6" t="str">
        <f t="shared" si="574"/>
        <v>CTB MODE LİNE RANFORCE COMPLETE SET TEK KİŞİLİK</v>
      </c>
      <c r="M5814" s="8">
        <v>0.25</v>
      </c>
      <c r="N5814" s="8">
        <v>0.25</v>
      </c>
      <c r="O5814" s="8">
        <v>1610</v>
      </c>
      <c r="P5814" s="12">
        <f t="shared" si="570"/>
        <v>1207.5</v>
      </c>
      <c r="Q5814" s="12">
        <f t="shared" si="571"/>
        <v>2535.75</v>
      </c>
      <c r="R5814" s="33">
        <f t="shared" si="572"/>
        <v>2500</v>
      </c>
      <c r="U5814" s="8">
        <v>30150</v>
      </c>
      <c r="W5814" s="8">
        <f t="shared" si="575"/>
        <v>0</v>
      </c>
    </row>
    <row r="5815" spans="1:23" ht="21.95" customHeight="1" x14ac:dyDescent="0.2">
      <c r="A5815" s="6" t="s">
        <v>1673</v>
      </c>
      <c r="B5815" s="6" t="s">
        <v>1806</v>
      </c>
      <c r="C5815" s="6" t="s">
        <v>1684</v>
      </c>
      <c r="D5815" s="6" t="s">
        <v>1687</v>
      </c>
      <c r="K5815" s="7">
        <v>44010180</v>
      </c>
      <c r="L5815" s="6" t="str">
        <f t="shared" si="574"/>
        <v xml:space="preserve">CTB MODE LİNE RANFORCE COMPLETE SET ÇİFT KİŞİLİK </v>
      </c>
      <c r="M5815" s="8">
        <v>0.25</v>
      </c>
      <c r="N5815" s="8">
        <v>0.25</v>
      </c>
      <c r="O5815" s="8">
        <v>1995</v>
      </c>
      <c r="P5815" s="12">
        <f t="shared" ref="P5815:P5878" si="576">O5815*(1-N5815)</f>
        <v>1496.25</v>
      </c>
      <c r="Q5815" s="12">
        <f t="shared" ref="Q5815:Q5878" si="577">O5815*(1-N5815)*2.1</f>
        <v>3142.125</v>
      </c>
      <c r="R5815" s="33">
        <f t="shared" ref="R5815:R5878" si="578">ROUNDDOWN(Q5815,-2)</f>
        <v>3100</v>
      </c>
      <c r="U5815" s="8">
        <v>27320</v>
      </c>
      <c r="W5815" s="8">
        <f t="shared" si="575"/>
        <v>0</v>
      </c>
    </row>
    <row r="5816" spans="1:23" ht="21.95" customHeight="1" x14ac:dyDescent="0.2">
      <c r="A5816" s="6" t="s">
        <v>1673</v>
      </c>
      <c r="B5816" s="6" t="s">
        <v>1806</v>
      </c>
      <c r="C5816" s="6" t="s">
        <v>1684</v>
      </c>
      <c r="D5816" s="6" t="s">
        <v>1688</v>
      </c>
      <c r="K5816" s="7">
        <v>44010181</v>
      </c>
      <c r="L5816" s="6" t="str">
        <f t="shared" si="574"/>
        <v xml:space="preserve">CTB MODE LİNE RANFORCE UYKU SETİ TEK KİŞİLİK </v>
      </c>
      <c r="M5816" s="8">
        <v>0.25</v>
      </c>
      <c r="N5816" s="8">
        <v>0.25</v>
      </c>
      <c r="O5816" s="8">
        <v>2235</v>
      </c>
      <c r="P5816" s="12">
        <f t="shared" si="576"/>
        <v>1676.25</v>
      </c>
      <c r="Q5816" s="12">
        <f t="shared" si="577"/>
        <v>3520.125</v>
      </c>
      <c r="R5816" s="33">
        <f t="shared" si="578"/>
        <v>3500</v>
      </c>
      <c r="U5816" s="8">
        <v>6345</v>
      </c>
      <c r="W5816" s="8">
        <f t="shared" si="575"/>
        <v>0</v>
      </c>
    </row>
    <row r="5817" spans="1:23" ht="21.95" customHeight="1" x14ac:dyDescent="0.2">
      <c r="A5817" s="6" t="s">
        <v>1673</v>
      </c>
      <c r="B5817" s="6" t="s">
        <v>1806</v>
      </c>
      <c r="C5817" s="6" t="s">
        <v>1684</v>
      </c>
      <c r="D5817" s="6" t="s">
        <v>1689</v>
      </c>
      <c r="K5817" s="7">
        <v>44010182</v>
      </c>
      <c r="L5817" s="6" t="str">
        <f t="shared" si="574"/>
        <v xml:space="preserve">CTB MODE LİNE RANFORCE UYKU SETİ ÇİFT KİŞİLİK </v>
      </c>
      <c r="M5817" s="8">
        <v>0.25</v>
      </c>
      <c r="N5817" s="8">
        <v>0.25</v>
      </c>
      <c r="O5817" s="8">
        <v>2720</v>
      </c>
      <c r="P5817" s="12">
        <f t="shared" si="576"/>
        <v>2040</v>
      </c>
      <c r="Q5817" s="12">
        <f t="shared" si="577"/>
        <v>4284</v>
      </c>
      <c r="R5817" s="33">
        <f t="shared" si="578"/>
        <v>4200</v>
      </c>
      <c r="U5817" s="8">
        <v>27945</v>
      </c>
      <c r="W5817" s="8">
        <f t="shared" si="575"/>
        <v>0</v>
      </c>
    </row>
    <row r="5818" spans="1:23" ht="21.95" customHeight="1" x14ac:dyDescent="0.2">
      <c r="A5818" s="6" t="s">
        <v>1673</v>
      </c>
      <c r="B5818" s="6" t="s">
        <v>1806</v>
      </c>
      <c r="C5818" s="6" t="s">
        <v>1690</v>
      </c>
      <c r="D5818" s="6" t="s">
        <v>1648</v>
      </c>
      <c r="K5818" s="7">
        <v>44010183</v>
      </c>
      <c r="L5818" s="6" t="str">
        <f t="shared" si="574"/>
        <v xml:space="preserve">CTB MARITIME RANFORCE  NEVRESİM TAKIMI TEK KİŞİLİK </v>
      </c>
      <c r="M5818" s="8">
        <v>0.25</v>
      </c>
      <c r="N5818" s="8">
        <v>0.25</v>
      </c>
      <c r="O5818" s="8">
        <v>1140</v>
      </c>
      <c r="P5818" s="12">
        <f t="shared" si="576"/>
        <v>855</v>
      </c>
      <c r="Q5818" s="12">
        <f t="shared" si="577"/>
        <v>1795.5</v>
      </c>
      <c r="R5818" s="33">
        <f t="shared" si="578"/>
        <v>1700</v>
      </c>
      <c r="U5818" s="8">
        <v>12480</v>
      </c>
      <c r="W5818" s="8">
        <f t="shared" si="575"/>
        <v>0</v>
      </c>
    </row>
    <row r="5819" spans="1:23" ht="21.95" customHeight="1" x14ac:dyDescent="0.2">
      <c r="A5819" s="6" t="s">
        <v>1673</v>
      </c>
      <c r="B5819" s="6" t="s">
        <v>1806</v>
      </c>
      <c r="C5819" s="6" t="s">
        <v>1690</v>
      </c>
      <c r="D5819" s="6" t="s">
        <v>1642</v>
      </c>
      <c r="K5819" s="7">
        <v>44010184</v>
      </c>
      <c r="L5819" s="6" t="str">
        <f t="shared" si="574"/>
        <v xml:space="preserve">CTB MARITIME RANFORCE  NEVRESİM TAKIMI ÇİFT KİŞİLİK </v>
      </c>
      <c r="M5819" s="8">
        <v>0.25</v>
      </c>
      <c r="N5819" s="8">
        <v>0.25</v>
      </c>
      <c r="O5819" s="8">
        <v>1455</v>
      </c>
      <c r="P5819" s="12">
        <f t="shared" si="576"/>
        <v>1091.25</v>
      </c>
      <c r="Q5819" s="12">
        <f t="shared" si="577"/>
        <v>2291.625</v>
      </c>
      <c r="R5819" s="33">
        <f t="shared" si="578"/>
        <v>2200</v>
      </c>
      <c r="U5819" s="8">
        <v>4700</v>
      </c>
      <c r="W5819" s="8">
        <f t="shared" si="575"/>
        <v>0</v>
      </c>
    </row>
    <row r="5820" spans="1:23" ht="21.95" customHeight="1" x14ac:dyDescent="0.2">
      <c r="A5820" s="6" t="s">
        <v>1673</v>
      </c>
      <c r="B5820" s="6" t="s">
        <v>1806</v>
      </c>
      <c r="C5820" s="6" t="s">
        <v>1690</v>
      </c>
      <c r="D5820" s="6" t="s">
        <v>1686</v>
      </c>
      <c r="K5820" s="7">
        <v>44010185</v>
      </c>
      <c r="L5820" s="6" t="str">
        <f t="shared" si="574"/>
        <v>CTB MARITIME RANFORCE  COMPLETE SET TEK KİŞİLİK</v>
      </c>
      <c r="M5820" s="8">
        <v>0.25</v>
      </c>
      <c r="N5820" s="8">
        <v>0.25</v>
      </c>
      <c r="O5820" s="8">
        <v>1610</v>
      </c>
      <c r="P5820" s="12">
        <f t="shared" si="576"/>
        <v>1207.5</v>
      </c>
      <c r="Q5820" s="12">
        <f t="shared" si="577"/>
        <v>2535.75</v>
      </c>
      <c r="R5820" s="33">
        <f t="shared" si="578"/>
        <v>2500</v>
      </c>
      <c r="U5820" s="8">
        <v>9660</v>
      </c>
      <c r="W5820" s="8">
        <f t="shared" si="575"/>
        <v>0</v>
      </c>
    </row>
    <row r="5821" spans="1:23" ht="21.95" customHeight="1" x14ac:dyDescent="0.2">
      <c r="A5821" s="6" t="s">
        <v>1673</v>
      </c>
      <c r="B5821" s="6" t="s">
        <v>1806</v>
      </c>
      <c r="C5821" s="6" t="s">
        <v>1691</v>
      </c>
      <c r="D5821" s="6" t="s">
        <v>1648</v>
      </c>
      <c r="K5821" s="7">
        <v>44010186</v>
      </c>
      <c r="L5821" s="6" t="str">
        <f t="shared" si="574"/>
        <v xml:space="preserve">CTB GIRLS&amp;BOYS RANFORCE NEVRESİM TAKIMI TEK KİŞİLİK </v>
      </c>
      <c r="M5821" s="8">
        <v>0.25</v>
      </c>
      <c r="N5821" s="8">
        <v>0.25</v>
      </c>
      <c r="O5821" s="8">
        <v>1170</v>
      </c>
      <c r="P5821" s="12">
        <f t="shared" si="576"/>
        <v>877.5</v>
      </c>
      <c r="Q5821" s="12">
        <f t="shared" si="577"/>
        <v>1842.75</v>
      </c>
      <c r="R5821" s="33">
        <f t="shared" si="578"/>
        <v>1800</v>
      </c>
      <c r="U5821" s="8">
        <v>5210</v>
      </c>
      <c r="W5821" s="8">
        <f t="shared" si="575"/>
        <v>0</v>
      </c>
    </row>
    <row r="5822" spans="1:23" ht="21.95" customHeight="1" x14ac:dyDescent="0.2">
      <c r="A5822" s="6" t="s">
        <v>1673</v>
      </c>
      <c r="B5822" s="6" t="s">
        <v>1806</v>
      </c>
      <c r="C5822" s="6" t="s">
        <v>1691</v>
      </c>
      <c r="D5822" s="6" t="s">
        <v>1692</v>
      </c>
      <c r="K5822" s="7">
        <v>44010187</v>
      </c>
      <c r="L5822" s="6" t="str">
        <f t="shared" si="574"/>
        <v xml:space="preserve">CTB GIRLS&amp;BOYS RANFORCE COMPLETE SET TEK KİŞİLİK </v>
      </c>
      <c r="M5822" s="8">
        <v>0.25</v>
      </c>
      <c r="N5822" s="8">
        <v>0.25</v>
      </c>
      <c r="O5822" s="8">
        <v>1650</v>
      </c>
      <c r="P5822" s="12">
        <f t="shared" si="576"/>
        <v>1237.5</v>
      </c>
      <c r="Q5822" s="12">
        <f t="shared" si="577"/>
        <v>2598.75</v>
      </c>
      <c r="R5822" s="33">
        <f t="shared" si="578"/>
        <v>2500</v>
      </c>
      <c r="U5822" s="8">
        <v>34220</v>
      </c>
      <c r="W5822" s="8">
        <f t="shared" si="575"/>
        <v>0</v>
      </c>
    </row>
    <row r="5823" spans="1:23" ht="21.95" customHeight="1" x14ac:dyDescent="0.2">
      <c r="A5823" s="6" t="s">
        <v>1673</v>
      </c>
      <c r="B5823" s="6" t="s">
        <v>1806</v>
      </c>
      <c r="C5823" s="6" t="s">
        <v>1693</v>
      </c>
      <c r="D5823" s="6" t="s">
        <v>1648</v>
      </c>
      <c r="K5823" s="7">
        <v>44010188</v>
      </c>
      <c r="L5823" s="6" t="str">
        <f t="shared" si="574"/>
        <v xml:space="preserve">CTB JUNIOR RANFORCE NEVRESİM TAKIMI TEK KİŞİLİK </v>
      </c>
      <c r="M5823" s="8">
        <v>0.25</v>
      </c>
      <c r="N5823" s="8">
        <v>0.25</v>
      </c>
      <c r="O5823" s="8">
        <v>1170</v>
      </c>
      <c r="P5823" s="12">
        <f t="shared" si="576"/>
        <v>877.5</v>
      </c>
      <c r="Q5823" s="12">
        <f t="shared" si="577"/>
        <v>1842.75</v>
      </c>
      <c r="R5823" s="33">
        <f t="shared" si="578"/>
        <v>1800</v>
      </c>
      <c r="U5823" s="8">
        <v>31460</v>
      </c>
      <c r="W5823" s="8">
        <f t="shared" si="575"/>
        <v>0</v>
      </c>
    </row>
    <row r="5824" spans="1:23" ht="21.95" customHeight="1" x14ac:dyDescent="0.2">
      <c r="A5824" s="6" t="s">
        <v>1673</v>
      </c>
      <c r="B5824" s="6" t="s">
        <v>1806</v>
      </c>
      <c r="C5824" s="6" t="s">
        <v>1693</v>
      </c>
      <c r="D5824" s="6" t="s">
        <v>1692</v>
      </c>
      <c r="K5824" s="7">
        <v>44010189</v>
      </c>
      <c r="L5824" s="6" t="str">
        <f t="shared" si="574"/>
        <v xml:space="preserve">CTB JUNIOR RANFORCE COMPLETE SET TEK KİŞİLİK </v>
      </c>
      <c r="M5824" s="8">
        <v>0.25</v>
      </c>
      <c r="N5824" s="8">
        <v>0.25</v>
      </c>
      <c r="O5824" s="8">
        <v>1650</v>
      </c>
      <c r="P5824" s="12">
        <f t="shared" si="576"/>
        <v>1237.5</v>
      </c>
      <c r="Q5824" s="12">
        <f t="shared" si="577"/>
        <v>2598.75</v>
      </c>
      <c r="R5824" s="33">
        <f t="shared" si="578"/>
        <v>2500</v>
      </c>
      <c r="U5824" s="8">
        <v>15180</v>
      </c>
      <c r="W5824" s="8">
        <f t="shared" si="575"/>
        <v>0</v>
      </c>
    </row>
    <row r="5825" spans="1:23" ht="21.95" customHeight="1" x14ac:dyDescent="0.2">
      <c r="A5825" s="6" t="s">
        <v>1673</v>
      </c>
      <c r="B5825" s="6" t="s">
        <v>1806</v>
      </c>
      <c r="C5825" s="6" t="s">
        <v>1694</v>
      </c>
      <c r="D5825" s="6" t="s">
        <v>1648</v>
      </c>
      <c r="K5825" s="7">
        <v>44010190</v>
      </c>
      <c r="L5825" s="6" t="str">
        <f t="shared" si="574"/>
        <v xml:space="preserve">CTB MOOD NAK. RANFORCE NEVRESİM TAKIMI TEK KİŞİLİK </v>
      </c>
      <c r="M5825" s="8">
        <v>0.25</v>
      </c>
      <c r="N5825" s="8">
        <v>0.25</v>
      </c>
      <c r="O5825" s="8">
        <v>2230</v>
      </c>
      <c r="P5825" s="12">
        <f t="shared" si="576"/>
        <v>1672.5</v>
      </c>
      <c r="Q5825" s="12">
        <f t="shared" si="577"/>
        <v>3512.25</v>
      </c>
      <c r="R5825" s="33">
        <f t="shared" si="578"/>
        <v>3500</v>
      </c>
      <c r="U5825" s="8">
        <v>30410</v>
      </c>
      <c r="W5825" s="8">
        <f t="shared" si="575"/>
        <v>0</v>
      </c>
    </row>
    <row r="5826" spans="1:23" ht="21.95" customHeight="1" x14ac:dyDescent="0.2">
      <c r="A5826" s="6" t="s">
        <v>1673</v>
      </c>
      <c r="B5826" s="6" t="s">
        <v>1806</v>
      </c>
      <c r="C5826" s="6" t="s">
        <v>1695</v>
      </c>
      <c r="D5826" s="6" t="s">
        <v>1642</v>
      </c>
      <c r="K5826" s="7">
        <v>44010191</v>
      </c>
      <c r="L5826" s="6" t="str">
        <f t="shared" si="574"/>
        <v xml:space="preserve">CTB TENSEL CRAFT  NEVRESİM TAKIMI ÇİFT KİŞİLİK </v>
      </c>
      <c r="M5826" s="8">
        <v>0.25</v>
      </c>
      <c r="N5826" s="8">
        <v>0.25</v>
      </c>
      <c r="O5826" s="8">
        <v>2709</v>
      </c>
      <c r="P5826" s="12">
        <f t="shared" si="576"/>
        <v>2031.75</v>
      </c>
      <c r="Q5826" s="12">
        <f t="shared" si="577"/>
        <v>4266.6750000000002</v>
      </c>
      <c r="R5826" s="33">
        <f t="shared" si="578"/>
        <v>4200</v>
      </c>
      <c r="U5826" s="8">
        <v>5375</v>
      </c>
      <c r="W5826" s="8">
        <f t="shared" si="575"/>
        <v>0</v>
      </c>
    </row>
    <row r="5827" spans="1:23" ht="21.95" customHeight="1" x14ac:dyDescent="0.2">
      <c r="A5827" s="6" t="s">
        <v>1673</v>
      </c>
      <c r="B5827" s="6" t="s">
        <v>1806</v>
      </c>
      <c r="C5827" s="6" t="s">
        <v>1696</v>
      </c>
      <c r="D5827" s="6" t="s">
        <v>1649</v>
      </c>
      <c r="K5827" s="7">
        <v>44010192</v>
      </c>
      <c r="L5827" s="6" t="str">
        <f t="shared" si="574"/>
        <v>CTB MAJESTIC  NEVRESİM TAKIMI ÇİFT KİŞİLİK</v>
      </c>
      <c r="M5827" s="8">
        <v>0.25</v>
      </c>
      <c r="N5827" s="8">
        <v>0.25</v>
      </c>
      <c r="O5827" s="8">
        <v>2660</v>
      </c>
      <c r="P5827" s="12">
        <f t="shared" si="576"/>
        <v>1995</v>
      </c>
      <c r="Q5827" s="12">
        <f t="shared" si="577"/>
        <v>4189.5</v>
      </c>
      <c r="R5827" s="33">
        <f t="shared" si="578"/>
        <v>4100</v>
      </c>
      <c r="U5827" s="8">
        <v>30360</v>
      </c>
      <c r="W5827" s="8">
        <f t="shared" si="575"/>
        <v>0</v>
      </c>
    </row>
    <row r="5828" spans="1:23" ht="21.95" customHeight="1" x14ac:dyDescent="0.2">
      <c r="A5828" s="6" t="s">
        <v>1673</v>
      </c>
      <c r="B5828" s="6" t="s">
        <v>1806</v>
      </c>
      <c r="C5828" s="6" t="s">
        <v>1697</v>
      </c>
      <c r="D5828" s="6" t="s">
        <v>1649</v>
      </c>
      <c r="K5828" s="7">
        <v>44010193</v>
      </c>
      <c r="L5828" s="6" t="str">
        <f t="shared" si="574"/>
        <v>CTB CLASSIC  NEVRESİM TAKIMI ÇİFT KİŞİLİK</v>
      </c>
      <c r="M5828" s="8">
        <v>0.25</v>
      </c>
      <c r="N5828" s="8">
        <v>0.25</v>
      </c>
      <c r="O5828" s="8">
        <v>2860</v>
      </c>
      <c r="P5828" s="12">
        <f t="shared" si="576"/>
        <v>2145</v>
      </c>
      <c r="Q5828" s="12">
        <f t="shared" si="577"/>
        <v>4504.5</v>
      </c>
      <c r="R5828" s="33">
        <f t="shared" si="578"/>
        <v>4500</v>
      </c>
      <c r="U5828" s="8">
        <v>5179</v>
      </c>
      <c r="W5828" s="8">
        <f t="shared" si="575"/>
        <v>0</v>
      </c>
    </row>
    <row r="5829" spans="1:23" ht="21.95" customHeight="1" x14ac:dyDescent="0.2">
      <c r="A5829" s="6" t="s">
        <v>1673</v>
      </c>
      <c r="B5829" s="6" t="s">
        <v>1806</v>
      </c>
      <c r="C5829" s="6" t="s">
        <v>1698</v>
      </c>
      <c r="D5829" s="6" t="s">
        <v>1648</v>
      </c>
      <c r="K5829" s="7">
        <v>44010194</v>
      </c>
      <c r="L5829" s="6" t="str">
        <f t="shared" si="574"/>
        <v xml:space="preserve">CTB ELEGANT SATEN  NEVRESİM TAKIMI TEK KİŞİLİK </v>
      </c>
      <c r="M5829" s="8">
        <v>0.25</v>
      </c>
      <c r="N5829" s="8">
        <v>0.25</v>
      </c>
      <c r="O5829" s="8">
        <v>1750</v>
      </c>
      <c r="P5829" s="12">
        <f t="shared" si="576"/>
        <v>1312.5</v>
      </c>
      <c r="Q5829" s="12">
        <f t="shared" si="577"/>
        <v>2756.25</v>
      </c>
      <c r="R5829" s="33">
        <f t="shared" si="578"/>
        <v>2700</v>
      </c>
      <c r="U5829" s="8">
        <v>31930</v>
      </c>
      <c r="W5829" s="8">
        <f t="shared" si="575"/>
        <v>0</v>
      </c>
    </row>
    <row r="5830" spans="1:23" ht="21.95" customHeight="1" x14ac:dyDescent="0.2">
      <c r="A5830" s="6" t="s">
        <v>1673</v>
      </c>
      <c r="B5830" s="6" t="s">
        <v>1806</v>
      </c>
      <c r="C5830" s="6" t="s">
        <v>1698</v>
      </c>
      <c r="D5830" s="6" t="s">
        <v>1642</v>
      </c>
      <c r="K5830" s="7">
        <v>44010195</v>
      </c>
      <c r="L5830" s="6" t="str">
        <f t="shared" si="574"/>
        <v xml:space="preserve">CTB ELEGANT SATEN  NEVRESİM TAKIMI ÇİFT KİŞİLİK </v>
      </c>
      <c r="M5830" s="8">
        <v>0.25</v>
      </c>
      <c r="N5830" s="8">
        <v>0.25</v>
      </c>
      <c r="O5830" s="8">
        <v>2235</v>
      </c>
      <c r="P5830" s="12">
        <f t="shared" si="576"/>
        <v>1676.25</v>
      </c>
      <c r="Q5830" s="12">
        <f t="shared" si="577"/>
        <v>3520.125</v>
      </c>
      <c r="R5830" s="33">
        <f t="shared" si="578"/>
        <v>3500</v>
      </c>
      <c r="U5830" s="8">
        <v>11280</v>
      </c>
      <c r="W5830" s="8">
        <f t="shared" si="575"/>
        <v>0</v>
      </c>
    </row>
    <row r="5831" spans="1:23" ht="21.95" customHeight="1" x14ac:dyDescent="0.2">
      <c r="A5831" s="6" t="s">
        <v>1673</v>
      </c>
      <c r="B5831" s="6" t="s">
        <v>1806</v>
      </c>
      <c r="C5831" s="6" t="s">
        <v>1804</v>
      </c>
      <c r="D5831" s="6" t="s">
        <v>1642</v>
      </c>
      <c r="K5831" s="7">
        <v>44010196</v>
      </c>
      <c r="L5831" s="6" t="str">
        <f t="shared" si="574"/>
        <v xml:space="preserve">CTB ELEGANT STRIPE SATEN NEVRESİM TAKIMI ÇİFT KİŞİLİK </v>
      </c>
      <c r="M5831" s="8">
        <v>0.25</v>
      </c>
      <c r="N5831" s="8">
        <v>0.25</v>
      </c>
      <c r="O5831" s="8">
        <v>2315</v>
      </c>
      <c r="P5831" s="12">
        <f t="shared" si="576"/>
        <v>1736.25</v>
      </c>
      <c r="Q5831" s="12">
        <f t="shared" si="577"/>
        <v>3646.125</v>
      </c>
      <c r="R5831" s="33">
        <f t="shared" si="578"/>
        <v>3600</v>
      </c>
      <c r="U5831" s="8">
        <v>7450</v>
      </c>
      <c r="W5831" s="8">
        <f t="shared" si="575"/>
        <v>0</v>
      </c>
    </row>
    <row r="5832" spans="1:23" ht="21.95" customHeight="1" x14ac:dyDescent="0.2">
      <c r="A5832" s="6" t="s">
        <v>1673</v>
      </c>
      <c r="B5832" s="6" t="s">
        <v>1806</v>
      </c>
      <c r="C5832" s="6" t="s">
        <v>1699</v>
      </c>
      <c r="D5832" s="6" t="s">
        <v>1642</v>
      </c>
      <c r="K5832" s="7">
        <v>44010197</v>
      </c>
      <c r="L5832" s="6" t="str">
        <f t="shared" si="574"/>
        <v xml:space="preserve">CTB JAKARLI SATEN  NEVRESİM TAKIMI ÇİFT KİŞİLİK </v>
      </c>
      <c r="M5832" s="8">
        <v>0.25</v>
      </c>
      <c r="N5832" s="8">
        <v>0.25</v>
      </c>
      <c r="O5832" s="8">
        <v>2730</v>
      </c>
      <c r="P5832" s="12">
        <f t="shared" si="576"/>
        <v>2047.5</v>
      </c>
      <c r="Q5832" s="12">
        <f t="shared" si="577"/>
        <v>4299.75</v>
      </c>
      <c r="R5832" s="33">
        <f t="shared" si="578"/>
        <v>4200</v>
      </c>
      <c r="U5832" s="8">
        <v>35675</v>
      </c>
      <c r="W5832" s="8">
        <f t="shared" si="575"/>
        <v>0</v>
      </c>
    </row>
    <row r="5833" spans="1:23" ht="21.95" customHeight="1" x14ac:dyDescent="0.2">
      <c r="A5833" s="6" t="s">
        <v>1673</v>
      </c>
      <c r="B5833" s="6" t="s">
        <v>1806</v>
      </c>
      <c r="C5833" s="6" t="s">
        <v>2134</v>
      </c>
      <c r="D5833" s="6" t="s">
        <v>1642</v>
      </c>
      <c r="K5833" s="7">
        <v>44010198</v>
      </c>
      <c r="L5833" s="6" t="str">
        <f t="shared" si="574"/>
        <v xml:space="preserve">CTB SATEN NEVRESİM TAKIMI ÇİFT KİŞİLİK </v>
      </c>
      <c r="M5833" s="8">
        <v>0.25</v>
      </c>
      <c r="N5833" s="8">
        <v>0.25</v>
      </c>
      <c r="O5833" s="8">
        <v>2425</v>
      </c>
      <c r="P5833" s="12">
        <f t="shared" si="576"/>
        <v>1818.75</v>
      </c>
      <c r="Q5833" s="12">
        <f t="shared" si="577"/>
        <v>3819.375</v>
      </c>
      <c r="R5833" s="33">
        <f t="shared" si="578"/>
        <v>3800</v>
      </c>
      <c r="U5833" s="8">
        <v>32860</v>
      </c>
      <c r="W5833" s="8">
        <f t="shared" si="575"/>
        <v>0</v>
      </c>
    </row>
    <row r="5834" spans="1:23" ht="21.95" customHeight="1" x14ac:dyDescent="0.2">
      <c r="A5834" s="6" t="s">
        <v>1673</v>
      </c>
      <c r="B5834" s="6" t="s">
        <v>1806</v>
      </c>
      <c r="C5834" s="6" t="s">
        <v>2134</v>
      </c>
      <c r="D5834" s="6" t="s">
        <v>1685</v>
      </c>
      <c r="K5834" s="7">
        <v>44010199</v>
      </c>
      <c r="L5834" s="6" t="str">
        <f t="shared" si="574"/>
        <v xml:space="preserve">CTB SATEN NEVRESİM TAKIMI FAMILY </v>
      </c>
      <c r="M5834" s="8">
        <v>0.25</v>
      </c>
      <c r="N5834" s="8">
        <v>0.25</v>
      </c>
      <c r="O5834" s="8">
        <v>3140</v>
      </c>
      <c r="P5834" s="12">
        <f t="shared" si="576"/>
        <v>2355</v>
      </c>
      <c r="Q5834" s="12">
        <f t="shared" si="577"/>
        <v>4945.5</v>
      </c>
      <c r="R5834" s="33">
        <f t="shared" si="578"/>
        <v>4900</v>
      </c>
      <c r="U5834" s="8">
        <v>15180</v>
      </c>
      <c r="W5834" s="8">
        <f t="shared" si="575"/>
        <v>0</v>
      </c>
    </row>
    <row r="5835" spans="1:23" ht="21.95" customHeight="1" x14ac:dyDescent="0.2">
      <c r="A5835" s="6" t="s">
        <v>1673</v>
      </c>
      <c r="B5835" s="6" t="s">
        <v>1806</v>
      </c>
      <c r="C5835" s="6" t="s">
        <v>2134</v>
      </c>
      <c r="D5835" s="6" t="s">
        <v>1689</v>
      </c>
      <c r="K5835" s="7">
        <v>44010200</v>
      </c>
      <c r="L5835" s="6" t="str">
        <f t="shared" si="574"/>
        <v xml:space="preserve">CTB SATEN UYKU SETİ ÇİFT KİŞİLİK </v>
      </c>
      <c r="M5835" s="8">
        <v>0.25</v>
      </c>
      <c r="N5835" s="8">
        <v>0.25</v>
      </c>
      <c r="O5835" s="8">
        <v>3550</v>
      </c>
      <c r="P5835" s="12">
        <f t="shared" si="576"/>
        <v>2662.5</v>
      </c>
      <c r="Q5835" s="12">
        <f t="shared" si="577"/>
        <v>5591.25</v>
      </c>
      <c r="R5835" s="33">
        <f t="shared" si="578"/>
        <v>5500</v>
      </c>
      <c r="U5835" s="8">
        <v>37040</v>
      </c>
      <c r="W5835" s="8">
        <f t="shared" si="575"/>
        <v>0</v>
      </c>
    </row>
    <row r="5836" spans="1:23" ht="21.95" customHeight="1" x14ac:dyDescent="0.2">
      <c r="A5836" s="6" t="s">
        <v>1673</v>
      </c>
      <c r="B5836" s="6" t="s">
        <v>1806</v>
      </c>
      <c r="C5836" s="6" t="s">
        <v>1700</v>
      </c>
      <c r="D5836" s="6" t="s">
        <v>1701</v>
      </c>
      <c r="K5836" s="7">
        <v>44010201</v>
      </c>
      <c r="L5836" s="6" t="str">
        <f t="shared" si="574"/>
        <v>CTB BRODE SATEN NEVRESİM TAKIMI ÇİFT KİŞİLİK (KING-GLORIA-SHEEN-ANDY-GENNY)</v>
      </c>
      <c r="M5836" s="8">
        <v>0.25</v>
      </c>
      <c r="N5836" s="8">
        <v>0.25</v>
      </c>
      <c r="O5836" s="8">
        <v>3170</v>
      </c>
      <c r="P5836" s="12">
        <f t="shared" si="576"/>
        <v>2377.5</v>
      </c>
      <c r="Q5836" s="12">
        <f t="shared" si="577"/>
        <v>4992.75</v>
      </c>
      <c r="R5836" s="33">
        <f t="shared" si="578"/>
        <v>4900</v>
      </c>
      <c r="U5836" s="8">
        <v>6160</v>
      </c>
      <c r="W5836" s="8">
        <f t="shared" si="575"/>
        <v>0</v>
      </c>
    </row>
    <row r="5837" spans="1:23" ht="21.95" customHeight="1" x14ac:dyDescent="0.2">
      <c r="A5837" s="6" t="s">
        <v>1673</v>
      </c>
      <c r="B5837" s="6" t="s">
        <v>1806</v>
      </c>
      <c r="C5837" s="6" t="s">
        <v>1703</v>
      </c>
      <c r="D5837" s="6" t="s">
        <v>1702</v>
      </c>
      <c r="K5837" s="7">
        <v>44010202</v>
      </c>
      <c r="L5837" s="6" t="str">
        <f t="shared" si="574"/>
        <v>CTB BRODE SATEN  NEVRESİM TAKIMI ÇİFT KİŞİLİK (ALAMEDA-LUXE-BLADE)</v>
      </c>
      <c r="M5837" s="8">
        <v>0.25</v>
      </c>
      <c r="N5837" s="8">
        <v>0.25</v>
      </c>
      <c r="O5837" s="8">
        <v>3510</v>
      </c>
      <c r="P5837" s="12">
        <f t="shared" si="576"/>
        <v>2632.5</v>
      </c>
      <c r="Q5837" s="12">
        <f t="shared" si="577"/>
        <v>5528.25</v>
      </c>
      <c r="R5837" s="33">
        <f t="shared" si="578"/>
        <v>5500</v>
      </c>
      <c r="U5837" s="8">
        <v>28760</v>
      </c>
      <c r="W5837" s="8">
        <f t="shared" si="575"/>
        <v>0</v>
      </c>
    </row>
    <row r="5838" spans="1:23" ht="21.95" customHeight="1" x14ac:dyDescent="0.2">
      <c r="A5838" s="6" t="s">
        <v>1673</v>
      </c>
      <c r="B5838" s="6" t="s">
        <v>1806</v>
      </c>
      <c r="C5838" s="6" t="s">
        <v>1704</v>
      </c>
      <c r="D5838" s="6" t="s">
        <v>1642</v>
      </c>
      <c r="K5838" s="7">
        <v>44010203</v>
      </c>
      <c r="L5838" s="6" t="str">
        <f t="shared" si="574"/>
        <v xml:space="preserve">CTB 3D NAKIŞLI SATEN  NEVRESİM TAKIMI ÇİFT KİŞİLİK </v>
      </c>
      <c r="M5838" s="8">
        <v>0.25</v>
      </c>
      <c r="N5838" s="8">
        <v>0.25</v>
      </c>
      <c r="O5838" s="8">
        <v>3360</v>
      </c>
      <c r="P5838" s="12">
        <f t="shared" si="576"/>
        <v>2520</v>
      </c>
      <c r="Q5838" s="12">
        <f t="shared" si="577"/>
        <v>5292</v>
      </c>
      <c r="R5838" s="33">
        <f t="shared" si="578"/>
        <v>5200</v>
      </c>
      <c r="U5838" s="8">
        <v>6790</v>
      </c>
      <c r="W5838" s="8">
        <f t="shared" si="575"/>
        <v>0</v>
      </c>
    </row>
    <row r="5839" spans="1:23" ht="21.95" customHeight="1" x14ac:dyDescent="0.2">
      <c r="A5839" s="6" t="s">
        <v>1673</v>
      </c>
      <c r="B5839" s="6" t="s">
        <v>1806</v>
      </c>
      <c r="C5839" s="6" t="s">
        <v>1705</v>
      </c>
      <c r="D5839" s="6" t="s">
        <v>1642</v>
      </c>
      <c r="K5839" s="7">
        <v>44010204</v>
      </c>
      <c r="L5839" s="6" t="str">
        <f t="shared" si="574"/>
        <v xml:space="preserve">CTB BAMBU SATEN  NEVRESİM TAKIMI ÇİFT KİŞİLİK </v>
      </c>
      <c r="M5839" s="8">
        <v>0.25</v>
      </c>
      <c r="N5839" s="8">
        <v>0.25</v>
      </c>
      <c r="O5839" s="8">
        <v>3260</v>
      </c>
      <c r="P5839" s="12">
        <f t="shared" si="576"/>
        <v>2445</v>
      </c>
      <c r="Q5839" s="12">
        <f t="shared" si="577"/>
        <v>5134.5</v>
      </c>
      <c r="R5839" s="33">
        <f t="shared" si="578"/>
        <v>5100</v>
      </c>
      <c r="U5839" s="8">
        <v>34500</v>
      </c>
      <c r="W5839" s="8">
        <f t="shared" si="575"/>
        <v>0</v>
      </c>
    </row>
    <row r="5840" spans="1:23" ht="21.95" customHeight="1" x14ac:dyDescent="0.2">
      <c r="A5840" s="6" t="s">
        <v>1673</v>
      </c>
      <c r="B5840" s="6" t="s">
        <v>1806</v>
      </c>
      <c r="C5840" s="6" t="s">
        <v>1706</v>
      </c>
      <c r="D5840" s="6" t="s">
        <v>1642</v>
      </c>
      <c r="K5840" s="7">
        <v>44010205</v>
      </c>
      <c r="L5840" s="6" t="str">
        <f t="shared" si="574"/>
        <v xml:space="preserve">CTB SMART BAMBU SATEN  NEVRESİM TAKIMI ÇİFT KİŞİLİK </v>
      </c>
      <c r="M5840" s="8">
        <v>0.25</v>
      </c>
      <c r="N5840" s="8">
        <v>0.25</v>
      </c>
      <c r="O5840" s="8">
        <v>3510</v>
      </c>
      <c r="P5840" s="12">
        <f t="shared" si="576"/>
        <v>2632.5</v>
      </c>
      <c r="Q5840" s="12">
        <f t="shared" si="577"/>
        <v>5528.25</v>
      </c>
      <c r="R5840" s="33">
        <f t="shared" si="578"/>
        <v>5500</v>
      </c>
      <c r="U5840" s="8">
        <v>19850</v>
      </c>
      <c r="W5840" s="8">
        <f t="shared" si="575"/>
        <v>0</v>
      </c>
    </row>
    <row r="5841" spans="1:23" ht="21.95" customHeight="1" x14ac:dyDescent="0.2">
      <c r="A5841" s="6" t="s">
        <v>1673</v>
      </c>
      <c r="B5841" s="6" t="s">
        <v>1806</v>
      </c>
      <c r="C5841" s="6" t="s">
        <v>1707</v>
      </c>
      <c r="D5841" s="6" t="s">
        <v>1642</v>
      </c>
      <c r="K5841" s="7">
        <v>44010206</v>
      </c>
      <c r="L5841" s="6" t="str">
        <f t="shared" si="574"/>
        <v xml:space="preserve">CTB ELITE SATEN  NEVRESİM TAKIMI ÇİFT KİŞİLİK </v>
      </c>
      <c r="M5841" s="8">
        <v>0.25</v>
      </c>
      <c r="N5841" s="8">
        <v>0.25</v>
      </c>
      <c r="O5841" s="8">
        <v>5060</v>
      </c>
      <c r="P5841" s="12">
        <f t="shared" si="576"/>
        <v>3795</v>
      </c>
      <c r="Q5841" s="12">
        <f t="shared" si="577"/>
        <v>7969.5</v>
      </c>
      <c r="R5841" s="33">
        <f t="shared" si="578"/>
        <v>7900</v>
      </c>
      <c r="U5841" s="8">
        <v>19850</v>
      </c>
      <c r="W5841" s="8">
        <f t="shared" si="575"/>
        <v>0</v>
      </c>
    </row>
    <row r="5842" spans="1:23" ht="21.95" customHeight="1" x14ac:dyDescent="0.2">
      <c r="A5842" s="6" t="s">
        <v>1673</v>
      </c>
      <c r="B5842" s="6" t="s">
        <v>1806</v>
      </c>
      <c r="C5842" s="6" t="s">
        <v>1708</v>
      </c>
      <c r="D5842" s="6" t="s">
        <v>1642</v>
      </c>
      <c r="K5842" s="7">
        <v>44010207</v>
      </c>
      <c r="L5842" s="6" t="str">
        <f t="shared" si="574"/>
        <v xml:space="preserve">CTB SILKY SATEN  NEVRESİM TAKIMI ÇİFT KİŞİLİK </v>
      </c>
      <c r="M5842" s="8">
        <v>0.25</v>
      </c>
      <c r="N5842" s="8">
        <v>0.25</v>
      </c>
      <c r="O5842" s="8">
        <v>6930</v>
      </c>
      <c r="P5842" s="12">
        <f t="shared" si="576"/>
        <v>5197.5</v>
      </c>
      <c r="Q5842" s="12">
        <f t="shared" si="577"/>
        <v>10914.75</v>
      </c>
      <c r="R5842" s="33">
        <f t="shared" si="578"/>
        <v>10900</v>
      </c>
      <c r="U5842" s="8">
        <v>16560</v>
      </c>
      <c r="W5842" s="8">
        <f t="shared" si="575"/>
        <v>0</v>
      </c>
    </row>
    <row r="5843" spans="1:23" ht="21.95" customHeight="1" x14ac:dyDescent="0.2">
      <c r="A5843" s="6" t="s">
        <v>1673</v>
      </c>
      <c r="B5843" s="6" t="s">
        <v>1806</v>
      </c>
      <c r="C5843" s="6" t="s">
        <v>1708</v>
      </c>
      <c r="D5843" s="6" t="s">
        <v>1709</v>
      </c>
      <c r="K5843" s="7">
        <v>44010208</v>
      </c>
      <c r="L5843" s="6" t="str">
        <f t="shared" si="574"/>
        <v xml:space="preserve">CTB SILKY SATEN  NEVRESİM TAKIMI KING SIZE </v>
      </c>
      <c r="M5843" s="8">
        <v>0.25</v>
      </c>
      <c r="N5843" s="8">
        <v>0.25</v>
      </c>
      <c r="O5843" s="8">
        <v>7550</v>
      </c>
      <c r="P5843" s="12">
        <f t="shared" si="576"/>
        <v>5662.5</v>
      </c>
      <c r="Q5843" s="12">
        <f t="shared" si="577"/>
        <v>11891.25</v>
      </c>
      <c r="R5843" s="33">
        <f t="shared" si="578"/>
        <v>11800</v>
      </c>
      <c r="U5843" s="8">
        <v>12750</v>
      </c>
      <c r="W5843" s="8">
        <f t="shared" si="575"/>
        <v>0</v>
      </c>
    </row>
    <row r="5844" spans="1:23" ht="21.95" customHeight="1" x14ac:dyDescent="0.2">
      <c r="A5844" s="6" t="s">
        <v>1673</v>
      </c>
      <c r="B5844" s="6" t="s">
        <v>1806</v>
      </c>
      <c r="C5844" s="6" t="s">
        <v>1710</v>
      </c>
      <c r="D5844" s="6" t="s">
        <v>1711</v>
      </c>
      <c r="K5844" s="7">
        <v>44010209</v>
      </c>
      <c r="L5844" s="6" t="str">
        <f t="shared" si="574"/>
        <v xml:space="preserve">CTB SERRA YATAK ÖRTÜSÜ TEK KİŞİLİK </v>
      </c>
      <c r="M5844" s="8">
        <v>0.25</v>
      </c>
      <c r="N5844" s="8">
        <v>0.25</v>
      </c>
      <c r="O5844" s="8">
        <v>960</v>
      </c>
      <c r="P5844" s="12">
        <f t="shared" si="576"/>
        <v>720</v>
      </c>
      <c r="Q5844" s="12">
        <f t="shared" si="577"/>
        <v>1512</v>
      </c>
      <c r="R5844" s="33">
        <f t="shared" si="578"/>
        <v>1500</v>
      </c>
      <c r="U5844" s="8">
        <v>4970</v>
      </c>
      <c r="W5844" s="8">
        <f t="shared" si="575"/>
        <v>0</v>
      </c>
    </row>
    <row r="5845" spans="1:23" ht="21.95" customHeight="1" x14ac:dyDescent="0.2">
      <c r="A5845" s="6" t="s">
        <v>1673</v>
      </c>
      <c r="B5845" s="6" t="s">
        <v>1806</v>
      </c>
      <c r="C5845" s="6" t="s">
        <v>1710</v>
      </c>
      <c r="D5845" s="6" t="s">
        <v>1712</v>
      </c>
      <c r="K5845" s="7">
        <v>44010210</v>
      </c>
      <c r="L5845" s="6" t="str">
        <f t="shared" si="574"/>
        <v xml:space="preserve">CTB SERRA YATAK ÖRTÜSÜ ÇİFT KİŞİLİK </v>
      </c>
      <c r="M5845" s="8">
        <v>0.25</v>
      </c>
      <c r="N5845" s="8">
        <v>0.25</v>
      </c>
      <c r="O5845" s="8">
        <v>1175</v>
      </c>
      <c r="P5845" s="12">
        <f t="shared" si="576"/>
        <v>881.25</v>
      </c>
      <c r="Q5845" s="12">
        <f t="shared" si="577"/>
        <v>1850.625</v>
      </c>
      <c r="R5845" s="33">
        <f t="shared" si="578"/>
        <v>1800</v>
      </c>
      <c r="U5845" s="8">
        <v>7450</v>
      </c>
      <c r="W5845" s="8">
        <f t="shared" si="575"/>
        <v>0</v>
      </c>
    </row>
    <row r="5846" spans="1:23" ht="21.95" customHeight="1" x14ac:dyDescent="0.2">
      <c r="A5846" s="6" t="s">
        <v>1673</v>
      </c>
      <c r="B5846" s="6" t="s">
        <v>1806</v>
      </c>
      <c r="C5846" s="6" t="s">
        <v>1713</v>
      </c>
      <c r="D5846" s="6" t="s">
        <v>1711</v>
      </c>
      <c r="K5846" s="7">
        <v>44010211</v>
      </c>
      <c r="L5846" s="6" t="str">
        <f t="shared" si="574"/>
        <v xml:space="preserve">CTB SOFTNEST YATAK ÖRTÜSÜ TEK KİŞİLİK </v>
      </c>
      <c r="M5846" s="8">
        <v>0.25</v>
      </c>
      <c r="N5846" s="8">
        <v>0.25</v>
      </c>
      <c r="O5846" s="8">
        <v>1475</v>
      </c>
      <c r="P5846" s="12">
        <f t="shared" si="576"/>
        <v>1106.25</v>
      </c>
      <c r="Q5846" s="12">
        <f t="shared" si="577"/>
        <v>2323.125</v>
      </c>
      <c r="R5846" s="33">
        <f t="shared" si="578"/>
        <v>2300</v>
      </c>
      <c r="U5846" s="8">
        <v>39790</v>
      </c>
      <c r="W5846" s="8">
        <f t="shared" si="575"/>
        <v>0</v>
      </c>
    </row>
    <row r="5847" spans="1:23" ht="21.95" customHeight="1" x14ac:dyDescent="0.2">
      <c r="A5847" s="6" t="s">
        <v>1673</v>
      </c>
      <c r="B5847" s="6" t="s">
        <v>1806</v>
      </c>
      <c r="C5847" s="6" t="s">
        <v>1713</v>
      </c>
      <c r="D5847" s="6" t="s">
        <v>1712</v>
      </c>
      <c r="K5847" s="7">
        <v>44010212</v>
      </c>
      <c r="L5847" s="6" t="str">
        <f t="shared" si="574"/>
        <v xml:space="preserve">CTB SOFTNEST YATAK ÖRTÜSÜ ÇİFT KİŞİLİK </v>
      </c>
      <c r="M5847" s="8">
        <v>0.25</v>
      </c>
      <c r="N5847" s="8">
        <v>0.25</v>
      </c>
      <c r="O5847" s="8">
        <v>1780</v>
      </c>
      <c r="P5847" s="12">
        <f t="shared" si="576"/>
        <v>1335</v>
      </c>
      <c r="Q5847" s="12">
        <f t="shared" si="577"/>
        <v>2803.5</v>
      </c>
      <c r="R5847" s="33">
        <f t="shared" si="578"/>
        <v>2800</v>
      </c>
      <c r="U5847" s="8">
        <v>18780</v>
      </c>
      <c r="W5847" s="8">
        <f t="shared" si="575"/>
        <v>0</v>
      </c>
    </row>
    <row r="5848" spans="1:23" ht="21.95" customHeight="1" x14ac:dyDescent="0.2">
      <c r="A5848" s="6" t="s">
        <v>1673</v>
      </c>
      <c r="B5848" s="6" t="s">
        <v>1806</v>
      </c>
      <c r="C5848" s="6" t="s">
        <v>1714</v>
      </c>
      <c r="D5848" s="6" t="s">
        <v>1715</v>
      </c>
      <c r="K5848" s="7">
        <v>44010213</v>
      </c>
      <c r="L5848" s="6" t="str">
        <f t="shared" si="574"/>
        <v xml:space="preserve">CTB LIMI  YATAK ÖRTÜSÜ&amp;NEVRESİM TAKIMI TEK KİŞİLİK </v>
      </c>
      <c r="M5848" s="8">
        <v>0.25</v>
      </c>
      <c r="N5848" s="8">
        <v>0.25</v>
      </c>
      <c r="O5848" s="8">
        <v>2775</v>
      </c>
      <c r="P5848" s="12">
        <f t="shared" si="576"/>
        <v>2081.25</v>
      </c>
      <c r="Q5848" s="12">
        <f t="shared" si="577"/>
        <v>4370.625</v>
      </c>
      <c r="R5848" s="33">
        <f t="shared" si="578"/>
        <v>4300</v>
      </c>
      <c r="U5848" s="8">
        <v>39250</v>
      </c>
      <c r="W5848" s="8">
        <f t="shared" si="575"/>
        <v>0</v>
      </c>
    </row>
    <row r="5849" spans="1:23" ht="21.95" customHeight="1" x14ac:dyDescent="0.2">
      <c r="A5849" s="6" t="s">
        <v>1673</v>
      </c>
      <c r="B5849" s="6" t="s">
        <v>1806</v>
      </c>
      <c r="C5849" s="6" t="s">
        <v>1714</v>
      </c>
      <c r="D5849" s="6" t="s">
        <v>1716</v>
      </c>
      <c r="K5849" s="7">
        <v>44010214</v>
      </c>
      <c r="L5849" s="6" t="str">
        <f t="shared" si="574"/>
        <v xml:space="preserve">CTB LIMI  YATAK ÖRTÜSÜ&amp;NEVRESİM TAKIMI ÇİFT KİŞİLİK </v>
      </c>
      <c r="M5849" s="8">
        <v>0.25</v>
      </c>
      <c r="N5849" s="8">
        <v>0.25</v>
      </c>
      <c r="O5849" s="8">
        <v>3765</v>
      </c>
      <c r="P5849" s="12">
        <f t="shared" si="576"/>
        <v>2823.75</v>
      </c>
      <c r="Q5849" s="12">
        <f t="shared" si="577"/>
        <v>5929.875</v>
      </c>
      <c r="R5849" s="33">
        <f t="shared" si="578"/>
        <v>5900</v>
      </c>
      <c r="U5849" s="8">
        <v>4140</v>
      </c>
      <c r="W5849" s="8">
        <f t="shared" si="575"/>
        <v>0</v>
      </c>
    </row>
    <row r="5850" spans="1:23" ht="21.95" customHeight="1" x14ac:dyDescent="0.2">
      <c r="A5850" s="6" t="s">
        <v>1673</v>
      </c>
      <c r="B5850" s="6" t="s">
        <v>1806</v>
      </c>
      <c r="C5850" s="6" t="s">
        <v>1717</v>
      </c>
      <c r="D5850" s="6" t="s">
        <v>1718</v>
      </c>
      <c r="K5850" s="7">
        <v>44010215</v>
      </c>
      <c r="L5850" s="6" t="str">
        <f t="shared" si="574"/>
        <v xml:space="preserve">CTB CHI CHI PİKELİ NEVRESİM TAKIMI ÇİFT KİŞİLİK </v>
      </c>
      <c r="M5850" s="8">
        <v>0.25</v>
      </c>
      <c r="N5850" s="8">
        <v>0.25</v>
      </c>
      <c r="O5850" s="8">
        <v>3565</v>
      </c>
      <c r="P5850" s="12">
        <f t="shared" si="576"/>
        <v>2673.75</v>
      </c>
      <c r="Q5850" s="12">
        <f t="shared" si="577"/>
        <v>5614.875</v>
      </c>
      <c r="R5850" s="33">
        <f t="shared" si="578"/>
        <v>5600</v>
      </c>
      <c r="U5850" s="8">
        <v>29940</v>
      </c>
      <c r="W5850" s="8">
        <f t="shared" si="575"/>
        <v>0</v>
      </c>
    </row>
    <row r="5851" spans="1:23" ht="21.95" customHeight="1" x14ac:dyDescent="0.2">
      <c r="A5851" s="6" t="s">
        <v>1673</v>
      </c>
      <c r="B5851" s="6" t="s">
        <v>1806</v>
      </c>
      <c r="C5851" s="6" t="s">
        <v>2135</v>
      </c>
      <c r="D5851" s="6" t="s">
        <v>1712</v>
      </c>
      <c r="K5851" s="7">
        <v>44010216</v>
      </c>
      <c r="L5851" s="6" t="str">
        <f t="shared" si="574"/>
        <v xml:space="preserve">CTB SMART YATAK ÖRTÜSÜ ÇİFT KİŞİLİK </v>
      </c>
      <c r="M5851" s="8">
        <v>0.25</v>
      </c>
      <c r="N5851" s="8">
        <v>0.25</v>
      </c>
      <c r="O5851" s="8">
        <v>2195</v>
      </c>
      <c r="P5851" s="12">
        <f t="shared" si="576"/>
        <v>1646.25</v>
      </c>
      <c r="Q5851" s="12">
        <f t="shared" si="577"/>
        <v>3457.125</v>
      </c>
      <c r="R5851" s="33">
        <f t="shared" si="578"/>
        <v>3400</v>
      </c>
      <c r="U5851" s="8">
        <v>57580</v>
      </c>
      <c r="W5851" s="8">
        <f t="shared" si="575"/>
        <v>0</v>
      </c>
    </row>
    <row r="5852" spans="1:23" ht="21.95" customHeight="1" x14ac:dyDescent="0.2">
      <c r="A5852" s="6" t="s">
        <v>1673</v>
      </c>
      <c r="B5852" s="6" t="s">
        <v>1806</v>
      </c>
      <c r="C5852" s="6" t="s">
        <v>1697</v>
      </c>
      <c r="D5852" s="6" t="s">
        <v>1719</v>
      </c>
      <c r="K5852" s="7">
        <v>44010217</v>
      </c>
      <c r="L5852" s="6" t="str">
        <f t="shared" si="574"/>
        <v>CTB CLASSIC  ÇEYİZLİK PİKELİ NEVRESİM TAKIMI ÇİFT KİŞİLİK</v>
      </c>
      <c r="M5852" s="8">
        <v>0.25</v>
      </c>
      <c r="N5852" s="8">
        <v>0.25</v>
      </c>
      <c r="O5852" s="8">
        <v>4060</v>
      </c>
      <c r="P5852" s="12">
        <f t="shared" si="576"/>
        <v>3045</v>
      </c>
      <c r="Q5852" s="12">
        <f t="shared" si="577"/>
        <v>6394.5</v>
      </c>
      <c r="R5852" s="33">
        <f t="shared" si="578"/>
        <v>6300</v>
      </c>
      <c r="U5852" s="8">
        <v>31980</v>
      </c>
      <c r="W5852" s="8">
        <f t="shared" si="575"/>
        <v>0</v>
      </c>
    </row>
    <row r="5853" spans="1:23" ht="21.95" customHeight="1" x14ac:dyDescent="0.2">
      <c r="A5853" s="6" t="s">
        <v>1673</v>
      </c>
      <c r="B5853" s="6" t="s">
        <v>1806</v>
      </c>
      <c r="C5853" s="6" t="s">
        <v>1720</v>
      </c>
      <c r="D5853" s="6" t="s">
        <v>1722</v>
      </c>
      <c r="K5853" s="7">
        <v>44010218</v>
      </c>
      <c r="L5853" s="6" t="str">
        <f t="shared" si="574"/>
        <v xml:space="preserve">CTB EMBROVA  ŞÖNİL YATAK ÖRTÜSÜ/PİKE TAKIMI ÇİFT KİŞİLİK </v>
      </c>
      <c r="M5853" s="8">
        <v>0.25</v>
      </c>
      <c r="N5853" s="8">
        <v>0.25</v>
      </c>
      <c r="O5853" s="8">
        <v>3710</v>
      </c>
      <c r="P5853" s="12">
        <f t="shared" si="576"/>
        <v>2782.5</v>
      </c>
      <c r="Q5853" s="12">
        <f t="shared" si="577"/>
        <v>5843.25</v>
      </c>
      <c r="R5853" s="33">
        <f t="shared" si="578"/>
        <v>5800</v>
      </c>
      <c r="U5853" s="8">
        <v>5400</v>
      </c>
      <c r="W5853" s="8">
        <f t="shared" si="575"/>
        <v>0</v>
      </c>
    </row>
    <row r="5854" spans="1:23" ht="21.95" customHeight="1" x14ac:dyDescent="0.2">
      <c r="A5854" s="6" t="s">
        <v>1673</v>
      </c>
      <c r="B5854" s="6" t="s">
        <v>1806</v>
      </c>
      <c r="C5854" s="6" t="s">
        <v>566</v>
      </c>
      <c r="D5854" s="6" t="s">
        <v>1723</v>
      </c>
      <c r="K5854" s="7">
        <v>44010219</v>
      </c>
      <c r="L5854" s="6" t="str">
        <f t="shared" si="574"/>
        <v xml:space="preserve">CTB NATURA YATAK ÖRTÜSÜ/PİKE TAKIMI ÇİFT KİŞİLİK </v>
      </c>
      <c r="M5854" s="8">
        <v>0.25</v>
      </c>
      <c r="N5854" s="8">
        <v>0.25</v>
      </c>
      <c r="O5854" s="8">
        <v>2960</v>
      </c>
      <c r="P5854" s="12">
        <f t="shared" si="576"/>
        <v>2220</v>
      </c>
      <c r="Q5854" s="12">
        <f t="shared" si="577"/>
        <v>4662</v>
      </c>
      <c r="R5854" s="33">
        <f t="shared" si="578"/>
        <v>4600</v>
      </c>
      <c r="U5854" s="8">
        <v>2760</v>
      </c>
      <c r="W5854" s="8">
        <f t="shared" si="575"/>
        <v>0</v>
      </c>
    </row>
    <row r="5855" spans="1:23" ht="21.95" customHeight="1" x14ac:dyDescent="0.2">
      <c r="A5855" s="6" t="s">
        <v>1673</v>
      </c>
      <c r="B5855" s="6" t="s">
        <v>1806</v>
      </c>
      <c r="C5855" s="6" t="s">
        <v>1721</v>
      </c>
      <c r="D5855" s="6" t="s">
        <v>1724</v>
      </c>
      <c r="K5855" s="7">
        <v>44010220</v>
      </c>
      <c r="L5855" s="6" t="str">
        <f t="shared" si="574"/>
        <v xml:space="preserve">CTB SERENITY BAMBU SATEN PİKE TAKIMI ÇİFT KİŞİLİK </v>
      </c>
      <c r="M5855" s="8">
        <v>0.25</v>
      </c>
      <c r="N5855" s="8">
        <v>0.25</v>
      </c>
      <c r="O5855" s="8">
        <v>2300</v>
      </c>
      <c r="P5855" s="12">
        <f t="shared" si="576"/>
        <v>1725</v>
      </c>
      <c r="Q5855" s="12">
        <f t="shared" si="577"/>
        <v>3622.5</v>
      </c>
      <c r="R5855" s="33">
        <f t="shared" si="578"/>
        <v>3600</v>
      </c>
      <c r="U5855" s="8">
        <v>14490</v>
      </c>
      <c r="W5855" s="8">
        <f t="shared" si="575"/>
        <v>0</v>
      </c>
    </row>
    <row r="5856" spans="1:23" ht="21.95" customHeight="1" x14ac:dyDescent="0.2">
      <c r="A5856" s="6" t="s">
        <v>1673</v>
      </c>
      <c r="B5856" s="6" t="s">
        <v>1806</v>
      </c>
      <c r="C5856" s="6" t="s">
        <v>2137</v>
      </c>
      <c r="D5856" s="6" t="s">
        <v>1725</v>
      </c>
      <c r="K5856" s="7">
        <v>44010221</v>
      </c>
      <c r="L5856" s="6" t="str">
        <f t="shared" si="574"/>
        <v xml:space="preserve">CTB BABY LINE BASKILI RANFORCE NEVRESİM TAKIMI </v>
      </c>
      <c r="M5856" s="8">
        <v>0.25</v>
      </c>
      <c r="N5856" s="8">
        <v>0.25</v>
      </c>
      <c r="O5856" s="8">
        <v>660</v>
      </c>
      <c r="P5856" s="12">
        <f t="shared" si="576"/>
        <v>495</v>
      </c>
      <c r="Q5856" s="12">
        <f t="shared" si="577"/>
        <v>1039.5</v>
      </c>
      <c r="R5856" s="33">
        <f t="shared" si="578"/>
        <v>1000</v>
      </c>
      <c r="U5856" s="8">
        <v>9660</v>
      </c>
      <c r="W5856" s="8">
        <f t="shared" si="575"/>
        <v>0</v>
      </c>
    </row>
    <row r="5857" spans="1:23" ht="21.95" customHeight="1" x14ac:dyDescent="0.2">
      <c r="A5857" s="6" t="s">
        <v>1673</v>
      </c>
      <c r="B5857" s="6" t="s">
        <v>1806</v>
      </c>
      <c r="C5857" s="6" t="s">
        <v>2136</v>
      </c>
      <c r="D5857" s="6" t="s">
        <v>1726</v>
      </c>
      <c r="K5857" s="7">
        <v>44010222</v>
      </c>
      <c r="L5857" s="6" t="str">
        <f t="shared" si="574"/>
        <v>CTB CUDDLY NAKIŞLI BEBEK NEVRESİM TAKIMI (YIKAMALI)</v>
      </c>
      <c r="M5857" s="8">
        <v>0.25</v>
      </c>
      <c r="N5857" s="8">
        <v>0.25</v>
      </c>
      <c r="O5857" s="8">
        <v>1020</v>
      </c>
      <c r="P5857" s="12">
        <f t="shared" si="576"/>
        <v>765</v>
      </c>
      <c r="Q5857" s="12">
        <f t="shared" si="577"/>
        <v>1606.5</v>
      </c>
      <c r="R5857" s="33">
        <f t="shared" si="578"/>
        <v>1600</v>
      </c>
      <c r="U5857" s="8">
        <v>34320</v>
      </c>
      <c r="W5857" s="8">
        <f t="shared" si="575"/>
        <v>0</v>
      </c>
    </row>
    <row r="5858" spans="1:23" ht="21.95" customHeight="1" x14ac:dyDescent="0.2">
      <c r="A5858" s="6" t="s">
        <v>1673</v>
      </c>
      <c r="B5858" s="6" t="s">
        <v>1806</v>
      </c>
      <c r="C5858" s="6" t="s">
        <v>2138</v>
      </c>
      <c r="D5858" s="6" t="s">
        <v>1727</v>
      </c>
      <c r="K5858" s="7">
        <v>44010223</v>
      </c>
      <c r="L5858" s="6" t="str">
        <f t="shared" si="574"/>
        <v>CTB PUNCH NAKIŞLI BEBEK NEVRESİM TAKIMI</v>
      </c>
      <c r="M5858" s="8">
        <v>0.25</v>
      </c>
      <c r="N5858" s="8">
        <v>0.25</v>
      </c>
      <c r="O5858" s="8">
        <v>1065</v>
      </c>
      <c r="P5858" s="12">
        <f t="shared" si="576"/>
        <v>798.75</v>
      </c>
      <c r="Q5858" s="12">
        <f t="shared" si="577"/>
        <v>1677.375</v>
      </c>
      <c r="R5858" s="33">
        <f t="shared" si="578"/>
        <v>1600</v>
      </c>
      <c r="U5858" s="8">
        <v>15180</v>
      </c>
      <c r="W5858" s="8">
        <f t="shared" si="575"/>
        <v>0</v>
      </c>
    </row>
    <row r="5859" spans="1:23" ht="21.95" customHeight="1" x14ac:dyDescent="0.2">
      <c r="A5859" s="6" t="s">
        <v>1673</v>
      </c>
      <c r="B5859" s="6" t="s">
        <v>1806</v>
      </c>
      <c r="C5859" s="6" t="s">
        <v>1728</v>
      </c>
      <c r="D5859" s="6" t="s">
        <v>1682</v>
      </c>
      <c r="K5859" s="7">
        <v>44010224</v>
      </c>
      <c r="L5859" s="6" t="str">
        <f t="shared" si="574"/>
        <v xml:space="preserve">CTB BABY FLANNEL  NEVRESİM TAKIMI </v>
      </c>
      <c r="M5859" s="8">
        <v>0.25</v>
      </c>
      <c r="N5859" s="8">
        <v>0.25</v>
      </c>
      <c r="O5859" s="8">
        <v>790</v>
      </c>
      <c r="P5859" s="12">
        <f t="shared" si="576"/>
        <v>592.5</v>
      </c>
      <c r="Q5859" s="12">
        <f t="shared" si="577"/>
        <v>1244.25</v>
      </c>
      <c r="R5859" s="33">
        <f t="shared" si="578"/>
        <v>1200</v>
      </c>
      <c r="U5859" s="8">
        <v>37200</v>
      </c>
      <c r="W5859" s="8">
        <f t="shared" si="575"/>
        <v>0</v>
      </c>
    </row>
    <row r="5860" spans="1:23" ht="21.95" customHeight="1" x14ac:dyDescent="0.2">
      <c r="A5860" s="6" t="s">
        <v>1673</v>
      </c>
      <c r="B5860" s="6" t="s">
        <v>1806</v>
      </c>
      <c r="C5860" s="6" t="s">
        <v>1729</v>
      </c>
      <c r="D5860" s="6" t="s">
        <v>1730</v>
      </c>
      <c r="K5860" s="7">
        <v>44010225</v>
      </c>
      <c r="L5860" s="6" t="str">
        <f t="shared" si="574"/>
        <v xml:space="preserve">CTB BEBEK  BANYO SETİ </v>
      </c>
      <c r="M5860" s="8">
        <v>0.25</v>
      </c>
      <c r="N5860" s="8">
        <v>0.25</v>
      </c>
      <c r="O5860" s="8">
        <v>1125</v>
      </c>
      <c r="P5860" s="12">
        <f t="shared" si="576"/>
        <v>843.75</v>
      </c>
      <c r="Q5860" s="12">
        <f t="shared" si="577"/>
        <v>1771.875</v>
      </c>
      <c r="R5860" s="33">
        <f t="shared" si="578"/>
        <v>1700</v>
      </c>
      <c r="U5860" s="8">
        <v>4300</v>
      </c>
      <c r="W5860" s="8">
        <f t="shared" si="575"/>
        <v>0</v>
      </c>
    </row>
    <row r="5861" spans="1:23" ht="21.95" customHeight="1" x14ac:dyDescent="0.2">
      <c r="A5861" s="6" t="s">
        <v>1673</v>
      </c>
      <c r="B5861" s="6" t="s">
        <v>1806</v>
      </c>
      <c r="C5861" s="6" t="s">
        <v>1729</v>
      </c>
      <c r="D5861" s="6" t="s">
        <v>1731</v>
      </c>
      <c r="K5861" s="7">
        <v>44010226</v>
      </c>
      <c r="L5861" s="6" t="str">
        <f t="shared" si="574"/>
        <v>CTB BEBEK  PAMUK YORGAN RNF 95*145</v>
      </c>
      <c r="M5861" s="8">
        <v>0.25</v>
      </c>
      <c r="N5861" s="8">
        <v>0.25</v>
      </c>
      <c r="O5861" s="8">
        <v>680</v>
      </c>
      <c r="P5861" s="12">
        <f t="shared" si="576"/>
        <v>510</v>
      </c>
      <c r="Q5861" s="12">
        <f t="shared" si="577"/>
        <v>1071</v>
      </c>
      <c r="R5861" s="33">
        <f t="shared" si="578"/>
        <v>1000</v>
      </c>
      <c r="U5861" s="8">
        <v>23720</v>
      </c>
      <c r="W5861" s="8">
        <f t="shared" si="575"/>
        <v>0</v>
      </c>
    </row>
    <row r="5862" spans="1:23" ht="21.95" customHeight="1" x14ac:dyDescent="0.2">
      <c r="A5862" s="6" t="s">
        <v>1673</v>
      </c>
      <c r="B5862" s="6" t="s">
        <v>1806</v>
      </c>
      <c r="C5862" s="6" t="s">
        <v>1729</v>
      </c>
      <c r="D5862" s="6" t="s">
        <v>1732</v>
      </c>
      <c r="K5862" s="7">
        <v>44010227</v>
      </c>
      <c r="L5862" s="6" t="str">
        <f t="shared" ref="L5862:L5922" si="579">B5862&amp;" "&amp;C5862&amp;" "&amp;D5862</f>
        <v>CTB BEBEK  PAMUK YASTIK KAPİTONELİ RNF 35*45</v>
      </c>
      <c r="M5862" s="8">
        <v>0.25</v>
      </c>
      <c r="N5862" s="8">
        <v>0.25</v>
      </c>
      <c r="O5862" s="8">
        <v>370</v>
      </c>
      <c r="P5862" s="12">
        <f t="shared" si="576"/>
        <v>277.5</v>
      </c>
      <c r="Q5862" s="12">
        <f t="shared" si="577"/>
        <v>582.75</v>
      </c>
      <c r="R5862" s="33">
        <f t="shared" si="578"/>
        <v>500</v>
      </c>
      <c r="U5862" s="8">
        <v>7600</v>
      </c>
      <c r="W5862" s="8">
        <f t="shared" si="575"/>
        <v>0</v>
      </c>
    </row>
    <row r="5863" spans="1:23" ht="21.95" customHeight="1" x14ac:dyDescent="0.2">
      <c r="A5863" s="6" t="s">
        <v>1673</v>
      </c>
      <c r="B5863" s="6" t="s">
        <v>1806</v>
      </c>
      <c r="C5863" s="6" t="s">
        <v>1729</v>
      </c>
      <c r="D5863" s="6" t="s">
        <v>1733</v>
      </c>
      <c r="K5863" s="7">
        <v>44010228</v>
      </c>
      <c r="L5863" s="6" t="str">
        <f t="shared" si="579"/>
        <v>CTB BEBEK  YÜN YORGAN 95*145</v>
      </c>
      <c r="M5863" s="8">
        <v>0.25</v>
      </c>
      <c r="N5863" s="8">
        <v>0.25</v>
      </c>
      <c r="O5863" s="8">
        <v>810</v>
      </c>
      <c r="P5863" s="12">
        <f t="shared" si="576"/>
        <v>607.5</v>
      </c>
      <c r="Q5863" s="12">
        <f t="shared" si="577"/>
        <v>1275.75</v>
      </c>
      <c r="R5863" s="33">
        <f t="shared" si="578"/>
        <v>1200</v>
      </c>
      <c r="U5863" s="8">
        <v>31220</v>
      </c>
      <c r="W5863" s="8">
        <f t="shared" si="575"/>
        <v>0</v>
      </c>
    </row>
    <row r="5864" spans="1:23" ht="21.95" customHeight="1" x14ac:dyDescent="0.2">
      <c r="A5864" s="6" t="s">
        <v>1673</v>
      </c>
      <c r="B5864" s="6" t="s">
        <v>1806</v>
      </c>
      <c r="C5864" s="6" t="s">
        <v>1729</v>
      </c>
      <c r="D5864" s="6" t="s">
        <v>1734</v>
      </c>
      <c r="K5864" s="7">
        <v>44010229</v>
      </c>
      <c r="L5864" s="6" t="str">
        <f t="shared" si="579"/>
        <v>CTB BEBEK  YÜN YASTIK 35*45</v>
      </c>
      <c r="M5864" s="8">
        <v>0.25</v>
      </c>
      <c r="N5864" s="8">
        <v>0.25</v>
      </c>
      <c r="O5864" s="8">
        <v>355</v>
      </c>
      <c r="P5864" s="12">
        <f t="shared" si="576"/>
        <v>266.25</v>
      </c>
      <c r="Q5864" s="12">
        <f t="shared" si="577"/>
        <v>559.125</v>
      </c>
      <c r="R5864" s="33">
        <f t="shared" si="578"/>
        <v>500</v>
      </c>
      <c r="U5864" s="8">
        <v>12940</v>
      </c>
      <c r="W5864" s="8">
        <f t="shared" si="575"/>
        <v>0</v>
      </c>
    </row>
    <row r="5865" spans="1:23" ht="21.95" customHeight="1" x14ac:dyDescent="0.2">
      <c r="A5865" s="6" t="s">
        <v>1673</v>
      </c>
      <c r="B5865" s="6" t="s">
        <v>1806</v>
      </c>
      <c r="C5865" s="6" t="s">
        <v>1735</v>
      </c>
      <c r="D5865" s="6" t="s">
        <v>1736</v>
      </c>
      <c r="K5865" s="7">
        <v>44010230</v>
      </c>
      <c r="L5865" s="6" t="str">
        <f t="shared" si="579"/>
        <v>CTB BEBEK SİLİKON YORGAN RNF 95*145</v>
      </c>
      <c r="M5865" s="8">
        <v>0.25</v>
      </c>
      <c r="N5865" s="8">
        <v>0.25</v>
      </c>
      <c r="O5865" s="8">
        <v>860</v>
      </c>
      <c r="P5865" s="12">
        <f t="shared" si="576"/>
        <v>645</v>
      </c>
      <c r="Q5865" s="12">
        <f t="shared" si="577"/>
        <v>1354.5</v>
      </c>
      <c r="R5865" s="33">
        <f t="shared" si="578"/>
        <v>1300</v>
      </c>
      <c r="U5865" s="8">
        <v>14670</v>
      </c>
      <c r="W5865" s="8">
        <f t="shared" si="575"/>
        <v>0</v>
      </c>
    </row>
    <row r="5866" spans="1:23" ht="20.45" customHeight="1" x14ac:dyDescent="0.2">
      <c r="A5866" s="6" t="s">
        <v>1673</v>
      </c>
      <c r="B5866" s="6" t="s">
        <v>1806</v>
      </c>
      <c r="C5866" s="6" t="s">
        <v>1737</v>
      </c>
      <c r="D5866" s="6" t="s">
        <v>1738</v>
      </c>
      <c r="K5866" s="7">
        <v>44010231</v>
      </c>
      <c r="L5866" s="6" t="str">
        <f t="shared" si="579"/>
        <v xml:space="preserve">CTB FOLKART  AİLE BORNOZ SETİ </v>
      </c>
      <c r="M5866" s="8">
        <v>0.25</v>
      </c>
      <c r="N5866" s="8">
        <v>0.25</v>
      </c>
      <c r="O5866" s="8">
        <v>4810</v>
      </c>
      <c r="P5866" s="12">
        <f t="shared" si="576"/>
        <v>3607.5</v>
      </c>
      <c r="Q5866" s="12">
        <f t="shared" si="577"/>
        <v>7575.75</v>
      </c>
      <c r="R5866" s="33">
        <f t="shared" si="578"/>
        <v>7500</v>
      </c>
      <c r="U5866" s="8">
        <v>8620</v>
      </c>
      <c r="W5866" s="8">
        <f t="shared" si="575"/>
        <v>0</v>
      </c>
    </row>
    <row r="5867" spans="1:23" ht="21.95" customHeight="1" x14ac:dyDescent="0.2">
      <c r="A5867" s="6" t="s">
        <v>1673</v>
      </c>
      <c r="B5867" s="6" t="s">
        <v>1806</v>
      </c>
      <c r="C5867" s="6" t="s">
        <v>1739</v>
      </c>
      <c r="D5867" s="6" t="s">
        <v>1738</v>
      </c>
      <c r="K5867" s="7">
        <v>44010232</v>
      </c>
      <c r="L5867" s="6" t="str">
        <f t="shared" si="579"/>
        <v xml:space="preserve">CTB PUFF NAKIŞLI AİLE BORNOZ SETİ </v>
      </c>
      <c r="M5867" s="8">
        <v>0.25</v>
      </c>
      <c r="N5867" s="8">
        <v>0.25</v>
      </c>
      <c r="O5867" s="8">
        <v>4925</v>
      </c>
      <c r="P5867" s="12">
        <f t="shared" si="576"/>
        <v>3693.75</v>
      </c>
      <c r="Q5867" s="12">
        <f t="shared" si="577"/>
        <v>7756.875</v>
      </c>
      <c r="R5867" s="33">
        <f t="shared" si="578"/>
        <v>7700</v>
      </c>
      <c r="T5867" s="12"/>
      <c r="U5867" s="8">
        <v>23900</v>
      </c>
      <c r="W5867" s="8">
        <f t="shared" si="535"/>
        <v>9234.375</v>
      </c>
    </row>
    <row r="5868" spans="1:23" ht="21.95" customHeight="1" x14ac:dyDescent="0.2">
      <c r="A5868" s="6" t="s">
        <v>1673</v>
      </c>
      <c r="B5868" s="6" t="s">
        <v>1806</v>
      </c>
      <c r="C5868" s="6" t="s">
        <v>1740</v>
      </c>
      <c r="D5868" s="6" t="s">
        <v>1738</v>
      </c>
      <c r="K5868" s="7">
        <v>44010233</v>
      </c>
      <c r="L5868" s="6" t="str">
        <f t="shared" si="579"/>
        <v xml:space="preserve">CTB MASCULINE AİLE BORNOZ SETİ </v>
      </c>
      <c r="M5868" s="8">
        <v>0.25</v>
      </c>
      <c r="N5868" s="8">
        <v>0.25</v>
      </c>
      <c r="O5868" s="8">
        <v>4885</v>
      </c>
      <c r="P5868" s="12">
        <f t="shared" si="576"/>
        <v>3663.75</v>
      </c>
      <c r="Q5868" s="12">
        <f t="shared" si="577"/>
        <v>7693.875</v>
      </c>
      <c r="R5868" s="33">
        <f t="shared" si="578"/>
        <v>7600</v>
      </c>
      <c r="T5868" s="12"/>
      <c r="U5868" s="8">
        <v>18600</v>
      </c>
      <c r="W5868" s="8">
        <f t="shared" si="535"/>
        <v>9159.375</v>
      </c>
    </row>
    <row r="5869" spans="1:23" ht="21.95" customHeight="1" x14ac:dyDescent="0.2">
      <c r="A5869" s="6" t="s">
        <v>1673</v>
      </c>
      <c r="B5869" s="6" t="s">
        <v>1806</v>
      </c>
      <c r="C5869" s="6" t="s">
        <v>1741</v>
      </c>
      <c r="D5869" s="6" t="s">
        <v>1738</v>
      </c>
      <c r="K5869" s="7">
        <v>44010234</v>
      </c>
      <c r="L5869" s="6" t="str">
        <f t="shared" si="579"/>
        <v xml:space="preserve">CTB SETA MICROCOTTON AİLE BORNOZ SETİ </v>
      </c>
      <c r="M5869" s="8">
        <v>0.25</v>
      </c>
      <c r="N5869" s="8">
        <v>0.25</v>
      </c>
      <c r="O5869" s="8">
        <v>5930</v>
      </c>
      <c r="P5869" s="12">
        <f t="shared" si="576"/>
        <v>4447.5</v>
      </c>
      <c r="Q5869" s="12">
        <f t="shared" si="577"/>
        <v>9339.75</v>
      </c>
      <c r="R5869" s="33">
        <f t="shared" si="578"/>
        <v>9300</v>
      </c>
      <c r="T5869" s="12"/>
      <c r="U5869" s="8">
        <v>20000</v>
      </c>
      <c r="W5869" s="8">
        <f t="shared" si="535"/>
        <v>11118.75</v>
      </c>
    </row>
    <row r="5870" spans="1:23" ht="21.95" customHeight="1" x14ac:dyDescent="0.2">
      <c r="A5870" s="6" t="s">
        <v>1673</v>
      </c>
      <c r="B5870" s="6" t="s">
        <v>1806</v>
      </c>
      <c r="C5870" s="6" t="s">
        <v>1742</v>
      </c>
      <c r="D5870" s="6" t="s">
        <v>1743</v>
      </c>
      <c r="K5870" s="7">
        <v>44010235</v>
      </c>
      <c r="L5870" s="6" t="str">
        <f t="shared" si="579"/>
        <v>CTB EXCLUSIVE SINGLE  BORNOZ SETİ</v>
      </c>
      <c r="M5870" s="8">
        <v>0.25</v>
      </c>
      <c r="N5870" s="8">
        <v>0.25</v>
      </c>
      <c r="O5870" s="8">
        <v>1875</v>
      </c>
      <c r="P5870" s="12">
        <f t="shared" si="576"/>
        <v>1406.25</v>
      </c>
      <c r="Q5870" s="12">
        <f t="shared" si="577"/>
        <v>2953.125</v>
      </c>
      <c r="R5870" s="33">
        <f t="shared" si="578"/>
        <v>2900</v>
      </c>
      <c r="T5870" s="12"/>
      <c r="U5870" s="8">
        <v>21300</v>
      </c>
      <c r="W5870" s="8">
        <f t="shared" si="535"/>
        <v>3515.625</v>
      </c>
    </row>
    <row r="5871" spans="1:23" ht="21.95" customHeight="1" x14ac:dyDescent="0.2">
      <c r="A5871" s="6" t="s">
        <v>1673</v>
      </c>
      <c r="B5871" s="6" t="s">
        <v>1806</v>
      </c>
      <c r="C5871" s="6" t="s">
        <v>1697</v>
      </c>
      <c r="D5871" s="6" t="s">
        <v>1744</v>
      </c>
      <c r="K5871" s="7">
        <v>44010236</v>
      </c>
      <c r="L5871" s="6" t="str">
        <f t="shared" si="579"/>
        <v xml:space="preserve">CTB CLASSIC  BORNOZ SETİ </v>
      </c>
      <c r="M5871" s="8">
        <v>0.25</v>
      </c>
      <c r="N5871" s="8">
        <v>0.25</v>
      </c>
      <c r="O5871" s="8">
        <v>2140</v>
      </c>
      <c r="P5871" s="12">
        <f t="shared" si="576"/>
        <v>1605</v>
      </c>
      <c r="Q5871" s="12">
        <f t="shared" si="577"/>
        <v>3370.5</v>
      </c>
      <c r="R5871" s="33">
        <f t="shared" si="578"/>
        <v>3300</v>
      </c>
      <c r="T5871" s="12"/>
      <c r="U5871" s="8">
        <v>24000</v>
      </c>
      <c r="W5871" s="8">
        <f t="shared" si="535"/>
        <v>4012.5</v>
      </c>
    </row>
    <row r="5872" spans="1:23" ht="21.95" customHeight="1" x14ac:dyDescent="0.2">
      <c r="A5872" s="6" t="s">
        <v>1673</v>
      </c>
      <c r="B5872" s="6" t="s">
        <v>1806</v>
      </c>
      <c r="C5872" s="6" t="s">
        <v>1745</v>
      </c>
      <c r="D5872" s="6" t="s">
        <v>1746</v>
      </c>
      <c r="K5872" s="7">
        <v>44010237</v>
      </c>
      <c r="L5872" s="6" t="str">
        <f t="shared" si="579"/>
        <v xml:space="preserve">CTB WELLNESS BORNOZ </v>
      </c>
      <c r="M5872" s="8">
        <v>0.25</v>
      </c>
      <c r="N5872" s="8">
        <v>0.25</v>
      </c>
      <c r="O5872" s="8">
        <v>1675</v>
      </c>
      <c r="P5872" s="12">
        <f t="shared" si="576"/>
        <v>1256.25</v>
      </c>
      <c r="Q5872" s="12">
        <f t="shared" si="577"/>
        <v>2638.125</v>
      </c>
      <c r="R5872" s="33">
        <f t="shared" si="578"/>
        <v>2600</v>
      </c>
      <c r="T5872" s="12"/>
      <c r="U5872" s="8">
        <v>26400</v>
      </c>
      <c r="W5872" s="8">
        <f t="shared" si="535"/>
        <v>3140.625</v>
      </c>
    </row>
    <row r="5873" spans="1:23" ht="21.95" customHeight="1" x14ac:dyDescent="0.2">
      <c r="A5873" s="6" t="s">
        <v>1673</v>
      </c>
      <c r="B5873" s="6" t="s">
        <v>1806</v>
      </c>
      <c r="C5873" s="6" t="s">
        <v>1747</v>
      </c>
      <c r="D5873" s="6" t="s">
        <v>1748</v>
      </c>
      <c r="K5873" s="7">
        <v>44010238</v>
      </c>
      <c r="L5873" s="6" t="str">
        <f t="shared" si="579"/>
        <v>CTB COLURFUL HAMAM SET 50x90*2+90x150*2</v>
      </c>
      <c r="M5873" s="8">
        <v>0.25</v>
      </c>
      <c r="N5873" s="8">
        <v>0.25</v>
      </c>
      <c r="O5873" s="8">
        <v>1450</v>
      </c>
      <c r="P5873" s="12">
        <f t="shared" si="576"/>
        <v>1087.5</v>
      </c>
      <c r="Q5873" s="12">
        <f t="shared" si="577"/>
        <v>2283.75</v>
      </c>
      <c r="R5873" s="33">
        <f t="shared" si="578"/>
        <v>2200</v>
      </c>
      <c r="T5873" s="12"/>
      <c r="U5873" s="8">
        <v>28300</v>
      </c>
      <c r="W5873" s="8">
        <f t="shared" si="535"/>
        <v>2718.75</v>
      </c>
    </row>
    <row r="5874" spans="1:23" ht="21.95" customHeight="1" x14ac:dyDescent="0.2">
      <c r="A5874" s="6" t="s">
        <v>1673</v>
      </c>
      <c r="B5874" s="6" t="s">
        <v>1806</v>
      </c>
      <c r="C5874" s="6" t="s">
        <v>1745</v>
      </c>
      <c r="D5874" s="6" t="s">
        <v>1749</v>
      </c>
      <c r="K5874" s="7">
        <v>44010239</v>
      </c>
      <c r="L5874" s="6" t="str">
        <f t="shared" si="579"/>
        <v>CTB WELLNESS HAVLU SETİ (30*50)+(50*90)+(75*150)</v>
      </c>
      <c r="M5874" s="8">
        <v>0.25</v>
      </c>
      <c r="N5874" s="8">
        <v>0.25</v>
      </c>
      <c r="O5874" s="8">
        <v>765</v>
      </c>
      <c r="P5874" s="12">
        <f t="shared" si="576"/>
        <v>573.75</v>
      </c>
      <c r="Q5874" s="12">
        <f t="shared" si="577"/>
        <v>1204.875</v>
      </c>
      <c r="R5874" s="33">
        <f t="shared" si="578"/>
        <v>1200</v>
      </c>
      <c r="T5874" s="12"/>
      <c r="U5874" s="8">
        <v>30200</v>
      </c>
      <c r="W5874" s="8">
        <f t="shared" si="535"/>
        <v>1434.375</v>
      </c>
    </row>
    <row r="5875" spans="1:23" ht="21.95" customHeight="1" x14ac:dyDescent="0.2">
      <c r="A5875" s="6" t="s">
        <v>1673</v>
      </c>
      <c r="B5875" s="6" t="s">
        <v>1806</v>
      </c>
      <c r="C5875" s="6" t="s">
        <v>1750</v>
      </c>
      <c r="D5875" s="6" t="s">
        <v>1751</v>
      </c>
      <c r="K5875" s="7">
        <v>44010240</v>
      </c>
      <c r="L5875" s="6" t="str">
        <f t="shared" si="579"/>
        <v>CTB BATH  RUG SET (75*125)+(60*90)</v>
      </c>
      <c r="M5875" s="8">
        <v>0.25</v>
      </c>
      <c r="N5875" s="8">
        <v>0.25</v>
      </c>
      <c r="O5875" s="8">
        <v>2235</v>
      </c>
      <c r="P5875" s="12">
        <f t="shared" si="576"/>
        <v>1676.25</v>
      </c>
      <c r="Q5875" s="12">
        <f t="shared" si="577"/>
        <v>3520.125</v>
      </c>
      <c r="R5875" s="33">
        <f t="shared" si="578"/>
        <v>3500</v>
      </c>
      <c r="T5875" s="12"/>
      <c r="U5875" s="8">
        <v>34000</v>
      </c>
      <c r="W5875" s="8">
        <f t="shared" si="535"/>
        <v>4190.625</v>
      </c>
    </row>
    <row r="5876" spans="1:23" ht="21.95" customHeight="1" x14ac:dyDescent="0.2">
      <c r="A5876" s="6" t="s">
        <v>1673</v>
      </c>
      <c r="B5876" s="6" t="s">
        <v>1806</v>
      </c>
      <c r="C5876" s="6" t="s">
        <v>1752</v>
      </c>
      <c r="D5876" s="6" t="s">
        <v>1753</v>
      </c>
      <c r="K5876" s="7">
        <v>44010241</v>
      </c>
      <c r="L5876" s="6" t="str">
        <f t="shared" si="579"/>
        <v>CTB ORTOPEDİK VISKO YASTIK 40*60+12</v>
      </c>
      <c r="M5876" s="8">
        <v>0.25</v>
      </c>
      <c r="N5876" s="8">
        <v>0.25</v>
      </c>
      <c r="O5876" s="8">
        <v>1300</v>
      </c>
      <c r="P5876" s="12">
        <f t="shared" si="576"/>
        <v>975</v>
      </c>
      <c r="Q5876" s="12">
        <f t="shared" si="577"/>
        <v>2047.5</v>
      </c>
      <c r="R5876" s="33">
        <f t="shared" si="578"/>
        <v>2000</v>
      </c>
      <c r="T5876" s="12"/>
      <c r="U5876" s="8">
        <v>15800</v>
      </c>
      <c r="W5876" s="8">
        <f t="shared" si="535"/>
        <v>2437.5</v>
      </c>
    </row>
    <row r="5877" spans="1:23" ht="21.95" customHeight="1" x14ac:dyDescent="0.2">
      <c r="A5877" s="6" t="s">
        <v>1673</v>
      </c>
      <c r="B5877" s="6" t="s">
        <v>1806</v>
      </c>
      <c r="C5877" s="6" t="s">
        <v>1754</v>
      </c>
      <c r="D5877" s="6" t="s">
        <v>1755</v>
      </c>
      <c r="K5877" s="7">
        <v>44010242</v>
      </c>
      <c r="L5877" s="6" t="str">
        <f t="shared" si="579"/>
        <v xml:space="preserve">CTB KANGURU  YASTIK </v>
      </c>
      <c r="M5877" s="8">
        <v>0.25</v>
      </c>
      <c r="N5877" s="8">
        <v>0.25</v>
      </c>
      <c r="O5877" s="8">
        <v>1225</v>
      </c>
      <c r="P5877" s="12">
        <f t="shared" si="576"/>
        <v>918.75</v>
      </c>
      <c r="Q5877" s="12">
        <f t="shared" si="577"/>
        <v>1929.375</v>
      </c>
      <c r="R5877" s="33">
        <f t="shared" si="578"/>
        <v>1900</v>
      </c>
      <c r="T5877" s="12"/>
      <c r="U5877" s="8">
        <v>12600</v>
      </c>
      <c r="W5877" s="8">
        <f t="shared" si="535"/>
        <v>2296.875</v>
      </c>
    </row>
    <row r="5878" spans="1:23" ht="21.95" customHeight="1" x14ac:dyDescent="0.2">
      <c r="A5878" s="6" t="s">
        <v>1673</v>
      </c>
      <c r="B5878" s="6" t="s">
        <v>1806</v>
      </c>
      <c r="C5878" s="6" t="s">
        <v>1757</v>
      </c>
      <c r="D5878" s="6" t="s">
        <v>1756</v>
      </c>
      <c r="K5878" s="7">
        <v>44010243</v>
      </c>
      <c r="L5878" s="6" t="str">
        <f t="shared" si="579"/>
        <v xml:space="preserve">CTB BAMBU  YORGAN TEK KİŞİLİK </v>
      </c>
      <c r="M5878" s="8">
        <v>0.25</v>
      </c>
      <c r="N5878" s="8">
        <v>0.25</v>
      </c>
      <c r="O5878" s="8">
        <v>1685</v>
      </c>
      <c r="P5878" s="12">
        <f t="shared" si="576"/>
        <v>1263.75</v>
      </c>
      <c r="Q5878" s="12">
        <f t="shared" si="577"/>
        <v>2653.875</v>
      </c>
      <c r="R5878" s="33">
        <f t="shared" si="578"/>
        <v>2600</v>
      </c>
      <c r="T5878" s="12"/>
      <c r="U5878" s="8">
        <v>13300</v>
      </c>
      <c r="W5878" s="8">
        <f t="shared" si="535"/>
        <v>3159.375</v>
      </c>
    </row>
    <row r="5879" spans="1:23" ht="21.95" customHeight="1" x14ac:dyDescent="0.2">
      <c r="A5879" s="6" t="s">
        <v>1673</v>
      </c>
      <c r="B5879" s="6" t="s">
        <v>1806</v>
      </c>
      <c r="C5879" s="6" t="s">
        <v>1758</v>
      </c>
      <c r="D5879" s="6" t="s">
        <v>1759</v>
      </c>
      <c r="K5879" s="7">
        <v>44010244</v>
      </c>
      <c r="L5879" s="6" t="str">
        <f t="shared" si="579"/>
        <v xml:space="preserve">CTB BAMBU YORGAN ÇİFT KİŞİLİK </v>
      </c>
      <c r="M5879" s="8">
        <v>0.25</v>
      </c>
      <c r="N5879" s="8">
        <v>0.25</v>
      </c>
      <c r="O5879" s="8">
        <v>2100</v>
      </c>
      <c r="P5879" s="12">
        <f t="shared" ref="P5879:P5922" si="580">O5879*(1-N5879)</f>
        <v>1575</v>
      </c>
      <c r="Q5879" s="12">
        <f t="shared" ref="Q5879:Q5922" si="581">O5879*(1-N5879)*2.1</f>
        <v>3307.5</v>
      </c>
      <c r="R5879" s="33">
        <f t="shared" ref="R5879:R5922" si="582">ROUNDDOWN(Q5879,-2)</f>
        <v>3300</v>
      </c>
      <c r="T5879" s="12"/>
      <c r="U5879" s="8">
        <v>13400</v>
      </c>
      <c r="W5879" s="8">
        <f t="shared" si="535"/>
        <v>3937.5</v>
      </c>
    </row>
    <row r="5880" spans="1:23" ht="21.95" customHeight="1" x14ac:dyDescent="0.2">
      <c r="A5880" s="6" t="s">
        <v>1673</v>
      </c>
      <c r="B5880" s="6" t="s">
        <v>1806</v>
      </c>
      <c r="C5880" s="6" t="s">
        <v>1757</v>
      </c>
      <c r="D5880" s="6" t="s">
        <v>1760</v>
      </c>
      <c r="K5880" s="7">
        <v>44010245</v>
      </c>
      <c r="L5880" s="6" t="str">
        <f t="shared" si="579"/>
        <v>CTB BAMBU  YASTIK 50*70</v>
      </c>
      <c r="M5880" s="8">
        <v>0.25</v>
      </c>
      <c r="N5880" s="8">
        <v>0.25</v>
      </c>
      <c r="O5880" s="8">
        <v>710</v>
      </c>
      <c r="P5880" s="12">
        <f t="shared" si="580"/>
        <v>532.5</v>
      </c>
      <c r="Q5880" s="12">
        <f t="shared" si="581"/>
        <v>1118.25</v>
      </c>
      <c r="R5880" s="33">
        <f t="shared" si="582"/>
        <v>1100</v>
      </c>
      <c r="T5880" s="12"/>
      <c r="U5880" s="8">
        <v>16100</v>
      </c>
      <c r="W5880" s="8">
        <f t="shared" si="535"/>
        <v>1331.25</v>
      </c>
    </row>
    <row r="5881" spans="1:23" ht="21.95" customHeight="1" x14ac:dyDescent="0.2">
      <c r="A5881" s="6" t="s">
        <v>1673</v>
      </c>
      <c r="B5881" s="6" t="s">
        <v>1806</v>
      </c>
      <c r="C5881" s="6" t="s">
        <v>1761</v>
      </c>
      <c r="D5881" s="6" t="s">
        <v>1762</v>
      </c>
      <c r="K5881" s="7">
        <v>44010246</v>
      </c>
      <c r="L5881" s="6" t="str">
        <f t="shared" si="579"/>
        <v>CTB SOFTWASH  YORGAN SETİ T.K.</v>
      </c>
      <c r="M5881" s="8">
        <v>0.25</v>
      </c>
      <c r="N5881" s="8">
        <v>0.25</v>
      </c>
      <c r="O5881" s="8">
        <v>1745</v>
      </c>
      <c r="P5881" s="12">
        <f t="shared" si="580"/>
        <v>1308.75</v>
      </c>
      <c r="Q5881" s="12">
        <f t="shared" si="581"/>
        <v>2748.375</v>
      </c>
      <c r="R5881" s="33">
        <f t="shared" si="582"/>
        <v>2700</v>
      </c>
      <c r="T5881" s="12"/>
      <c r="U5881" s="8">
        <v>18800</v>
      </c>
      <c r="W5881" s="8">
        <f t="shared" si="535"/>
        <v>3271.875</v>
      </c>
    </row>
    <row r="5882" spans="1:23" ht="21.95" customHeight="1" x14ac:dyDescent="0.2">
      <c r="A5882" s="6" t="s">
        <v>1673</v>
      </c>
      <c r="B5882" s="6" t="s">
        <v>1806</v>
      </c>
      <c r="C5882" s="6" t="s">
        <v>1761</v>
      </c>
      <c r="D5882" s="6" t="s">
        <v>1763</v>
      </c>
      <c r="K5882" s="7">
        <v>44010247</v>
      </c>
      <c r="L5882" s="6" t="str">
        <f t="shared" si="579"/>
        <v>CTB SOFTWASH  YORGAN SETİ Ç.K.</v>
      </c>
      <c r="M5882" s="8">
        <v>0.25</v>
      </c>
      <c r="N5882" s="8">
        <v>0.25</v>
      </c>
      <c r="O5882" s="8">
        <v>2065</v>
      </c>
      <c r="P5882" s="12">
        <f t="shared" si="580"/>
        <v>1548.75</v>
      </c>
      <c r="Q5882" s="12">
        <f t="shared" si="581"/>
        <v>3252.375</v>
      </c>
      <c r="R5882" s="33">
        <f t="shared" si="582"/>
        <v>3200</v>
      </c>
      <c r="T5882" s="12"/>
      <c r="U5882" s="8">
        <v>20200</v>
      </c>
      <c r="W5882" s="8">
        <f t="shared" si="535"/>
        <v>3871.875</v>
      </c>
    </row>
    <row r="5883" spans="1:23" ht="21.95" customHeight="1" x14ac:dyDescent="0.2">
      <c r="A5883" s="6" t="s">
        <v>1673</v>
      </c>
      <c r="B5883" s="6" t="s">
        <v>1806</v>
      </c>
      <c r="C5883" s="6" t="s">
        <v>1761</v>
      </c>
      <c r="D5883" s="6" t="s">
        <v>1764</v>
      </c>
      <c r="K5883" s="7">
        <v>44010248</v>
      </c>
      <c r="L5883" s="6" t="str">
        <f t="shared" si="579"/>
        <v>CTB SOFTWASH  YORGAN SETİ Ç.K. +</v>
      </c>
      <c r="M5883" s="8">
        <v>0.25</v>
      </c>
      <c r="N5883" s="8">
        <v>0.25</v>
      </c>
      <c r="O5883" s="8">
        <v>2065</v>
      </c>
      <c r="P5883" s="12">
        <f t="shared" si="580"/>
        <v>1548.75</v>
      </c>
      <c r="Q5883" s="12">
        <f t="shared" si="581"/>
        <v>3252.375</v>
      </c>
      <c r="R5883" s="33">
        <f t="shared" si="582"/>
        <v>3200</v>
      </c>
      <c r="T5883" s="12"/>
      <c r="U5883" s="8">
        <v>21500</v>
      </c>
      <c r="W5883" s="8">
        <f t="shared" si="535"/>
        <v>3871.875</v>
      </c>
    </row>
    <row r="5884" spans="1:23" ht="21.95" customHeight="1" x14ac:dyDescent="0.2">
      <c r="A5884" s="6" t="s">
        <v>1673</v>
      </c>
      <c r="B5884" s="6" t="s">
        <v>1806</v>
      </c>
      <c r="C5884" s="6" t="s">
        <v>1765</v>
      </c>
      <c r="D5884" s="6" t="s">
        <v>1756</v>
      </c>
      <c r="K5884" s="7">
        <v>44010249</v>
      </c>
      <c r="L5884" s="6" t="str">
        <f t="shared" si="579"/>
        <v xml:space="preserve">CTB PAMUK RANFORCE  YORGAN TEK KİŞİLİK </v>
      </c>
      <c r="M5884" s="8">
        <v>0.25</v>
      </c>
      <c r="N5884" s="8">
        <v>0.25</v>
      </c>
      <c r="O5884" s="8">
        <v>1425</v>
      </c>
      <c r="P5884" s="12">
        <f t="shared" si="580"/>
        <v>1068.75</v>
      </c>
      <c r="Q5884" s="12">
        <f t="shared" si="581"/>
        <v>2244.375</v>
      </c>
      <c r="R5884" s="33">
        <f t="shared" si="582"/>
        <v>2200</v>
      </c>
      <c r="T5884" s="12"/>
      <c r="U5884" s="8">
        <v>24200</v>
      </c>
      <c r="W5884" s="8">
        <f t="shared" si="535"/>
        <v>2671.875</v>
      </c>
    </row>
    <row r="5885" spans="1:23" ht="21.95" customHeight="1" x14ac:dyDescent="0.2">
      <c r="A5885" s="6" t="s">
        <v>1673</v>
      </c>
      <c r="B5885" s="6" t="s">
        <v>1806</v>
      </c>
      <c r="C5885" s="6" t="s">
        <v>1765</v>
      </c>
      <c r="D5885" s="6" t="s">
        <v>1759</v>
      </c>
      <c r="K5885" s="7">
        <v>44010250</v>
      </c>
      <c r="L5885" s="6" t="str">
        <f t="shared" si="579"/>
        <v xml:space="preserve">CTB PAMUK RANFORCE  YORGAN ÇİFT KİŞİLİK </v>
      </c>
      <c r="M5885" s="8">
        <v>0.25</v>
      </c>
      <c r="N5885" s="8">
        <v>0.25</v>
      </c>
      <c r="O5885" s="8">
        <v>1695</v>
      </c>
      <c r="P5885" s="12">
        <f t="shared" si="580"/>
        <v>1271.25</v>
      </c>
      <c r="Q5885" s="12">
        <f t="shared" si="581"/>
        <v>2669.625</v>
      </c>
      <c r="R5885" s="33">
        <f t="shared" si="582"/>
        <v>2600</v>
      </c>
      <c r="T5885" s="12"/>
      <c r="U5885" s="8">
        <v>10300</v>
      </c>
      <c r="W5885" s="8">
        <f t="shared" si="535"/>
        <v>3178.125</v>
      </c>
    </row>
    <row r="5886" spans="1:23" ht="21.95" customHeight="1" x14ac:dyDescent="0.2">
      <c r="A5886" s="6" t="s">
        <v>1673</v>
      </c>
      <c r="B5886" s="6" t="s">
        <v>1806</v>
      </c>
      <c r="C5886" s="6" t="s">
        <v>1766</v>
      </c>
      <c r="D5886" s="6" t="s">
        <v>1767</v>
      </c>
      <c r="K5886" s="7">
        <v>44010251</v>
      </c>
      <c r="L5886" s="6" t="str">
        <f t="shared" si="579"/>
        <v>CTB KAPİTONELİ RANFORCE  PAMUK YASTIK 50*70</v>
      </c>
      <c r="M5886" s="8">
        <v>0.25</v>
      </c>
      <c r="N5886" s="8">
        <v>0.25</v>
      </c>
      <c r="O5886" s="8">
        <v>810</v>
      </c>
      <c r="P5886" s="12">
        <f t="shared" si="580"/>
        <v>607.5</v>
      </c>
      <c r="Q5886" s="12">
        <f t="shared" si="581"/>
        <v>1275.75</v>
      </c>
      <c r="R5886" s="33">
        <f t="shared" si="582"/>
        <v>1200</v>
      </c>
      <c r="T5886" s="12"/>
      <c r="U5886" s="8">
        <v>10300</v>
      </c>
      <c r="W5886" s="8">
        <f t="shared" si="535"/>
        <v>1518.75</v>
      </c>
    </row>
    <row r="5887" spans="1:23" ht="21.95" customHeight="1" x14ac:dyDescent="0.2">
      <c r="A5887" s="6" t="s">
        <v>1673</v>
      </c>
      <c r="B5887" s="6" t="s">
        <v>1806</v>
      </c>
      <c r="C5887" s="6" t="s">
        <v>1768</v>
      </c>
      <c r="D5887" s="6" t="s">
        <v>1756</v>
      </c>
      <c r="K5887" s="7">
        <v>44010252</v>
      </c>
      <c r="L5887" s="6" t="str">
        <f t="shared" si="579"/>
        <v xml:space="preserve">CTB YÜN YORGAN TEK KİŞİLİK </v>
      </c>
      <c r="M5887" s="8">
        <v>0.25</v>
      </c>
      <c r="N5887" s="8">
        <v>0.25</v>
      </c>
      <c r="O5887" s="8">
        <v>1695</v>
      </c>
      <c r="P5887" s="12">
        <f t="shared" si="580"/>
        <v>1271.25</v>
      </c>
      <c r="Q5887" s="12">
        <f t="shared" si="581"/>
        <v>2669.625</v>
      </c>
      <c r="R5887" s="33">
        <f t="shared" si="582"/>
        <v>2600</v>
      </c>
      <c r="T5887" s="12"/>
      <c r="U5887" s="8">
        <v>10400</v>
      </c>
      <c r="W5887" s="8">
        <f t="shared" si="535"/>
        <v>3178.125</v>
      </c>
    </row>
    <row r="5888" spans="1:23" ht="21.95" customHeight="1" x14ac:dyDescent="0.2">
      <c r="A5888" s="6" t="s">
        <v>1673</v>
      </c>
      <c r="B5888" s="6" t="s">
        <v>1806</v>
      </c>
      <c r="C5888" s="6" t="s">
        <v>1141</v>
      </c>
      <c r="D5888" s="6" t="s">
        <v>1759</v>
      </c>
      <c r="K5888" s="7">
        <v>44010253</v>
      </c>
      <c r="L5888" s="6" t="str">
        <f t="shared" si="579"/>
        <v xml:space="preserve">CTB YÜN  YORGAN ÇİFT KİŞİLİK </v>
      </c>
      <c r="M5888" s="8">
        <v>0.25</v>
      </c>
      <c r="N5888" s="8">
        <v>0.25</v>
      </c>
      <c r="O5888" s="8">
        <v>2035</v>
      </c>
      <c r="P5888" s="12">
        <f t="shared" si="580"/>
        <v>1526.25</v>
      </c>
      <c r="Q5888" s="12">
        <f t="shared" si="581"/>
        <v>3205.125</v>
      </c>
      <c r="R5888" s="33">
        <f t="shared" si="582"/>
        <v>3200</v>
      </c>
      <c r="T5888" s="12"/>
      <c r="U5888" s="8">
        <v>12500</v>
      </c>
      <c r="W5888" s="8">
        <f t="shared" ref="W5888:W5918" si="583">P5888*2.5</f>
        <v>3815.625</v>
      </c>
    </row>
    <row r="5889" spans="1:23" ht="21.95" customHeight="1" x14ac:dyDescent="0.2">
      <c r="A5889" s="6" t="s">
        <v>1673</v>
      </c>
      <c r="B5889" s="6" t="s">
        <v>1806</v>
      </c>
      <c r="C5889" s="6" t="s">
        <v>1141</v>
      </c>
      <c r="D5889" s="6" t="s">
        <v>1760</v>
      </c>
      <c r="K5889" s="7">
        <v>44010254</v>
      </c>
      <c r="L5889" s="6" t="str">
        <f t="shared" si="579"/>
        <v>CTB YÜN  YASTIK 50*70</v>
      </c>
      <c r="M5889" s="8">
        <v>0.25</v>
      </c>
      <c r="N5889" s="8">
        <v>0.25</v>
      </c>
      <c r="O5889" s="8">
        <v>900</v>
      </c>
      <c r="P5889" s="12">
        <f t="shared" si="580"/>
        <v>675</v>
      </c>
      <c r="Q5889" s="12">
        <f t="shared" si="581"/>
        <v>1417.5</v>
      </c>
      <c r="R5889" s="33">
        <f t="shared" si="582"/>
        <v>1400</v>
      </c>
      <c r="T5889" s="12"/>
      <c r="U5889" s="8">
        <v>14500</v>
      </c>
      <c r="W5889" s="8">
        <f t="shared" si="583"/>
        <v>1687.5</v>
      </c>
    </row>
    <row r="5890" spans="1:23" ht="21.95" customHeight="1" x14ac:dyDescent="0.2">
      <c r="A5890" s="6" t="s">
        <v>1673</v>
      </c>
      <c r="B5890" s="6" t="s">
        <v>1806</v>
      </c>
      <c r="C5890" s="6" t="s">
        <v>1769</v>
      </c>
      <c r="D5890" s="6" t="s">
        <v>1770</v>
      </c>
      <c r="K5890" s="7">
        <v>44010255</v>
      </c>
      <c r="L5890" s="6" t="str">
        <f t="shared" si="579"/>
        <v xml:space="preserve">CTB ELEGANCE  KAZ TÜYÜ YORGAN TEK KİŞİLİK </v>
      </c>
      <c r="M5890" s="8">
        <v>0.25</v>
      </c>
      <c r="N5890" s="8">
        <v>0.25</v>
      </c>
      <c r="O5890" s="8">
        <v>7935</v>
      </c>
      <c r="P5890" s="12">
        <f t="shared" si="580"/>
        <v>5951.25</v>
      </c>
      <c r="Q5890" s="12">
        <f t="shared" si="581"/>
        <v>12497.625</v>
      </c>
      <c r="R5890" s="33">
        <f t="shared" si="582"/>
        <v>12400</v>
      </c>
      <c r="T5890" s="12"/>
      <c r="U5890" s="8">
        <v>15600</v>
      </c>
      <c r="W5890" s="8">
        <f t="shared" si="583"/>
        <v>14878.125</v>
      </c>
    </row>
    <row r="5891" spans="1:23" ht="21.95" customHeight="1" x14ac:dyDescent="0.2">
      <c r="A5891" s="6" t="s">
        <v>1673</v>
      </c>
      <c r="B5891" s="6" t="s">
        <v>1806</v>
      </c>
      <c r="C5891" s="6" t="s">
        <v>1769</v>
      </c>
      <c r="D5891" s="6" t="s">
        <v>1771</v>
      </c>
      <c r="K5891" s="7">
        <v>44010256</v>
      </c>
      <c r="L5891" s="6" t="str">
        <f t="shared" si="579"/>
        <v xml:space="preserve">CTB ELEGANCE  KAZ TÜYÜ YORGAN ÇİFT KİŞİLİK </v>
      </c>
      <c r="M5891" s="8">
        <v>0.25</v>
      </c>
      <c r="N5891" s="8">
        <v>0.25</v>
      </c>
      <c r="O5891" s="8">
        <v>9659</v>
      </c>
      <c r="P5891" s="12">
        <f t="shared" si="580"/>
        <v>7244.25</v>
      </c>
      <c r="Q5891" s="12">
        <f t="shared" si="581"/>
        <v>15212.925000000001</v>
      </c>
      <c r="R5891" s="33">
        <f t="shared" si="582"/>
        <v>15200</v>
      </c>
      <c r="T5891" s="12"/>
      <c r="U5891" s="8">
        <v>16600</v>
      </c>
      <c r="W5891" s="8">
        <f t="shared" si="583"/>
        <v>18110.625</v>
      </c>
    </row>
    <row r="5892" spans="1:23" ht="21.95" customHeight="1" x14ac:dyDescent="0.2">
      <c r="A5892" s="6" t="s">
        <v>1673</v>
      </c>
      <c r="B5892" s="6" t="s">
        <v>1806</v>
      </c>
      <c r="C5892" s="6" t="s">
        <v>1769</v>
      </c>
      <c r="D5892" s="6" t="s">
        <v>1772</v>
      </c>
      <c r="K5892" s="7">
        <v>44010257</v>
      </c>
      <c r="L5892" s="6" t="str">
        <f t="shared" si="579"/>
        <v>CTB ELEGANCE  KAZ TÜYÜ YASTIK 50*70</v>
      </c>
      <c r="M5892" s="8">
        <v>0.25</v>
      </c>
      <c r="N5892" s="8">
        <v>0.25</v>
      </c>
      <c r="O5892" s="8">
        <v>3755</v>
      </c>
      <c r="P5892" s="12">
        <f t="shared" si="580"/>
        <v>2816.25</v>
      </c>
      <c r="Q5892" s="12">
        <f t="shared" si="581"/>
        <v>5914.125</v>
      </c>
      <c r="R5892" s="33">
        <f t="shared" si="582"/>
        <v>5900</v>
      </c>
      <c r="T5892" s="12"/>
      <c r="U5892" s="8">
        <v>18700</v>
      </c>
      <c r="W5892" s="8">
        <f t="shared" si="583"/>
        <v>7040.625</v>
      </c>
    </row>
    <row r="5893" spans="1:23" ht="21.95" customHeight="1" x14ac:dyDescent="0.2">
      <c r="A5893" s="6" t="s">
        <v>1673</v>
      </c>
      <c r="B5893" s="6" t="s">
        <v>1806</v>
      </c>
      <c r="C5893" s="6" t="s">
        <v>1773</v>
      </c>
      <c r="D5893" s="6" t="s">
        <v>1774</v>
      </c>
      <c r="K5893" s="7">
        <v>44010258</v>
      </c>
      <c r="L5893" s="6" t="str">
        <f t="shared" si="579"/>
        <v>CTB KAZ TÜYÜ  YORGAN TEK KİŞİLİK (%5 GIDIK)</v>
      </c>
      <c r="M5893" s="8">
        <v>0.25</v>
      </c>
      <c r="N5893" s="8">
        <v>0.25</v>
      </c>
      <c r="O5893" s="8">
        <v>2565</v>
      </c>
      <c r="P5893" s="12">
        <f t="shared" si="580"/>
        <v>1923.75</v>
      </c>
      <c r="Q5893" s="12">
        <f t="shared" si="581"/>
        <v>4039.875</v>
      </c>
      <c r="R5893" s="33">
        <f t="shared" si="582"/>
        <v>4000</v>
      </c>
      <c r="T5893" s="12"/>
      <c r="U5893" s="8">
        <v>13700</v>
      </c>
      <c r="W5893" s="8">
        <f t="shared" si="583"/>
        <v>4809.375</v>
      </c>
    </row>
    <row r="5894" spans="1:23" ht="21.95" customHeight="1" x14ac:dyDescent="0.2">
      <c r="A5894" s="6" t="s">
        <v>1673</v>
      </c>
      <c r="B5894" s="6" t="s">
        <v>1806</v>
      </c>
      <c r="C5894" s="6" t="s">
        <v>1773</v>
      </c>
      <c r="D5894" s="6" t="s">
        <v>1775</v>
      </c>
      <c r="K5894" s="7">
        <v>44010259</v>
      </c>
      <c r="L5894" s="6" t="str">
        <f t="shared" si="579"/>
        <v>CTB KAZ TÜYÜ  YORGAN ÇİFT KİŞİLİK (%5 GIDIK)</v>
      </c>
      <c r="M5894" s="8">
        <v>0.25</v>
      </c>
      <c r="N5894" s="8">
        <v>0.25</v>
      </c>
      <c r="O5894" s="8">
        <v>3115</v>
      </c>
      <c r="P5894" s="12">
        <f t="shared" si="580"/>
        <v>2336.25</v>
      </c>
      <c r="Q5894" s="12">
        <f t="shared" si="581"/>
        <v>4906.125</v>
      </c>
      <c r="R5894" s="33">
        <f t="shared" si="582"/>
        <v>4900</v>
      </c>
      <c r="T5894" s="12"/>
      <c r="U5894" s="8">
        <v>14400</v>
      </c>
      <c r="W5894" s="8">
        <f t="shared" si="583"/>
        <v>5840.625</v>
      </c>
    </row>
    <row r="5895" spans="1:23" ht="21.95" customHeight="1" x14ac:dyDescent="0.2">
      <c r="A5895" s="6" t="s">
        <v>1673</v>
      </c>
      <c r="B5895" s="6" t="s">
        <v>1806</v>
      </c>
      <c r="C5895" s="6" t="s">
        <v>1773</v>
      </c>
      <c r="D5895" s="6" t="s">
        <v>1776</v>
      </c>
      <c r="K5895" s="7">
        <v>44010260</v>
      </c>
      <c r="L5895" s="6" t="str">
        <f t="shared" si="579"/>
        <v>CTB KAZ TÜYÜ  YASTIK 50*70 (%5 GIDIK)</v>
      </c>
      <c r="M5895" s="8">
        <v>0.25</v>
      </c>
      <c r="N5895" s="8">
        <v>0.25</v>
      </c>
      <c r="O5895" s="8">
        <v>870</v>
      </c>
      <c r="P5895" s="12">
        <f t="shared" si="580"/>
        <v>652.5</v>
      </c>
      <c r="Q5895" s="12">
        <f t="shared" si="581"/>
        <v>1370.25</v>
      </c>
      <c r="R5895" s="33">
        <f t="shared" si="582"/>
        <v>1300</v>
      </c>
      <c r="T5895" s="12"/>
      <c r="U5895" s="8">
        <v>14600</v>
      </c>
      <c r="W5895" s="8">
        <f t="shared" si="583"/>
        <v>1631.25</v>
      </c>
    </row>
    <row r="5896" spans="1:23" ht="21.95" customHeight="1" x14ac:dyDescent="0.2">
      <c r="A5896" s="6" t="s">
        <v>1673</v>
      </c>
      <c r="B5896" s="6" t="s">
        <v>1806</v>
      </c>
      <c r="C5896" s="6" t="s">
        <v>1777</v>
      </c>
      <c r="D5896" s="6" t="s">
        <v>1756</v>
      </c>
      <c r="K5896" s="7">
        <v>44010261</v>
      </c>
      <c r="L5896" s="6" t="str">
        <f t="shared" si="579"/>
        <v xml:space="preserve">CTB ALOE VERA  YORGAN TEK KİŞİLİK </v>
      </c>
      <c r="M5896" s="8">
        <v>0.25</v>
      </c>
      <c r="N5896" s="8">
        <v>0.25</v>
      </c>
      <c r="O5896" s="8">
        <v>1570</v>
      </c>
      <c r="P5896" s="12">
        <f t="shared" si="580"/>
        <v>1177.5</v>
      </c>
      <c r="Q5896" s="12">
        <f t="shared" si="581"/>
        <v>2472.75</v>
      </c>
      <c r="R5896" s="33">
        <f t="shared" si="582"/>
        <v>2400</v>
      </c>
      <c r="T5896" s="12"/>
      <c r="U5896" s="8">
        <v>17500</v>
      </c>
      <c r="W5896" s="8">
        <f t="shared" si="583"/>
        <v>2943.75</v>
      </c>
    </row>
    <row r="5897" spans="1:23" ht="21.95" customHeight="1" x14ac:dyDescent="0.2">
      <c r="A5897" s="6" t="s">
        <v>1673</v>
      </c>
      <c r="B5897" s="6" t="s">
        <v>1806</v>
      </c>
      <c r="C5897" s="6" t="s">
        <v>1777</v>
      </c>
      <c r="D5897" s="6" t="s">
        <v>1759</v>
      </c>
      <c r="K5897" s="7">
        <v>44010262</v>
      </c>
      <c r="L5897" s="6" t="str">
        <f t="shared" si="579"/>
        <v xml:space="preserve">CTB ALOE VERA  YORGAN ÇİFT KİŞİLİK </v>
      </c>
      <c r="M5897" s="8">
        <v>0.25</v>
      </c>
      <c r="N5897" s="8">
        <v>0.25</v>
      </c>
      <c r="O5897" s="8">
        <v>1910</v>
      </c>
      <c r="P5897" s="12">
        <f t="shared" si="580"/>
        <v>1432.5</v>
      </c>
      <c r="Q5897" s="12">
        <f t="shared" si="581"/>
        <v>3008.25</v>
      </c>
      <c r="R5897" s="33">
        <f t="shared" si="582"/>
        <v>3000</v>
      </c>
      <c r="T5897" s="12"/>
      <c r="U5897" s="8">
        <v>20400</v>
      </c>
      <c r="W5897" s="8">
        <f t="shared" si="583"/>
        <v>3581.25</v>
      </c>
    </row>
    <row r="5898" spans="1:23" ht="21.95" customHeight="1" x14ac:dyDescent="0.2">
      <c r="A5898" s="6" t="s">
        <v>1673</v>
      </c>
      <c r="B5898" s="6" t="s">
        <v>1806</v>
      </c>
      <c r="C5898" s="6" t="s">
        <v>1777</v>
      </c>
      <c r="D5898" s="6" t="s">
        <v>1778</v>
      </c>
      <c r="K5898" s="7">
        <v>44010263</v>
      </c>
      <c r="L5898" s="6" t="str">
        <f t="shared" si="579"/>
        <v xml:space="preserve">CTB ALOE VERA  YASTIK 50*70 </v>
      </c>
      <c r="M5898" s="8">
        <v>0.25</v>
      </c>
      <c r="N5898" s="8">
        <v>0.25</v>
      </c>
      <c r="O5898" s="8">
        <v>710</v>
      </c>
      <c r="P5898" s="12">
        <f t="shared" si="580"/>
        <v>532.5</v>
      </c>
      <c r="Q5898" s="12">
        <f t="shared" si="581"/>
        <v>1118.25</v>
      </c>
      <c r="R5898" s="33">
        <f t="shared" si="582"/>
        <v>1100</v>
      </c>
      <c r="T5898" s="12"/>
      <c r="U5898" s="8">
        <v>21800</v>
      </c>
      <c r="W5898" s="8">
        <f t="shared" si="583"/>
        <v>1331.25</v>
      </c>
    </row>
    <row r="5899" spans="1:23" ht="21.95" customHeight="1" x14ac:dyDescent="0.2">
      <c r="A5899" s="6" t="s">
        <v>1673</v>
      </c>
      <c r="B5899" s="6" t="s">
        <v>1806</v>
      </c>
      <c r="C5899" s="6" t="s">
        <v>1779</v>
      </c>
      <c r="D5899" s="6" t="s">
        <v>1756</v>
      </c>
      <c r="K5899" s="7">
        <v>44010264</v>
      </c>
      <c r="L5899" s="6" t="str">
        <f t="shared" si="579"/>
        <v xml:space="preserve">CTB EXCLUSIVE RANFORCE  YORGAN TEK KİŞİLİK </v>
      </c>
      <c r="M5899" s="8">
        <v>0.25</v>
      </c>
      <c r="N5899" s="8">
        <v>0.25</v>
      </c>
      <c r="O5899" s="8">
        <v>1380</v>
      </c>
      <c r="P5899" s="12">
        <f t="shared" si="580"/>
        <v>1035</v>
      </c>
      <c r="Q5899" s="12">
        <f t="shared" si="581"/>
        <v>2173.5</v>
      </c>
      <c r="R5899" s="33">
        <f t="shared" si="582"/>
        <v>2100</v>
      </c>
      <c r="T5899" s="12"/>
      <c r="U5899" s="8">
        <v>23300</v>
      </c>
      <c r="W5899" s="8">
        <f t="shared" si="583"/>
        <v>2587.5</v>
      </c>
    </row>
    <row r="5900" spans="1:23" ht="21.95" customHeight="1" x14ac:dyDescent="0.2">
      <c r="A5900" s="6" t="s">
        <v>1673</v>
      </c>
      <c r="B5900" s="6" t="s">
        <v>1806</v>
      </c>
      <c r="C5900" s="6" t="s">
        <v>1779</v>
      </c>
      <c r="D5900" s="6" t="s">
        <v>1759</v>
      </c>
      <c r="K5900" s="7">
        <v>44010265</v>
      </c>
      <c r="L5900" s="6" t="str">
        <f t="shared" si="579"/>
        <v xml:space="preserve">CTB EXCLUSIVE RANFORCE  YORGAN ÇİFT KİŞİLİK </v>
      </c>
      <c r="M5900" s="8">
        <v>0.25</v>
      </c>
      <c r="N5900" s="8">
        <v>0.25</v>
      </c>
      <c r="O5900" s="8">
        <v>1600</v>
      </c>
      <c r="P5900" s="12">
        <f t="shared" si="580"/>
        <v>1200</v>
      </c>
      <c r="Q5900" s="12">
        <f t="shared" si="581"/>
        <v>2520</v>
      </c>
      <c r="R5900" s="33">
        <f t="shared" si="582"/>
        <v>2500</v>
      </c>
      <c r="T5900" s="12"/>
      <c r="U5900" s="8">
        <v>26200</v>
      </c>
      <c r="W5900" s="8">
        <f t="shared" si="583"/>
        <v>3000</v>
      </c>
    </row>
    <row r="5901" spans="1:23" ht="21.95" customHeight="1" x14ac:dyDescent="0.2">
      <c r="A5901" s="6" t="s">
        <v>1673</v>
      </c>
      <c r="B5901" s="6" t="s">
        <v>1806</v>
      </c>
      <c r="C5901" s="6" t="s">
        <v>1780</v>
      </c>
      <c r="D5901" s="6" t="s">
        <v>1756</v>
      </c>
      <c r="K5901" s="7">
        <v>44010266</v>
      </c>
      <c r="L5901" s="6" t="str">
        <f t="shared" si="579"/>
        <v xml:space="preserve">CTB CLIMATE  YORGAN TEK KİŞİLİK </v>
      </c>
      <c r="M5901" s="8">
        <v>0.25</v>
      </c>
      <c r="N5901" s="8">
        <v>0.25</v>
      </c>
      <c r="O5901" s="8">
        <v>1840</v>
      </c>
      <c r="P5901" s="12">
        <f t="shared" si="580"/>
        <v>1380</v>
      </c>
      <c r="Q5901" s="12">
        <f t="shared" si="581"/>
        <v>2898</v>
      </c>
      <c r="R5901" s="33">
        <f t="shared" si="582"/>
        <v>2800</v>
      </c>
      <c r="T5901" s="12"/>
      <c r="U5901" s="8">
        <v>15800</v>
      </c>
      <c r="W5901" s="8">
        <f t="shared" si="583"/>
        <v>3450</v>
      </c>
    </row>
    <row r="5902" spans="1:23" ht="21.95" customHeight="1" x14ac:dyDescent="0.2">
      <c r="A5902" s="6" t="s">
        <v>1673</v>
      </c>
      <c r="B5902" s="6" t="s">
        <v>1806</v>
      </c>
      <c r="C5902" s="6" t="s">
        <v>1780</v>
      </c>
      <c r="D5902" s="6" t="s">
        <v>1759</v>
      </c>
      <c r="K5902" s="7">
        <v>44010267</v>
      </c>
      <c r="L5902" s="6" t="str">
        <f t="shared" si="579"/>
        <v xml:space="preserve">CTB CLIMATE  YORGAN ÇİFT KİŞİLİK </v>
      </c>
      <c r="M5902" s="8">
        <v>0.25</v>
      </c>
      <c r="N5902" s="8">
        <v>0.25</v>
      </c>
      <c r="O5902" s="8">
        <v>2175</v>
      </c>
      <c r="P5902" s="12">
        <f t="shared" si="580"/>
        <v>1631.25</v>
      </c>
      <c r="Q5902" s="12">
        <f t="shared" si="581"/>
        <v>3425.625</v>
      </c>
      <c r="R5902" s="33">
        <f t="shared" si="582"/>
        <v>3400</v>
      </c>
      <c r="T5902" s="12"/>
      <c r="U5902" s="8">
        <v>26900</v>
      </c>
      <c r="W5902" s="8">
        <f t="shared" si="583"/>
        <v>4078.125</v>
      </c>
    </row>
    <row r="5903" spans="1:23" ht="21.95" customHeight="1" x14ac:dyDescent="0.2">
      <c r="A5903" s="6" t="s">
        <v>1673</v>
      </c>
      <c r="B5903" s="6" t="s">
        <v>1806</v>
      </c>
      <c r="C5903" s="6" t="s">
        <v>1780</v>
      </c>
      <c r="D5903" s="6" t="s">
        <v>1760</v>
      </c>
      <c r="K5903" s="7">
        <v>44010268</v>
      </c>
      <c r="L5903" s="6" t="str">
        <f t="shared" si="579"/>
        <v>CTB CLIMATE  YASTIK 50*70</v>
      </c>
      <c r="M5903" s="8">
        <v>0.25</v>
      </c>
      <c r="N5903" s="8">
        <v>0.25</v>
      </c>
      <c r="O5903" s="8">
        <v>800</v>
      </c>
      <c r="P5903" s="12">
        <f t="shared" si="580"/>
        <v>600</v>
      </c>
      <c r="Q5903" s="12">
        <f t="shared" si="581"/>
        <v>1260</v>
      </c>
      <c r="R5903" s="33">
        <f t="shared" si="582"/>
        <v>1200</v>
      </c>
      <c r="T5903" s="12"/>
      <c r="U5903" s="8">
        <v>27300</v>
      </c>
      <c r="W5903" s="8">
        <f t="shared" si="583"/>
        <v>1500</v>
      </c>
    </row>
    <row r="5904" spans="1:23" ht="21.95" customHeight="1" x14ac:dyDescent="0.2">
      <c r="A5904" s="6" t="s">
        <v>1673</v>
      </c>
      <c r="B5904" s="6" t="s">
        <v>1806</v>
      </c>
      <c r="C5904" s="6" t="s">
        <v>1781</v>
      </c>
      <c r="D5904" s="6" t="s">
        <v>1782</v>
      </c>
      <c r="K5904" s="7">
        <v>44010269</v>
      </c>
      <c r="L5904" s="6" t="str">
        <f t="shared" si="579"/>
        <v xml:space="preserve">CTB PELUŞ  YORGAN SET TEK KİŞİLİK </v>
      </c>
      <c r="M5904" s="8">
        <v>0.25</v>
      </c>
      <c r="N5904" s="8">
        <v>0.25</v>
      </c>
      <c r="O5904" s="8">
        <v>2125</v>
      </c>
      <c r="P5904" s="12">
        <f t="shared" si="580"/>
        <v>1593.75</v>
      </c>
      <c r="Q5904" s="12">
        <f t="shared" si="581"/>
        <v>3346.875</v>
      </c>
      <c r="R5904" s="33">
        <f t="shared" si="582"/>
        <v>3300</v>
      </c>
      <c r="T5904" s="12"/>
      <c r="U5904" s="8">
        <v>27600</v>
      </c>
      <c r="W5904" s="8">
        <f t="shared" si="583"/>
        <v>3984.375</v>
      </c>
    </row>
    <row r="5905" spans="1:23" ht="21.95" customHeight="1" x14ac:dyDescent="0.2">
      <c r="A5905" s="6" t="s">
        <v>1673</v>
      </c>
      <c r="B5905" s="6" t="s">
        <v>1806</v>
      </c>
      <c r="C5905" s="6" t="s">
        <v>1781</v>
      </c>
      <c r="D5905" s="6" t="s">
        <v>1783</v>
      </c>
      <c r="K5905" s="7">
        <v>44010270</v>
      </c>
      <c r="L5905" s="6" t="str">
        <f t="shared" si="579"/>
        <v xml:space="preserve">CTB PELUŞ  YORGAN SET ÇİFT KİŞİLİK </v>
      </c>
      <c r="M5905" s="8">
        <v>0.25</v>
      </c>
      <c r="N5905" s="8">
        <v>0.25</v>
      </c>
      <c r="O5905" s="8">
        <v>2855</v>
      </c>
      <c r="P5905" s="12">
        <f t="shared" si="580"/>
        <v>2141.25</v>
      </c>
      <c r="Q5905" s="12">
        <f t="shared" si="581"/>
        <v>4496.625</v>
      </c>
      <c r="R5905" s="33">
        <f t="shared" si="582"/>
        <v>4400</v>
      </c>
      <c r="T5905" s="12"/>
      <c r="U5905" s="8">
        <v>33200</v>
      </c>
      <c r="W5905" s="8">
        <f t="shared" si="583"/>
        <v>5353.125</v>
      </c>
    </row>
    <row r="5906" spans="1:23" ht="21.95" customHeight="1" x14ac:dyDescent="0.2">
      <c r="A5906" s="6" t="s">
        <v>1673</v>
      </c>
      <c r="B5906" s="6" t="s">
        <v>1806</v>
      </c>
      <c r="C5906" s="6" t="s">
        <v>1784</v>
      </c>
      <c r="D5906" s="6" t="s">
        <v>1756</v>
      </c>
      <c r="K5906" s="7">
        <v>44010271</v>
      </c>
      <c r="L5906" s="6" t="str">
        <f t="shared" si="579"/>
        <v xml:space="preserve">CTB WAVE  YORGAN TEK KİŞİLİK </v>
      </c>
      <c r="M5906" s="8">
        <v>0.25</v>
      </c>
      <c r="N5906" s="8">
        <v>0.25</v>
      </c>
      <c r="O5906" s="8">
        <v>1685</v>
      </c>
      <c r="P5906" s="12">
        <f t="shared" si="580"/>
        <v>1263.75</v>
      </c>
      <c r="Q5906" s="12">
        <f t="shared" si="581"/>
        <v>2653.875</v>
      </c>
      <c r="R5906" s="33">
        <f t="shared" si="582"/>
        <v>2600</v>
      </c>
      <c r="T5906" s="12"/>
      <c r="U5906" s="8">
        <v>38700</v>
      </c>
      <c r="W5906" s="8">
        <f t="shared" si="583"/>
        <v>3159.375</v>
      </c>
    </row>
    <row r="5907" spans="1:23" ht="21.95" customHeight="1" x14ac:dyDescent="0.2">
      <c r="A5907" s="6" t="s">
        <v>1673</v>
      </c>
      <c r="B5907" s="6" t="s">
        <v>1806</v>
      </c>
      <c r="C5907" s="6" t="s">
        <v>1784</v>
      </c>
      <c r="D5907" s="6" t="s">
        <v>1759</v>
      </c>
      <c r="K5907" s="7">
        <v>44010272</v>
      </c>
      <c r="L5907" s="6" t="str">
        <f t="shared" si="579"/>
        <v xml:space="preserve">CTB WAVE  YORGAN ÇİFT KİŞİLİK </v>
      </c>
      <c r="M5907" s="8">
        <v>0.25</v>
      </c>
      <c r="N5907" s="8">
        <v>0.25</v>
      </c>
      <c r="O5907" s="8">
        <v>1960</v>
      </c>
      <c r="P5907" s="12">
        <f t="shared" si="580"/>
        <v>1470</v>
      </c>
      <c r="Q5907" s="12">
        <f t="shared" si="581"/>
        <v>3087</v>
      </c>
      <c r="R5907" s="33">
        <f t="shared" si="582"/>
        <v>3000</v>
      </c>
      <c r="T5907" s="12"/>
      <c r="U5907" s="8">
        <v>41400</v>
      </c>
      <c r="W5907" s="8">
        <f t="shared" si="583"/>
        <v>3675</v>
      </c>
    </row>
    <row r="5908" spans="1:23" ht="21.95" customHeight="1" x14ac:dyDescent="0.2">
      <c r="A5908" s="6" t="s">
        <v>1673</v>
      </c>
      <c r="B5908" s="6" t="s">
        <v>1806</v>
      </c>
      <c r="C5908" s="6" t="s">
        <v>1639</v>
      </c>
      <c r="D5908" s="6" t="s">
        <v>1756</v>
      </c>
      <c r="K5908" s="7">
        <v>44010273</v>
      </c>
      <c r="L5908" s="6" t="str">
        <f t="shared" si="579"/>
        <v xml:space="preserve">CTB VELVET  YORGAN TEK KİŞİLİK </v>
      </c>
      <c r="M5908" s="8">
        <v>0.25</v>
      </c>
      <c r="N5908" s="8">
        <v>0.25</v>
      </c>
      <c r="O5908" s="8">
        <v>1295</v>
      </c>
      <c r="P5908" s="12">
        <f t="shared" si="580"/>
        <v>971.25</v>
      </c>
      <c r="Q5908" s="12">
        <f t="shared" si="581"/>
        <v>2039.625</v>
      </c>
      <c r="R5908" s="33">
        <f t="shared" si="582"/>
        <v>2000</v>
      </c>
      <c r="T5908" s="12"/>
      <c r="U5908" s="8">
        <v>44200</v>
      </c>
      <c r="W5908" s="8">
        <f t="shared" si="583"/>
        <v>2428.125</v>
      </c>
    </row>
    <row r="5909" spans="1:23" ht="21.95" customHeight="1" x14ac:dyDescent="0.2">
      <c r="A5909" s="6" t="s">
        <v>1673</v>
      </c>
      <c r="B5909" s="6" t="s">
        <v>1806</v>
      </c>
      <c r="C5909" s="6" t="s">
        <v>1639</v>
      </c>
      <c r="D5909" s="6" t="s">
        <v>1759</v>
      </c>
      <c r="K5909" s="7">
        <v>44010274</v>
      </c>
      <c r="L5909" s="6" t="str">
        <f t="shared" si="579"/>
        <v xml:space="preserve">CTB VELVET  YORGAN ÇİFT KİŞİLİK </v>
      </c>
      <c r="M5909" s="8">
        <v>0.25</v>
      </c>
      <c r="N5909" s="8">
        <v>0.25</v>
      </c>
      <c r="O5909" s="8">
        <v>1475</v>
      </c>
      <c r="P5909" s="12">
        <f t="shared" si="580"/>
        <v>1106.25</v>
      </c>
      <c r="Q5909" s="12">
        <f t="shared" si="581"/>
        <v>2323.125</v>
      </c>
      <c r="R5909" s="33">
        <f t="shared" si="582"/>
        <v>2300</v>
      </c>
      <c r="T5909" s="12"/>
      <c r="U5909" s="8">
        <v>49700</v>
      </c>
      <c r="W5909" s="8">
        <f t="shared" si="583"/>
        <v>2765.625</v>
      </c>
    </row>
    <row r="5910" spans="1:23" ht="21.95" customHeight="1" x14ac:dyDescent="0.2">
      <c r="A5910" s="6" t="s">
        <v>1673</v>
      </c>
      <c r="B5910" s="6" t="s">
        <v>1806</v>
      </c>
      <c r="C5910" s="6" t="s">
        <v>1785</v>
      </c>
      <c r="D5910" s="6" t="s">
        <v>1786</v>
      </c>
      <c r="K5910" s="7">
        <v>44010275</v>
      </c>
      <c r="L5910" s="6" t="str">
        <f t="shared" si="579"/>
        <v>CTB RNF. SIVI GEÇİRMEZ KAPİTONELİ FİTTED YATAK PEDİ 100*200</v>
      </c>
      <c r="M5910" s="8">
        <v>0.25</v>
      </c>
      <c r="N5910" s="8">
        <v>0.25</v>
      </c>
      <c r="O5910" s="8">
        <v>735</v>
      </c>
      <c r="P5910" s="12">
        <f t="shared" si="580"/>
        <v>551.25</v>
      </c>
      <c r="Q5910" s="12">
        <f t="shared" si="581"/>
        <v>1157.625</v>
      </c>
      <c r="R5910" s="33">
        <f t="shared" si="582"/>
        <v>1100</v>
      </c>
      <c r="T5910" s="12"/>
      <c r="U5910" s="8">
        <v>14200</v>
      </c>
      <c r="W5910" s="8">
        <f t="shared" si="583"/>
        <v>1378.125</v>
      </c>
    </row>
    <row r="5911" spans="1:23" ht="21.95" customHeight="1" x14ac:dyDescent="0.2">
      <c r="A5911" s="6" t="s">
        <v>1673</v>
      </c>
      <c r="B5911" s="6" t="s">
        <v>1806</v>
      </c>
      <c r="C5911" s="6" t="s">
        <v>1785</v>
      </c>
      <c r="D5911" s="6" t="s">
        <v>1787</v>
      </c>
      <c r="K5911" s="7">
        <v>44010276</v>
      </c>
      <c r="L5911" s="6" t="str">
        <f t="shared" si="579"/>
        <v>CTB RNF. SIVI GEÇİRMEZ KAPİTONELİ FİTTED YATAK PEDİ 120*200</v>
      </c>
      <c r="M5911" s="8">
        <v>0.25</v>
      </c>
      <c r="N5911" s="8">
        <v>0.25</v>
      </c>
      <c r="O5911" s="8">
        <v>830</v>
      </c>
      <c r="P5911" s="12">
        <f t="shared" si="580"/>
        <v>622.5</v>
      </c>
      <c r="Q5911" s="12">
        <f t="shared" si="581"/>
        <v>1307.25</v>
      </c>
      <c r="R5911" s="33">
        <f t="shared" si="582"/>
        <v>1300</v>
      </c>
      <c r="T5911" s="12"/>
      <c r="U5911" s="8">
        <v>15000</v>
      </c>
      <c r="W5911" s="8">
        <f t="shared" si="583"/>
        <v>1556.25</v>
      </c>
    </row>
    <row r="5912" spans="1:23" ht="21.95" customHeight="1" x14ac:dyDescent="0.2">
      <c r="A5912" s="6" t="s">
        <v>1673</v>
      </c>
      <c r="B5912" s="6" t="s">
        <v>1806</v>
      </c>
      <c r="C5912" s="6" t="s">
        <v>1785</v>
      </c>
      <c r="D5912" s="6" t="s">
        <v>1788</v>
      </c>
      <c r="K5912" s="7">
        <v>44010277</v>
      </c>
      <c r="L5912" s="6" t="str">
        <f t="shared" si="579"/>
        <v>CTB RNF. SIVI GEÇİRMEZ KAPİTONELİ FİTTED YATAK PEDİ 160*200</v>
      </c>
      <c r="M5912" s="8">
        <v>0.25</v>
      </c>
      <c r="N5912" s="8">
        <v>0.25</v>
      </c>
      <c r="O5912" s="8">
        <v>960</v>
      </c>
      <c r="P5912" s="12">
        <f t="shared" si="580"/>
        <v>720</v>
      </c>
      <c r="Q5912" s="12">
        <f t="shared" si="581"/>
        <v>1512</v>
      </c>
      <c r="R5912" s="33">
        <f t="shared" si="582"/>
        <v>1500</v>
      </c>
      <c r="T5912" s="12"/>
      <c r="U5912" s="8">
        <v>15100</v>
      </c>
      <c r="W5912" s="8">
        <f t="shared" si="583"/>
        <v>1800</v>
      </c>
    </row>
    <row r="5913" spans="1:23" ht="21.95" customHeight="1" x14ac:dyDescent="0.2">
      <c r="A5913" s="6" t="s">
        <v>1673</v>
      </c>
      <c r="B5913" s="6" t="s">
        <v>1806</v>
      </c>
      <c r="C5913" s="6" t="s">
        <v>1785</v>
      </c>
      <c r="D5913" s="6" t="s">
        <v>1789</v>
      </c>
      <c r="K5913" s="7">
        <v>44010278</v>
      </c>
      <c r="L5913" s="6" t="str">
        <f t="shared" si="579"/>
        <v>CTB RNF. SIVI GEÇİRMEZ KAPİTONELİ FİTTED YATAK PEDİ 180*200</v>
      </c>
      <c r="M5913" s="8">
        <v>0.25</v>
      </c>
      <c r="N5913" s="8">
        <v>0.25</v>
      </c>
      <c r="O5913" s="8">
        <v>1055</v>
      </c>
      <c r="P5913" s="12">
        <f t="shared" si="580"/>
        <v>791.25</v>
      </c>
      <c r="Q5913" s="12">
        <f t="shared" si="581"/>
        <v>1661.625</v>
      </c>
      <c r="R5913" s="33">
        <f t="shared" si="582"/>
        <v>1600</v>
      </c>
      <c r="T5913" s="12"/>
      <c r="U5913" s="8">
        <v>18200</v>
      </c>
      <c r="W5913" s="8">
        <f t="shared" si="583"/>
        <v>1978.125</v>
      </c>
    </row>
    <row r="5914" spans="1:23" ht="21.95" customHeight="1" x14ac:dyDescent="0.2">
      <c r="A5914" s="6" t="s">
        <v>1673</v>
      </c>
      <c r="B5914" s="6" t="s">
        <v>1806</v>
      </c>
      <c r="C5914" s="6" t="s">
        <v>1785</v>
      </c>
      <c r="D5914" s="6" t="s">
        <v>1790</v>
      </c>
      <c r="K5914" s="7">
        <v>44010279</v>
      </c>
      <c r="L5914" s="6" t="str">
        <f t="shared" si="579"/>
        <v>CTB RNF. SIVI GEÇİRMEZ KAPİTONELİ FİTTED YATAK PEDİ 200*200</v>
      </c>
      <c r="M5914" s="8">
        <v>0.25</v>
      </c>
      <c r="N5914" s="8">
        <v>0.25</v>
      </c>
      <c r="O5914" s="8">
        <v>1180</v>
      </c>
      <c r="P5914" s="12">
        <f t="shared" si="580"/>
        <v>885</v>
      </c>
      <c r="Q5914" s="12">
        <f t="shared" si="581"/>
        <v>1858.5</v>
      </c>
      <c r="R5914" s="33">
        <f t="shared" si="582"/>
        <v>1800</v>
      </c>
      <c r="T5914" s="12"/>
      <c r="U5914" s="8">
        <v>21200</v>
      </c>
      <c r="W5914" s="8">
        <f t="shared" si="583"/>
        <v>2212.5</v>
      </c>
    </row>
    <row r="5915" spans="1:23" ht="21.95" customHeight="1" x14ac:dyDescent="0.2">
      <c r="A5915" s="6" t="s">
        <v>1673</v>
      </c>
      <c r="B5915" s="6" t="s">
        <v>1806</v>
      </c>
      <c r="C5915" s="6" t="s">
        <v>1791</v>
      </c>
      <c r="D5915" s="6" t="s">
        <v>1792</v>
      </c>
      <c r="K5915" s="7">
        <v>44010280</v>
      </c>
      <c r="L5915" s="6" t="str">
        <f t="shared" si="579"/>
        <v>CTB ANTIQUE MASA ÖRTÜSÜ SETİ (155*160)+(35*130)</v>
      </c>
      <c r="M5915" s="8">
        <v>0.25</v>
      </c>
      <c r="N5915" s="8">
        <v>0.25</v>
      </c>
      <c r="O5915" s="8">
        <v>725</v>
      </c>
      <c r="P5915" s="12">
        <f t="shared" si="580"/>
        <v>543.75</v>
      </c>
      <c r="Q5915" s="12">
        <f t="shared" si="581"/>
        <v>1141.875</v>
      </c>
      <c r="R5915" s="33">
        <f t="shared" si="582"/>
        <v>1100</v>
      </c>
      <c r="T5915" s="12"/>
      <c r="U5915" s="8">
        <v>22700</v>
      </c>
      <c r="W5915" s="8">
        <f t="shared" si="583"/>
        <v>1359.375</v>
      </c>
    </row>
    <row r="5916" spans="1:23" ht="21.95" customHeight="1" x14ac:dyDescent="0.2">
      <c r="A5916" s="6" t="s">
        <v>1673</v>
      </c>
      <c r="B5916" s="6" t="s">
        <v>1806</v>
      </c>
      <c r="C5916" s="6" t="s">
        <v>1791</v>
      </c>
      <c r="D5916" s="6" t="s">
        <v>1793</v>
      </c>
      <c r="K5916" s="7">
        <v>44010281</v>
      </c>
      <c r="L5916" s="6" t="str">
        <f t="shared" si="579"/>
        <v>CTB ANTIQUE MASA ÖRTÜSÜ SETİ (155*220)+(35*130)</v>
      </c>
      <c r="M5916" s="8">
        <v>0.25</v>
      </c>
      <c r="N5916" s="8">
        <v>0.25</v>
      </c>
      <c r="O5916" s="8">
        <v>868</v>
      </c>
      <c r="P5916" s="12">
        <f t="shared" si="580"/>
        <v>651</v>
      </c>
      <c r="Q5916" s="12">
        <f t="shared" si="581"/>
        <v>1367.1000000000001</v>
      </c>
      <c r="R5916" s="33">
        <f t="shared" si="582"/>
        <v>1300</v>
      </c>
      <c r="T5916" s="12"/>
      <c r="U5916" s="8">
        <v>24200</v>
      </c>
      <c r="W5916" s="8">
        <f t="shared" si="583"/>
        <v>1627.5</v>
      </c>
    </row>
    <row r="5917" spans="1:23" ht="21.95" customHeight="1" x14ac:dyDescent="0.2">
      <c r="A5917" s="6" t="s">
        <v>1673</v>
      </c>
      <c r="B5917" s="6" t="s">
        <v>1806</v>
      </c>
      <c r="C5917" s="6" t="s">
        <v>1794</v>
      </c>
      <c r="D5917" s="6" t="s">
        <v>1795</v>
      </c>
      <c r="K5917" s="7">
        <v>44010282</v>
      </c>
      <c r="L5917" s="6" t="str">
        <f t="shared" si="579"/>
        <v>CTB KETEN  MASA ÖRTÜSÜ TAKIMI (172*240)+(37*140)+(37*37)*6</v>
      </c>
      <c r="M5917" s="8">
        <v>0.25</v>
      </c>
      <c r="N5917" s="8">
        <v>0.25</v>
      </c>
      <c r="O5917" s="8">
        <v>2425</v>
      </c>
      <c r="P5917" s="12">
        <f t="shared" si="580"/>
        <v>1818.75</v>
      </c>
      <c r="Q5917" s="12">
        <f t="shared" si="581"/>
        <v>3819.375</v>
      </c>
      <c r="R5917" s="33">
        <f t="shared" si="582"/>
        <v>3800</v>
      </c>
      <c r="T5917" s="12"/>
      <c r="U5917" s="8">
        <v>27200</v>
      </c>
      <c r="W5917" s="8">
        <f t="shared" si="583"/>
        <v>4546.875</v>
      </c>
    </row>
    <row r="5918" spans="1:23" ht="21.95" customHeight="1" x14ac:dyDescent="0.2">
      <c r="A5918" s="6" t="s">
        <v>1673</v>
      </c>
      <c r="B5918" s="6" t="s">
        <v>1806</v>
      </c>
      <c r="C5918" s="6" t="s">
        <v>1796</v>
      </c>
      <c r="D5918" s="6" t="s">
        <v>1797</v>
      </c>
      <c r="K5918" s="7">
        <v>44010283</v>
      </c>
      <c r="L5918" s="6" t="str">
        <f t="shared" si="579"/>
        <v>CTB RANFORCE  FİTTED ÇARŞAF SETİ TEK KİŞİLİK 100*200</v>
      </c>
      <c r="M5918" s="8">
        <v>0.25</v>
      </c>
      <c r="N5918" s="8">
        <v>0.25</v>
      </c>
      <c r="O5918" s="8">
        <v>485</v>
      </c>
      <c r="P5918" s="12">
        <f t="shared" si="580"/>
        <v>363.75</v>
      </c>
      <c r="Q5918" s="12">
        <f t="shared" si="581"/>
        <v>763.875</v>
      </c>
      <c r="R5918" s="33">
        <f t="shared" si="582"/>
        <v>700</v>
      </c>
      <c r="T5918" s="12"/>
      <c r="U5918" s="8">
        <v>19300</v>
      </c>
      <c r="W5918" s="8">
        <f t="shared" si="583"/>
        <v>909.375</v>
      </c>
    </row>
    <row r="5919" spans="1:23" ht="21.95" customHeight="1" x14ac:dyDescent="0.2">
      <c r="A5919" s="6" t="s">
        <v>1673</v>
      </c>
      <c r="B5919" s="6" t="s">
        <v>1806</v>
      </c>
      <c r="C5919" s="6" t="s">
        <v>1796</v>
      </c>
      <c r="D5919" s="6" t="s">
        <v>1798</v>
      </c>
      <c r="K5919" s="7">
        <v>44010284</v>
      </c>
      <c r="L5919" s="6" t="str">
        <f t="shared" si="579"/>
        <v>CTB RANFORCE  FİTTED ÇARŞAF SETİ TEK KİŞİLİK 120*200</v>
      </c>
      <c r="M5919" s="8">
        <v>0.25</v>
      </c>
      <c r="N5919" s="8">
        <v>0.25</v>
      </c>
      <c r="O5919" s="8">
        <v>515</v>
      </c>
      <c r="P5919" s="12">
        <f t="shared" si="580"/>
        <v>386.25</v>
      </c>
      <c r="Q5919" s="12">
        <f t="shared" si="581"/>
        <v>811.125</v>
      </c>
      <c r="R5919" s="33">
        <f t="shared" si="582"/>
        <v>800</v>
      </c>
      <c r="T5919" s="12"/>
      <c r="U5919" s="8">
        <v>25800</v>
      </c>
      <c r="W5919" s="8">
        <f t="shared" ref="W5919:W5985" si="584">P5919*2.5</f>
        <v>965.625</v>
      </c>
    </row>
    <row r="5920" spans="1:23" ht="21.95" customHeight="1" x14ac:dyDescent="0.2">
      <c r="A5920" s="6" t="s">
        <v>1673</v>
      </c>
      <c r="B5920" s="6" t="s">
        <v>1806</v>
      </c>
      <c r="C5920" s="6" t="s">
        <v>1796</v>
      </c>
      <c r="D5920" s="6" t="s">
        <v>1799</v>
      </c>
      <c r="K5920" s="7">
        <v>44010285</v>
      </c>
      <c r="L5920" s="6" t="str">
        <f t="shared" si="579"/>
        <v>CTB RANFORCE  FİTTED ÇARŞAF SETİ ÇİFT KİŞİLİK 160*200</v>
      </c>
      <c r="M5920" s="8">
        <v>0.25</v>
      </c>
      <c r="N5920" s="8">
        <v>0.25</v>
      </c>
      <c r="O5920" s="8">
        <v>690</v>
      </c>
      <c r="P5920" s="12">
        <f t="shared" si="580"/>
        <v>517.5</v>
      </c>
      <c r="Q5920" s="12">
        <f t="shared" si="581"/>
        <v>1086.75</v>
      </c>
      <c r="R5920" s="33">
        <f t="shared" si="582"/>
        <v>1000</v>
      </c>
      <c r="T5920" s="12"/>
      <c r="U5920" s="8">
        <v>26300</v>
      </c>
      <c r="W5920" s="8">
        <f t="shared" si="584"/>
        <v>1293.75</v>
      </c>
    </row>
    <row r="5921" spans="1:23" ht="21.95" customHeight="1" x14ac:dyDescent="0.2">
      <c r="A5921" s="6" t="s">
        <v>1673</v>
      </c>
      <c r="B5921" s="6" t="s">
        <v>1806</v>
      </c>
      <c r="C5921" s="6" t="s">
        <v>1796</v>
      </c>
      <c r="D5921" s="6" t="s">
        <v>1800</v>
      </c>
      <c r="K5921" s="7">
        <v>44010286</v>
      </c>
      <c r="L5921" s="6" t="str">
        <f t="shared" si="579"/>
        <v>CTB RANFORCE  FİTTED ÇARŞAF SETİ ÇİFT KİŞİLİK 180*200</v>
      </c>
      <c r="M5921" s="8">
        <v>0.25</v>
      </c>
      <c r="N5921" s="8">
        <v>0.25</v>
      </c>
      <c r="O5921" s="8">
        <v>695</v>
      </c>
      <c r="P5921" s="12">
        <f t="shared" si="580"/>
        <v>521.25</v>
      </c>
      <c r="Q5921" s="12">
        <f t="shared" si="581"/>
        <v>1094.625</v>
      </c>
      <c r="R5921" s="33">
        <f t="shared" si="582"/>
        <v>1000</v>
      </c>
      <c r="T5921" s="12"/>
      <c r="U5921" s="8">
        <v>26500</v>
      </c>
      <c r="W5921" s="8">
        <f t="shared" si="584"/>
        <v>1303.125</v>
      </c>
    </row>
    <row r="5922" spans="1:23" ht="21.95" customHeight="1" x14ac:dyDescent="0.2">
      <c r="A5922" s="6" t="s">
        <v>1673</v>
      </c>
      <c r="B5922" s="6" t="s">
        <v>1806</v>
      </c>
      <c r="C5922" s="6" t="s">
        <v>1796</v>
      </c>
      <c r="D5922" s="6" t="s">
        <v>1801</v>
      </c>
      <c r="K5922" s="7">
        <v>44010287</v>
      </c>
      <c r="L5922" s="6" t="str">
        <f t="shared" si="579"/>
        <v>CTB RANFORCE  FİTTED ÇARŞAF SETİ BATTAL(KING) 200*200</v>
      </c>
      <c r="M5922" s="8">
        <v>0.25</v>
      </c>
      <c r="N5922" s="8">
        <v>0.25</v>
      </c>
      <c r="O5922" s="8">
        <v>750</v>
      </c>
      <c r="P5922" s="12">
        <f t="shared" si="580"/>
        <v>562.5</v>
      </c>
      <c r="Q5922" s="12">
        <f t="shared" si="581"/>
        <v>1181.25</v>
      </c>
      <c r="R5922" s="33">
        <f t="shared" si="582"/>
        <v>1100</v>
      </c>
      <c r="T5922" s="12"/>
      <c r="U5922" s="8">
        <v>31800</v>
      </c>
      <c r="W5922" s="8">
        <f t="shared" si="584"/>
        <v>1406.25</v>
      </c>
    </row>
    <row r="5923" spans="1:23" ht="21.95" customHeight="1" x14ac:dyDescent="0.2">
      <c r="A5923" s="6"/>
      <c r="B5923" s="6" t="s">
        <v>2021</v>
      </c>
      <c r="C5923" s="6" t="s">
        <v>1811</v>
      </c>
      <c r="D5923" s="6" t="s">
        <v>1852</v>
      </c>
      <c r="G5923" s="5">
        <v>180.5</v>
      </c>
      <c r="H5923" s="5">
        <v>60</v>
      </c>
      <c r="I5923" s="7">
        <v>216</v>
      </c>
      <c r="K5923" s="7">
        <v>44010288</v>
      </c>
      <c r="L5923" s="6" t="str">
        <f t="shared" ref="L5923:L5928" si="585">B5923&amp;" "&amp;C5923&amp;" "&amp;D5923&amp;" "&amp;G5923&amp;"x"&amp;H5923&amp;"x"&amp;I5923</f>
        <v>DCH  BELİS  DOLAP 4 LÜ 180,5x60x216</v>
      </c>
      <c r="T5923" s="12"/>
      <c r="U5923" s="8">
        <v>37100</v>
      </c>
      <c r="W5923" s="8">
        <f t="shared" si="584"/>
        <v>0</v>
      </c>
    </row>
    <row r="5924" spans="1:23" ht="21.95" customHeight="1" x14ac:dyDescent="0.2">
      <c r="A5924" s="6"/>
      <c r="B5924" s="6" t="s">
        <v>2021</v>
      </c>
      <c r="C5924" s="6" t="s">
        <v>1811</v>
      </c>
      <c r="D5924" s="6" t="s">
        <v>1853</v>
      </c>
      <c r="G5924" s="5">
        <v>90</v>
      </c>
      <c r="H5924" s="5">
        <v>60</v>
      </c>
      <c r="I5924" s="7">
        <v>216</v>
      </c>
      <c r="K5924" s="7">
        <v>44010289</v>
      </c>
      <c r="L5924" s="6" t="str">
        <f t="shared" si="585"/>
        <v>DCH  BELİS  DOLAP 2 Lİ  90x60x216</v>
      </c>
      <c r="T5924" s="12"/>
      <c r="U5924" s="8">
        <v>39700</v>
      </c>
      <c r="W5924" s="8">
        <f t="shared" si="584"/>
        <v>0</v>
      </c>
    </row>
    <row r="5925" spans="1:23" ht="21.95" customHeight="1" x14ac:dyDescent="0.2">
      <c r="A5925" s="6"/>
      <c r="B5925" s="6" t="s">
        <v>2021</v>
      </c>
      <c r="C5925" s="6" t="s">
        <v>1811</v>
      </c>
      <c r="D5925" s="6" t="s">
        <v>1812</v>
      </c>
      <c r="G5925" s="5">
        <v>209</v>
      </c>
      <c r="H5925" s="5">
        <v>215</v>
      </c>
      <c r="I5925" s="7">
        <v>115</v>
      </c>
      <c r="K5925" s="7">
        <v>44010290</v>
      </c>
      <c r="L5925" s="6" t="str">
        <f t="shared" si="585"/>
        <v>DCH  BELİS  KARYOLA  209x215x115</v>
      </c>
      <c r="T5925" s="12"/>
      <c r="U5925" s="8">
        <v>42400</v>
      </c>
      <c r="W5925" s="8">
        <f t="shared" si="584"/>
        <v>0</v>
      </c>
    </row>
    <row r="5926" spans="1:23" ht="21.95" customHeight="1" x14ac:dyDescent="0.2">
      <c r="A5926" s="6"/>
      <c r="B5926" s="6" t="s">
        <v>2021</v>
      </c>
      <c r="C5926" s="6" t="s">
        <v>1811</v>
      </c>
      <c r="D5926" s="6" t="s">
        <v>1817</v>
      </c>
      <c r="G5926" s="6">
        <v>63.5</v>
      </c>
      <c r="H5926" s="6">
        <v>46</v>
      </c>
      <c r="I5926" s="7">
        <v>42</v>
      </c>
      <c r="K5926" s="7">
        <v>44010291</v>
      </c>
      <c r="L5926" s="6" t="str">
        <f t="shared" si="585"/>
        <v>DCH  BELİS  KOMİDİN X2 63,5x46x42</v>
      </c>
      <c r="T5926" s="12"/>
      <c r="U5926" s="8">
        <v>47700</v>
      </c>
      <c r="W5926" s="8">
        <f t="shared" si="584"/>
        <v>0</v>
      </c>
    </row>
    <row r="5927" spans="1:23" ht="21.95" customHeight="1" x14ac:dyDescent="0.2">
      <c r="A5927" s="6"/>
      <c r="B5927" s="6" t="s">
        <v>2021</v>
      </c>
      <c r="C5927" s="6" t="s">
        <v>1811</v>
      </c>
      <c r="D5927" s="6" t="s">
        <v>96</v>
      </c>
      <c r="G5927" s="6">
        <v>135</v>
      </c>
      <c r="H5927" s="6">
        <v>48.5</v>
      </c>
      <c r="I5927" s="7">
        <v>80.5</v>
      </c>
      <c r="K5927" s="7">
        <v>44010292</v>
      </c>
      <c r="L5927" s="6" t="str">
        <f t="shared" si="585"/>
        <v>DCH  BELİS  ŞİFONYER  135x48,5x80,5</v>
      </c>
      <c r="T5927" s="12"/>
      <c r="U5927" s="8">
        <v>13300</v>
      </c>
      <c r="W5927" s="8">
        <f t="shared" si="584"/>
        <v>0</v>
      </c>
    </row>
    <row r="5928" spans="1:23" ht="21.95" customHeight="1" x14ac:dyDescent="0.2">
      <c r="A5928" s="6"/>
      <c r="B5928" s="6" t="s">
        <v>2021</v>
      </c>
      <c r="C5928" s="6" t="s">
        <v>1811</v>
      </c>
      <c r="D5928" s="6" t="s">
        <v>370</v>
      </c>
      <c r="G5928" s="6">
        <v>90</v>
      </c>
      <c r="H5928" s="6">
        <v>3.5</v>
      </c>
      <c r="I5928" s="7">
        <v>90</v>
      </c>
      <c r="K5928" s="7">
        <v>44010293</v>
      </c>
      <c r="L5928" s="6" t="str">
        <f t="shared" si="585"/>
        <v>DCH  BELİS  ŞİFONYER AYNA  90x3,5x90</v>
      </c>
      <c r="T5928" s="12"/>
      <c r="U5928" s="8">
        <v>14000</v>
      </c>
      <c r="W5928" s="8">
        <f t="shared" si="584"/>
        <v>0</v>
      </c>
    </row>
    <row r="5929" spans="1:23" ht="21.95" customHeight="1" x14ac:dyDescent="0.2">
      <c r="A5929" s="6"/>
      <c r="B5929" s="6" t="s">
        <v>2021</v>
      </c>
      <c r="C5929" s="6" t="s">
        <v>1811</v>
      </c>
      <c r="D5929" s="6" t="s">
        <v>1813</v>
      </c>
      <c r="K5929" s="7">
        <v>44010294</v>
      </c>
      <c r="L5929" s="6" t="str">
        <f>B5929&amp;" "&amp;C5929&amp;" "&amp;D5929</f>
        <v xml:space="preserve">DCH  BELİS  BAZALI KARYOLA </v>
      </c>
      <c r="T5929" s="12"/>
      <c r="U5929" s="8">
        <v>14200</v>
      </c>
      <c r="W5929" s="8">
        <f t="shared" si="584"/>
        <v>0</v>
      </c>
    </row>
    <row r="5930" spans="1:23" ht="21.95" customHeight="1" x14ac:dyDescent="0.2">
      <c r="A5930" s="6"/>
      <c r="B5930" s="6" t="s">
        <v>2021</v>
      </c>
      <c r="C5930" s="6" t="s">
        <v>1811</v>
      </c>
      <c r="D5930" s="6" t="s">
        <v>1814</v>
      </c>
      <c r="K5930" s="7">
        <v>44010295</v>
      </c>
      <c r="L5930" s="6" t="str">
        <f>B5930&amp;" "&amp;C5930&amp;" "&amp;D5930</f>
        <v>DCH  BELİS  YERDEN YÜKSEK KARYOLA</v>
      </c>
      <c r="T5930" s="12"/>
      <c r="U5930" s="8">
        <v>17000</v>
      </c>
      <c r="W5930" s="8">
        <f t="shared" si="584"/>
        <v>0</v>
      </c>
    </row>
    <row r="5931" spans="1:23" ht="21.95" customHeight="1" x14ac:dyDescent="0.2">
      <c r="A5931" s="6"/>
      <c r="B5931" s="6" t="s">
        <v>2021</v>
      </c>
      <c r="C5931" s="6" t="s">
        <v>1811</v>
      </c>
      <c r="D5931" s="6" t="s">
        <v>119</v>
      </c>
      <c r="G5931" s="6">
        <v>40</v>
      </c>
      <c r="H5931" s="6">
        <v>40</v>
      </c>
      <c r="I5931" s="7">
        <v>42</v>
      </c>
      <c r="K5931" s="7">
        <v>44010296</v>
      </c>
      <c r="L5931" s="6" t="str">
        <f t="shared" ref="L5931:L5939" si="586">B5931&amp;" "&amp;C5931&amp;" "&amp;D5931&amp;" "&amp;G5931&amp;"x"&amp;H5931&amp;"x"&amp;I5931</f>
        <v>DCH  BELİS  PUF 40x40x42</v>
      </c>
      <c r="T5931" s="12"/>
      <c r="U5931" s="8">
        <v>19900</v>
      </c>
      <c r="W5931" s="8">
        <f t="shared" si="584"/>
        <v>0</v>
      </c>
    </row>
    <row r="5932" spans="1:23" ht="21.95" customHeight="1" x14ac:dyDescent="0.2">
      <c r="A5932" s="6"/>
      <c r="B5932" s="6" t="s">
        <v>2021</v>
      </c>
      <c r="C5932" s="6" t="s">
        <v>1811</v>
      </c>
      <c r="D5932" s="6" t="s">
        <v>1456</v>
      </c>
      <c r="G5932" s="6">
        <v>63.5</v>
      </c>
      <c r="H5932" s="6">
        <v>46</v>
      </c>
      <c r="I5932" s="7">
        <v>99.5</v>
      </c>
      <c r="K5932" s="7">
        <v>44010297</v>
      </c>
      <c r="L5932" s="6" t="str">
        <f t="shared" si="586"/>
        <v>DCH  BELİS  ÇAMAŞIRLIK  63,5x46x99,5</v>
      </c>
      <c r="T5932" s="12"/>
      <c r="U5932" s="8">
        <v>21300</v>
      </c>
      <c r="W5932" s="8">
        <f t="shared" si="584"/>
        <v>0</v>
      </c>
    </row>
    <row r="5933" spans="1:23" ht="21.95" customHeight="1" x14ac:dyDescent="0.2">
      <c r="A5933" s="6"/>
      <c r="B5933" s="6" t="s">
        <v>2021</v>
      </c>
      <c r="C5933" s="6" t="s">
        <v>1811</v>
      </c>
      <c r="D5933" s="6" t="s">
        <v>1815</v>
      </c>
      <c r="G5933" s="5">
        <v>235</v>
      </c>
      <c r="H5933" s="5">
        <v>95</v>
      </c>
      <c r="I5933" s="7">
        <v>70</v>
      </c>
      <c r="K5933" s="7">
        <v>44010298</v>
      </c>
      <c r="L5933" s="6" t="str">
        <f t="shared" si="586"/>
        <v>DCH  BELİS  KANEPE  235x95x70</v>
      </c>
      <c r="T5933" s="12"/>
      <c r="U5933" s="8">
        <v>22700</v>
      </c>
      <c r="W5933" s="8">
        <f t="shared" si="584"/>
        <v>0</v>
      </c>
    </row>
    <row r="5934" spans="1:23" ht="21.95" customHeight="1" x14ac:dyDescent="0.2">
      <c r="A5934" s="6"/>
      <c r="B5934" s="6" t="s">
        <v>2021</v>
      </c>
      <c r="C5934" s="6" t="s">
        <v>1811</v>
      </c>
      <c r="D5934" s="6" t="s">
        <v>168</v>
      </c>
      <c r="G5934" s="6">
        <v>77</v>
      </c>
      <c r="H5934" s="6">
        <v>83</v>
      </c>
      <c r="I5934" s="7">
        <v>78</v>
      </c>
      <c r="K5934" s="7">
        <v>44010299</v>
      </c>
      <c r="L5934" s="6" t="str">
        <f t="shared" si="586"/>
        <v>DCH  BELİS  BERJER  77x83x78</v>
      </c>
      <c r="T5934" s="12"/>
      <c r="U5934" s="8">
        <v>25500</v>
      </c>
      <c r="W5934" s="8">
        <f t="shared" si="584"/>
        <v>0</v>
      </c>
    </row>
    <row r="5935" spans="1:23" ht="21.95" customHeight="1" x14ac:dyDescent="0.2">
      <c r="A5935" s="6"/>
      <c r="B5935" s="6" t="s">
        <v>2021</v>
      </c>
      <c r="C5935" s="6" t="s">
        <v>1816</v>
      </c>
      <c r="D5935" s="6" t="s">
        <v>1633</v>
      </c>
      <c r="G5935" s="6">
        <v>270</v>
      </c>
      <c r="H5935" s="6">
        <v>60</v>
      </c>
      <c r="I5935" s="7">
        <v>218</v>
      </c>
      <c r="K5935" s="7">
        <v>44010300</v>
      </c>
      <c r="L5935" s="6" t="str">
        <f t="shared" si="586"/>
        <v>DCH  LUNA DOLAP  270x60x218</v>
      </c>
      <c r="T5935" s="12"/>
      <c r="U5935" s="8">
        <v>19300</v>
      </c>
      <c r="W5935" s="8">
        <f t="shared" si="584"/>
        <v>0</v>
      </c>
    </row>
    <row r="5936" spans="1:23" ht="21.95" customHeight="1" x14ac:dyDescent="0.2">
      <c r="A5936" s="6"/>
      <c r="B5936" s="6" t="s">
        <v>2021</v>
      </c>
      <c r="C5936" s="6" t="s">
        <v>1816</v>
      </c>
      <c r="D5936" s="6" t="s">
        <v>1812</v>
      </c>
      <c r="G5936" s="6">
        <v>168</v>
      </c>
      <c r="H5936" s="6">
        <v>230</v>
      </c>
      <c r="I5936" s="7">
        <v>126</v>
      </c>
      <c r="K5936" s="7">
        <v>44010301</v>
      </c>
      <c r="L5936" s="6" t="str">
        <f t="shared" si="586"/>
        <v>DCH  LUNA KARYOLA  168x230x126</v>
      </c>
      <c r="T5936" s="12"/>
      <c r="U5936" s="8">
        <v>12300</v>
      </c>
    </row>
    <row r="5937" spans="1:21" ht="21.95" customHeight="1" x14ac:dyDescent="0.2">
      <c r="A5937" s="6"/>
      <c r="B5937" s="6" t="s">
        <v>2021</v>
      </c>
      <c r="C5937" s="6" t="s">
        <v>1816</v>
      </c>
      <c r="D5937" s="6" t="s">
        <v>1817</v>
      </c>
      <c r="G5937" s="6">
        <v>65</v>
      </c>
      <c r="H5937" s="6">
        <v>48</v>
      </c>
      <c r="I5937" s="7">
        <v>46</v>
      </c>
      <c r="K5937" s="7">
        <v>44010302</v>
      </c>
      <c r="L5937" s="6" t="str">
        <f t="shared" si="586"/>
        <v>DCH  LUNA KOMİDİN X2 65x48x46</v>
      </c>
      <c r="T5937" s="12"/>
      <c r="U5937" s="8">
        <v>12900</v>
      </c>
    </row>
    <row r="5938" spans="1:21" ht="21.95" customHeight="1" x14ac:dyDescent="0.2">
      <c r="A5938" s="6"/>
      <c r="B5938" s="6" t="s">
        <v>2021</v>
      </c>
      <c r="C5938" s="6" t="s">
        <v>1816</v>
      </c>
      <c r="D5938" s="6" t="s">
        <v>78</v>
      </c>
      <c r="G5938" s="6">
        <v>135</v>
      </c>
      <c r="H5938" s="6">
        <v>48.5</v>
      </c>
      <c r="I5938" s="7">
        <v>83.5</v>
      </c>
      <c r="K5938" s="7">
        <v>44010303</v>
      </c>
      <c r="L5938" s="6" t="str">
        <f t="shared" si="586"/>
        <v>DCH  LUNA ŞİFONYER 135x48,5x83,5</v>
      </c>
      <c r="T5938" s="12"/>
      <c r="U5938" s="8">
        <v>13100</v>
      </c>
    </row>
    <row r="5939" spans="1:21" ht="21.95" customHeight="1" x14ac:dyDescent="0.2">
      <c r="A5939" s="6"/>
      <c r="B5939" s="6" t="s">
        <v>2021</v>
      </c>
      <c r="C5939" s="6" t="s">
        <v>1816</v>
      </c>
      <c r="D5939" s="6" t="s">
        <v>370</v>
      </c>
      <c r="G5939" s="6">
        <v>60</v>
      </c>
      <c r="H5939" s="6">
        <v>70</v>
      </c>
      <c r="I5939" s="7">
        <v>80</v>
      </c>
      <c r="K5939" s="7">
        <v>44010304</v>
      </c>
      <c r="L5939" s="6" t="str">
        <f t="shared" si="586"/>
        <v>DCH  LUNA ŞİFONYER AYNA  60x70x80</v>
      </c>
      <c r="T5939" s="12"/>
      <c r="U5939" s="8">
        <v>15700</v>
      </c>
    </row>
    <row r="5940" spans="1:21" ht="21.95" customHeight="1" x14ac:dyDescent="0.2">
      <c r="A5940" s="6"/>
      <c r="B5940" s="6" t="s">
        <v>2021</v>
      </c>
      <c r="C5940" s="6" t="s">
        <v>1816</v>
      </c>
      <c r="D5940" s="6" t="s">
        <v>1813</v>
      </c>
      <c r="K5940" s="7">
        <v>44010305</v>
      </c>
      <c r="L5940" s="6" t="str">
        <f>B5940&amp;" "&amp;C5940&amp;" "&amp;D5940</f>
        <v xml:space="preserve">DCH  LUNA BAZALI KARYOLA </v>
      </c>
      <c r="T5940" s="12"/>
      <c r="U5940" s="8">
        <v>18300</v>
      </c>
    </row>
    <row r="5941" spans="1:21" ht="21.95" customHeight="1" x14ac:dyDescent="0.2">
      <c r="A5941" s="6"/>
      <c r="B5941" s="6" t="s">
        <v>2021</v>
      </c>
      <c r="C5941" s="6" t="s">
        <v>1816</v>
      </c>
      <c r="D5941" s="6" t="s">
        <v>373</v>
      </c>
      <c r="G5941" s="6">
        <v>40</v>
      </c>
      <c r="H5941" s="6">
        <v>40</v>
      </c>
      <c r="I5941" s="7">
        <v>42</v>
      </c>
      <c r="K5941" s="7">
        <v>44010306</v>
      </c>
      <c r="L5941" s="6" t="str">
        <f t="shared" ref="L5941:L5960" si="587">B5941&amp;" "&amp;C5941&amp;" "&amp;D5941&amp;" "&amp;G5941&amp;"x"&amp;H5941&amp;"x"&amp;I5941</f>
        <v>DCH  LUNA PUF  40x40x42</v>
      </c>
      <c r="T5941" s="12"/>
      <c r="U5941" s="8">
        <v>19600</v>
      </c>
    </row>
    <row r="5942" spans="1:21" ht="21.95" customHeight="1" x14ac:dyDescent="0.2">
      <c r="A5942" s="6"/>
      <c r="B5942" s="6" t="s">
        <v>2021</v>
      </c>
      <c r="C5942" s="6" t="s">
        <v>1816</v>
      </c>
      <c r="D5942" s="6" t="s">
        <v>1456</v>
      </c>
      <c r="G5942" s="6">
        <v>65</v>
      </c>
      <c r="H5942" s="6">
        <v>46.5</v>
      </c>
      <c r="I5942" s="7">
        <v>96.5</v>
      </c>
      <c r="K5942" s="7">
        <v>44010307</v>
      </c>
      <c r="L5942" s="6" t="str">
        <f t="shared" si="587"/>
        <v>DCH  LUNA ÇAMAŞIRLIK  65x46,5x96,5</v>
      </c>
      <c r="T5942" s="12"/>
      <c r="U5942" s="8">
        <v>20900</v>
      </c>
    </row>
    <row r="5943" spans="1:21" ht="21.95" customHeight="1" x14ac:dyDescent="0.2">
      <c r="A5943" s="6"/>
      <c r="B5943" s="6" t="s">
        <v>2021</v>
      </c>
      <c r="C5943" s="6" t="s">
        <v>1816</v>
      </c>
      <c r="D5943" s="6" t="s">
        <v>1818</v>
      </c>
      <c r="G5943" s="6">
        <v>90</v>
      </c>
      <c r="H5943" s="6">
        <v>60</v>
      </c>
      <c r="I5943" s="7">
        <v>218</v>
      </c>
      <c r="K5943" s="7">
        <v>44010308</v>
      </c>
      <c r="L5943" s="6" t="str">
        <f t="shared" si="587"/>
        <v>DCH  LUNA 2'Lİ ASKILI AHŞAP DOLAP  90x60x218</v>
      </c>
      <c r="T5943" s="12"/>
      <c r="U5943" s="8">
        <v>23500</v>
      </c>
    </row>
    <row r="5944" spans="1:21" ht="21.95" customHeight="1" x14ac:dyDescent="0.2">
      <c r="A5944" s="6"/>
      <c r="B5944" s="6" t="s">
        <v>2021</v>
      </c>
      <c r="C5944" s="6" t="s">
        <v>1816</v>
      </c>
      <c r="D5944" s="6" t="s">
        <v>1819</v>
      </c>
      <c r="G5944" s="6">
        <v>90</v>
      </c>
      <c r="H5944" s="6">
        <v>60</v>
      </c>
      <c r="I5944" s="7">
        <v>218</v>
      </c>
      <c r="K5944" s="7">
        <v>44010309</v>
      </c>
      <c r="L5944" s="6" t="str">
        <f t="shared" si="587"/>
        <v>DCH  LUNA 2'Lİ ASKILI CAMLI DOLAP  90x60x218</v>
      </c>
      <c r="T5944" s="12"/>
      <c r="U5944" s="8">
        <v>8800</v>
      </c>
    </row>
    <row r="5945" spans="1:21" ht="21.95" customHeight="1" x14ac:dyDescent="0.2">
      <c r="A5945" s="6"/>
      <c r="B5945" s="6" t="s">
        <v>2021</v>
      </c>
      <c r="C5945" s="6" t="s">
        <v>1816</v>
      </c>
      <c r="D5945" s="6" t="s">
        <v>1820</v>
      </c>
      <c r="G5945" s="6">
        <v>90</v>
      </c>
      <c r="H5945" s="6">
        <v>60</v>
      </c>
      <c r="I5945" s="7">
        <v>218</v>
      </c>
      <c r="K5945" s="7">
        <v>44010310</v>
      </c>
      <c r="L5945" s="6" t="str">
        <f t="shared" si="587"/>
        <v>DCH  LUNA 2'Lİ ÇEKMECELİ AHŞAP DOLAP  90x60x218</v>
      </c>
      <c r="T5945" s="12"/>
      <c r="U5945" s="8">
        <v>8800</v>
      </c>
    </row>
    <row r="5946" spans="1:21" ht="21.95" customHeight="1" x14ac:dyDescent="0.2">
      <c r="A5946" s="6"/>
      <c r="B5946" s="6" t="s">
        <v>2021</v>
      </c>
      <c r="C5946" s="6" t="s">
        <v>1816</v>
      </c>
      <c r="D5946" s="6" t="s">
        <v>1821</v>
      </c>
      <c r="G5946" s="6">
        <v>90</v>
      </c>
      <c r="H5946" s="6">
        <v>60</v>
      </c>
      <c r="I5946" s="7">
        <v>218</v>
      </c>
      <c r="K5946" s="7">
        <v>44010311</v>
      </c>
      <c r="L5946" s="6" t="str">
        <f t="shared" si="587"/>
        <v>DCH  LUNA 2'Lİ ÇEKMECELİ CAM DOLAP  90x60x218</v>
      </c>
      <c r="T5946" s="12"/>
      <c r="U5946" s="8">
        <v>8900</v>
      </c>
    </row>
    <row r="5947" spans="1:21" ht="21.95" customHeight="1" x14ac:dyDescent="0.2">
      <c r="A5947" s="6"/>
      <c r="B5947" s="6" t="s">
        <v>2021</v>
      </c>
      <c r="C5947" s="6" t="s">
        <v>1816</v>
      </c>
      <c r="D5947" s="6" t="s">
        <v>1822</v>
      </c>
      <c r="G5947" s="6">
        <v>45</v>
      </c>
      <c r="H5947" s="6">
        <v>60</v>
      </c>
      <c r="I5947" s="7">
        <v>218</v>
      </c>
      <c r="K5947" s="7">
        <v>44010312</v>
      </c>
      <c r="L5947" s="6" t="str">
        <f t="shared" si="587"/>
        <v>DCH  LUNA TEKLİ AHŞAP DOLAP 45x60x218</v>
      </c>
      <c r="T5947" s="12"/>
      <c r="U5947" s="8">
        <v>10700</v>
      </c>
    </row>
    <row r="5948" spans="1:21" ht="21.95" customHeight="1" x14ac:dyDescent="0.2">
      <c r="B5948" s="6" t="s">
        <v>2021</v>
      </c>
      <c r="C5948" s="6" t="s">
        <v>1816</v>
      </c>
      <c r="D5948" s="6" t="s">
        <v>1823</v>
      </c>
      <c r="G5948" s="6">
        <v>45</v>
      </c>
      <c r="H5948" s="6">
        <v>60</v>
      </c>
      <c r="I5948" s="7">
        <v>218</v>
      </c>
      <c r="K5948" s="7">
        <v>44010313</v>
      </c>
      <c r="L5948" s="6" t="str">
        <f t="shared" si="587"/>
        <v>DCH  LUNA TEKLİ CAMLI DOLAP  45x60x218</v>
      </c>
      <c r="T5948" s="12"/>
      <c r="U5948" s="8">
        <v>12500</v>
      </c>
    </row>
    <row r="5949" spans="1:21" ht="21.95" customHeight="1" x14ac:dyDescent="0.2">
      <c r="B5949" s="6" t="s">
        <v>2021</v>
      </c>
      <c r="C5949" s="6" t="s">
        <v>1816</v>
      </c>
      <c r="D5949" s="6" t="s">
        <v>1831</v>
      </c>
      <c r="G5949" s="6">
        <v>92</v>
      </c>
      <c r="H5949" s="6">
        <v>92</v>
      </c>
      <c r="I5949" s="7">
        <v>218</v>
      </c>
      <c r="K5949" s="7">
        <v>44010314</v>
      </c>
      <c r="L5949" s="6" t="str">
        <f t="shared" si="587"/>
        <v>DCH  LUNA KÖŞE AHŞAP DOLAP  92x92x218</v>
      </c>
      <c r="T5949" s="12"/>
      <c r="U5949" s="8">
        <v>13400</v>
      </c>
    </row>
    <row r="5950" spans="1:21" ht="21.95" customHeight="1" x14ac:dyDescent="0.2">
      <c r="B5950" s="6" t="s">
        <v>2021</v>
      </c>
      <c r="C5950" s="6" t="s">
        <v>1816</v>
      </c>
      <c r="D5950" s="6" t="s">
        <v>1832</v>
      </c>
      <c r="G5950" s="6">
        <v>92</v>
      </c>
      <c r="H5950" s="6">
        <v>92</v>
      </c>
      <c r="I5950" s="7">
        <v>218</v>
      </c>
      <c r="K5950" s="7">
        <v>44010315</v>
      </c>
      <c r="L5950" s="6" t="str">
        <f t="shared" si="587"/>
        <v>DCH  LUNA KÖŞE CAMLI DOLAP  92x92x218</v>
      </c>
      <c r="T5950" s="12"/>
      <c r="U5950" s="8">
        <v>14300</v>
      </c>
    </row>
    <row r="5951" spans="1:21" ht="21.95" customHeight="1" x14ac:dyDescent="0.2">
      <c r="B5951" s="6" t="s">
        <v>2021</v>
      </c>
      <c r="C5951" s="6" t="s">
        <v>1816</v>
      </c>
      <c r="D5951" s="6" t="s">
        <v>1833</v>
      </c>
      <c r="G5951" s="6">
        <v>105</v>
      </c>
      <c r="H5951" s="6">
        <v>58</v>
      </c>
      <c r="I5951" s="7">
        <v>218</v>
      </c>
      <c r="K5951" s="7">
        <v>44010316</v>
      </c>
      <c r="L5951" s="6" t="str">
        <f t="shared" si="587"/>
        <v>DCH  LUNA ŞİFONYER MODÜL  105x58x218</v>
      </c>
      <c r="T5951" s="12"/>
      <c r="U5951" s="8">
        <v>16100</v>
      </c>
    </row>
    <row r="5952" spans="1:21" ht="21.95" customHeight="1" x14ac:dyDescent="0.2">
      <c r="B5952" s="6" t="s">
        <v>2021</v>
      </c>
      <c r="C5952" s="6" t="s">
        <v>1816</v>
      </c>
      <c r="D5952" s="6" t="s">
        <v>1834</v>
      </c>
      <c r="G5952" s="6">
        <v>25</v>
      </c>
      <c r="H5952" s="6">
        <v>58</v>
      </c>
      <c r="I5952" s="7">
        <v>218</v>
      </c>
      <c r="K5952" s="7">
        <v>44010317</v>
      </c>
      <c r="L5952" s="6" t="str">
        <f t="shared" si="587"/>
        <v>DCH  LUNA 5 CM ARA RAFLI MODÜL  25x58x218</v>
      </c>
      <c r="T5952" s="12"/>
      <c r="U5952" s="8">
        <v>13300</v>
      </c>
    </row>
    <row r="5953" spans="2:23" ht="21.95" customHeight="1" x14ac:dyDescent="0.2">
      <c r="B5953" s="6" t="s">
        <v>2021</v>
      </c>
      <c r="C5953" s="6" t="s">
        <v>1816</v>
      </c>
      <c r="D5953" s="6" t="s">
        <v>1835</v>
      </c>
      <c r="G5953" s="6">
        <v>80</v>
      </c>
      <c r="H5953" s="6">
        <v>83</v>
      </c>
      <c r="I5953" s="7">
        <v>83.5</v>
      </c>
      <c r="K5953" s="7">
        <v>44010318</v>
      </c>
      <c r="L5953" s="6" t="str">
        <f t="shared" si="587"/>
        <v>DCH  LUNA ADA  80x83x83,5</v>
      </c>
      <c r="T5953" s="12"/>
      <c r="U5953" s="8">
        <v>14000</v>
      </c>
    </row>
    <row r="5954" spans="2:23" ht="21.95" customHeight="1" x14ac:dyDescent="0.2">
      <c r="B5954" s="6" t="s">
        <v>2021</v>
      </c>
      <c r="C5954" s="6" t="s">
        <v>1816</v>
      </c>
      <c r="D5954" s="6" t="s">
        <v>1815</v>
      </c>
      <c r="G5954" s="6">
        <v>240</v>
      </c>
      <c r="H5954" s="6">
        <v>100</v>
      </c>
      <c r="I5954" s="7">
        <v>70</v>
      </c>
      <c r="K5954" s="7">
        <v>44010319</v>
      </c>
      <c r="L5954" s="6" t="str">
        <f t="shared" si="587"/>
        <v>DCH  LUNA KANEPE  240x100x70</v>
      </c>
      <c r="T5954" s="12"/>
      <c r="U5954" s="8">
        <v>14200</v>
      </c>
    </row>
    <row r="5955" spans="2:23" ht="21.6" customHeight="1" x14ac:dyDescent="0.2">
      <c r="B5955" s="6" t="s">
        <v>2021</v>
      </c>
      <c r="C5955" s="6" t="s">
        <v>1816</v>
      </c>
      <c r="D5955" s="6" t="s">
        <v>168</v>
      </c>
      <c r="G5955" s="6">
        <v>85</v>
      </c>
      <c r="H5955" s="6">
        <v>95</v>
      </c>
      <c r="I5955" s="7">
        <v>60</v>
      </c>
      <c r="K5955" s="7">
        <v>44010320</v>
      </c>
      <c r="L5955" s="6" t="str">
        <f t="shared" si="587"/>
        <v>DCH  LUNA BERJER  85x95x60</v>
      </c>
      <c r="T5955" s="12"/>
      <c r="U5955" s="8">
        <v>17000</v>
      </c>
    </row>
    <row r="5956" spans="2:23" ht="21.95" customHeight="1" x14ac:dyDescent="0.2">
      <c r="B5956" s="6" t="s">
        <v>2021</v>
      </c>
      <c r="C5956" s="6" t="s">
        <v>1824</v>
      </c>
      <c r="D5956" s="6" t="s">
        <v>1633</v>
      </c>
      <c r="G5956" s="6">
        <v>260</v>
      </c>
      <c r="H5956" s="6">
        <v>59</v>
      </c>
      <c r="I5956" s="7">
        <v>220</v>
      </c>
      <c r="K5956" s="7">
        <v>44010321</v>
      </c>
      <c r="L5956" s="6" t="str">
        <f t="shared" si="587"/>
        <v>DCH  SOFT  DOLAP  260x59x220</v>
      </c>
      <c r="T5956" s="12"/>
      <c r="U5956" s="8">
        <v>19900</v>
      </c>
    </row>
    <row r="5957" spans="2:23" ht="21.95" customHeight="1" x14ac:dyDescent="0.2">
      <c r="B5957" s="6" t="s">
        <v>2021</v>
      </c>
      <c r="C5957" s="6" t="s">
        <v>1824</v>
      </c>
      <c r="D5957" s="6" t="s">
        <v>1812</v>
      </c>
      <c r="G5957" s="6">
        <v>200</v>
      </c>
      <c r="H5957" s="6">
        <v>224</v>
      </c>
      <c r="I5957" s="7">
        <v>110</v>
      </c>
      <c r="K5957" s="7">
        <v>44010322</v>
      </c>
      <c r="L5957" s="6" t="str">
        <f t="shared" si="587"/>
        <v>DCH  SOFT  KARYOLA  200x224x110</v>
      </c>
      <c r="T5957" s="12"/>
      <c r="U5957" s="8">
        <v>21300</v>
      </c>
    </row>
    <row r="5958" spans="2:23" ht="21.95" customHeight="1" x14ac:dyDescent="0.2">
      <c r="B5958" s="6" t="s">
        <v>2021</v>
      </c>
      <c r="C5958" s="6" t="s">
        <v>1824</v>
      </c>
      <c r="D5958" s="6" t="s">
        <v>1817</v>
      </c>
      <c r="G5958" s="6">
        <v>60</v>
      </c>
      <c r="H5958" s="6">
        <v>45</v>
      </c>
      <c r="I5958" s="7">
        <v>42.5</v>
      </c>
      <c r="K5958" s="7">
        <v>44010323</v>
      </c>
      <c r="L5958" s="6" t="str">
        <f t="shared" si="587"/>
        <v>DCH  SOFT  KOMİDİN X2 60x45x42,5</v>
      </c>
      <c r="T5958" s="12"/>
      <c r="U5958" s="8">
        <v>22700</v>
      </c>
    </row>
    <row r="5959" spans="2:23" ht="21.95" customHeight="1" x14ac:dyDescent="0.2">
      <c r="B5959" s="6" t="s">
        <v>2021</v>
      </c>
      <c r="C5959" s="6" t="s">
        <v>1824</v>
      </c>
      <c r="D5959" s="6" t="s">
        <v>96</v>
      </c>
      <c r="G5959" s="6">
        <v>150</v>
      </c>
      <c r="H5959" s="6">
        <v>45</v>
      </c>
      <c r="I5959" s="7">
        <v>80</v>
      </c>
      <c r="K5959" s="7">
        <v>44010324</v>
      </c>
      <c r="L5959" s="6" t="str">
        <f t="shared" si="587"/>
        <v>DCH  SOFT  ŞİFONYER  150x45x80</v>
      </c>
      <c r="T5959" s="12"/>
      <c r="U5959" s="8">
        <v>25500</v>
      </c>
    </row>
    <row r="5960" spans="2:23" ht="21.95" customHeight="1" x14ac:dyDescent="0.2">
      <c r="B5960" s="6" t="s">
        <v>2021</v>
      </c>
      <c r="C5960" s="6" t="s">
        <v>1824</v>
      </c>
      <c r="D5960" s="6" t="s">
        <v>370</v>
      </c>
      <c r="G5960" s="6">
        <v>75</v>
      </c>
      <c r="H5960" s="6">
        <v>2.4</v>
      </c>
      <c r="I5960" s="7">
        <v>100</v>
      </c>
      <c r="K5960" s="7">
        <v>44010325</v>
      </c>
      <c r="L5960" s="6" t="str">
        <f t="shared" si="587"/>
        <v>DCH  SOFT  ŞİFONYER AYNA  75x2,4x100</v>
      </c>
      <c r="T5960" s="12"/>
      <c r="U5960" s="8">
        <v>15800</v>
      </c>
    </row>
    <row r="5961" spans="2:23" ht="21.95" customHeight="1" x14ac:dyDescent="0.2">
      <c r="B5961" s="6" t="s">
        <v>2021</v>
      </c>
      <c r="C5961" s="6" t="s">
        <v>1824</v>
      </c>
      <c r="D5961" s="6" t="s">
        <v>1813</v>
      </c>
      <c r="K5961" s="7">
        <v>44010326</v>
      </c>
      <c r="L5961" s="6" t="str">
        <f>B5961&amp;" "&amp;C5961&amp;" "&amp;D5961</f>
        <v xml:space="preserve">DCH  SOFT  BAZALI KARYOLA </v>
      </c>
      <c r="T5961" s="12"/>
      <c r="U5961" s="8">
        <v>11500</v>
      </c>
      <c r="W5961" s="8">
        <f t="shared" si="584"/>
        <v>0</v>
      </c>
    </row>
    <row r="5962" spans="2:23" ht="21.95" customHeight="1" x14ac:dyDescent="0.2">
      <c r="B5962" s="6" t="s">
        <v>2021</v>
      </c>
      <c r="C5962" s="6" t="s">
        <v>1824</v>
      </c>
      <c r="D5962" s="6" t="s">
        <v>373</v>
      </c>
      <c r="G5962" s="6">
        <v>40</v>
      </c>
      <c r="H5962" s="6">
        <v>40</v>
      </c>
      <c r="I5962" s="7">
        <v>42</v>
      </c>
      <c r="K5962" s="7">
        <v>44010327</v>
      </c>
      <c r="L5962" s="6" t="str">
        <f t="shared" ref="L5962:L5968" si="588">B5962&amp;" "&amp;C5962&amp;" "&amp;D5962&amp;" "&amp;G5962&amp;"x"&amp;H5962&amp;"x"&amp;I5962</f>
        <v>DCH  SOFT  PUF  40x40x42</v>
      </c>
      <c r="T5962" s="12"/>
      <c r="U5962" s="8">
        <v>12100</v>
      </c>
      <c r="W5962" s="8">
        <f t="shared" si="584"/>
        <v>0</v>
      </c>
    </row>
    <row r="5963" spans="2:23" ht="21.95" customHeight="1" x14ac:dyDescent="0.2">
      <c r="B5963" s="6" t="s">
        <v>2021</v>
      </c>
      <c r="C5963" s="6" t="s">
        <v>1824</v>
      </c>
      <c r="D5963" s="6" t="s">
        <v>1456</v>
      </c>
      <c r="G5963" s="6">
        <v>65</v>
      </c>
      <c r="H5963" s="6">
        <v>45</v>
      </c>
      <c r="I5963" s="7">
        <v>97</v>
      </c>
      <c r="K5963" s="7">
        <v>44010328</v>
      </c>
      <c r="L5963" s="6" t="str">
        <f t="shared" si="588"/>
        <v>DCH  SOFT  ÇAMAŞIRLIK  65x45x97</v>
      </c>
      <c r="T5963" s="12"/>
      <c r="U5963" s="8">
        <v>12300</v>
      </c>
      <c r="W5963" s="8">
        <f t="shared" si="584"/>
        <v>0</v>
      </c>
    </row>
    <row r="5964" spans="2:23" ht="21.95" customHeight="1" x14ac:dyDescent="0.2">
      <c r="B5964" s="6" t="s">
        <v>2021</v>
      </c>
      <c r="C5964" s="6" t="s">
        <v>120</v>
      </c>
      <c r="D5964" s="6" t="s">
        <v>1852</v>
      </c>
      <c r="G5964" s="6">
        <v>180</v>
      </c>
      <c r="H5964" s="6">
        <v>59</v>
      </c>
      <c r="I5964" s="7">
        <v>217</v>
      </c>
      <c r="K5964" s="7">
        <v>44010329</v>
      </c>
      <c r="L5964" s="6" t="str">
        <f t="shared" si="588"/>
        <v>DCH  TETRA DOLAP 4 LÜ 180x59x217</v>
      </c>
      <c r="T5964" s="12"/>
      <c r="U5964" s="8">
        <v>14700</v>
      </c>
      <c r="W5964" s="8">
        <f t="shared" si="584"/>
        <v>0</v>
      </c>
    </row>
    <row r="5965" spans="2:23" ht="21.95" customHeight="1" x14ac:dyDescent="0.2">
      <c r="B5965" s="6" t="s">
        <v>2021</v>
      </c>
      <c r="C5965" s="6" t="s">
        <v>120</v>
      </c>
      <c r="D5965" s="6" t="s">
        <v>1853</v>
      </c>
      <c r="G5965" s="6">
        <v>92</v>
      </c>
      <c r="H5965" s="6">
        <v>59</v>
      </c>
      <c r="I5965" s="7">
        <v>217</v>
      </c>
      <c r="K5965" s="7">
        <v>44010330</v>
      </c>
      <c r="L5965" s="6" t="str">
        <f t="shared" si="588"/>
        <v>DCH  TETRA DOLAP 2 Lİ  92x59x217</v>
      </c>
      <c r="T5965" s="12"/>
      <c r="U5965" s="8">
        <v>17200</v>
      </c>
      <c r="W5965" s="8">
        <f t="shared" si="584"/>
        <v>0</v>
      </c>
    </row>
    <row r="5966" spans="2:23" ht="21.95" customHeight="1" x14ac:dyDescent="0.2">
      <c r="B5966" s="6" t="s">
        <v>2021</v>
      </c>
      <c r="C5966" s="6" t="s">
        <v>120</v>
      </c>
      <c r="D5966" s="6" t="s">
        <v>363</v>
      </c>
      <c r="G5966" s="6">
        <v>184</v>
      </c>
      <c r="H5966" s="6">
        <v>235</v>
      </c>
      <c r="I5966" s="7">
        <v>113</v>
      </c>
      <c r="K5966" s="7">
        <v>44010331</v>
      </c>
      <c r="L5966" s="6" t="str">
        <f t="shared" si="588"/>
        <v>DCH  TETRA KARYOLA 184x235x113</v>
      </c>
      <c r="T5966" s="12"/>
      <c r="U5966" s="8">
        <v>18400</v>
      </c>
      <c r="W5966" s="8">
        <f t="shared" si="584"/>
        <v>0</v>
      </c>
    </row>
    <row r="5967" spans="2:23" ht="21.95" customHeight="1" x14ac:dyDescent="0.2">
      <c r="B5967" s="6" t="s">
        <v>2021</v>
      </c>
      <c r="C5967" s="6" t="s">
        <v>120</v>
      </c>
      <c r="D5967" s="6" t="s">
        <v>1817</v>
      </c>
      <c r="G5967" s="6">
        <v>65</v>
      </c>
      <c r="H5967" s="6">
        <v>45</v>
      </c>
      <c r="I5967" s="7">
        <v>43</v>
      </c>
      <c r="K5967" s="7">
        <v>44010332</v>
      </c>
      <c r="L5967" s="6" t="str">
        <f t="shared" si="588"/>
        <v>DCH  TETRA KOMİDİN X2 65x45x43</v>
      </c>
      <c r="T5967" s="12"/>
      <c r="U5967" s="8">
        <v>19600</v>
      </c>
      <c r="W5967" s="8">
        <f t="shared" si="584"/>
        <v>0</v>
      </c>
    </row>
    <row r="5968" spans="2:23" ht="21.95" customHeight="1" x14ac:dyDescent="0.2">
      <c r="B5968" s="6" t="s">
        <v>2021</v>
      </c>
      <c r="C5968" s="6" t="s">
        <v>120</v>
      </c>
      <c r="D5968" s="6" t="s">
        <v>96</v>
      </c>
      <c r="G5968" s="6">
        <v>130</v>
      </c>
      <c r="H5968" s="6">
        <v>45</v>
      </c>
      <c r="I5968" s="7">
        <v>81</v>
      </c>
      <c r="K5968" s="7">
        <v>44010333</v>
      </c>
      <c r="L5968" s="6" t="str">
        <f t="shared" si="588"/>
        <v>DCH  TETRA ŞİFONYER  130x45x81</v>
      </c>
      <c r="T5968" s="12"/>
      <c r="U5968" s="8">
        <v>22100</v>
      </c>
      <c r="W5968" s="8">
        <f t="shared" si="584"/>
        <v>0</v>
      </c>
    </row>
    <row r="5969" spans="2:23" ht="21.95" customHeight="1" x14ac:dyDescent="0.2">
      <c r="B5969" s="6" t="s">
        <v>2021</v>
      </c>
      <c r="C5969" s="6" t="s">
        <v>120</v>
      </c>
      <c r="D5969" s="6" t="s">
        <v>370</v>
      </c>
      <c r="G5969" s="6">
        <v>77</v>
      </c>
      <c r="I5969" s="7">
        <v>77</v>
      </c>
      <c r="K5969" s="7">
        <v>44010334</v>
      </c>
      <c r="L5969" s="6" t="str">
        <f>B5969&amp;" "&amp;C5969&amp;" "&amp;D5969&amp;" "&amp;G5969&amp;"x"&amp;I5969</f>
        <v>DCH  TETRA ŞİFONYER AYNA  77x77</v>
      </c>
      <c r="T5969" s="12"/>
      <c r="U5969" s="8">
        <v>3400</v>
      </c>
      <c r="W5969" s="8">
        <f t="shared" si="584"/>
        <v>0</v>
      </c>
    </row>
    <row r="5970" spans="2:23" ht="21.95" customHeight="1" x14ac:dyDescent="0.2">
      <c r="B5970" s="6" t="s">
        <v>2021</v>
      </c>
      <c r="C5970" s="6" t="s">
        <v>120</v>
      </c>
      <c r="D5970" s="6" t="s">
        <v>1813</v>
      </c>
      <c r="K5970" s="7">
        <v>44010335</v>
      </c>
      <c r="L5970" s="6" t="str">
        <f>B5970&amp;" "&amp;C5970&amp;" "&amp;D5970</f>
        <v xml:space="preserve">DCH  TETRA BAZALI KARYOLA </v>
      </c>
      <c r="T5970" s="12"/>
      <c r="U5970" s="8">
        <v>3400</v>
      </c>
      <c r="W5970" s="8">
        <f t="shared" si="584"/>
        <v>0</v>
      </c>
    </row>
    <row r="5971" spans="2:23" ht="21.95" customHeight="1" x14ac:dyDescent="0.2">
      <c r="B5971" s="6" t="s">
        <v>2021</v>
      </c>
      <c r="C5971" s="6" t="s">
        <v>120</v>
      </c>
      <c r="D5971" s="6" t="s">
        <v>119</v>
      </c>
      <c r="G5971" s="6">
        <v>40</v>
      </c>
      <c r="H5971" s="6">
        <v>40</v>
      </c>
      <c r="I5971" s="7">
        <v>42</v>
      </c>
      <c r="K5971" s="7">
        <v>44010336</v>
      </c>
      <c r="L5971" s="6" t="str">
        <f t="shared" ref="L5971:L5976" si="589">B5971&amp;" "&amp;C5971&amp;" "&amp;D5971&amp;" "&amp;G5971&amp;"x"&amp;H5971&amp;"x"&amp;I5971</f>
        <v>DCH  TETRA PUF 40x40x42</v>
      </c>
      <c r="T5971" s="12"/>
      <c r="U5971" s="8">
        <v>3400</v>
      </c>
      <c r="W5971" s="8">
        <f t="shared" si="584"/>
        <v>0</v>
      </c>
    </row>
    <row r="5972" spans="2:23" ht="21.95" customHeight="1" x14ac:dyDescent="0.2">
      <c r="B5972" s="6" t="s">
        <v>2021</v>
      </c>
      <c r="C5972" s="6" t="s">
        <v>120</v>
      </c>
      <c r="D5972" s="6" t="s">
        <v>1456</v>
      </c>
      <c r="G5972" s="6">
        <v>65</v>
      </c>
      <c r="H5972" s="6">
        <v>44</v>
      </c>
      <c r="I5972" s="7">
        <v>98</v>
      </c>
      <c r="K5972" s="7">
        <v>44010337</v>
      </c>
      <c r="L5972" s="6" t="str">
        <f t="shared" si="589"/>
        <v>DCH  TETRA ÇAMAŞIRLIK  65x44x98</v>
      </c>
      <c r="T5972" s="12"/>
      <c r="U5972" s="8">
        <v>4100</v>
      </c>
      <c r="W5972" s="8">
        <f t="shared" si="584"/>
        <v>0</v>
      </c>
    </row>
    <row r="5973" spans="2:23" ht="21.95" customHeight="1" x14ac:dyDescent="0.2">
      <c r="B5973" s="6" t="s">
        <v>2021</v>
      </c>
      <c r="C5973" s="6" t="s">
        <v>1811</v>
      </c>
      <c r="D5973" s="6" t="s">
        <v>194</v>
      </c>
      <c r="G5973" s="6">
        <v>206.8</v>
      </c>
      <c r="H5973" s="5">
        <v>46.6</v>
      </c>
      <c r="I5973" s="7">
        <v>83.2</v>
      </c>
      <c r="K5973" s="7">
        <v>44010338</v>
      </c>
      <c r="L5973" s="6" t="str">
        <f t="shared" si="589"/>
        <v>DCH  BELİS  KONSOL  206,8x46,6x83,2</v>
      </c>
      <c r="T5973" s="12"/>
      <c r="U5973" s="8">
        <v>4800</v>
      </c>
      <c r="W5973" s="8">
        <f t="shared" si="584"/>
        <v>0</v>
      </c>
    </row>
    <row r="5974" spans="2:23" ht="21.95" customHeight="1" x14ac:dyDescent="0.2">
      <c r="B5974" s="6" t="s">
        <v>2021</v>
      </c>
      <c r="C5974" s="6" t="s">
        <v>1811</v>
      </c>
      <c r="D5974" s="6" t="s">
        <v>706</v>
      </c>
      <c r="G5974" s="6">
        <v>90</v>
      </c>
      <c r="H5974" s="6">
        <v>3.5</v>
      </c>
      <c r="I5974" s="7">
        <v>90</v>
      </c>
      <c r="K5974" s="7">
        <v>44010339</v>
      </c>
      <c r="L5974" s="6" t="str">
        <f t="shared" si="589"/>
        <v>DCH  BELİS  KONSOL AYNASI  90x3,5x90</v>
      </c>
      <c r="T5974" s="12"/>
      <c r="U5974" s="8">
        <v>5200</v>
      </c>
      <c r="W5974" s="8">
        <f t="shared" si="584"/>
        <v>0</v>
      </c>
    </row>
    <row r="5975" spans="2:23" ht="21.95" customHeight="1" x14ac:dyDescent="0.2">
      <c r="B5975" s="6" t="s">
        <v>2021</v>
      </c>
      <c r="C5975" s="6" t="s">
        <v>1811</v>
      </c>
      <c r="D5975" s="6" t="s">
        <v>1825</v>
      </c>
      <c r="G5975" s="6">
        <v>206.8</v>
      </c>
      <c r="H5975" s="6">
        <v>46.6</v>
      </c>
      <c r="I5975" s="7">
        <v>65</v>
      </c>
      <c r="K5975" s="7">
        <v>44010340</v>
      </c>
      <c r="L5975" s="6" t="str">
        <f t="shared" si="589"/>
        <v>DCH  BELİS  DUVAR ÜNİTESİ  206,8x46,6x65</v>
      </c>
      <c r="T5975" s="12"/>
      <c r="U5975" s="8">
        <v>5500</v>
      </c>
      <c r="W5975" s="8">
        <f t="shared" si="584"/>
        <v>0</v>
      </c>
    </row>
    <row r="5976" spans="2:23" ht="21.95" customHeight="1" x14ac:dyDescent="0.2">
      <c r="B5976" s="6" t="s">
        <v>2021</v>
      </c>
      <c r="C5976" s="6" t="s">
        <v>1811</v>
      </c>
      <c r="D5976" s="6" t="s">
        <v>1826</v>
      </c>
      <c r="G5976" s="6">
        <v>164</v>
      </c>
      <c r="H5976" s="6">
        <v>90</v>
      </c>
      <c r="I5976" s="7">
        <v>75.5</v>
      </c>
      <c r="K5976" s="7">
        <v>44010341</v>
      </c>
      <c r="L5976" s="6" t="str">
        <f t="shared" si="589"/>
        <v>DCH  BELİS  YEMEK MASASI 164x90x75,5</v>
      </c>
      <c r="T5976" s="12"/>
      <c r="U5976" s="8">
        <v>6200</v>
      </c>
      <c r="W5976" s="8">
        <f t="shared" si="584"/>
        <v>0</v>
      </c>
    </row>
    <row r="5977" spans="2:23" ht="21.95" customHeight="1" x14ac:dyDescent="0.2">
      <c r="B5977" s="6" t="s">
        <v>2021</v>
      </c>
      <c r="C5977" s="6" t="s">
        <v>1811</v>
      </c>
      <c r="D5977" s="6" t="s">
        <v>358</v>
      </c>
      <c r="K5977" s="7">
        <v>44010342</v>
      </c>
      <c r="L5977" s="6" t="str">
        <f>B5977&amp;" "&amp;C5977&amp;" "&amp;D5977</f>
        <v xml:space="preserve">DCH  BELİS  SANDALYE </v>
      </c>
      <c r="T5977" s="12"/>
      <c r="U5977" s="8">
        <v>9700</v>
      </c>
      <c r="W5977" s="8">
        <f t="shared" si="584"/>
        <v>0</v>
      </c>
    </row>
    <row r="5978" spans="2:23" ht="21.95" customHeight="1" x14ac:dyDescent="0.2">
      <c r="B5978" s="6" t="s">
        <v>2021</v>
      </c>
      <c r="C5978" s="6" t="s">
        <v>1811</v>
      </c>
      <c r="D5978" s="6" t="s">
        <v>1827</v>
      </c>
      <c r="G5978" s="6">
        <v>117.8</v>
      </c>
      <c r="H5978" s="6">
        <v>67.599999999999994</v>
      </c>
      <c r="I5978" s="7">
        <v>41</v>
      </c>
      <c r="K5978" s="7">
        <v>44010343</v>
      </c>
      <c r="L5978" s="6" t="str">
        <f>B5978&amp;" "&amp;C5978&amp;" "&amp;D5978&amp;" "&amp;G5978&amp;"x"&amp;H5978&amp;"x"&amp;I5978</f>
        <v>DCH  BELİS  SEHPA  117,8x67,6x41</v>
      </c>
      <c r="T5978" s="12"/>
      <c r="U5978" s="8">
        <v>10200</v>
      </c>
      <c r="W5978" s="8">
        <f t="shared" si="584"/>
        <v>0</v>
      </c>
    </row>
    <row r="5979" spans="2:23" ht="21.95" customHeight="1" x14ac:dyDescent="0.2">
      <c r="B5979" s="6" t="s">
        <v>2021</v>
      </c>
      <c r="C5979" s="6" t="s">
        <v>1828</v>
      </c>
      <c r="D5979" s="6" t="s">
        <v>194</v>
      </c>
      <c r="G5979" s="6">
        <v>208</v>
      </c>
      <c r="H5979" s="6">
        <v>48</v>
      </c>
      <c r="I5979" s="7">
        <v>85</v>
      </c>
      <c r="K5979" s="7">
        <v>44010344</v>
      </c>
      <c r="L5979" s="6" t="str">
        <f>B5979&amp;" "&amp;C5979&amp;" "&amp;D5979&amp;" "&amp;G5979&amp;"x"&amp;H5979&amp;"x"&amp;I5979</f>
        <v>DCH  LUNA  KONSOL  208x48x85</v>
      </c>
      <c r="T5979" s="12"/>
      <c r="U5979" s="8">
        <v>10300</v>
      </c>
      <c r="W5979" s="8">
        <f t="shared" si="584"/>
        <v>0</v>
      </c>
    </row>
    <row r="5980" spans="2:23" ht="21.95" customHeight="1" x14ac:dyDescent="0.2">
      <c r="B5980" s="6" t="s">
        <v>2021</v>
      </c>
      <c r="C5980" s="6" t="s">
        <v>1828</v>
      </c>
      <c r="D5980" s="6" t="s">
        <v>706</v>
      </c>
      <c r="G5980" s="6">
        <v>70</v>
      </c>
      <c r="I5980" s="7">
        <v>90</v>
      </c>
      <c r="K5980" s="7">
        <v>44010345</v>
      </c>
      <c r="L5980" s="6" t="str">
        <f>B5980&amp;" "&amp;C5980&amp;" "&amp;D5980&amp;" "&amp;G5980&amp;"x"&amp;I5980</f>
        <v>DCH  LUNA  KONSOL AYNASI  70x90</v>
      </c>
      <c r="T5980" s="12"/>
      <c r="U5980" s="8">
        <v>12400</v>
      </c>
      <c r="W5980" s="8">
        <f t="shared" si="584"/>
        <v>0</v>
      </c>
    </row>
    <row r="5981" spans="2:23" ht="21.95" customHeight="1" x14ac:dyDescent="0.2">
      <c r="B5981" s="6" t="s">
        <v>2021</v>
      </c>
      <c r="C5981" s="6" t="s">
        <v>1828</v>
      </c>
      <c r="D5981" s="6" t="s">
        <v>1829</v>
      </c>
      <c r="G5981" s="6">
        <v>208</v>
      </c>
      <c r="H5981" s="5">
        <v>48</v>
      </c>
      <c r="I5981" s="7">
        <v>61</v>
      </c>
      <c r="K5981" s="7">
        <v>44010346</v>
      </c>
      <c r="L5981" s="6" t="str">
        <f t="shared" ref="L5981:L5990" si="590">B5981&amp;" "&amp;C5981&amp;" "&amp;D5981&amp;" "&amp;G5981&amp;"x"&amp;H5981&amp;"x"&amp;I5981</f>
        <v>DCH  LUNA  DUVAR ÜNİTESİ ALT MODÜL  208x48x61</v>
      </c>
      <c r="T5981" s="12"/>
      <c r="U5981" s="8">
        <v>14400</v>
      </c>
      <c r="W5981" s="8">
        <f t="shared" si="584"/>
        <v>0</v>
      </c>
    </row>
    <row r="5982" spans="2:23" ht="21.95" customHeight="1" x14ac:dyDescent="0.2">
      <c r="B5982" s="6" t="s">
        <v>2021</v>
      </c>
      <c r="C5982" s="6" t="s">
        <v>1828</v>
      </c>
      <c r="D5982" s="6" t="s">
        <v>1830</v>
      </c>
      <c r="G5982" s="6">
        <v>137</v>
      </c>
      <c r="H5982" s="6">
        <v>20</v>
      </c>
      <c r="I5982" s="7">
        <v>26</v>
      </c>
      <c r="K5982" s="7">
        <v>44010347</v>
      </c>
      <c r="L5982" s="6" t="str">
        <f t="shared" si="590"/>
        <v>DCH  LUNA  DUVAR ÜNİTESİ ÜST MODÜL  137x20x26</v>
      </c>
      <c r="T5982" s="12"/>
      <c r="U5982" s="8">
        <v>15500</v>
      </c>
      <c r="W5982" s="8">
        <f t="shared" si="584"/>
        <v>0</v>
      </c>
    </row>
    <row r="5983" spans="2:23" ht="21.95" customHeight="1" x14ac:dyDescent="0.2">
      <c r="B5983" s="6" t="s">
        <v>2021</v>
      </c>
      <c r="C5983" s="6" t="s">
        <v>1828</v>
      </c>
      <c r="D5983" s="6" t="s">
        <v>1826</v>
      </c>
      <c r="G5983" s="6">
        <v>159</v>
      </c>
      <c r="H5983" s="6">
        <v>90</v>
      </c>
      <c r="I5983" s="7">
        <v>77</v>
      </c>
      <c r="K5983" s="7">
        <v>44010348</v>
      </c>
      <c r="L5983" s="6" t="str">
        <f t="shared" si="590"/>
        <v>DCH  LUNA  YEMEK MASASI 159x90x77</v>
      </c>
      <c r="T5983" s="12"/>
      <c r="U5983" s="8">
        <v>16500</v>
      </c>
      <c r="W5983" s="8">
        <f t="shared" si="584"/>
        <v>0</v>
      </c>
    </row>
    <row r="5984" spans="2:23" ht="21.95" customHeight="1" x14ac:dyDescent="0.2">
      <c r="B5984" s="6" t="s">
        <v>2021</v>
      </c>
      <c r="C5984" s="6" t="s">
        <v>1828</v>
      </c>
      <c r="D5984" s="6" t="s">
        <v>358</v>
      </c>
      <c r="G5984" s="6">
        <v>50</v>
      </c>
      <c r="H5984" s="6">
        <v>50</v>
      </c>
      <c r="I5984" s="7">
        <v>90</v>
      </c>
      <c r="K5984" s="7">
        <v>44010349</v>
      </c>
      <c r="L5984" s="6" t="str">
        <f t="shared" si="590"/>
        <v>DCH  LUNA  SANDALYE  50x50x90</v>
      </c>
      <c r="T5984" s="12"/>
      <c r="U5984" s="8">
        <v>18600</v>
      </c>
      <c r="W5984" s="8">
        <f t="shared" si="584"/>
        <v>0</v>
      </c>
    </row>
    <row r="5985" spans="2:23" ht="21.95" customHeight="1" x14ac:dyDescent="0.2">
      <c r="B5985" s="6" t="s">
        <v>2021</v>
      </c>
      <c r="C5985" s="6" t="s">
        <v>1828</v>
      </c>
      <c r="D5985" s="6" t="s">
        <v>1827</v>
      </c>
      <c r="G5985" s="6">
        <v>104</v>
      </c>
      <c r="H5985" s="6">
        <v>65</v>
      </c>
      <c r="I5985" s="7">
        <v>40</v>
      </c>
      <c r="K5985" s="7">
        <v>44010350</v>
      </c>
      <c r="L5985" s="6" t="str">
        <f t="shared" si="590"/>
        <v>DCH  LUNA  SEHPA  104x65x40</v>
      </c>
      <c r="T5985" s="12"/>
      <c r="U5985" s="8">
        <v>15800</v>
      </c>
      <c r="W5985" s="8">
        <f t="shared" si="584"/>
        <v>0</v>
      </c>
    </row>
    <row r="5986" spans="2:23" ht="21.95" customHeight="1" x14ac:dyDescent="0.2">
      <c r="B5986" s="6" t="s">
        <v>2021</v>
      </c>
      <c r="C5986" s="6" t="s">
        <v>1824</v>
      </c>
      <c r="D5986" s="6" t="s">
        <v>194</v>
      </c>
      <c r="G5986" s="6">
        <v>206</v>
      </c>
      <c r="H5986" s="6">
        <v>45</v>
      </c>
      <c r="I5986" s="7">
        <v>80</v>
      </c>
      <c r="K5986" s="7">
        <v>44010351</v>
      </c>
      <c r="L5986" s="6" t="str">
        <f t="shared" si="590"/>
        <v>DCH  SOFT  KONSOL  206x45x80</v>
      </c>
      <c r="T5986" s="12"/>
      <c r="U5986" s="8">
        <v>12600</v>
      </c>
      <c r="W5986" s="8">
        <f t="shared" ref="W5986:W6010" si="591">P5986*2.5</f>
        <v>0</v>
      </c>
    </row>
    <row r="5987" spans="2:23" ht="21.95" customHeight="1" x14ac:dyDescent="0.2">
      <c r="B5987" s="6" t="s">
        <v>2021</v>
      </c>
      <c r="C5987" s="6" t="s">
        <v>1824</v>
      </c>
      <c r="D5987" s="6" t="s">
        <v>706</v>
      </c>
      <c r="G5987" s="6">
        <v>75</v>
      </c>
      <c r="H5987" s="6">
        <v>2.4</v>
      </c>
      <c r="I5987" s="7">
        <v>100</v>
      </c>
      <c r="K5987" s="7">
        <v>44010352</v>
      </c>
      <c r="L5987" s="6" t="str">
        <f t="shared" si="590"/>
        <v>DCH  SOFT  KONSOL AYNASI  75x2,4x100</v>
      </c>
      <c r="T5987" s="12"/>
      <c r="U5987" s="8">
        <v>13300</v>
      </c>
      <c r="W5987" s="8">
        <f t="shared" si="591"/>
        <v>0</v>
      </c>
    </row>
    <row r="5988" spans="2:23" ht="21.95" customHeight="1" x14ac:dyDescent="0.2">
      <c r="B5988" s="6" t="s">
        <v>2021</v>
      </c>
      <c r="C5988" s="6" t="s">
        <v>1824</v>
      </c>
      <c r="D5988" s="6" t="s">
        <v>1829</v>
      </c>
      <c r="G5988" s="6">
        <v>206</v>
      </c>
      <c r="H5988" s="6">
        <v>45</v>
      </c>
      <c r="I5988" s="7">
        <v>45.5</v>
      </c>
      <c r="K5988" s="7">
        <v>44010353</v>
      </c>
      <c r="L5988" s="6" t="str">
        <f t="shared" si="590"/>
        <v>DCH  SOFT  DUVAR ÜNİTESİ ALT MODÜL  206x45x45,5</v>
      </c>
      <c r="T5988" s="12"/>
      <c r="U5988" s="8">
        <v>13400</v>
      </c>
      <c r="W5988" s="8">
        <f t="shared" si="591"/>
        <v>0</v>
      </c>
    </row>
    <row r="5989" spans="2:23" ht="21.95" customHeight="1" x14ac:dyDescent="0.2">
      <c r="B5989" s="6" t="s">
        <v>2021</v>
      </c>
      <c r="C5989" s="6" t="s">
        <v>1824</v>
      </c>
      <c r="D5989" s="6" t="s">
        <v>1836</v>
      </c>
      <c r="G5989" s="6">
        <v>200</v>
      </c>
      <c r="H5989" s="6">
        <v>45</v>
      </c>
      <c r="I5989" s="7">
        <v>54</v>
      </c>
      <c r="K5989" s="7">
        <v>44010354</v>
      </c>
      <c r="L5989" s="6" t="str">
        <f t="shared" si="590"/>
        <v>DCH  SOFT  DUVAR ÜNİTESİ EK MODÜL  200x45x54</v>
      </c>
      <c r="T5989" s="12"/>
      <c r="U5989" s="8">
        <v>16100</v>
      </c>
      <c r="W5989" s="8">
        <f t="shared" si="591"/>
        <v>0</v>
      </c>
    </row>
    <row r="5990" spans="2:23" ht="21.95" customHeight="1" x14ac:dyDescent="0.2">
      <c r="B5990" s="6" t="s">
        <v>2021</v>
      </c>
      <c r="C5990" s="6" t="s">
        <v>1824</v>
      </c>
      <c r="D5990" s="6" t="s">
        <v>1826</v>
      </c>
      <c r="G5990" s="6">
        <v>162</v>
      </c>
      <c r="H5990" s="6">
        <v>90</v>
      </c>
      <c r="I5990" s="7">
        <v>77</v>
      </c>
      <c r="K5990" s="7">
        <v>44010355</v>
      </c>
      <c r="L5990" s="6" t="str">
        <f t="shared" si="590"/>
        <v>DCH  SOFT  YEMEK MASASI 162x90x77</v>
      </c>
      <c r="T5990" s="12"/>
      <c r="U5990" s="8">
        <v>18800</v>
      </c>
      <c r="W5990" s="8">
        <f t="shared" si="591"/>
        <v>0</v>
      </c>
    </row>
    <row r="5991" spans="2:23" ht="21.95" customHeight="1" x14ac:dyDescent="0.2">
      <c r="B5991" s="6" t="s">
        <v>2021</v>
      </c>
      <c r="C5991" s="6" t="s">
        <v>1824</v>
      </c>
      <c r="D5991" s="6" t="s">
        <v>358</v>
      </c>
      <c r="K5991" s="7">
        <v>44010356</v>
      </c>
      <c r="L5991" s="6" t="str">
        <f>B5991&amp;" "&amp;C5991&amp;" "&amp;D5991</f>
        <v xml:space="preserve">DCH  SOFT  SANDALYE </v>
      </c>
      <c r="T5991" s="12"/>
      <c r="U5991" s="8">
        <v>20200</v>
      </c>
      <c r="W5991" s="8">
        <f t="shared" si="591"/>
        <v>0</v>
      </c>
    </row>
    <row r="5992" spans="2:23" ht="21.95" customHeight="1" x14ac:dyDescent="0.2">
      <c r="B5992" s="6" t="s">
        <v>2021</v>
      </c>
      <c r="C5992" s="6" t="s">
        <v>1824</v>
      </c>
      <c r="D5992" s="6" t="s">
        <v>1827</v>
      </c>
      <c r="G5992" s="6">
        <v>100</v>
      </c>
      <c r="H5992" s="6">
        <v>65</v>
      </c>
      <c r="I5992" s="7">
        <v>42</v>
      </c>
      <c r="K5992" s="7">
        <v>44010357</v>
      </c>
      <c r="L5992" s="6" t="str">
        <f>B5992&amp;" "&amp;C5992&amp;" "&amp;D5992&amp;" "&amp;G5992&amp;"x"&amp;H5992&amp;"x"&amp;I5992</f>
        <v>DCH  SOFT  SEHPA  100x65x42</v>
      </c>
      <c r="T5992" s="12"/>
      <c r="U5992" s="8">
        <v>21500</v>
      </c>
      <c r="W5992" s="8">
        <f t="shared" si="591"/>
        <v>0</v>
      </c>
    </row>
    <row r="5993" spans="2:23" ht="21.95" customHeight="1" x14ac:dyDescent="0.2">
      <c r="B5993" s="6" t="s">
        <v>2021</v>
      </c>
      <c r="C5993" s="6" t="s">
        <v>120</v>
      </c>
      <c r="D5993" s="6" t="s">
        <v>194</v>
      </c>
      <c r="G5993" s="6">
        <v>201</v>
      </c>
      <c r="H5993" s="6">
        <v>46</v>
      </c>
      <c r="I5993" s="7">
        <v>82</v>
      </c>
      <c r="K5993" s="7">
        <v>44010358</v>
      </c>
      <c r="L5993" s="6" t="str">
        <f>B5993&amp;" "&amp;C5993&amp;" "&amp;D5993&amp;" "&amp;G5993&amp;"x"&amp;H5993&amp;"x"&amp;I5993</f>
        <v>DCH  TETRA KONSOL  201x46x82</v>
      </c>
      <c r="T5993" s="12"/>
      <c r="U5993" s="8">
        <v>24200</v>
      </c>
      <c r="W5993" s="8">
        <f t="shared" si="591"/>
        <v>0</v>
      </c>
    </row>
    <row r="5994" spans="2:23" ht="21.95" customHeight="1" x14ac:dyDescent="0.2">
      <c r="B5994" s="6" t="s">
        <v>2021</v>
      </c>
      <c r="C5994" s="6" t="s">
        <v>120</v>
      </c>
      <c r="D5994" s="6" t="s">
        <v>706</v>
      </c>
      <c r="G5994" s="6">
        <v>90</v>
      </c>
      <c r="H5994" s="6">
        <v>23</v>
      </c>
      <c r="I5994" s="7">
        <v>90</v>
      </c>
      <c r="K5994" s="7">
        <v>44010359</v>
      </c>
      <c r="L5994" s="6" t="str">
        <f>B5994&amp;" "&amp;C5994&amp;" "&amp;D5994&amp;" "&amp;G5994&amp;"x"&amp;H5994&amp;"x"&amp;I5994</f>
        <v>DCH  TETRA KONSOL AYNASI  90x23x90</v>
      </c>
      <c r="T5994" s="12"/>
      <c r="U5994" s="8">
        <v>7200</v>
      </c>
      <c r="W5994" s="8">
        <f t="shared" si="591"/>
        <v>0</v>
      </c>
    </row>
    <row r="5995" spans="2:23" ht="21.95" customHeight="1" x14ac:dyDescent="0.2">
      <c r="B5995" s="6" t="s">
        <v>2021</v>
      </c>
      <c r="C5995" s="6" t="s">
        <v>120</v>
      </c>
      <c r="D5995" s="6" t="s">
        <v>1837</v>
      </c>
      <c r="G5995" s="6">
        <v>201</v>
      </c>
      <c r="H5995" s="6">
        <v>46</v>
      </c>
      <c r="I5995" s="7">
        <v>65</v>
      </c>
      <c r="K5995" s="7">
        <v>44010360</v>
      </c>
      <c r="L5995" s="6" t="str">
        <f>B5995&amp;" "&amp;C5995&amp;" "&amp;D5995&amp;" "&amp;G5995&amp;"x"&amp;H5995&amp;"x"&amp;I5995</f>
        <v>DCH  TETRA DUVAR ÜNİTESİ 201x46x65</v>
      </c>
      <c r="T5995" s="12"/>
      <c r="U5995" s="8">
        <v>7200</v>
      </c>
      <c r="W5995" s="8">
        <f t="shared" si="591"/>
        <v>0</v>
      </c>
    </row>
    <row r="5996" spans="2:23" ht="21.95" customHeight="1" x14ac:dyDescent="0.2">
      <c r="B5996" s="6" t="s">
        <v>2021</v>
      </c>
      <c r="C5996" s="6" t="s">
        <v>120</v>
      </c>
      <c r="D5996" s="6" t="s">
        <v>1826</v>
      </c>
      <c r="G5996" s="6">
        <v>190</v>
      </c>
      <c r="H5996" s="6">
        <v>95</v>
      </c>
      <c r="I5996" s="7">
        <v>78</v>
      </c>
      <c r="K5996" s="7">
        <v>44010361</v>
      </c>
      <c r="L5996" s="6" t="str">
        <f>B5996&amp;" "&amp;C5996&amp;" "&amp;D5996&amp;" "&amp;G5996&amp;"x"&amp;H5996&amp;"x"&amp;I5996</f>
        <v>DCH  TETRA YEMEK MASASI 190x95x78</v>
      </c>
      <c r="T5996" s="12"/>
      <c r="U5996" s="8">
        <v>7300</v>
      </c>
      <c r="W5996" s="8">
        <f t="shared" si="591"/>
        <v>0</v>
      </c>
    </row>
    <row r="5997" spans="2:23" ht="21.95" customHeight="1" x14ac:dyDescent="0.2">
      <c r="B5997" s="6" t="s">
        <v>2021</v>
      </c>
      <c r="C5997" s="6" t="s">
        <v>120</v>
      </c>
      <c r="D5997" s="6" t="s">
        <v>358</v>
      </c>
      <c r="K5997" s="7">
        <v>44010362</v>
      </c>
      <c r="L5997" s="6" t="str">
        <f>B5997&amp;" "&amp;C5997&amp;" "&amp;D5997</f>
        <v xml:space="preserve">DCH  TETRA SANDALYE </v>
      </c>
      <c r="T5997" s="12"/>
      <c r="U5997" s="8">
        <v>8700</v>
      </c>
      <c r="W5997" s="8">
        <f t="shared" si="591"/>
        <v>0</v>
      </c>
    </row>
    <row r="5998" spans="2:23" ht="21.95" customHeight="1" x14ac:dyDescent="0.2">
      <c r="B5998" s="6" t="s">
        <v>2021</v>
      </c>
      <c r="C5998" s="6" t="s">
        <v>120</v>
      </c>
      <c r="D5998" s="6" t="s">
        <v>1827</v>
      </c>
      <c r="G5998" s="6">
        <v>104</v>
      </c>
      <c r="H5998" s="6">
        <v>65</v>
      </c>
      <c r="I5998" s="7">
        <v>42</v>
      </c>
      <c r="K5998" s="7">
        <v>44010363</v>
      </c>
      <c r="L5998" s="6" t="str">
        <f t="shared" ref="L5998:L6004" si="592">B5998&amp;" "&amp;C5998&amp;" "&amp;D5998&amp;" "&amp;G5998&amp;"x"&amp;H5998&amp;"x"&amp;I5998</f>
        <v>DCH  TETRA SEHPA  104x65x42</v>
      </c>
      <c r="T5998" s="12"/>
      <c r="U5998" s="8">
        <v>10200</v>
      </c>
      <c r="W5998" s="8">
        <f t="shared" si="591"/>
        <v>0</v>
      </c>
    </row>
    <row r="5999" spans="2:23" ht="21.95" customHeight="1" x14ac:dyDescent="0.2">
      <c r="B5999" s="6" t="s">
        <v>2021</v>
      </c>
      <c r="C5999" s="6" t="s">
        <v>1838</v>
      </c>
      <c r="D5999" s="6" t="s">
        <v>1852</v>
      </c>
      <c r="G5999" s="6">
        <v>177</v>
      </c>
      <c r="H5999" s="6">
        <v>58</v>
      </c>
      <c r="I5999" s="7">
        <v>215</v>
      </c>
      <c r="K5999" s="7">
        <v>44010364</v>
      </c>
      <c r="L5999" s="6" t="str">
        <f t="shared" si="592"/>
        <v>DCH  COCO  DOLAP 4 LÜ 177x58x215</v>
      </c>
      <c r="T5999" s="12"/>
      <c r="U5999" s="8">
        <v>10900</v>
      </c>
      <c r="W5999" s="8">
        <f t="shared" si="591"/>
        <v>0</v>
      </c>
    </row>
    <row r="6000" spans="2:23" ht="21.95" customHeight="1" x14ac:dyDescent="0.2">
      <c r="B6000" s="6" t="s">
        <v>2021</v>
      </c>
      <c r="C6000" s="6" t="s">
        <v>1838</v>
      </c>
      <c r="D6000" s="6" t="s">
        <v>1853</v>
      </c>
      <c r="G6000" s="6">
        <v>94</v>
      </c>
      <c r="H6000" s="6">
        <v>58</v>
      </c>
      <c r="I6000" s="7">
        <v>215</v>
      </c>
      <c r="K6000" s="7">
        <v>44010365</v>
      </c>
      <c r="L6000" s="6" t="str">
        <f t="shared" si="592"/>
        <v>DCH  COCO  DOLAP 2 Lİ  94x58x215</v>
      </c>
      <c r="T6000" s="12"/>
      <c r="U6000" s="8">
        <v>11600</v>
      </c>
      <c r="W6000" s="8">
        <f t="shared" si="591"/>
        <v>0</v>
      </c>
    </row>
    <row r="6001" spans="2:23" ht="21.95" customHeight="1" x14ac:dyDescent="0.2">
      <c r="B6001" s="6" t="s">
        <v>2021</v>
      </c>
      <c r="C6001" s="6" t="s">
        <v>1838</v>
      </c>
      <c r="D6001" s="6" t="s">
        <v>363</v>
      </c>
      <c r="G6001" s="6">
        <v>212</v>
      </c>
      <c r="H6001" s="6">
        <v>223</v>
      </c>
      <c r="I6001" s="7">
        <v>109</v>
      </c>
      <c r="K6001" s="7">
        <v>44010366</v>
      </c>
      <c r="L6001" s="6" t="str">
        <f t="shared" si="592"/>
        <v>DCH  COCO  KARYOLA 212x223x109</v>
      </c>
      <c r="T6001" s="12"/>
      <c r="U6001" s="8">
        <v>13100</v>
      </c>
      <c r="W6001" s="8">
        <f t="shared" si="591"/>
        <v>0</v>
      </c>
    </row>
    <row r="6002" spans="2:23" ht="21.95" customHeight="1" x14ac:dyDescent="0.2">
      <c r="B6002" s="6" t="s">
        <v>2021</v>
      </c>
      <c r="C6002" s="6" t="s">
        <v>1838</v>
      </c>
      <c r="D6002" s="6" t="s">
        <v>1817</v>
      </c>
      <c r="G6002" s="6">
        <v>65</v>
      </c>
      <c r="H6002" s="6">
        <v>45</v>
      </c>
      <c r="I6002" s="7">
        <v>44</v>
      </c>
      <c r="K6002" s="7">
        <v>44010367</v>
      </c>
      <c r="L6002" s="6" t="str">
        <f t="shared" si="592"/>
        <v>DCH  COCO  KOMİDİN X2 65x45x44</v>
      </c>
      <c r="T6002" s="12"/>
      <c r="U6002" s="8">
        <v>12900</v>
      </c>
      <c r="W6002" s="8">
        <f t="shared" si="591"/>
        <v>0</v>
      </c>
    </row>
    <row r="6003" spans="2:23" ht="21.95" customHeight="1" x14ac:dyDescent="0.2">
      <c r="B6003" s="6" t="s">
        <v>2021</v>
      </c>
      <c r="C6003" s="6" t="s">
        <v>1838</v>
      </c>
      <c r="D6003" s="6" t="s">
        <v>78</v>
      </c>
      <c r="G6003" s="6">
        <v>135</v>
      </c>
      <c r="H6003" s="6">
        <v>45</v>
      </c>
      <c r="I6003" s="7">
        <v>81</v>
      </c>
      <c r="K6003" s="7">
        <v>44010368</v>
      </c>
      <c r="L6003" s="6" t="str">
        <f t="shared" si="592"/>
        <v>DCH  COCO  ŞİFONYER 135x45x81</v>
      </c>
      <c r="T6003" s="12"/>
      <c r="U6003" s="8">
        <v>13600</v>
      </c>
      <c r="W6003" s="8">
        <f t="shared" si="591"/>
        <v>0</v>
      </c>
    </row>
    <row r="6004" spans="2:23" ht="21.95" customHeight="1" x14ac:dyDescent="0.2">
      <c r="B6004" s="6" t="s">
        <v>2021</v>
      </c>
      <c r="C6004" s="6" t="s">
        <v>1838</v>
      </c>
      <c r="D6004" s="6" t="s">
        <v>370</v>
      </c>
      <c r="G6004" s="6">
        <v>78</v>
      </c>
      <c r="H6004" s="6">
        <v>3</v>
      </c>
      <c r="I6004" s="7">
        <v>78</v>
      </c>
      <c r="K6004" s="7">
        <v>44010369</v>
      </c>
      <c r="L6004" s="6" t="str">
        <f t="shared" si="592"/>
        <v>DCH  COCO  ŞİFONYER AYNA  78x3x78</v>
      </c>
      <c r="T6004" s="12"/>
      <c r="U6004" s="8">
        <v>13800</v>
      </c>
      <c r="W6004" s="8">
        <f t="shared" si="591"/>
        <v>0</v>
      </c>
    </row>
    <row r="6005" spans="2:23" ht="21.95" customHeight="1" x14ac:dyDescent="0.2">
      <c r="B6005" s="6" t="s">
        <v>2021</v>
      </c>
      <c r="C6005" s="6" t="s">
        <v>1838</v>
      </c>
      <c r="D6005" s="6" t="s">
        <v>1813</v>
      </c>
      <c r="G6005" s="6">
        <v>160</v>
      </c>
      <c r="H6005" s="6">
        <v>200</v>
      </c>
      <c r="K6005" s="7">
        <v>44010370</v>
      </c>
      <c r="L6005" s="6" t="str">
        <f>B6005&amp;" "&amp;C6005&amp;" "&amp;D6005&amp;" "&amp;G6005&amp;"x"&amp;H6005</f>
        <v>DCH  COCO  BAZALI KARYOLA  160x200</v>
      </c>
      <c r="T6005" s="12"/>
      <c r="U6005" s="8">
        <v>16500</v>
      </c>
      <c r="W6005" s="8">
        <f t="shared" si="591"/>
        <v>0</v>
      </c>
    </row>
    <row r="6006" spans="2:23" ht="21.95" customHeight="1" x14ac:dyDescent="0.2">
      <c r="B6006" s="6" t="s">
        <v>2021</v>
      </c>
      <c r="C6006" s="6" t="s">
        <v>1838</v>
      </c>
      <c r="D6006" s="6" t="s">
        <v>373</v>
      </c>
      <c r="G6006" s="6">
        <v>40</v>
      </c>
      <c r="H6006" s="6">
        <v>40</v>
      </c>
      <c r="I6006" s="7">
        <v>42</v>
      </c>
      <c r="K6006" s="7">
        <v>44010371</v>
      </c>
      <c r="L6006" s="6" t="str">
        <f t="shared" ref="L6006:L6012" si="593">B6006&amp;" "&amp;C6006&amp;" "&amp;D6006&amp;" "&amp;G6006&amp;"x"&amp;H6006&amp;"x"&amp;I6006</f>
        <v>DCH  COCO  PUF  40x40x42</v>
      </c>
      <c r="T6006" s="12"/>
      <c r="U6006" s="8">
        <v>19300</v>
      </c>
      <c r="W6006" s="8">
        <f t="shared" si="591"/>
        <v>0</v>
      </c>
    </row>
    <row r="6007" spans="2:23" ht="21.95" customHeight="1" x14ac:dyDescent="0.2">
      <c r="B6007" s="6" t="s">
        <v>2021</v>
      </c>
      <c r="C6007" s="6" t="s">
        <v>1838</v>
      </c>
      <c r="D6007" s="6" t="s">
        <v>1456</v>
      </c>
      <c r="G6007" s="6">
        <v>65</v>
      </c>
      <c r="H6007" s="6">
        <v>44</v>
      </c>
      <c r="I6007" s="7">
        <v>98</v>
      </c>
      <c r="K6007" s="7">
        <v>44010372</v>
      </c>
      <c r="L6007" s="6" t="str">
        <f t="shared" si="593"/>
        <v>DCH  COCO  ÇAMAŞIRLIK  65x44x98</v>
      </c>
      <c r="T6007" s="12"/>
      <c r="U6007" s="8">
        <v>20600</v>
      </c>
      <c r="W6007" s="8">
        <f t="shared" si="591"/>
        <v>0</v>
      </c>
    </row>
    <row r="6008" spans="2:23" ht="21.95" customHeight="1" x14ac:dyDescent="0.2">
      <c r="B6008" s="6" t="s">
        <v>2021</v>
      </c>
      <c r="C6008" s="6" t="s">
        <v>1839</v>
      </c>
      <c r="D6008" s="6" t="s">
        <v>1633</v>
      </c>
      <c r="G6008" s="6">
        <v>260</v>
      </c>
      <c r="H6008" s="6">
        <v>59</v>
      </c>
      <c r="I6008" s="7">
        <v>218</v>
      </c>
      <c r="K6008" s="7">
        <v>44010373</v>
      </c>
      <c r="L6008" s="6" t="str">
        <f t="shared" si="593"/>
        <v>DCH  MERKÜR  DOLAP  260x59x218</v>
      </c>
      <c r="T6008" s="12"/>
      <c r="U6008" s="8">
        <v>22000</v>
      </c>
      <c r="W6008" s="8">
        <f t="shared" si="591"/>
        <v>0</v>
      </c>
    </row>
    <row r="6009" spans="2:23" ht="21.95" customHeight="1" x14ac:dyDescent="0.2">
      <c r="B6009" s="6" t="s">
        <v>2021</v>
      </c>
      <c r="C6009" s="6" t="s">
        <v>1839</v>
      </c>
      <c r="D6009" s="6" t="s">
        <v>363</v>
      </c>
      <c r="G6009" s="6">
        <v>218</v>
      </c>
      <c r="H6009" s="6">
        <v>205</v>
      </c>
      <c r="I6009" s="7">
        <v>116</v>
      </c>
      <c r="K6009" s="7">
        <v>44010374</v>
      </c>
      <c r="L6009" s="6" t="str">
        <f t="shared" si="593"/>
        <v>DCH  MERKÜR  KARYOLA 218x205x116</v>
      </c>
      <c r="T6009" s="12"/>
      <c r="U6009" s="8">
        <v>24800</v>
      </c>
      <c r="W6009" s="8">
        <f t="shared" si="591"/>
        <v>0</v>
      </c>
    </row>
    <row r="6010" spans="2:23" ht="21.95" customHeight="1" x14ac:dyDescent="0.2">
      <c r="B6010" s="6" t="s">
        <v>2021</v>
      </c>
      <c r="C6010" s="6" t="s">
        <v>1839</v>
      </c>
      <c r="D6010" s="6" t="s">
        <v>1817</v>
      </c>
      <c r="G6010" s="6">
        <v>65</v>
      </c>
      <c r="H6010" s="6">
        <v>45</v>
      </c>
      <c r="I6010" s="7">
        <v>41</v>
      </c>
      <c r="K6010" s="7">
        <v>44010375</v>
      </c>
      <c r="L6010" s="6" t="str">
        <f t="shared" si="593"/>
        <v>DCH  MERKÜR  KOMİDİN X2 65x45x41</v>
      </c>
      <c r="T6010" s="12"/>
      <c r="U6010" s="8">
        <v>15800</v>
      </c>
      <c r="W6010" s="8">
        <f t="shared" si="591"/>
        <v>0</v>
      </c>
    </row>
    <row r="6011" spans="2:23" ht="21.95" customHeight="1" x14ac:dyDescent="0.2">
      <c r="B6011" s="6" t="s">
        <v>2021</v>
      </c>
      <c r="C6011" s="6" t="s">
        <v>1839</v>
      </c>
      <c r="D6011" s="6" t="s">
        <v>78</v>
      </c>
      <c r="G6011" s="6">
        <v>135</v>
      </c>
      <c r="H6011" s="6">
        <v>47</v>
      </c>
      <c r="I6011" s="7">
        <v>82</v>
      </c>
      <c r="K6011" s="7">
        <v>44010376</v>
      </c>
      <c r="L6011" s="6" t="str">
        <f t="shared" si="593"/>
        <v>DCH  MERKÜR  ŞİFONYER 135x47x82</v>
      </c>
      <c r="T6011" s="12"/>
      <c r="U6011" s="8">
        <v>14700</v>
      </c>
      <c r="W6011" s="8">
        <f t="shared" ref="W6011:W6050" si="594">P6011*2.5</f>
        <v>0</v>
      </c>
    </row>
    <row r="6012" spans="2:23" ht="21.95" customHeight="1" x14ac:dyDescent="0.2">
      <c r="B6012" s="6" t="s">
        <v>2021</v>
      </c>
      <c r="C6012" s="6" t="s">
        <v>1839</v>
      </c>
      <c r="D6012" s="6" t="s">
        <v>370</v>
      </c>
      <c r="G6012" s="6">
        <v>78</v>
      </c>
      <c r="H6012" s="6">
        <v>2</v>
      </c>
      <c r="I6012" s="7">
        <v>78</v>
      </c>
      <c r="K6012" s="7">
        <v>44010377</v>
      </c>
      <c r="L6012" s="6" t="str">
        <f t="shared" si="593"/>
        <v>DCH  MERKÜR  ŞİFONYER AYNA  78x2x78</v>
      </c>
      <c r="T6012" s="12"/>
      <c r="U6012" s="8">
        <v>15500</v>
      </c>
      <c r="W6012" s="8">
        <f t="shared" si="594"/>
        <v>0</v>
      </c>
    </row>
    <row r="6013" spans="2:23" ht="21.95" customHeight="1" x14ac:dyDescent="0.2">
      <c r="B6013" s="6" t="s">
        <v>2021</v>
      </c>
      <c r="C6013" s="6" t="s">
        <v>1839</v>
      </c>
      <c r="D6013" s="6" t="s">
        <v>1813</v>
      </c>
      <c r="G6013" s="6">
        <v>160</v>
      </c>
      <c r="H6013" s="6"/>
      <c r="I6013" s="7">
        <v>200</v>
      </c>
      <c r="K6013" s="7">
        <v>44010378</v>
      </c>
      <c r="L6013" s="6" t="str">
        <f>B6013&amp;" "&amp;C6013&amp;" "&amp;D6013&amp;" "&amp;G6013&amp;"x"&amp;I6013</f>
        <v>DCH  MERKÜR  BAZALI KARYOLA  160x200</v>
      </c>
      <c r="T6013" s="12"/>
      <c r="U6013" s="8">
        <v>15600</v>
      </c>
      <c r="W6013" s="8">
        <f t="shared" si="594"/>
        <v>0</v>
      </c>
    </row>
    <row r="6014" spans="2:23" ht="21.95" customHeight="1" x14ac:dyDescent="0.2">
      <c r="B6014" s="6" t="s">
        <v>2021</v>
      </c>
      <c r="C6014" s="6" t="s">
        <v>1839</v>
      </c>
      <c r="D6014" s="6" t="s">
        <v>119</v>
      </c>
      <c r="G6014" s="6">
        <v>40</v>
      </c>
      <c r="H6014" s="6">
        <v>40</v>
      </c>
      <c r="I6014" s="7">
        <v>42</v>
      </c>
      <c r="K6014" s="7">
        <v>44010379</v>
      </c>
      <c r="L6014" s="6" t="str">
        <f t="shared" ref="L6014:L6020" si="595">B6014&amp;" "&amp;C6014&amp;" "&amp;D6014&amp;" "&amp;G6014&amp;"x"&amp;H6014&amp;"x"&amp;I6014</f>
        <v>DCH  MERKÜR  PUF 40x40x42</v>
      </c>
      <c r="T6014" s="12"/>
      <c r="U6014" s="8">
        <v>18800</v>
      </c>
      <c r="W6014" s="8">
        <f t="shared" si="594"/>
        <v>0</v>
      </c>
    </row>
    <row r="6015" spans="2:23" ht="21.95" customHeight="1" x14ac:dyDescent="0.2">
      <c r="B6015" s="6" t="s">
        <v>2021</v>
      </c>
      <c r="C6015" s="6" t="s">
        <v>1839</v>
      </c>
      <c r="D6015" s="6" t="s">
        <v>1456</v>
      </c>
      <c r="G6015" s="6">
        <v>65</v>
      </c>
      <c r="H6015" s="6">
        <v>44</v>
      </c>
      <c r="I6015" s="7">
        <v>98</v>
      </c>
      <c r="K6015" s="7">
        <v>44010380</v>
      </c>
      <c r="L6015" s="6" t="str">
        <f t="shared" si="595"/>
        <v>DCH  MERKÜR  ÇAMAŞIRLIK  65x44x98</v>
      </c>
      <c r="T6015" s="12"/>
      <c r="U6015" s="8">
        <v>21900</v>
      </c>
      <c r="W6015" s="8">
        <f t="shared" si="594"/>
        <v>0</v>
      </c>
    </row>
    <row r="6016" spans="2:23" ht="21.95" customHeight="1" x14ac:dyDescent="0.2">
      <c r="B6016" s="6" t="s">
        <v>2021</v>
      </c>
      <c r="C6016" s="6" t="s">
        <v>466</v>
      </c>
      <c r="D6016" s="6" t="s">
        <v>1633</v>
      </c>
      <c r="G6016" s="6">
        <v>260</v>
      </c>
      <c r="H6016" s="6">
        <v>60</v>
      </c>
      <c r="I6016" s="7">
        <v>218</v>
      </c>
      <c r="K6016" s="7">
        <v>44010381</v>
      </c>
      <c r="L6016" s="6" t="str">
        <f t="shared" si="595"/>
        <v>DCH  MONA DOLAP  260x60x218</v>
      </c>
      <c r="T6016" s="12"/>
      <c r="U6016" s="8">
        <v>23400</v>
      </c>
      <c r="W6016" s="8">
        <f t="shared" si="594"/>
        <v>0</v>
      </c>
    </row>
    <row r="6017" spans="2:23" ht="21.95" customHeight="1" x14ac:dyDescent="0.2">
      <c r="B6017" s="6" t="s">
        <v>2021</v>
      </c>
      <c r="C6017" s="6" t="s">
        <v>466</v>
      </c>
      <c r="D6017" s="6" t="s">
        <v>363</v>
      </c>
      <c r="G6017" s="6">
        <v>168</v>
      </c>
      <c r="H6017" s="6">
        <v>227</v>
      </c>
      <c r="I6017" s="7">
        <v>106</v>
      </c>
      <c r="K6017" s="7">
        <v>44010382</v>
      </c>
      <c r="L6017" s="6" t="str">
        <f t="shared" si="595"/>
        <v>DCH  MONA KARYOLA 168x227x106</v>
      </c>
      <c r="T6017" s="12"/>
      <c r="U6017" s="8">
        <v>25000</v>
      </c>
      <c r="W6017" s="8">
        <f t="shared" si="594"/>
        <v>0</v>
      </c>
    </row>
    <row r="6018" spans="2:23" ht="21.95" customHeight="1" x14ac:dyDescent="0.2">
      <c r="B6018" s="6" t="s">
        <v>2021</v>
      </c>
      <c r="C6018" s="6" t="s">
        <v>466</v>
      </c>
      <c r="D6018" s="6" t="s">
        <v>1817</v>
      </c>
      <c r="G6018" s="6">
        <v>65</v>
      </c>
      <c r="H6018" s="6">
        <v>48</v>
      </c>
      <c r="I6018" s="7">
        <v>46</v>
      </c>
      <c r="K6018" s="7">
        <v>44010383</v>
      </c>
      <c r="L6018" s="6" t="str">
        <f t="shared" si="595"/>
        <v>DCH  MONA KOMİDİN X2 65x48x46</v>
      </c>
      <c r="T6018" s="12"/>
      <c r="U6018" s="8">
        <v>28100</v>
      </c>
      <c r="W6018" s="8">
        <f t="shared" si="594"/>
        <v>0</v>
      </c>
    </row>
    <row r="6019" spans="2:23" ht="21.95" customHeight="1" x14ac:dyDescent="0.2">
      <c r="B6019" s="6" t="s">
        <v>2021</v>
      </c>
      <c r="C6019" s="6" t="s">
        <v>466</v>
      </c>
      <c r="D6019" s="6" t="s">
        <v>78</v>
      </c>
      <c r="G6019" s="6">
        <v>135</v>
      </c>
      <c r="H6019" s="6">
        <v>48</v>
      </c>
      <c r="I6019" s="7">
        <v>85</v>
      </c>
      <c r="K6019" s="7">
        <v>44010384</v>
      </c>
      <c r="L6019" s="6" t="str">
        <f t="shared" si="595"/>
        <v>DCH  MONA ŞİFONYER 135x48x85</v>
      </c>
      <c r="T6019" s="12"/>
      <c r="U6019" s="8">
        <v>10900</v>
      </c>
      <c r="W6019" s="8">
        <f t="shared" si="594"/>
        <v>0</v>
      </c>
    </row>
    <row r="6020" spans="2:23" ht="21.95" customHeight="1" x14ac:dyDescent="0.2">
      <c r="B6020" s="6" t="s">
        <v>2021</v>
      </c>
      <c r="C6020" s="6" t="s">
        <v>466</v>
      </c>
      <c r="D6020" s="6" t="s">
        <v>380</v>
      </c>
      <c r="G6020" s="6">
        <v>60</v>
      </c>
      <c r="H6020" s="6">
        <v>70</v>
      </c>
      <c r="I6020" s="7">
        <v>80</v>
      </c>
      <c r="K6020" s="7">
        <v>44010385</v>
      </c>
      <c r="L6020" s="6" t="str">
        <f t="shared" si="595"/>
        <v>DCH  MONA ŞİFONYER AYNA 60x70x80</v>
      </c>
      <c r="T6020" s="12"/>
      <c r="U6020" s="8">
        <v>11500</v>
      </c>
      <c r="W6020" s="8">
        <f t="shared" si="594"/>
        <v>0</v>
      </c>
    </row>
    <row r="6021" spans="2:23" ht="21.95" customHeight="1" x14ac:dyDescent="0.2">
      <c r="B6021" s="6" t="s">
        <v>2021</v>
      </c>
      <c r="C6021" s="6" t="s">
        <v>466</v>
      </c>
      <c r="D6021" s="6" t="s">
        <v>1813</v>
      </c>
      <c r="G6021" s="6">
        <v>160</v>
      </c>
      <c r="I6021" s="7">
        <v>200</v>
      </c>
      <c r="K6021" s="7">
        <v>44010386</v>
      </c>
      <c r="L6021" s="6" t="str">
        <f>B6021&amp;" "&amp;C6021&amp;" "&amp;D6021&amp;" "&amp;G6021&amp;"x"&amp;I6021</f>
        <v>DCH  MONA BAZALI KARYOLA  160x200</v>
      </c>
      <c r="T6021" s="12"/>
      <c r="U6021" s="8">
        <v>11600</v>
      </c>
      <c r="W6021" s="8">
        <f t="shared" si="594"/>
        <v>0</v>
      </c>
    </row>
    <row r="6022" spans="2:23" ht="21.95" customHeight="1" x14ac:dyDescent="0.2">
      <c r="B6022" s="6" t="s">
        <v>2021</v>
      </c>
      <c r="C6022" s="6" t="s">
        <v>466</v>
      </c>
      <c r="D6022" s="6" t="s">
        <v>1814</v>
      </c>
      <c r="K6022" s="7">
        <v>44010387</v>
      </c>
      <c r="L6022" s="6" t="str">
        <f>B6022&amp;" "&amp;C6022&amp;" "&amp;D6022</f>
        <v>DCH  MONA YERDEN YÜKSEK KARYOLA</v>
      </c>
      <c r="T6022" s="12"/>
      <c r="U6022" s="8">
        <v>14000</v>
      </c>
      <c r="W6022" s="8">
        <f t="shared" si="594"/>
        <v>0</v>
      </c>
    </row>
    <row r="6023" spans="2:23" ht="21.95" customHeight="1" x14ac:dyDescent="0.2">
      <c r="B6023" s="6" t="s">
        <v>2021</v>
      </c>
      <c r="C6023" s="6" t="s">
        <v>466</v>
      </c>
      <c r="D6023" s="6" t="s">
        <v>119</v>
      </c>
      <c r="G6023" s="6">
        <v>40</v>
      </c>
      <c r="H6023" s="6">
        <v>40</v>
      </c>
      <c r="I6023" s="7">
        <v>42</v>
      </c>
      <c r="K6023" s="7">
        <v>44010388</v>
      </c>
      <c r="L6023" s="6" t="str">
        <f t="shared" ref="L6023:L6029" si="596">B6023&amp;" "&amp;C6023&amp;" "&amp;D6023&amp;" "&amp;G6023&amp;"x"&amp;H6023&amp;"x"&amp;I6023</f>
        <v>DCH  MONA PUF 40x40x42</v>
      </c>
      <c r="T6023" s="12"/>
      <c r="U6023" s="8">
        <v>16300</v>
      </c>
      <c r="W6023" s="8">
        <f t="shared" si="594"/>
        <v>0</v>
      </c>
    </row>
    <row r="6024" spans="2:23" ht="21.95" customHeight="1" x14ac:dyDescent="0.2">
      <c r="B6024" s="6" t="s">
        <v>2021</v>
      </c>
      <c r="C6024" s="6" t="s">
        <v>466</v>
      </c>
      <c r="D6024" s="6" t="s">
        <v>1456</v>
      </c>
      <c r="G6024" s="6">
        <v>78</v>
      </c>
      <c r="H6024" s="6">
        <v>43.5</v>
      </c>
      <c r="I6024" s="7">
        <v>87.5</v>
      </c>
      <c r="K6024" s="7">
        <v>44010389</v>
      </c>
      <c r="L6024" s="6" t="str">
        <f t="shared" si="596"/>
        <v>DCH  MONA ÇAMAŞIRLIK  78x43,5x87,5</v>
      </c>
      <c r="T6024" s="12"/>
      <c r="U6024" s="8">
        <v>17400</v>
      </c>
      <c r="W6024" s="8">
        <f t="shared" si="594"/>
        <v>0</v>
      </c>
    </row>
    <row r="6025" spans="2:23" ht="21.95" customHeight="1" x14ac:dyDescent="0.2">
      <c r="B6025" s="6" t="s">
        <v>2021</v>
      </c>
      <c r="C6025" s="6" t="s">
        <v>488</v>
      </c>
      <c r="D6025" s="6" t="s">
        <v>361</v>
      </c>
      <c r="G6025" s="6">
        <v>260</v>
      </c>
      <c r="H6025" s="5">
        <v>58</v>
      </c>
      <c r="I6025" s="7">
        <v>218</v>
      </c>
      <c r="K6025" s="7">
        <v>44010390</v>
      </c>
      <c r="L6025" s="6" t="str">
        <f t="shared" si="596"/>
        <v>DCH  LİZA DOLAP 260x58x218</v>
      </c>
      <c r="T6025" s="12"/>
      <c r="U6025" s="8">
        <v>18600</v>
      </c>
      <c r="W6025" s="8">
        <f t="shared" si="594"/>
        <v>0</v>
      </c>
    </row>
    <row r="6026" spans="2:23" ht="21.95" customHeight="1" x14ac:dyDescent="0.2">
      <c r="B6026" s="6" t="s">
        <v>2021</v>
      </c>
      <c r="C6026" s="6" t="s">
        <v>488</v>
      </c>
      <c r="D6026" s="6" t="s">
        <v>363</v>
      </c>
      <c r="G6026" s="6">
        <v>168</v>
      </c>
      <c r="H6026" s="6">
        <v>230</v>
      </c>
      <c r="I6026" s="7">
        <v>126</v>
      </c>
      <c r="K6026" s="7">
        <v>44010391</v>
      </c>
      <c r="L6026" s="6" t="str">
        <f t="shared" si="596"/>
        <v>DCH  LİZA KARYOLA 168x230x126</v>
      </c>
      <c r="T6026" s="12"/>
      <c r="U6026" s="8">
        <v>20900</v>
      </c>
      <c r="W6026" s="8">
        <f t="shared" si="594"/>
        <v>0</v>
      </c>
    </row>
    <row r="6027" spans="2:23" ht="21.95" customHeight="1" x14ac:dyDescent="0.2">
      <c r="B6027" s="6" t="s">
        <v>2021</v>
      </c>
      <c r="C6027" s="6" t="s">
        <v>488</v>
      </c>
      <c r="D6027" s="6" t="s">
        <v>1817</v>
      </c>
      <c r="G6027" s="6">
        <v>65</v>
      </c>
      <c r="H6027" s="6">
        <v>44</v>
      </c>
      <c r="I6027" s="7">
        <v>47</v>
      </c>
      <c r="K6027" s="7">
        <v>44010392</v>
      </c>
      <c r="L6027" s="6" t="str">
        <f t="shared" si="596"/>
        <v>DCH  LİZA KOMİDİN X2 65x44x47</v>
      </c>
      <c r="T6027" s="12"/>
      <c r="U6027" s="8">
        <v>11300</v>
      </c>
      <c r="W6027" s="8">
        <f t="shared" si="594"/>
        <v>0</v>
      </c>
    </row>
    <row r="6028" spans="2:23" ht="21.95" customHeight="1" x14ac:dyDescent="0.2">
      <c r="B6028" s="6" t="s">
        <v>2021</v>
      </c>
      <c r="C6028" s="6" t="s">
        <v>488</v>
      </c>
      <c r="D6028" s="6" t="s">
        <v>78</v>
      </c>
      <c r="G6028" s="6">
        <v>135</v>
      </c>
      <c r="H6028" s="6">
        <v>49</v>
      </c>
      <c r="I6028" s="7">
        <v>88</v>
      </c>
      <c r="K6028" s="7">
        <v>44010393</v>
      </c>
      <c r="L6028" s="6" t="str">
        <f t="shared" si="596"/>
        <v>DCH  LİZA ŞİFONYER 135x49x88</v>
      </c>
      <c r="T6028" s="12"/>
      <c r="U6028" s="8">
        <v>11900</v>
      </c>
      <c r="W6028" s="8">
        <f t="shared" si="594"/>
        <v>0</v>
      </c>
    </row>
    <row r="6029" spans="2:23" ht="21.95" customHeight="1" x14ac:dyDescent="0.2">
      <c r="B6029" s="6" t="s">
        <v>2021</v>
      </c>
      <c r="C6029" s="6" t="s">
        <v>488</v>
      </c>
      <c r="D6029" s="6" t="s">
        <v>380</v>
      </c>
      <c r="G6029" s="6">
        <v>78</v>
      </c>
      <c r="H6029" s="6">
        <v>23</v>
      </c>
      <c r="I6029" s="7">
        <v>78</v>
      </c>
      <c r="K6029" s="7">
        <v>44010394</v>
      </c>
      <c r="L6029" s="6" t="str">
        <f t="shared" si="596"/>
        <v>DCH  LİZA ŞİFONYER AYNA 78x23x78</v>
      </c>
      <c r="T6029" s="12"/>
      <c r="U6029" s="8">
        <v>12000</v>
      </c>
      <c r="W6029" s="8">
        <f t="shared" si="594"/>
        <v>0</v>
      </c>
    </row>
    <row r="6030" spans="2:23" ht="21.95" customHeight="1" x14ac:dyDescent="0.2">
      <c r="B6030" s="6" t="s">
        <v>2021</v>
      </c>
      <c r="C6030" s="6" t="s">
        <v>488</v>
      </c>
      <c r="D6030" s="6" t="s">
        <v>1813</v>
      </c>
      <c r="G6030" s="6">
        <v>160</v>
      </c>
      <c r="I6030" s="7">
        <v>200</v>
      </c>
      <c r="K6030" s="7">
        <v>44010395</v>
      </c>
      <c r="L6030" s="6" t="str">
        <f>B6030&amp;" "&amp;C6030&amp;" "&amp;D6030&amp;" "&amp;G6030&amp;"x"&amp;I6030</f>
        <v>DCH  LİZA BAZALI KARYOLA  160x200</v>
      </c>
      <c r="T6030" s="12"/>
      <c r="U6030" s="8">
        <v>14400</v>
      </c>
      <c r="W6030" s="8">
        <f t="shared" si="594"/>
        <v>0</v>
      </c>
    </row>
    <row r="6031" spans="2:23" ht="21.95" customHeight="1" x14ac:dyDescent="0.2">
      <c r="B6031" s="6" t="s">
        <v>2021</v>
      </c>
      <c r="C6031" s="6" t="s">
        <v>488</v>
      </c>
      <c r="D6031" s="6" t="s">
        <v>373</v>
      </c>
      <c r="G6031" s="6">
        <v>40</v>
      </c>
      <c r="H6031" s="6">
        <v>40</v>
      </c>
      <c r="I6031" s="7">
        <v>42</v>
      </c>
      <c r="K6031" s="7">
        <v>44010396</v>
      </c>
      <c r="L6031" s="6" t="str">
        <f>B6031&amp;" "&amp;C6031&amp;" "&amp;D6031&amp;" "&amp;G6031&amp;"x"&amp;H6031&amp;"x"&amp;I6031</f>
        <v>DCH  LİZA PUF  40x40x42</v>
      </c>
      <c r="T6031" s="12"/>
      <c r="U6031" s="8">
        <v>16800</v>
      </c>
      <c r="W6031" s="8">
        <f t="shared" si="594"/>
        <v>0</v>
      </c>
    </row>
    <row r="6032" spans="2:23" ht="21.95" customHeight="1" x14ac:dyDescent="0.2">
      <c r="B6032" s="6" t="s">
        <v>2021</v>
      </c>
      <c r="C6032" s="6" t="s">
        <v>488</v>
      </c>
      <c r="D6032" s="6" t="s">
        <v>1456</v>
      </c>
      <c r="G6032" s="6">
        <v>65</v>
      </c>
      <c r="H6032" s="6">
        <v>44</v>
      </c>
      <c r="I6032" s="7">
        <v>98</v>
      </c>
      <c r="K6032" s="7">
        <v>44010397</v>
      </c>
      <c r="L6032" s="6" t="str">
        <f>B6032&amp;" "&amp;C6032&amp;" "&amp;D6032&amp;" "&amp;G6032&amp;"x"&amp;H6032&amp;"x"&amp;I6032</f>
        <v>DCH  LİZA ÇAMAŞIRLIK  65x44x98</v>
      </c>
      <c r="T6032" s="12"/>
      <c r="U6032" s="8">
        <v>18000</v>
      </c>
      <c r="W6032" s="8">
        <f t="shared" si="594"/>
        <v>0</v>
      </c>
    </row>
    <row r="6033" spans="2:23" ht="21.95" customHeight="1" x14ac:dyDescent="0.2">
      <c r="B6033" s="6" t="s">
        <v>2021</v>
      </c>
      <c r="C6033" s="6" t="s">
        <v>1838</v>
      </c>
      <c r="D6033" s="6" t="s">
        <v>194</v>
      </c>
      <c r="H6033" s="6">
        <v>45</v>
      </c>
      <c r="I6033" s="7">
        <v>83</v>
      </c>
      <c r="K6033" s="7">
        <v>44010398</v>
      </c>
      <c r="L6033" s="6" t="str">
        <f>B6033&amp;" "&amp;C6033&amp;" "&amp;D6033&amp;" "&amp;H6033&amp;"x"&amp;I6033</f>
        <v>DCH  COCO  KONSOL  45x83</v>
      </c>
      <c r="T6033" s="12"/>
      <c r="U6033" s="8">
        <v>19200</v>
      </c>
      <c r="W6033" s="8">
        <f t="shared" si="594"/>
        <v>0</v>
      </c>
    </row>
    <row r="6034" spans="2:23" ht="21.95" customHeight="1" x14ac:dyDescent="0.2">
      <c r="B6034" s="6" t="s">
        <v>2021</v>
      </c>
      <c r="C6034" s="6" t="s">
        <v>1838</v>
      </c>
      <c r="D6034" s="6" t="s">
        <v>706</v>
      </c>
      <c r="H6034" s="6">
        <v>3</v>
      </c>
      <c r="I6034" s="7">
        <v>88</v>
      </c>
      <c r="K6034" s="7">
        <v>44010399</v>
      </c>
      <c r="L6034" s="6" t="str">
        <f>B6034&amp;" "&amp;C6034&amp;" "&amp;D6034&amp;H6034&amp;"x"&amp;I6034</f>
        <v>DCH  COCO  KONSOL AYNASI 3x88</v>
      </c>
      <c r="T6034" s="12"/>
      <c r="U6034" s="8">
        <v>21600</v>
      </c>
      <c r="W6034" s="8">
        <f t="shared" si="594"/>
        <v>0</v>
      </c>
    </row>
    <row r="6035" spans="2:23" ht="21.95" customHeight="1" x14ac:dyDescent="0.2">
      <c r="B6035" s="6" t="s">
        <v>2021</v>
      </c>
      <c r="C6035" s="6" t="s">
        <v>1838</v>
      </c>
      <c r="D6035" s="6" t="s">
        <v>1825</v>
      </c>
      <c r="H6035" s="6">
        <v>45</v>
      </c>
      <c r="I6035" s="7">
        <v>58</v>
      </c>
      <c r="K6035" s="7">
        <v>44010400</v>
      </c>
      <c r="L6035" s="6" t="str">
        <f>B6035&amp;" "&amp;C6035&amp;" "&amp;D6035&amp;H6035&amp;"x"&amp;I6035</f>
        <v>DCH  COCO  DUVAR ÜNİTESİ 45x58</v>
      </c>
      <c r="T6035" s="12"/>
      <c r="U6035" s="8">
        <v>8400</v>
      </c>
      <c r="W6035" s="8">
        <f t="shared" si="594"/>
        <v>0</v>
      </c>
    </row>
    <row r="6036" spans="2:23" ht="21.95" customHeight="1" x14ac:dyDescent="0.2">
      <c r="B6036" s="6" t="s">
        <v>2021</v>
      </c>
      <c r="C6036" s="6" t="s">
        <v>1838</v>
      </c>
      <c r="D6036" s="6" t="s">
        <v>1162</v>
      </c>
      <c r="H6036" s="6">
        <v>90</v>
      </c>
      <c r="I6036" s="7">
        <v>76</v>
      </c>
      <c r="K6036" s="7">
        <v>44010401</v>
      </c>
      <c r="L6036" s="6" t="str">
        <f>B6036&amp;" "&amp;C6036&amp;" "&amp;D6036&amp;H6036&amp;"x"&amp;I6036</f>
        <v>DCH  COCO  YEMEK MASASI 90x76</v>
      </c>
      <c r="T6036" s="12"/>
      <c r="U6036" s="8">
        <v>8800</v>
      </c>
      <c r="W6036" s="8">
        <f t="shared" si="594"/>
        <v>0</v>
      </c>
    </row>
    <row r="6037" spans="2:23" ht="21.95" customHeight="1" x14ac:dyDescent="0.2">
      <c r="B6037" s="6" t="s">
        <v>2021</v>
      </c>
      <c r="C6037" s="6" t="s">
        <v>1838</v>
      </c>
      <c r="D6037" s="6" t="s">
        <v>358</v>
      </c>
      <c r="K6037" s="7">
        <v>44010402</v>
      </c>
      <c r="L6037" s="6" t="str">
        <f>B6037&amp;" "&amp;C6037&amp;" "&amp;D6037</f>
        <v xml:space="preserve">DCH  COCO  SANDALYE </v>
      </c>
      <c r="T6037" s="12"/>
      <c r="U6037" s="8">
        <v>8900</v>
      </c>
      <c r="W6037" s="8">
        <f t="shared" si="594"/>
        <v>0</v>
      </c>
    </row>
    <row r="6038" spans="2:23" ht="21.95" customHeight="1" x14ac:dyDescent="0.2">
      <c r="B6038" s="6" t="s">
        <v>2021</v>
      </c>
      <c r="C6038" s="6" t="s">
        <v>1838</v>
      </c>
      <c r="D6038" s="6" t="s">
        <v>1827</v>
      </c>
      <c r="H6038" s="6">
        <v>90</v>
      </c>
      <c r="I6038" s="7">
        <v>52</v>
      </c>
      <c r="K6038" s="7">
        <v>44010403</v>
      </c>
      <c r="L6038" s="6" t="str">
        <f>B6038&amp;" "&amp;C6038&amp;" "&amp;D6038&amp;" "&amp;H6038&amp;"x"&amp;I6038</f>
        <v>DCH  COCO  SEHPA  90x52</v>
      </c>
      <c r="T6038" s="12"/>
      <c r="U6038" s="8">
        <v>10700</v>
      </c>
      <c r="W6038" s="8">
        <f t="shared" si="594"/>
        <v>0</v>
      </c>
    </row>
    <row r="6039" spans="2:23" ht="21.95" customHeight="1" x14ac:dyDescent="0.2">
      <c r="B6039" s="6" t="s">
        <v>2021</v>
      </c>
      <c r="C6039" s="6" t="s">
        <v>1839</v>
      </c>
      <c r="D6039" s="6" t="s">
        <v>194</v>
      </c>
      <c r="G6039" s="5">
        <v>201</v>
      </c>
      <c r="H6039" s="6">
        <v>45</v>
      </c>
      <c r="I6039" s="7">
        <v>81</v>
      </c>
      <c r="K6039" s="7">
        <v>44010404</v>
      </c>
      <c r="L6039" s="6" t="str">
        <f t="shared" ref="L6039:L6046" si="597">B6039&amp;" "&amp;C6039&amp;" "&amp;D6039&amp;" "&amp;G6039&amp;"x"&amp;H6039&amp;"x"&amp;I6039</f>
        <v>DCH  MERKÜR  KONSOL  201x45x81</v>
      </c>
      <c r="T6039" s="12"/>
      <c r="U6039" s="8">
        <v>12500</v>
      </c>
      <c r="W6039" s="8">
        <f t="shared" si="594"/>
        <v>0</v>
      </c>
    </row>
    <row r="6040" spans="2:23" ht="21.95" customHeight="1" x14ac:dyDescent="0.2">
      <c r="B6040" s="6" t="s">
        <v>2021</v>
      </c>
      <c r="C6040" s="6" t="s">
        <v>1839</v>
      </c>
      <c r="D6040" s="6" t="s">
        <v>706</v>
      </c>
      <c r="G6040" s="5">
        <v>90</v>
      </c>
      <c r="H6040" s="6">
        <v>23</v>
      </c>
      <c r="I6040" s="7">
        <v>90</v>
      </c>
      <c r="K6040" s="7">
        <v>44010405</v>
      </c>
      <c r="L6040" s="6" t="str">
        <f t="shared" si="597"/>
        <v>DCH  MERKÜR  KONSOL AYNASI  90x23x90</v>
      </c>
      <c r="T6040" s="12"/>
      <c r="U6040" s="8">
        <v>13400</v>
      </c>
      <c r="W6040" s="8">
        <f t="shared" si="594"/>
        <v>0</v>
      </c>
    </row>
    <row r="6041" spans="2:23" ht="21.95" customHeight="1" x14ac:dyDescent="0.2">
      <c r="B6041" s="6" t="s">
        <v>2021</v>
      </c>
      <c r="C6041" s="6" t="s">
        <v>1839</v>
      </c>
      <c r="D6041" s="6" t="s">
        <v>1829</v>
      </c>
      <c r="G6041" s="5">
        <v>201</v>
      </c>
      <c r="H6041" s="6">
        <v>45</v>
      </c>
      <c r="I6041" s="7">
        <v>58</v>
      </c>
      <c r="K6041" s="7">
        <v>44010406</v>
      </c>
      <c r="L6041" s="6" t="str">
        <f t="shared" si="597"/>
        <v>DCH  MERKÜR  DUVAR ÜNİTESİ ALT MODÜL  201x45x58</v>
      </c>
      <c r="T6041" s="12"/>
      <c r="U6041" s="8">
        <v>14300</v>
      </c>
      <c r="W6041" s="8">
        <f t="shared" si="594"/>
        <v>0</v>
      </c>
    </row>
    <row r="6042" spans="2:23" ht="21.95" customHeight="1" x14ac:dyDescent="0.2">
      <c r="B6042" s="6" t="s">
        <v>2021</v>
      </c>
      <c r="C6042" s="6" t="s">
        <v>1839</v>
      </c>
      <c r="D6042" s="6" t="s">
        <v>1830</v>
      </c>
      <c r="G6042" s="6">
        <v>137</v>
      </c>
      <c r="H6042" s="6">
        <v>20</v>
      </c>
      <c r="I6042" s="7">
        <v>23</v>
      </c>
      <c r="K6042" s="7">
        <v>44010407</v>
      </c>
      <c r="L6042" s="6" t="str">
        <f t="shared" si="597"/>
        <v>DCH  MERKÜR  DUVAR ÜNİTESİ ÜST MODÜL  137x20x23</v>
      </c>
      <c r="T6042" s="12"/>
      <c r="U6042" s="8">
        <v>16100</v>
      </c>
      <c r="W6042" s="8">
        <f t="shared" si="594"/>
        <v>0</v>
      </c>
    </row>
    <row r="6043" spans="2:23" ht="21.95" customHeight="1" x14ac:dyDescent="0.2">
      <c r="B6043" s="6" t="s">
        <v>2021</v>
      </c>
      <c r="C6043" s="6" t="s">
        <v>1839</v>
      </c>
      <c r="D6043" s="6" t="s">
        <v>1162</v>
      </c>
      <c r="G6043" s="6">
        <v>159</v>
      </c>
      <c r="H6043" s="6">
        <v>90</v>
      </c>
      <c r="I6043" s="7">
        <v>77</v>
      </c>
      <c r="K6043" s="7">
        <v>44010408</v>
      </c>
      <c r="L6043" s="6" t="str">
        <f t="shared" si="597"/>
        <v>DCH  MERKÜR  YEMEK MASASI  159x90x77</v>
      </c>
      <c r="T6043" s="12"/>
      <c r="U6043" s="8">
        <v>29300</v>
      </c>
      <c r="W6043" s="8">
        <f t="shared" si="594"/>
        <v>0</v>
      </c>
    </row>
    <row r="6044" spans="2:23" ht="21.95" customHeight="1" x14ac:dyDescent="0.2">
      <c r="B6044" s="6" t="s">
        <v>2021</v>
      </c>
      <c r="C6044" s="6" t="s">
        <v>1839</v>
      </c>
      <c r="D6044" s="6" t="s">
        <v>358</v>
      </c>
      <c r="G6044" s="6">
        <v>52</v>
      </c>
      <c r="H6044" s="6">
        <v>52</v>
      </c>
      <c r="I6044" s="7">
        <v>84</v>
      </c>
      <c r="K6044" s="7">
        <v>44010409</v>
      </c>
      <c r="L6044" s="6" t="str">
        <f t="shared" si="597"/>
        <v>DCH  MERKÜR  SANDALYE  52x52x84</v>
      </c>
      <c r="T6044" s="12"/>
      <c r="U6044" s="8">
        <v>30900</v>
      </c>
      <c r="W6044" s="8">
        <f t="shared" si="594"/>
        <v>0</v>
      </c>
    </row>
    <row r="6045" spans="2:23" ht="21.95" customHeight="1" x14ac:dyDescent="0.2">
      <c r="B6045" s="6" t="s">
        <v>2021</v>
      </c>
      <c r="C6045" s="6" t="s">
        <v>1839</v>
      </c>
      <c r="D6045" s="6" t="s">
        <v>453</v>
      </c>
      <c r="G6045" s="6">
        <v>104</v>
      </c>
      <c r="H6045" s="6">
        <v>65</v>
      </c>
      <c r="I6045" s="7">
        <v>40</v>
      </c>
      <c r="K6045" s="7">
        <v>44010410</v>
      </c>
      <c r="L6045" s="6" t="str">
        <f t="shared" si="597"/>
        <v>DCH  MERKÜR  SEHPA 104x65x40</v>
      </c>
      <c r="T6045" s="12"/>
      <c r="U6045" s="8">
        <v>31200</v>
      </c>
      <c r="W6045" s="8">
        <f t="shared" si="594"/>
        <v>0</v>
      </c>
    </row>
    <row r="6046" spans="2:23" ht="21.95" customHeight="1" x14ac:dyDescent="0.2">
      <c r="B6046" s="6" t="s">
        <v>2021</v>
      </c>
      <c r="C6046" s="6" t="s">
        <v>1840</v>
      </c>
      <c r="D6046" s="6" t="s">
        <v>194</v>
      </c>
      <c r="G6046" s="6">
        <v>208</v>
      </c>
      <c r="H6046" s="6">
        <v>48</v>
      </c>
      <c r="I6046" s="7">
        <v>85</v>
      </c>
      <c r="K6046" s="7">
        <v>44010411</v>
      </c>
      <c r="L6046" s="6" t="str">
        <f t="shared" si="597"/>
        <v>DCH  MONA  KONSOL  208x48x85</v>
      </c>
      <c r="T6046" s="12"/>
      <c r="U6046" s="8">
        <v>37400</v>
      </c>
      <c r="W6046" s="8">
        <f t="shared" si="594"/>
        <v>0</v>
      </c>
    </row>
    <row r="6047" spans="2:23" ht="21.95" customHeight="1" x14ac:dyDescent="0.2">
      <c r="B6047" s="6" t="s">
        <v>2021</v>
      </c>
      <c r="C6047" s="6" t="s">
        <v>1840</v>
      </c>
      <c r="D6047" s="6" t="s">
        <v>706</v>
      </c>
      <c r="G6047" s="6">
        <v>70</v>
      </c>
      <c r="I6047" s="7">
        <v>90</v>
      </c>
      <c r="K6047" s="7">
        <v>44010412</v>
      </c>
      <c r="L6047" s="6" t="str">
        <f>B6047&amp;" "&amp;C6047&amp;" "&amp;D6047&amp;" "&amp;G6047&amp;"x"&amp;I6047</f>
        <v>DCH  MONA  KONSOL AYNASI  70x90</v>
      </c>
      <c r="T6047" s="12"/>
      <c r="U6047" s="8">
        <v>43700</v>
      </c>
      <c r="W6047" s="8">
        <f t="shared" si="594"/>
        <v>0</v>
      </c>
    </row>
    <row r="6048" spans="2:23" ht="21.95" customHeight="1" x14ac:dyDescent="0.2">
      <c r="B6048" s="6" t="s">
        <v>2021</v>
      </c>
      <c r="C6048" s="6" t="s">
        <v>1840</v>
      </c>
      <c r="D6048" s="6" t="s">
        <v>1829</v>
      </c>
      <c r="G6048" s="6">
        <v>208</v>
      </c>
      <c r="H6048" s="6">
        <v>48</v>
      </c>
      <c r="I6048" s="7">
        <v>61</v>
      </c>
      <c r="K6048" s="7">
        <v>44010413</v>
      </c>
      <c r="L6048" s="6" t="str">
        <f t="shared" ref="L6048:L6065" si="598">B6048&amp;" "&amp;C6048&amp;" "&amp;D6048&amp;" "&amp;G6048&amp;"x"&amp;H6048&amp;"x"&amp;I6048</f>
        <v>DCH  MONA  DUVAR ÜNİTESİ ALT MODÜL  208x48x61</v>
      </c>
      <c r="T6048" s="12"/>
      <c r="U6048" s="8">
        <v>46800</v>
      </c>
      <c r="W6048" s="8">
        <f t="shared" si="594"/>
        <v>0</v>
      </c>
    </row>
    <row r="6049" spans="2:23" ht="21.95" customHeight="1" x14ac:dyDescent="0.2">
      <c r="B6049" s="6" t="s">
        <v>2021</v>
      </c>
      <c r="C6049" s="6" t="s">
        <v>1840</v>
      </c>
      <c r="D6049" s="6" t="s">
        <v>1830</v>
      </c>
      <c r="G6049" s="6">
        <v>137</v>
      </c>
      <c r="H6049" s="6">
        <v>20</v>
      </c>
      <c r="I6049" s="7">
        <v>26</v>
      </c>
      <c r="K6049" s="7">
        <v>44010414</v>
      </c>
      <c r="L6049" s="6" t="str">
        <f t="shared" si="598"/>
        <v>DCH  MONA  DUVAR ÜNİTESİ ÜST MODÜL  137x20x26</v>
      </c>
      <c r="T6049" s="12"/>
      <c r="U6049" s="8">
        <v>49900</v>
      </c>
      <c r="W6049" s="8">
        <f t="shared" si="594"/>
        <v>0</v>
      </c>
    </row>
    <row r="6050" spans="2:23" ht="21.95" customHeight="1" x14ac:dyDescent="0.2">
      <c r="B6050" s="6" t="s">
        <v>2021</v>
      </c>
      <c r="C6050" s="6" t="s">
        <v>1840</v>
      </c>
      <c r="D6050" s="6" t="s">
        <v>1826</v>
      </c>
      <c r="G6050" s="6">
        <v>159</v>
      </c>
      <c r="H6050" s="6">
        <v>90</v>
      </c>
      <c r="I6050" s="7">
        <v>77</v>
      </c>
      <c r="K6050" s="7">
        <v>44010415</v>
      </c>
      <c r="L6050" s="6" t="str">
        <f t="shared" si="598"/>
        <v>DCH  MONA  YEMEK MASASI 159x90x77</v>
      </c>
      <c r="T6050" s="12"/>
      <c r="U6050" s="8">
        <v>56100</v>
      </c>
      <c r="W6050" s="8">
        <f t="shared" si="594"/>
        <v>0</v>
      </c>
    </row>
    <row r="6051" spans="2:23" ht="21.95" customHeight="1" x14ac:dyDescent="0.2">
      <c r="B6051" s="6" t="s">
        <v>2021</v>
      </c>
      <c r="C6051" s="6" t="s">
        <v>1840</v>
      </c>
      <c r="D6051" s="6" t="s">
        <v>358</v>
      </c>
      <c r="G6051" s="6">
        <v>50</v>
      </c>
      <c r="H6051" s="6">
        <v>50</v>
      </c>
      <c r="I6051" s="7">
        <v>90</v>
      </c>
      <c r="K6051" s="7">
        <v>44010416</v>
      </c>
      <c r="L6051" s="6" t="str">
        <f t="shared" si="598"/>
        <v>DCH  MONA  SANDALYE  50x50x90</v>
      </c>
      <c r="T6051" s="12"/>
      <c r="U6051" s="8">
        <v>11900</v>
      </c>
      <c r="W6051" s="8">
        <f t="shared" ref="W6051:W6077" si="599">P6051*2.5</f>
        <v>0</v>
      </c>
    </row>
    <row r="6052" spans="2:23" ht="21.95" customHeight="1" x14ac:dyDescent="0.2">
      <c r="B6052" s="6" t="s">
        <v>2021</v>
      </c>
      <c r="C6052" s="6" t="s">
        <v>1840</v>
      </c>
      <c r="D6052" s="6" t="s">
        <v>453</v>
      </c>
      <c r="G6052" s="6">
        <v>104</v>
      </c>
      <c r="H6052" s="6">
        <v>65</v>
      </c>
      <c r="I6052" s="7">
        <v>40</v>
      </c>
      <c r="K6052" s="7">
        <v>44010417</v>
      </c>
      <c r="L6052" s="6" t="str">
        <f t="shared" si="598"/>
        <v>DCH  MONA  SEHPA 104x65x40</v>
      </c>
      <c r="T6052" s="12"/>
      <c r="U6052" s="8">
        <v>12600</v>
      </c>
      <c r="W6052" s="8">
        <f t="shared" si="599"/>
        <v>0</v>
      </c>
    </row>
    <row r="6053" spans="2:23" ht="21.95" customHeight="1" x14ac:dyDescent="0.2">
      <c r="B6053" s="6" t="s">
        <v>2021</v>
      </c>
      <c r="C6053" s="5" t="s">
        <v>488</v>
      </c>
      <c r="D6053" s="6" t="s">
        <v>194</v>
      </c>
      <c r="G6053" s="5">
        <v>200</v>
      </c>
      <c r="H6053" s="5">
        <v>44</v>
      </c>
      <c r="I6053" s="7">
        <v>82</v>
      </c>
      <c r="K6053" s="7">
        <v>44010418</v>
      </c>
      <c r="L6053" s="6" t="str">
        <f t="shared" si="598"/>
        <v>DCH  LİZA KONSOL  200x44x82</v>
      </c>
      <c r="T6053" s="12"/>
      <c r="U6053" s="8">
        <v>12700</v>
      </c>
      <c r="W6053" s="8">
        <f t="shared" si="599"/>
        <v>0</v>
      </c>
    </row>
    <row r="6054" spans="2:23" ht="21.95" customHeight="1" x14ac:dyDescent="0.2">
      <c r="B6054" s="6" t="s">
        <v>2021</v>
      </c>
      <c r="C6054" s="5" t="s">
        <v>488</v>
      </c>
      <c r="D6054" s="6" t="s">
        <v>706</v>
      </c>
      <c r="G6054" s="5">
        <v>90</v>
      </c>
      <c r="H6054" s="5">
        <v>23</v>
      </c>
      <c r="I6054" s="7">
        <v>90</v>
      </c>
      <c r="K6054" s="7">
        <v>44010419</v>
      </c>
      <c r="L6054" s="6" t="str">
        <f t="shared" si="598"/>
        <v>DCH  LİZA KONSOL AYNASI  90x23x90</v>
      </c>
      <c r="T6054" s="12"/>
      <c r="U6054" s="8">
        <v>15200</v>
      </c>
      <c r="W6054" s="8">
        <f t="shared" si="599"/>
        <v>0</v>
      </c>
    </row>
    <row r="6055" spans="2:23" ht="21.95" customHeight="1" x14ac:dyDescent="0.2">
      <c r="B6055" s="6" t="s">
        <v>2021</v>
      </c>
      <c r="C6055" s="5" t="s">
        <v>488</v>
      </c>
      <c r="D6055" s="6" t="s">
        <v>1829</v>
      </c>
      <c r="G6055" s="5">
        <v>200</v>
      </c>
      <c r="H6055" s="5">
        <v>44</v>
      </c>
      <c r="I6055" s="7">
        <v>65</v>
      </c>
      <c r="K6055" s="7">
        <v>44010420</v>
      </c>
      <c r="L6055" s="6" t="str">
        <f t="shared" si="598"/>
        <v>DCH  LİZA DUVAR ÜNİTESİ ALT MODÜL  200x44x65</v>
      </c>
      <c r="T6055" s="12"/>
      <c r="U6055" s="8">
        <v>17800</v>
      </c>
      <c r="W6055" s="8">
        <f t="shared" si="599"/>
        <v>0</v>
      </c>
    </row>
    <row r="6056" spans="2:23" ht="21.95" customHeight="1" x14ac:dyDescent="0.2">
      <c r="B6056" s="6" t="s">
        <v>2021</v>
      </c>
      <c r="C6056" s="5" t="s">
        <v>488</v>
      </c>
      <c r="D6056" s="6" t="s">
        <v>1830</v>
      </c>
      <c r="G6056" s="6">
        <v>170</v>
      </c>
      <c r="H6056" s="6">
        <v>26</v>
      </c>
      <c r="I6056" s="7">
        <v>90</v>
      </c>
      <c r="K6056" s="7">
        <v>44010421</v>
      </c>
      <c r="L6056" s="6" t="str">
        <f t="shared" si="598"/>
        <v>DCH  LİZA DUVAR ÜNİTESİ ÜST MODÜL  170x26x90</v>
      </c>
      <c r="T6056" s="12"/>
      <c r="U6056" s="8">
        <v>19000</v>
      </c>
      <c r="W6056" s="8">
        <f t="shared" si="599"/>
        <v>0</v>
      </c>
    </row>
    <row r="6057" spans="2:23" ht="21.95" customHeight="1" x14ac:dyDescent="0.2">
      <c r="B6057" s="6" t="s">
        <v>2021</v>
      </c>
      <c r="C6057" s="5" t="s">
        <v>488</v>
      </c>
      <c r="D6057" s="6" t="s">
        <v>1826</v>
      </c>
      <c r="G6057" s="6">
        <v>159</v>
      </c>
      <c r="H6057" s="6">
        <v>90</v>
      </c>
      <c r="I6057" s="7">
        <v>77</v>
      </c>
      <c r="K6057" s="7">
        <v>44010422</v>
      </c>
      <c r="L6057" s="6" t="str">
        <f t="shared" si="598"/>
        <v>DCH  LİZA YEMEK MASASI 159x90x77</v>
      </c>
      <c r="T6057" s="12"/>
      <c r="U6057" s="8">
        <v>20300</v>
      </c>
      <c r="W6057" s="8">
        <f t="shared" si="599"/>
        <v>0</v>
      </c>
    </row>
    <row r="6058" spans="2:23" ht="21.95" customHeight="1" x14ac:dyDescent="0.2">
      <c r="B6058" s="6" t="s">
        <v>2021</v>
      </c>
      <c r="C6058" s="5" t="s">
        <v>488</v>
      </c>
      <c r="D6058" s="6" t="s">
        <v>358</v>
      </c>
      <c r="G6058" s="6">
        <v>50</v>
      </c>
      <c r="H6058" s="6">
        <v>50</v>
      </c>
      <c r="I6058" s="7">
        <v>90</v>
      </c>
      <c r="K6058" s="7">
        <v>44010423</v>
      </c>
      <c r="L6058" s="6" t="str">
        <f t="shared" si="598"/>
        <v>DCH  LİZA SANDALYE  50x50x90</v>
      </c>
      <c r="T6058" s="12"/>
      <c r="U6058" s="8">
        <v>22800</v>
      </c>
      <c r="W6058" s="8">
        <f t="shared" si="599"/>
        <v>0</v>
      </c>
    </row>
    <row r="6059" spans="2:23" ht="21.95" customHeight="1" x14ac:dyDescent="0.2">
      <c r="B6059" s="6" t="s">
        <v>2021</v>
      </c>
      <c r="C6059" s="5" t="s">
        <v>488</v>
      </c>
      <c r="D6059" s="6" t="s">
        <v>453</v>
      </c>
      <c r="G6059" s="6">
        <v>104</v>
      </c>
      <c r="H6059" s="6">
        <v>65</v>
      </c>
      <c r="I6059" s="7">
        <v>40</v>
      </c>
      <c r="K6059" s="7">
        <v>44010424</v>
      </c>
      <c r="L6059" s="6" t="str">
        <f t="shared" si="598"/>
        <v>DCH  LİZA SEHPA 104x65x40</v>
      </c>
      <c r="T6059" s="12"/>
      <c r="U6059" s="8">
        <v>13200</v>
      </c>
      <c r="W6059" s="8">
        <f t="shared" si="599"/>
        <v>0</v>
      </c>
    </row>
    <row r="6060" spans="2:23" ht="21.95" customHeight="1" x14ac:dyDescent="0.2">
      <c r="B6060" s="6" t="s">
        <v>2021</v>
      </c>
      <c r="C6060" s="6" t="s">
        <v>1841</v>
      </c>
      <c r="D6060" s="6" t="s">
        <v>1842</v>
      </c>
      <c r="G6060" s="6">
        <v>45</v>
      </c>
      <c r="H6060" s="6">
        <v>60</v>
      </c>
      <c r="I6060" s="7">
        <v>216</v>
      </c>
      <c r="K6060" s="7">
        <v>44010425</v>
      </c>
      <c r="L6060" s="6" t="str">
        <f t="shared" si="598"/>
        <v>DCH  MONA VE MERKÜR TEKLİ AHŞAP DOLAP*1 45x60x216</v>
      </c>
      <c r="T6060" s="12"/>
      <c r="U6060" s="8">
        <v>13900</v>
      </c>
      <c r="W6060" s="8">
        <f t="shared" si="599"/>
        <v>0</v>
      </c>
    </row>
    <row r="6061" spans="2:23" ht="21.95" customHeight="1" x14ac:dyDescent="0.2">
      <c r="B6061" s="6" t="s">
        <v>2021</v>
      </c>
      <c r="C6061" s="6" t="s">
        <v>1841</v>
      </c>
      <c r="D6061" s="6" t="s">
        <v>1843</v>
      </c>
      <c r="G6061" s="6">
        <v>45</v>
      </c>
      <c r="H6061" s="6">
        <v>60</v>
      </c>
      <c r="I6061" s="7">
        <v>216</v>
      </c>
      <c r="K6061" s="7">
        <v>44010426</v>
      </c>
      <c r="L6061" s="6" t="str">
        <f t="shared" si="598"/>
        <v>DCH  MONA VE MERKÜR TEKLİ CAMLI DOLAP*1 45x60x216</v>
      </c>
      <c r="T6061" s="12"/>
      <c r="U6061" s="8">
        <v>14100</v>
      </c>
      <c r="W6061" s="8">
        <f t="shared" si="599"/>
        <v>0</v>
      </c>
    </row>
    <row r="6062" spans="2:23" ht="21.95" customHeight="1" x14ac:dyDescent="0.2">
      <c r="B6062" s="6" t="s">
        <v>2021</v>
      </c>
      <c r="C6062" s="6" t="s">
        <v>1841</v>
      </c>
      <c r="D6062" s="6" t="s">
        <v>1844</v>
      </c>
      <c r="G6062" s="6">
        <v>90</v>
      </c>
      <c r="H6062" s="6">
        <v>60</v>
      </c>
      <c r="I6062" s="7">
        <v>216</v>
      </c>
      <c r="K6062" s="7">
        <v>44010427</v>
      </c>
      <c r="L6062" s="6" t="str">
        <f t="shared" si="598"/>
        <v>DCH  MONA VE MERKÜR 2'Lİ CAMLI DOLAP*1 90x60x216</v>
      </c>
      <c r="T6062" s="12"/>
      <c r="U6062" s="8">
        <v>16900</v>
      </c>
      <c r="W6062" s="8">
        <f t="shared" si="599"/>
        <v>0</v>
      </c>
    </row>
    <row r="6063" spans="2:23" ht="21.95" customHeight="1" x14ac:dyDescent="0.2">
      <c r="B6063" s="6" t="s">
        <v>2021</v>
      </c>
      <c r="C6063" s="6" t="s">
        <v>1841</v>
      </c>
      <c r="D6063" s="6" t="s">
        <v>1845</v>
      </c>
      <c r="G6063" s="6">
        <v>90</v>
      </c>
      <c r="H6063" s="6">
        <v>60</v>
      </c>
      <c r="I6063" s="7">
        <v>216</v>
      </c>
      <c r="K6063" s="7">
        <v>44010428</v>
      </c>
      <c r="L6063" s="6" t="str">
        <f t="shared" si="598"/>
        <v>DCH  MONA VE MERKÜR 2'Lİ AHŞAP DOLAP*1 90x60x216</v>
      </c>
      <c r="T6063" s="12"/>
      <c r="U6063" s="8">
        <v>19700</v>
      </c>
      <c r="W6063" s="8">
        <f t="shared" si="599"/>
        <v>0</v>
      </c>
    </row>
    <row r="6064" spans="2:23" ht="21.95" customHeight="1" x14ac:dyDescent="0.2">
      <c r="B6064" s="6" t="s">
        <v>2021</v>
      </c>
      <c r="C6064" s="6" t="s">
        <v>1841</v>
      </c>
      <c r="D6064" s="6" t="s">
        <v>1846</v>
      </c>
      <c r="G6064" s="6">
        <v>92</v>
      </c>
      <c r="H6064" s="6">
        <v>92</v>
      </c>
      <c r="I6064" s="7">
        <v>216</v>
      </c>
      <c r="K6064" s="7">
        <v>44010429</v>
      </c>
      <c r="L6064" s="6" t="str">
        <f t="shared" si="598"/>
        <v>DCH  MONA VE MERKÜR KÖŞE CAMLI DOLAP*1 92x92x216</v>
      </c>
      <c r="T6064" s="12"/>
      <c r="U6064" s="8">
        <v>21100</v>
      </c>
      <c r="W6064" s="8">
        <f t="shared" si="599"/>
        <v>0</v>
      </c>
    </row>
    <row r="6065" spans="2:23" ht="21.95" customHeight="1" x14ac:dyDescent="0.2">
      <c r="B6065" s="6" t="s">
        <v>2021</v>
      </c>
      <c r="C6065" s="6" t="s">
        <v>1841</v>
      </c>
      <c r="D6065" s="6" t="s">
        <v>1847</v>
      </c>
      <c r="G6065" s="6">
        <v>92</v>
      </c>
      <c r="H6065" s="6">
        <v>92</v>
      </c>
      <c r="I6065" s="7">
        <v>216</v>
      </c>
      <c r="K6065" s="7">
        <v>44010430</v>
      </c>
      <c r="L6065" s="6" t="str">
        <f t="shared" si="598"/>
        <v>DCH  MONA VE MERKÜR KÖŞE AHŞAP DOLAP*1 92x92x216</v>
      </c>
      <c r="T6065" s="12"/>
      <c r="U6065" s="8">
        <v>22500</v>
      </c>
      <c r="W6065" s="8">
        <f t="shared" si="599"/>
        <v>0</v>
      </c>
    </row>
    <row r="6066" spans="2:23" ht="21.95" customHeight="1" x14ac:dyDescent="0.2">
      <c r="B6066" s="6" t="s">
        <v>2020</v>
      </c>
      <c r="C6066" s="6" t="s">
        <v>1848</v>
      </c>
      <c r="D6066" s="6" t="s">
        <v>1850</v>
      </c>
      <c r="K6066" s="7">
        <v>44010431</v>
      </c>
      <c r="L6066" s="6" t="str">
        <f t="shared" ref="L6066:L6097" si="600">B6066&amp;" "&amp;C6066&amp;" "&amp;D6066</f>
        <v xml:space="preserve">ESC GOLF  4 LÜ KOLTUK </v>
      </c>
      <c r="T6066" s="12"/>
      <c r="U6066" s="8">
        <v>25300</v>
      </c>
      <c r="W6066" s="8">
        <f t="shared" si="599"/>
        <v>0</v>
      </c>
    </row>
    <row r="6067" spans="2:23" ht="21.95" customHeight="1" x14ac:dyDescent="0.2">
      <c r="B6067" s="6" t="s">
        <v>2020</v>
      </c>
      <c r="C6067" s="6" t="s">
        <v>1848</v>
      </c>
      <c r="D6067" s="6" t="s">
        <v>1851</v>
      </c>
      <c r="K6067" s="7">
        <v>44010432</v>
      </c>
      <c r="L6067" s="6" t="str">
        <f t="shared" si="600"/>
        <v>ESC GOLF  3 LÜ KOLTUK</v>
      </c>
      <c r="T6067" s="12"/>
      <c r="U6067" s="8">
        <v>10300</v>
      </c>
      <c r="W6067" s="8">
        <f t="shared" si="599"/>
        <v>0</v>
      </c>
    </row>
    <row r="6068" spans="2:23" ht="21.95" customHeight="1" x14ac:dyDescent="0.2">
      <c r="B6068" s="6" t="s">
        <v>2020</v>
      </c>
      <c r="C6068" s="6" t="s">
        <v>1848</v>
      </c>
      <c r="D6068" s="6" t="s">
        <v>33</v>
      </c>
      <c r="K6068" s="7">
        <v>44010433</v>
      </c>
      <c r="L6068" s="6" t="str">
        <f t="shared" si="600"/>
        <v>ESC GOLF  BERJER</v>
      </c>
      <c r="T6068" s="12"/>
      <c r="U6068" s="8">
        <v>10800</v>
      </c>
      <c r="W6068" s="8">
        <f t="shared" si="599"/>
        <v>0</v>
      </c>
    </row>
    <row r="6069" spans="2:23" ht="21.95" customHeight="1" x14ac:dyDescent="0.2">
      <c r="B6069" s="6" t="s">
        <v>2020</v>
      </c>
      <c r="C6069" s="6" t="s">
        <v>1848</v>
      </c>
      <c r="D6069" s="6" t="s">
        <v>194</v>
      </c>
      <c r="K6069" s="7">
        <v>44010434</v>
      </c>
      <c r="L6069" s="6" t="str">
        <f t="shared" si="600"/>
        <v xml:space="preserve">ESC GOLF  KONSOL </v>
      </c>
      <c r="T6069" s="12"/>
      <c r="U6069" s="8">
        <v>10900</v>
      </c>
      <c r="W6069" s="8">
        <f t="shared" si="599"/>
        <v>0</v>
      </c>
    </row>
    <row r="6070" spans="2:23" ht="21.95" customHeight="1" x14ac:dyDescent="0.2">
      <c r="B6070" s="6" t="s">
        <v>2020</v>
      </c>
      <c r="C6070" s="6" t="s">
        <v>1848</v>
      </c>
      <c r="D6070" s="6" t="s">
        <v>390</v>
      </c>
      <c r="K6070" s="7">
        <v>44010435</v>
      </c>
      <c r="L6070" s="6" t="str">
        <f t="shared" si="600"/>
        <v xml:space="preserve">ESC GOLF  KONSOL AYNA </v>
      </c>
      <c r="T6070" s="12"/>
      <c r="U6070" s="8">
        <v>13100</v>
      </c>
      <c r="W6070" s="8">
        <f t="shared" si="599"/>
        <v>0</v>
      </c>
    </row>
    <row r="6071" spans="2:23" ht="21.95" customHeight="1" x14ac:dyDescent="0.2">
      <c r="B6071" s="6" t="s">
        <v>2020</v>
      </c>
      <c r="C6071" s="6" t="s">
        <v>1848</v>
      </c>
      <c r="D6071" s="6" t="s">
        <v>375</v>
      </c>
      <c r="K6071" s="7">
        <v>44010436</v>
      </c>
      <c r="L6071" s="6" t="str">
        <f t="shared" si="600"/>
        <v xml:space="preserve">ESC GOLF  MASA </v>
      </c>
      <c r="T6071" s="12"/>
      <c r="U6071" s="8">
        <v>15300</v>
      </c>
      <c r="W6071" s="8">
        <f t="shared" si="599"/>
        <v>0</v>
      </c>
    </row>
    <row r="6072" spans="2:23" ht="21.95" customHeight="1" x14ac:dyDescent="0.2">
      <c r="B6072" s="6" t="s">
        <v>2020</v>
      </c>
      <c r="C6072" s="6" t="s">
        <v>1848</v>
      </c>
      <c r="D6072" s="6" t="s">
        <v>358</v>
      </c>
      <c r="K6072" s="7">
        <v>44010437</v>
      </c>
      <c r="L6072" s="6" t="str">
        <f t="shared" si="600"/>
        <v xml:space="preserve">ESC GOLF  SANDALYE </v>
      </c>
      <c r="T6072" s="12"/>
      <c r="U6072" s="8">
        <v>16400</v>
      </c>
      <c r="W6072" s="8">
        <f t="shared" si="599"/>
        <v>0</v>
      </c>
    </row>
    <row r="6073" spans="2:23" ht="21.95" customHeight="1" x14ac:dyDescent="0.2">
      <c r="B6073" s="6" t="s">
        <v>2020</v>
      </c>
      <c r="C6073" s="6" t="s">
        <v>1848</v>
      </c>
      <c r="D6073" s="6" t="s">
        <v>1858</v>
      </c>
      <c r="K6073" s="7">
        <v>44010438</v>
      </c>
      <c r="L6073" s="6" t="str">
        <f t="shared" si="600"/>
        <v xml:space="preserve">ESC GOLF  TV ÜNİTESİ SAĞ ALT MODÜL </v>
      </c>
      <c r="T6073" s="12"/>
      <c r="U6073" s="8">
        <v>17500</v>
      </c>
      <c r="W6073" s="8">
        <f t="shared" si="599"/>
        <v>0</v>
      </c>
    </row>
    <row r="6074" spans="2:23" ht="21.95" customHeight="1" x14ac:dyDescent="0.2">
      <c r="B6074" s="6" t="s">
        <v>2020</v>
      </c>
      <c r="C6074" s="6" t="s">
        <v>1848</v>
      </c>
      <c r="D6074" s="6" t="s">
        <v>1859</v>
      </c>
      <c r="K6074" s="7">
        <v>44010439</v>
      </c>
      <c r="L6074" s="6" t="str">
        <f t="shared" si="600"/>
        <v xml:space="preserve">ESC GOLF  TV ÜNİTESİ SOL ALT MODÜL </v>
      </c>
      <c r="T6074" s="12"/>
      <c r="U6074" s="8">
        <v>19700</v>
      </c>
      <c r="W6074" s="8">
        <f t="shared" si="599"/>
        <v>0</v>
      </c>
    </row>
    <row r="6075" spans="2:23" ht="21.95" customHeight="1" x14ac:dyDescent="0.2">
      <c r="B6075" s="6" t="s">
        <v>2020</v>
      </c>
      <c r="C6075" s="6" t="s">
        <v>1848</v>
      </c>
      <c r="D6075" s="6" t="s">
        <v>588</v>
      </c>
      <c r="K6075" s="7">
        <v>44010440</v>
      </c>
      <c r="L6075" s="6" t="str">
        <f t="shared" si="600"/>
        <v xml:space="preserve">ESC GOLF  DRESUAR </v>
      </c>
      <c r="T6075" s="12"/>
      <c r="U6075" s="8">
        <v>7900</v>
      </c>
      <c r="W6075" s="8">
        <f t="shared" si="599"/>
        <v>0</v>
      </c>
    </row>
    <row r="6076" spans="2:23" ht="21.95" customHeight="1" x14ac:dyDescent="0.2">
      <c r="B6076" s="6" t="s">
        <v>2020</v>
      </c>
      <c r="C6076" s="6" t="s">
        <v>1848</v>
      </c>
      <c r="D6076" s="6" t="s">
        <v>1860</v>
      </c>
      <c r="K6076" s="7">
        <v>44010441</v>
      </c>
      <c r="L6076" s="6" t="str">
        <f t="shared" si="600"/>
        <v>ESC GOLF  DRESUAR AYNA</v>
      </c>
      <c r="T6076" s="12"/>
      <c r="U6076" s="8">
        <v>9650</v>
      </c>
      <c r="W6076" s="8">
        <f t="shared" si="599"/>
        <v>0</v>
      </c>
    </row>
    <row r="6077" spans="2:23" ht="21.95" customHeight="1" x14ac:dyDescent="0.2">
      <c r="B6077" s="6" t="s">
        <v>2020</v>
      </c>
      <c r="C6077" s="6" t="s">
        <v>1848</v>
      </c>
      <c r="D6077" s="6" t="s">
        <v>1861</v>
      </c>
      <c r="K6077" s="7">
        <v>44010442</v>
      </c>
      <c r="L6077" s="6" t="str">
        <f t="shared" si="600"/>
        <v xml:space="preserve">ESC GOLF  ORTA SEHPA AY MODÜL </v>
      </c>
      <c r="T6077" s="12"/>
      <c r="U6077" s="8">
        <v>19300</v>
      </c>
      <c r="W6077" s="8">
        <f t="shared" si="599"/>
        <v>0</v>
      </c>
    </row>
    <row r="6078" spans="2:23" ht="21.95" customHeight="1" x14ac:dyDescent="0.2">
      <c r="B6078" s="6" t="s">
        <v>2020</v>
      </c>
      <c r="C6078" s="6" t="s">
        <v>1848</v>
      </c>
      <c r="D6078" s="6" t="s">
        <v>1862</v>
      </c>
      <c r="K6078" s="7">
        <v>44010443</v>
      </c>
      <c r="L6078" s="6" t="str">
        <f t="shared" si="600"/>
        <v xml:space="preserve">ESC GOLF  YAN SEHPA </v>
      </c>
      <c r="T6078" s="12"/>
      <c r="U6078" s="8">
        <v>40800</v>
      </c>
    </row>
    <row r="6079" spans="2:23" ht="21.95" customHeight="1" x14ac:dyDescent="0.2">
      <c r="B6079" s="6" t="s">
        <v>2020</v>
      </c>
      <c r="C6079" s="6" t="s">
        <v>988</v>
      </c>
      <c r="D6079" s="6" t="s">
        <v>1850</v>
      </c>
      <c r="K6079" s="7">
        <v>44010444</v>
      </c>
      <c r="L6079" s="6" t="str">
        <f t="shared" si="600"/>
        <v xml:space="preserve">ESC ARYA  4 LÜ KOLTUK </v>
      </c>
      <c r="T6079" s="12"/>
      <c r="U6079" s="8">
        <v>43700</v>
      </c>
    </row>
    <row r="6080" spans="2:23" ht="21.95" customHeight="1" x14ac:dyDescent="0.2">
      <c r="B6080" s="6" t="s">
        <v>2020</v>
      </c>
      <c r="C6080" s="6" t="s">
        <v>988</v>
      </c>
      <c r="D6080" s="6" t="s">
        <v>1857</v>
      </c>
      <c r="K6080" s="7">
        <v>44010445</v>
      </c>
      <c r="L6080" s="6" t="str">
        <f t="shared" si="600"/>
        <v xml:space="preserve">ESC ARYA  3 LÜ KOLTUK </v>
      </c>
      <c r="T6080" s="12"/>
      <c r="U6080" s="8">
        <v>46600</v>
      </c>
    </row>
    <row r="6081" spans="2:21" ht="21.95" customHeight="1" x14ac:dyDescent="0.2">
      <c r="B6081" s="6" t="s">
        <v>2020</v>
      </c>
      <c r="C6081" s="6" t="s">
        <v>988</v>
      </c>
      <c r="D6081" s="6" t="s">
        <v>168</v>
      </c>
      <c r="K6081" s="7">
        <v>44010446</v>
      </c>
      <c r="L6081" s="6" t="str">
        <f t="shared" si="600"/>
        <v xml:space="preserve">ESC ARYA  BERJER </v>
      </c>
      <c r="T6081" s="12"/>
      <c r="U6081" s="8">
        <v>52400</v>
      </c>
    </row>
    <row r="6082" spans="2:21" ht="21.95" customHeight="1" x14ac:dyDescent="0.2">
      <c r="B6082" s="6" t="s">
        <v>2020</v>
      </c>
      <c r="C6082" s="6" t="s">
        <v>988</v>
      </c>
      <c r="D6082" s="6" t="s">
        <v>194</v>
      </c>
      <c r="K6082" s="7">
        <v>44010447</v>
      </c>
      <c r="L6082" s="6" t="str">
        <f t="shared" si="600"/>
        <v xml:space="preserve">ESC ARYA  KONSOL </v>
      </c>
      <c r="T6082" s="12"/>
      <c r="U6082" s="8">
        <v>19900</v>
      </c>
    </row>
    <row r="6083" spans="2:21" ht="21.95" customHeight="1" x14ac:dyDescent="0.2">
      <c r="B6083" s="6" t="s">
        <v>2020</v>
      </c>
      <c r="C6083" s="6" t="s">
        <v>988</v>
      </c>
      <c r="D6083" s="6" t="s">
        <v>365</v>
      </c>
      <c r="K6083" s="7">
        <v>44010448</v>
      </c>
      <c r="L6083" s="6" t="str">
        <f t="shared" si="600"/>
        <v>ESC ARYA  KONSOL AYNA</v>
      </c>
      <c r="T6083" s="12"/>
      <c r="U6083" s="8">
        <v>21300</v>
      </c>
    </row>
    <row r="6084" spans="2:21" ht="21.95" customHeight="1" x14ac:dyDescent="0.2">
      <c r="B6084" s="6" t="s">
        <v>2020</v>
      </c>
      <c r="C6084" s="6" t="s">
        <v>988</v>
      </c>
      <c r="D6084" s="6" t="s">
        <v>155</v>
      </c>
      <c r="K6084" s="7">
        <v>44010449</v>
      </c>
      <c r="L6084" s="6" t="str">
        <f t="shared" si="600"/>
        <v>ESC ARYA  MASA</v>
      </c>
      <c r="T6084" s="12"/>
      <c r="U6084" s="8">
        <v>22700</v>
      </c>
    </row>
    <row r="6085" spans="2:21" ht="21.95" customHeight="1" x14ac:dyDescent="0.2">
      <c r="B6085" s="6" t="s">
        <v>2020</v>
      </c>
      <c r="C6085" s="6" t="s">
        <v>988</v>
      </c>
      <c r="D6085" s="6" t="s">
        <v>358</v>
      </c>
      <c r="K6085" s="7">
        <v>44010450</v>
      </c>
      <c r="L6085" s="6" t="str">
        <f t="shared" si="600"/>
        <v xml:space="preserve">ESC ARYA  SANDALYE </v>
      </c>
      <c r="T6085" s="12"/>
      <c r="U6085" s="8">
        <v>25500</v>
      </c>
    </row>
    <row r="6086" spans="2:21" ht="21.95" customHeight="1" x14ac:dyDescent="0.2">
      <c r="B6086" s="6" t="s">
        <v>2020</v>
      </c>
      <c r="C6086" s="6" t="s">
        <v>988</v>
      </c>
      <c r="D6086" s="6" t="s">
        <v>45</v>
      </c>
      <c r="K6086" s="7">
        <v>44010451</v>
      </c>
      <c r="L6086" s="6" t="str">
        <f t="shared" si="600"/>
        <v xml:space="preserve">ESC ARYA  TV ÜNİTESİ ALT BLOK </v>
      </c>
      <c r="T6086" s="12"/>
      <c r="U6086" s="8">
        <v>15800</v>
      </c>
    </row>
    <row r="6087" spans="2:21" ht="21.95" customHeight="1" x14ac:dyDescent="0.2">
      <c r="B6087" s="6" t="s">
        <v>2020</v>
      </c>
      <c r="C6087" s="6" t="s">
        <v>988</v>
      </c>
      <c r="D6087" s="6" t="s">
        <v>660</v>
      </c>
      <c r="K6087" s="7">
        <v>44010452</v>
      </c>
      <c r="L6087" s="6" t="str">
        <f t="shared" si="600"/>
        <v xml:space="preserve">ESC ARYA  ORTA SEHPA </v>
      </c>
      <c r="T6087" s="12"/>
      <c r="U6087" s="8">
        <v>12300</v>
      </c>
    </row>
    <row r="6088" spans="2:21" ht="21.95" customHeight="1" x14ac:dyDescent="0.2">
      <c r="B6088" s="6" t="s">
        <v>2020</v>
      </c>
      <c r="C6088" s="6" t="s">
        <v>988</v>
      </c>
      <c r="D6088" s="6" t="s">
        <v>1862</v>
      </c>
      <c r="K6088" s="7">
        <v>44010453</v>
      </c>
      <c r="L6088" s="6" t="str">
        <f t="shared" si="600"/>
        <v xml:space="preserve">ESC ARYA  YAN SEHPA </v>
      </c>
      <c r="T6088" s="12"/>
      <c r="U6088" s="8">
        <v>12900</v>
      </c>
    </row>
    <row r="6089" spans="2:21" ht="21.95" customHeight="1" x14ac:dyDescent="0.2">
      <c r="B6089" s="6" t="s">
        <v>2020</v>
      </c>
      <c r="C6089" s="6" t="s">
        <v>1863</v>
      </c>
      <c r="D6089" s="6" t="s">
        <v>1850</v>
      </c>
      <c r="K6089" s="7">
        <v>44010454</v>
      </c>
      <c r="L6089" s="6" t="str">
        <f t="shared" si="600"/>
        <v xml:space="preserve">ESC VELAR  4 LÜ KOLTUK </v>
      </c>
      <c r="T6089" s="12"/>
      <c r="U6089" s="8">
        <v>13100</v>
      </c>
    </row>
    <row r="6090" spans="2:21" ht="21.95" customHeight="1" x14ac:dyDescent="0.2">
      <c r="B6090" s="6" t="s">
        <v>2020</v>
      </c>
      <c r="C6090" s="6" t="s">
        <v>1863</v>
      </c>
      <c r="D6090" s="6" t="s">
        <v>1857</v>
      </c>
      <c r="K6090" s="7">
        <v>44010455</v>
      </c>
      <c r="L6090" s="6" t="str">
        <f t="shared" si="600"/>
        <v xml:space="preserve">ESC VELAR  3 LÜ KOLTUK </v>
      </c>
      <c r="T6090" s="12"/>
      <c r="U6090" s="8">
        <v>15700</v>
      </c>
    </row>
    <row r="6091" spans="2:21" ht="21.95" customHeight="1" x14ac:dyDescent="0.2">
      <c r="B6091" s="6" t="s">
        <v>2020</v>
      </c>
      <c r="C6091" s="6" t="s">
        <v>1863</v>
      </c>
      <c r="D6091" s="6" t="s">
        <v>168</v>
      </c>
      <c r="K6091" s="7">
        <v>44010456</v>
      </c>
      <c r="L6091" s="6" t="str">
        <f t="shared" si="600"/>
        <v xml:space="preserve">ESC VELAR  BERJER </v>
      </c>
      <c r="T6091" s="12"/>
      <c r="U6091" s="8">
        <v>18300</v>
      </c>
    </row>
    <row r="6092" spans="2:21" ht="21.95" customHeight="1" x14ac:dyDescent="0.2">
      <c r="B6092" s="6" t="s">
        <v>2020</v>
      </c>
      <c r="C6092" s="6" t="s">
        <v>1863</v>
      </c>
      <c r="D6092" s="6" t="s">
        <v>194</v>
      </c>
      <c r="K6092" s="7">
        <v>44010457</v>
      </c>
      <c r="L6092" s="6" t="str">
        <f t="shared" si="600"/>
        <v xml:space="preserve">ESC VELAR  KONSOL </v>
      </c>
      <c r="T6092" s="12"/>
      <c r="U6092" s="8">
        <v>19600</v>
      </c>
    </row>
    <row r="6093" spans="2:21" ht="21.95" customHeight="1" x14ac:dyDescent="0.2">
      <c r="B6093" s="6" t="s">
        <v>2020</v>
      </c>
      <c r="C6093" s="6" t="s">
        <v>1863</v>
      </c>
      <c r="D6093" s="6" t="s">
        <v>365</v>
      </c>
      <c r="K6093" s="7">
        <v>44010458</v>
      </c>
      <c r="L6093" s="6" t="str">
        <f t="shared" si="600"/>
        <v>ESC VELAR  KONSOL AYNA</v>
      </c>
      <c r="T6093" s="12"/>
      <c r="U6093" s="8">
        <v>20900</v>
      </c>
    </row>
    <row r="6094" spans="2:21" ht="21.95" customHeight="1" x14ac:dyDescent="0.2">
      <c r="B6094" s="6" t="s">
        <v>2020</v>
      </c>
      <c r="C6094" s="6" t="s">
        <v>1863</v>
      </c>
      <c r="D6094" s="6" t="s">
        <v>375</v>
      </c>
      <c r="K6094" s="7">
        <v>44010459</v>
      </c>
      <c r="L6094" s="6" t="str">
        <f t="shared" si="600"/>
        <v xml:space="preserve">ESC VELAR  MASA </v>
      </c>
      <c r="T6094" s="12"/>
      <c r="U6094" s="8">
        <v>23500</v>
      </c>
    </row>
    <row r="6095" spans="2:21" ht="21.95" customHeight="1" x14ac:dyDescent="0.2">
      <c r="B6095" s="6" t="s">
        <v>2020</v>
      </c>
      <c r="C6095" s="6" t="s">
        <v>1863</v>
      </c>
      <c r="D6095" s="6" t="s">
        <v>358</v>
      </c>
      <c r="K6095" s="7">
        <v>44010460</v>
      </c>
      <c r="L6095" s="6" t="str">
        <f t="shared" si="600"/>
        <v xml:space="preserve">ESC VELAR  SANDALYE </v>
      </c>
      <c r="T6095" s="12"/>
      <c r="U6095" s="8">
        <v>6600</v>
      </c>
    </row>
    <row r="6096" spans="2:21" ht="21.95" customHeight="1" x14ac:dyDescent="0.2">
      <c r="B6096" s="6" t="s">
        <v>2020</v>
      </c>
      <c r="C6096" s="6" t="s">
        <v>1863</v>
      </c>
      <c r="D6096" s="6" t="s">
        <v>45</v>
      </c>
      <c r="K6096" s="7">
        <v>44010461</v>
      </c>
      <c r="L6096" s="6" t="str">
        <f t="shared" si="600"/>
        <v xml:space="preserve">ESC VELAR  TV ÜNİTESİ ALT BLOK </v>
      </c>
      <c r="T6096" s="12"/>
      <c r="U6096" s="8">
        <v>6600</v>
      </c>
    </row>
    <row r="6097" spans="2:21" ht="21.95" customHeight="1" x14ac:dyDescent="0.2">
      <c r="B6097" s="6" t="s">
        <v>2020</v>
      </c>
      <c r="C6097" s="6" t="s">
        <v>1863</v>
      </c>
      <c r="D6097" s="6" t="s">
        <v>1864</v>
      </c>
      <c r="K6097" s="7">
        <v>44010462</v>
      </c>
      <c r="L6097" s="6" t="str">
        <f t="shared" si="600"/>
        <v xml:space="preserve">ESC VELAR  KİTAPLIK SAĞ </v>
      </c>
      <c r="T6097" s="12"/>
      <c r="U6097" s="8">
        <v>6600</v>
      </c>
    </row>
    <row r="6098" spans="2:21" ht="21.95" customHeight="1" x14ac:dyDescent="0.2">
      <c r="B6098" s="6" t="s">
        <v>2020</v>
      </c>
      <c r="C6098" s="6" t="s">
        <v>1863</v>
      </c>
      <c r="D6098" s="6" t="s">
        <v>1865</v>
      </c>
      <c r="K6098" s="7">
        <v>44010463</v>
      </c>
      <c r="L6098" s="6" t="str">
        <f t="shared" ref="L6098:L6123" si="601">B6098&amp;" "&amp;C6098&amp;" "&amp;D6098</f>
        <v xml:space="preserve">ESC VELAR  KİTAPLIK SOL </v>
      </c>
      <c r="T6098" s="12"/>
      <c r="U6098" s="8">
        <v>8000</v>
      </c>
    </row>
    <row r="6099" spans="2:21" ht="21.95" customHeight="1" x14ac:dyDescent="0.2">
      <c r="B6099" s="6" t="s">
        <v>2020</v>
      </c>
      <c r="C6099" s="6" t="s">
        <v>1863</v>
      </c>
      <c r="D6099" s="6" t="s">
        <v>1866</v>
      </c>
      <c r="K6099" s="7">
        <v>44010464</v>
      </c>
      <c r="L6099" s="6" t="str">
        <f t="shared" si="601"/>
        <v xml:space="preserve">ESC VELAR  KOLTUK ARKASI SEHPA </v>
      </c>
      <c r="T6099" s="12"/>
      <c r="U6099" s="8">
        <v>9300</v>
      </c>
    </row>
    <row r="6100" spans="2:21" ht="21.95" customHeight="1" x14ac:dyDescent="0.2">
      <c r="B6100" s="6" t="s">
        <v>2020</v>
      </c>
      <c r="C6100" s="6" t="s">
        <v>1863</v>
      </c>
      <c r="D6100" s="6" t="s">
        <v>29</v>
      </c>
      <c r="K6100" s="7">
        <v>44010465</v>
      </c>
      <c r="L6100" s="6" t="str">
        <f t="shared" si="601"/>
        <v>ESC VELAR  ORTA SEHPA</v>
      </c>
      <c r="T6100" s="12"/>
      <c r="U6100" s="8">
        <v>9900</v>
      </c>
    </row>
    <row r="6101" spans="2:21" ht="21.95" customHeight="1" x14ac:dyDescent="0.2">
      <c r="B6101" s="6" t="s">
        <v>2020</v>
      </c>
      <c r="C6101" s="6" t="s">
        <v>1863</v>
      </c>
      <c r="D6101" s="6" t="s">
        <v>373</v>
      </c>
      <c r="K6101" s="7">
        <v>44010466</v>
      </c>
      <c r="L6101" s="6" t="str">
        <f t="shared" si="601"/>
        <v xml:space="preserve">ESC VELAR  PUF </v>
      </c>
      <c r="T6101" s="12"/>
      <c r="U6101" s="8">
        <v>10600</v>
      </c>
    </row>
    <row r="6102" spans="2:21" ht="21.95" customHeight="1" x14ac:dyDescent="0.2">
      <c r="B6102" s="6" t="s">
        <v>2020</v>
      </c>
      <c r="C6102" s="6" t="s">
        <v>1863</v>
      </c>
      <c r="D6102" s="6" t="s">
        <v>1862</v>
      </c>
      <c r="K6102" s="7">
        <v>44010467</v>
      </c>
      <c r="L6102" s="6" t="str">
        <f t="shared" si="601"/>
        <v xml:space="preserve">ESC VELAR  YAN SEHPA </v>
      </c>
      <c r="T6102" s="12"/>
      <c r="U6102" s="8">
        <v>11900</v>
      </c>
    </row>
    <row r="6103" spans="2:21" ht="21.95" customHeight="1" x14ac:dyDescent="0.2">
      <c r="B6103" s="6" t="s">
        <v>2020</v>
      </c>
      <c r="C6103" s="6" t="s">
        <v>1867</v>
      </c>
      <c r="D6103" s="6" t="s">
        <v>1857</v>
      </c>
      <c r="K6103" s="7">
        <v>44010468</v>
      </c>
      <c r="L6103" s="6" t="str">
        <f t="shared" si="601"/>
        <v xml:space="preserve">ESC ART DECO  3 LÜ KOLTUK </v>
      </c>
      <c r="T6103" s="12"/>
      <c r="U6103" s="8">
        <v>14200</v>
      </c>
    </row>
    <row r="6104" spans="2:21" ht="21.95" customHeight="1" x14ac:dyDescent="0.2">
      <c r="B6104" s="6" t="s">
        <v>2020</v>
      </c>
      <c r="C6104" s="6" t="s">
        <v>1867</v>
      </c>
      <c r="D6104" s="6" t="s">
        <v>168</v>
      </c>
      <c r="K6104" s="7">
        <v>44010469</v>
      </c>
      <c r="L6104" s="6" t="str">
        <f t="shared" si="601"/>
        <v xml:space="preserve">ESC ART DECO  BERJER </v>
      </c>
      <c r="T6104" s="12"/>
      <c r="U6104" s="8">
        <v>14900</v>
      </c>
    </row>
    <row r="6105" spans="2:21" ht="21.95" customHeight="1" x14ac:dyDescent="0.2">
      <c r="B6105" s="6" t="s">
        <v>2020</v>
      </c>
      <c r="C6105" s="6" t="s">
        <v>1867</v>
      </c>
      <c r="D6105" s="6" t="s">
        <v>194</v>
      </c>
      <c r="K6105" s="7">
        <v>44010470</v>
      </c>
      <c r="L6105" s="6" t="str">
        <f t="shared" si="601"/>
        <v xml:space="preserve">ESC ART DECO  KONSOL </v>
      </c>
      <c r="T6105" s="12"/>
      <c r="U6105" s="8">
        <v>15100</v>
      </c>
    </row>
    <row r="6106" spans="2:21" ht="21.95" customHeight="1" x14ac:dyDescent="0.2">
      <c r="B6106" s="6" t="s">
        <v>2020</v>
      </c>
      <c r="C6106" s="6" t="s">
        <v>1867</v>
      </c>
      <c r="D6106" s="6" t="s">
        <v>390</v>
      </c>
      <c r="K6106" s="7">
        <v>44010471</v>
      </c>
      <c r="L6106" s="6" t="str">
        <f t="shared" si="601"/>
        <v xml:space="preserve">ESC ART DECO  KONSOL AYNA </v>
      </c>
      <c r="T6106" s="12"/>
      <c r="U6106" s="8">
        <v>18100</v>
      </c>
    </row>
    <row r="6107" spans="2:21" ht="21.95" customHeight="1" x14ac:dyDescent="0.2">
      <c r="B6107" s="6" t="s">
        <v>2020</v>
      </c>
      <c r="C6107" s="6" t="s">
        <v>1867</v>
      </c>
      <c r="D6107" s="6" t="s">
        <v>155</v>
      </c>
      <c r="K6107" s="7">
        <v>44010472</v>
      </c>
      <c r="L6107" s="6" t="str">
        <f t="shared" si="601"/>
        <v>ESC ART DECO  MASA</v>
      </c>
      <c r="T6107" s="12"/>
      <c r="U6107" s="8">
        <v>21100</v>
      </c>
    </row>
    <row r="6108" spans="2:21" ht="21.95" customHeight="1" x14ac:dyDescent="0.2">
      <c r="B6108" s="6" t="s">
        <v>2020</v>
      </c>
      <c r="C6108" s="6" t="s">
        <v>1867</v>
      </c>
      <c r="D6108" s="6" t="s">
        <v>358</v>
      </c>
      <c r="K6108" s="7">
        <v>44010473</v>
      </c>
      <c r="L6108" s="6" t="str">
        <f t="shared" si="601"/>
        <v xml:space="preserve">ESC ART DECO  SANDALYE </v>
      </c>
      <c r="T6108" s="12"/>
      <c r="U6108" s="8">
        <v>22600</v>
      </c>
    </row>
    <row r="6109" spans="2:21" ht="21.95" customHeight="1" x14ac:dyDescent="0.2">
      <c r="B6109" s="6" t="s">
        <v>2020</v>
      </c>
      <c r="C6109" s="6" t="s">
        <v>1867</v>
      </c>
      <c r="D6109" s="6" t="s">
        <v>1868</v>
      </c>
      <c r="K6109" s="7">
        <v>44010474</v>
      </c>
      <c r="L6109" s="6" t="str">
        <f t="shared" si="601"/>
        <v xml:space="preserve">ESC ART DECO  TV ÜNİTES ALT BLOK </v>
      </c>
      <c r="T6109" s="12"/>
      <c r="U6109" s="8">
        <v>24100</v>
      </c>
    </row>
    <row r="6110" spans="2:21" ht="21.95" customHeight="1" x14ac:dyDescent="0.2">
      <c r="B6110" s="6" t="s">
        <v>2020</v>
      </c>
      <c r="C6110" s="6" t="s">
        <v>1867</v>
      </c>
      <c r="D6110" s="6" t="s">
        <v>1869</v>
      </c>
      <c r="K6110" s="7">
        <v>44010475</v>
      </c>
      <c r="L6110" s="6" t="str">
        <f t="shared" si="601"/>
        <v xml:space="preserve">ESC ART DECO  TV ÜNİTESİ KAPAKLI ÜST MODÜL </v>
      </c>
      <c r="T6110" s="12"/>
      <c r="U6110" s="8">
        <v>27100</v>
      </c>
    </row>
    <row r="6111" spans="2:21" ht="21.95" customHeight="1" x14ac:dyDescent="0.2">
      <c r="B6111" s="6" t="s">
        <v>2020</v>
      </c>
      <c r="C6111" s="6" t="s">
        <v>1867</v>
      </c>
      <c r="D6111" s="6" t="s">
        <v>1870</v>
      </c>
      <c r="K6111" s="7">
        <v>44010476</v>
      </c>
      <c r="L6111" s="6" t="str">
        <f t="shared" si="601"/>
        <v xml:space="preserve">ESC ART DECO  TV ÜNİTESİ RAFLI ÜST MODÜL </v>
      </c>
      <c r="T6111" s="12"/>
      <c r="U6111" s="8">
        <v>15800</v>
      </c>
    </row>
    <row r="6112" spans="2:21" ht="21.95" customHeight="1" x14ac:dyDescent="0.2">
      <c r="B6112" s="6" t="s">
        <v>2020</v>
      </c>
      <c r="C6112" s="6" t="s">
        <v>1867</v>
      </c>
      <c r="D6112" s="6" t="s">
        <v>660</v>
      </c>
      <c r="K6112" s="7">
        <v>44010477</v>
      </c>
      <c r="L6112" s="6" t="str">
        <f t="shared" si="601"/>
        <v xml:space="preserve">ESC ART DECO  ORTA SEHPA </v>
      </c>
      <c r="T6112" s="12"/>
      <c r="U6112" s="8">
        <v>80700</v>
      </c>
    </row>
    <row r="6113" spans="2:21" ht="21.95" customHeight="1" x14ac:dyDescent="0.2">
      <c r="B6113" s="6" t="s">
        <v>2020</v>
      </c>
      <c r="C6113" s="6" t="s">
        <v>1867</v>
      </c>
      <c r="D6113" s="6" t="s">
        <v>1862</v>
      </c>
      <c r="K6113" s="7">
        <v>44010478</v>
      </c>
      <c r="L6113" s="6" t="str">
        <f t="shared" si="601"/>
        <v xml:space="preserve">ESC ART DECO  YAN SEHPA </v>
      </c>
      <c r="T6113" s="12"/>
      <c r="U6113" s="8">
        <v>86400</v>
      </c>
    </row>
    <row r="6114" spans="2:21" ht="21.95" customHeight="1" x14ac:dyDescent="0.2">
      <c r="B6114" s="6" t="s">
        <v>2020</v>
      </c>
      <c r="C6114" s="6" t="s">
        <v>1871</v>
      </c>
      <c r="D6114" s="6" t="s">
        <v>1857</v>
      </c>
      <c r="K6114" s="7">
        <v>44010479</v>
      </c>
      <c r="L6114" s="6" t="str">
        <f t="shared" si="601"/>
        <v xml:space="preserve">ESC MİLANO  3 LÜ KOLTUK </v>
      </c>
      <c r="T6114" s="12"/>
      <c r="U6114" s="8">
        <v>92200</v>
      </c>
    </row>
    <row r="6115" spans="2:21" ht="21.95" customHeight="1" x14ac:dyDescent="0.2">
      <c r="B6115" s="6" t="s">
        <v>2020</v>
      </c>
      <c r="C6115" s="6" t="s">
        <v>1871</v>
      </c>
      <c r="D6115" s="6" t="s">
        <v>168</v>
      </c>
      <c r="K6115" s="7">
        <v>44010480</v>
      </c>
      <c r="L6115" s="6" t="str">
        <f t="shared" si="601"/>
        <v xml:space="preserve">ESC MİLANO  BERJER </v>
      </c>
      <c r="T6115" s="12"/>
      <c r="U6115" s="8">
        <v>103700</v>
      </c>
    </row>
    <row r="6116" spans="2:21" ht="21.95" customHeight="1" x14ac:dyDescent="0.2">
      <c r="B6116" s="6" t="s">
        <v>2020</v>
      </c>
      <c r="C6116" s="6" t="s">
        <v>1871</v>
      </c>
      <c r="D6116" s="6" t="s">
        <v>194</v>
      </c>
      <c r="K6116" s="7">
        <v>44010481</v>
      </c>
      <c r="L6116" s="6" t="str">
        <f t="shared" si="601"/>
        <v xml:space="preserve">ESC MİLANO  KONSOL </v>
      </c>
      <c r="T6116" s="12"/>
      <c r="U6116" s="8">
        <v>22800</v>
      </c>
    </row>
    <row r="6117" spans="2:21" ht="21.95" customHeight="1" x14ac:dyDescent="0.2">
      <c r="B6117" s="6" t="s">
        <v>2020</v>
      </c>
      <c r="C6117" s="6" t="s">
        <v>1871</v>
      </c>
      <c r="D6117" s="6" t="s">
        <v>365</v>
      </c>
      <c r="K6117" s="7">
        <v>44010482</v>
      </c>
      <c r="L6117" s="6" t="str">
        <f t="shared" si="601"/>
        <v>ESC MİLANO  KONSOL AYNA</v>
      </c>
      <c r="T6117" s="12"/>
      <c r="U6117" s="8">
        <v>24500</v>
      </c>
    </row>
    <row r="6118" spans="2:21" ht="21.95" customHeight="1" x14ac:dyDescent="0.2">
      <c r="B6118" s="6" t="s">
        <v>2020</v>
      </c>
      <c r="C6118" s="6" t="s">
        <v>1871</v>
      </c>
      <c r="D6118" s="6" t="s">
        <v>375</v>
      </c>
      <c r="K6118" s="7">
        <v>44010483</v>
      </c>
      <c r="L6118" s="6" t="str">
        <f t="shared" si="601"/>
        <v xml:space="preserve">ESC MİLANO  MASA </v>
      </c>
      <c r="T6118" s="12"/>
      <c r="U6118" s="8">
        <v>26100</v>
      </c>
    </row>
    <row r="6119" spans="2:21" ht="21.95" customHeight="1" x14ac:dyDescent="0.2">
      <c r="B6119" s="6" t="s">
        <v>2020</v>
      </c>
      <c r="C6119" s="6" t="s">
        <v>1871</v>
      </c>
      <c r="D6119" s="6" t="s">
        <v>358</v>
      </c>
      <c r="K6119" s="7">
        <v>44010484</v>
      </c>
      <c r="L6119" s="6" t="str">
        <f t="shared" si="601"/>
        <v xml:space="preserve">ESC MİLANO  SANDALYE </v>
      </c>
      <c r="T6119" s="12"/>
      <c r="U6119" s="8">
        <v>29400</v>
      </c>
    </row>
    <row r="6120" spans="2:21" ht="21.95" customHeight="1" x14ac:dyDescent="0.2">
      <c r="B6120" s="6" t="s">
        <v>2020</v>
      </c>
      <c r="C6120" s="6" t="s">
        <v>1871</v>
      </c>
      <c r="D6120" s="6" t="s">
        <v>1164</v>
      </c>
      <c r="K6120" s="7">
        <v>44010485</v>
      </c>
      <c r="L6120" s="6" t="str">
        <f t="shared" si="601"/>
        <v xml:space="preserve">ESC MİLANO  TV ÜNİTESİ </v>
      </c>
      <c r="T6120" s="12"/>
      <c r="U6120" s="8">
        <v>19300</v>
      </c>
    </row>
    <row r="6121" spans="2:21" ht="21.95" customHeight="1" x14ac:dyDescent="0.2">
      <c r="B6121" s="6" t="s">
        <v>2020</v>
      </c>
      <c r="C6121" s="6" t="s">
        <v>1871</v>
      </c>
      <c r="D6121" s="6" t="s">
        <v>660</v>
      </c>
      <c r="K6121" s="7">
        <v>44010486</v>
      </c>
      <c r="L6121" s="6" t="str">
        <f t="shared" si="601"/>
        <v xml:space="preserve">ESC MİLANO  ORTA SEHPA </v>
      </c>
      <c r="T6121" s="12"/>
      <c r="U6121" s="8">
        <v>56200</v>
      </c>
    </row>
    <row r="6122" spans="2:21" ht="21.95" customHeight="1" x14ac:dyDescent="0.2">
      <c r="B6122" s="6" t="s">
        <v>2020</v>
      </c>
      <c r="C6122" s="6" t="s">
        <v>1871</v>
      </c>
      <c r="D6122" s="6" t="s">
        <v>1872</v>
      </c>
      <c r="K6122" s="7">
        <v>44010487</v>
      </c>
      <c r="L6122" s="6" t="str">
        <f t="shared" si="601"/>
        <v xml:space="preserve">ESC MİLANO  ZİGON SEHPA </v>
      </c>
      <c r="T6122" s="12"/>
      <c r="U6122" s="8">
        <v>60300</v>
      </c>
    </row>
    <row r="6123" spans="2:21" ht="21.95" customHeight="1" x14ac:dyDescent="0.2">
      <c r="B6123" s="6" t="s">
        <v>2020</v>
      </c>
      <c r="C6123" s="6" t="s">
        <v>1871</v>
      </c>
      <c r="D6123" s="6" t="s">
        <v>1862</v>
      </c>
      <c r="K6123" s="7">
        <v>44010488</v>
      </c>
      <c r="L6123" s="6" t="str">
        <f t="shared" si="601"/>
        <v xml:space="preserve">ESC MİLANO  YAN SEHPA </v>
      </c>
      <c r="T6123" s="12"/>
      <c r="U6123" s="8">
        <v>64300</v>
      </c>
    </row>
    <row r="6124" spans="2:21" ht="21.95" customHeight="1" x14ac:dyDescent="0.2">
      <c r="B6124" s="5" t="s">
        <v>1591</v>
      </c>
      <c r="C6124" s="6" t="s">
        <v>2032</v>
      </c>
      <c r="D6124" s="6" t="s">
        <v>49</v>
      </c>
      <c r="E6124" s="6"/>
      <c r="K6124" s="7">
        <v>44010517</v>
      </c>
      <c r="L6124" s="5" t="str">
        <f t="shared" ref="L6124:L6132" si="602">B6124&amp;" "&amp;C6124&amp;" "&amp;D6124</f>
        <v>NW TİTAN ESKİTME  KONSOL</v>
      </c>
      <c r="M6124" s="12"/>
      <c r="P6124" s="8"/>
      <c r="Q6124" s="12"/>
      <c r="T6124" s="12"/>
      <c r="U6124" s="8">
        <v>13400</v>
      </c>
    </row>
    <row r="6125" spans="2:21" ht="21.95" customHeight="1" x14ac:dyDescent="0.2">
      <c r="B6125" s="5" t="s">
        <v>1591</v>
      </c>
      <c r="C6125" s="6" t="s">
        <v>2032</v>
      </c>
      <c r="D6125" s="6" t="s">
        <v>375</v>
      </c>
      <c r="E6125" s="6"/>
      <c r="K6125" s="7">
        <v>44010518</v>
      </c>
      <c r="L6125" s="5" t="str">
        <f t="shared" si="602"/>
        <v xml:space="preserve">NW TİTAN ESKİTME  MASA </v>
      </c>
      <c r="M6125" s="12"/>
      <c r="P6125" s="8"/>
      <c r="Q6125" s="12"/>
      <c r="T6125" s="12"/>
      <c r="U6125" s="8">
        <v>15100</v>
      </c>
    </row>
    <row r="6126" spans="2:21" ht="21.95" customHeight="1" x14ac:dyDescent="0.2">
      <c r="B6126" s="5" t="s">
        <v>1591</v>
      </c>
      <c r="C6126" s="6" t="s">
        <v>2032</v>
      </c>
      <c r="D6126" s="6" t="s">
        <v>358</v>
      </c>
      <c r="E6126" s="6"/>
      <c r="K6126" s="7">
        <v>44010519</v>
      </c>
      <c r="L6126" s="5" t="str">
        <f t="shared" si="602"/>
        <v xml:space="preserve">NW TİTAN ESKİTME  SANDALYE </v>
      </c>
      <c r="M6126" s="12"/>
      <c r="P6126" s="8"/>
      <c r="Q6126" s="12"/>
      <c r="T6126" s="12"/>
      <c r="U6126" s="8">
        <v>14000</v>
      </c>
    </row>
    <row r="6127" spans="2:21" ht="21.95" customHeight="1" x14ac:dyDescent="0.2">
      <c r="B6127" s="5" t="s">
        <v>1591</v>
      </c>
      <c r="C6127" s="6" t="s">
        <v>2032</v>
      </c>
      <c r="D6127" s="6" t="s">
        <v>45</v>
      </c>
      <c r="E6127" s="6"/>
      <c r="K6127" s="7">
        <v>44010520</v>
      </c>
      <c r="L6127" s="5" t="str">
        <f t="shared" si="602"/>
        <v xml:space="preserve">NW TİTAN ESKİTME  TV ÜNİTESİ ALT BLOK </v>
      </c>
      <c r="M6127" s="12"/>
      <c r="P6127" s="8"/>
      <c r="Q6127" s="12"/>
      <c r="T6127" s="12"/>
      <c r="U6127" s="8">
        <v>14800</v>
      </c>
    </row>
    <row r="6128" spans="2:21" ht="21.95" customHeight="1" x14ac:dyDescent="0.2">
      <c r="B6128" s="5" t="s">
        <v>1591</v>
      </c>
      <c r="C6128" s="6" t="s">
        <v>2032</v>
      </c>
      <c r="D6128" s="6" t="s">
        <v>2030</v>
      </c>
      <c r="E6128" s="6"/>
      <c r="K6128" s="7">
        <v>44010521</v>
      </c>
      <c r="L6128" s="5" t="str">
        <f t="shared" si="602"/>
        <v xml:space="preserve">NW TİTAN ESKİTME  BÜYÜK SEHPA </v>
      </c>
      <c r="M6128" s="12"/>
      <c r="P6128" s="8"/>
      <c r="Q6128" s="12"/>
      <c r="T6128" s="12"/>
      <c r="U6128" s="8">
        <v>14900</v>
      </c>
    </row>
    <row r="6129" spans="2:21" ht="21.95" customHeight="1" x14ac:dyDescent="0.2">
      <c r="B6129" s="5" t="s">
        <v>1591</v>
      </c>
      <c r="C6129" s="6" t="s">
        <v>2032</v>
      </c>
      <c r="D6129" s="6" t="s">
        <v>2031</v>
      </c>
      <c r="E6129" s="6"/>
      <c r="K6129" s="7">
        <v>44010522</v>
      </c>
      <c r="L6129" s="5" t="str">
        <f t="shared" si="602"/>
        <v xml:space="preserve">NW TİTAN ESKİTME  KÜÇÜK SEHPA </v>
      </c>
      <c r="M6129" s="12"/>
      <c r="P6129" s="8"/>
      <c r="Q6129" s="12"/>
      <c r="T6129" s="12"/>
      <c r="U6129" s="8">
        <v>17900</v>
      </c>
    </row>
    <row r="6130" spans="2:21" ht="21.95" customHeight="1" x14ac:dyDescent="0.2">
      <c r="B6130" s="5" t="s">
        <v>1591</v>
      </c>
      <c r="C6130" s="6" t="s">
        <v>2032</v>
      </c>
      <c r="D6130" s="6" t="s">
        <v>1862</v>
      </c>
      <c r="E6130" s="6"/>
      <c r="K6130" s="7">
        <v>44010523</v>
      </c>
      <c r="L6130" s="5" t="str">
        <f t="shared" si="602"/>
        <v xml:space="preserve">NW TİTAN ESKİTME  YAN SEHPA </v>
      </c>
      <c r="M6130" s="12"/>
      <c r="P6130" s="8"/>
      <c r="Q6130" s="12"/>
      <c r="T6130" s="12"/>
      <c r="U6130" s="8">
        <v>20900</v>
      </c>
    </row>
    <row r="6131" spans="2:21" ht="21.95" customHeight="1" x14ac:dyDescent="0.2">
      <c r="B6131" s="5" t="s">
        <v>1591</v>
      </c>
      <c r="C6131" s="6" t="s">
        <v>2029</v>
      </c>
      <c r="D6131" s="6" t="s">
        <v>194</v>
      </c>
      <c r="E6131" s="6"/>
      <c r="K6131" s="7">
        <v>44010524</v>
      </c>
      <c r="L6131" s="5" t="str">
        <f t="shared" si="602"/>
        <v xml:space="preserve">NW TİTAN  KONSOL </v>
      </c>
      <c r="M6131" s="12"/>
      <c r="P6131" s="8"/>
      <c r="Q6131" s="12"/>
      <c r="T6131" s="12"/>
      <c r="U6131" s="8">
        <v>22400</v>
      </c>
    </row>
    <row r="6132" spans="2:21" ht="21.95" customHeight="1" x14ac:dyDescent="0.2">
      <c r="B6132" s="5" t="s">
        <v>1591</v>
      </c>
      <c r="C6132" s="6" t="s">
        <v>2029</v>
      </c>
      <c r="D6132" s="6" t="s">
        <v>375</v>
      </c>
      <c r="E6132" s="6"/>
      <c r="K6132" s="7">
        <v>44010525</v>
      </c>
      <c r="L6132" s="5" t="str">
        <f t="shared" si="602"/>
        <v xml:space="preserve">NW TİTAN  MASA </v>
      </c>
      <c r="M6132" s="12"/>
      <c r="P6132" s="8"/>
      <c r="Q6132" s="12"/>
      <c r="T6132" s="12"/>
      <c r="U6132" s="8">
        <v>23900</v>
      </c>
    </row>
    <row r="6133" spans="2:21" ht="21.95" customHeight="1" x14ac:dyDescent="0.2">
      <c r="B6133" s="5" t="s">
        <v>1591</v>
      </c>
      <c r="C6133" s="6" t="s">
        <v>2029</v>
      </c>
      <c r="D6133" s="6" t="s">
        <v>358</v>
      </c>
      <c r="E6133" s="6"/>
      <c r="K6133" s="7">
        <v>44010526</v>
      </c>
      <c r="L6133" s="5" t="str">
        <f t="shared" ref="L6133:L6159" si="603">B6133&amp;" "&amp;C6133&amp;" "&amp;D6133</f>
        <v xml:space="preserve">NW TİTAN  SANDALYE </v>
      </c>
      <c r="M6133" s="12"/>
      <c r="P6133" s="8"/>
      <c r="Q6133" s="12"/>
      <c r="T6133" s="12"/>
      <c r="U6133" s="8">
        <v>26900</v>
      </c>
    </row>
    <row r="6134" spans="2:21" ht="21.95" customHeight="1" x14ac:dyDescent="0.2">
      <c r="B6134" s="5" t="s">
        <v>1591</v>
      </c>
      <c r="C6134" s="6" t="s">
        <v>2029</v>
      </c>
      <c r="D6134" s="6" t="s">
        <v>45</v>
      </c>
      <c r="E6134" s="6"/>
      <c r="K6134" s="7">
        <v>44010527</v>
      </c>
      <c r="L6134" s="5" t="str">
        <f t="shared" si="603"/>
        <v xml:space="preserve">NW TİTAN  TV ÜNİTESİ ALT BLOK </v>
      </c>
      <c r="M6134" s="12"/>
      <c r="P6134" s="8"/>
      <c r="Q6134" s="12"/>
      <c r="T6134" s="12"/>
      <c r="U6134" s="8">
        <v>19300</v>
      </c>
    </row>
    <row r="6135" spans="2:21" ht="21.95" customHeight="1" x14ac:dyDescent="0.2">
      <c r="B6135" s="5" t="s">
        <v>1591</v>
      </c>
      <c r="C6135" s="6" t="s">
        <v>2029</v>
      </c>
      <c r="D6135" s="6" t="s">
        <v>2030</v>
      </c>
      <c r="E6135" s="6"/>
      <c r="K6135" s="7">
        <v>44010528</v>
      </c>
      <c r="L6135" s="5" t="str">
        <f t="shared" si="603"/>
        <v xml:space="preserve">NW TİTAN  BÜYÜK SEHPA </v>
      </c>
      <c r="M6135" s="12"/>
      <c r="P6135" s="8"/>
      <c r="Q6135" s="12"/>
      <c r="T6135" s="12"/>
      <c r="U6135" s="8">
        <v>53700</v>
      </c>
    </row>
    <row r="6136" spans="2:21" ht="21.95" customHeight="1" x14ac:dyDescent="0.2">
      <c r="B6136" s="5" t="s">
        <v>1591</v>
      </c>
      <c r="C6136" s="6" t="s">
        <v>2029</v>
      </c>
      <c r="D6136" s="6" t="s">
        <v>2031</v>
      </c>
      <c r="E6136" s="6"/>
      <c r="K6136" s="7">
        <v>44010529</v>
      </c>
      <c r="L6136" s="5" t="str">
        <f t="shared" si="603"/>
        <v xml:space="preserve">NW TİTAN  KÜÇÜK SEHPA </v>
      </c>
      <c r="M6136" s="12"/>
      <c r="P6136" s="8"/>
      <c r="Q6136" s="12"/>
      <c r="T6136" s="12"/>
      <c r="U6136" s="8">
        <v>57600</v>
      </c>
    </row>
    <row r="6137" spans="2:21" ht="21.95" customHeight="1" x14ac:dyDescent="0.2">
      <c r="B6137" s="5" t="s">
        <v>1591</v>
      </c>
      <c r="C6137" s="6" t="s">
        <v>2029</v>
      </c>
      <c r="D6137" s="6" t="s">
        <v>1862</v>
      </c>
      <c r="E6137" s="6"/>
      <c r="K6137" s="7">
        <v>44010530</v>
      </c>
      <c r="L6137" s="5" t="str">
        <f t="shared" si="603"/>
        <v xml:space="preserve">NW TİTAN  YAN SEHPA </v>
      </c>
      <c r="M6137" s="12"/>
      <c r="P6137" s="8"/>
      <c r="Q6137" s="12"/>
      <c r="T6137" s="12"/>
      <c r="U6137" s="8">
        <v>61400</v>
      </c>
    </row>
    <row r="6138" spans="2:21" ht="21.95" customHeight="1" x14ac:dyDescent="0.2">
      <c r="B6138" s="5" t="s">
        <v>1591</v>
      </c>
      <c r="C6138" s="6" t="s">
        <v>2029</v>
      </c>
      <c r="D6138" s="6" t="s">
        <v>1850</v>
      </c>
      <c r="E6138" s="6"/>
      <c r="K6138" s="7">
        <v>44010531</v>
      </c>
      <c r="L6138" s="5" t="str">
        <f t="shared" si="603"/>
        <v xml:space="preserve">NW TİTAN  4 LÜ KOLTUK </v>
      </c>
      <c r="M6138" s="12"/>
      <c r="P6138" s="8"/>
      <c r="Q6138" s="12"/>
      <c r="T6138" s="12"/>
      <c r="U6138" s="8">
        <v>69100</v>
      </c>
    </row>
    <row r="6139" spans="2:21" ht="21.95" customHeight="1" x14ac:dyDescent="0.2">
      <c r="B6139" s="5" t="s">
        <v>1591</v>
      </c>
      <c r="C6139" s="6" t="s">
        <v>2029</v>
      </c>
      <c r="D6139" s="6" t="s">
        <v>1857</v>
      </c>
      <c r="E6139" s="6"/>
      <c r="K6139" s="7">
        <v>44010532</v>
      </c>
      <c r="L6139" s="5" t="str">
        <f t="shared" si="603"/>
        <v xml:space="preserve">NW TİTAN  3 LÜ KOLTUK </v>
      </c>
      <c r="M6139" s="12"/>
      <c r="P6139" s="8"/>
      <c r="Q6139" s="12"/>
      <c r="T6139" s="12"/>
      <c r="U6139" s="8">
        <v>20300</v>
      </c>
    </row>
    <row r="6140" spans="2:21" ht="21.95" customHeight="1" x14ac:dyDescent="0.2">
      <c r="B6140" s="5" t="s">
        <v>1591</v>
      </c>
      <c r="C6140" s="6" t="s">
        <v>2029</v>
      </c>
      <c r="D6140" s="6" t="s">
        <v>168</v>
      </c>
      <c r="E6140" s="6"/>
      <c r="K6140" s="7">
        <v>44010533</v>
      </c>
      <c r="L6140" s="5" t="str">
        <f t="shared" si="603"/>
        <v xml:space="preserve">NW TİTAN  BERJER </v>
      </c>
      <c r="M6140" s="12"/>
      <c r="P6140" s="8"/>
      <c r="Q6140" s="12"/>
      <c r="T6140" s="12"/>
      <c r="U6140" s="8">
        <v>21800</v>
      </c>
    </row>
    <row r="6141" spans="2:21" ht="21.95" customHeight="1" x14ac:dyDescent="0.2">
      <c r="B6141" s="5" t="s">
        <v>1591</v>
      </c>
      <c r="C6141" s="6" t="s">
        <v>2033</v>
      </c>
      <c r="D6141" s="6" t="s">
        <v>382</v>
      </c>
      <c r="E6141" s="6" t="s">
        <v>2034</v>
      </c>
      <c r="K6141" s="7">
        <v>44010534</v>
      </c>
      <c r="L6141" s="5" t="str">
        <f t="shared" si="603"/>
        <v xml:space="preserve">NW MATRİX DOLAP 6 KAPAK </v>
      </c>
      <c r="M6141" s="12"/>
      <c r="P6141" s="8"/>
      <c r="Q6141" s="12"/>
      <c r="T6141" s="12"/>
      <c r="U6141" s="8">
        <v>23200</v>
      </c>
    </row>
    <row r="6142" spans="2:21" ht="21.95" customHeight="1" x14ac:dyDescent="0.2">
      <c r="B6142" s="5" t="s">
        <v>1591</v>
      </c>
      <c r="C6142" s="6" t="s">
        <v>2033</v>
      </c>
      <c r="D6142" s="6" t="s">
        <v>96</v>
      </c>
      <c r="E6142" s="6"/>
      <c r="K6142" s="7">
        <v>44010535</v>
      </c>
      <c r="L6142" s="5" t="str">
        <f t="shared" si="603"/>
        <v xml:space="preserve">NW MATRİX ŞİFONYER </v>
      </c>
      <c r="M6142" s="12"/>
      <c r="P6142" s="8"/>
      <c r="Q6142" s="12"/>
      <c r="T6142" s="12"/>
      <c r="U6142" s="8">
        <v>26100</v>
      </c>
    </row>
    <row r="6143" spans="2:21" ht="21.95" customHeight="1" x14ac:dyDescent="0.2">
      <c r="B6143" s="5" t="s">
        <v>1591</v>
      </c>
      <c r="C6143" s="6" t="s">
        <v>2033</v>
      </c>
      <c r="D6143" s="6" t="s">
        <v>370</v>
      </c>
      <c r="E6143" s="6"/>
      <c r="K6143" s="7">
        <v>44010536</v>
      </c>
      <c r="L6143" s="5" t="str">
        <f t="shared" si="603"/>
        <v xml:space="preserve">NW MATRİX ŞİFONYER AYNA </v>
      </c>
      <c r="M6143" s="12"/>
      <c r="P6143" s="8"/>
      <c r="Q6143" s="12"/>
      <c r="T6143" s="12"/>
      <c r="U6143" s="8">
        <v>18700</v>
      </c>
    </row>
    <row r="6144" spans="2:21" ht="21.95" customHeight="1" x14ac:dyDescent="0.2">
      <c r="B6144" s="5" t="s">
        <v>1591</v>
      </c>
      <c r="C6144" s="6" t="s">
        <v>2033</v>
      </c>
      <c r="D6144" s="6" t="s">
        <v>80</v>
      </c>
      <c r="E6144" s="6"/>
      <c r="K6144" s="7">
        <v>44010537</v>
      </c>
      <c r="L6144" s="5" t="str">
        <f t="shared" si="603"/>
        <v>NW MATRİX KOMODİN X2</v>
      </c>
      <c r="M6144" s="12"/>
      <c r="P6144" s="8"/>
      <c r="Q6144" s="12"/>
      <c r="T6144" s="12"/>
      <c r="U6144" s="8">
        <v>20100</v>
      </c>
    </row>
    <row r="6145" spans="2:21" ht="21.95" customHeight="1" x14ac:dyDescent="0.2">
      <c r="B6145" s="5" t="s">
        <v>1591</v>
      </c>
      <c r="C6145" s="6" t="s">
        <v>2033</v>
      </c>
      <c r="D6145" s="6" t="s">
        <v>372</v>
      </c>
      <c r="E6145" s="6"/>
      <c r="K6145" s="7">
        <v>44010538</v>
      </c>
      <c r="L6145" s="5" t="str">
        <f t="shared" si="603"/>
        <v xml:space="preserve">NW MATRİX KARYOLA 160 CM </v>
      </c>
      <c r="M6145" s="12"/>
      <c r="P6145" s="8"/>
      <c r="Q6145" s="12"/>
      <c r="T6145" s="12"/>
      <c r="U6145" s="8">
        <v>21400</v>
      </c>
    </row>
    <row r="6146" spans="2:21" ht="21.95" customHeight="1" x14ac:dyDescent="0.2">
      <c r="B6146" s="5" t="s">
        <v>1591</v>
      </c>
      <c r="C6146" s="6" t="s">
        <v>2033</v>
      </c>
      <c r="D6146" s="6" t="s">
        <v>194</v>
      </c>
      <c r="E6146" s="6"/>
      <c r="K6146" s="7">
        <v>44010539</v>
      </c>
      <c r="L6146" s="5" t="str">
        <f t="shared" si="603"/>
        <v xml:space="preserve">NW MATRİX KONSOL </v>
      </c>
      <c r="M6146" s="12"/>
      <c r="P6146" s="8"/>
      <c r="Q6146" s="12"/>
      <c r="T6146" s="12"/>
      <c r="U6146" s="8">
        <v>24100</v>
      </c>
    </row>
    <row r="6147" spans="2:21" ht="21.95" customHeight="1" x14ac:dyDescent="0.2">
      <c r="B6147" s="5" t="s">
        <v>1591</v>
      </c>
      <c r="C6147" s="6" t="s">
        <v>2033</v>
      </c>
      <c r="D6147" s="6" t="s">
        <v>375</v>
      </c>
      <c r="E6147" s="6"/>
      <c r="K6147" s="7">
        <v>44010540</v>
      </c>
      <c r="L6147" s="5" t="str">
        <f t="shared" si="603"/>
        <v xml:space="preserve">NW MATRİX MASA </v>
      </c>
      <c r="M6147" s="12"/>
      <c r="P6147" s="8"/>
      <c r="Q6147" s="12"/>
      <c r="T6147" s="12"/>
      <c r="U6147" s="8">
        <v>29800</v>
      </c>
    </row>
    <row r="6148" spans="2:21" ht="21.95" customHeight="1" x14ac:dyDescent="0.2">
      <c r="B6148" s="5" t="s">
        <v>1591</v>
      </c>
      <c r="C6148" s="6" t="s">
        <v>2033</v>
      </c>
      <c r="D6148" s="6" t="s">
        <v>358</v>
      </c>
      <c r="E6148" s="6"/>
      <c r="K6148" s="7">
        <v>44010541</v>
      </c>
      <c r="L6148" s="5" t="str">
        <f t="shared" si="603"/>
        <v xml:space="preserve">NW MATRİX SANDALYE </v>
      </c>
      <c r="M6148" s="12"/>
      <c r="P6148" s="8"/>
      <c r="Q6148" s="12"/>
      <c r="T6148" s="12"/>
      <c r="U6148" s="8">
        <v>31900</v>
      </c>
    </row>
    <row r="6149" spans="2:21" ht="21.95" customHeight="1" x14ac:dyDescent="0.2">
      <c r="B6149" s="5" t="s">
        <v>1591</v>
      </c>
      <c r="C6149" s="6" t="s">
        <v>2033</v>
      </c>
      <c r="D6149" s="6" t="s">
        <v>2035</v>
      </c>
      <c r="E6149" s="6"/>
      <c r="K6149" s="7">
        <v>44010542</v>
      </c>
      <c r="L6149" s="5" t="str">
        <f t="shared" si="603"/>
        <v xml:space="preserve">NW MATRİX ÜNİTE ALT BLOK </v>
      </c>
      <c r="M6149" s="12"/>
      <c r="P6149" s="8"/>
      <c r="Q6149" s="12"/>
      <c r="T6149" s="12"/>
      <c r="U6149" s="8">
        <v>34000</v>
      </c>
    </row>
    <row r="6150" spans="2:21" ht="21.95" customHeight="1" x14ac:dyDescent="0.2">
      <c r="B6150" s="5" t="s">
        <v>1591</v>
      </c>
      <c r="C6150" s="6" t="s">
        <v>2033</v>
      </c>
      <c r="D6150" s="6" t="s">
        <v>516</v>
      </c>
      <c r="E6150" s="6"/>
      <c r="K6150" s="7">
        <v>44010543</v>
      </c>
      <c r="L6150" s="5" t="str">
        <f t="shared" si="603"/>
        <v>NW MATRİX ORTA SEHPA X2</v>
      </c>
      <c r="M6150" s="12"/>
      <c r="P6150" s="8"/>
      <c r="Q6150" s="12"/>
      <c r="T6150" s="12"/>
      <c r="U6150" s="8">
        <v>38300</v>
      </c>
    </row>
    <row r="6151" spans="2:21" ht="21.95" customHeight="1" x14ac:dyDescent="0.2">
      <c r="B6151" s="5" t="s">
        <v>1591</v>
      </c>
      <c r="C6151" s="6" t="s">
        <v>2033</v>
      </c>
      <c r="D6151" s="6" t="s">
        <v>30</v>
      </c>
      <c r="E6151" s="6"/>
      <c r="K6151" s="7">
        <v>44010544</v>
      </c>
      <c r="L6151" s="5" t="str">
        <f t="shared" si="603"/>
        <v>NW MATRİX YAN SEHPA</v>
      </c>
      <c r="M6151" s="12"/>
      <c r="P6151" s="8"/>
      <c r="Q6151" s="12"/>
      <c r="T6151" s="12"/>
      <c r="U6151" s="8">
        <v>21800</v>
      </c>
    </row>
    <row r="6152" spans="2:21" ht="21.95" customHeight="1" x14ac:dyDescent="0.2">
      <c r="B6152" s="5" t="s">
        <v>1591</v>
      </c>
      <c r="C6152" s="6" t="s">
        <v>2033</v>
      </c>
      <c r="D6152" s="6" t="s">
        <v>1857</v>
      </c>
      <c r="E6152" s="6"/>
      <c r="K6152" s="7">
        <v>44010545</v>
      </c>
      <c r="L6152" s="5" t="str">
        <f t="shared" si="603"/>
        <v xml:space="preserve">NW MATRİX 3 LÜ KOLTUK </v>
      </c>
      <c r="M6152" s="12"/>
      <c r="P6152" s="8"/>
      <c r="Q6152" s="12"/>
      <c r="T6152" s="12"/>
      <c r="U6152" s="8">
        <v>23300</v>
      </c>
    </row>
    <row r="6153" spans="2:21" ht="21.95" customHeight="1" x14ac:dyDescent="0.2">
      <c r="B6153" s="5" t="s">
        <v>1591</v>
      </c>
      <c r="C6153" s="6" t="s">
        <v>2033</v>
      </c>
      <c r="D6153" s="6" t="s">
        <v>33</v>
      </c>
      <c r="E6153" s="6"/>
      <c r="K6153" s="7">
        <v>44010546</v>
      </c>
      <c r="L6153" s="5" t="str">
        <f t="shared" si="603"/>
        <v>NW MATRİX BERJER</v>
      </c>
      <c r="M6153" s="12"/>
      <c r="P6153" s="8"/>
      <c r="Q6153" s="12"/>
      <c r="T6153" s="12"/>
      <c r="U6153" s="8">
        <v>24900</v>
      </c>
    </row>
    <row r="6154" spans="2:21" ht="21.95" customHeight="1" x14ac:dyDescent="0.2">
      <c r="B6154" s="5" t="s">
        <v>1591</v>
      </c>
      <c r="C6154" s="6" t="s">
        <v>989</v>
      </c>
      <c r="D6154" s="6" t="s">
        <v>2036</v>
      </c>
      <c r="E6154" s="6"/>
      <c r="K6154" s="7">
        <v>44010547</v>
      </c>
      <c r="L6154" s="6" t="str">
        <f t="shared" si="603"/>
        <v xml:space="preserve">NW BAZA  BAZA 160 CM </v>
      </c>
      <c r="M6154" s="12"/>
      <c r="P6154" s="8"/>
      <c r="Q6154" s="12"/>
      <c r="T6154" s="12"/>
      <c r="U6154" s="8">
        <v>28000</v>
      </c>
    </row>
    <row r="6155" spans="2:21" ht="21.95" customHeight="1" x14ac:dyDescent="0.2">
      <c r="B6155" s="5" t="s">
        <v>1591</v>
      </c>
      <c r="C6155" s="6" t="s">
        <v>989</v>
      </c>
      <c r="D6155" s="6" t="s">
        <v>2037</v>
      </c>
      <c r="E6155" s="6"/>
      <c r="K6155" s="7">
        <v>44010548</v>
      </c>
      <c r="L6155" s="6" t="str">
        <f t="shared" si="603"/>
        <v xml:space="preserve">NW BAZA  BAZA 180 CM </v>
      </c>
      <c r="M6155" s="12"/>
      <c r="P6155" s="8"/>
      <c r="Q6155" s="12"/>
      <c r="T6155" s="12"/>
      <c r="U6155" s="8">
        <v>15800</v>
      </c>
    </row>
    <row r="6156" spans="2:21" ht="21.95" customHeight="1" x14ac:dyDescent="0.2">
      <c r="B6156" s="5" t="s">
        <v>1591</v>
      </c>
      <c r="C6156" s="6" t="s">
        <v>989</v>
      </c>
      <c r="D6156" s="6" t="s">
        <v>2038</v>
      </c>
      <c r="E6156" s="6"/>
      <c r="K6156" s="7">
        <v>44010549</v>
      </c>
      <c r="L6156" s="6" t="str">
        <f t="shared" si="603"/>
        <v xml:space="preserve">NW BAZA  180 LİK KARYOLA FARKI </v>
      </c>
      <c r="M6156" s="12"/>
      <c r="P6156" s="8"/>
      <c r="Q6156" s="12"/>
      <c r="T6156" s="12"/>
      <c r="U6156" s="8">
        <v>11900</v>
      </c>
    </row>
    <row r="6157" spans="2:21" ht="21.95" customHeight="1" x14ac:dyDescent="0.2">
      <c r="B6157" s="5" t="s">
        <v>1591</v>
      </c>
      <c r="C6157" s="6" t="s">
        <v>989</v>
      </c>
      <c r="D6157" s="6" t="s">
        <v>2039</v>
      </c>
      <c r="E6157" s="6"/>
      <c r="K6157" s="7">
        <v>44010550</v>
      </c>
      <c r="L6157" s="6" t="str">
        <f t="shared" si="603"/>
        <v>NW BAZA  160 LIK KATLANIR BAZA (GALAKSİ VE SAHRA)</v>
      </c>
      <c r="M6157" s="12"/>
      <c r="P6157" s="8"/>
      <c r="Q6157" s="12"/>
      <c r="T6157" s="12"/>
      <c r="U6157" s="8">
        <v>12600</v>
      </c>
    </row>
    <row r="6158" spans="2:21" ht="21.95" customHeight="1" x14ac:dyDescent="0.2">
      <c r="B6158" s="5" t="s">
        <v>1591</v>
      </c>
      <c r="C6158" s="6" t="s">
        <v>989</v>
      </c>
      <c r="D6158" s="6" t="s">
        <v>2040</v>
      </c>
      <c r="E6158" s="6"/>
      <c r="K6158" s="7">
        <v>44010551</v>
      </c>
      <c r="L6158" s="6" t="str">
        <f t="shared" si="603"/>
        <v xml:space="preserve">NW BAZA  180 LİK KATLANIR BAZA (GALAKSİ VE SAHRA) </v>
      </c>
      <c r="M6158" s="12"/>
      <c r="P6158" s="8"/>
      <c r="Q6158" s="12"/>
      <c r="T6158" s="12"/>
      <c r="U6158" s="8">
        <v>12700</v>
      </c>
    </row>
    <row r="6159" spans="2:21" ht="21.95" customHeight="1" x14ac:dyDescent="0.2">
      <c r="B6159" s="5" t="s">
        <v>1591</v>
      </c>
      <c r="C6159" s="6" t="s">
        <v>373</v>
      </c>
      <c r="D6159" s="6" t="s">
        <v>2041</v>
      </c>
      <c r="E6159" s="6"/>
      <c r="K6159" s="7">
        <v>44010552</v>
      </c>
      <c r="L6159" s="6" t="str">
        <f t="shared" si="603"/>
        <v xml:space="preserve">NW PUF  PUF (TÜM YATAK ODASI) </v>
      </c>
      <c r="M6159" s="12"/>
      <c r="P6159" s="8"/>
      <c r="Q6159" s="12"/>
      <c r="T6159" s="12"/>
      <c r="U6159" s="8">
        <v>15200</v>
      </c>
    </row>
    <row r="6160" spans="2:21" ht="21.95" customHeight="1" x14ac:dyDescent="0.2">
      <c r="B6160" s="5" t="s">
        <v>1583</v>
      </c>
      <c r="C6160" s="5" t="s">
        <v>503</v>
      </c>
      <c r="D6160" s="6" t="s">
        <v>2076</v>
      </c>
      <c r="E6160" s="6"/>
      <c r="G6160" s="5">
        <v>180</v>
      </c>
      <c r="H6160" s="5">
        <v>94.5</v>
      </c>
      <c r="K6160" s="7">
        <v>44010553</v>
      </c>
      <c r="L6160" s="5" t="str">
        <f t="shared" ref="L6160:L6165" si="604">B6160&amp;" "&amp;C6160&amp;" "&amp;D6160&amp;" "&amp;G6160&amp;"x"&amp;H6160</f>
        <v>BR FABIO MASA 180 CM 180x94,5</v>
      </c>
      <c r="P6160" s="8"/>
      <c r="Q6160" s="12"/>
      <c r="T6160" s="12"/>
      <c r="U6160" s="8">
        <v>17800</v>
      </c>
    </row>
    <row r="6161" spans="2:21" ht="21.95" customHeight="1" x14ac:dyDescent="0.2">
      <c r="B6161" s="5" t="s">
        <v>1583</v>
      </c>
      <c r="C6161" s="5" t="s">
        <v>503</v>
      </c>
      <c r="D6161" s="6" t="s">
        <v>518</v>
      </c>
      <c r="E6161" s="6"/>
      <c r="G6161" s="6">
        <v>190</v>
      </c>
      <c r="H6161" s="6">
        <v>94</v>
      </c>
      <c r="I6161" s="9"/>
      <c r="J6161" s="9"/>
      <c r="K6161" s="7">
        <v>44010554</v>
      </c>
      <c r="L6161" s="6" t="str">
        <f t="shared" si="604"/>
        <v>BR FABIO KANEPE 2 Lİ 190x94</v>
      </c>
      <c r="P6161" s="8"/>
      <c r="Q6161" s="12"/>
      <c r="T6161" s="12"/>
      <c r="U6161" s="8">
        <v>19000</v>
      </c>
    </row>
    <row r="6162" spans="2:21" ht="21.95" customHeight="1" x14ac:dyDescent="0.2">
      <c r="B6162" s="5" t="s">
        <v>1583</v>
      </c>
      <c r="C6162" s="5" t="s">
        <v>512</v>
      </c>
      <c r="D6162" s="6" t="s">
        <v>518</v>
      </c>
      <c r="E6162" s="6"/>
      <c r="G6162" s="6">
        <v>190</v>
      </c>
      <c r="H6162" s="6">
        <v>103</v>
      </c>
      <c r="I6162" s="9"/>
      <c r="J6162" s="9"/>
      <c r="K6162" s="7">
        <v>44010555</v>
      </c>
      <c r="L6162" s="6" t="str">
        <f t="shared" si="604"/>
        <v>BR HERO KANEPE 2 Lİ 190x103</v>
      </c>
      <c r="P6162" s="8"/>
      <c r="Q6162" s="12"/>
      <c r="T6162" s="12"/>
      <c r="U6162" s="8">
        <v>20300</v>
      </c>
    </row>
    <row r="6163" spans="2:21" ht="21.95" customHeight="1" x14ac:dyDescent="0.2">
      <c r="B6163" s="5" t="s">
        <v>1583</v>
      </c>
      <c r="C6163" s="6" t="s">
        <v>515</v>
      </c>
      <c r="D6163" s="6" t="s">
        <v>2130</v>
      </c>
      <c r="E6163" s="6"/>
      <c r="G6163" s="6">
        <v>180</v>
      </c>
      <c r="H6163" s="6">
        <v>100</v>
      </c>
      <c r="I6163" s="9">
        <v>78</v>
      </c>
      <c r="J6163" s="9"/>
      <c r="L6163" s="6" t="str">
        <f t="shared" si="604"/>
        <v>BR BONNY 180 CM LİK MASA 180x100</v>
      </c>
      <c r="P6163" s="8"/>
      <c r="Q6163" s="12"/>
      <c r="T6163" s="12"/>
      <c r="U6163" s="8">
        <v>22800</v>
      </c>
    </row>
    <row r="6164" spans="2:21" ht="21.95" customHeight="1" x14ac:dyDescent="0.2">
      <c r="B6164" s="6" t="s">
        <v>2077</v>
      </c>
      <c r="C6164" s="6" t="s">
        <v>2078</v>
      </c>
      <c r="D6164" s="6" t="s">
        <v>373</v>
      </c>
      <c r="E6164" s="6"/>
      <c r="F6164" s="6"/>
      <c r="G6164" s="6">
        <v>60</v>
      </c>
      <c r="H6164" s="6">
        <v>33</v>
      </c>
      <c r="I6164" s="9"/>
      <c r="J6164" s="9"/>
      <c r="L6164" s="6" t="str">
        <f t="shared" si="604"/>
        <v>BR  ASTOR  PUF  60x33</v>
      </c>
      <c r="O6164" s="12"/>
      <c r="P6164" s="8"/>
      <c r="Q6164" s="12"/>
      <c r="T6164" s="12"/>
      <c r="U6164" s="8">
        <v>5300</v>
      </c>
    </row>
    <row r="6165" spans="2:21" ht="21.95" customHeight="1" x14ac:dyDescent="0.2">
      <c r="B6165" s="5" t="s">
        <v>1583</v>
      </c>
      <c r="C6165" s="6" t="s">
        <v>497</v>
      </c>
      <c r="D6165" s="6" t="s">
        <v>518</v>
      </c>
      <c r="E6165" s="6"/>
      <c r="G6165" s="6">
        <v>200</v>
      </c>
      <c r="H6165" s="6">
        <v>103</v>
      </c>
      <c r="I6165" s="9"/>
      <c r="J6165" s="9"/>
      <c r="L6165" s="5" t="str">
        <f t="shared" si="604"/>
        <v>BR TREND KANEPE 2 Lİ 200x103</v>
      </c>
      <c r="P6165" s="8"/>
      <c r="Q6165" s="12"/>
      <c r="T6165" s="12"/>
      <c r="U6165" s="8">
        <v>5300</v>
      </c>
    </row>
    <row r="6166" spans="2:21" ht="21.95" customHeight="1" x14ac:dyDescent="0.2">
      <c r="B6166" s="6" t="s">
        <v>2077</v>
      </c>
      <c r="C6166" s="6" t="s">
        <v>534</v>
      </c>
      <c r="D6166" s="6" t="s">
        <v>1864</v>
      </c>
      <c r="E6166" s="6"/>
      <c r="F6166" s="6"/>
      <c r="G6166" s="6">
        <v>60</v>
      </c>
      <c r="H6166" s="6"/>
      <c r="I6166" s="9">
        <v>133</v>
      </c>
      <c r="J6166" s="9"/>
      <c r="L6166" s="6" t="str">
        <f>B6166&amp;" "&amp;C6166&amp;" "&amp;D6166&amp;" "&amp;G6166&amp;"x"&amp;I6166</f>
        <v>BR  HARMONY KİTAPLIK SAĞ  60x133</v>
      </c>
      <c r="O6166" s="12"/>
      <c r="P6166" s="8"/>
      <c r="Q6166" s="12"/>
      <c r="T6166" s="12"/>
      <c r="U6166" s="8">
        <v>5400</v>
      </c>
    </row>
    <row r="6167" spans="2:21" ht="21.95" customHeight="1" x14ac:dyDescent="0.2">
      <c r="B6167" s="6" t="s">
        <v>2077</v>
      </c>
      <c r="C6167" s="6" t="s">
        <v>534</v>
      </c>
      <c r="D6167" s="6" t="s">
        <v>1865</v>
      </c>
      <c r="E6167" s="6"/>
      <c r="F6167" s="6"/>
      <c r="G6167" s="6">
        <v>60</v>
      </c>
      <c r="H6167" s="6"/>
      <c r="I6167" s="9">
        <v>133</v>
      </c>
      <c r="J6167" s="9"/>
      <c r="L6167" s="6" t="str">
        <f>B6167&amp;" "&amp;C6167&amp;" "&amp;D6167&amp;" "&amp;G6167&amp;"x"&amp;I6167</f>
        <v>BR  HARMONY KİTAPLIK SOL  60x133</v>
      </c>
      <c r="O6167" s="12"/>
      <c r="P6167" s="8"/>
      <c r="Q6167" s="12"/>
      <c r="T6167" s="12"/>
      <c r="U6167" s="8">
        <v>6500</v>
      </c>
    </row>
    <row r="6168" spans="2:21" ht="21.95" customHeight="1" x14ac:dyDescent="0.2">
      <c r="B6168" s="5" t="s">
        <v>1583</v>
      </c>
      <c r="C6168" s="6" t="s">
        <v>543</v>
      </c>
      <c r="D6168" s="6" t="s">
        <v>2083</v>
      </c>
      <c r="E6168" s="6"/>
      <c r="F6168" s="6"/>
      <c r="G6168" s="6">
        <v>240</v>
      </c>
      <c r="H6168" s="6">
        <v>103</v>
      </c>
      <c r="I6168" s="9"/>
      <c r="J6168" s="9"/>
      <c r="L6168" s="6" t="str">
        <f>B6168&amp;" "&amp;C6168&amp;" "&amp;D6168&amp;" "&amp;G6168&amp;"x"&amp;H6168&amp;"x"&amp;I6168</f>
        <v>BR YUEN 2 PARÇALI 3 LÜ KOLTUK  240x103x</v>
      </c>
      <c r="P6168" s="8"/>
      <c r="Q6168" s="12"/>
      <c r="T6168" s="12"/>
      <c r="U6168" s="8">
        <v>7500</v>
      </c>
    </row>
    <row r="6169" spans="2:21" ht="21.95" customHeight="1" x14ac:dyDescent="0.2">
      <c r="B6169" s="5" t="s">
        <v>1583</v>
      </c>
      <c r="C6169" s="6" t="s">
        <v>543</v>
      </c>
      <c r="D6169" s="6" t="s">
        <v>2084</v>
      </c>
      <c r="E6169" s="6"/>
      <c r="F6169" s="6"/>
      <c r="G6169" s="6">
        <v>290</v>
      </c>
      <c r="H6169" s="6">
        <v>103</v>
      </c>
      <c r="I6169" s="9"/>
      <c r="J6169" s="9"/>
      <c r="L6169" s="6" t="str">
        <f>B6169&amp;" "&amp;C6169&amp;" "&amp;D6169&amp;" "&amp;G6169&amp;"x"&amp;H6169&amp;"x"&amp;I6169</f>
        <v>BR YUEN ARA SEHPALI 3 LÜ KOLTUK  290x103x</v>
      </c>
      <c r="P6169" s="8"/>
      <c r="Q6169" s="12"/>
      <c r="T6169" s="12"/>
      <c r="U6169" s="8">
        <v>8100</v>
      </c>
    </row>
    <row r="6170" spans="2:21" ht="21.95" customHeight="1" x14ac:dyDescent="0.2">
      <c r="B6170" s="6" t="s">
        <v>2077</v>
      </c>
      <c r="C6170" s="6" t="s">
        <v>559</v>
      </c>
      <c r="D6170" s="6" t="s">
        <v>2083</v>
      </c>
      <c r="E6170" s="6"/>
      <c r="F6170" s="6"/>
      <c r="G6170" s="6">
        <v>190</v>
      </c>
      <c r="H6170" s="6">
        <v>90</v>
      </c>
      <c r="I6170" s="9"/>
      <c r="J6170" s="9"/>
      <c r="L6170" s="6" t="str">
        <f>B6170&amp;" "&amp;C6170&amp;" "&amp;D6170&amp;" "&amp;G6170&amp;"x"&amp;H6170&amp;"x"&amp;I6170</f>
        <v>BR  KEOPS 2 PARÇALI 3 LÜ KOLTUK  190x90x</v>
      </c>
      <c r="P6170" s="8"/>
      <c r="Q6170" s="12"/>
      <c r="T6170" s="12"/>
      <c r="U6170" s="8">
        <v>8600</v>
      </c>
    </row>
    <row r="6171" spans="2:21" ht="21.95" customHeight="1" x14ac:dyDescent="0.2">
      <c r="B6171" s="6" t="s">
        <v>2077</v>
      </c>
      <c r="C6171" s="6" t="s">
        <v>559</v>
      </c>
      <c r="D6171" s="6" t="s">
        <v>33</v>
      </c>
      <c r="E6171" s="6"/>
      <c r="F6171" s="6"/>
      <c r="G6171" s="6">
        <v>83</v>
      </c>
      <c r="H6171" s="6">
        <v>88</v>
      </c>
      <c r="I6171" s="9"/>
      <c r="J6171" s="9"/>
      <c r="L6171" s="6" t="str">
        <f>B6171&amp;" "&amp;C6171&amp;" "&amp;D6171&amp;" "&amp;G6171&amp;"x"&amp;H6171&amp;"x"&amp;I6171</f>
        <v>BR  KEOPS BERJER 83x88x</v>
      </c>
      <c r="P6171" s="8"/>
      <c r="Q6171" s="12"/>
      <c r="T6171" s="12"/>
      <c r="U6171" s="8">
        <v>9700</v>
      </c>
    </row>
    <row r="6172" spans="2:21" ht="21.95" customHeight="1" x14ac:dyDescent="0.2">
      <c r="B6172" s="6" t="s">
        <v>2077</v>
      </c>
      <c r="C6172" s="6" t="s">
        <v>2094</v>
      </c>
      <c r="D6172" s="6" t="s">
        <v>2095</v>
      </c>
      <c r="E6172" s="6"/>
      <c r="F6172" s="6"/>
      <c r="G6172" s="6">
        <v>238</v>
      </c>
      <c r="H6172" s="6">
        <v>106</v>
      </c>
      <c r="I6172" s="9"/>
      <c r="J6172" s="9"/>
      <c r="L6172" s="6" t="str">
        <f t="shared" ref="L6172:L6178" si="605">B6172&amp;" "&amp;C6172&amp;" "&amp;D6172&amp;" "&amp;G6172&amp;"x"&amp;H6172</f>
        <v>BR  BİANCA 3 LÜ MOBİLYALI KOLTUK  238x106</v>
      </c>
      <c r="O6172" s="12"/>
      <c r="P6172" s="8"/>
      <c r="Q6172" s="12"/>
      <c r="T6172" s="12"/>
      <c r="U6172" s="8">
        <v>12900</v>
      </c>
    </row>
    <row r="6173" spans="2:21" ht="21.95" customHeight="1" x14ac:dyDescent="0.2">
      <c r="B6173" s="6" t="s">
        <v>2077</v>
      </c>
      <c r="C6173" s="6" t="s">
        <v>2094</v>
      </c>
      <c r="D6173" s="6" t="s">
        <v>168</v>
      </c>
      <c r="E6173" s="6"/>
      <c r="F6173" s="6"/>
      <c r="G6173" s="6">
        <v>91</v>
      </c>
      <c r="H6173" s="6">
        <v>90</v>
      </c>
      <c r="I6173" s="9"/>
      <c r="J6173" s="9"/>
      <c r="L6173" s="6" t="str">
        <f t="shared" si="605"/>
        <v>BR  BİANCA BERJER  91x90</v>
      </c>
      <c r="O6173" s="12"/>
      <c r="P6173" s="8"/>
      <c r="Q6173" s="12"/>
      <c r="T6173" s="12"/>
      <c r="U6173" s="8">
        <v>13600</v>
      </c>
    </row>
    <row r="6174" spans="2:21" ht="21.95" customHeight="1" x14ac:dyDescent="0.2">
      <c r="B6174" s="6" t="s">
        <v>2077</v>
      </c>
      <c r="C6174" s="6" t="s">
        <v>2094</v>
      </c>
      <c r="D6174" s="6" t="s">
        <v>2096</v>
      </c>
      <c r="E6174" s="6"/>
      <c r="F6174" s="6"/>
      <c r="G6174" s="6">
        <v>140</v>
      </c>
      <c r="H6174" s="6">
        <v>106</v>
      </c>
      <c r="I6174" s="9"/>
      <c r="J6174" s="9"/>
      <c r="L6174" s="6" t="str">
        <f t="shared" si="605"/>
        <v>BR  BİANCA 140 CM TEK KOLLU MODÜL  140x106</v>
      </c>
      <c r="O6174" s="12"/>
      <c r="P6174" s="8"/>
      <c r="Q6174" s="12"/>
      <c r="T6174" s="12"/>
      <c r="U6174" s="8">
        <v>13800</v>
      </c>
    </row>
    <row r="6175" spans="2:21" ht="21.95" customHeight="1" x14ac:dyDescent="0.2">
      <c r="B6175" s="6" t="s">
        <v>2077</v>
      </c>
      <c r="C6175" s="6" t="s">
        <v>2094</v>
      </c>
      <c r="D6175" s="6" t="s">
        <v>2097</v>
      </c>
      <c r="E6175" s="6"/>
      <c r="F6175" s="6"/>
      <c r="G6175" s="6">
        <v>120</v>
      </c>
      <c r="H6175" s="6">
        <v>106</v>
      </c>
      <c r="I6175" s="9"/>
      <c r="J6175" s="9"/>
      <c r="L6175" s="6" t="str">
        <f t="shared" si="605"/>
        <v>BR  BİANCA 120 CM TEK KOLLU MODÜL  120x106</v>
      </c>
      <c r="O6175" s="12"/>
      <c r="P6175" s="8"/>
      <c r="Q6175" s="12"/>
      <c r="T6175" s="12"/>
      <c r="U6175" s="8">
        <v>16500</v>
      </c>
    </row>
    <row r="6176" spans="2:21" ht="21.95" customHeight="1" x14ac:dyDescent="0.2">
      <c r="B6176" s="6" t="s">
        <v>2077</v>
      </c>
      <c r="C6176" s="6" t="s">
        <v>2094</v>
      </c>
      <c r="D6176" s="6" t="s">
        <v>2098</v>
      </c>
      <c r="E6176" s="6"/>
      <c r="F6176" s="6"/>
      <c r="G6176" s="6">
        <v>165</v>
      </c>
      <c r="H6176" s="6">
        <v>175</v>
      </c>
      <c r="I6176" s="9"/>
      <c r="J6176" s="9"/>
      <c r="L6176" s="6" t="str">
        <f t="shared" si="605"/>
        <v>BR  BİANCA ÇAP RELAX MODÜL  165x175</v>
      </c>
      <c r="O6176" s="12"/>
      <c r="P6176" s="8"/>
      <c r="Q6176" s="12"/>
      <c r="T6176" s="12"/>
      <c r="U6176" s="8">
        <v>19300</v>
      </c>
    </row>
    <row r="6177" spans="2:21" ht="21.95" customHeight="1" x14ac:dyDescent="0.2">
      <c r="B6177" s="6" t="s">
        <v>2077</v>
      </c>
      <c r="C6177" s="6" t="s">
        <v>2094</v>
      </c>
      <c r="D6177" s="6" t="s">
        <v>2099</v>
      </c>
      <c r="E6177" s="6"/>
      <c r="F6177" s="6"/>
      <c r="G6177" s="6">
        <v>96</v>
      </c>
      <c r="H6177" s="6">
        <v>106</v>
      </c>
      <c r="I6177" s="9"/>
      <c r="J6177" s="9"/>
      <c r="L6177" s="6" t="str">
        <f t="shared" si="605"/>
        <v>BR  BİANCA 96 CM LİK KOLSUZ PİYON  96x106</v>
      </c>
      <c r="O6177" s="12"/>
      <c r="P6177" s="8"/>
      <c r="Q6177" s="12"/>
      <c r="T6177" s="12"/>
      <c r="U6177" s="8">
        <v>20600</v>
      </c>
    </row>
    <row r="6178" spans="2:21" ht="21.95" customHeight="1" x14ac:dyDescent="0.2">
      <c r="B6178" s="6" t="s">
        <v>2077</v>
      </c>
      <c r="C6178" s="6" t="s">
        <v>2094</v>
      </c>
      <c r="D6178" s="6" t="s">
        <v>2100</v>
      </c>
      <c r="E6178" s="6"/>
      <c r="F6178" s="6"/>
      <c r="G6178" s="6">
        <v>76</v>
      </c>
      <c r="H6178" s="6">
        <v>106</v>
      </c>
      <c r="I6178" s="9"/>
      <c r="J6178" s="9"/>
      <c r="L6178" s="6" t="str">
        <f t="shared" si="605"/>
        <v>BR  BİANCA 76 CM LİK KOLSUZ PİYON  76x106</v>
      </c>
      <c r="O6178" s="12"/>
      <c r="P6178" s="8"/>
      <c r="Q6178" s="12"/>
      <c r="T6178" s="12"/>
      <c r="U6178" s="8">
        <v>22000</v>
      </c>
    </row>
    <row r="6179" spans="2:21" ht="21.95" customHeight="1" x14ac:dyDescent="0.2">
      <c r="B6179" s="6" t="s">
        <v>2077</v>
      </c>
      <c r="C6179" s="6" t="s">
        <v>2094</v>
      </c>
      <c r="D6179" s="6" t="s">
        <v>373</v>
      </c>
      <c r="E6179" s="6"/>
      <c r="F6179" s="6"/>
      <c r="G6179" s="6">
        <v>45</v>
      </c>
      <c r="H6179" s="6">
        <v>45</v>
      </c>
      <c r="I6179" s="9">
        <v>40</v>
      </c>
      <c r="J6179" s="9"/>
      <c r="L6179" s="6" t="str">
        <f>B6179&amp;" "&amp;C6179&amp;" "&amp;D6179&amp;" "&amp;G6179&amp;"x"&amp;H6179&amp;"x"&amp;I6179</f>
        <v>BR  BİANCA PUF  45x45x40</v>
      </c>
      <c r="O6179" s="12"/>
      <c r="P6179" s="8"/>
      <c r="Q6179" s="12"/>
      <c r="T6179" s="12"/>
      <c r="U6179" s="8">
        <v>24800</v>
      </c>
    </row>
    <row r="6180" spans="2:21" ht="21.95" customHeight="1" x14ac:dyDescent="0.2">
      <c r="B6180" s="6" t="s">
        <v>2077</v>
      </c>
      <c r="C6180" s="6" t="s">
        <v>2094</v>
      </c>
      <c r="D6180" s="6" t="s">
        <v>194</v>
      </c>
      <c r="E6180" s="6"/>
      <c r="F6180" s="6"/>
      <c r="G6180" s="6">
        <v>221</v>
      </c>
      <c r="H6180" s="6">
        <v>53</v>
      </c>
      <c r="I6180" s="9">
        <v>80</v>
      </c>
      <c r="J6180" s="9"/>
      <c r="L6180" s="6" t="str">
        <f>B6180&amp;" "&amp;C6180&amp;" "&amp;D6180&amp;" "&amp;G6180&amp;"x"&amp;H6180&amp;"x"&amp;I6180</f>
        <v>BR  BİANCA KONSOL  221x53x80</v>
      </c>
      <c r="O6180" s="12"/>
      <c r="P6180" s="8"/>
      <c r="Q6180" s="12"/>
      <c r="T6180" s="12"/>
      <c r="U6180" s="8">
        <v>13200</v>
      </c>
    </row>
    <row r="6181" spans="2:21" ht="21.95" customHeight="1" x14ac:dyDescent="0.2">
      <c r="B6181" s="6" t="s">
        <v>2077</v>
      </c>
      <c r="C6181" s="6" t="s">
        <v>2094</v>
      </c>
      <c r="D6181" s="6" t="s">
        <v>390</v>
      </c>
      <c r="E6181" s="6"/>
      <c r="F6181" s="6"/>
      <c r="G6181" s="6">
        <v>68</v>
      </c>
      <c r="H6181" s="6">
        <v>3.2</v>
      </c>
      <c r="I6181" s="9">
        <v>87</v>
      </c>
      <c r="J6181" s="9"/>
      <c r="L6181" s="6" t="str">
        <f>B6181&amp;" "&amp;C6181&amp;" "&amp;D6181&amp;" "&amp;G6181&amp;"x"&amp;H6181&amp;"x"&amp;I6181</f>
        <v>BR  BİANCA KONSOL AYNA  68x3,2x87</v>
      </c>
      <c r="O6181" s="12"/>
      <c r="P6181" s="8"/>
      <c r="Q6181" s="12"/>
      <c r="T6181" s="12"/>
      <c r="U6181" s="8">
        <v>15800</v>
      </c>
    </row>
    <row r="6182" spans="2:21" ht="21.95" customHeight="1" x14ac:dyDescent="0.2">
      <c r="B6182" s="6" t="s">
        <v>2077</v>
      </c>
      <c r="C6182" s="6" t="s">
        <v>2094</v>
      </c>
      <c r="D6182" s="6" t="s">
        <v>375</v>
      </c>
      <c r="E6182" s="6"/>
      <c r="F6182" s="6"/>
      <c r="G6182" s="6">
        <v>220</v>
      </c>
      <c r="H6182" s="6">
        <v>100</v>
      </c>
      <c r="I6182" s="9">
        <v>78</v>
      </c>
      <c r="J6182" s="9"/>
      <c r="L6182" s="6" t="str">
        <f>B6182&amp;" "&amp;C6182&amp;" "&amp;D6182&amp;" "&amp;G6182&amp;"x"&amp;H6182&amp;"x"&amp;I6182</f>
        <v>BR  BİANCA MASA  220x100x78</v>
      </c>
      <c r="O6182" s="12"/>
      <c r="P6182" s="8"/>
      <c r="Q6182" s="12"/>
      <c r="T6182" s="12"/>
      <c r="U6182" s="8">
        <v>18500</v>
      </c>
    </row>
    <row r="6183" spans="2:21" ht="21.95" customHeight="1" x14ac:dyDescent="0.2">
      <c r="B6183" s="6" t="s">
        <v>2077</v>
      </c>
      <c r="C6183" s="6" t="s">
        <v>2094</v>
      </c>
      <c r="D6183" s="6" t="s">
        <v>358</v>
      </c>
      <c r="E6183" s="6"/>
      <c r="F6183" s="6"/>
      <c r="G6183" s="6"/>
      <c r="H6183" s="6"/>
      <c r="I6183" s="9"/>
      <c r="J6183" s="9"/>
      <c r="L6183" s="6" t="str">
        <f>B6183&amp;" "&amp;C6183&amp;" "&amp;D6183</f>
        <v xml:space="preserve">BR  BİANCA SANDALYE </v>
      </c>
      <c r="O6183" s="12"/>
      <c r="P6183" s="8"/>
      <c r="Q6183" s="12"/>
      <c r="T6183" s="12"/>
      <c r="U6183" s="8">
        <v>19800</v>
      </c>
    </row>
    <row r="6184" spans="2:21" ht="21.95" customHeight="1" x14ac:dyDescent="0.2">
      <c r="B6184" s="6" t="s">
        <v>2077</v>
      </c>
      <c r="C6184" s="6" t="s">
        <v>2094</v>
      </c>
      <c r="D6184" s="6" t="s">
        <v>2101</v>
      </c>
      <c r="E6184" s="6"/>
      <c r="F6184" s="6"/>
      <c r="G6184" s="6">
        <v>100.7</v>
      </c>
      <c r="H6184" s="6">
        <v>45.6</v>
      </c>
      <c r="I6184" s="9">
        <v>175</v>
      </c>
      <c r="J6184" s="9"/>
      <c r="L6184" s="6" t="str">
        <f t="shared" ref="L6184:L6189" si="606">B6184&amp;" "&amp;C6184&amp;" "&amp;D6184&amp;" "&amp;G6184&amp;"x"&amp;H6184&amp;"x"&amp;I6184</f>
        <v>BR  BİANCA TV ÜNİTESİ ÇİFT KAPAKLI BLOK  100,7x45,6x175</v>
      </c>
      <c r="O6184" s="12"/>
      <c r="P6184" s="8"/>
      <c r="Q6184" s="12"/>
      <c r="T6184" s="12"/>
      <c r="U6184" s="8">
        <v>21100</v>
      </c>
    </row>
    <row r="6185" spans="2:21" ht="21.95" customHeight="1" x14ac:dyDescent="0.2">
      <c r="B6185" s="6" t="s">
        <v>2077</v>
      </c>
      <c r="C6185" s="6" t="s">
        <v>2094</v>
      </c>
      <c r="D6185" s="6" t="s">
        <v>2102</v>
      </c>
      <c r="E6185" s="6"/>
      <c r="F6185" s="6"/>
      <c r="G6185" s="6">
        <v>100.7</v>
      </c>
      <c r="H6185" s="6">
        <v>50.6</v>
      </c>
      <c r="I6185" s="9">
        <v>175</v>
      </c>
      <c r="J6185" s="9"/>
      <c r="L6185" s="6" t="str">
        <f t="shared" si="606"/>
        <v>BR  BİANCA TV ÜNİTESİ TEK ÇEKMECELİ BLOK  100,7x50,6x175</v>
      </c>
      <c r="O6185" s="12"/>
      <c r="P6185" s="8"/>
      <c r="Q6185" s="12"/>
      <c r="T6185" s="12"/>
      <c r="U6185" s="8">
        <v>23700</v>
      </c>
    </row>
    <row r="6186" spans="2:21" ht="21.95" customHeight="1" x14ac:dyDescent="0.2">
      <c r="B6186" s="6" t="s">
        <v>2077</v>
      </c>
      <c r="C6186" s="6" t="s">
        <v>2094</v>
      </c>
      <c r="D6186" s="6" t="s">
        <v>2103</v>
      </c>
      <c r="E6186" s="6"/>
      <c r="F6186" s="6"/>
      <c r="G6186" s="6">
        <v>207.8</v>
      </c>
      <c r="H6186" s="6">
        <v>50.6</v>
      </c>
      <c r="I6186" s="9">
        <v>175</v>
      </c>
      <c r="J6186" s="9"/>
      <c r="L6186" s="6" t="str">
        <f t="shared" si="606"/>
        <v>BR  BİANCA TV ÜNİTESİ ÜÇ ÇEKMECELİ BLOK  207,8x50,6x175</v>
      </c>
      <c r="O6186" s="12"/>
      <c r="P6186" s="8"/>
      <c r="Q6186" s="12"/>
      <c r="T6186" s="12"/>
      <c r="U6186" s="8">
        <v>11400</v>
      </c>
    </row>
    <row r="6187" spans="2:21" ht="21.95" customHeight="1" x14ac:dyDescent="0.2">
      <c r="B6187" s="6" t="s">
        <v>2077</v>
      </c>
      <c r="C6187" s="6" t="s">
        <v>2094</v>
      </c>
      <c r="D6187" s="6" t="s">
        <v>2104</v>
      </c>
      <c r="E6187" s="6"/>
      <c r="F6187" s="6"/>
      <c r="G6187" s="6">
        <v>50.8</v>
      </c>
      <c r="H6187" s="6">
        <v>45.6</v>
      </c>
      <c r="I6187" s="9">
        <v>175</v>
      </c>
      <c r="J6187" s="9"/>
      <c r="L6187" s="6" t="str">
        <f t="shared" si="606"/>
        <v>BR  BİANCA TV ÜNİTESİ SAĞ TEK KAPAKLI BLOK  50,8x45,6x175</v>
      </c>
      <c r="O6187" s="12"/>
      <c r="P6187" s="8"/>
      <c r="Q6187" s="12"/>
      <c r="T6187" s="12"/>
      <c r="U6187" s="8">
        <v>11400</v>
      </c>
    </row>
    <row r="6188" spans="2:21" ht="21.95" customHeight="1" x14ac:dyDescent="0.2">
      <c r="B6188" s="6" t="s">
        <v>2077</v>
      </c>
      <c r="C6188" s="6" t="s">
        <v>2094</v>
      </c>
      <c r="D6188" s="6" t="s">
        <v>660</v>
      </c>
      <c r="E6188" s="6"/>
      <c r="F6188" s="6"/>
      <c r="G6188" s="6">
        <v>110</v>
      </c>
      <c r="H6188" s="6">
        <v>110</v>
      </c>
      <c r="I6188" s="9">
        <v>35.4</v>
      </c>
      <c r="J6188" s="9"/>
      <c r="L6188" s="6" t="str">
        <f t="shared" si="606"/>
        <v>BR  BİANCA ORTA SEHPA  110x110x35,4</v>
      </c>
      <c r="O6188" s="12"/>
      <c r="P6188" s="8"/>
      <c r="Q6188" s="12"/>
      <c r="T6188" s="12"/>
      <c r="U6188" s="8">
        <v>11500</v>
      </c>
    </row>
    <row r="6189" spans="2:21" ht="21.95" customHeight="1" x14ac:dyDescent="0.2">
      <c r="B6189" s="6" t="s">
        <v>2077</v>
      </c>
      <c r="C6189" s="6" t="s">
        <v>2094</v>
      </c>
      <c r="D6189" s="6" t="s">
        <v>1862</v>
      </c>
      <c r="E6189" s="6"/>
      <c r="F6189" s="6"/>
      <c r="G6189" s="6">
        <v>52</v>
      </c>
      <c r="H6189" s="6">
        <v>52</v>
      </c>
      <c r="I6189" s="9">
        <v>50.7</v>
      </c>
      <c r="J6189" s="9"/>
      <c r="L6189" s="6" t="str">
        <f t="shared" si="606"/>
        <v>BR  BİANCA YAN SEHPA  52x52x50,7</v>
      </c>
      <c r="O6189" s="12"/>
      <c r="P6189" s="8"/>
      <c r="Q6189" s="12"/>
      <c r="T6189" s="12"/>
      <c r="U6189" s="8">
        <v>13800</v>
      </c>
    </row>
    <row r="6190" spans="2:21" ht="21.95" customHeight="1" x14ac:dyDescent="0.2">
      <c r="B6190" s="6" t="s">
        <v>2077</v>
      </c>
      <c r="C6190" s="6" t="s">
        <v>918</v>
      </c>
      <c r="D6190" s="6" t="s">
        <v>2105</v>
      </c>
      <c r="E6190" s="6"/>
      <c r="F6190" s="6"/>
      <c r="G6190" s="6">
        <v>140</v>
      </c>
      <c r="H6190" s="6">
        <v>105</v>
      </c>
      <c r="I6190" s="9"/>
      <c r="J6190" s="9"/>
      <c r="L6190" s="6" t="str">
        <f t="shared" ref="L6190:L6195" si="607">B6190&amp;" "&amp;C6190&amp;" "&amp;D6190&amp;" "&amp;G6190&amp;"x"&amp;H6190</f>
        <v>BR  LİMA  TEK KOLLU 140 CM LİK MODÜL 140x105</v>
      </c>
      <c r="O6190" s="12"/>
      <c r="P6190" s="8"/>
      <c r="Q6190" s="12"/>
      <c r="T6190" s="12"/>
      <c r="U6190" s="8">
        <v>16100</v>
      </c>
    </row>
    <row r="6191" spans="2:21" ht="21.95" customHeight="1" x14ac:dyDescent="0.2">
      <c r="B6191" s="6" t="s">
        <v>2077</v>
      </c>
      <c r="C6191" s="6" t="s">
        <v>918</v>
      </c>
      <c r="D6191" s="6" t="s">
        <v>2106</v>
      </c>
      <c r="E6191" s="6"/>
      <c r="F6191" s="6"/>
      <c r="G6191" s="6">
        <v>120</v>
      </c>
      <c r="H6191" s="6">
        <v>105</v>
      </c>
      <c r="I6191" s="9"/>
      <c r="J6191" s="9"/>
      <c r="L6191" s="6" t="str">
        <f t="shared" si="607"/>
        <v>BR  LİMA  TEK KOLLU 120 CM LİK MODÜL  120x105</v>
      </c>
      <c r="O6191" s="12"/>
      <c r="P6191" s="8"/>
      <c r="Q6191" s="12"/>
      <c r="T6191" s="12"/>
      <c r="U6191" s="8">
        <v>17300</v>
      </c>
    </row>
    <row r="6192" spans="2:21" ht="21.95" customHeight="1" x14ac:dyDescent="0.2">
      <c r="B6192" s="6" t="s">
        <v>2077</v>
      </c>
      <c r="C6192" s="6" t="s">
        <v>918</v>
      </c>
      <c r="D6192" s="6" t="s">
        <v>2107</v>
      </c>
      <c r="E6192" s="6"/>
      <c r="F6192" s="6"/>
      <c r="G6192" s="6">
        <v>95</v>
      </c>
      <c r="H6192" s="6">
        <v>105</v>
      </c>
      <c r="I6192" s="9"/>
      <c r="J6192" s="9"/>
      <c r="L6192" s="6" t="str">
        <f t="shared" si="607"/>
        <v>BR  LİMA  95 CM LİK KOLSUZ PİYON  95x105</v>
      </c>
      <c r="O6192" s="12"/>
      <c r="P6192" s="8"/>
      <c r="Q6192" s="12"/>
      <c r="T6192" s="12"/>
      <c r="U6192" s="8">
        <v>18400</v>
      </c>
    </row>
    <row r="6193" spans="2:21" ht="21.95" customHeight="1" x14ac:dyDescent="0.2">
      <c r="B6193" s="6" t="s">
        <v>2077</v>
      </c>
      <c r="C6193" s="6" t="s">
        <v>918</v>
      </c>
      <c r="D6193" s="6" t="s">
        <v>2108</v>
      </c>
      <c r="E6193" s="6"/>
      <c r="F6193" s="6"/>
      <c r="G6193" s="6">
        <v>75</v>
      </c>
      <c r="H6193" s="6">
        <v>105</v>
      </c>
      <c r="I6193" s="9"/>
      <c r="J6193" s="9"/>
      <c r="L6193" s="6" t="str">
        <f t="shared" si="607"/>
        <v>BR  LİMA  75 CM LİK KOLSUZ PİYON  75x105</v>
      </c>
      <c r="O6193" s="12"/>
      <c r="P6193" s="8"/>
      <c r="Q6193" s="12"/>
      <c r="T6193" s="12"/>
      <c r="U6193" s="8">
        <v>20700</v>
      </c>
    </row>
    <row r="6194" spans="2:21" ht="21.95" customHeight="1" x14ac:dyDescent="0.2">
      <c r="B6194" s="6" t="s">
        <v>2077</v>
      </c>
      <c r="C6194" s="6" t="s">
        <v>918</v>
      </c>
      <c r="D6194" s="6" t="s">
        <v>1576</v>
      </c>
      <c r="E6194" s="6"/>
      <c r="F6194" s="6"/>
      <c r="G6194" s="6">
        <v>127</v>
      </c>
      <c r="H6194" s="6">
        <v>127</v>
      </c>
      <c r="I6194" s="9"/>
      <c r="J6194" s="9"/>
      <c r="L6194" s="6" t="str">
        <f t="shared" si="607"/>
        <v>BR  LİMA  KÖŞE MODÜL  127x127</v>
      </c>
      <c r="O6194" s="12"/>
      <c r="P6194" s="8"/>
      <c r="Q6194" s="12"/>
      <c r="T6194" s="12"/>
      <c r="U6194" s="8">
        <v>13000</v>
      </c>
    </row>
    <row r="6195" spans="2:21" ht="21.95" customHeight="1" x14ac:dyDescent="0.2">
      <c r="B6195" s="6" t="s">
        <v>2077</v>
      </c>
      <c r="C6195" s="6" t="s">
        <v>918</v>
      </c>
      <c r="D6195" s="6" t="s">
        <v>168</v>
      </c>
      <c r="E6195" s="6"/>
      <c r="F6195" s="6"/>
      <c r="G6195" s="6">
        <v>90</v>
      </c>
      <c r="H6195" s="6">
        <v>90</v>
      </c>
      <c r="I6195" s="9"/>
      <c r="J6195" s="9"/>
      <c r="L6195" s="6" t="str">
        <f t="shared" si="607"/>
        <v>BR  LİMA  BERJER  90x90</v>
      </c>
      <c r="O6195" s="12"/>
      <c r="P6195" s="8"/>
      <c r="Q6195" s="12"/>
      <c r="T6195" s="12"/>
      <c r="U6195" s="8">
        <v>13700</v>
      </c>
    </row>
    <row r="6196" spans="2:21" ht="21.95" customHeight="1" x14ac:dyDescent="0.2">
      <c r="B6196" s="6" t="s">
        <v>2077</v>
      </c>
      <c r="C6196" s="6" t="s">
        <v>918</v>
      </c>
      <c r="D6196" s="6" t="s">
        <v>373</v>
      </c>
      <c r="E6196" s="6"/>
      <c r="F6196" s="6"/>
      <c r="G6196" s="6">
        <v>70</v>
      </c>
      <c r="H6196" s="6">
        <v>50</v>
      </c>
      <c r="I6196" s="9">
        <v>30</v>
      </c>
      <c r="J6196" s="9"/>
      <c r="L6196" s="6" t="str">
        <f>B6196&amp;" "&amp;C6196&amp;" "&amp;D6196&amp;" "&amp;G6196&amp;"x"&amp;H6196&amp;"x"&amp;I6196</f>
        <v>BR  LİMA  PUF  70x50x30</v>
      </c>
      <c r="O6196" s="12"/>
      <c r="P6196" s="8"/>
      <c r="Q6196" s="12"/>
      <c r="T6196" s="12"/>
      <c r="U6196" s="8">
        <v>13800</v>
      </c>
    </row>
    <row r="6197" spans="2:21" ht="21.95" customHeight="1" x14ac:dyDescent="0.2">
      <c r="B6197" s="6" t="s">
        <v>2077</v>
      </c>
      <c r="C6197" s="6" t="s">
        <v>918</v>
      </c>
      <c r="D6197" s="6" t="s">
        <v>194</v>
      </c>
      <c r="E6197" s="6"/>
      <c r="F6197" s="6"/>
      <c r="G6197" s="6">
        <v>224.9</v>
      </c>
      <c r="H6197" s="6">
        <v>45</v>
      </c>
      <c r="I6197" s="9">
        <v>76</v>
      </c>
      <c r="J6197" s="9"/>
      <c r="L6197" s="6" t="str">
        <f>B6197&amp;" "&amp;C6197&amp;" "&amp;D6197&amp;" "&amp;G6197&amp;"x"&amp;H6197&amp;"x"&amp;I6197</f>
        <v>BR  LİMA  KONSOL  224,9x45x76</v>
      </c>
      <c r="O6197" s="12"/>
      <c r="P6197" s="8"/>
      <c r="Q6197" s="12"/>
      <c r="T6197" s="12"/>
      <c r="U6197" s="8">
        <v>16600</v>
      </c>
    </row>
    <row r="6198" spans="2:21" ht="21.95" customHeight="1" x14ac:dyDescent="0.2">
      <c r="B6198" s="6" t="s">
        <v>2077</v>
      </c>
      <c r="C6198" s="6" t="s">
        <v>918</v>
      </c>
      <c r="D6198" s="6" t="s">
        <v>2109</v>
      </c>
      <c r="E6198" s="6"/>
      <c r="F6198" s="6"/>
      <c r="G6198" s="6"/>
      <c r="H6198" s="6"/>
      <c r="I6198" s="9"/>
      <c r="J6198" s="9"/>
      <c r="L6198" s="6" t="str">
        <f>B6198&amp;" "&amp;C6198&amp;" "&amp;D6198</f>
        <v>BR  LİMA  KONSOL AYNA X2</v>
      </c>
      <c r="O6198" s="12"/>
      <c r="P6198" s="8"/>
      <c r="Q6198" s="12"/>
      <c r="T6198" s="12"/>
      <c r="U6198" s="8">
        <v>19300</v>
      </c>
    </row>
    <row r="6199" spans="2:21" ht="21.95" customHeight="1" x14ac:dyDescent="0.2">
      <c r="B6199" s="6" t="s">
        <v>2077</v>
      </c>
      <c r="C6199" s="6" t="s">
        <v>918</v>
      </c>
      <c r="D6199" s="6" t="s">
        <v>375</v>
      </c>
      <c r="E6199" s="6"/>
      <c r="F6199" s="6"/>
      <c r="G6199" s="6">
        <v>208</v>
      </c>
      <c r="H6199" s="6">
        <v>100</v>
      </c>
      <c r="I6199" s="9">
        <v>78</v>
      </c>
      <c r="J6199" s="9"/>
      <c r="L6199" s="6" t="str">
        <f>B6199&amp;" "&amp;C6199&amp;" "&amp;D6199&amp;" "&amp;G6199&amp;"x"&amp;H6199&amp;"x"&amp;I6199</f>
        <v>BR  LİMA  MASA  208x100x78</v>
      </c>
      <c r="O6199" s="12"/>
      <c r="P6199" s="8"/>
      <c r="Q6199" s="12"/>
      <c r="T6199" s="12"/>
      <c r="U6199" s="8">
        <v>20700</v>
      </c>
    </row>
    <row r="6200" spans="2:21" ht="21.95" customHeight="1" x14ac:dyDescent="0.2">
      <c r="B6200" s="6" t="s">
        <v>2077</v>
      </c>
      <c r="C6200" s="6" t="s">
        <v>918</v>
      </c>
      <c r="D6200" s="6" t="s">
        <v>358</v>
      </c>
      <c r="E6200" s="6"/>
      <c r="F6200" s="6"/>
      <c r="G6200" s="6">
        <v>45</v>
      </c>
      <c r="H6200" s="6">
        <v>65</v>
      </c>
      <c r="I6200" s="9"/>
      <c r="J6200" s="9"/>
      <c r="L6200" s="6" t="str">
        <f>B6200&amp;" "&amp;C6200&amp;" "&amp;D6200&amp;" "&amp;G6200&amp;"x"&amp;H6200</f>
        <v>BR  LİMA  SANDALYE  45x65</v>
      </c>
      <c r="O6200" s="12"/>
      <c r="P6200" s="8"/>
      <c r="Q6200" s="12"/>
      <c r="T6200" s="12"/>
      <c r="U6200" s="8">
        <v>22100</v>
      </c>
    </row>
    <row r="6201" spans="2:21" ht="21.95" customHeight="1" x14ac:dyDescent="0.2">
      <c r="B6201" s="6" t="s">
        <v>2077</v>
      </c>
      <c r="C6201" s="6" t="s">
        <v>918</v>
      </c>
      <c r="D6201" s="6" t="s">
        <v>45</v>
      </c>
      <c r="E6201" s="6"/>
      <c r="F6201" s="6"/>
      <c r="G6201" s="6">
        <v>202.8</v>
      </c>
      <c r="H6201" s="6">
        <v>45</v>
      </c>
      <c r="I6201" s="9">
        <v>34</v>
      </c>
      <c r="J6201" s="9"/>
      <c r="L6201" s="6" t="str">
        <f t="shared" ref="L6201:L6212" si="608">B6201&amp;" "&amp;C6201&amp;" "&amp;D6201&amp;" "&amp;G6201&amp;"x"&amp;H6201&amp;"x"&amp;I6201</f>
        <v>BR  LİMA  TV ÜNİTESİ ALT BLOK  202,8x45x34</v>
      </c>
      <c r="O6201" s="12"/>
      <c r="P6201" s="8"/>
      <c r="Q6201" s="12"/>
      <c r="T6201" s="12"/>
      <c r="U6201" s="8">
        <v>24900</v>
      </c>
    </row>
    <row r="6202" spans="2:21" ht="21.95" customHeight="1" x14ac:dyDescent="0.2">
      <c r="B6202" s="6" t="s">
        <v>2077</v>
      </c>
      <c r="C6202" s="6" t="s">
        <v>918</v>
      </c>
      <c r="D6202" s="6" t="s">
        <v>2110</v>
      </c>
      <c r="E6202" s="6"/>
      <c r="F6202" s="6"/>
      <c r="G6202" s="6">
        <v>100</v>
      </c>
      <c r="H6202" s="6">
        <v>47</v>
      </c>
      <c r="I6202" s="9">
        <v>180</v>
      </c>
      <c r="J6202" s="9"/>
      <c r="L6202" s="6" t="str">
        <f t="shared" si="608"/>
        <v>BR  LİMA  TV ÜNİTESİ SAĞ BLOK  100x47x180</v>
      </c>
      <c r="O6202" s="12"/>
      <c r="P6202" s="8"/>
      <c r="Q6202" s="12"/>
      <c r="T6202" s="12"/>
      <c r="U6202" s="8">
        <v>11900</v>
      </c>
    </row>
    <row r="6203" spans="2:21" ht="21.95" customHeight="1" x14ac:dyDescent="0.2">
      <c r="B6203" s="6" t="s">
        <v>2077</v>
      </c>
      <c r="C6203" s="6" t="s">
        <v>918</v>
      </c>
      <c r="D6203" s="6" t="s">
        <v>2111</v>
      </c>
      <c r="E6203" s="6"/>
      <c r="F6203" s="6"/>
      <c r="G6203" s="6">
        <v>100</v>
      </c>
      <c r="H6203" s="6">
        <v>47</v>
      </c>
      <c r="I6203" s="9">
        <v>180</v>
      </c>
      <c r="J6203" s="9"/>
      <c r="L6203" s="6" t="str">
        <f t="shared" si="608"/>
        <v>BR  LİMA  TV ÜNİTESİ SOL BLOK  100x47x180</v>
      </c>
      <c r="O6203" s="12"/>
      <c r="P6203" s="8"/>
      <c r="Q6203" s="12"/>
      <c r="T6203" s="12"/>
      <c r="U6203" s="8">
        <v>12500</v>
      </c>
    </row>
    <row r="6204" spans="2:21" ht="21.95" customHeight="1" x14ac:dyDescent="0.2">
      <c r="B6204" s="6" t="s">
        <v>2077</v>
      </c>
      <c r="C6204" s="6" t="s">
        <v>918</v>
      </c>
      <c r="D6204" s="6" t="s">
        <v>2112</v>
      </c>
      <c r="E6204" s="6"/>
      <c r="F6204" s="6"/>
      <c r="G6204" s="6">
        <v>202.8</v>
      </c>
      <c r="H6204" s="6">
        <v>7</v>
      </c>
      <c r="I6204" s="9">
        <v>149.80000000000001</v>
      </c>
      <c r="J6204" s="9"/>
      <c r="L6204" s="6" t="str">
        <f t="shared" si="608"/>
        <v>BR  LİMA  TV ÜNİTESİ ARKA PANO  202,8x7x149,8</v>
      </c>
      <c r="O6204" s="12"/>
      <c r="P6204" s="8"/>
      <c r="Q6204" s="12"/>
      <c r="T6204" s="12"/>
      <c r="U6204" s="8">
        <v>12600</v>
      </c>
    </row>
    <row r="6205" spans="2:21" ht="21.95" customHeight="1" x14ac:dyDescent="0.2">
      <c r="B6205" s="6" t="s">
        <v>2077</v>
      </c>
      <c r="C6205" s="6" t="s">
        <v>918</v>
      </c>
      <c r="D6205" s="6" t="s">
        <v>2113</v>
      </c>
      <c r="E6205" s="6"/>
      <c r="F6205" s="6"/>
      <c r="G6205" s="6">
        <v>202.8</v>
      </c>
      <c r="H6205" s="6">
        <v>45</v>
      </c>
      <c r="I6205" s="9">
        <v>44</v>
      </c>
      <c r="J6205" s="9"/>
      <c r="L6205" s="6" t="str">
        <f t="shared" si="608"/>
        <v>BR  LİMA  TV SEHPASI  202,8x45x44</v>
      </c>
      <c r="O6205" s="12"/>
      <c r="P6205" s="8"/>
      <c r="Q6205" s="12"/>
      <c r="T6205" s="12"/>
      <c r="U6205" s="8">
        <v>15200</v>
      </c>
    </row>
    <row r="6206" spans="2:21" ht="21.95" customHeight="1" x14ac:dyDescent="0.2">
      <c r="B6206" s="6" t="s">
        <v>2077</v>
      </c>
      <c r="C6206" s="6" t="s">
        <v>918</v>
      </c>
      <c r="D6206" s="6" t="s">
        <v>29</v>
      </c>
      <c r="E6206" s="6"/>
      <c r="F6206" s="6"/>
      <c r="G6206" s="6">
        <v>115</v>
      </c>
      <c r="H6206" s="6">
        <v>75</v>
      </c>
      <c r="I6206" s="9">
        <v>40</v>
      </c>
      <c r="J6206" s="9"/>
      <c r="L6206" s="6" t="str">
        <f t="shared" si="608"/>
        <v>BR  LİMA  ORTA SEHPA 115x75x40</v>
      </c>
      <c r="O6206" s="12"/>
      <c r="P6206" s="8"/>
      <c r="Q6206" s="12"/>
      <c r="T6206" s="12"/>
      <c r="U6206" s="8">
        <v>17700</v>
      </c>
    </row>
    <row r="6207" spans="2:21" ht="21.95" customHeight="1" x14ac:dyDescent="0.2">
      <c r="B6207" s="6" t="s">
        <v>2077</v>
      </c>
      <c r="C6207" s="6" t="s">
        <v>918</v>
      </c>
      <c r="D6207" s="6" t="s">
        <v>30</v>
      </c>
      <c r="E6207" s="6"/>
      <c r="F6207" s="6"/>
      <c r="G6207" s="6">
        <v>50</v>
      </c>
      <c r="H6207" s="6">
        <v>50</v>
      </c>
      <c r="I6207" s="9">
        <v>46.2</v>
      </c>
      <c r="J6207" s="9"/>
      <c r="L6207" s="6" t="str">
        <f t="shared" si="608"/>
        <v>BR  LİMA  YAN SEHPA 50x50x46,2</v>
      </c>
      <c r="O6207" s="12"/>
      <c r="P6207" s="8"/>
      <c r="Q6207" s="12"/>
      <c r="T6207" s="12"/>
      <c r="U6207" s="8">
        <v>18900</v>
      </c>
    </row>
    <row r="6208" spans="2:21" ht="21.95" customHeight="1" x14ac:dyDescent="0.2">
      <c r="B6208" s="6" t="s">
        <v>2077</v>
      </c>
      <c r="C6208" s="6" t="s">
        <v>918</v>
      </c>
      <c r="D6208" s="6" t="s">
        <v>2114</v>
      </c>
      <c r="E6208" s="6"/>
      <c r="F6208" s="6"/>
      <c r="G6208" s="6">
        <v>33</v>
      </c>
      <c r="H6208" s="6">
        <v>29</v>
      </c>
      <c r="I6208" s="9">
        <v>120</v>
      </c>
      <c r="J6208" s="9"/>
      <c r="L6208" s="6" t="str">
        <f t="shared" si="608"/>
        <v>BR  LİMA  LAMBADER  33x29x120</v>
      </c>
      <c r="O6208" s="12"/>
      <c r="P6208" s="8"/>
      <c r="Q6208" s="12"/>
      <c r="T6208" s="12"/>
      <c r="U6208" s="8">
        <v>20200</v>
      </c>
    </row>
    <row r="6209" spans="2:21" ht="21.95" customHeight="1" x14ac:dyDescent="0.2">
      <c r="B6209" s="6" t="s">
        <v>2077</v>
      </c>
      <c r="C6209" s="6" t="s">
        <v>2115</v>
      </c>
      <c r="D6209" s="6" t="s">
        <v>1850</v>
      </c>
      <c r="E6209" s="6"/>
      <c r="F6209" s="6"/>
      <c r="G6209" s="6">
        <v>243</v>
      </c>
      <c r="H6209" s="6">
        <v>97</v>
      </c>
      <c r="I6209" s="9">
        <v>77</v>
      </c>
      <c r="J6209" s="9"/>
      <c r="L6209" s="6" t="str">
        <f t="shared" si="608"/>
        <v>BR  SİENA  4 LÜ KOLTUK  243x97x77</v>
      </c>
      <c r="O6209" s="12"/>
      <c r="P6209" s="8"/>
      <c r="Q6209" s="12"/>
      <c r="T6209" s="12"/>
      <c r="U6209" s="8">
        <v>22700</v>
      </c>
    </row>
    <row r="6210" spans="2:21" ht="21.95" customHeight="1" x14ac:dyDescent="0.2">
      <c r="B6210" s="6" t="s">
        <v>2077</v>
      </c>
      <c r="C6210" s="6" t="s">
        <v>2115</v>
      </c>
      <c r="D6210" s="6" t="s">
        <v>1857</v>
      </c>
      <c r="E6210" s="6"/>
      <c r="F6210" s="6"/>
      <c r="G6210" s="6">
        <v>203</v>
      </c>
      <c r="H6210" s="6">
        <v>97</v>
      </c>
      <c r="I6210" s="9">
        <v>77</v>
      </c>
      <c r="J6210" s="9"/>
      <c r="L6210" s="6" t="str">
        <f t="shared" si="608"/>
        <v>BR  SİENA  3 LÜ KOLTUK  203x97x77</v>
      </c>
      <c r="O6210" s="12"/>
      <c r="P6210" s="8"/>
      <c r="Q6210" s="12"/>
      <c r="T6210" s="12"/>
      <c r="U6210" s="8">
        <v>7500</v>
      </c>
    </row>
    <row r="6211" spans="2:21" ht="21.95" customHeight="1" x14ac:dyDescent="0.2">
      <c r="B6211" s="6" t="s">
        <v>2077</v>
      </c>
      <c r="C6211" s="6" t="s">
        <v>2115</v>
      </c>
      <c r="D6211" s="6" t="s">
        <v>168</v>
      </c>
      <c r="E6211" s="6"/>
      <c r="F6211" s="6"/>
      <c r="G6211" s="6">
        <v>89</v>
      </c>
      <c r="H6211" s="6">
        <v>97</v>
      </c>
      <c r="I6211" s="9">
        <v>77</v>
      </c>
      <c r="J6211" s="9"/>
      <c r="L6211" s="6" t="str">
        <f t="shared" si="608"/>
        <v>BR  SİENA  BERJER  89x97x77</v>
      </c>
      <c r="O6211" s="12"/>
      <c r="P6211" s="8"/>
      <c r="Q6211" s="12"/>
      <c r="T6211" s="12"/>
      <c r="U6211" s="8">
        <v>7500</v>
      </c>
    </row>
    <row r="6212" spans="2:21" ht="21.95" customHeight="1" x14ac:dyDescent="0.2">
      <c r="B6212" s="6" t="s">
        <v>2077</v>
      </c>
      <c r="C6212" s="6" t="s">
        <v>2115</v>
      </c>
      <c r="D6212" s="6" t="s">
        <v>373</v>
      </c>
      <c r="E6212" s="6"/>
      <c r="F6212" s="6"/>
      <c r="G6212" s="6">
        <v>62</v>
      </c>
      <c r="H6212" s="6">
        <v>42</v>
      </c>
      <c r="I6212" s="9">
        <v>47</v>
      </c>
      <c r="J6212" s="9"/>
      <c r="L6212" s="6" t="str">
        <f t="shared" si="608"/>
        <v>BR  SİENA  PUF  62x42x47</v>
      </c>
      <c r="O6212" s="12"/>
      <c r="P6212" s="8"/>
      <c r="Q6212" s="12"/>
      <c r="T6212" s="12"/>
      <c r="U6212" s="8">
        <v>7600</v>
      </c>
    </row>
    <row r="6213" spans="2:21" ht="21.95" customHeight="1" x14ac:dyDescent="0.2">
      <c r="B6213" s="6" t="s">
        <v>2077</v>
      </c>
      <c r="C6213" s="6" t="s">
        <v>2116</v>
      </c>
      <c r="D6213" s="6" t="s">
        <v>2117</v>
      </c>
      <c r="E6213" s="6"/>
      <c r="F6213" s="6"/>
      <c r="G6213" s="6">
        <v>85</v>
      </c>
      <c r="H6213" s="6">
        <v>93</v>
      </c>
      <c r="I6213" s="9"/>
      <c r="J6213" s="9"/>
      <c r="L6213" s="6" t="str">
        <f t="shared" ref="L6213:L6223" si="609">B6213&amp;" "&amp;C6213&amp;" "&amp;D6213&amp;" "&amp;G6213&amp;"x"&amp;H6213</f>
        <v>BR  LEEONORA DÖNER SALLANIR MEKANİZMALI BERJER  85x93</v>
      </c>
      <c r="O6213" s="12"/>
      <c r="P6213" s="8"/>
      <c r="Q6213" s="12"/>
      <c r="T6213" s="12"/>
      <c r="U6213" s="8">
        <v>9200</v>
      </c>
    </row>
    <row r="6214" spans="2:21" ht="21.95" customHeight="1" x14ac:dyDescent="0.2">
      <c r="B6214" s="6" t="s">
        <v>2077</v>
      </c>
      <c r="C6214" s="6" t="s">
        <v>2116</v>
      </c>
      <c r="D6214" s="6" t="s">
        <v>168</v>
      </c>
      <c r="E6214" s="6"/>
      <c r="F6214" s="6"/>
      <c r="G6214" s="6">
        <v>85</v>
      </c>
      <c r="H6214" s="6">
        <v>93</v>
      </c>
      <c r="I6214" s="9"/>
      <c r="J6214" s="9"/>
      <c r="L6214" s="6" t="str">
        <f t="shared" si="609"/>
        <v>BR  LEEONORA BERJER  85x93</v>
      </c>
      <c r="O6214" s="12"/>
      <c r="P6214" s="8"/>
      <c r="Q6214" s="12"/>
      <c r="T6214" s="12"/>
      <c r="U6214" s="8">
        <v>10700</v>
      </c>
    </row>
    <row r="6215" spans="2:21" ht="21.95" customHeight="1" x14ac:dyDescent="0.2">
      <c r="B6215" s="6" t="s">
        <v>2077</v>
      </c>
      <c r="C6215" s="6" t="s">
        <v>2116</v>
      </c>
      <c r="D6215" s="6" t="s">
        <v>2118</v>
      </c>
      <c r="E6215" s="6"/>
      <c r="F6215" s="6"/>
      <c r="G6215" s="6">
        <v>130</v>
      </c>
      <c r="H6215" s="6">
        <v>103</v>
      </c>
      <c r="I6215" s="9"/>
      <c r="J6215" s="9"/>
      <c r="L6215" s="6" t="str">
        <f t="shared" si="609"/>
        <v>BR  LEEONORA 130 CM LİK SAĞ KOLLU MODÜL  130x103</v>
      </c>
      <c r="O6215" s="12"/>
      <c r="P6215" s="8"/>
      <c r="Q6215" s="12"/>
      <c r="T6215" s="12"/>
      <c r="U6215" s="8">
        <v>11400</v>
      </c>
    </row>
    <row r="6216" spans="2:21" ht="21.95" customHeight="1" x14ac:dyDescent="0.2">
      <c r="B6216" s="6" t="s">
        <v>2077</v>
      </c>
      <c r="C6216" s="6" t="s">
        <v>2116</v>
      </c>
      <c r="D6216" s="6" t="s">
        <v>2119</v>
      </c>
      <c r="E6216" s="6"/>
      <c r="F6216" s="6"/>
      <c r="G6216" s="6">
        <v>110</v>
      </c>
      <c r="H6216" s="6">
        <v>103</v>
      </c>
      <c r="I6216" s="9"/>
      <c r="J6216" s="9"/>
      <c r="L6216" s="6" t="str">
        <f t="shared" si="609"/>
        <v>BR  LEEONORA 110 CM LİK SAĞ KOLLU MODÜL  110x103</v>
      </c>
      <c r="O6216" s="12"/>
      <c r="P6216" s="8"/>
      <c r="Q6216" s="12"/>
      <c r="T6216" s="12"/>
      <c r="U6216" s="8">
        <v>12200</v>
      </c>
    </row>
    <row r="6217" spans="2:21" ht="21.95" customHeight="1" x14ac:dyDescent="0.2">
      <c r="B6217" s="6" t="s">
        <v>2077</v>
      </c>
      <c r="C6217" s="6" t="s">
        <v>2116</v>
      </c>
      <c r="D6217" s="6" t="s">
        <v>2120</v>
      </c>
      <c r="E6217" s="6"/>
      <c r="F6217" s="6"/>
      <c r="G6217" s="6">
        <v>110</v>
      </c>
      <c r="H6217" s="6">
        <v>158</v>
      </c>
      <c r="I6217" s="9"/>
      <c r="J6217" s="9"/>
      <c r="L6217" s="6" t="str">
        <f t="shared" si="609"/>
        <v>BR  LEEONORA KOLLU DİNLENME MODÜL 110x158</v>
      </c>
      <c r="O6217" s="12"/>
      <c r="P6217" s="8"/>
      <c r="Q6217" s="12"/>
      <c r="T6217" s="12"/>
      <c r="U6217" s="8">
        <v>13700</v>
      </c>
    </row>
    <row r="6218" spans="2:21" ht="21.95" customHeight="1" x14ac:dyDescent="0.2">
      <c r="B6218" s="6" t="s">
        <v>2077</v>
      </c>
      <c r="C6218" s="6" t="s">
        <v>2116</v>
      </c>
      <c r="D6218" s="6" t="s">
        <v>2107</v>
      </c>
      <c r="E6218" s="6"/>
      <c r="F6218" s="6"/>
      <c r="G6218" s="6">
        <v>95</v>
      </c>
      <c r="H6218" s="6">
        <v>103</v>
      </c>
      <c r="I6218" s="9"/>
      <c r="J6218" s="9"/>
      <c r="L6218" s="6" t="str">
        <f t="shared" si="609"/>
        <v>BR  LEEONORA 95 CM LİK KOLSUZ PİYON  95x103</v>
      </c>
      <c r="O6218" s="12"/>
      <c r="P6218" s="8"/>
      <c r="Q6218" s="12"/>
      <c r="T6218" s="12"/>
      <c r="U6218" s="8">
        <v>13100</v>
      </c>
    </row>
    <row r="6219" spans="2:21" ht="21.95" customHeight="1" x14ac:dyDescent="0.2">
      <c r="B6219" s="6" t="s">
        <v>2077</v>
      </c>
      <c r="C6219" s="6" t="s">
        <v>2116</v>
      </c>
      <c r="D6219" s="6" t="s">
        <v>2108</v>
      </c>
      <c r="E6219" s="6"/>
      <c r="F6219" s="6"/>
      <c r="G6219" s="6">
        <v>75</v>
      </c>
      <c r="H6219" s="6">
        <v>103</v>
      </c>
      <c r="I6219" s="9"/>
      <c r="J6219" s="9"/>
      <c r="L6219" s="6" t="str">
        <f t="shared" si="609"/>
        <v>BR  LEEONORA 75 CM LİK KOLSUZ PİYON  75x103</v>
      </c>
      <c r="O6219" s="12"/>
      <c r="P6219" s="8"/>
      <c r="Q6219" s="12"/>
      <c r="T6219" s="12"/>
      <c r="U6219" s="8">
        <v>13800</v>
      </c>
    </row>
    <row r="6220" spans="2:21" ht="21.95" customHeight="1" x14ac:dyDescent="0.2">
      <c r="B6220" s="6" t="s">
        <v>2077</v>
      </c>
      <c r="C6220" s="6" t="s">
        <v>2116</v>
      </c>
      <c r="D6220" s="6" t="s">
        <v>2121</v>
      </c>
      <c r="E6220" s="6"/>
      <c r="F6220" s="6"/>
      <c r="G6220" s="6">
        <v>105</v>
      </c>
      <c r="H6220" s="6">
        <v>105</v>
      </c>
      <c r="I6220" s="9"/>
      <c r="J6220" s="9"/>
      <c r="L6220" s="6" t="str">
        <f t="shared" si="609"/>
        <v>BR  LEEONORA KÜÇÜK KÖŞE MODÜL  105x105</v>
      </c>
      <c r="O6220" s="12"/>
      <c r="P6220" s="8"/>
      <c r="Q6220" s="12"/>
      <c r="T6220" s="12"/>
      <c r="U6220" s="8">
        <v>13900</v>
      </c>
    </row>
    <row r="6221" spans="2:21" ht="21.95" customHeight="1" x14ac:dyDescent="0.2">
      <c r="B6221" s="6" t="s">
        <v>2077</v>
      </c>
      <c r="C6221" s="6" t="s">
        <v>2116</v>
      </c>
      <c r="D6221" s="6" t="s">
        <v>629</v>
      </c>
      <c r="E6221" s="6"/>
      <c r="F6221" s="6"/>
      <c r="G6221" s="6">
        <v>135</v>
      </c>
      <c r="H6221" s="6">
        <v>135</v>
      </c>
      <c r="I6221" s="9"/>
      <c r="J6221" s="9"/>
      <c r="L6221" s="6" t="str">
        <f t="shared" si="609"/>
        <v>BR  LEEONORA BÜYÜK KÖŞE MODÜL 135x135</v>
      </c>
      <c r="O6221" s="12"/>
      <c r="P6221" s="8"/>
      <c r="Q6221" s="12"/>
      <c r="T6221" s="12"/>
      <c r="U6221" s="8">
        <v>16700</v>
      </c>
    </row>
    <row r="6222" spans="2:21" ht="21.95" customHeight="1" x14ac:dyDescent="0.2">
      <c r="B6222" s="6" t="s">
        <v>2077</v>
      </c>
      <c r="C6222" s="6" t="s">
        <v>2116</v>
      </c>
      <c r="D6222" s="6" t="s">
        <v>546</v>
      </c>
      <c r="E6222" s="6"/>
      <c r="F6222" s="6"/>
      <c r="G6222" s="6">
        <v>55</v>
      </c>
      <c r="H6222" s="6">
        <v>90</v>
      </c>
      <c r="I6222" s="9"/>
      <c r="J6222" s="9"/>
      <c r="L6222" s="6" t="str">
        <f t="shared" si="609"/>
        <v>BR  LEEONORA ARA SEHPA 55x90</v>
      </c>
      <c r="O6222" s="12"/>
      <c r="P6222" s="8"/>
      <c r="Q6222" s="12"/>
      <c r="T6222" s="12"/>
      <c r="U6222" s="8">
        <v>19500</v>
      </c>
    </row>
    <row r="6223" spans="2:21" ht="21.95" customHeight="1" x14ac:dyDescent="0.2">
      <c r="B6223" s="6" t="s">
        <v>2077</v>
      </c>
      <c r="C6223" s="6" t="s">
        <v>2116</v>
      </c>
      <c r="D6223" s="6" t="s">
        <v>2122</v>
      </c>
      <c r="E6223" s="6"/>
      <c r="F6223" s="6"/>
      <c r="G6223" s="6">
        <v>41</v>
      </c>
      <c r="H6223" s="6">
        <v>38</v>
      </c>
      <c r="I6223" s="9"/>
      <c r="J6223" s="9"/>
      <c r="L6223" s="6" t="str">
        <f t="shared" si="609"/>
        <v>BR  LEEONORA KÜÇÜK PUF  41x38</v>
      </c>
      <c r="O6223" s="12"/>
      <c r="P6223" s="8"/>
      <c r="Q6223" s="12"/>
      <c r="T6223" s="12"/>
      <c r="U6223" s="8">
        <v>20900</v>
      </c>
    </row>
    <row r="6224" spans="2:21" ht="21.95" customHeight="1" x14ac:dyDescent="0.2">
      <c r="B6224" s="6" t="s">
        <v>2077</v>
      </c>
      <c r="C6224" s="6" t="s">
        <v>2116</v>
      </c>
      <c r="D6224" s="6" t="s">
        <v>2123</v>
      </c>
      <c r="E6224" s="6"/>
      <c r="F6224" s="6"/>
      <c r="G6224" s="6">
        <v>107</v>
      </c>
      <c r="H6224" s="6"/>
      <c r="I6224" s="9"/>
      <c r="J6224" s="9"/>
      <c r="L6224" s="6" t="str">
        <f>B6224&amp;" "&amp;C6224&amp;" "&amp;D6224&amp;" "&amp;G6224</f>
        <v>BR  LEEONORA BÜYÜK PUF  107</v>
      </c>
      <c r="O6224" s="12"/>
      <c r="P6224" s="8"/>
      <c r="Q6224" s="12"/>
      <c r="T6224" s="12"/>
      <c r="U6224" s="8">
        <v>22300</v>
      </c>
    </row>
    <row r="6225" spans="2:21" ht="21.95" customHeight="1" x14ac:dyDescent="0.2">
      <c r="B6225" s="6" t="s">
        <v>2077</v>
      </c>
      <c r="C6225" s="6" t="s">
        <v>2116</v>
      </c>
      <c r="D6225" s="6" t="s">
        <v>2124</v>
      </c>
      <c r="E6225" s="6"/>
      <c r="F6225" s="6"/>
      <c r="G6225" s="6"/>
      <c r="H6225" s="6"/>
      <c r="I6225" s="9">
        <v>82</v>
      </c>
      <c r="J6225" s="9"/>
      <c r="L6225" s="6" t="str">
        <f>B6225&amp;" "&amp;C6225&amp;" "&amp;D6225&amp;" "&amp;I6225</f>
        <v>BR  LEEONORA 2 BLOKLU KONSOL  82</v>
      </c>
      <c r="O6225" s="12"/>
      <c r="P6225" s="8"/>
      <c r="Q6225" s="12"/>
      <c r="T6225" s="12"/>
      <c r="U6225" s="8">
        <v>25100</v>
      </c>
    </row>
    <row r="6226" spans="2:21" ht="21.95" customHeight="1" x14ac:dyDescent="0.2">
      <c r="B6226" s="6" t="s">
        <v>2077</v>
      </c>
      <c r="C6226" s="6" t="s">
        <v>2116</v>
      </c>
      <c r="D6226" s="6" t="s">
        <v>194</v>
      </c>
      <c r="E6226" s="6"/>
      <c r="F6226" s="6"/>
      <c r="G6226" s="6">
        <v>224.4</v>
      </c>
      <c r="H6226" s="6">
        <v>50.9</v>
      </c>
      <c r="I6226" s="9">
        <v>82</v>
      </c>
      <c r="J6226" s="9"/>
      <c r="L6226" s="6" t="str">
        <f>B6226&amp;" "&amp;C6226&amp;" "&amp;D6226&amp;" "&amp;G6226&amp;"x"&amp;H6226&amp;"x"&amp;I6226</f>
        <v>BR  LEEONORA KONSOL  224,4x50,9x82</v>
      </c>
      <c r="O6226" s="12"/>
      <c r="P6226" s="8"/>
      <c r="Q6226" s="12"/>
      <c r="T6226" s="12"/>
      <c r="U6226" s="8">
        <v>19300</v>
      </c>
    </row>
    <row r="6227" spans="2:21" ht="21.95" customHeight="1" x14ac:dyDescent="0.2">
      <c r="B6227" s="6" t="s">
        <v>2077</v>
      </c>
      <c r="C6227" s="6" t="s">
        <v>2116</v>
      </c>
      <c r="D6227" s="6" t="s">
        <v>390</v>
      </c>
      <c r="E6227" s="6"/>
      <c r="F6227" s="6"/>
      <c r="G6227" s="6">
        <v>100</v>
      </c>
      <c r="H6227" s="6"/>
      <c r="I6227" s="9">
        <v>80</v>
      </c>
      <c r="J6227" s="9"/>
      <c r="L6227" s="6" t="str">
        <f>B6227&amp;" "&amp;C6227&amp;" "&amp;D6227&amp;" "&amp;G6227&amp;"x"&amp;I6227</f>
        <v>BR  LEEONORA KONSOL AYNA  100x80</v>
      </c>
      <c r="O6227" s="12"/>
      <c r="P6227" s="8"/>
      <c r="Q6227" s="12"/>
      <c r="T6227" s="12"/>
      <c r="U6227" s="8">
        <v>12400</v>
      </c>
    </row>
    <row r="6228" spans="2:21" ht="21.95" customHeight="1" x14ac:dyDescent="0.2">
      <c r="B6228" s="6" t="s">
        <v>2077</v>
      </c>
      <c r="C6228" s="6" t="s">
        <v>2116</v>
      </c>
      <c r="D6228" s="6" t="s">
        <v>2125</v>
      </c>
      <c r="E6228" s="6"/>
      <c r="F6228" s="6"/>
      <c r="G6228" s="6">
        <v>208</v>
      </c>
      <c r="H6228" s="6">
        <v>110</v>
      </c>
      <c r="I6228" s="9">
        <v>77.3</v>
      </c>
      <c r="J6228" s="9"/>
      <c r="L6228" s="6" t="str">
        <f>B6228&amp;" "&amp;C6228&amp;" "&amp;D6228&amp;" "&amp;G6228&amp;"x"&amp;H6228&amp;"x"&amp;I6228</f>
        <v>BR  LEEONORA STANDART MASA  208x110x77,3</v>
      </c>
      <c r="O6228" s="12"/>
      <c r="P6228" s="8"/>
      <c r="Q6228" s="12"/>
      <c r="T6228" s="12"/>
      <c r="U6228" s="8">
        <v>13100</v>
      </c>
    </row>
    <row r="6229" spans="2:21" ht="21.95" customHeight="1" x14ac:dyDescent="0.2">
      <c r="B6229" s="6" t="s">
        <v>2077</v>
      </c>
      <c r="C6229" s="6" t="s">
        <v>2116</v>
      </c>
      <c r="D6229" s="6" t="s">
        <v>358</v>
      </c>
      <c r="E6229" s="6"/>
      <c r="F6229" s="6"/>
      <c r="G6229" s="6">
        <v>51</v>
      </c>
      <c r="H6229" s="6">
        <v>63</v>
      </c>
      <c r="I6229" s="9"/>
      <c r="J6229" s="9"/>
      <c r="L6229" s="6" t="str">
        <f>B6229&amp;" "&amp;C6229&amp;" "&amp;D6229&amp;" "&amp;G6229&amp;"x"&amp;H6229</f>
        <v>BR  LEEONORA SANDALYE  51x63</v>
      </c>
      <c r="O6229" s="12"/>
      <c r="P6229" s="8"/>
      <c r="Q6229" s="12"/>
      <c r="T6229" s="12"/>
      <c r="U6229" s="8">
        <v>13200</v>
      </c>
    </row>
    <row r="6230" spans="2:21" ht="21.95" customHeight="1" x14ac:dyDescent="0.2">
      <c r="B6230" s="6" t="s">
        <v>2077</v>
      </c>
      <c r="C6230" s="6" t="s">
        <v>2116</v>
      </c>
      <c r="D6230" s="6" t="s">
        <v>93</v>
      </c>
      <c r="E6230" s="6"/>
      <c r="F6230" s="6"/>
      <c r="G6230" s="6">
        <v>51.2</v>
      </c>
      <c r="H6230" s="6">
        <v>51.2</v>
      </c>
      <c r="I6230" s="9">
        <v>45</v>
      </c>
      <c r="J6230" s="9"/>
      <c r="L6230" s="6" t="str">
        <f>B6230&amp;" "&amp;C6230&amp;" "&amp;D6230&amp;" "&amp;G6230&amp;"x"&amp;H6230&amp;"x"&amp;I6230</f>
        <v>BR  LEEONORA ZİGON SEHPA 51,2x51,2x45</v>
      </c>
      <c r="O6230" s="12"/>
      <c r="P6230" s="8"/>
      <c r="Q6230" s="12"/>
      <c r="T6230" s="12"/>
      <c r="U6230" s="8">
        <v>15800</v>
      </c>
    </row>
    <row r="6231" spans="2:21" ht="21.95" customHeight="1" x14ac:dyDescent="0.2">
      <c r="B6231" s="6" t="s">
        <v>2077</v>
      </c>
      <c r="C6231" s="6" t="s">
        <v>2116</v>
      </c>
      <c r="D6231" s="6" t="s">
        <v>2126</v>
      </c>
      <c r="E6231" s="6"/>
      <c r="F6231" s="6"/>
      <c r="G6231" s="6">
        <v>32.5</v>
      </c>
      <c r="H6231" s="6">
        <v>45.5</v>
      </c>
      <c r="I6231" s="9">
        <v>50</v>
      </c>
      <c r="J6231" s="9"/>
      <c r="L6231" s="6" t="str">
        <f>B6231&amp;" "&amp;C6231&amp;" "&amp;D6231&amp;" "&amp;G6231&amp;"x"&amp;H6231&amp;"x"&amp;I6231</f>
        <v>BR  LEEONORA C SEHPA 32,5x45,5x50</v>
      </c>
      <c r="O6231" s="12"/>
      <c r="P6231" s="8"/>
      <c r="Q6231" s="12"/>
      <c r="T6231" s="12"/>
      <c r="U6231" s="8">
        <v>18500</v>
      </c>
    </row>
    <row r="6232" spans="2:21" ht="21.95" customHeight="1" x14ac:dyDescent="0.2">
      <c r="B6232" s="6" t="s">
        <v>2077</v>
      </c>
      <c r="C6232" s="6" t="s">
        <v>2116</v>
      </c>
      <c r="D6232" s="6" t="s">
        <v>45</v>
      </c>
      <c r="E6232" s="6"/>
      <c r="F6232" s="6"/>
      <c r="G6232" s="6">
        <v>224.4</v>
      </c>
      <c r="H6232" s="6">
        <v>50.9</v>
      </c>
      <c r="I6232" s="9">
        <v>48</v>
      </c>
      <c r="J6232" s="9"/>
      <c r="L6232" s="6" t="str">
        <f>B6232&amp;" "&amp;C6232&amp;" "&amp;D6232&amp;" "&amp;G6232&amp;"x"&amp;H6232&amp;"x"&amp;I6232</f>
        <v>BR  LEEONORA TV ÜNİTESİ ALT BLOK  224,4x50,9x48</v>
      </c>
      <c r="O6232" s="12"/>
      <c r="P6232" s="8"/>
      <c r="Q6232" s="12"/>
      <c r="T6232" s="12"/>
      <c r="U6232" s="8">
        <v>19800</v>
      </c>
    </row>
    <row r="6233" spans="2:21" ht="21.95" customHeight="1" x14ac:dyDescent="0.2">
      <c r="B6233" s="6" t="s">
        <v>2077</v>
      </c>
      <c r="C6233" s="6" t="s">
        <v>2116</v>
      </c>
      <c r="D6233" s="6" t="s">
        <v>2127</v>
      </c>
      <c r="E6233" s="6"/>
      <c r="F6233" s="6"/>
      <c r="G6233" s="6">
        <v>100</v>
      </c>
      <c r="H6233" s="6">
        <v>35</v>
      </c>
      <c r="I6233" s="9">
        <v>75</v>
      </c>
      <c r="J6233" s="9"/>
      <c r="L6233" s="6" t="str">
        <f>B6233&amp;" "&amp;C6233&amp;" "&amp;D6233&amp;" "&amp;G6233&amp;"x"&amp;H6233&amp;"x"&amp;I6233</f>
        <v>BR  LEEONORA TV ÜNİTESİ DİKEY ÜST BLOK  100x35x75</v>
      </c>
      <c r="O6233" s="12"/>
      <c r="P6233" s="8"/>
      <c r="Q6233" s="12"/>
      <c r="T6233" s="12"/>
      <c r="U6233" s="8">
        <v>21100</v>
      </c>
    </row>
    <row r="6234" spans="2:21" ht="21.95" customHeight="1" x14ac:dyDescent="0.2">
      <c r="B6234" s="6" t="s">
        <v>2077</v>
      </c>
      <c r="C6234" s="6" t="s">
        <v>2116</v>
      </c>
      <c r="D6234" s="6" t="s">
        <v>530</v>
      </c>
      <c r="E6234" s="6"/>
      <c r="F6234" s="6"/>
      <c r="G6234" s="6"/>
      <c r="H6234" s="6"/>
      <c r="I6234" s="9"/>
      <c r="J6234" s="9"/>
      <c r="L6234" s="6" t="str">
        <f>B6234&amp;" "&amp;C6234&amp;" "&amp;D6234</f>
        <v xml:space="preserve">BR  LEEONORA KİTAPLIK </v>
      </c>
      <c r="O6234" s="12"/>
      <c r="P6234" s="8"/>
      <c r="Q6234" s="12"/>
      <c r="T6234" s="12"/>
      <c r="U6234" s="8">
        <v>23700</v>
      </c>
    </row>
    <row r="6235" spans="2:21" ht="21.95" customHeight="1" x14ac:dyDescent="0.2">
      <c r="B6235" s="6" t="s">
        <v>2077</v>
      </c>
      <c r="C6235" s="6" t="s">
        <v>2116</v>
      </c>
      <c r="D6235" s="6" t="s">
        <v>2114</v>
      </c>
      <c r="E6235" s="6"/>
      <c r="F6235" s="6"/>
      <c r="G6235" s="6">
        <v>35.200000000000003</v>
      </c>
      <c r="H6235" s="6">
        <v>24</v>
      </c>
      <c r="I6235" s="9">
        <v>135.30000000000001</v>
      </c>
      <c r="J6235" s="9"/>
      <c r="L6235" s="6" t="str">
        <f>B6235&amp;" "&amp;C6235&amp;" "&amp;D6235&amp;" "&amp;G6235&amp;"x"&amp;H6235&amp;"x"&amp;I6235</f>
        <v>BR  LEEONORA LAMBADER  35,2x24x135,3</v>
      </c>
      <c r="O6235" s="12"/>
      <c r="P6235" s="8"/>
      <c r="Q6235" s="12"/>
      <c r="T6235" s="12"/>
      <c r="U6235" s="8">
        <v>30100</v>
      </c>
    </row>
    <row r="6236" spans="2:21" ht="21.95" customHeight="1" x14ac:dyDescent="0.2">
      <c r="B6236" s="6" t="s">
        <v>2077</v>
      </c>
      <c r="C6236" s="6" t="s">
        <v>2116</v>
      </c>
      <c r="D6236" s="6" t="s">
        <v>660</v>
      </c>
      <c r="E6236" s="6"/>
      <c r="F6236" s="6"/>
      <c r="G6236" s="6">
        <v>125.8</v>
      </c>
      <c r="H6236" s="6">
        <v>115</v>
      </c>
      <c r="I6236" s="9">
        <v>36</v>
      </c>
      <c r="J6236" s="9"/>
      <c r="L6236" s="6" t="str">
        <f>B6236&amp;" "&amp;C6236&amp;" "&amp;D6236&amp;" "&amp;G6236&amp;"x"&amp;H6236&amp;"x"&amp;I6236</f>
        <v>BR  LEEONORA ORTA SEHPA  125,8x115x36</v>
      </c>
      <c r="O6236" s="12"/>
      <c r="P6236" s="8"/>
      <c r="Q6236" s="12"/>
      <c r="T6236" s="12"/>
      <c r="U6236" s="8">
        <v>30100</v>
      </c>
    </row>
    <row r="6237" spans="2:21" ht="21.95" customHeight="1" x14ac:dyDescent="0.2">
      <c r="B6237" s="6" t="s">
        <v>2077</v>
      </c>
      <c r="C6237" s="6" t="s">
        <v>2116</v>
      </c>
      <c r="D6237" s="6" t="s">
        <v>1862</v>
      </c>
      <c r="E6237" s="6"/>
      <c r="F6237" s="6"/>
      <c r="G6237" s="6">
        <v>45</v>
      </c>
      <c r="H6237" s="6">
        <v>50</v>
      </c>
      <c r="I6237" s="9">
        <v>45</v>
      </c>
      <c r="J6237" s="9"/>
      <c r="L6237" s="6" t="str">
        <f>B6237&amp;" "&amp;C6237&amp;" "&amp;D6237&amp;" "&amp;G6237&amp;"x"&amp;H6237&amp;"x"&amp;I6237</f>
        <v>BR  LEEONORA YAN SEHPA  45x50x45</v>
      </c>
      <c r="O6237" s="12"/>
      <c r="P6237" s="8"/>
      <c r="Q6237" s="12"/>
      <c r="T6237" s="12"/>
      <c r="U6237" s="8">
        <v>30400</v>
      </c>
    </row>
    <row r="6238" spans="2:21" ht="21.95" customHeight="1" x14ac:dyDescent="0.2">
      <c r="B6238" s="6" t="s">
        <v>2077</v>
      </c>
      <c r="C6238" s="6" t="s">
        <v>2128</v>
      </c>
      <c r="D6238" s="6" t="s">
        <v>1857</v>
      </c>
      <c r="E6238" s="6"/>
      <c r="F6238" s="6"/>
      <c r="G6238" s="6">
        <v>243</v>
      </c>
      <c r="H6238" s="6">
        <v>101</v>
      </c>
      <c r="I6238" s="9"/>
      <c r="J6238" s="9"/>
      <c r="L6238" s="6" t="str">
        <f>B6238&amp;" "&amp;C6238&amp;" "&amp;D6238&amp;" "&amp;G6238&amp;"x"&amp;H6238</f>
        <v>BR  FLEX  3 LÜ KOLTUK  243x101</v>
      </c>
      <c r="O6238" s="12"/>
      <c r="P6238" s="8"/>
      <c r="Q6238" s="12"/>
      <c r="T6238" s="12"/>
      <c r="U6238" s="8">
        <v>36500</v>
      </c>
    </row>
    <row r="6239" spans="2:21" ht="21.95" customHeight="1" x14ac:dyDescent="0.2">
      <c r="B6239" s="6" t="s">
        <v>2077</v>
      </c>
      <c r="C6239" s="6" t="s">
        <v>2128</v>
      </c>
      <c r="D6239" s="6" t="s">
        <v>2129</v>
      </c>
      <c r="E6239" s="6"/>
      <c r="F6239" s="6"/>
      <c r="G6239" s="6">
        <v>223</v>
      </c>
      <c r="H6239" s="6">
        <v>101</v>
      </c>
      <c r="I6239" s="9"/>
      <c r="J6239" s="9"/>
      <c r="L6239" s="6" t="str">
        <f>B6239&amp;" "&amp;C6239&amp;" "&amp;D6239&amp;" "&amp;G6239&amp;"x"&amp;H6239</f>
        <v>BR  FLEX  2 Lİ KOLTUK  223x101</v>
      </c>
      <c r="O6239" s="12"/>
      <c r="P6239" s="8"/>
      <c r="Q6239" s="12"/>
      <c r="T6239" s="12"/>
      <c r="U6239" s="8">
        <v>42500</v>
      </c>
    </row>
    <row r="6240" spans="2:21" ht="21.95" customHeight="1" x14ac:dyDescent="0.2">
      <c r="B6240" s="6" t="s">
        <v>2077</v>
      </c>
      <c r="C6240" s="6" t="s">
        <v>2128</v>
      </c>
      <c r="D6240" s="6" t="s">
        <v>168</v>
      </c>
      <c r="E6240" s="6"/>
      <c r="F6240" s="6"/>
      <c r="G6240" s="6"/>
      <c r="H6240" s="6"/>
      <c r="I6240" s="9"/>
      <c r="J6240" s="9"/>
      <c r="L6240" s="6" t="str">
        <f>B6240&amp;" "&amp;C6240&amp;" "&amp;D6240</f>
        <v xml:space="preserve">BR  FLEX  BERJER </v>
      </c>
      <c r="O6240" s="12"/>
      <c r="P6240" s="8"/>
      <c r="Q6240" s="12"/>
      <c r="T6240" s="12"/>
      <c r="U6240" s="8">
        <v>45600</v>
      </c>
    </row>
    <row r="6241" spans="1:23" ht="21.95" customHeight="1" x14ac:dyDescent="0.2">
      <c r="B6241" s="6" t="s">
        <v>2077</v>
      </c>
      <c r="C6241" s="6" t="s">
        <v>2128</v>
      </c>
      <c r="D6241" s="6" t="s">
        <v>2096</v>
      </c>
      <c r="E6241" s="6"/>
      <c r="F6241" s="6"/>
      <c r="G6241" s="6">
        <v>140</v>
      </c>
      <c r="H6241" s="6">
        <v>101</v>
      </c>
      <c r="I6241" s="9"/>
      <c r="J6241" s="9"/>
      <c r="L6241" s="6" t="str">
        <f t="shared" ref="L6241:L6246" si="610">B6241&amp;" "&amp;C6241&amp;" "&amp;D6241&amp;" "&amp;G6241&amp;"x"&amp;H6241</f>
        <v>BR  FLEX  140 CM TEK KOLLU MODÜL  140x101</v>
      </c>
      <c r="O6241" s="12"/>
      <c r="P6241" s="8"/>
      <c r="Q6241" s="12"/>
      <c r="T6241" s="12"/>
      <c r="U6241" s="8">
        <v>48600</v>
      </c>
    </row>
    <row r="6242" spans="1:23" ht="21.95" customHeight="1" x14ac:dyDescent="0.2">
      <c r="B6242" s="6" t="s">
        <v>2077</v>
      </c>
      <c r="C6242" s="6" t="s">
        <v>2128</v>
      </c>
      <c r="D6242" s="6" t="s">
        <v>2097</v>
      </c>
      <c r="E6242" s="6"/>
      <c r="F6242" s="6"/>
      <c r="G6242" s="6">
        <v>120</v>
      </c>
      <c r="H6242" s="6">
        <v>101</v>
      </c>
      <c r="I6242" s="9"/>
      <c r="J6242" s="9"/>
      <c r="L6242" s="6" t="str">
        <f t="shared" si="610"/>
        <v>BR  FLEX  120 CM TEK KOLLU MODÜL  120x101</v>
      </c>
      <c r="O6242" s="12"/>
      <c r="P6242" s="8"/>
      <c r="Q6242" s="12"/>
      <c r="T6242" s="12"/>
      <c r="U6242" s="8">
        <v>54700</v>
      </c>
    </row>
    <row r="6243" spans="1:23" ht="21.95" customHeight="1" x14ac:dyDescent="0.2">
      <c r="B6243" s="6" t="s">
        <v>2077</v>
      </c>
      <c r="C6243" s="6" t="s">
        <v>2128</v>
      </c>
      <c r="D6243" s="6" t="s">
        <v>2085</v>
      </c>
      <c r="E6243" s="6"/>
      <c r="F6243" s="6"/>
      <c r="G6243" s="6">
        <v>95</v>
      </c>
      <c r="H6243" s="6">
        <v>101</v>
      </c>
      <c r="I6243" s="9"/>
      <c r="J6243" s="9"/>
      <c r="L6243" s="6" t="str">
        <f t="shared" si="610"/>
        <v>BR  FLEX  95 CM LİK ARA MODÜL  95x101</v>
      </c>
      <c r="O6243" s="12"/>
      <c r="P6243" s="8"/>
      <c r="Q6243" s="12"/>
      <c r="T6243" s="12"/>
      <c r="U6243" s="8">
        <v>16500</v>
      </c>
    </row>
    <row r="6244" spans="1:23" ht="21.95" customHeight="1" x14ac:dyDescent="0.2">
      <c r="B6244" s="6" t="s">
        <v>2077</v>
      </c>
      <c r="C6244" s="6" t="s">
        <v>2128</v>
      </c>
      <c r="D6244" s="6" t="s">
        <v>2086</v>
      </c>
      <c r="E6244" s="6"/>
      <c r="F6244" s="6"/>
      <c r="G6244" s="6">
        <v>75</v>
      </c>
      <c r="H6244" s="6">
        <v>101</v>
      </c>
      <c r="I6244" s="9"/>
      <c r="J6244" s="9"/>
      <c r="L6244" s="6" t="str">
        <f t="shared" si="610"/>
        <v>BR  FLEX  75 CM LİK ARA MODÜL  75x101</v>
      </c>
      <c r="O6244" s="12"/>
      <c r="P6244" s="8"/>
      <c r="Q6244" s="12"/>
      <c r="T6244" s="12"/>
      <c r="U6244" s="8">
        <v>17300</v>
      </c>
    </row>
    <row r="6245" spans="1:23" ht="21.95" customHeight="1" x14ac:dyDescent="0.2">
      <c r="B6245" s="6" t="s">
        <v>2077</v>
      </c>
      <c r="C6245" s="6" t="s">
        <v>2128</v>
      </c>
      <c r="D6245" s="6" t="s">
        <v>1576</v>
      </c>
      <c r="E6245" s="6"/>
      <c r="F6245" s="6"/>
      <c r="G6245" s="6">
        <v>115</v>
      </c>
      <c r="H6245" s="6">
        <v>115</v>
      </c>
      <c r="I6245" s="9"/>
      <c r="J6245" s="9"/>
      <c r="L6245" s="6" t="str">
        <f t="shared" si="610"/>
        <v>BR  FLEX  KÖŞE MODÜL  115x115</v>
      </c>
      <c r="O6245" s="12"/>
      <c r="P6245" s="8"/>
      <c r="Q6245" s="12"/>
      <c r="T6245" s="12"/>
      <c r="U6245" s="8">
        <v>17500</v>
      </c>
    </row>
    <row r="6246" spans="1:23" ht="21.95" customHeight="1" x14ac:dyDescent="0.2">
      <c r="B6246" s="6" t="s">
        <v>2077</v>
      </c>
      <c r="C6246" s="6" t="s">
        <v>2128</v>
      </c>
      <c r="D6246" s="6" t="s">
        <v>1577</v>
      </c>
      <c r="E6246" s="6"/>
      <c r="F6246" s="6"/>
      <c r="G6246" s="6">
        <v>57</v>
      </c>
      <c r="H6246" s="6">
        <v>101</v>
      </c>
      <c r="I6246" s="9"/>
      <c r="J6246" s="9"/>
      <c r="L6246" s="6" t="str">
        <f t="shared" si="610"/>
        <v>BR  FLEX  ARA SEHPA  57x101</v>
      </c>
      <c r="O6246" s="12"/>
      <c r="P6246" s="8"/>
      <c r="Q6246" s="12"/>
      <c r="T6246" s="12"/>
      <c r="U6246" s="8">
        <v>21000</v>
      </c>
    </row>
    <row r="6247" spans="1:23" s="6" customFormat="1" ht="21.95" customHeight="1" x14ac:dyDescent="0.2">
      <c r="A6247" s="5"/>
      <c r="B6247" s="6" t="s">
        <v>2156</v>
      </c>
      <c r="C6247" s="6" t="s">
        <v>2157</v>
      </c>
      <c r="D6247" s="6" t="s">
        <v>2158</v>
      </c>
      <c r="E6247" s="5"/>
      <c r="F6247" s="5"/>
      <c r="G6247" s="6">
        <v>135</v>
      </c>
      <c r="H6247" s="6">
        <v>70</v>
      </c>
      <c r="I6247" s="9">
        <v>37</v>
      </c>
      <c r="J6247" s="7"/>
      <c r="K6247" s="7"/>
      <c r="L6247" s="6" t="str">
        <f t="shared" ref="L6247:L6278" si="611">B6247&amp;" "&amp;C6247&amp;" "&amp;D6247&amp;" "&amp;G6247&amp;"x"&amp;H6247&amp;"x"&amp;I6247</f>
        <v>TG PLATİNUM ORTA SEHPA DİKDÖRTGEN  135x70x37</v>
      </c>
      <c r="M6247" s="8"/>
      <c r="N6247" s="8"/>
      <c r="O6247" s="12"/>
      <c r="P6247" s="5"/>
      <c r="Q6247" s="5"/>
      <c r="R6247" s="29">
        <v>23000</v>
      </c>
      <c r="S6247" s="5"/>
      <c r="T6247" s="12"/>
      <c r="U6247" s="12"/>
      <c r="V6247" s="12"/>
      <c r="W6247" s="12"/>
    </row>
    <row r="6248" spans="1:23" s="6" customFormat="1" ht="21.95" customHeight="1" x14ac:dyDescent="0.2">
      <c r="A6248" s="5"/>
      <c r="B6248" s="6" t="s">
        <v>2156</v>
      </c>
      <c r="C6248" s="6" t="s">
        <v>2157</v>
      </c>
      <c r="D6248" s="6" t="s">
        <v>2159</v>
      </c>
      <c r="E6248" s="5"/>
      <c r="F6248" s="5"/>
      <c r="G6248" s="6">
        <v>135</v>
      </c>
      <c r="H6248" s="6">
        <v>135</v>
      </c>
      <c r="I6248" s="9">
        <v>29.5</v>
      </c>
      <c r="J6248" s="7"/>
      <c r="K6248" s="7"/>
      <c r="L6248" s="6" t="str">
        <f t="shared" si="611"/>
        <v>TG PLATİNUM ORTA SEHPA KARE  135x135x29,5</v>
      </c>
      <c r="M6248" s="8"/>
      <c r="N6248" s="8"/>
      <c r="O6248" s="12"/>
      <c r="P6248" s="5"/>
      <c r="Q6248" s="5"/>
      <c r="R6248" s="31">
        <v>30500</v>
      </c>
      <c r="S6248" s="5"/>
      <c r="T6248" s="12"/>
      <c r="U6248" s="12"/>
      <c r="V6248" s="12"/>
      <c r="W6248" s="12"/>
    </row>
    <row r="6249" spans="1:23" s="6" customFormat="1" ht="21.95" customHeight="1" x14ac:dyDescent="0.2">
      <c r="A6249" s="5"/>
      <c r="B6249" s="6" t="s">
        <v>2156</v>
      </c>
      <c r="C6249" s="6" t="s">
        <v>2157</v>
      </c>
      <c r="D6249" s="6" t="s">
        <v>1862</v>
      </c>
      <c r="E6249" s="5"/>
      <c r="F6249" s="5"/>
      <c r="G6249" s="6">
        <v>55</v>
      </c>
      <c r="H6249" s="6">
        <v>55</v>
      </c>
      <c r="I6249" s="9">
        <v>45</v>
      </c>
      <c r="J6249" s="7"/>
      <c r="K6249" s="7"/>
      <c r="L6249" s="6" t="str">
        <f t="shared" si="611"/>
        <v>TG PLATİNUM YAN SEHPA  55x55x45</v>
      </c>
      <c r="M6249" s="8"/>
      <c r="N6249" s="8"/>
      <c r="O6249" s="12"/>
      <c r="P6249" s="5"/>
      <c r="Q6249" s="5"/>
      <c r="R6249" s="31">
        <v>15000</v>
      </c>
      <c r="S6249" s="5"/>
      <c r="T6249" s="12"/>
      <c r="U6249" s="12"/>
      <c r="V6249" s="12"/>
      <c r="W6249" s="12"/>
    </row>
    <row r="6250" spans="1:23" s="6" customFormat="1" ht="21.95" customHeight="1" x14ac:dyDescent="0.2">
      <c r="A6250" s="5"/>
      <c r="B6250" s="6" t="s">
        <v>2156</v>
      </c>
      <c r="C6250" s="6" t="s">
        <v>2157</v>
      </c>
      <c r="D6250" s="6" t="s">
        <v>530</v>
      </c>
      <c r="E6250" s="5"/>
      <c r="F6250" s="5"/>
      <c r="G6250" s="6">
        <v>195</v>
      </c>
      <c r="H6250" s="6">
        <v>35</v>
      </c>
      <c r="I6250" s="9">
        <v>180</v>
      </c>
      <c r="J6250" s="7"/>
      <c r="K6250" s="7"/>
      <c r="L6250" s="6" t="str">
        <f t="shared" si="611"/>
        <v>TG PLATİNUM KİTAPLIK  195x35x180</v>
      </c>
      <c r="M6250" s="8"/>
      <c r="N6250" s="8"/>
      <c r="O6250" s="12"/>
      <c r="P6250" s="5"/>
      <c r="Q6250" s="5"/>
      <c r="R6250" s="31">
        <v>50000</v>
      </c>
      <c r="S6250" s="5"/>
      <c r="T6250" s="12"/>
      <c r="U6250" s="12"/>
      <c r="V6250" s="12"/>
      <c r="W6250" s="12"/>
    </row>
    <row r="6251" spans="1:23" s="6" customFormat="1" ht="21.95" customHeight="1" x14ac:dyDescent="0.2">
      <c r="A6251" s="5"/>
      <c r="B6251" s="6" t="s">
        <v>2156</v>
      </c>
      <c r="C6251" s="6" t="s">
        <v>2160</v>
      </c>
      <c r="D6251" s="6" t="s">
        <v>2161</v>
      </c>
      <c r="E6251" s="5"/>
      <c r="F6251" s="5"/>
      <c r="G6251" s="6">
        <v>130</v>
      </c>
      <c r="H6251" s="6">
        <v>79</v>
      </c>
      <c r="I6251" s="9">
        <v>36</v>
      </c>
      <c r="J6251" s="7"/>
      <c r="K6251" s="7"/>
      <c r="L6251" s="6" t="str">
        <f t="shared" si="611"/>
        <v>TG KİDNEY  ORTA SEHPA BÜYÜK 130x79x36</v>
      </c>
      <c r="M6251" s="8"/>
      <c r="N6251" s="8"/>
      <c r="O6251" s="12"/>
      <c r="P6251" s="5"/>
      <c r="Q6251" s="5"/>
      <c r="R6251" s="31">
        <v>41500</v>
      </c>
      <c r="S6251" s="5"/>
      <c r="T6251" s="12"/>
      <c r="U6251" s="12"/>
      <c r="V6251" s="12"/>
      <c r="W6251" s="12"/>
    </row>
    <row r="6252" spans="1:23" s="6" customFormat="1" ht="21.95" customHeight="1" x14ac:dyDescent="0.2">
      <c r="A6252" s="5"/>
      <c r="B6252" s="6" t="s">
        <v>2156</v>
      </c>
      <c r="C6252" s="6" t="s">
        <v>2160</v>
      </c>
      <c r="D6252" s="6" t="s">
        <v>2162</v>
      </c>
      <c r="E6252" s="5"/>
      <c r="F6252" s="5"/>
      <c r="G6252" s="6">
        <v>84</v>
      </c>
      <c r="H6252" s="6">
        <v>59</v>
      </c>
      <c r="I6252" s="9">
        <v>36</v>
      </c>
      <c r="J6252" s="7"/>
      <c r="K6252" s="7"/>
      <c r="L6252" s="6" t="str">
        <f t="shared" si="611"/>
        <v>TG KİDNEY  ORTA SEHPA KÜÇÜK  84x59x36</v>
      </c>
      <c r="M6252" s="8"/>
      <c r="N6252" s="8"/>
      <c r="O6252" s="12"/>
      <c r="P6252" s="5"/>
      <c r="Q6252" s="5"/>
      <c r="R6252" s="31">
        <v>26500</v>
      </c>
      <c r="S6252" s="5"/>
      <c r="T6252" s="12"/>
      <c r="U6252" s="12"/>
      <c r="V6252" s="12"/>
      <c r="W6252" s="12"/>
    </row>
    <row r="6253" spans="1:23" s="6" customFormat="1" ht="21.95" customHeight="1" x14ac:dyDescent="0.2">
      <c r="A6253" s="5"/>
      <c r="B6253" s="6" t="s">
        <v>2156</v>
      </c>
      <c r="C6253" s="6" t="s">
        <v>2160</v>
      </c>
      <c r="D6253" s="6" t="s">
        <v>1862</v>
      </c>
      <c r="E6253" s="5"/>
      <c r="F6253" s="5"/>
      <c r="G6253" s="6">
        <v>73</v>
      </c>
      <c r="H6253" s="6">
        <v>53</v>
      </c>
      <c r="I6253" s="9">
        <v>46</v>
      </c>
      <c r="J6253" s="7"/>
      <c r="K6253" s="7"/>
      <c r="L6253" s="6" t="str">
        <f t="shared" si="611"/>
        <v>TG KİDNEY  YAN SEHPA  73x53x46</v>
      </c>
      <c r="M6253" s="8"/>
      <c r="N6253" s="8"/>
      <c r="O6253" s="12"/>
      <c r="P6253" s="5"/>
      <c r="Q6253" s="5"/>
      <c r="R6253" s="31">
        <v>26500</v>
      </c>
      <c r="S6253" s="5"/>
      <c r="T6253" s="12"/>
      <c r="U6253" s="12"/>
      <c r="V6253" s="12"/>
      <c r="W6253" s="12"/>
    </row>
    <row r="6254" spans="1:23" s="6" customFormat="1" ht="21.95" customHeight="1" x14ac:dyDescent="0.2">
      <c r="A6254" s="5"/>
      <c r="B6254" s="6" t="s">
        <v>2156</v>
      </c>
      <c r="C6254" s="6" t="s">
        <v>2163</v>
      </c>
      <c r="D6254" s="6" t="s">
        <v>2161</v>
      </c>
      <c r="E6254" s="5"/>
      <c r="F6254" s="5"/>
      <c r="G6254" s="6">
        <v>120</v>
      </c>
      <c r="H6254" s="6">
        <v>120</v>
      </c>
      <c r="I6254" s="9">
        <v>30</v>
      </c>
      <c r="J6254" s="7"/>
      <c r="K6254" s="7"/>
      <c r="L6254" s="6" t="str">
        <f t="shared" si="611"/>
        <v>TG MERLO  ORTA SEHPA BÜYÜK 120x120x30</v>
      </c>
      <c r="M6254" s="8"/>
      <c r="N6254" s="8"/>
      <c r="O6254" s="12"/>
      <c r="P6254" s="5"/>
      <c r="Q6254" s="5"/>
      <c r="R6254" s="31">
        <v>34000</v>
      </c>
      <c r="S6254" s="5"/>
      <c r="T6254" s="12"/>
      <c r="U6254" s="12"/>
      <c r="V6254" s="12"/>
      <c r="W6254" s="12"/>
    </row>
    <row r="6255" spans="1:23" s="6" customFormat="1" ht="21.95" customHeight="1" x14ac:dyDescent="0.2">
      <c r="A6255" s="5"/>
      <c r="B6255" s="6" t="s">
        <v>2156</v>
      </c>
      <c r="C6255" s="6" t="s">
        <v>2163</v>
      </c>
      <c r="D6255" s="6" t="s">
        <v>2162</v>
      </c>
      <c r="E6255" s="5"/>
      <c r="F6255" s="5"/>
      <c r="G6255" s="6">
        <v>85</v>
      </c>
      <c r="H6255" s="6">
        <v>50</v>
      </c>
      <c r="I6255" s="9">
        <v>35</v>
      </c>
      <c r="J6255" s="7"/>
      <c r="K6255" s="7"/>
      <c r="L6255" s="6" t="str">
        <f t="shared" si="611"/>
        <v>TG MERLO  ORTA SEHPA KÜÇÜK  85x50x35</v>
      </c>
      <c r="M6255" s="8"/>
      <c r="N6255" s="8"/>
      <c r="O6255" s="12"/>
      <c r="P6255" s="5"/>
      <c r="Q6255" s="5"/>
      <c r="R6255" s="31">
        <v>12000</v>
      </c>
      <c r="S6255" s="5"/>
      <c r="T6255" s="12"/>
      <c r="U6255" s="12"/>
      <c r="V6255" s="12"/>
      <c r="W6255" s="12"/>
    </row>
    <row r="6256" spans="1:23" s="6" customFormat="1" ht="21.95" customHeight="1" x14ac:dyDescent="0.2">
      <c r="A6256" s="5"/>
      <c r="B6256" s="6" t="s">
        <v>2156</v>
      </c>
      <c r="C6256" s="6" t="s">
        <v>2163</v>
      </c>
      <c r="D6256" s="6" t="s">
        <v>1862</v>
      </c>
      <c r="E6256" s="5"/>
      <c r="F6256" s="5"/>
      <c r="G6256" s="6">
        <v>46</v>
      </c>
      <c r="H6256" s="6">
        <v>40</v>
      </c>
      <c r="I6256" s="9">
        <v>52</v>
      </c>
      <c r="J6256" s="7"/>
      <c r="K6256" s="7"/>
      <c r="L6256" s="6" t="str">
        <f t="shared" si="611"/>
        <v>TG MERLO  YAN SEHPA  46x40x52</v>
      </c>
      <c r="M6256" s="8"/>
      <c r="N6256" s="8"/>
      <c r="O6256" s="12"/>
      <c r="P6256" s="5"/>
      <c r="Q6256" s="5"/>
      <c r="R6256" s="31">
        <v>9000</v>
      </c>
      <c r="S6256" s="5"/>
      <c r="T6256" s="12"/>
      <c r="U6256" s="12"/>
      <c r="V6256" s="12"/>
      <c r="W6256" s="12"/>
    </row>
    <row r="6257" spans="1:23" s="6" customFormat="1" ht="21.95" customHeight="1" x14ac:dyDescent="0.2">
      <c r="A6257" s="5"/>
      <c r="B6257" s="6" t="s">
        <v>2156</v>
      </c>
      <c r="C6257" s="6" t="s">
        <v>2164</v>
      </c>
      <c r="D6257" s="6" t="s">
        <v>2165</v>
      </c>
      <c r="E6257" s="5"/>
      <c r="F6257" s="5"/>
      <c r="G6257" s="6">
        <v>130</v>
      </c>
      <c r="H6257" s="6">
        <v>130</v>
      </c>
      <c r="I6257" s="9">
        <v>35</v>
      </c>
      <c r="J6257" s="7"/>
      <c r="K6257" s="7"/>
      <c r="L6257" s="6" t="str">
        <f t="shared" si="611"/>
        <v>TG MONOCCO  ORTA SEHPA KARE BÜYÜK  130x130x35</v>
      </c>
      <c r="M6257" s="8"/>
      <c r="N6257" s="8"/>
      <c r="O6257" s="12"/>
      <c r="P6257" s="5"/>
      <c r="Q6257" s="5"/>
      <c r="R6257" s="31">
        <v>16000</v>
      </c>
      <c r="S6257" s="5"/>
      <c r="T6257" s="12"/>
      <c r="U6257" s="12"/>
      <c r="V6257" s="12"/>
      <c r="W6257" s="12"/>
    </row>
    <row r="6258" spans="1:23" s="6" customFormat="1" ht="21.95" customHeight="1" x14ac:dyDescent="0.2">
      <c r="A6258" s="5"/>
      <c r="B6258" s="6" t="s">
        <v>2156</v>
      </c>
      <c r="C6258" s="6" t="s">
        <v>2164</v>
      </c>
      <c r="D6258" s="6" t="s">
        <v>2166</v>
      </c>
      <c r="E6258" s="5"/>
      <c r="F6258" s="5"/>
      <c r="G6258" s="6">
        <v>90</v>
      </c>
      <c r="H6258" s="6">
        <v>90</v>
      </c>
      <c r="I6258" s="9">
        <v>45</v>
      </c>
      <c r="J6258" s="7"/>
      <c r="K6258" s="7"/>
      <c r="L6258" s="6" t="str">
        <f t="shared" si="611"/>
        <v>TG MONOCCO  ORTA SEHPA KARE KÜÇÜK  90x90x45</v>
      </c>
      <c r="M6258" s="8"/>
      <c r="N6258" s="8"/>
      <c r="O6258" s="12"/>
      <c r="P6258" s="5"/>
      <c r="Q6258" s="5"/>
      <c r="R6258" s="31">
        <v>11500</v>
      </c>
      <c r="S6258" s="5"/>
      <c r="T6258" s="12"/>
      <c r="U6258" s="12"/>
      <c r="V6258" s="12"/>
      <c r="W6258" s="12"/>
    </row>
    <row r="6259" spans="1:23" s="6" customFormat="1" ht="21.95" customHeight="1" x14ac:dyDescent="0.2">
      <c r="A6259" s="5"/>
      <c r="B6259" s="6" t="s">
        <v>2156</v>
      </c>
      <c r="C6259" s="6" t="s">
        <v>2164</v>
      </c>
      <c r="D6259" s="6" t="s">
        <v>1862</v>
      </c>
      <c r="E6259" s="5"/>
      <c r="F6259" s="5"/>
      <c r="G6259" s="6">
        <v>50</v>
      </c>
      <c r="H6259" s="6">
        <v>50</v>
      </c>
      <c r="I6259" s="9">
        <v>55</v>
      </c>
      <c r="J6259" s="7"/>
      <c r="K6259" s="7"/>
      <c r="L6259" s="6" t="str">
        <f t="shared" si="611"/>
        <v>TG MONOCCO  YAN SEHPA  50x50x55</v>
      </c>
      <c r="M6259" s="8"/>
      <c r="N6259" s="8"/>
      <c r="O6259" s="12"/>
      <c r="P6259" s="5"/>
      <c r="Q6259" s="5"/>
      <c r="R6259" s="31">
        <v>8000</v>
      </c>
      <c r="S6259" s="5"/>
      <c r="T6259" s="12"/>
      <c r="U6259" s="12"/>
      <c r="V6259" s="12"/>
      <c r="W6259" s="12"/>
    </row>
    <row r="6260" spans="1:23" ht="21.95" customHeight="1" x14ac:dyDescent="0.2">
      <c r="B6260" s="6" t="s">
        <v>2156</v>
      </c>
      <c r="C6260" s="6" t="s">
        <v>2167</v>
      </c>
      <c r="D6260" s="6" t="s">
        <v>2168</v>
      </c>
      <c r="G6260" s="6">
        <v>178</v>
      </c>
      <c r="H6260" s="6">
        <v>69</v>
      </c>
      <c r="I6260" s="7">
        <v>29</v>
      </c>
      <c r="L6260" s="6" t="str">
        <f t="shared" si="611"/>
        <v>TG RAPTOR  ORTA SEHPA BÜYÜK  178x69x29</v>
      </c>
      <c r="R6260" s="31">
        <v>16000</v>
      </c>
    </row>
    <row r="6261" spans="1:23" ht="21.95" customHeight="1" x14ac:dyDescent="0.2">
      <c r="B6261" s="6" t="s">
        <v>2156</v>
      </c>
      <c r="C6261" s="6" t="s">
        <v>2167</v>
      </c>
      <c r="D6261" s="6" t="s">
        <v>2169</v>
      </c>
      <c r="G6261" s="6">
        <v>126</v>
      </c>
      <c r="H6261" s="6">
        <v>69</v>
      </c>
      <c r="I6261" s="7">
        <v>29</v>
      </c>
      <c r="L6261" s="6" t="str">
        <f t="shared" si="611"/>
        <v>TG RAPTOR  ORTA SEHPA ORTA  126x69x29</v>
      </c>
      <c r="R6261" s="31">
        <v>21000</v>
      </c>
    </row>
    <row r="6262" spans="1:23" ht="21.95" customHeight="1" x14ac:dyDescent="0.2">
      <c r="B6262" s="6" t="s">
        <v>2156</v>
      </c>
      <c r="C6262" s="6" t="s">
        <v>2167</v>
      </c>
      <c r="D6262" s="6" t="s">
        <v>2162</v>
      </c>
      <c r="G6262" s="6">
        <v>50</v>
      </c>
      <c r="H6262" s="6">
        <v>69</v>
      </c>
      <c r="I6262" s="7">
        <v>29</v>
      </c>
      <c r="L6262" s="6" t="str">
        <f t="shared" si="611"/>
        <v>TG RAPTOR  ORTA SEHPA KÜÇÜK  50x69x29</v>
      </c>
      <c r="R6262" s="31">
        <v>11500</v>
      </c>
    </row>
    <row r="6263" spans="1:23" ht="21.95" customHeight="1" x14ac:dyDescent="0.2">
      <c r="B6263" s="6" t="s">
        <v>2156</v>
      </c>
      <c r="C6263" s="6" t="s">
        <v>2170</v>
      </c>
      <c r="D6263" s="6" t="s">
        <v>660</v>
      </c>
      <c r="G6263" s="6">
        <v>135</v>
      </c>
      <c r="H6263" s="6">
        <v>80</v>
      </c>
      <c r="I6263" s="7">
        <v>32</v>
      </c>
      <c r="L6263" s="6" t="str">
        <f t="shared" si="611"/>
        <v>TG FUJİ  ORTA SEHPA  135x80x32</v>
      </c>
      <c r="R6263" s="31">
        <v>19500</v>
      </c>
    </row>
    <row r="6264" spans="1:23" ht="21.95" customHeight="1" x14ac:dyDescent="0.2">
      <c r="B6264" s="6" t="s">
        <v>2156</v>
      </c>
      <c r="C6264" s="6" t="s">
        <v>2171</v>
      </c>
      <c r="D6264" s="6" t="s">
        <v>1457</v>
      </c>
      <c r="G6264" s="6">
        <v>100</v>
      </c>
      <c r="H6264" s="6">
        <v>23</v>
      </c>
      <c r="I6264" s="7">
        <v>180</v>
      </c>
      <c r="L6264" s="6" t="str">
        <f t="shared" si="611"/>
        <v>TG CAMARO  AYNA  100x23x180</v>
      </c>
      <c r="R6264" s="31">
        <v>29000</v>
      </c>
    </row>
    <row r="6265" spans="1:23" ht="21.95" customHeight="1" x14ac:dyDescent="0.2">
      <c r="B6265" s="6" t="s">
        <v>2156</v>
      </c>
      <c r="C6265" s="6" t="s">
        <v>2171</v>
      </c>
      <c r="D6265" s="6" t="s">
        <v>530</v>
      </c>
      <c r="G6265" s="6">
        <v>150</v>
      </c>
      <c r="H6265" s="6">
        <v>42</v>
      </c>
      <c r="I6265" s="7">
        <v>170</v>
      </c>
      <c r="L6265" s="6" t="str">
        <f t="shared" si="611"/>
        <v>TG CAMARO  KİTAPLIK  150x42x170</v>
      </c>
      <c r="R6265" s="31">
        <v>34500</v>
      </c>
    </row>
    <row r="6266" spans="1:23" ht="21.95" customHeight="1" x14ac:dyDescent="0.2">
      <c r="B6266" s="6" t="s">
        <v>2156</v>
      </c>
      <c r="C6266" s="6" t="s">
        <v>2171</v>
      </c>
      <c r="D6266" s="6" t="s">
        <v>29</v>
      </c>
      <c r="G6266" s="6">
        <v>101</v>
      </c>
      <c r="H6266" s="6">
        <v>101</v>
      </c>
      <c r="I6266" s="7">
        <v>40</v>
      </c>
      <c r="L6266" s="6" t="str">
        <f t="shared" si="611"/>
        <v>TG CAMARO  ORTA SEHPA 101x101x40</v>
      </c>
      <c r="R6266" s="31">
        <v>25000</v>
      </c>
    </row>
    <row r="6267" spans="1:23" ht="21.95" customHeight="1" x14ac:dyDescent="0.2">
      <c r="B6267" s="6" t="s">
        <v>2156</v>
      </c>
      <c r="C6267" s="6" t="s">
        <v>2171</v>
      </c>
      <c r="D6267" s="6" t="s">
        <v>1862</v>
      </c>
      <c r="G6267" s="6">
        <v>45</v>
      </c>
      <c r="H6267" s="6">
        <v>45</v>
      </c>
      <c r="I6267" s="7">
        <v>55</v>
      </c>
      <c r="L6267" s="6" t="str">
        <f t="shared" si="611"/>
        <v>TG CAMARO  YAN SEHPA  45x45x55</v>
      </c>
      <c r="R6267" s="31">
        <v>11500</v>
      </c>
    </row>
    <row r="6268" spans="1:23" ht="21.95" customHeight="1" x14ac:dyDescent="0.2">
      <c r="B6268" s="6" t="s">
        <v>2156</v>
      </c>
      <c r="C6268" s="6" t="s">
        <v>2171</v>
      </c>
      <c r="D6268" s="6" t="s">
        <v>2173</v>
      </c>
      <c r="G6268" s="6" t="s">
        <v>2174</v>
      </c>
      <c r="H6268" s="6">
        <v>42</v>
      </c>
      <c r="I6268" s="7" t="s">
        <v>2175</v>
      </c>
      <c r="L6268" s="6" t="str">
        <f t="shared" si="611"/>
        <v>TG CAMARO  3 LÜ SERVİS SEHPA  55-50-44x42x55-51-47</v>
      </c>
      <c r="R6268" s="31">
        <v>22500</v>
      </c>
    </row>
    <row r="6269" spans="1:23" ht="21.95" customHeight="1" x14ac:dyDescent="0.2">
      <c r="B6269" s="6" t="s">
        <v>2156</v>
      </c>
      <c r="C6269" s="6" t="s">
        <v>2172</v>
      </c>
      <c r="D6269" s="6" t="s">
        <v>2159</v>
      </c>
      <c r="G6269" s="6">
        <v>110</v>
      </c>
      <c r="H6269" s="6">
        <v>110</v>
      </c>
      <c r="I6269" s="7">
        <v>35</v>
      </c>
      <c r="L6269" s="6" t="str">
        <f t="shared" si="611"/>
        <v>TG MODEST  ORTA SEHPA KARE  110x110x35</v>
      </c>
      <c r="R6269" s="31">
        <v>33500</v>
      </c>
    </row>
    <row r="6270" spans="1:23" ht="21.95" customHeight="1" x14ac:dyDescent="0.2">
      <c r="B6270" s="6" t="s">
        <v>2156</v>
      </c>
      <c r="C6270" s="6" t="s">
        <v>2172</v>
      </c>
      <c r="D6270" s="6" t="s">
        <v>2158</v>
      </c>
      <c r="G6270" s="6">
        <v>137</v>
      </c>
      <c r="H6270" s="6">
        <v>60</v>
      </c>
      <c r="I6270" s="7">
        <v>45</v>
      </c>
      <c r="L6270" s="6" t="str">
        <f t="shared" si="611"/>
        <v>TG MODEST  ORTA SEHPA DİKDÖRTGEN  137x60x45</v>
      </c>
      <c r="R6270" s="31">
        <v>30000</v>
      </c>
    </row>
    <row r="6271" spans="1:23" ht="21.95" customHeight="1" x14ac:dyDescent="0.2">
      <c r="B6271" s="6" t="s">
        <v>2156</v>
      </c>
      <c r="C6271" s="6" t="s">
        <v>2172</v>
      </c>
      <c r="D6271" s="6" t="s">
        <v>1862</v>
      </c>
      <c r="G6271" s="6">
        <v>55</v>
      </c>
      <c r="H6271" s="6">
        <v>35</v>
      </c>
      <c r="I6271" s="7">
        <v>55</v>
      </c>
      <c r="L6271" s="6" t="str">
        <f t="shared" si="611"/>
        <v>TG MODEST  YAN SEHPA  55x35x55</v>
      </c>
      <c r="R6271" s="31">
        <v>16500</v>
      </c>
    </row>
    <row r="6272" spans="1:23" ht="21.95" customHeight="1" x14ac:dyDescent="0.2">
      <c r="B6272" s="6" t="s">
        <v>2156</v>
      </c>
      <c r="C6272" s="6" t="s">
        <v>2172</v>
      </c>
      <c r="D6272" s="6" t="s">
        <v>2176</v>
      </c>
      <c r="G6272" s="5" t="s">
        <v>2177</v>
      </c>
      <c r="H6272" s="6" t="s">
        <v>2178</v>
      </c>
      <c r="I6272" s="7" t="s">
        <v>2179</v>
      </c>
      <c r="L6272" s="6" t="str">
        <f t="shared" si="611"/>
        <v>TG MODEST  2 Lİ SERVİS SEHPA  60-48x60-45x59-49</v>
      </c>
      <c r="R6272" s="31">
        <v>35500</v>
      </c>
    </row>
    <row r="6273" spans="2:18" ht="21.95" customHeight="1" x14ac:dyDescent="0.2">
      <c r="B6273" s="6" t="s">
        <v>2156</v>
      </c>
      <c r="C6273" s="6" t="s">
        <v>2172</v>
      </c>
      <c r="D6273" s="6" t="s">
        <v>1866</v>
      </c>
      <c r="G6273" s="6">
        <v>137</v>
      </c>
      <c r="H6273" s="6">
        <v>35</v>
      </c>
      <c r="I6273" s="7">
        <v>65</v>
      </c>
      <c r="L6273" s="6" t="str">
        <f t="shared" si="611"/>
        <v>TG MODEST  KOLTUK ARKASI SEHPA  137x35x65</v>
      </c>
      <c r="R6273" s="31">
        <v>26500</v>
      </c>
    </row>
    <row r="6274" spans="2:18" ht="21.95" customHeight="1" x14ac:dyDescent="0.2">
      <c r="B6274" s="6" t="s">
        <v>2156</v>
      </c>
      <c r="C6274" s="6" t="s">
        <v>2180</v>
      </c>
      <c r="D6274" s="6" t="s">
        <v>2161</v>
      </c>
      <c r="G6274" s="6">
        <v>90</v>
      </c>
      <c r="H6274" s="6">
        <v>90</v>
      </c>
      <c r="I6274" s="7">
        <v>39</v>
      </c>
      <c r="L6274" s="6" t="str">
        <f t="shared" si="611"/>
        <v>TG PEBBLE ORTA SEHPA BÜYÜK 90x90x39</v>
      </c>
      <c r="R6274" s="31">
        <v>30000</v>
      </c>
    </row>
    <row r="6275" spans="2:18" ht="21.95" customHeight="1" x14ac:dyDescent="0.2">
      <c r="B6275" s="6" t="s">
        <v>2156</v>
      </c>
      <c r="C6275" s="6" t="s">
        <v>2180</v>
      </c>
      <c r="D6275" s="6" t="s">
        <v>2162</v>
      </c>
      <c r="G6275" s="6">
        <v>90</v>
      </c>
      <c r="H6275" s="6">
        <v>90</v>
      </c>
      <c r="I6275" s="7">
        <v>33</v>
      </c>
      <c r="L6275" s="6" t="str">
        <f t="shared" si="611"/>
        <v>TG PEBBLE ORTA SEHPA KÜÇÜK  90x90x33</v>
      </c>
      <c r="R6275" s="31">
        <v>29500</v>
      </c>
    </row>
    <row r="6276" spans="2:18" ht="21.95" customHeight="1" x14ac:dyDescent="0.2">
      <c r="B6276" s="6" t="s">
        <v>2156</v>
      </c>
      <c r="C6276" s="6" t="s">
        <v>2180</v>
      </c>
      <c r="D6276" s="6" t="s">
        <v>1862</v>
      </c>
      <c r="G6276" s="6">
        <v>55</v>
      </c>
      <c r="H6276" s="6">
        <v>55</v>
      </c>
      <c r="I6276" s="7">
        <v>56</v>
      </c>
      <c r="L6276" s="6" t="str">
        <f t="shared" si="611"/>
        <v>TG PEBBLE YAN SEHPA  55x55x56</v>
      </c>
      <c r="R6276" s="31">
        <v>28000</v>
      </c>
    </row>
    <row r="6277" spans="2:18" ht="21.95" customHeight="1" x14ac:dyDescent="0.2">
      <c r="B6277" s="6" t="s">
        <v>2156</v>
      </c>
      <c r="C6277" s="6" t="s">
        <v>2181</v>
      </c>
      <c r="D6277" s="6" t="s">
        <v>2159</v>
      </c>
      <c r="G6277" s="6">
        <v>110</v>
      </c>
      <c r="H6277" s="6">
        <v>110</v>
      </c>
      <c r="I6277" s="7">
        <v>32</v>
      </c>
      <c r="L6277" s="6" t="str">
        <f t="shared" si="611"/>
        <v>TG POİNT ORTA SEHPA KARE  110x110x32</v>
      </c>
      <c r="R6277" s="31">
        <v>21000</v>
      </c>
    </row>
    <row r="6278" spans="2:18" ht="21.95" customHeight="1" x14ac:dyDescent="0.2">
      <c r="B6278" s="6" t="s">
        <v>2156</v>
      </c>
      <c r="C6278" s="6" t="s">
        <v>2181</v>
      </c>
      <c r="D6278" s="6" t="s">
        <v>2158</v>
      </c>
      <c r="G6278" s="6">
        <v>140</v>
      </c>
      <c r="H6278" s="6">
        <v>60</v>
      </c>
      <c r="I6278" s="7">
        <v>40</v>
      </c>
      <c r="L6278" s="6" t="str">
        <f t="shared" si="611"/>
        <v>TG POİNT ORTA SEHPA DİKDÖRTGEN  140x60x40</v>
      </c>
      <c r="R6278" s="31">
        <v>18500</v>
      </c>
    </row>
    <row r="6279" spans="2:18" ht="21.95" customHeight="1" x14ac:dyDescent="0.2">
      <c r="B6279" s="6" t="s">
        <v>2156</v>
      </c>
      <c r="C6279" s="6" t="s">
        <v>2181</v>
      </c>
      <c r="D6279" s="6" t="s">
        <v>2176</v>
      </c>
      <c r="G6279" s="5" t="s">
        <v>2182</v>
      </c>
      <c r="H6279" s="6" t="s">
        <v>2182</v>
      </c>
      <c r="I6279" s="7" t="s">
        <v>2183</v>
      </c>
      <c r="L6279" s="6" t="str">
        <f t="shared" ref="L6279:L6310" si="612">B6279&amp;" "&amp;C6279&amp;" "&amp;D6279&amp;" "&amp;G6279&amp;"x"&amp;H6279&amp;"x"&amp;I6279</f>
        <v>TG POİNT 2 Lİ SERVİS SEHPA  50-40x50-40x60-52</v>
      </c>
      <c r="R6279" s="31">
        <v>23000</v>
      </c>
    </row>
    <row r="6280" spans="2:18" ht="21.95" customHeight="1" x14ac:dyDescent="0.2">
      <c r="B6280" s="6" t="s">
        <v>2156</v>
      </c>
      <c r="C6280" s="6" t="s">
        <v>2184</v>
      </c>
      <c r="D6280" s="6" t="s">
        <v>2185</v>
      </c>
      <c r="G6280" s="6">
        <v>154</v>
      </c>
      <c r="H6280" s="6">
        <v>112</v>
      </c>
      <c r="I6280" s="7">
        <v>55</v>
      </c>
      <c r="L6280" s="6" t="str">
        <f t="shared" si="612"/>
        <v>TG SUPRA  ORTA SEHPA AHŞAP  154x112x55</v>
      </c>
      <c r="R6280" s="31">
        <v>37000</v>
      </c>
    </row>
    <row r="6281" spans="2:18" ht="21.95" customHeight="1" x14ac:dyDescent="0.2">
      <c r="B6281" s="6" t="s">
        <v>2156</v>
      </c>
      <c r="C6281" s="6" t="s">
        <v>2184</v>
      </c>
      <c r="D6281" s="6" t="s">
        <v>2186</v>
      </c>
      <c r="G6281" s="6">
        <v>154</v>
      </c>
      <c r="H6281" s="6">
        <v>112</v>
      </c>
      <c r="I6281" s="7">
        <v>28</v>
      </c>
      <c r="L6281" s="6" t="str">
        <f t="shared" si="612"/>
        <v>TG SUPRA  ORTA SEHPA AYNALI 154x112x28</v>
      </c>
      <c r="R6281" s="31">
        <v>37000</v>
      </c>
    </row>
    <row r="6282" spans="2:18" ht="21.95" customHeight="1" x14ac:dyDescent="0.2">
      <c r="B6282" s="6" t="s">
        <v>2156</v>
      </c>
      <c r="C6282" s="6" t="s">
        <v>2184</v>
      </c>
      <c r="D6282" s="6" t="s">
        <v>2176</v>
      </c>
      <c r="G6282" s="6">
        <v>70</v>
      </c>
      <c r="H6282" s="6">
        <v>52</v>
      </c>
      <c r="I6282" s="7" t="s">
        <v>2187</v>
      </c>
      <c r="L6282" s="6" t="str">
        <f t="shared" si="612"/>
        <v>TG SUPRA  2 Lİ SERVİS SEHPA  70x52x43-58</v>
      </c>
      <c r="R6282" s="31">
        <v>19500</v>
      </c>
    </row>
    <row r="6283" spans="2:18" ht="21.95" customHeight="1" x14ac:dyDescent="0.2">
      <c r="B6283" s="6" t="s">
        <v>2156</v>
      </c>
      <c r="C6283" s="6" t="s">
        <v>2188</v>
      </c>
      <c r="D6283" s="6" t="s">
        <v>29</v>
      </c>
      <c r="G6283" s="6">
        <v>130</v>
      </c>
      <c r="H6283" s="6">
        <v>85</v>
      </c>
      <c r="I6283" s="7">
        <v>36</v>
      </c>
      <c r="L6283" s="6" t="str">
        <f t="shared" si="612"/>
        <v>TG FALCON  ORTA SEHPA 130x85x36</v>
      </c>
      <c r="R6283" s="31">
        <v>30500</v>
      </c>
    </row>
    <row r="6284" spans="2:18" ht="21.95" customHeight="1" x14ac:dyDescent="0.2">
      <c r="B6284" s="6" t="s">
        <v>2156</v>
      </c>
      <c r="C6284" s="6" t="s">
        <v>2188</v>
      </c>
      <c r="D6284" s="6" t="s">
        <v>1862</v>
      </c>
      <c r="G6284" s="6">
        <v>62</v>
      </c>
      <c r="H6284" s="6">
        <v>47</v>
      </c>
      <c r="I6284" s="7">
        <v>55</v>
      </c>
      <c r="L6284" s="6" t="str">
        <f t="shared" si="612"/>
        <v>TG FALCON  YAN SEHPA  62x47x55</v>
      </c>
      <c r="R6284" s="31">
        <v>19000</v>
      </c>
    </row>
    <row r="6285" spans="2:18" ht="21.95" customHeight="1" x14ac:dyDescent="0.2">
      <c r="B6285" s="6" t="s">
        <v>2156</v>
      </c>
      <c r="C6285" s="6" t="s">
        <v>1036</v>
      </c>
      <c r="D6285" s="6" t="s">
        <v>660</v>
      </c>
      <c r="G6285" s="6">
        <v>100</v>
      </c>
      <c r="H6285" s="6">
        <v>100</v>
      </c>
      <c r="I6285" s="7">
        <v>44</v>
      </c>
      <c r="L6285" s="6" t="str">
        <f t="shared" si="612"/>
        <v>TG İNDİGO  ORTA SEHPA  100x100x44</v>
      </c>
      <c r="R6285" s="31">
        <v>27500</v>
      </c>
    </row>
    <row r="6286" spans="2:18" ht="21.95" customHeight="1" x14ac:dyDescent="0.2">
      <c r="B6286" s="6" t="s">
        <v>2156</v>
      </c>
      <c r="C6286" s="6" t="s">
        <v>1036</v>
      </c>
      <c r="D6286" s="6" t="s">
        <v>1862</v>
      </c>
      <c r="G6286" s="6">
        <v>55</v>
      </c>
      <c r="H6286" s="6">
        <v>55</v>
      </c>
      <c r="I6286" s="7">
        <v>49</v>
      </c>
      <c r="L6286" s="6" t="str">
        <f t="shared" si="612"/>
        <v>TG İNDİGO  YAN SEHPA  55x55x49</v>
      </c>
      <c r="R6286" s="31">
        <v>14000</v>
      </c>
    </row>
    <row r="6287" spans="2:18" ht="21.95" customHeight="1" x14ac:dyDescent="0.2">
      <c r="B6287" s="6" t="s">
        <v>2156</v>
      </c>
      <c r="C6287" s="6" t="s">
        <v>2189</v>
      </c>
      <c r="D6287" s="6" t="s">
        <v>660</v>
      </c>
      <c r="G6287" s="6">
        <v>80</v>
      </c>
      <c r="H6287" s="6">
        <v>80</v>
      </c>
      <c r="I6287" s="7">
        <v>39</v>
      </c>
      <c r="L6287" s="6" t="str">
        <f t="shared" si="612"/>
        <v>TG NOBLE ORTA SEHPA  80x80x39</v>
      </c>
      <c r="R6287" s="31">
        <v>33500</v>
      </c>
    </row>
    <row r="6288" spans="2:18" ht="21.95" customHeight="1" x14ac:dyDescent="0.2">
      <c r="B6288" s="6" t="s">
        <v>2156</v>
      </c>
      <c r="C6288" s="6" t="s">
        <v>2189</v>
      </c>
      <c r="D6288" s="6" t="s">
        <v>2190</v>
      </c>
      <c r="G6288" s="6">
        <v>55</v>
      </c>
      <c r="H6288" s="6">
        <v>55</v>
      </c>
      <c r="I6288" s="7">
        <v>51</v>
      </c>
      <c r="L6288" s="6" t="str">
        <f t="shared" si="612"/>
        <v>TG NOBLE YAN SEHPA BÜYÜK  55x55x51</v>
      </c>
      <c r="R6288" s="31">
        <v>27500</v>
      </c>
    </row>
    <row r="6289" spans="2:18" ht="21.95" customHeight="1" x14ac:dyDescent="0.2">
      <c r="B6289" s="6" t="s">
        <v>2156</v>
      </c>
      <c r="C6289" s="6" t="s">
        <v>2189</v>
      </c>
      <c r="D6289" s="6" t="s">
        <v>2191</v>
      </c>
      <c r="G6289" s="6">
        <v>45</v>
      </c>
      <c r="H6289" s="6">
        <v>45</v>
      </c>
      <c r="I6289" s="7">
        <v>45</v>
      </c>
      <c r="L6289" s="6" t="str">
        <f t="shared" si="612"/>
        <v>TG NOBLE YAN SEHPA KÜÇÜK  45x45x45</v>
      </c>
      <c r="R6289" s="31">
        <v>26500</v>
      </c>
    </row>
    <row r="6290" spans="2:18" ht="21.95" customHeight="1" x14ac:dyDescent="0.2">
      <c r="B6290" s="6" t="s">
        <v>2156</v>
      </c>
      <c r="C6290" s="6" t="s">
        <v>2192</v>
      </c>
      <c r="D6290" s="6" t="s">
        <v>660</v>
      </c>
      <c r="G6290" s="6">
        <v>100</v>
      </c>
      <c r="H6290" s="6">
        <v>100</v>
      </c>
      <c r="I6290" s="7">
        <v>31</v>
      </c>
      <c r="L6290" s="6" t="str">
        <f t="shared" si="612"/>
        <v>TG TOMS  ORTA SEHPA  100x100x31</v>
      </c>
      <c r="R6290" s="31">
        <v>33500</v>
      </c>
    </row>
    <row r="6291" spans="2:18" ht="21.95" customHeight="1" x14ac:dyDescent="0.2">
      <c r="B6291" s="6" t="s">
        <v>2156</v>
      </c>
      <c r="C6291" s="6" t="s">
        <v>2192</v>
      </c>
      <c r="D6291" s="6" t="s">
        <v>1862</v>
      </c>
      <c r="G6291" s="6">
        <v>47</v>
      </c>
      <c r="H6291" s="6">
        <v>47</v>
      </c>
      <c r="I6291" s="7">
        <v>52</v>
      </c>
      <c r="L6291" s="6" t="str">
        <f t="shared" si="612"/>
        <v>TG TOMS  YAN SEHPA  47x47x52</v>
      </c>
      <c r="R6291" s="31">
        <v>18500</v>
      </c>
    </row>
    <row r="6292" spans="2:18" ht="21.95" customHeight="1" x14ac:dyDescent="0.2">
      <c r="B6292" s="6" t="s">
        <v>2156</v>
      </c>
      <c r="C6292" s="6" t="s">
        <v>2192</v>
      </c>
      <c r="D6292" s="6" t="s">
        <v>168</v>
      </c>
      <c r="G6292" s="6">
        <v>89</v>
      </c>
      <c r="H6292" s="6">
        <v>82</v>
      </c>
      <c r="I6292" s="7">
        <v>57</v>
      </c>
      <c r="L6292" s="6" t="str">
        <f t="shared" si="612"/>
        <v>TG TOMS  BERJER  89x82x57</v>
      </c>
      <c r="R6292" s="31">
        <v>52000</v>
      </c>
    </row>
    <row r="6293" spans="2:18" ht="21.95" customHeight="1" x14ac:dyDescent="0.2">
      <c r="B6293" s="6" t="s">
        <v>2156</v>
      </c>
      <c r="C6293" s="6" t="s">
        <v>2193</v>
      </c>
      <c r="D6293" s="6" t="s">
        <v>2168</v>
      </c>
      <c r="G6293" s="6">
        <v>135</v>
      </c>
      <c r="H6293" s="6">
        <v>135</v>
      </c>
      <c r="I6293" s="7">
        <v>35</v>
      </c>
      <c r="L6293" s="6" t="str">
        <f t="shared" si="612"/>
        <v>TG SCARLET  ORTA SEHPA BÜYÜK  135x135x35</v>
      </c>
      <c r="R6293" s="31">
        <v>27000</v>
      </c>
    </row>
    <row r="6294" spans="2:18" ht="21.95" customHeight="1" x14ac:dyDescent="0.2">
      <c r="B6294" s="6" t="s">
        <v>2156</v>
      </c>
      <c r="C6294" s="6" t="s">
        <v>2193</v>
      </c>
      <c r="D6294" s="6" t="s">
        <v>409</v>
      </c>
      <c r="G6294" s="6">
        <v>103</v>
      </c>
      <c r="H6294" s="6">
        <v>103</v>
      </c>
      <c r="I6294" s="7">
        <v>35</v>
      </c>
      <c r="L6294" s="6" t="str">
        <f t="shared" si="612"/>
        <v>TG SCARLET  ORTA SEHPA KÜÇÜK 103x103x35</v>
      </c>
      <c r="R6294" s="31">
        <v>21000</v>
      </c>
    </row>
    <row r="6295" spans="2:18" ht="21.95" customHeight="1" x14ac:dyDescent="0.2">
      <c r="B6295" s="6" t="s">
        <v>2156</v>
      </c>
      <c r="C6295" s="6" t="s">
        <v>2193</v>
      </c>
      <c r="D6295" s="6" t="s">
        <v>1862</v>
      </c>
      <c r="G6295" s="6">
        <v>50</v>
      </c>
      <c r="H6295" s="6">
        <v>50</v>
      </c>
      <c r="I6295" s="7">
        <v>50</v>
      </c>
      <c r="L6295" s="6" t="str">
        <f t="shared" si="612"/>
        <v>TG SCARLET  YAN SEHPA  50x50x50</v>
      </c>
      <c r="R6295" s="31">
        <v>14000</v>
      </c>
    </row>
    <row r="6296" spans="2:18" ht="21.95" customHeight="1" x14ac:dyDescent="0.2">
      <c r="B6296" s="6" t="s">
        <v>2156</v>
      </c>
      <c r="C6296" s="6" t="s">
        <v>2194</v>
      </c>
      <c r="D6296" s="6" t="s">
        <v>2159</v>
      </c>
      <c r="G6296" s="6">
        <v>97</v>
      </c>
      <c r="H6296" s="6">
        <v>97</v>
      </c>
      <c r="I6296" s="7">
        <v>30</v>
      </c>
      <c r="L6296" s="6" t="str">
        <f t="shared" si="612"/>
        <v>TG TOSCANO  ORTA SEHPA KARE  97x97x30</v>
      </c>
      <c r="R6296" s="31">
        <v>20500</v>
      </c>
    </row>
    <row r="6297" spans="2:18" ht="21.95" customHeight="1" x14ac:dyDescent="0.2">
      <c r="B6297" s="6" t="s">
        <v>2156</v>
      </c>
      <c r="C6297" s="6" t="s">
        <v>2194</v>
      </c>
      <c r="D6297" s="6" t="s">
        <v>1862</v>
      </c>
      <c r="G6297" s="6">
        <v>41</v>
      </c>
      <c r="H6297" s="6">
        <v>41</v>
      </c>
      <c r="I6297" s="7">
        <v>50</v>
      </c>
      <c r="L6297" s="6" t="str">
        <f t="shared" si="612"/>
        <v>TG TOSCANO  YAN SEHPA  41x41x50</v>
      </c>
      <c r="R6297" s="31">
        <v>75500</v>
      </c>
    </row>
    <row r="6298" spans="2:18" ht="21.95" customHeight="1" x14ac:dyDescent="0.2">
      <c r="B6298" s="6" t="s">
        <v>2156</v>
      </c>
      <c r="C6298" s="6" t="s">
        <v>2194</v>
      </c>
      <c r="D6298" s="6" t="s">
        <v>2158</v>
      </c>
      <c r="G6298" s="6">
        <v>150</v>
      </c>
      <c r="H6298" s="6">
        <v>55</v>
      </c>
      <c r="I6298" s="7">
        <v>36</v>
      </c>
      <c r="L6298" s="6" t="str">
        <f t="shared" si="612"/>
        <v>TG TOSCANO  ORTA SEHPA DİKDÖRTGEN  150x55x36</v>
      </c>
      <c r="R6298" s="31">
        <v>21000</v>
      </c>
    </row>
    <row r="6299" spans="2:18" ht="21.95" customHeight="1" x14ac:dyDescent="0.2">
      <c r="B6299" s="6" t="s">
        <v>2156</v>
      </c>
      <c r="C6299" s="6" t="s">
        <v>2194</v>
      </c>
      <c r="D6299" s="6" t="s">
        <v>2195</v>
      </c>
      <c r="G6299" s="6">
        <v>150</v>
      </c>
      <c r="H6299" s="6">
        <v>55</v>
      </c>
      <c r="I6299" s="7">
        <v>36</v>
      </c>
      <c r="L6299" s="6" t="str">
        <f t="shared" si="612"/>
        <v>TG TOSCANO  ORTA SEHPA ASİMETRİK  150x55x36</v>
      </c>
      <c r="R6299" s="31">
        <v>21000</v>
      </c>
    </row>
    <row r="6300" spans="2:18" ht="21.95" customHeight="1" x14ac:dyDescent="0.2">
      <c r="B6300" s="6" t="s">
        <v>2156</v>
      </c>
      <c r="C6300" s="6" t="s">
        <v>2196</v>
      </c>
      <c r="D6300" s="6" t="s">
        <v>2168</v>
      </c>
      <c r="G6300" s="6">
        <v>138</v>
      </c>
      <c r="H6300" s="6">
        <v>50</v>
      </c>
      <c r="I6300" s="7">
        <v>36</v>
      </c>
      <c r="L6300" s="6" t="str">
        <f t="shared" si="612"/>
        <v>TG BAU  ORTA SEHPA BÜYÜK  138x50x36</v>
      </c>
      <c r="R6300" s="31">
        <v>14500</v>
      </c>
    </row>
    <row r="6301" spans="2:18" ht="21.95" customHeight="1" x14ac:dyDescent="0.2">
      <c r="B6301" s="6" t="s">
        <v>2156</v>
      </c>
      <c r="C6301" s="6" t="s">
        <v>2196</v>
      </c>
      <c r="D6301" s="6" t="s">
        <v>1862</v>
      </c>
      <c r="G6301" s="6">
        <v>50</v>
      </c>
      <c r="H6301" s="6">
        <v>50</v>
      </c>
      <c r="I6301" s="7">
        <v>51</v>
      </c>
      <c r="L6301" s="6" t="str">
        <f t="shared" si="612"/>
        <v>TG BAU  YAN SEHPA  50x50x51</v>
      </c>
      <c r="R6301" s="31">
        <v>10000</v>
      </c>
    </row>
    <row r="6302" spans="2:18" ht="21.95" customHeight="1" x14ac:dyDescent="0.2">
      <c r="B6302" s="6" t="s">
        <v>2156</v>
      </c>
      <c r="C6302" s="6" t="s">
        <v>2196</v>
      </c>
      <c r="D6302" s="6" t="s">
        <v>2197</v>
      </c>
      <c r="G6302" s="6">
        <v>69</v>
      </c>
      <c r="H6302" s="6">
        <v>50</v>
      </c>
      <c r="I6302" s="7">
        <v>36</v>
      </c>
      <c r="L6302" s="6" t="str">
        <f t="shared" si="612"/>
        <v>TG BAU  ORTA SEHPA KÜÇÜK LAGİNA  69x50x36</v>
      </c>
      <c r="R6302" s="31">
        <v>9000</v>
      </c>
    </row>
    <row r="6303" spans="2:18" ht="21.95" customHeight="1" x14ac:dyDescent="0.2">
      <c r="B6303" s="6" t="s">
        <v>2156</v>
      </c>
      <c r="C6303" s="6" t="s">
        <v>2196</v>
      </c>
      <c r="D6303" s="6" t="s">
        <v>2198</v>
      </c>
      <c r="G6303" s="6">
        <v>69</v>
      </c>
      <c r="H6303" s="6">
        <v>50</v>
      </c>
      <c r="I6303" s="7">
        <v>36</v>
      </c>
      <c r="L6303" s="6" t="str">
        <f t="shared" si="612"/>
        <v>TG BAU  ORTA SEHPA KÜÇÜK SONATA  69x50x36</v>
      </c>
      <c r="R6303" s="31">
        <v>9000</v>
      </c>
    </row>
    <row r="6304" spans="2:18" ht="21.95" customHeight="1" x14ac:dyDescent="0.2">
      <c r="B6304" s="6" t="s">
        <v>2156</v>
      </c>
      <c r="C6304" s="6" t="s">
        <v>2033</v>
      </c>
      <c r="D6304" s="6" t="s">
        <v>2168</v>
      </c>
      <c r="G6304" s="6">
        <v>78</v>
      </c>
      <c r="H6304" s="6">
        <v>101</v>
      </c>
      <c r="I6304" s="7">
        <v>30</v>
      </c>
      <c r="L6304" s="6" t="str">
        <f t="shared" si="612"/>
        <v>TG MATRİX ORTA SEHPA BÜYÜK  78x101x30</v>
      </c>
      <c r="R6304" s="31">
        <v>17500</v>
      </c>
    </row>
    <row r="6305" spans="2:18" ht="21.95" customHeight="1" x14ac:dyDescent="0.2">
      <c r="B6305" s="6" t="s">
        <v>2156</v>
      </c>
      <c r="C6305" s="6" t="s">
        <v>2033</v>
      </c>
      <c r="D6305" s="6" t="s">
        <v>2162</v>
      </c>
      <c r="G6305" s="6">
        <v>77</v>
      </c>
      <c r="H6305" s="6">
        <v>60</v>
      </c>
      <c r="I6305" s="7">
        <v>30</v>
      </c>
      <c r="L6305" s="6" t="str">
        <f t="shared" si="612"/>
        <v>TG MATRİX ORTA SEHPA KÜÇÜK  77x60x30</v>
      </c>
      <c r="R6305" s="31">
        <v>12000</v>
      </c>
    </row>
    <row r="6306" spans="2:18" ht="21.95" customHeight="1" x14ac:dyDescent="0.2">
      <c r="B6306" s="6" t="s">
        <v>2156</v>
      </c>
      <c r="C6306" s="6" t="s">
        <v>942</v>
      </c>
      <c r="D6306" s="6" t="s">
        <v>2199</v>
      </c>
      <c r="G6306" s="6">
        <v>100</v>
      </c>
      <c r="H6306" s="6">
        <v>100</v>
      </c>
      <c r="I6306" s="7" t="s">
        <v>2200</v>
      </c>
      <c r="L6306" s="6" t="str">
        <f t="shared" si="612"/>
        <v>TG ZENİT ORTA SEHPA FONKSİYONEL  100x100x40-74</v>
      </c>
      <c r="R6306" s="31">
        <v>55500</v>
      </c>
    </row>
    <row r="6307" spans="2:18" ht="21.95" customHeight="1" x14ac:dyDescent="0.2">
      <c r="B6307" s="6" t="s">
        <v>2156</v>
      </c>
      <c r="C6307" s="6" t="s">
        <v>2201</v>
      </c>
      <c r="D6307" s="6" t="s">
        <v>660</v>
      </c>
      <c r="G6307" s="6">
        <v>120</v>
      </c>
      <c r="H6307" s="6">
        <v>120</v>
      </c>
      <c r="I6307" s="7">
        <v>31</v>
      </c>
      <c r="L6307" s="6" t="str">
        <f t="shared" si="612"/>
        <v>TG İBİZA ORTA SEHPA  120x120x31</v>
      </c>
      <c r="R6307" s="31">
        <v>24000</v>
      </c>
    </row>
    <row r="6308" spans="2:18" ht="21.95" customHeight="1" x14ac:dyDescent="0.2">
      <c r="B6308" s="6" t="s">
        <v>2156</v>
      </c>
      <c r="C6308" s="6" t="s">
        <v>2201</v>
      </c>
      <c r="D6308" s="6" t="s">
        <v>1862</v>
      </c>
      <c r="G6308" s="6">
        <v>40</v>
      </c>
      <c r="H6308" s="6">
        <v>40</v>
      </c>
      <c r="I6308" s="7">
        <v>50</v>
      </c>
      <c r="L6308" s="6" t="str">
        <f t="shared" si="612"/>
        <v>TG İBİZA YAN SEHPA  40x40x50</v>
      </c>
      <c r="R6308" s="31">
        <v>7000</v>
      </c>
    </row>
    <row r="6309" spans="2:18" ht="21.95" customHeight="1" x14ac:dyDescent="0.2">
      <c r="B6309" s="6" t="s">
        <v>2156</v>
      </c>
      <c r="C6309" s="6" t="s">
        <v>527</v>
      </c>
      <c r="D6309" s="6" t="s">
        <v>660</v>
      </c>
      <c r="G6309" s="6">
        <v>145</v>
      </c>
      <c r="H6309" s="6">
        <v>62</v>
      </c>
      <c r="I6309" s="7">
        <v>39</v>
      </c>
      <c r="L6309" s="6" t="str">
        <f t="shared" si="612"/>
        <v>TG VEGA ORTA SEHPA  145x62x39</v>
      </c>
      <c r="R6309" s="31">
        <v>38000</v>
      </c>
    </row>
    <row r="6310" spans="2:18" ht="21.95" customHeight="1" x14ac:dyDescent="0.2">
      <c r="B6310" s="6" t="s">
        <v>2156</v>
      </c>
      <c r="C6310" s="6" t="s">
        <v>527</v>
      </c>
      <c r="D6310" s="6" t="s">
        <v>1862</v>
      </c>
      <c r="G6310" s="6">
        <v>50</v>
      </c>
      <c r="H6310" s="6">
        <v>59</v>
      </c>
      <c r="I6310" s="7">
        <v>55</v>
      </c>
      <c r="L6310" s="6" t="str">
        <f t="shared" si="612"/>
        <v>TG VEGA YAN SEHPA  50x59x55</v>
      </c>
      <c r="R6310" s="31">
        <v>18500</v>
      </c>
    </row>
    <row r="6311" spans="2:18" ht="21.95" customHeight="1" x14ac:dyDescent="0.2">
      <c r="B6311" s="6" t="s">
        <v>2156</v>
      </c>
      <c r="C6311" s="6" t="s">
        <v>527</v>
      </c>
      <c r="D6311" s="6" t="s">
        <v>373</v>
      </c>
      <c r="G6311" s="6">
        <v>75</v>
      </c>
      <c r="H6311" s="6">
        <v>75</v>
      </c>
      <c r="I6311" s="7">
        <v>31</v>
      </c>
      <c r="L6311" s="6" t="str">
        <f t="shared" ref="L6311:L6342" si="613">B6311&amp;" "&amp;C6311&amp;" "&amp;D6311&amp;" "&amp;G6311&amp;"x"&amp;H6311&amp;"x"&amp;I6311</f>
        <v>TG VEGA PUF  75x75x31</v>
      </c>
      <c r="R6311" s="31">
        <v>15000</v>
      </c>
    </row>
    <row r="6312" spans="2:18" ht="21.95" customHeight="1" x14ac:dyDescent="0.2">
      <c r="B6312" s="6" t="s">
        <v>2156</v>
      </c>
      <c r="C6312" s="6" t="s">
        <v>2203</v>
      </c>
      <c r="D6312" s="6" t="s">
        <v>660</v>
      </c>
      <c r="G6312" s="6">
        <v>128</v>
      </c>
      <c r="H6312" s="6">
        <v>100</v>
      </c>
      <c r="I6312" s="7">
        <v>45</v>
      </c>
      <c r="L6312" s="6" t="str">
        <f t="shared" si="613"/>
        <v>TG ORBİT ORTA SEHPA  128x100x45</v>
      </c>
      <c r="R6312" s="31">
        <v>33500</v>
      </c>
    </row>
    <row r="6313" spans="2:18" ht="21.95" customHeight="1" x14ac:dyDescent="0.2">
      <c r="B6313" s="6" t="s">
        <v>2156</v>
      </c>
      <c r="C6313" s="6" t="s">
        <v>2203</v>
      </c>
      <c r="D6313" s="6" t="s">
        <v>1862</v>
      </c>
      <c r="G6313" s="6">
        <v>49</v>
      </c>
      <c r="H6313" s="6">
        <v>49</v>
      </c>
      <c r="I6313" s="7">
        <v>50</v>
      </c>
      <c r="L6313" s="6" t="str">
        <f t="shared" si="613"/>
        <v>TG ORBİT YAN SEHPA  49x49x50</v>
      </c>
      <c r="R6313" s="31">
        <v>15000</v>
      </c>
    </row>
    <row r="6314" spans="2:18" ht="21.95" customHeight="1" x14ac:dyDescent="0.2">
      <c r="B6314" s="6" t="s">
        <v>2156</v>
      </c>
      <c r="C6314" s="6" t="s">
        <v>2204</v>
      </c>
      <c r="D6314" s="6" t="s">
        <v>29</v>
      </c>
      <c r="G6314" s="6">
        <v>151</v>
      </c>
      <c r="H6314" s="6">
        <v>86</v>
      </c>
      <c r="I6314" s="7">
        <v>34</v>
      </c>
      <c r="L6314" s="6" t="str">
        <f t="shared" si="613"/>
        <v>TG LAMBO  ORTA SEHPA 151x86x34</v>
      </c>
      <c r="R6314" s="31">
        <v>27000</v>
      </c>
    </row>
    <row r="6315" spans="2:18" ht="21.95" customHeight="1" x14ac:dyDescent="0.2">
      <c r="B6315" s="6" t="s">
        <v>2156</v>
      </c>
      <c r="C6315" s="6" t="s">
        <v>2204</v>
      </c>
      <c r="D6315" s="6" t="s">
        <v>1862</v>
      </c>
      <c r="G6315" s="6">
        <v>55</v>
      </c>
      <c r="H6315" s="6">
        <v>55</v>
      </c>
      <c r="I6315" s="7">
        <v>46</v>
      </c>
      <c r="L6315" s="6" t="str">
        <f t="shared" si="613"/>
        <v>TG LAMBO  YAN SEHPA  55x55x46</v>
      </c>
      <c r="R6315" s="31">
        <v>7000</v>
      </c>
    </row>
    <row r="6316" spans="2:18" ht="21.95" customHeight="1" x14ac:dyDescent="0.2">
      <c r="B6316" s="6" t="s">
        <v>2156</v>
      </c>
      <c r="C6316" s="6" t="s">
        <v>2205</v>
      </c>
      <c r="D6316" s="6" t="s">
        <v>2206</v>
      </c>
      <c r="G6316" s="6">
        <v>130</v>
      </c>
      <c r="H6316" s="6">
        <v>70</v>
      </c>
      <c r="I6316" s="7">
        <v>35</v>
      </c>
      <c r="L6316" s="6" t="str">
        <f t="shared" si="613"/>
        <v>TG METRO  ORTA SEHPA DİKDÖRTGEN RAL-8004 130x70x35</v>
      </c>
      <c r="R6316" s="31">
        <v>23000</v>
      </c>
    </row>
    <row r="6317" spans="2:18" ht="21.95" customHeight="1" x14ac:dyDescent="0.2">
      <c r="B6317" s="6" t="s">
        <v>2156</v>
      </c>
      <c r="C6317" s="6" t="s">
        <v>2205</v>
      </c>
      <c r="D6317" s="6" t="s">
        <v>2207</v>
      </c>
      <c r="G6317" s="6">
        <v>95</v>
      </c>
      <c r="H6317" s="6">
        <v>90</v>
      </c>
      <c r="I6317" s="7">
        <v>30</v>
      </c>
      <c r="L6317" s="6" t="str">
        <f t="shared" si="613"/>
        <v>TG METRO  ORTA SEHPA ÜÇGEN RAL-1011 95x90x30</v>
      </c>
      <c r="R6317" s="31">
        <v>20000</v>
      </c>
    </row>
    <row r="6318" spans="2:18" ht="21.95" customHeight="1" x14ac:dyDescent="0.2">
      <c r="B6318" s="6" t="s">
        <v>2156</v>
      </c>
      <c r="C6318" s="6" t="s">
        <v>2205</v>
      </c>
      <c r="D6318" s="6" t="s">
        <v>2208</v>
      </c>
      <c r="G6318" s="6">
        <v>80</v>
      </c>
      <c r="H6318" s="6">
        <v>80</v>
      </c>
      <c r="I6318" s="7">
        <v>40</v>
      </c>
      <c r="L6318" s="6" t="str">
        <f t="shared" si="613"/>
        <v>TG METRO  ORTA SEHPA KÜÇÜK RAL-7022 80x80x40</v>
      </c>
      <c r="R6318" s="31">
        <v>20000</v>
      </c>
    </row>
    <row r="6319" spans="2:18" ht="21.95" customHeight="1" x14ac:dyDescent="0.2">
      <c r="B6319" s="6" t="s">
        <v>2156</v>
      </c>
      <c r="C6319" s="6" t="s">
        <v>2205</v>
      </c>
      <c r="D6319" s="6" t="s">
        <v>2209</v>
      </c>
      <c r="G6319" s="6">
        <v>103</v>
      </c>
      <c r="H6319" s="6">
        <v>103</v>
      </c>
      <c r="I6319" s="7">
        <v>30</v>
      </c>
      <c r="L6319" s="6" t="str">
        <f t="shared" si="613"/>
        <v>TG METRO  ORTA SEHPA BÜYÜK RAL-7022 103x103x30</v>
      </c>
      <c r="R6319" s="31">
        <v>23000</v>
      </c>
    </row>
    <row r="6320" spans="2:18" ht="21.95" customHeight="1" x14ac:dyDescent="0.2">
      <c r="B6320" s="6" t="s">
        <v>2156</v>
      </c>
      <c r="C6320" s="6" t="s">
        <v>2205</v>
      </c>
      <c r="D6320" s="6" t="s">
        <v>2210</v>
      </c>
      <c r="G6320" s="6">
        <v>50</v>
      </c>
      <c r="H6320" s="6">
        <v>50</v>
      </c>
      <c r="I6320" s="7" t="s">
        <v>2211</v>
      </c>
      <c r="L6320" s="6" t="str">
        <f t="shared" si="613"/>
        <v>TG METRO  2 Lİ SET SEHPA RAL-7036 50x50x45-50</v>
      </c>
      <c r="R6320" s="31">
        <v>23000</v>
      </c>
    </row>
    <row r="6321" spans="2:18" ht="21.95" customHeight="1" x14ac:dyDescent="0.2">
      <c r="B6321" s="6" t="s">
        <v>2156</v>
      </c>
      <c r="C6321" s="6" t="s">
        <v>2212</v>
      </c>
      <c r="D6321" s="6" t="s">
        <v>2213</v>
      </c>
      <c r="G6321" s="6">
        <v>136</v>
      </c>
      <c r="H6321" s="6">
        <v>136</v>
      </c>
      <c r="I6321" s="7">
        <v>35</v>
      </c>
      <c r="L6321" s="6" t="str">
        <f t="shared" si="613"/>
        <v>TG AVATAR ORTA SEHPA ANTRASİT  136x136x35</v>
      </c>
      <c r="R6321" s="31">
        <v>34500</v>
      </c>
    </row>
    <row r="6322" spans="2:18" ht="21.95" customHeight="1" x14ac:dyDescent="0.2">
      <c r="B6322" s="6" t="s">
        <v>2156</v>
      </c>
      <c r="C6322" s="6" t="s">
        <v>2212</v>
      </c>
      <c r="D6322" s="6" t="s">
        <v>2214</v>
      </c>
      <c r="G6322" s="6">
        <v>50</v>
      </c>
      <c r="H6322" s="6">
        <v>50</v>
      </c>
      <c r="I6322" s="7">
        <v>55.5</v>
      </c>
      <c r="L6322" s="6" t="str">
        <f t="shared" si="613"/>
        <v>TG AVATAR YAN SEHPA ANTRASİT 50x50x55,5</v>
      </c>
      <c r="R6322" s="31">
        <v>16000</v>
      </c>
    </row>
    <row r="6323" spans="2:18" ht="21.95" customHeight="1" x14ac:dyDescent="0.2">
      <c r="B6323" s="6" t="s">
        <v>2156</v>
      </c>
      <c r="C6323" s="6" t="s">
        <v>2215</v>
      </c>
      <c r="D6323" s="6" t="s">
        <v>2168</v>
      </c>
      <c r="G6323" s="6">
        <v>75</v>
      </c>
      <c r="H6323" s="6">
        <v>75</v>
      </c>
      <c r="I6323" s="7">
        <v>39</v>
      </c>
      <c r="L6323" s="6" t="str">
        <f t="shared" si="613"/>
        <v>TG MECHANİC ORTA SEHPA BÜYÜK  75x75x39</v>
      </c>
      <c r="R6323" s="31">
        <v>26500</v>
      </c>
    </row>
    <row r="6324" spans="2:18" ht="21.95" customHeight="1" x14ac:dyDescent="0.2">
      <c r="B6324" s="6" t="s">
        <v>2156</v>
      </c>
      <c r="C6324" s="6" t="s">
        <v>2215</v>
      </c>
      <c r="D6324" s="6" t="s">
        <v>2162</v>
      </c>
      <c r="G6324" s="6">
        <v>65</v>
      </c>
      <c r="H6324" s="6">
        <v>65</v>
      </c>
      <c r="I6324" s="7">
        <v>44</v>
      </c>
      <c r="L6324" s="6" t="str">
        <f t="shared" si="613"/>
        <v>TG MECHANİC ORTA SEHPA KÜÇÜK  65x65x44</v>
      </c>
      <c r="R6324" s="31">
        <v>25000</v>
      </c>
    </row>
    <row r="6325" spans="2:18" ht="21.95" customHeight="1" x14ac:dyDescent="0.2">
      <c r="B6325" s="6" t="s">
        <v>2156</v>
      </c>
      <c r="C6325" s="6" t="s">
        <v>2215</v>
      </c>
      <c r="D6325" s="6" t="s">
        <v>1862</v>
      </c>
      <c r="G6325" s="6">
        <v>55</v>
      </c>
      <c r="H6325" s="6">
        <v>55</v>
      </c>
      <c r="I6325" s="7">
        <v>49</v>
      </c>
      <c r="L6325" s="6" t="str">
        <f t="shared" si="613"/>
        <v>TG MECHANİC YAN SEHPA  55x55x49</v>
      </c>
      <c r="R6325" s="31">
        <v>23000</v>
      </c>
    </row>
    <row r="6326" spans="2:18" ht="21.95" customHeight="1" x14ac:dyDescent="0.2">
      <c r="B6326" s="6" t="s">
        <v>2156</v>
      </c>
      <c r="C6326" s="6" t="s">
        <v>1612</v>
      </c>
      <c r="D6326" s="6" t="s">
        <v>2159</v>
      </c>
      <c r="G6326" s="6">
        <v>110</v>
      </c>
      <c r="H6326" s="6">
        <v>110</v>
      </c>
      <c r="I6326" s="7">
        <v>34</v>
      </c>
      <c r="L6326" s="6" t="str">
        <f t="shared" si="613"/>
        <v>TG BOHEM  ORTA SEHPA KARE  110x110x34</v>
      </c>
      <c r="R6326" s="31">
        <v>33500</v>
      </c>
    </row>
    <row r="6327" spans="2:18" ht="21.95" customHeight="1" x14ac:dyDescent="0.2">
      <c r="B6327" s="6" t="s">
        <v>2156</v>
      </c>
      <c r="C6327" s="6" t="s">
        <v>1612</v>
      </c>
      <c r="D6327" s="6" t="s">
        <v>2216</v>
      </c>
      <c r="G6327" s="6">
        <v>90</v>
      </c>
      <c r="H6327" s="6">
        <v>90</v>
      </c>
      <c r="I6327" s="7">
        <v>42</v>
      </c>
      <c r="L6327" s="6" t="str">
        <f t="shared" si="613"/>
        <v>TG BOHEM  ORTA SEHPA AYNALI  90x90x42</v>
      </c>
      <c r="R6327" s="31">
        <v>25500</v>
      </c>
    </row>
    <row r="6328" spans="2:18" ht="21.95" customHeight="1" x14ac:dyDescent="0.2">
      <c r="B6328" s="6" t="s">
        <v>2156</v>
      </c>
      <c r="C6328" s="6" t="s">
        <v>1612</v>
      </c>
      <c r="D6328" s="6" t="s">
        <v>2158</v>
      </c>
      <c r="G6328" s="6">
        <v>150</v>
      </c>
      <c r="H6328" s="6">
        <v>59</v>
      </c>
      <c r="I6328" s="7">
        <v>34</v>
      </c>
      <c r="L6328" s="6" t="str">
        <f t="shared" si="613"/>
        <v>TG BOHEM  ORTA SEHPA DİKDÖRTGEN  150x59x34</v>
      </c>
      <c r="R6328" s="31">
        <v>30000</v>
      </c>
    </row>
    <row r="6329" spans="2:18" ht="21.95" customHeight="1" x14ac:dyDescent="0.2">
      <c r="B6329" s="6" t="s">
        <v>2156</v>
      </c>
      <c r="C6329" s="6" t="s">
        <v>1612</v>
      </c>
      <c r="D6329" s="6" t="s">
        <v>1862</v>
      </c>
      <c r="G6329" s="6">
        <v>55</v>
      </c>
      <c r="H6329" s="6">
        <v>55</v>
      </c>
      <c r="I6329" s="7">
        <v>53</v>
      </c>
      <c r="L6329" s="6" t="str">
        <f t="shared" si="613"/>
        <v>TG BOHEM  YAN SEHPA  55x55x53</v>
      </c>
      <c r="R6329" s="31">
        <v>26500</v>
      </c>
    </row>
    <row r="6330" spans="2:18" ht="21.95" customHeight="1" x14ac:dyDescent="0.2">
      <c r="B6330" s="6" t="s">
        <v>2156</v>
      </c>
      <c r="C6330" s="6" t="s">
        <v>2217</v>
      </c>
      <c r="D6330" s="6" t="s">
        <v>2168</v>
      </c>
      <c r="G6330" s="6">
        <v>103</v>
      </c>
      <c r="H6330" s="6">
        <v>103</v>
      </c>
      <c r="I6330" s="7">
        <v>40</v>
      </c>
      <c r="L6330" s="6" t="str">
        <f t="shared" si="613"/>
        <v>TG VOVO  ORTA SEHPA BÜYÜK  103x103x40</v>
      </c>
      <c r="R6330" s="31">
        <v>21000</v>
      </c>
    </row>
    <row r="6331" spans="2:18" ht="21.95" customHeight="1" x14ac:dyDescent="0.2">
      <c r="B6331" s="6" t="s">
        <v>2156</v>
      </c>
      <c r="C6331" s="6" t="s">
        <v>2217</v>
      </c>
      <c r="D6331" s="6" t="s">
        <v>2162</v>
      </c>
      <c r="G6331" s="6">
        <v>70</v>
      </c>
      <c r="H6331" s="6">
        <v>70</v>
      </c>
      <c r="I6331" s="7">
        <v>32.5</v>
      </c>
      <c r="L6331" s="6" t="str">
        <f t="shared" si="613"/>
        <v>TG VOVO  ORTA SEHPA KÜÇÜK  70x70x32,5</v>
      </c>
      <c r="R6331" s="31">
        <v>19000</v>
      </c>
    </row>
    <row r="6332" spans="2:18" ht="21.95" customHeight="1" x14ac:dyDescent="0.2">
      <c r="B6332" s="6" t="s">
        <v>2156</v>
      </c>
      <c r="C6332" s="6" t="s">
        <v>2217</v>
      </c>
      <c r="D6332" s="6" t="s">
        <v>1862</v>
      </c>
      <c r="G6332" s="6">
        <v>70</v>
      </c>
      <c r="H6332" s="6">
        <v>70</v>
      </c>
      <c r="I6332" s="7">
        <v>51</v>
      </c>
      <c r="L6332" s="6" t="str">
        <f t="shared" si="613"/>
        <v>TG VOVO  YAN SEHPA  70x70x51</v>
      </c>
      <c r="R6332" s="31">
        <v>19500</v>
      </c>
    </row>
    <row r="6333" spans="2:18" ht="21.95" customHeight="1" x14ac:dyDescent="0.2">
      <c r="B6333" s="6" t="s">
        <v>2156</v>
      </c>
      <c r="C6333" s="6" t="s">
        <v>2218</v>
      </c>
      <c r="D6333" s="6" t="s">
        <v>660</v>
      </c>
      <c r="G6333" s="6">
        <v>119</v>
      </c>
      <c r="H6333" s="6">
        <v>119</v>
      </c>
      <c r="I6333" s="7">
        <v>34</v>
      </c>
      <c r="L6333" s="6" t="str">
        <f t="shared" si="613"/>
        <v>TG ELLE  ORTA SEHPA  119x119x34</v>
      </c>
      <c r="R6333" s="31">
        <v>48500</v>
      </c>
    </row>
    <row r="6334" spans="2:18" ht="21.95" customHeight="1" x14ac:dyDescent="0.2">
      <c r="B6334" s="6" t="s">
        <v>2156</v>
      </c>
      <c r="C6334" s="6" t="s">
        <v>2219</v>
      </c>
      <c r="D6334" s="6" t="s">
        <v>1862</v>
      </c>
      <c r="G6334" s="6">
        <v>70</v>
      </c>
      <c r="H6334" s="6">
        <v>70</v>
      </c>
      <c r="I6334" s="7">
        <v>48</v>
      </c>
      <c r="L6334" s="6" t="str">
        <f t="shared" si="613"/>
        <v>TG ELLE YAN SEHPA  70x70x48</v>
      </c>
      <c r="R6334" s="31">
        <v>34500</v>
      </c>
    </row>
    <row r="6335" spans="2:18" ht="21.95" customHeight="1" x14ac:dyDescent="0.2">
      <c r="B6335" s="6" t="s">
        <v>2156</v>
      </c>
      <c r="C6335" s="6" t="s">
        <v>2220</v>
      </c>
      <c r="D6335" s="6" t="s">
        <v>660</v>
      </c>
      <c r="G6335" s="6">
        <v>110</v>
      </c>
      <c r="H6335" s="6">
        <v>110</v>
      </c>
      <c r="I6335" s="7">
        <v>41</v>
      </c>
      <c r="L6335" s="6" t="str">
        <f t="shared" si="613"/>
        <v>TG HARLEY  ORTA SEHPA  110x110x41</v>
      </c>
      <c r="R6335" s="31">
        <v>27500</v>
      </c>
    </row>
    <row r="6336" spans="2:18" ht="21.95" customHeight="1" x14ac:dyDescent="0.2">
      <c r="B6336" s="6" t="s">
        <v>2156</v>
      </c>
      <c r="C6336" s="6" t="s">
        <v>2220</v>
      </c>
      <c r="D6336" s="6" t="s">
        <v>1862</v>
      </c>
      <c r="G6336" s="6">
        <v>58</v>
      </c>
      <c r="H6336" s="6">
        <v>58</v>
      </c>
      <c r="I6336" s="7">
        <v>61</v>
      </c>
      <c r="L6336" s="6" t="str">
        <f t="shared" si="613"/>
        <v>TG HARLEY  YAN SEHPA  58x58x61</v>
      </c>
      <c r="R6336" s="31">
        <v>20500</v>
      </c>
    </row>
    <row r="6337" spans="2:18" ht="21.95" customHeight="1" x14ac:dyDescent="0.2">
      <c r="B6337" s="6" t="s">
        <v>2156</v>
      </c>
      <c r="C6337" s="6" t="s">
        <v>2220</v>
      </c>
      <c r="D6337" s="6" t="s">
        <v>2173</v>
      </c>
      <c r="G6337" s="6">
        <v>44</v>
      </c>
      <c r="H6337" s="6">
        <v>44</v>
      </c>
      <c r="I6337" s="7" t="s">
        <v>2221</v>
      </c>
      <c r="L6337" s="6" t="str">
        <f t="shared" si="613"/>
        <v>TG HARLEY  3 LÜ SERVİS SEHPA  44x44x44-51-58</v>
      </c>
      <c r="R6337" s="31">
        <v>20500</v>
      </c>
    </row>
    <row r="6338" spans="2:18" ht="21.95" customHeight="1" x14ac:dyDescent="0.2">
      <c r="B6338" s="6" t="s">
        <v>2156</v>
      </c>
      <c r="C6338" s="6" t="s">
        <v>2222</v>
      </c>
      <c r="D6338" s="6" t="s">
        <v>660</v>
      </c>
      <c r="G6338" s="6">
        <v>156</v>
      </c>
      <c r="H6338" s="6">
        <v>80</v>
      </c>
      <c r="I6338" s="7">
        <v>36</v>
      </c>
      <c r="L6338" s="6" t="str">
        <f t="shared" si="613"/>
        <v>TG WANTED  ORTA SEHPA  156x80x36</v>
      </c>
      <c r="R6338" s="31">
        <v>34500</v>
      </c>
    </row>
    <row r="6339" spans="2:18" ht="21.95" customHeight="1" x14ac:dyDescent="0.2">
      <c r="B6339" s="6" t="s">
        <v>2156</v>
      </c>
      <c r="C6339" s="6" t="s">
        <v>2222</v>
      </c>
      <c r="D6339" s="6" t="s">
        <v>1862</v>
      </c>
      <c r="G6339" s="6">
        <v>50</v>
      </c>
      <c r="H6339" s="6">
        <v>50</v>
      </c>
      <c r="I6339" s="7">
        <v>63</v>
      </c>
      <c r="L6339" s="6" t="str">
        <f t="shared" si="613"/>
        <v>TG WANTED  YAN SEHPA  50x50x63</v>
      </c>
      <c r="R6339" s="31">
        <v>26500</v>
      </c>
    </row>
    <row r="6340" spans="2:18" ht="21.95" customHeight="1" x14ac:dyDescent="0.2">
      <c r="B6340" s="6" t="s">
        <v>2156</v>
      </c>
      <c r="C6340" s="6" t="s">
        <v>394</v>
      </c>
      <c r="D6340" s="6" t="s">
        <v>660</v>
      </c>
      <c r="G6340" s="6">
        <v>130</v>
      </c>
      <c r="H6340" s="6">
        <v>130</v>
      </c>
      <c r="I6340" s="7">
        <v>26</v>
      </c>
      <c r="L6340" s="6" t="str">
        <f t="shared" si="613"/>
        <v>TG GALAXY  ORTA SEHPA  130x130x26</v>
      </c>
      <c r="R6340" s="31">
        <v>25000</v>
      </c>
    </row>
    <row r="6341" spans="2:18" ht="21.95" customHeight="1" x14ac:dyDescent="0.2">
      <c r="B6341" s="6" t="s">
        <v>2156</v>
      </c>
      <c r="C6341" s="6" t="s">
        <v>394</v>
      </c>
      <c r="D6341" s="6" t="s">
        <v>1862</v>
      </c>
      <c r="G6341" s="6">
        <v>51</v>
      </c>
      <c r="H6341" s="6">
        <v>51</v>
      </c>
      <c r="I6341" s="7">
        <v>58</v>
      </c>
      <c r="L6341" s="6" t="str">
        <f t="shared" si="613"/>
        <v>TG GALAXY  YAN SEHPA  51x51x58</v>
      </c>
      <c r="R6341" s="31">
        <v>17000</v>
      </c>
    </row>
    <row r="6342" spans="2:18" ht="21.95" customHeight="1" x14ac:dyDescent="0.2">
      <c r="B6342" s="6" t="s">
        <v>2156</v>
      </c>
      <c r="C6342" s="6" t="s">
        <v>2223</v>
      </c>
      <c r="D6342" s="6" t="s">
        <v>2224</v>
      </c>
      <c r="G6342" s="6">
        <v>153</v>
      </c>
      <c r="H6342" s="6">
        <v>64.5</v>
      </c>
      <c r="I6342" s="7">
        <v>42</v>
      </c>
      <c r="L6342" s="6" t="str">
        <f t="shared" si="613"/>
        <v>TG KEY  ORTA SEHPA AMERİKAN CEVİZ  153x64,5x42</v>
      </c>
      <c r="R6342" s="31">
        <v>37000</v>
      </c>
    </row>
    <row r="6343" spans="2:18" ht="21.95" customHeight="1" x14ac:dyDescent="0.2">
      <c r="B6343" s="6" t="s">
        <v>2156</v>
      </c>
      <c r="C6343" s="6" t="s">
        <v>2223</v>
      </c>
      <c r="D6343" s="6" t="s">
        <v>2225</v>
      </c>
      <c r="G6343" s="6">
        <v>55</v>
      </c>
      <c r="H6343" s="6">
        <v>55</v>
      </c>
      <c r="I6343" s="7">
        <v>60</v>
      </c>
      <c r="L6343" s="6" t="str">
        <f t="shared" ref="L6343:L6374" si="614">B6343&amp;" "&amp;C6343&amp;" "&amp;D6343&amp;" "&amp;G6343&amp;"x"&amp;H6343&amp;"x"&amp;I6343</f>
        <v>TG KEY  YAN SEHPA AMERİKAN CEVİZ 55x55x60</v>
      </c>
      <c r="R6343" s="31">
        <v>23000</v>
      </c>
    </row>
    <row r="6344" spans="2:18" ht="21.95" customHeight="1" x14ac:dyDescent="0.2">
      <c r="B6344" s="6" t="s">
        <v>2156</v>
      </c>
      <c r="C6344" s="6" t="s">
        <v>2226</v>
      </c>
      <c r="D6344" s="6" t="s">
        <v>660</v>
      </c>
      <c r="G6344" s="6">
        <v>120</v>
      </c>
      <c r="H6344" s="6">
        <v>120</v>
      </c>
      <c r="I6344" s="7">
        <v>44</v>
      </c>
      <c r="L6344" s="6" t="str">
        <f t="shared" si="614"/>
        <v>TG BARCELONA  ORTA SEHPA  120x120x44</v>
      </c>
      <c r="R6344" s="31">
        <v>21000</v>
      </c>
    </row>
    <row r="6345" spans="2:18" ht="21.95" customHeight="1" x14ac:dyDescent="0.2">
      <c r="B6345" s="6" t="s">
        <v>2156</v>
      </c>
      <c r="C6345" s="6" t="s">
        <v>2226</v>
      </c>
      <c r="D6345" s="6" t="s">
        <v>2227</v>
      </c>
      <c r="G6345" s="6">
        <v>44</v>
      </c>
      <c r="H6345" s="6">
        <v>44</v>
      </c>
      <c r="I6345" s="7" t="s">
        <v>2228</v>
      </c>
      <c r="L6345" s="6" t="str">
        <f t="shared" si="614"/>
        <v>TG BARCELONA  3 LÜ SERVİS SEHPASI  44x44x58-51-44</v>
      </c>
      <c r="R6345" s="31">
        <v>11500</v>
      </c>
    </row>
    <row r="6346" spans="2:18" ht="21.95" customHeight="1" x14ac:dyDescent="0.2">
      <c r="B6346" s="6" t="s">
        <v>2156</v>
      </c>
      <c r="C6346" s="6" t="s">
        <v>2229</v>
      </c>
      <c r="D6346" s="6" t="s">
        <v>2230</v>
      </c>
      <c r="G6346" s="6">
        <v>75</v>
      </c>
      <c r="H6346" s="6">
        <v>75</v>
      </c>
      <c r="I6346" s="7" t="s">
        <v>2232</v>
      </c>
      <c r="L6346" s="6" t="str">
        <f t="shared" si="614"/>
        <v>TG STAR  2 Lİ ORTA SEHPA  75x75x36-43</v>
      </c>
      <c r="R6346" s="31">
        <v>27000</v>
      </c>
    </row>
    <row r="6347" spans="2:18" ht="21.95" customHeight="1" x14ac:dyDescent="0.2">
      <c r="B6347" s="6" t="s">
        <v>2156</v>
      </c>
      <c r="C6347" s="6" t="s">
        <v>2229</v>
      </c>
      <c r="D6347" s="6" t="s">
        <v>2231</v>
      </c>
      <c r="G6347" s="5" t="s">
        <v>2182</v>
      </c>
      <c r="H6347" s="5" t="s">
        <v>2182</v>
      </c>
      <c r="I6347" s="7" t="s">
        <v>2233</v>
      </c>
      <c r="L6347" s="6" t="str">
        <f t="shared" si="614"/>
        <v>TG STAR  2 Lİ SET SEHPA  50-40x50-40x50-42</v>
      </c>
      <c r="R6347" s="31">
        <v>25500</v>
      </c>
    </row>
    <row r="6348" spans="2:18" ht="21.95" customHeight="1" x14ac:dyDescent="0.2">
      <c r="B6348" s="6" t="s">
        <v>2156</v>
      </c>
      <c r="C6348" s="6" t="s">
        <v>2234</v>
      </c>
      <c r="D6348" s="6" t="s">
        <v>2235</v>
      </c>
      <c r="G6348" s="6" t="s">
        <v>2237</v>
      </c>
      <c r="H6348" s="6" t="s">
        <v>2237</v>
      </c>
      <c r="I6348" s="7" t="s">
        <v>2238</v>
      </c>
      <c r="L6348" s="6" t="str">
        <f t="shared" si="614"/>
        <v>TG LEON  3 LÜ ORTA SEHPA  90-64-44x90-64-44x51-44-37</v>
      </c>
      <c r="R6348" s="31">
        <v>25000</v>
      </c>
    </row>
    <row r="6349" spans="2:18" ht="21.95" customHeight="1" x14ac:dyDescent="0.2">
      <c r="B6349" s="6" t="s">
        <v>2156</v>
      </c>
      <c r="C6349" s="6" t="s">
        <v>2234</v>
      </c>
      <c r="D6349" s="6" t="s">
        <v>2236</v>
      </c>
      <c r="G6349" s="5" t="s">
        <v>2239</v>
      </c>
      <c r="H6349" s="5" t="s">
        <v>2239</v>
      </c>
      <c r="I6349" s="7" t="s">
        <v>2240</v>
      </c>
      <c r="L6349" s="6" t="str">
        <f t="shared" si="614"/>
        <v>TG LEON  3 LÜ SERVİS SEHPA 37-45-53x37-45-53x45-52-59</v>
      </c>
      <c r="R6349" s="31">
        <v>18500</v>
      </c>
    </row>
    <row r="6350" spans="2:18" ht="21.95" customHeight="1" x14ac:dyDescent="0.2">
      <c r="B6350" s="6" t="s">
        <v>2156</v>
      </c>
      <c r="C6350" s="6" t="s">
        <v>2241</v>
      </c>
      <c r="D6350" s="6" t="s">
        <v>2242</v>
      </c>
      <c r="G6350" s="5">
        <v>60</v>
      </c>
      <c r="H6350" s="5">
        <v>60</v>
      </c>
      <c r="I6350" s="7" t="s">
        <v>2243</v>
      </c>
      <c r="L6350" s="6" t="str">
        <f t="shared" si="614"/>
        <v>TG MUSHROOM  2 Lİ SET SEHPA CEVİZ  60x60x55-49</v>
      </c>
      <c r="R6350" s="31">
        <v>29000</v>
      </c>
    </row>
    <row r="6351" spans="2:18" ht="21.95" customHeight="1" x14ac:dyDescent="0.2">
      <c r="B6351" s="6" t="s">
        <v>2156</v>
      </c>
      <c r="C6351" s="6" t="s">
        <v>2241</v>
      </c>
      <c r="D6351" s="6" t="s">
        <v>2244</v>
      </c>
      <c r="G6351" s="5">
        <v>60</v>
      </c>
      <c r="H6351" s="5">
        <v>60</v>
      </c>
      <c r="I6351" s="7" t="s">
        <v>2243</v>
      </c>
      <c r="L6351" s="6" t="str">
        <f t="shared" si="614"/>
        <v>TG MUSHROOM  2 Lİ SET SEHPA SİYAH  60x60x55-49</v>
      </c>
      <c r="R6351" s="31">
        <v>29000</v>
      </c>
    </row>
    <row r="6352" spans="2:18" ht="21.95" customHeight="1" x14ac:dyDescent="0.2">
      <c r="B6352" s="6" t="s">
        <v>2156</v>
      </c>
      <c r="C6352" s="6" t="s">
        <v>1095</v>
      </c>
      <c r="D6352" s="6" t="s">
        <v>530</v>
      </c>
      <c r="G6352" s="5">
        <v>145</v>
      </c>
      <c r="H6352" s="5">
        <v>35</v>
      </c>
      <c r="I6352" s="7">
        <v>145</v>
      </c>
      <c r="L6352" s="6" t="str">
        <f t="shared" si="614"/>
        <v>TG PUMA  KİTAPLIK  145x35x145</v>
      </c>
      <c r="R6352" s="31">
        <v>26500</v>
      </c>
    </row>
    <row r="6353" spans="2:18" ht="21.95" customHeight="1" x14ac:dyDescent="0.2">
      <c r="B6353" s="6" t="s">
        <v>2156</v>
      </c>
      <c r="C6353" s="6" t="s">
        <v>1095</v>
      </c>
      <c r="D6353" s="6" t="s">
        <v>2173</v>
      </c>
      <c r="G6353" s="5" t="s">
        <v>2245</v>
      </c>
      <c r="H6353" s="5" t="s">
        <v>2246</v>
      </c>
      <c r="I6353" s="7" t="s">
        <v>2247</v>
      </c>
      <c r="L6353" s="6" t="str">
        <f t="shared" si="614"/>
        <v>TG PUMA  3 LÜ SERVİS SEHPA  52-44-36x40-38-35x60-56-51</v>
      </c>
      <c r="R6353" s="31">
        <v>16500</v>
      </c>
    </row>
    <row r="6354" spans="2:18" ht="21.95" customHeight="1" x14ac:dyDescent="0.2">
      <c r="B6354" s="6" t="s">
        <v>2156</v>
      </c>
      <c r="C6354" s="6" t="s">
        <v>1871</v>
      </c>
      <c r="D6354" s="6" t="s">
        <v>2173</v>
      </c>
      <c r="G6354" s="6" t="s">
        <v>2248</v>
      </c>
      <c r="H6354" s="6" t="s">
        <v>2249</v>
      </c>
      <c r="I6354" s="7" t="s">
        <v>2250</v>
      </c>
      <c r="L6354" s="6" t="str">
        <f t="shared" si="614"/>
        <v>TG MİLANO  3 LÜ SERVİS SEHPA  52-45-38x46-45-44x56-50-45</v>
      </c>
      <c r="R6354" s="31">
        <v>15500</v>
      </c>
    </row>
    <row r="6355" spans="2:18" ht="21.95" customHeight="1" x14ac:dyDescent="0.2">
      <c r="B6355" s="6" t="s">
        <v>2156</v>
      </c>
      <c r="C6355" s="6" t="s">
        <v>1871</v>
      </c>
      <c r="D6355" s="6" t="s">
        <v>1862</v>
      </c>
      <c r="G6355" s="5">
        <v>40</v>
      </c>
      <c r="H6355" s="6">
        <v>43</v>
      </c>
      <c r="I6355" s="7">
        <v>61</v>
      </c>
      <c r="L6355" s="6" t="str">
        <f t="shared" si="614"/>
        <v>TG MİLANO  YAN SEHPA  40x43x61</v>
      </c>
      <c r="R6355" s="31">
        <v>14000</v>
      </c>
    </row>
    <row r="6356" spans="2:18" ht="21.95" customHeight="1" x14ac:dyDescent="0.2">
      <c r="B6356" s="6" t="s">
        <v>2156</v>
      </c>
      <c r="C6356" s="5" t="s">
        <v>2251</v>
      </c>
      <c r="D6356" s="6" t="s">
        <v>660</v>
      </c>
      <c r="G6356" s="6">
        <v>133</v>
      </c>
      <c r="H6356" s="6">
        <v>80</v>
      </c>
      <c r="I6356" s="7">
        <v>35</v>
      </c>
      <c r="L6356" s="6" t="str">
        <f t="shared" si="614"/>
        <v>TG QUATRO  ORTA SEHPA  133x80x35</v>
      </c>
      <c r="R6356" s="31">
        <v>33500</v>
      </c>
    </row>
    <row r="6357" spans="2:18" ht="21.95" customHeight="1" x14ac:dyDescent="0.2">
      <c r="B6357" s="6" t="s">
        <v>2156</v>
      </c>
      <c r="C6357" s="6" t="s">
        <v>2298</v>
      </c>
      <c r="D6357" s="6" t="s">
        <v>660</v>
      </c>
      <c r="G6357" s="6">
        <v>180</v>
      </c>
      <c r="H6357" s="6">
        <v>70</v>
      </c>
      <c r="I6357" s="7">
        <v>28</v>
      </c>
      <c r="L6357" s="6" t="str">
        <f t="shared" si="614"/>
        <v>TG BOEİNG ORTA SEHPA  180x70x28</v>
      </c>
      <c r="R6357" s="31">
        <v>22000</v>
      </c>
    </row>
    <row r="6358" spans="2:18" ht="21.95" customHeight="1" x14ac:dyDescent="0.2">
      <c r="B6358" s="6" t="s">
        <v>2156</v>
      </c>
      <c r="C6358" s="6" t="s">
        <v>2252</v>
      </c>
      <c r="D6358" s="6" t="s">
        <v>660</v>
      </c>
      <c r="G6358" s="6">
        <v>120</v>
      </c>
      <c r="H6358" s="6">
        <v>120</v>
      </c>
      <c r="I6358" s="7">
        <v>28</v>
      </c>
      <c r="L6358" s="6" t="str">
        <f t="shared" si="614"/>
        <v>TG FLOWER  ORTA SEHPA  120x120x28</v>
      </c>
      <c r="R6358" s="31">
        <v>24000</v>
      </c>
    </row>
    <row r="6359" spans="2:18" ht="21.95" customHeight="1" x14ac:dyDescent="0.2">
      <c r="B6359" s="6" t="s">
        <v>2156</v>
      </c>
      <c r="C6359" s="6" t="s">
        <v>2253</v>
      </c>
      <c r="D6359" s="6" t="s">
        <v>660</v>
      </c>
      <c r="G6359" s="6">
        <v>110</v>
      </c>
      <c r="H6359" s="6">
        <v>110</v>
      </c>
      <c r="I6359" s="7" t="s">
        <v>2254</v>
      </c>
      <c r="L6359" s="6" t="str">
        <f t="shared" si="614"/>
        <v>TG FOREVER  ORTA SEHPA  110x110x27-21</v>
      </c>
      <c r="R6359" s="31">
        <v>24000</v>
      </c>
    </row>
    <row r="6360" spans="2:18" ht="21.95" customHeight="1" x14ac:dyDescent="0.2">
      <c r="B6360" s="6" t="s">
        <v>2156</v>
      </c>
      <c r="C6360" s="6" t="s">
        <v>2255</v>
      </c>
      <c r="D6360" s="6" t="s">
        <v>660</v>
      </c>
      <c r="G6360" s="6">
        <v>130</v>
      </c>
      <c r="H6360" s="6">
        <v>90</v>
      </c>
      <c r="I6360" s="7">
        <v>29</v>
      </c>
      <c r="L6360" s="6" t="str">
        <f t="shared" si="614"/>
        <v>TG ROLEX  ORTA SEHPA  130x90x29</v>
      </c>
      <c r="R6360" s="31">
        <v>24000</v>
      </c>
    </row>
    <row r="6361" spans="2:18" ht="21.95" customHeight="1" x14ac:dyDescent="0.2">
      <c r="B6361" s="6" t="s">
        <v>2156</v>
      </c>
      <c r="C6361" s="6" t="s">
        <v>2256</v>
      </c>
      <c r="D6361" s="6" t="s">
        <v>1862</v>
      </c>
      <c r="G6361" s="6">
        <v>86</v>
      </c>
      <c r="H6361" s="6">
        <v>37.5</v>
      </c>
      <c r="I6361" s="7">
        <v>61</v>
      </c>
      <c r="L6361" s="6" t="str">
        <f t="shared" si="614"/>
        <v>TG PARS  YAN SEHPA  86x37,5x61</v>
      </c>
      <c r="R6361" s="31">
        <v>18500</v>
      </c>
    </row>
    <row r="6362" spans="2:18" ht="21.95" customHeight="1" x14ac:dyDescent="0.2">
      <c r="B6362" s="6" t="s">
        <v>2156</v>
      </c>
      <c r="C6362" s="6" t="s">
        <v>2257</v>
      </c>
      <c r="D6362" s="6" t="s">
        <v>2258</v>
      </c>
      <c r="G6362" s="6">
        <v>48</v>
      </c>
      <c r="H6362" s="6">
        <v>49</v>
      </c>
      <c r="I6362" s="7">
        <v>50</v>
      </c>
      <c r="L6362" s="6" t="str">
        <f t="shared" si="614"/>
        <v>TG KAJU  YAN SEHPA CEVİZ  48x49x50</v>
      </c>
      <c r="R6362" s="31">
        <v>12000</v>
      </c>
    </row>
    <row r="6363" spans="2:18" ht="21.95" customHeight="1" x14ac:dyDescent="0.2">
      <c r="B6363" s="6" t="s">
        <v>2156</v>
      </c>
      <c r="C6363" s="6" t="s">
        <v>2257</v>
      </c>
      <c r="D6363" s="6" t="s">
        <v>2259</v>
      </c>
      <c r="G6363" s="6">
        <v>48</v>
      </c>
      <c r="H6363" s="6">
        <v>49</v>
      </c>
      <c r="I6363" s="7">
        <v>50</v>
      </c>
      <c r="L6363" s="6" t="str">
        <f t="shared" si="614"/>
        <v>TG KAJU  YAN SEHPA SİYAH  48x49x50</v>
      </c>
      <c r="R6363" s="31">
        <v>12000</v>
      </c>
    </row>
    <row r="6364" spans="2:18" ht="21.95" customHeight="1" x14ac:dyDescent="0.2">
      <c r="B6364" s="6" t="s">
        <v>2156</v>
      </c>
      <c r="C6364" s="6" t="s">
        <v>2260</v>
      </c>
      <c r="D6364" s="6" t="s">
        <v>1862</v>
      </c>
      <c r="G6364" s="6">
        <v>55</v>
      </c>
      <c r="H6364" s="6">
        <v>55</v>
      </c>
      <c r="I6364" s="7">
        <v>53</v>
      </c>
      <c r="L6364" s="6" t="str">
        <f t="shared" si="614"/>
        <v>TG CHUBBY YAN SEHPA  55x55x53</v>
      </c>
      <c r="R6364" s="31">
        <v>33500</v>
      </c>
    </row>
    <row r="6365" spans="2:18" ht="21.95" customHeight="1" x14ac:dyDescent="0.2">
      <c r="B6365" s="6" t="s">
        <v>2156</v>
      </c>
      <c r="C6365" s="6" t="s">
        <v>2261</v>
      </c>
      <c r="D6365" s="6" t="s">
        <v>2176</v>
      </c>
      <c r="G6365" s="6" t="s">
        <v>2262</v>
      </c>
      <c r="H6365" s="6" t="s">
        <v>2233</v>
      </c>
      <c r="I6365" s="7" t="s">
        <v>2263</v>
      </c>
      <c r="L6365" s="6" t="str">
        <f t="shared" si="614"/>
        <v>TG ASTRAL  2 Lİ SERVİS SEHPA  60-47x50-42x60-53</v>
      </c>
      <c r="R6365" s="31">
        <v>21000</v>
      </c>
    </row>
    <row r="6366" spans="2:18" ht="21.95" customHeight="1" x14ac:dyDescent="0.2">
      <c r="B6366" s="6" t="s">
        <v>2156</v>
      </c>
      <c r="C6366" s="6" t="s">
        <v>2264</v>
      </c>
      <c r="D6366" s="6" t="s">
        <v>2173</v>
      </c>
      <c r="G6366" s="6" t="s">
        <v>2265</v>
      </c>
      <c r="H6366" s="6">
        <v>45</v>
      </c>
      <c r="I6366" s="7" t="s">
        <v>2266</v>
      </c>
      <c r="L6366" s="6" t="str">
        <f t="shared" si="614"/>
        <v>TG LOTTO  3 LÜ SERVİS SEHPA  53-45-37x45x61-55-49</v>
      </c>
      <c r="R6366" s="31">
        <v>22000</v>
      </c>
    </row>
    <row r="6367" spans="2:18" ht="21.95" customHeight="1" x14ac:dyDescent="0.2">
      <c r="B6367" s="6" t="s">
        <v>2156</v>
      </c>
      <c r="C6367" s="6" t="s">
        <v>2267</v>
      </c>
      <c r="D6367" s="6" t="s">
        <v>2173</v>
      </c>
      <c r="G6367" s="6" t="s">
        <v>2268</v>
      </c>
      <c r="H6367" s="6" t="s">
        <v>2269</v>
      </c>
      <c r="I6367" s="7" t="s">
        <v>2270</v>
      </c>
      <c r="L6367" s="6" t="str">
        <f t="shared" si="614"/>
        <v>TG SOLO  3 LÜ SERVİS SEHPA  49-41-43x43-40-38x60-56-52</v>
      </c>
      <c r="R6367" s="31">
        <v>16500</v>
      </c>
    </row>
    <row r="6368" spans="2:18" ht="21.95" customHeight="1" x14ac:dyDescent="0.2">
      <c r="B6368" s="6" t="s">
        <v>2156</v>
      </c>
      <c r="C6368" s="6" t="s">
        <v>2271</v>
      </c>
      <c r="D6368" s="6" t="s">
        <v>2173</v>
      </c>
      <c r="G6368" s="6" t="s">
        <v>2272</v>
      </c>
      <c r="H6368" s="6" t="s">
        <v>2273</v>
      </c>
      <c r="I6368" s="7" t="s">
        <v>2175</v>
      </c>
      <c r="L6368" s="6" t="str">
        <f t="shared" si="614"/>
        <v>TG LİPA  3 LÜ SERVİS SEHPA  55-48-41x40-40-40x55-51-47</v>
      </c>
      <c r="R6368" s="31">
        <v>18500</v>
      </c>
    </row>
    <row r="6369" spans="2:18" ht="21.95" customHeight="1" x14ac:dyDescent="0.2">
      <c r="B6369" s="6" t="s">
        <v>2156</v>
      </c>
      <c r="C6369" s="6" t="s">
        <v>2274</v>
      </c>
      <c r="D6369" s="6" t="s">
        <v>2173</v>
      </c>
      <c r="G6369" s="5">
        <v>37</v>
      </c>
      <c r="H6369" s="6" t="s">
        <v>2275</v>
      </c>
      <c r="I6369" s="7" t="s">
        <v>2276</v>
      </c>
      <c r="L6369" s="6" t="str">
        <f t="shared" si="614"/>
        <v>TG TRİGON  3 LÜ SERVİS SEHPA  37x60-50-40x55-52,5-50</v>
      </c>
      <c r="R6369" s="31">
        <v>21000</v>
      </c>
    </row>
    <row r="6370" spans="2:18" ht="21.95" customHeight="1" x14ac:dyDescent="0.2">
      <c r="B6370" s="6" t="s">
        <v>2156</v>
      </c>
      <c r="C6370" s="6" t="s">
        <v>2277</v>
      </c>
      <c r="D6370" s="6" t="s">
        <v>2173</v>
      </c>
      <c r="G6370" s="5">
        <v>49</v>
      </c>
      <c r="H6370" s="5">
        <v>35</v>
      </c>
      <c r="I6370" s="7" t="s">
        <v>2278</v>
      </c>
      <c r="L6370" s="6" t="str">
        <f t="shared" si="614"/>
        <v>TG BOLERO  3 LÜ SERVİS SEHPA  49x35x55-51-57</v>
      </c>
      <c r="R6370" s="31">
        <v>17000</v>
      </c>
    </row>
    <row r="6371" spans="2:18" ht="21.95" customHeight="1" x14ac:dyDescent="0.2">
      <c r="B6371" s="6" t="s">
        <v>2156</v>
      </c>
      <c r="C6371" s="6" t="s">
        <v>1848</v>
      </c>
      <c r="D6371" s="6" t="s">
        <v>2173</v>
      </c>
      <c r="G6371" s="5">
        <v>44</v>
      </c>
      <c r="H6371" s="5">
        <v>44</v>
      </c>
      <c r="I6371" s="7" t="s">
        <v>2228</v>
      </c>
      <c r="L6371" s="6" t="str">
        <f t="shared" si="614"/>
        <v>TG GOLF  3 LÜ SERVİS SEHPA  44x44x58-51-44</v>
      </c>
      <c r="R6371" s="31">
        <v>16000</v>
      </c>
    </row>
    <row r="6372" spans="2:18" ht="21.95" customHeight="1" x14ac:dyDescent="0.2">
      <c r="B6372" s="6" t="s">
        <v>2156</v>
      </c>
      <c r="C6372" s="6" t="s">
        <v>2279</v>
      </c>
      <c r="D6372" s="6" t="s">
        <v>2280</v>
      </c>
      <c r="G6372" s="6">
        <v>93</v>
      </c>
      <c r="H6372" s="5">
        <v>78</v>
      </c>
      <c r="I6372" s="7">
        <v>6</v>
      </c>
      <c r="L6372" s="6" t="str">
        <f t="shared" si="614"/>
        <v>TG TİMES  SAAT SİYAH  93x78x6</v>
      </c>
      <c r="R6372" s="31">
        <v>23000</v>
      </c>
    </row>
    <row r="6373" spans="2:18" ht="21.95" customHeight="1" x14ac:dyDescent="0.2">
      <c r="B6373" s="6" t="s">
        <v>2156</v>
      </c>
      <c r="C6373" s="6" t="s">
        <v>2279</v>
      </c>
      <c r="D6373" s="6" t="s">
        <v>2281</v>
      </c>
      <c r="G6373" s="6">
        <v>93</v>
      </c>
      <c r="H6373" s="6">
        <v>78</v>
      </c>
      <c r="I6373" s="7">
        <v>6</v>
      </c>
      <c r="L6373" s="6" t="str">
        <f t="shared" si="614"/>
        <v>TG TİMES  SAAT CEVİZ 93x78x6</v>
      </c>
      <c r="R6373" s="31">
        <v>23000</v>
      </c>
    </row>
    <row r="6374" spans="2:18" ht="21.95" customHeight="1" x14ac:dyDescent="0.2">
      <c r="B6374" s="6" t="s">
        <v>2156</v>
      </c>
      <c r="C6374" s="6" t="s">
        <v>1612</v>
      </c>
      <c r="D6374" s="6" t="s">
        <v>168</v>
      </c>
      <c r="G6374" s="6">
        <v>70</v>
      </c>
      <c r="H6374" s="6">
        <v>85</v>
      </c>
      <c r="I6374" s="7">
        <v>72</v>
      </c>
      <c r="L6374" s="6" t="str">
        <f t="shared" si="614"/>
        <v>TG BOHEM  BERJER  70x85x72</v>
      </c>
      <c r="R6374" s="31">
        <v>48000</v>
      </c>
    </row>
    <row r="6375" spans="2:18" ht="21.95" customHeight="1" x14ac:dyDescent="0.2">
      <c r="B6375" s="6" t="s">
        <v>2156</v>
      </c>
      <c r="C6375" s="6" t="s">
        <v>2202</v>
      </c>
      <c r="D6375" s="6" t="s">
        <v>168</v>
      </c>
      <c r="G6375" s="6">
        <v>92</v>
      </c>
      <c r="H6375" s="6">
        <v>83</v>
      </c>
      <c r="I6375" s="7">
        <v>72</v>
      </c>
      <c r="L6375" s="6" t="str">
        <f t="shared" ref="L6375:L6398" si="615">B6375&amp;" "&amp;C6375&amp;" "&amp;D6375&amp;" "&amp;G6375&amp;"x"&amp;H6375&amp;"x"&amp;I6375</f>
        <v>TG VEGA  BERJER  92x83x72</v>
      </c>
      <c r="R6375" s="31">
        <v>47500</v>
      </c>
    </row>
    <row r="6376" spans="2:18" ht="21.95" customHeight="1" x14ac:dyDescent="0.2">
      <c r="B6376" s="6" t="s">
        <v>2156</v>
      </c>
      <c r="C6376" s="6" t="s">
        <v>2282</v>
      </c>
      <c r="D6376" s="6" t="s">
        <v>168</v>
      </c>
      <c r="G6376" s="6">
        <v>78</v>
      </c>
      <c r="H6376" s="6">
        <v>83</v>
      </c>
      <c r="I6376" s="7">
        <v>80</v>
      </c>
      <c r="L6376" s="6" t="str">
        <f t="shared" si="615"/>
        <v>TG PUFFY  BERJER  78x83x80</v>
      </c>
      <c r="R6376" s="31">
        <v>23500</v>
      </c>
    </row>
    <row r="6377" spans="2:18" ht="21.95" customHeight="1" x14ac:dyDescent="0.2">
      <c r="B6377" s="6" t="s">
        <v>2156</v>
      </c>
      <c r="C6377" s="6" t="s">
        <v>2163</v>
      </c>
      <c r="D6377" s="6" t="s">
        <v>168</v>
      </c>
      <c r="G6377" s="6">
        <v>74</v>
      </c>
      <c r="H6377" s="6">
        <v>84</v>
      </c>
      <c r="I6377" s="7">
        <v>84</v>
      </c>
      <c r="L6377" s="6" t="str">
        <f t="shared" si="615"/>
        <v>TG MERLO  BERJER  74x84x84</v>
      </c>
      <c r="R6377" s="31">
        <v>47000</v>
      </c>
    </row>
    <row r="6378" spans="2:18" ht="21.95" customHeight="1" x14ac:dyDescent="0.2">
      <c r="B6378" s="6" t="s">
        <v>2156</v>
      </c>
      <c r="C6378" s="6" t="s">
        <v>1399</v>
      </c>
      <c r="D6378" s="6" t="s">
        <v>168</v>
      </c>
      <c r="G6378" s="6">
        <v>66</v>
      </c>
      <c r="H6378" s="6">
        <v>95</v>
      </c>
      <c r="I6378" s="7">
        <v>87</v>
      </c>
      <c r="L6378" s="6" t="str">
        <f t="shared" si="615"/>
        <v>TG HUGO BERJER  66x95x87</v>
      </c>
      <c r="R6378" s="31">
        <v>57500</v>
      </c>
    </row>
    <row r="6379" spans="2:18" ht="21.95" customHeight="1" x14ac:dyDescent="0.2">
      <c r="B6379" s="6" t="s">
        <v>2156</v>
      </c>
      <c r="C6379" s="6" t="s">
        <v>2283</v>
      </c>
      <c r="D6379" s="6" t="s">
        <v>168</v>
      </c>
      <c r="G6379" s="6">
        <v>66</v>
      </c>
      <c r="H6379" s="6">
        <v>102</v>
      </c>
      <c r="I6379" s="7">
        <v>100</v>
      </c>
      <c r="L6379" s="6" t="str">
        <f t="shared" si="615"/>
        <v>TG RELAX  BERJER  66x102x100</v>
      </c>
      <c r="R6379" s="31">
        <v>34500</v>
      </c>
    </row>
    <row r="6380" spans="2:18" ht="21.95" customHeight="1" x14ac:dyDescent="0.2">
      <c r="B6380" s="6" t="s">
        <v>2156</v>
      </c>
      <c r="C6380" s="6" t="s">
        <v>2284</v>
      </c>
      <c r="D6380" s="6" t="s">
        <v>168</v>
      </c>
      <c r="G6380" s="6">
        <v>72</v>
      </c>
      <c r="H6380" s="6">
        <v>95</v>
      </c>
      <c r="I6380" s="7">
        <v>80</v>
      </c>
      <c r="L6380" s="6" t="str">
        <f t="shared" si="615"/>
        <v>TG LERONE  BERJER  72x95x80</v>
      </c>
      <c r="R6380" s="31">
        <v>37000</v>
      </c>
    </row>
    <row r="6381" spans="2:18" ht="21.95" customHeight="1" x14ac:dyDescent="0.2">
      <c r="B6381" s="6" t="s">
        <v>2156</v>
      </c>
      <c r="C6381" s="6" t="s">
        <v>2285</v>
      </c>
      <c r="D6381" s="6" t="s">
        <v>168</v>
      </c>
      <c r="G6381" s="6">
        <v>76</v>
      </c>
      <c r="H6381" s="6">
        <v>76</v>
      </c>
      <c r="I6381" s="7">
        <v>75</v>
      </c>
      <c r="L6381" s="6" t="str">
        <f t="shared" si="615"/>
        <v>TG MAYA  BERJER  76x76x75</v>
      </c>
      <c r="R6381" s="31">
        <v>32000</v>
      </c>
    </row>
    <row r="6382" spans="2:18" ht="21.95" customHeight="1" x14ac:dyDescent="0.2">
      <c r="B6382" s="6" t="s">
        <v>2156</v>
      </c>
      <c r="C6382" s="6" t="s">
        <v>2286</v>
      </c>
      <c r="D6382" s="6" t="s">
        <v>588</v>
      </c>
      <c r="G6382" s="6">
        <v>115</v>
      </c>
      <c r="H6382" s="6">
        <v>37</v>
      </c>
      <c r="I6382" s="7">
        <v>160</v>
      </c>
      <c r="L6382" s="6" t="str">
        <f t="shared" si="615"/>
        <v>TG RAMA  DRESUAR  115x37x160</v>
      </c>
      <c r="R6382" s="31">
        <v>30500</v>
      </c>
    </row>
    <row r="6383" spans="2:18" ht="21.95" customHeight="1" x14ac:dyDescent="0.2">
      <c r="B6383" s="6" t="s">
        <v>2156</v>
      </c>
      <c r="C6383" s="6" t="s">
        <v>2287</v>
      </c>
      <c r="D6383" s="6" t="s">
        <v>2288</v>
      </c>
      <c r="G6383" s="6">
        <v>98</v>
      </c>
      <c r="H6383" s="6">
        <v>57</v>
      </c>
      <c r="I6383" s="7">
        <v>30</v>
      </c>
      <c r="L6383" s="6" t="str">
        <f t="shared" si="615"/>
        <v>TG JOKER  PUF DİKDÖRTGEN  98x57x30</v>
      </c>
      <c r="R6383" s="31">
        <v>16000</v>
      </c>
    </row>
    <row r="6384" spans="2:18" ht="21.95" customHeight="1" x14ac:dyDescent="0.2">
      <c r="B6384" s="6" t="s">
        <v>2156</v>
      </c>
      <c r="C6384" s="6" t="s">
        <v>2287</v>
      </c>
      <c r="D6384" s="6" t="s">
        <v>2288</v>
      </c>
      <c r="G6384" s="6">
        <v>98</v>
      </c>
      <c r="H6384" s="6">
        <v>57</v>
      </c>
      <c r="I6384" s="7">
        <v>30</v>
      </c>
      <c r="L6384" s="6" t="str">
        <f t="shared" si="615"/>
        <v>TG JOKER  PUF DİKDÖRTGEN  98x57x30</v>
      </c>
      <c r="R6384" s="31">
        <v>16000</v>
      </c>
    </row>
    <row r="6385" spans="1:23" ht="21.95" customHeight="1" x14ac:dyDescent="0.2">
      <c r="B6385" s="6" t="s">
        <v>2156</v>
      </c>
      <c r="C6385" s="6" t="s">
        <v>2287</v>
      </c>
      <c r="D6385" s="6" t="s">
        <v>2289</v>
      </c>
      <c r="G6385" s="6">
        <v>58</v>
      </c>
      <c r="H6385" s="6">
        <v>58</v>
      </c>
      <c r="I6385" s="7">
        <v>30</v>
      </c>
      <c r="L6385" s="6" t="str">
        <f t="shared" si="615"/>
        <v>TG JOKER  PUF KARE  58x58x30</v>
      </c>
      <c r="R6385" s="31">
        <v>14500</v>
      </c>
    </row>
    <row r="6386" spans="1:23" ht="21.95" customHeight="1" x14ac:dyDescent="0.2">
      <c r="B6386" s="6" t="s">
        <v>2156</v>
      </c>
      <c r="C6386" s="6" t="s">
        <v>2290</v>
      </c>
      <c r="D6386" s="6" t="s">
        <v>2291</v>
      </c>
      <c r="G6386" s="6">
        <v>65</v>
      </c>
      <c r="H6386" s="6">
        <v>65</v>
      </c>
      <c r="I6386" s="7">
        <v>40</v>
      </c>
      <c r="L6386" s="6" t="str">
        <f t="shared" si="615"/>
        <v>TG MOODUFF PUF DİKDÖRTGEN TABA  65x65x40</v>
      </c>
      <c r="R6386" s="31">
        <v>27500</v>
      </c>
    </row>
    <row r="6387" spans="1:23" ht="21.95" customHeight="1" x14ac:dyDescent="0.2">
      <c r="B6387" s="6" t="s">
        <v>2156</v>
      </c>
      <c r="C6387" s="6" t="s">
        <v>2290</v>
      </c>
      <c r="D6387" s="6" t="s">
        <v>2292</v>
      </c>
      <c r="G6387" s="6">
        <v>45</v>
      </c>
      <c r="H6387" s="6">
        <v>45</v>
      </c>
      <c r="I6387" s="7">
        <v>40</v>
      </c>
      <c r="L6387" s="6" t="str">
        <f t="shared" si="615"/>
        <v>TG MOODUFF PUF KARE SİYAH  45x45x40</v>
      </c>
      <c r="R6387" s="31">
        <v>24000</v>
      </c>
    </row>
    <row r="6388" spans="1:23" ht="21.95" customHeight="1" x14ac:dyDescent="0.2">
      <c r="B6388" s="6" t="s">
        <v>2156</v>
      </c>
      <c r="C6388" s="6" t="s">
        <v>2290</v>
      </c>
      <c r="D6388" s="6" t="s">
        <v>2293</v>
      </c>
      <c r="G6388" s="6">
        <v>65</v>
      </c>
      <c r="H6388" s="6">
        <v>65</v>
      </c>
      <c r="I6388" s="7">
        <v>32</v>
      </c>
      <c r="L6388" s="6" t="str">
        <f t="shared" si="615"/>
        <v>TG MOODUFF PUF YUVARLAK SİYAH  65x65x32</v>
      </c>
      <c r="R6388" s="31">
        <v>24000</v>
      </c>
    </row>
    <row r="6389" spans="1:23" ht="21.95" customHeight="1" x14ac:dyDescent="0.2">
      <c r="B6389" s="6" t="s">
        <v>2156</v>
      </c>
      <c r="C6389" s="6" t="s">
        <v>2294</v>
      </c>
      <c r="D6389" s="6" t="s">
        <v>375</v>
      </c>
      <c r="G6389" s="6">
        <v>130</v>
      </c>
      <c r="H6389" s="6">
        <v>130</v>
      </c>
      <c r="I6389" s="7">
        <v>75</v>
      </c>
      <c r="L6389" s="6" t="str">
        <f t="shared" si="615"/>
        <v>TG MERLO MASA  130x130x75</v>
      </c>
      <c r="R6389" s="31">
        <v>50000</v>
      </c>
    </row>
    <row r="6390" spans="1:23" ht="21.95" customHeight="1" x14ac:dyDescent="0.2">
      <c r="B6390" s="6" t="s">
        <v>2156</v>
      </c>
      <c r="C6390" s="6" t="s">
        <v>2163</v>
      </c>
      <c r="D6390" s="6" t="s">
        <v>25</v>
      </c>
      <c r="G6390" s="6">
        <v>55</v>
      </c>
      <c r="H6390" s="6">
        <v>51</v>
      </c>
      <c r="I6390" s="7">
        <v>82</v>
      </c>
      <c r="L6390" s="6" t="str">
        <f t="shared" si="615"/>
        <v>TG MERLO  SANDALYE 55x51x82</v>
      </c>
      <c r="R6390" s="31">
        <v>11500</v>
      </c>
    </row>
    <row r="6391" spans="1:23" ht="21.95" customHeight="1" x14ac:dyDescent="0.2">
      <c r="B6391" s="6" t="s">
        <v>2156</v>
      </c>
      <c r="C6391" s="6" t="s">
        <v>2212</v>
      </c>
      <c r="D6391" s="6" t="s">
        <v>375</v>
      </c>
      <c r="G6391" s="6">
        <v>130</v>
      </c>
      <c r="H6391" s="6">
        <v>130</v>
      </c>
      <c r="I6391" s="7">
        <v>77</v>
      </c>
      <c r="L6391" s="6" t="str">
        <f t="shared" si="615"/>
        <v>TG AVATAR MASA  130x130x77</v>
      </c>
      <c r="R6391" s="31">
        <v>34500</v>
      </c>
    </row>
    <row r="6392" spans="1:23" ht="21.95" customHeight="1" x14ac:dyDescent="0.2">
      <c r="B6392" s="6" t="s">
        <v>2156</v>
      </c>
      <c r="C6392" s="6" t="s">
        <v>2212</v>
      </c>
      <c r="D6392" s="6" t="s">
        <v>358</v>
      </c>
      <c r="G6392" s="6">
        <v>50</v>
      </c>
      <c r="H6392" s="6">
        <v>51</v>
      </c>
      <c r="I6392" s="7">
        <v>76</v>
      </c>
      <c r="L6392" s="6" t="str">
        <f t="shared" si="615"/>
        <v>TG AVATAR SANDALYE  50x51x76</v>
      </c>
      <c r="R6392" s="31">
        <v>12000</v>
      </c>
    </row>
    <row r="6393" spans="1:23" ht="21.95" customHeight="1" x14ac:dyDescent="0.2">
      <c r="B6393" s="6" t="s">
        <v>2156</v>
      </c>
      <c r="C6393" s="6" t="s">
        <v>2295</v>
      </c>
      <c r="D6393" s="6" t="s">
        <v>375</v>
      </c>
      <c r="G6393" s="6">
        <v>120</v>
      </c>
      <c r="H6393" s="6">
        <v>120</v>
      </c>
      <c r="I6393" s="7">
        <v>73</v>
      </c>
      <c r="L6393" s="6" t="str">
        <f t="shared" si="615"/>
        <v>TG PEBBLE  MASA  120x120x73</v>
      </c>
      <c r="R6393" s="31">
        <v>57500</v>
      </c>
    </row>
    <row r="6394" spans="1:23" ht="21.95" customHeight="1" x14ac:dyDescent="0.2">
      <c r="B6394" s="6" t="s">
        <v>2156</v>
      </c>
      <c r="C6394" s="6" t="s">
        <v>2295</v>
      </c>
      <c r="D6394" s="6" t="s">
        <v>358</v>
      </c>
      <c r="G6394" s="6">
        <v>52</v>
      </c>
      <c r="H6394" s="6">
        <v>50</v>
      </c>
      <c r="I6394" s="7">
        <v>84</v>
      </c>
      <c r="L6394" s="6" t="str">
        <f t="shared" si="615"/>
        <v>TG PEBBLE  SANDALYE  52x50x84</v>
      </c>
      <c r="R6394" s="31">
        <v>11000</v>
      </c>
    </row>
    <row r="6395" spans="1:23" s="6" customFormat="1" ht="21.95" customHeight="1" x14ac:dyDescent="0.2">
      <c r="A6395" s="5"/>
      <c r="B6395" s="6" t="s">
        <v>2156</v>
      </c>
      <c r="C6395" s="6" t="s">
        <v>2296</v>
      </c>
      <c r="D6395" s="6" t="s">
        <v>1162</v>
      </c>
      <c r="E6395" s="5"/>
      <c r="F6395" s="5"/>
      <c r="G6395" s="6">
        <v>161</v>
      </c>
      <c r="H6395" s="6">
        <v>137</v>
      </c>
      <c r="I6395" s="7">
        <v>79</v>
      </c>
      <c r="J6395" s="9"/>
      <c r="K6395" s="7"/>
      <c r="L6395" s="6" t="str">
        <f t="shared" si="615"/>
        <v>TG MOMENT  YEMEK MASASI  161x137x79</v>
      </c>
      <c r="M6395" s="8"/>
      <c r="N6395" s="8"/>
      <c r="O6395" s="12"/>
      <c r="P6395" s="5"/>
      <c r="Q6395" s="5"/>
      <c r="R6395" s="31">
        <v>71000</v>
      </c>
      <c r="S6395" s="5"/>
      <c r="T6395" s="12"/>
      <c r="U6395" s="12"/>
      <c r="V6395" s="12"/>
      <c r="W6395" s="12"/>
    </row>
    <row r="6396" spans="1:23" s="6" customFormat="1" ht="21.95" customHeight="1" x14ac:dyDescent="0.2">
      <c r="A6396" s="5"/>
      <c r="B6396" s="6" t="s">
        <v>2156</v>
      </c>
      <c r="C6396" s="6" t="s">
        <v>2296</v>
      </c>
      <c r="D6396" s="6" t="s">
        <v>358</v>
      </c>
      <c r="E6396" s="5"/>
      <c r="F6396" s="5"/>
      <c r="G6396" s="6">
        <v>56</v>
      </c>
      <c r="H6396" s="6">
        <v>60</v>
      </c>
      <c r="I6396" s="7">
        <v>82</v>
      </c>
      <c r="J6396" s="9"/>
      <c r="K6396" s="7"/>
      <c r="L6396" s="6" t="str">
        <f t="shared" si="615"/>
        <v>TG MOMENT  SANDALYE  56x60x82</v>
      </c>
      <c r="M6396" s="8"/>
      <c r="N6396" s="8"/>
      <c r="O6396" s="12"/>
      <c r="P6396" s="5"/>
      <c r="Q6396" s="5"/>
      <c r="R6396" s="31">
        <v>18500</v>
      </c>
      <c r="S6396" s="5"/>
      <c r="T6396" s="12"/>
      <c r="U6396" s="12"/>
      <c r="V6396" s="12"/>
      <c r="W6396" s="12"/>
    </row>
    <row r="6397" spans="1:23" s="6" customFormat="1" ht="21.95" customHeight="1" x14ac:dyDescent="0.2">
      <c r="A6397" s="5"/>
      <c r="B6397" s="6" t="s">
        <v>2156</v>
      </c>
      <c r="C6397" s="6" t="s">
        <v>2297</v>
      </c>
      <c r="D6397" s="6" t="s">
        <v>1162</v>
      </c>
      <c r="E6397" s="5"/>
      <c r="F6397" s="5"/>
      <c r="G6397" s="6">
        <v>144</v>
      </c>
      <c r="H6397" s="6">
        <v>144</v>
      </c>
      <c r="I6397" s="7">
        <v>77</v>
      </c>
      <c r="J6397" s="9"/>
      <c r="K6397" s="7"/>
      <c r="L6397" s="6" t="str">
        <f t="shared" si="615"/>
        <v>TG GLAMOUR  YEMEK MASASI  144x144x77</v>
      </c>
      <c r="M6397" s="8"/>
      <c r="N6397" s="8"/>
      <c r="O6397" s="12"/>
      <c r="P6397" s="5"/>
      <c r="Q6397" s="5"/>
      <c r="R6397" s="31">
        <v>78000</v>
      </c>
      <c r="S6397" s="5"/>
      <c r="T6397" s="12"/>
      <c r="U6397" s="12"/>
      <c r="V6397" s="12"/>
      <c r="W6397" s="12"/>
    </row>
    <row r="6398" spans="1:23" s="6" customFormat="1" ht="21.95" customHeight="1" x14ac:dyDescent="0.2">
      <c r="A6398" s="5"/>
      <c r="B6398" s="6" t="s">
        <v>2156</v>
      </c>
      <c r="C6398" s="6" t="s">
        <v>2297</v>
      </c>
      <c r="D6398" s="6" t="s">
        <v>358</v>
      </c>
      <c r="E6398" s="5"/>
      <c r="F6398" s="5"/>
      <c r="G6398" s="6">
        <v>49</v>
      </c>
      <c r="H6398" s="6">
        <v>56</v>
      </c>
      <c r="I6398" s="7">
        <v>81</v>
      </c>
      <c r="J6398" s="9"/>
      <c r="K6398" s="7"/>
      <c r="L6398" s="6" t="str">
        <f t="shared" si="615"/>
        <v>TG GLAMOUR  SANDALYE  49x56x81</v>
      </c>
      <c r="M6398" s="8"/>
      <c r="N6398" s="8"/>
      <c r="O6398" s="12"/>
      <c r="P6398" s="5"/>
      <c r="Q6398" s="5"/>
      <c r="R6398" s="31">
        <v>12500</v>
      </c>
      <c r="S6398" s="5"/>
      <c r="T6398" s="12"/>
      <c r="U6398" s="12"/>
      <c r="V6398" s="12"/>
      <c r="W6398" s="12"/>
    </row>
    <row r="6399" spans="1:23" s="6" customFormat="1" ht="21.95" customHeight="1" x14ac:dyDescent="0.2">
      <c r="A6399" s="5"/>
      <c r="E6399" s="5"/>
      <c r="F6399" s="5"/>
      <c r="I6399" s="7"/>
      <c r="J6399" s="9"/>
      <c r="K6399" s="7"/>
      <c r="M6399" s="8"/>
      <c r="N6399" s="8"/>
      <c r="O6399" s="12"/>
      <c r="P6399" s="5"/>
      <c r="Q6399" s="5"/>
      <c r="R6399" s="31"/>
      <c r="S6399" s="5"/>
      <c r="T6399" s="12"/>
      <c r="U6399" s="12"/>
      <c r="V6399" s="12"/>
      <c r="W6399" s="12"/>
    </row>
    <row r="6400" spans="1:23" s="6" customFormat="1" ht="21.95" customHeight="1" x14ac:dyDescent="0.2">
      <c r="A6400" s="5"/>
      <c r="E6400" s="5"/>
      <c r="F6400" s="5"/>
      <c r="I6400" s="7"/>
      <c r="J6400" s="9"/>
      <c r="K6400" s="7"/>
      <c r="M6400" s="8"/>
      <c r="N6400" s="8"/>
      <c r="O6400" s="12"/>
      <c r="P6400" s="5"/>
      <c r="Q6400" s="5"/>
      <c r="R6400" s="31"/>
      <c r="S6400" s="5"/>
      <c r="T6400" s="12"/>
      <c r="U6400" s="12"/>
      <c r="V6400" s="12"/>
      <c r="W6400" s="12"/>
    </row>
    <row r="6401" spans="1:23" s="6" customFormat="1" ht="21.95" customHeight="1" x14ac:dyDescent="0.2">
      <c r="A6401" s="5"/>
      <c r="E6401" s="5"/>
      <c r="F6401" s="5"/>
      <c r="I6401" s="7"/>
      <c r="J6401" s="9"/>
      <c r="K6401" s="7"/>
      <c r="M6401" s="8"/>
      <c r="N6401" s="8"/>
      <c r="O6401" s="12"/>
      <c r="P6401" s="5"/>
      <c r="Q6401" s="5"/>
      <c r="R6401" s="31"/>
      <c r="S6401" s="5"/>
      <c r="T6401" s="12"/>
      <c r="U6401" s="12"/>
      <c r="V6401" s="12"/>
      <c r="W6401" s="12"/>
    </row>
    <row r="6402" spans="1:23" s="6" customFormat="1" ht="21.95" customHeight="1" x14ac:dyDescent="0.2">
      <c r="A6402" s="5"/>
      <c r="E6402" s="5"/>
      <c r="F6402" s="5"/>
      <c r="I6402" s="7"/>
      <c r="J6402" s="9"/>
      <c r="K6402" s="7"/>
      <c r="M6402" s="8"/>
      <c r="N6402" s="8"/>
      <c r="O6402" s="12"/>
      <c r="P6402" s="5"/>
      <c r="Q6402" s="5"/>
      <c r="R6402" s="31"/>
      <c r="S6402" s="5"/>
      <c r="T6402" s="12"/>
      <c r="U6402" s="12"/>
      <c r="V6402" s="12"/>
      <c r="W6402" s="12"/>
    </row>
    <row r="6403" spans="1:23" s="6" customFormat="1" ht="21.95" customHeight="1" x14ac:dyDescent="0.2">
      <c r="A6403" s="5"/>
      <c r="E6403" s="5"/>
      <c r="F6403" s="5"/>
      <c r="I6403" s="7"/>
      <c r="J6403" s="9"/>
      <c r="K6403" s="7"/>
      <c r="M6403" s="8"/>
      <c r="N6403" s="8"/>
      <c r="O6403" s="12"/>
      <c r="P6403" s="5"/>
      <c r="Q6403" s="5"/>
      <c r="R6403" s="31"/>
      <c r="S6403" s="5"/>
      <c r="T6403" s="12"/>
      <c r="U6403" s="12"/>
      <c r="V6403" s="12"/>
      <c r="W6403" s="12"/>
    </row>
    <row r="6404" spans="1:23" s="6" customFormat="1" ht="21.95" customHeight="1" x14ac:dyDescent="0.2">
      <c r="A6404" s="5"/>
      <c r="E6404" s="5"/>
      <c r="F6404" s="5"/>
      <c r="I6404" s="7"/>
      <c r="J6404" s="9"/>
      <c r="K6404" s="7"/>
      <c r="M6404" s="8"/>
      <c r="N6404" s="8"/>
      <c r="O6404" s="12"/>
      <c r="P6404" s="5"/>
      <c r="Q6404" s="5"/>
      <c r="R6404" s="31"/>
      <c r="S6404" s="5"/>
      <c r="T6404" s="12"/>
      <c r="U6404" s="12"/>
      <c r="V6404" s="12"/>
      <c r="W6404" s="12"/>
    </row>
    <row r="6405" spans="1:23" s="6" customFormat="1" ht="21.95" customHeight="1" x14ac:dyDescent="0.2">
      <c r="A6405" s="5"/>
      <c r="E6405" s="5"/>
      <c r="F6405" s="5"/>
      <c r="I6405" s="7"/>
      <c r="J6405" s="9"/>
      <c r="K6405" s="9"/>
      <c r="M6405" s="8"/>
      <c r="N6405" s="8"/>
      <c r="O6405" s="12"/>
      <c r="P6405" s="5"/>
      <c r="Q6405" s="5"/>
      <c r="R6405" s="31"/>
      <c r="S6405" s="5"/>
      <c r="T6405" s="12"/>
      <c r="U6405" s="12"/>
      <c r="V6405" s="12"/>
      <c r="W6405" s="12"/>
    </row>
    <row r="6406" spans="1:23" s="6" customFormat="1" ht="21.95" customHeight="1" x14ac:dyDescent="0.2">
      <c r="A6406" s="5"/>
      <c r="E6406" s="5"/>
      <c r="F6406" s="5"/>
      <c r="I6406" s="7"/>
      <c r="J6406" s="9"/>
      <c r="K6406" s="9"/>
      <c r="M6406" s="8"/>
      <c r="N6406" s="8"/>
      <c r="O6406" s="12"/>
      <c r="P6406" s="5"/>
      <c r="Q6406" s="5"/>
      <c r="R6406" s="31"/>
      <c r="S6406" s="5"/>
      <c r="T6406" s="12"/>
      <c r="U6406" s="12"/>
      <c r="V6406" s="12"/>
      <c r="W6406" s="12"/>
    </row>
    <row r="6407" spans="1:23" s="6" customFormat="1" ht="21.95" customHeight="1" x14ac:dyDescent="0.2">
      <c r="A6407" s="5"/>
      <c r="E6407" s="5"/>
      <c r="F6407" s="5"/>
      <c r="I6407" s="7"/>
      <c r="J6407" s="9"/>
      <c r="K6407" s="9"/>
      <c r="M6407" s="8"/>
      <c r="N6407" s="8"/>
      <c r="O6407" s="12"/>
      <c r="P6407" s="5"/>
      <c r="Q6407" s="5"/>
      <c r="R6407" s="31"/>
      <c r="S6407" s="5"/>
      <c r="T6407" s="12"/>
      <c r="U6407" s="12"/>
      <c r="V6407" s="12"/>
      <c r="W6407" s="12"/>
    </row>
    <row r="6408" spans="1:23" s="6" customFormat="1" ht="21.95" customHeight="1" x14ac:dyDescent="0.2">
      <c r="A6408" s="5"/>
      <c r="E6408" s="5"/>
      <c r="F6408" s="5"/>
      <c r="I6408" s="7"/>
      <c r="J6408" s="9"/>
      <c r="K6408" s="9"/>
      <c r="M6408" s="8"/>
      <c r="N6408" s="8"/>
      <c r="O6408" s="12"/>
      <c r="P6408" s="5"/>
      <c r="Q6408" s="5"/>
      <c r="R6408" s="31"/>
      <c r="S6408" s="5"/>
      <c r="T6408" s="12"/>
      <c r="U6408" s="12"/>
      <c r="V6408" s="12"/>
      <c r="W6408" s="12"/>
    </row>
    <row r="6409" spans="1:23" s="6" customFormat="1" ht="21.95" customHeight="1" x14ac:dyDescent="0.2">
      <c r="A6409" s="5"/>
      <c r="E6409" s="5"/>
      <c r="F6409" s="5"/>
      <c r="I6409" s="7"/>
      <c r="J6409" s="9"/>
      <c r="K6409" s="9"/>
      <c r="M6409" s="8"/>
      <c r="N6409" s="8"/>
      <c r="O6409" s="12"/>
      <c r="P6409" s="5"/>
      <c r="Q6409" s="5"/>
      <c r="R6409" s="31"/>
      <c r="S6409" s="5"/>
      <c r="T6409" s="12"/>
      <c r="U6409" s="12"/>
      <c r="V6409" s="12"/>
      <c r="W6409" s="12"/>
    </row>
    <row r="6410" spans="1:23" s="6" customFormat="1" ht="21.95" customHeight="1" x14ac:dyDescent="0.2">
      <c r="A6410" s="5"/>
      <c r="E6410" s="5"/>
      <c r="F6410" s="5"/>
      <c r="I6410" s="7"/>
      <c r="J6410" s="9"/>
      <c r="K6410" s="9"/>
      <c r="M6410" s="8"/>
      <c r="N6410" s="8"/>
      <c r="O6410" s="12"/>
      <c r="P6410" s="5"/>
      <c r="Q6410" s="5"/>
      <c r="R6410" s="31"/>
      <c r="S6410" s="5"/>
      <c r="T6410" s="12"/>
      <c r="U6410" s="12"/>
      <c r="V6410" s="12"/>
      <c r="W6410" s="12"/>
    </row>
    <row r="6411" spans="1:23" s="6" customFormat="1" ht="21.95" customHeight="1" x14ac:dyDescent="0.2">
      <c r="A6411" s="5"/>
      <c r="E6411" s="5"/>
      <c r="F6411" s="5"/>
      <c r="I6411" s="7"/>
      <c r="J6411" s="9"/>
      <c r="K6411" s="9"/>
      <c r="M6411" s="8"/>
      <c r="N6411" s="8"/>
      <c r="O6411" s="12"/>
      <c r="P6411" s="5"/>
      <c r="Q6411" s="5"/>
      <c r="R6411" s="31"/>
      <c r="S6411" s="5"/>
      <c r="T6411" s="12"/>
      <c r="U6411" s="12"/>
      <c r="V6411" s="12"/>
      <c r="W6411" s="12"/>
    </row>
    <row r="6412" spans="1:23" s="6" customFormat="1" ht="21.95" customHeight="1" x14ac:dyDescent="0.2">
      <c r="A6412" s="5"/>
      <c r="E6412" s="5"/>
      <c r="F6412" s="5"/>
      <c r="I6412" s="7"/>
      <c r="J6412" s="9"/>
      <c r="K6412" s="9"/>
      <c r="M6412" s="8"/>
      <c r="N6412" s="8"/>
      <c r="O6412" s="12"/>
      <c r="P6412" s="5"/>
      <c r="Q6412" s="5"/>
      <c r="R6412" s="31"/>
      <c r="S6412" s="5"/>
      <c r="T6412" s="12"/>
      <c r="U6412" s="12"/>
      <c r="V6412" s="12"/>
      <c r="W6412" s="12"/>
    </row>
    <row r="6413" spans="1:23" s="6" customFormat="1" ht="21.95" customHeight="1" x14ac:dyDescent="0.2">
      <c r="A6413" s="5"/>
      <c r="E6413" s="5"/>
      <c r="F6413" s="5"/>
      <c r="I6413" s="7"/>
      <c r="J6413" s="9"/>
      <c r="K6413" s="9"/>
      <c r="M6413" s="8"/>
      <c r="N6413" s="8"/>
      <c r="O6413" s="12"/>
      <c r="P6413" s="5"/>
      <c r="Q6413" s="5"/>
      <c r="R6413" s="31"/>
      <c r="S6413" s="5"/>
      <c r="T6413" s="12"/>
      <c r="U6413" s="12"/>
      <c r="V6413" s="12"/>
      <c r="W6413" s="12"/>
    </row>
    <row r="6414" spans="1:23" s="6" customFormat="1" ht="21.95" customHeight="1" x14ac:dyDescent="0.2">
      <c r="A6414" s="5"/>
      <c r="E6414" s="5"/>
      <c r="F6414" s="5"/>
      <c r="I6414" s="7"/>
      <c r="J6414" s="9"/>
      <c r="K6414" s="9"/>
      <c r="M6414" s="8"/>
      <c r="N6414" s="8"/>
      <c r="O6414" s="12"/>
      <c r="P6414" s="5"/>
      <c r="Q6414" s="5"/>
      <c r="R6414" s="31"/>
      <c r="S6414" s="5"/>
      <c r="T6414" s="12"/>
      <c r="U6414" s="12"/>
      <c r="V6414" s="12"/>
      <c r="W6414" s="12"/>
    </row>
    <row r="6415" spans="1:23" s="6" customFormat="1" ht="21.95" customHeight="1" x14ac:dyDescent="0.2">
      <c r="A6415" s="5"/>
      <c r="E6415" s="5"/>
      <c r="F6415" s="5"/>
      <c r="I6415" s="7"/>
      <c r="J6415" s="9"/>
      <c r="K6415" s="9"/>
      <c r="M6415" s="8"/>
      <c r="N6415" s="8"/>
      <c r="O6415" s="12"/>
      <c r="P6415" s="5"/>
      <c r="Q6415" s="5"/>
      <c r="R6415" s="31"/>
      <c r="S6415" s="5"/>
      <c r="T6415" s="12"/>
      <c r="U6415" s="12"/>
      <c r="V6415" s="12"/>
      <c r="W6415" s="12"/>
    </row>
    <row r="6416" spans="1:23" s="6" customFormat="1" ht="21.95" customHeight="1" x14ac:dyDescent="0.2">
      <c r="A6416" s="5"/>
      <c r="E6416" s="5"/>
      <c r="F6416" s="5"/>
      <c r="I6416" s="7"/>
      <c r="J6416" s="9"/>
      <c r="K6416" s="9"/>
      <c r="M6416" s="8"/>
      <c r="N6416" s="8"/>
      <c r="O6416" s="12"/>
      <c r="P6416" s="5"/>
      <c r="Q6416" s="5"/>
      <c r="R6416" s="31"/>
      <c r="S6416" s="5"/>
      <c r="T6416" s="12"/>
      <c r="U6416" s="12"/>
      <c r="V6416" s="12"/>
      <c r="W6416" s="12"/>
    </row>
    <row r="6417" spans="1:23" s="6" customFormat="1" ht="21.95" customHeight="1" x14ac:dyDescent="0.2">
      <c r="A6417" s="5"/>
      <c r="E6417" s="5"/>
      <c r="F6417" s="5"/>
      <c r="I6417" s="7"/>
      <c r="J6417" s="9"/>
      <c r="K6417" s="9"/>
      <c r="M6417" s="8"/>
      <c r="N6417" s="8"/>
      <c r="O6417" s="12"/>
      <c r="P6417" s="5"/>
      <c r="Q6417" s="5"/>
      <c r="R6417" s="31"/>
      <c r="S6417" s="5"/>
      <c r="T6417" s="12"/>
      <c r="U6417" s="12"/>
      <c r="V6417" s="12"/>
      <c r="W6417" s="12"/>
    </row>
    <row r="6418" spans="1:23" s="6" customFormat="1" ht="21.95" customHeight="1" x14ac:dyDescent="0.2">
      <c r="A6418" s="5"/>
      <c r="E6418" s="5"/>
      <c r="F6418" s="5"/>
      <c r="I6418" s="7"/>
      <c r="J6418" s="9"/>
      <c r="K6418" s="9"/>
      <c r="M6418" s="8"/>
      <c r="N6418" s="8"/>
      <c r="O6418" s="12"/>
      <c r="P6418" s="5"/>
      <c r="Q6418" s="5"/>
      <c r="R6418" s="31"/>
      <c r="S6418" s="5"/>
      <c r="T6418" s="12"/>
      <c r="U6418" s="12"/>
      <c r="V6418" s="12"/>
      <c r="W6418" s="12"/>
    </row>
    <row r="6419" spans="1:23" s="6" customFormat="1" ht="21.95" customHeight="1" x14ac:dyDescent="0.2">
      <c r="A6419" s="5"/>
      <c r="E6419" s="5"/>
      <c r="F6419" s="5"/>
      <c r="I6419" s="7"/>
      <c r="J6419" s="9"/>
      <c r="K6419" s="9"/>
      <c r="M6419" s="8"/>
      <c r="N6419" s="8"/>
      <c r="O6419" s="12"/>
      <c r="P6419" s="5"/>
      <c r="Q6419" s="5"/>
      <c r="R6419" s="31"/>
      <c r="S6419" s="5"/>
      <c r="T6419" s="12"/>
      <c r="U6419" s="12"/>
      <c r="V6419" s="12"/>
      <c r="W6419" s="12"/>
    </row>
    <row r="6420" spans="1:23" s="6" customFormat="1" ht="21.95" customHeight="1" x14ac:dyDescent="0.2">
      <c r="A6420" s="5"/>
      <c r="E6420" s="5"/>
      <c r="F6420" s="5"/>
      <c r="I6420" s="7"/>
      <c r="J6420" s="9"/>
      <c r="K6420" s="9"/>
      <c r="M6420" s="8"/>
      <c r="N6420" s="8"/>
      <c r="O6420" s="12"/>
      <c r="P6420" s="5"/>
      <c r="Q6420" s="5"/>
      <c r="R6420" s="31"/>
      <c r="S6420" s="5"/>
      <c r="T6420" s="12"/>
      <c r="U6420" s="12"/>
      <c r="V6420" s="12"/>
      <c r="W6420" s="12"/>
    </row>
    <row r="6421" spans="1:23" s="6" customFormat="1" ht="21.95" customHeight="1" x14ac:dyDescent="0.2">
      <c r="A6421" s="5"/>
      <c r="E6421" s="5"/>
      <c r="F6421" s="5"/>
      <c r="I6421" s="7"/>
      <c r="J6421" s="9"/>
      <c r="K6421" s="9"/>
      <c r="M6421" s="8"/>
      <c r="N6421" s="8"/>
      <c r="O6421" s="12"/>
      <c r="P6421" s="5"/>
      <c r="Q6421" s="5"/>
      <c r="R6421" s="31"/>
      <c r="S6421" s="5"/>
      <c r="T6421" s="12"/>
      <c r="U6421" s="12"/>
      <c r="V6421" s="12"/>
      <c r="W6421" s="12"/>
    </row>
    <row r="6422" spans="1:23" s="6" customFormat="1" ht="21.95" customHeight="1" x14ac:dyDescent="0.2">
      <c r="A6422" s="5"/>
      <c r="E6422" s="5"/>
      <c r="F6422" s="5"/>
      <c r="I6422" s="7"/>
      <c r="J6422" s="9"/>
      <c r="K6422" s="9"/>
      <c r="M6422" s="8"/>
      <c r="N6422" s="8"/>
      <c r="O6422" s="12"/>
      <c r="P6422" s="5"/>
      <c r="Q6422" s="5"/>
      <c r="R6422" s="31"/>
      <c r="S6422" s="5"/>
      <c r="T6422" s="12"/>
      <c r="U6422" s="12"/>
      <c r="V6422" s="12"/>
      <c r="W6422" s="12"/>
    </row>
    <row r="6423" spans="1:23" s="6" customFormat="1" ht="21.95" customHeight="1" x14ac:dyDescent="0.2">
      <c r="A6423" s="5"/>
      <c r="E6423" s="5"/>
      <c r="F6423" s="5"/>
      <c r="I6423" s="7"/>
      <c r="J6423" s="9"/>
      <c r="K6423" s="9"/>
      <c r="M6423" s="8"/>
      <c r="N6423" s="8"/>
      <c r="O6423" s="12"/>
      <c r="P6423" s="5"/>
      <c r="Q6423" s="5"/>
      <c r="R6423" s="31"/>
      <c r="S6423" s="5"/>
      <c r="T6423" s="12"/>
      <c r="U6423" s="12"/>
      <c r="V6423" s="12"/>
      <c r="W6423" s="12"/>
    </row>
    <row r="6424" spans="1:23" s="6" customFormat="1" ht="21.95" customHeight="1" x14ac:dyDescent="0.2">
      <c r="A6424" s="5"/>
      <c r="E6424" s="5"/>
      <c r="F6424" s="5"/>
      <c r="I6424" s="7"/>
      <c r="J6424" s="9"/>
      <c r="K6424" s="9"/>
      <c r="M6424" s="8"/>
      <c r="N6424" s="8"/>
      <c r="O6424" s="12"/>
      <c r="P6424" s="5"/>
      <c r="Q6424" s="5"/>
      <c r="R6424" s="31"/>
      <c r="S6424" s="5"/>
      <c r="T6424" s="12"/>
      <c r="U6424" s="12"/>
      <c r="V6424" s="12"/>
      <c r="W6424" s="12"/>
    </row>
    <row r="6425" spans="1:23" s="6" customFormat="1" ht="21.95" customHeight="1" x14ac:dyDescent="0.2">
      <c r="A6425" s="5"/>
      <c r="E6425" s="5"/>
      <c r="F6425" s="5"/>
      <c r="I6425" s="7"/>
      <c r="J6425" s="9"/>
      <c r="K6425" s="9"/>
      <c r="M6425" s="8"/>
      <c r="N6425" s="8"/>
      <c r="O6425" s="12"/>
      <c r="P6425" s="5"/>
      <c r="Q6425" s="5"/>
      <c r="R6425" s="31"/>
      <c r="S6425" s="5"/>
      <c r="T6425" s="12"/>
      <c r="U6425" s="12"/>
      <c r="V6425" s="12"/>
      <c r="W6425" s="12"/>
    </row>
    <row r="6426" spans="1:23" s="6" customFormat="1" ht="21.95" customHeight="1" x14ac:dyDescent="0.2">
      <c r="A6426" s="5"/>
      <c r="E6426" s="5"/>
      <c r="F6426" s="5"/>
      <c r="I6426" s="7"/>
      <c r="J6426" s="9"/>
      <c r="K6426" s="9"/>
      <c r="M6426" s="8"/>
      <c r="N6426" s="8"/>
      <c r="O6426" s="12"/>
      <c r="P6426" s="5"/>
      <c r="Q6426" s="5"/>
      <c r="R6426" s="31"/>
      <c r="S6426" s="5"/>
      <c r="T6426" s="12"/>
      <c r="U6426" s="12"/>
      <c r="V6426" s="12"/>
      <c r="W6426" s="12"/>
    </row>
    <row r="6427" spans="1:23" s="6" customFormat="1" ht="21.95" customHeight="1" x14ac:dyDescent="0.2">
      <c r="A6427" s="5"/>
      <c r="E6427" s="5"/>
      <c r="F6427" s="5"/>
      <c r="I6427" s="7"/>
      <c r="J6427" s="9"/>
      <c r="K6427" s="9"/>
      <c r="M6427" s="8"/>
      <c r="N6427" s="8"/>
      <c r="O6427" s="12"/>
      <c r="P6427" s="5"/>
      <c r="Q6427" s="5"/>
      <c r="R6427" s="31"/>
      <c r="S6427" s="5"/>
      <c r="T6427" s="12"/>
      <c r="U6427" s="12"/>
      <c r="V6427" s="12"/>
      <c r="W6427" s="12"/>
    </row>
    <row r="6428" spans="1:23" s="6" customFormat="1" ht="21.95" customHeight="1" x14ac:dyDescent="0.2">
      <c r="A6428" s="5"/>
      <c r="E6428" s="5"/>
      <c r="F6428" s="5"/>
      <c r="I6428" s="7"/>
      <c r="J6428" s="9"/>
      <c r="K6428" s="9"/>
      <c r="M6428" s="8"/>
      <c r="N6428" s="8"/>
      <c r="O6428" s="12"/>
      <c r="P6428" s="5"/>
      <c r="Q6428" s="5"/>
      <c r="R6428" s="31"/>
      <c r="S6428" s="5"/>
      <c r="T6428" s="12"/>
      <c r="U6428" s="12"/>
      <c r="V6428" s="12"/>
      <c r="W6428" s="12"/>
    </row>
    <row r="6429" spans="1:23" s="6" customFormat="1" ht="21.95" customHeight="1" x14ac:dyDescent="0.2">
      <c r="A6429" s="5"/>
      <c r="E6429" s="5"/>
      <c r="F6429" s="5"/>
      <c r="I6429" s="7"/>
      <c r="J6429" s="9"/>
      <c r="K6429" s="9"/>
      <c r="M6429" s="8"/>
      <c r="N6429" s="8"/>
      <c r="O6429" s="12"/>
      <c r="P6429" s="5"/>
      <c r="Q6429" s="5"/>
      <c r="R6429" s="31"/>
      <c r="S6429" s="5"/>
      <c r="T6429" s="12"/>
      <c r="U6429" s="12"/>
      <c r="V6429" s="12"/>
      <c r="W6429" s="12"/>
    </row>
    <row r="6430" spans="1:23" s="6" customFormat="1" ht="21.95" customHeight="1" x14ac:dyDescent="0.2">
      <c r="A6430" s="5"/>
      <c r="E6430" s="5"/>
      <c r="F6430" s="5"/>
      <c r="I6430" s="7"/>
      <c r="J6430" s="9"/>
      <c r="K6430" s="9"/>
      <c r="M6430" s="8"/>
      <c r="N6430" s="8"/>
      <c r="O6430" s="12"/>
      <c r="P6430" s="5"/>
      <c r="Q6430" s="5"/>
      <c r="R6430" s="31"/>
      <c r="S6430" s="5"/>
      <c r="T6430" s="12"/>
      <c r="U6430" s="12"/>
      <c r="V6430" s="12"/>
      <c r="W6430" s="12"/>
    </row>
    <row r="6431" spans="1:23" s="6" customFormat="1" ht="21.95" customHeight="1" x14ac:dyDescent="0.2">
      <c r="A6431" s="5"/>
      <c r="E6431" s="5"/>
      <c r="F6431" s="5"/>
      <c r="I6431" s="7"/>
      <c r="J6431" s="9"/>
      <c r="K6431" s="9"/>
      <c r="M6431" s="8"/>
      <c r="N6431" s="8"/>
      <c r="O6431" s="12"/>
      <c r="P6431" s="5"/>
      <c r="Q6431" s="5"/>
      <c r="R6431" s="31"/>
      <c r="S6431" s="5"/>
      <c r="T6431" s="12"/>
      <c r="U6431" s="12"/>
      <c r="V6431" s="12"/>
      <c r="W6431" s="12"/>
    </row>
    <row r="6432" spans="1:23" s="6" customFormat="1" ht="21.95" customHeight="1" x14ac:dyDescent="0.2">
      <c r="A6432" s="5"/>
      <c r="E6432" s="5"/>
      <c r="F6432" s="5"/>
      <c r="I6432" s="7"/>
      <c r="J6432" s="9"/>
      <c r="K6432" s="9"/>
      <c r="M6432" s="8"/>
      <c r="N6432" s="8"/>
      <c r="O6432" s="12"/>
      <c r="P6432" s="5"/>
      <c r="Q6432" s="5"/>
      <c r="R6432" s="31"/>
      <c r="S6432" s="5"/>
      <c r="T6432" s="12"/>
      <c r="U6432" s="12"/>
      <c r="V6432" s="12"/>
      <c r="W6432" s="12"/>
    </row>
    <row r="6433" spans="1:23" s="6" customFormat="1" ht="21.95" customHeight="1" x14ac:dyDescent="0.2">
      <c r="A6433" s="5"/>
      <c r="E6433" s="5"/>
      <c r="F6433" s="5"/>
      <c r="I6433" s="7"/>
      <c r="J6433" s="9"/>
      <c r="K6433" s="9"/>
      <c r="M6433" s="8"/>
      <c r="N6433" s="8"/>
      <c r="O6433" s="12"/>
      <c r="P6433" s="5"/>
      <c r="Q6433" s="5"/>
      <c r="R6433" s="31"/>
      <c r="S6433" s="5"/>
      <c r="T6433" s="12"/>
      <c r="U6433" s="12"/>
      <c r="V6433" s="12"/>
      <c r="W6433" s="12"/>
    </row>
    <row r="6434" spans="1:23" s="6" customFormat="1" ht="21.95" customHeight="1" x14ac:dyDescent="0.2">
      <c r="A6434" s="5"/>
      <c r="E6434" s="5"/>
      <c r="F6434" s="5"/>
      <c r="I6434" s="7"/>
      <c r="J6434" s="9"/>
      <c r="K6434" s="9"/>
      <c r="M6434" s="8"/>
      <c r="N6434" s="8"/>
      <c r="O6434" s="12"/>
      <c r="P6434" s="5"/>
      <c r="Q6434" s="5"/>
      <c r="R6434" s="31"/>
      <c r="S6434" s="5"/>
      <c r="T6434" s="12"/>
      <c r="U6434" s="12"/>
      <c r="V6434" s="12"/>
      <c r="W6434" s="12"/>
    </row>
    <row r="6435" spans="1:23" s="6" customFormat="1" ht="21.95" customHeight="1" x14ac:dyDescent="0.2">
      <c r="A6435" s="5"/>
      <c r="E6435" s="5"/>
      <c r="F6435" s="5"/>
      <c r="I6435" s="7"/>
      <c r="J6435" s="9"/>
      <c r="K6435" s="9"/>
      <c r="M6435" s="8"/>
      <c r="N6435" s="8"/>
      <c r="O6435" s="12"/>
      <c r="P6435" s="5"/>
      <c r="Q6435" s="5"/>
      <c r="R6435" s="31"/>
      <c r="S6435" s="5"/>
      <c r="T6435" s="12"/>
      <c r="U6435" s="12"/>
      <c r="V6435" s="12"/>
      <c r="W6435" s="12"/>
    </row>
    <row r="6436" spans="1:23" s="6" customFormat="1" ht="21.95" customHeight="1" x14ac:dyDescent="0.2">
      <c r="A6436" s="5"/>
      <c r="E6436" s="5"/>
      <c r="F6436" s="5"/>
      <c r="I6436" s="7"/>
      <c r="J6436" s="9"/>
      <c r="K6436" s="9"/>
      <c r="M6436" s="8"/>
      <c r="N6436" s="8"/>
      <c r="O6436" s="12"/>
      <c r="P6436" s="5"/>
      <c r="Q6436" s="5"/>
      <c r="R6436" s="31"/>
      <c r="S6436" s="5"/>
      <c r="T6436" s="12"/>
      <c r="U6436" s="12"/>
      <c r="V6436" s="12"/>
      <c r="W6436" s="12"/>
    </row>
    <row r="6437" spans="1:23" s="6" customFormat="1" ht="21.95" customHeight="1" x14ac:dyDescent="0.2">
      <c r="A6437" s="5"/>
      <c r="E6437" s="5"/>
      <c r="F6437" s="5"/>
      <c r="I6437" s="7"/>
      <c r="J6437" s="9"/>
      <c r="K6437" s="9"/>
      <c r="M6437" s="8"/>
      <c r="N6437" s="8"/>
      <c r="O6437" s="12"/>
      <c r="P6437" s="5"/>
      <c r="Q6437" s="5"/>
      <c r="R6437" s="31"/>
      <c r="S6437" s="5"/>
      <c r="T6437" s="12"/>
      <c r="U6437" s="12"/>
      <c r="V6437" s="12"/>
      <c r="W6437" s="12"/>
    </row>
    <row r="6438" spans="1:23" s="6" customFormat="1" ht="21.95" customHeight="1" x14ac:dyDescent="0.2">
      <c r="A6438" s="5"/>
      <c r="E6438" s="5"/>
      <c r="F6438" s="5"/>
      <c r="I6438" s="7"/>
      <c r="J6438" s="9"/>
      <c r="K6438" s="9"/>
      <c r="M6438" s="8"/>
      <c r="N6438" s="8"/>
      <c r="O6438" s="12"/>
      <c r="P6438" s="5"/>
      <c r="Q6438" s="5"/>
      <c r="R6438" s="31"/>
      <c r="S6438" s="5"/>
      <c r="T6438" s="12"/>
      <c r="U6438" s="12"/>
      <c r="V6438" s="12"/>
      <c r="W6438" s="12"/>
    </row>
    <row r="6439" spans="1:23" s="6" customFormat="1" ht="21.95" customHeight="1" x14ac:dyDescent="0.2">
      <c r="A6439" s="5"/>
      <c r="E6439" s="5"/>
      <c r="F6439" s="5"/>
      <c r="I6439" s="7"/>
      <c r="J6439" s="9"/>
      <c r="K6439" s="9"/>
      <c r="M6439" s="8"/>
      <c r="N6439" s="8"/>
      <c r="O6439" s="12"/>
      <c r="P6439" s="5"/>
      <c r="Q6439" s="5"/>
      <c r="R6439" s="31"/>
      <c r="S6439" s="5"/>
      <c r="T6439" s="12"/>
      <c r="U6439" s="12"/>
      <c r="V6439" s="12"/>
      <c r="W6439" s="12"/>
    </row>
    <row r="6440" spans="1:23" s="6" customFormat="1" ht="21.95" customHeight="1" x14ac:dyDescent="0.2">
      <c r="A6440" s="5"/>
      <c r="E6440" s="5"/>
      <c r="F6440" s="5"/>
      <c r="I6440" s="7"/>
      <c r="J6440" s="9"/>
      <c r="K6440" s="9"/>
      <c r="M6440" s="8"/>
      <c r="N6440" s="8"/>
      <c r="O6440" s="12"/>
      <c r="P6440" s="5"/>
      <c r="Q6440" s="5"/>
      <c r="R6440" s="31"/>
      <c r="S6440" s="5"/>
      <c r="T6440" s="12"/>
      <c r="U6440" s="12"/>
      <c r="V6440" s="12"/>
      <c r="W6440" s="12"/>
    </row>
    <row r="6441" spans="1:23" s="6" customFormat="1" ht="21.95" customHeight="1" x14ac:dyDescent="0.2">
      <c r="A6441" s="5"/>
      <c r="E6441" s="5"/>
      <c r="F6441" s="5"/>
      <c r="I6441" s="7"/>
      <c r="J6441" s="9"/>
      <c r="K6441" s="9"/>
      <c r="M6441" s="8"/>
      <c r="N6441" s="8"/>
      <c r="O6441" s="12"/>
      <c r="P6441" s="5"/>
      <c r="Q6441" s="5"/>
      <c r="R6441" s="31"/>
      <c r="S6441" s="5"/>
      <c r="T6441" s="12"/>
      <c r="U6441" s="12"/>
      <c r="V6441" s="12"/>
      <c r="W6441" s="12"/>
    </row>
    <row r="6442" spans="1:23" s="6" customFormat="1" ht="21.95" customHeight="1" x14ac:dyDescent="0.2">
      <c r="A6442" s="5"/>
      <c r="E6442" s="5"/>
      <c r="F6442" s="5"/>
      <c r="I6442" s="7"/>
      <c r="J6442" s="9"/>
      <c r="K6442" s="9"/>
      <c r="M6442" s="8"/>
      <c r="N6442" s="8"/>
      <c r="O6442" s="12"/>
      <c r="P6442" s="5"/>
      <c r="Q6442" s="5"/>
      <c r="R6442" s="31"/>
      <c r="S6442" s="5"/>
      <c r="T6442" s="12"/>
      <c r="U6442" s="12"/>
      <c r="V6442" s="12"/>
      <c r="W6442" s="12"/>
    </row>
    <row r="6443" spans="1:23" s="6" customFormat="1" ht="21.95" customHeight="1" x14ac:dyDescent="0.2">
      <c r="A6443" s="5"/>
      <c r="E6443" s="5"/>
      <c r="F6443" s="5"/>
      <c r="I6443" s="7"/>
      <c r="J6443" s="9"/>
      <c r="K6443" s="9"/>
      <c r="M6443" s="8"/>
      <c r="N6443" s="8"/>
      <c r="O6443" s="12"/>
      <c r="P6443" s="5"/>
      <c r="Q6443" s="5"/>
      <c r="R6443" s="31"/>
      <c r="S6443" s="5"/>
      <c r="T6443" s="12"/>
      <c r="U6443" s="12"/>
      <c r="V6443" s="12"/>
      <c r="W6443" s="12"/>
    </row>
    <row r="6444" spans="1:23" s="6" customFormat="1" ht="21.95" customHeight="1" x14ac:dyDescent="0.2">
      <c r="A6444" s="5"/>
      <c r="E6444" s="5"/>
      <c r="F6444" s="5"/>
      <c r="I6444" s="7"/>
      <c r="J6444" s="9"/>
      <c r="K6444" s="9"/>
      <c r="M6444" s="8"/>
      <c r="N6444" s="8"/>
      <c r="O6444" s="12"/>
      <c r="P6444" s="5"/>
      <c r="Q6444" s="5"/>
      <c r="R6444" s="31"/>
      <c r="S6444" s="5"/>
      <c r="T6444" s="12"/>
      <c r="U6444" s="12"/>
      <c r="V6444" s="12"/>
      <c r="W6444" s="12"/>
    </row>
    <row r="6445" spans="1:23" s="6" customFormat="1" ht="21.95" customHeight="1" x14ac:dyDescent="0.2">
      <c r="A6445" s="5"/>
      <c r="E6445" s="5"/>
      <c r="F6445" s="5"/>
      <c r="I6445" s="7"/>
      <c r="J6445" s="9"/>
      <c r="K6445" s="9"/>
      <c r="M6445" s="8"/>
      <c r="N6445" s="8"/>
      <c r="O6445" s="12"/>
      <c r="P6445" s="5"/>
      <c r="Q6445" s="5"/>
      <c r="R6445" s="31"/>
      <c r="S6445" s="5"/>
      <c r="T6445" s="12"/>
      <c r="U6445" s="12"/>
      <c r="V6445" s="12"/>
      <c r="W6445" s="12"/>
    </row>
    <row r="6446" spans="1:23" ht="21.95" customHeight="1" x14ac:dyDescent="0.2">
      <c r="B6446" s="6"/>
    </row>
    <row r="6447" spans="1:23" ht="21.95" customHeight="1" x14ac:dyDescent="0.2">
      <c r="B6447" s="6"/>
    </row>
    <row r="6448" spans="1:23" ht="21.95" customHeight="1" x14ac:dyDescent="0.2">
      <c r="B6448" s="6"/>
    </row>
    <row r="6449" spans="2:2" ht="21.95" customHeight="1" x14ac:dyDescent="0.2">
      <c r="B6449" s="6"/>
    </row>
    <row r="6450" spans="2:2" ht="21.95" customHeight="1" x14ac:dyDescent="0.2">
      <c r="B6450" s="6"/>
    </row>
    <row r="6451" spans="2:2" ht="21.95" customHeight="1" x14ac:dyDescent="0.2">
      <c r="B6451" s="6"/>
    </row>
    <row r="6452" spans="2:2" ht="21.95" customHeight="1" x14ac:dyDescent="0.2">
      <c r="B6452" s="6"/>
    </row>
    <row r="6453" spans="2:2" ht="21.95" customHeight="1" x14ac:dyDescent="0.2">
      <c r="B6453" s="6"/>
    </row>
    <row r="6454" spans="2:2" ht="21.95" customHeight="1" x14ac:dyDescent="0.2">
      <c r="B6454" s="6"/>
    </row>
    <row r="6455" spans="2:2" ht="21.95" customHeight="1" x14ac:dyDescent="0.2">
      <c r="B6455" s="6"/>
    </row>
    <row r="6456" spans="2:2" ht="21.95" customHeight="1" x14ac:dyDescent="0.2">
      <c r="B6456" s="6"/>
    </row>
    <row r="6457" spans="2:2" ht="21.95" customHeight="1" x14ac:dyDescent="0.2">
      <c r="B6457" s="6"/>
    </row>
    <row r="6458" spans="2:2" ht="21.95" customHeight="1" x14ac:dyDescent="0.2">
      <c r="B6458" s="6"/>
    </row>
    <row r="6459" spans="2:2" ht="21.95" customHeight="1" x14ac:dyDescent="0.2">
      <c r="B6459" s="6"/>
    </row>
    <row r="6460" spans="2:2" ht="21.95" customHeight="1" x14ac:dyDescent="0.2">
      <c r="B6460" s="6"/>
    </row>
    <row r="6461" spans="2:2" ht="21.95" customHeight="1" x14ac:dyDescent="0.2">
      <c r="B6461" s="6"/>
    </row>
    <row r="6462" spans="2:2" ht="21.95" customHeight="1" x14ac:dyDescent="0.2">
      <c r="B6462" s="6"/>
    </row>
    <row r="6463" spans="2:2" ht="21.95" customHeight="1" x14ac:dyDescent="0.2">
      <c r="B6463" s="6"/>
    </row>
    <row r="6464" spans="2:2" ht="21.95" customHeight="1" x14ac:dyDescent="0.2">
      <c r="B6464" s="6"/>
    </row>
    <row r="6465" spans="2:2" ht="21.95" customHeight="1" x14ac:dyDescent="0.2">
      <c r="B6465" s="6"/>
    </row>
    <row r="6466" spans="2:2" ht="21.95" customHeight="1" x14ac:dyDescent="0.2">
      <c r="B6466" s="6"/>
    </row>
    <row r="6467" spans="2:2" ht="21.95" customHeight="1" x14ac:dyDescent="0.2">
      <c r="B6467" s="6"/>
    </row>
    <row r="6468" spans="2:2" ht="21.95" customHeight="1" x14ac:dyDescent="0.2">
      <c r="B6468" s="6"/>
    </row>
    <row r="6469" spans="2:2" ht="21.95" customHeight="1" x14ac:dyDescent="0.2">
      <c r="B6469" s="6"/>
    </row>
    <row r="6470" spans="2:2" ht="21.95" customHeight="1" x14ac:dyDescent="0.2">
      <c r="B6470" s="6"/>
    </row>
    <row r="6471" spans="2:2" ht="21.95" customHeight="1" x14ac:dyDescent="0.2">
      <c r="B6471" s="6"/>
    </row>
    <row r="6472" spans="2:2" ht="21.95" customHeight="1" x14ac:dyDescent="0.2">
      <c r="B6472" s="6"/>
    </row>
    <row r="6473" spans="2:2" ht="21.95" customHeight="1" x14ac:dyDescent="0.2">
      <c r="B6473" s="6"/>
    </row>
    <row r="6474" spans="2:2" ht="21.95" customHeight="1" x14ac:dyDescent="0.2">
      <c r="B6474" s="6"/>
    </row>
    <row r="6475" spans="2:2" ht="21.95" customHeight="1" x14ac:dyDescent="0.2">
      <c r="B6475" s="6"/>
    </row>
    <row r="6476" spans="2:2" ht="21.95" customHeight="1" x14ac:dyDescent="0.2">
      <c r="B6476" s="6"/>
    </row>
    <row r="6477" spans="2:2" ht="21.95" customHeight="1" x14ac:dyDescent="0.2">
      <c r="B6477" s="6"/>
    </row>
    <row r="6478" spans="2:2" ht="21.95" customHeight="1" x14ac:dyDescent="0.2">
      <c r="B6478" s="6"/>
    </row>
    <row r="6479" spans="2:2" ht="21.95" customHeight="1" x14ac:dyDescent="0.2">
      <c r="B6479" s="6"/>
    </row>
    <row r="6480" spans="2:2" ht="21.95" customHeight="1" x14ac:dyDescent="0.2">
      <c r="B6480" s="6"/>
    </row>
    <row r="6481" spans="2:2" ht="21.95" customHeight="1" x14ac:dyDescent="0.2">
      <c r="B6481" s="6"/>
    </row>
    <row r="6482" spans="2:2" ht="21.95" customHeight="1" x14ac:dyDescent="0.2">
      <c r="B6482" s="6"/>
    </row>
    <row r="6483" spans="2:2" ht="21.95" customHeight="1" x14ac:dyDescent="0.2">
      <c r="B6483" s="6"/>
    </row>
    <row r="6484" spans="2:2" ht="21.95" customHeight="1" x14ac:dyDescent="0.2">
      <c r="B6484" s="6"/>
    </row>
    <row r="6485" spans="2:2" ht="21.95" customHeight="1" x14ac:dyDescent="0.2">
      <c r="B6485" s="6"/>
    </row>
    <row r="6486" spans="2:2" ht="21.95" customHeight="1" x14ac:dyDescent="0.2">
      <c r="B6486" s="6"/>
    </row>
    <row r="6487" spans="2:2" ht="21.95" customHeight="1" x14ac:dyDescent="0.2">
      <c r="B6487" s="6"/>
    </row>
    <row r="6488" spans="2:2" ht="21.95" customHeight="1" x14ac:dyDescent="0.2">
      <c r="B6488" s="6"/>
    </row>
    <row r="6489" spans="2:2" ht="21.95" customHeight="1" x14ac:dyDescent="0.2">
      <c r="B6489" s="6"/>
    </row>
    <row r="6490" spans="2:2" ht="21.95" customHeight="1" x14ac:dyDescent="0.2">
      <c r="B6490" s="6"/>
    </row>
    <row r="6491" spans="2:2" ht="21.95" customHeight="1" x14ac:dyDescent="0.2">
      <c r="B6491" s="6"/>
    </row>
    <row r="6492" spans="2:2" ht="21.95" customHeight="1" x14ac:dyDescent="0.2">
      <c r="B6492" s="6"/>
    </row>
    <row r="6493" spans="2:2" ht="21.95" customHeight="1" x14ac:dyDescent="0.2">
      <c r="B6493" s="6"/>
    </row>
    <row r="6494" spans="2:2" ht="21.95" customHeight="1" x14ac:dyDescent="0.2">
      <c r="B6494" s="6"/>
    </row>
    <row r="6495" spans="2:2" ht="21.95" customHeight="1" x14ac:dyDescent="0.2">
      <c r="B6495" s="6"/>
    </row>
    <row r="6496" spans="2:2" ht="21.95" customHeight="1" x14ac:dyDescent="0.2">
      <c r="B6496" s="6"/>
    </row>
    <row r="6497" spans="2:2" ht="21.95" customHeight="1" x14ac:dyDescent="0.2">
      <c r="B6497" s="6"/>
    </row>
    <row r="6498" spans="2:2" ht="21.95" customHeight="1" x14ac:dyDescent="0.2">
      <c r="B6498" s="6"/>
    </row>
    <row r="6499" spans="2:2" ht="21.95" customHeight="1" x14ac:dyDescent="0.2">
      <c r="B6499" s="6"/>
    </row>
    <row r="6500" spans="2:2" ht="21.95" customHeight="1" x14ac:dyDescent="0.2">
      <c r="B6500" s="6"/>
    </row>
    <row r="6501" spans="2:2" ht="21.95" customHeight="1" x14ac:dyDescent="0.2">
      <c r="B6501" s="6"/>
    </row>
    <row r="6502" spans="2:2" ht="21.95" customHeight="1" x14ac:dyDescent="0.2">
      <c r="B6502" s="6"/>
    </row>
    <row r="6503" spans="2:2" ht="21.95" customHeight="1" x14ac:dyDescent="0.2">
      <c r="B6503" s="6"/>
    </row>
    <row r="6504" spans="2:2" ht="21.95" customHeight="1" x14ac:dyDescent="0.2">
      <c r="B6504" s="6"/>
    </row>
    <row r="6505" spans="2:2" ht="21.95" customHeight="1" x14ac:dyDescent="0.2">
      <c r="B6505" s="6"/>
    </row>
    <row r="6506" spans="2:2" ht="21.95" customHeight="1" x14ac:dyDescent="0.2">
      <c r="B6506" s="6"/>
    </row>
    <row r="6507" spans="2:2" ht="21.95" customHeight="1" x14ac:dyDescent="0.2">
      <c r="B6507" s="6"/>
    </row>
    <row r="6508" spans="2:2" ht="21.95" customHeight="1" x14ac:dyDescent="0.2">
      <c r="B6508" s="6"/>
    </row>
    <row r="6509" spans="2:2" ht="21.95" customHeight="1" x14ac:dyDescent="0.2">
      <c r="B6509" s="6"/>
    </row>
    <row r="6510" spans="2:2" ht="21.95" customHeight="1" x14ac:dyDescent="0.2">
      <c r="B6510" s="6"/>
    </row>
    <row r="6511" spans="2:2" ht="21.95" customHeight="1" x14ac:dyDescent="0.2">
      <c r="B6511" s="6"/>
    </row>
    <row r="6512" spans="2:2" ht="21.95" customHeight="1" x14ac:dyDescent="0.2">
      <c r="B6512" s="6"/>
    </row>
    <row r="6513" spans="2:2" ht="21.95" customHeight="1" x14ac:dyDescent="0.2">
      <c r="B6513" s="6"/>
    </row>
    <row r="6514" spans="2:2" ht="21.95" customHeight="1" x14ac:dyDescent="0.2">
      <c r="B6514" s="6"/>
    </row>
    <row r="6515" spans="2:2" ht="21.95" customHeight="1" x14ac:dyDescent="0.2">
      <c r="B6515" s="6"/>
    </row>
    <row r="6516" spans="2:2" ht="21.95" customHeight="1" x14ac:dyDescent="0.2">
      <c r="B6516" s="6"/>
    </row>
    <row r="6517" spans="2:2" ht="21.95" customHeight="1" x14ac:dyDescent="0.2">
      <c r="B6517" s="6"/>
    </row>
    <row r="6518" spans="2:2" ht="21.95" customHeight="1" x14ac:dyDescent="0.2">
      <c r="B6518" s="6"/>
    </row>
    <row r="6519" spans="2:2" ht="21.95" customHeight="1" x14ac:dyDescent="0.2">
      <c r="B6519" s="6"/>
    </row>
    <row r="6520" spans="2:2" ht="21.95" customHeight="1" x14ac:dyDescent="0.2">
      <c r="B6520" s="6"/>
    </row>
    <row r="6521" spans="2:2" ht="21.95" customHeight="1" x14ac:dyDescent="0.2">
      <c r="B6521" s="6"/>
    </row>
    <row r="6522" spans="2:2" ht="21.95" customHeight="1" x14ac:dyDescent="0.2">
      <c r="B6522" s="6"/>
    </row>
    <row r="6523" spans="2:2" ht="21.95" customHeight="1" x14ac:dyDescent="0.2">
      <c r="B6523" s="6"/>
    </row>
    <row r="6524" spans="2:2" ht="21.95" customHeight="1" x14ac:dyDescent="0.2">
      <c r="B6524" s="6"/>
    </row>
    <row r="6525" spans="2:2" ht="21.95" customHeight="1" x14ac:dyDescent="0.2">
      <c r="B6525" s="6"/>
    </row>
    <row r="6526" spans="2:2" ht="21.95" customHeight="1" x14ac:dyDescent="0.2">
      <c r="B6526" s="6"/>
    </row>
    <row r="6527" spans="2:2" ht="21.95" customHeight="1" x14ac:dyDescent="0.2">
      <c r="B6527" s="6"/>
    </row>
    <row r="6528" spans="2:2" ht="21.95" customHeight="1" x14ac:dyDescent="0.2">
      <c r="B6528" s="6"/>
    </row>
    <row r="6529" spans="2:2" ht="21.95" customHeight="1" x14ac:dyDescent="0.2">
      <c r="B6529" s="6"/>
    </row>
    <row r="6530" spans="2:2" ht="21.95" customHeight="1" x14ac:dyDescent="0.2">
      <c r="B6530" s="6"/>
    </row>
    <row r="6531" spans="2:2" ht="21.95" customHeight="1" x14ac:dyDescent="0.2">
      <c r="B6531" s="6"/>
    </row>
    <row r="6532" spans="2:2" ht="21.95" customHeight="1" x14ac:dyDescent="0.2">
      <c r="B6532" s="6"/>
    </row>
    <row r="6533" spans="2:2" ht="21.95" customHeight="1" x14ac:dyDescent="0.2">
      <c r="B6533" s="6"/>
    </row>
    <row r="6534" spans="2:2" ht="21.95" customHeight="1" x14ac:dyDescent="0.2">
      <c r="B6534" s="6"/>
    </row>
    <row r="6535" spans="2:2" ht="21.95" customHeight="1" x14ac:dyDescent="0.2">
      <c r="B6535" s="6"/>
    </row>
    <row r="6536" spans="2:2" ht="21.95" customHeight="1" x14ac:dyDescent="0.2">
      <c r="B6536" s="6"/>
    </row>
    <row r="6537" spans="2:2" ht="21.95" customHeight="1" x14ac:dyDescent="0.2">
      <c r="B6537" s="6"/>
    </row>
    <row r="6538" spans="2:2" ht="21.95" customHeight="1" x14ac:dyDescent="0.2">
      <c r="B6538" s="6"/>
    </row>
    <row r="6539" spans="2:2" ht="21.95" customHeight="1" x14ac:dyDescent="0.2">
      <c r="B6539" s="6"/>
    </row>
    <row r="6540" spans="2:2" ht="21.95" customHeight="1" x14ac:dyDescent="0.2">
      <c r="B6540" s="6"/>
    </row>
    <row r="6541" spans="2:2" ht="21.95" customHeight="1" x14ac:dyDescent="0.2">
      <c r="B6541" s="6"/>
    </row>
    <row r="6542" spans="2:2" ht="21.95" customHeight="1" x14ac:dyDescent="0.2">
      <c r="B6542" s="6"/>
    </row>
    <row r="6543" spans="2:2" ht="21.95" customHeight="1" x14ac:dyDescent="0.2">
      <c r="B6543" s="6"/>
    </row>
    <row r="6544" spans="2:2" ht="21.95" customHeight="1" x14ac:dyDescent="0.2">
      <c r="B6544" s="6"/>
    </row>
    <row r="6545" spans="2:2" ht="21.95" customHeight="1" x14ac:dyDescent="0.2">
      <c r="B6545" s="6"/>
    </row>
    <row r="6546" spans="2:2" ht="21.95" customHeight="1" x14ac:dyDescent="0.2">
      <c r="B6546" s="6"/>
    </row>
    <row r="6547" spans="2:2" ht="21.95" customHeight="1" x14ac:dyDescent="0.2">
      <c r="B6547" s="6"/>
    </row>
    <row r="6548" spans="2:2" ht="21.95" customHeight="1" x14ac:dyDescent="0.2">
      <c r="B6548" s="6"/>
    </row>
    <row r="6549" spans="2:2" ht="21.95" customHeight="1" x14ac:dyDescent="0.2">
      <c r="B6549" s="6"/>
    </row>
    <row r="6550" spans="2:2" ht="21.95" customHeight="1" x14ac:dyDescent="0.2">
      <c r="B6550" s="6"/>
    </row>
    <row r="6551" spans="2:2" ht="21.95" customHeight="1" x14ac:dyDescent="0.2">
      <c r="B6551" s="6"/>
    </row>
    <row r="6552" spans="2:2" ht="21.95" customHeight="1" x14ac:dyDescent="0.2">
      <c r="B6552" s="6"/>
    </row>
    <row r="6553" spans="2:2" ht="21.95" customHeight="1" x14ac:dyDescent="0.2">
      <c r="B6553" s="6"/>
    </row>
    <row r="6554" spans="2:2" ht="21.95" customHeight="1" x14ac:dyDescent="0.2">
      <c r="B6554" s="6"/>
    </row>
    <row r="6555" spans="2:2" ht="21.95" customHeight="1" x14ac:dyDescent="0.2">
      <c r="B6555" s="6"/>
    </row>
    <row r="6556" spans="2:2" ht="21.95" customHeight="1" x14ac:dyDescent="0.2">
      <c r="B6556" s="6"/>
    </row>
    <row r="6557" spans="2:2" ht="21.95" customHeight="1" x14ac:dyDescent="0.2">
      <c r="B6557" s="6"/>
    </row>
    <row r="6558" spans="2:2" ht="21.95" customHeight="1" x14ac:dyDescent="0.2">
      <c r="B6558" s="6"/>
    </row>
    <row r="6559" spans="2:2" ht="21.95" customHeight="1" x14ac:dyDescent="0.2">
      <c r="B6559" s="6"/>
    </row>
    <row r="6560" spans="2:2" ht="21.95" customHeight="1" x14ac:dyDescent="0.2">
      <c r="B6560" s="6"/>
    </row>
    <row r="6561" spans="2:2" ht="21.95" customHeight="1" x14ac:dyDescent="0.2">
      <c r="B6561" s="6"/>
    </row>
    <row r="6562" spans="2:2" ht="21.95" customHeight="1" x14ac:dyDescent="0.2">
      <c r="B6562" s="6"/>
    </row>
    <row r="6563" spans="2:2" ht="21.95" customHeight="1" x14ac:dyDescent="0.2">
      <c r="B6563" s="6"/>
    </row>
    <row r="6564" spans="2:2" ht="21.95" customHeight="1" x14ac:dyDescent="0.2">
      <c r="B6564" s="6"/>
    </row>
    <row r="6565" spans="2:2" ht="21.95" customHeight="1" x14ac:dyDescent="0.2">
      <c r="B6565" s="6"/>
    </row>
    <row r="6566" spans="2:2" ht="21.95" customHeight="1" x14ac:dyDescent="0.2">
      <c r="B6566" s="6"/>
    </row>
    <row r="6567" spans="2:2" ht="21.95" customHeight="1" x14ac:dyDescent="0.2">
      <c r="B6567" s="6"/>
    </row>
    <row r="6568" spans="2:2" ht="21.95" customHeight="1" x14ac:dyDescent="0.2">
      <c r="B6568" s="6"/>
    </row>
    <row r="6569" spans="2:2" ht="21.95" customHeight="1" x14ac:dyDescent="0.2">
      <c r="B6569" s="6"/>
    </row>
    <row r="6570" spans="2:2" ht="21.95" customHeight="1" x14ac:dyDescent="0.2">
      <c r="B6570" s="6"/>
    </row>
    <row r="6571" spans="2:2" ht="21.95" customHeight="1" x14ac:dyDescent="0.2">
      <c r="B6571" s="6"/>
    </row>
    <row r="6572" spans="2:2" ht="21.95" customHeight="1" x14ac:dyDescent="0.2">
      <c r="B6572" s="6"/>
    </row>
    <row r="6573" spans="2:2" ht="21.95" customHeight="1" x14ac:dyDescent="0.2">
      <c r="B6573" s="6"/>
    </row>
    <row r="6574" spans="2:2" ht="21.95" customHeight="1" x14ac:dyDescent="0.2">
      <c r="B6574" s="6"/>
    </row>
    <row r="6575" spans="2:2" ht="21.95" customHeight="1" x14ac:dyDescent="0.2">
      <c r="B6575" s="6"/>
    </row>
    <row r="6576" spans="2:2" ht="21.95" customHeight="1" x14ac:dyDescent="0.2">
      <c r="B6576" s="6"/>
    </row>
    <row r="6577" spans="2:2" ht="21.95" customHeight="1" x14ac:dyDescent="0.2">
      <c r="B6577" s="6"/>
    </row>
    <row r="6578" spans="2:2" ht="21.95" customHeight="1" x14ac:dyDescent="0.2">
      <c r="B6578" s="6"/>
    </row>
    <row r="6579" spans="2:2" ht="21.95" customHeight="1" x14ac:dyDescent="0.2">
      <c r="B6579" s="6"/>
    </row>
    <row r="6580" spans="2:2" ht="21.95" customHeight="1" x14ac:dyDescent="0.2">
      <c r="B6580" s="6"/>
    </row>
    <row r="6581" spans="2:2" ht="21.95" customHeight="1" x14ac:dyDescent="0.2">
      <c r="B6581" s="6"/>
    </row>
    <row r="6582" spans="2:2" ht="21.95" customHeight="1" x14ac:dyDescent="0.2">
      <c r="B6582" s="6"/>
    </row>
    <row r="6583" spans="2:2" ht="21.95" customHeight="1" x14ac:dyDescent="0.2">
      <c r="B6583" s="6"/>
    </row>
    <row r="6584" spans="2:2" ht="21.95" customHeight="1" x14ac:dyDescent="0.2">
      <c r="B6584" s="6"/>
    </row>
    <row r="6585" spans="2:2" ht="21.95" customHeight="1" x14ac:dyDescent="0.2">
      <c r="B6585" s="6"/>
    </row>
    <row r="6586" spans="2:2" ht="21.95" customHeight="1" x14ac:dyDescent="0.2">
      <c r="B6586" s="6"/>
    </row>
    <row r="6587" spans="2:2" ht="21.95" customHeight="1" x14ac:dyDescent="0.2">
      <c r="B6587" s="6"/>
    </row>
    <row r="6588" spans="2:2" ht="21.95" customHeight="1" x14ac:dyDescent="0.2">
      <c r="B6588" s="6"/>
    </row>
    <row r="6589" spans="2:2" ht="21.95" customHeight="1" x14ac:dyDescent="0.2">
      <c r="B6589" s="6"/>
    </row>
    <row r="6590" spans="2:2" ht="21.95" customHeight="1" x14ac:dyDescent="0.2">
      <c r="B6590" s="6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selection activeCell="F1" sqref="F1"/>
    </sheetView>
  </sheetViews>
  <sheetFormatPr defaultRowHeight="15" x14ac:dyDescent="0.2"/>
  <cols>
    <col min="1" max="1" width="11.43359375" bestFit="1" customWidth="1"/>
    <col min="2" max="2" width="19.7734375" customWidth="1"/>
    <col min="4" max="4" width="11.02734375" bestFit="1" customWidth="1"/>
    <col min="5" max="5" width="16.8125" bestFit="1" customWidth="1"/>
  </cols>
  <sheetData>
    <row r="1" spans="1:5" x14ac:dyDescent="0.2">
      <c r="A1" t="s">
        <v>2299</v>
      </c>
      <c r="B1" t="s">
        <v>2301</v>
      </c>
      <c r="C1" t="s">
        <v>2300</v>
      </c>
      <c r="D1" t="s">
        <v>2302</v>
      </c>
      <c r="E1" t="s">
        <v>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 LİSTESİ FİYATLI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Lenovo</cp:lastModifiedBy>
  <dcterms:created xsi:type="dcterms:W3CDTF">2025-12-02T13:39:07Z</dcterms:created>
  <dcterms:modified xsi:type="dcterms:W3CDTF">2026-02-10T11:50:35Z</dcterms:modified>
</cp:coreProperties>
</file>